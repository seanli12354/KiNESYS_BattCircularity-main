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Default Extension="vml" ContentType="application/vnd.openxmlformats-officedocument.vmlDrawing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KiNESYS-S100_CEA-Europe\"/>
    </mc:Choice>
  </mc:AlternateContent>
  <bookViews>
    <workbookView xWindow="-98" yWindow="-98" windowWidth="28996" windowHeight="17475" activeTab="0"/>
  </bookViews>
  <sheets>
    <sheet name="SetsEditor- Proc" sheetId="5" r:id="rId3"/>
    <sheet name="Steel" sheetId="9" r:id="rId4"/>
    <sheet name="Industry" sheetId="10" r:id="rId5"/>
    <sheet name="Proc - complete sectors" sheetId="7" r:id="rId6"/>
    <sheet name="SetsEditor- Comm" sheetId="4" r:id="rId7"/>
    <sheet name="VEDA_Sets-Comm" sheetId="2" r:id="rId8"/>
    <sheet name="VEDA_Sets-Proc" sheetId="1" r:id="rId9"/>
    <sheet name="proc by country" sheetId="6" r:id="rId10"/>
    <sheet name="Elec proc" sheetId="3" r:id="rId11"/>
    <sheet name="Road transport" sheetId="8" r:id="rId12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</calcChain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4" authorId="0" shapeId="0" xr:uid="{477B690A-358E-4A85-B76F-5CD64C6476F5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14-03-2022
complete NRG
</t>
        </r>
      </text>
    </comment>
  </commentList>
</comments>
</file>

<file path=xl/sharedStrings.xml><?xml version="1.0" encoding="utf-8"?>
<sst xmlns="http://schemas.openxmlformats.org/spreadsheetml/2006/main" count="1567" uniqueCount="1099">
  <si>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</si>
  <si>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</si>
  <si>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</si>
  <si>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</si>
  <si>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</si>
  <si>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</si>
  <si>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</si>
  <si>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</si>
  <si>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</si>
  <si>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</si>
  <si>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T_Pos_AndOr_forSets</t>
  </si>
  <si>
    <t>T_Neg_AndOr_forSets</t>
  </si>
  <si>
    <t>Comment</t>
  </si>
  <si>
    <t>AND</t>
  </si>
  <si>
    <t>OR</t>
  </si>
  <si>
    <t>ELCWIN</t>
  </si>
  <si>
    <t>Wind</t>
  </si>
  <si>
    <t>Biomass</t>
  </si>
  <si>
    <t>Coal</t>
  </si>
  <si>
    <t>Hydro</t>
  </si>
  <si>
    <t>Nuclear</t>
  </si>
  <si>
    <t>~TFM_Csets</t>
  </si>
  <si>
    <t>CSET_SET</t>
  </si>
  <si>
    <t>CSET_CN</t>
  </si>
  <si>
    <t>CSET_CD</t>
  </si>
  <si>
    <t>C_Pos_AndOr</t>
  </si>
  <si>
    <t>C_Neg_AndOr</t>
  </si>
  <si>
    <t>C_Pos_AndOr_forSets</t>
  </si>
  <si>
    <t>C_Neg_AndOr_forSets</t>
  </si>
  <si>
    <t>ALLBIO</t>
  </si>
  <si>
    <t>*NUC*,*URAN*,*LIT*</t>
  </si>
  <si>
    <t>ALLNUC</t>
  </si>
  <si>
    <t>ALLELC</t>
  </si>
  <si>
    <t>ALLGAS</t>
  </si>
  <si>
    <t>Gas</t>
  </si>
  <si>
    <t>ALLCOAL</t>
  </si>
  <si>
    <t>ALLHEAT</t>
  </si>
  <si>
    <t>Heat</t>
  </si>
  <si>
    <t>Oil</t>
  </si>
  <si>
    <t>Hydrogen</t>
  </si>
  <si>
    <t>NRG</t>
  </si>
  <si>
    <t>SFUEAGR</t>
  </si>
  <si>
    <t>Agriculture</t>
  </si>
  <si>
    <t>Sector Fuels</t>
  </si>
  <si>
    <t>SFUECOM</t>
  </si>
  <si>
    <t>Commercial</t>
  </si>
  <si>
    <t>IND????,IND???</t>
  </si>
  <si>
    <t>SFUEIND</t>
  </si>
  <si>
    <t>Industry</t>
  </si>
  <si>
    <t>SFUEELC</t>
  </si>
  <si>
    <t>Elc &amp; Heat</t>
  </si>
  <si>
    <t>SFUERES</t>
  </si>
  <si>
    <t>Residential</t>
  </si>
  <si>
    <t>SFUETRA</t>
  </si>
  <si>
    <t>Transport</t>
  </si>
  <si>
    <t>SFUEUPS</t>
  </si>
  <si>
    <t>Upstream</t>
  </si>
  <si>
    <t>SUP???</t>
  </si>
  <si>
    <t>RES???,BIOTRAD</t>
  </si>
  <si>
    <t>ELC???</t>
  </si>
  <si>
    <t>COM???</t>
  </si>
  <si>
    <t>AGR???</t>
  </si>
  <si>
    <t>~TFM_PSets</t>
  </si>
  <si>
    <t>Pset_Set</t>
  </si>
  <si>
    <t>Pset_PN</t>
  </si>
  <si>
    <t>Pset_PD</t>
  </si>
  <si>
    <t>Pset_CI</t>
  </si>
  <si>
    <t>Pset_CO</t>
  </si>
  <si>
    <t>ELE,CHP</t>
  </si>
  <si>
    <t>ELCHYD</t>
  </si>
  <si>
    <t>Waste</t>
  </si>
  <si>
    <t>Geothermal</t>
  </si>
  <si>
    <t>IRE</t>
  </si>
  <si>
    <t>And</t>
  </si>
  <si>
    <t>Or</t>
  </si>
  <si>
    <t>ALLH2</t>
  </si>
  <si>
    <t/>
  </si>
  <si>
    <t>~TFM_CSets</t>
  </si>
  <si>
    <t>setname</t>
  </si>
  <si>
    <t>setdesc</t>
  </si>
  <si>
    <t>cset_set</t>
  </si>
  <si>
    <t>cset_cn</t>
  </si>
  <si>
    <t>cset_cd</t>
  </si>
  <si>
    <t>c_pos_andor_forsets</t>
  </si>
  <si>
    <t>c_pos_andor</t>
  </si>
  <si>
    <t>c_neg_andor_forsets</t>
  </si>
  <si>
    <t>c_neg_andor</t>
  </si>
  <si>
    <t>NRG_Check</t>
  </si>
  <si>
    <t>checking ALL* sets</t>
  </si>
  <si>
    <t>-UC_*,-I*_*</t>
  </si>
  <si>
    <t>ALLREN</t>
  </si>
  <si>
    <t>*NGA*,*GAS*,*GAN*,*GAP*,*NAT*,-BIO*,-*BFG,-*COG,-*GWG,-*RFG</t>
  </si>
  <si>
    <t>DMD</t>
  </si>
  <si>
    <t>TAD</t>
  </si>
  <si>
    <t>Domestic Aviation</t>
  </si>
  <si>
    <t>TAI</t>
  </si>
  <si>
    <t>International Aviation</t>
  </si>
  <si>
    <t>TTF</t>
  </si>
  <si>
    <t>Rail-Freight</t>
  </si>
  <si>
    <t>TTP</t>
  </si>
  <si>
    <t>TWD</t>
  </si>
  <si>
    <t>TWI</t>
  </si>
  <si>
    <t>Trd_Bus</t>
  </si>
  <si>
    <t>Bus</t>
  </si>
  <si>
    <t>Trd_Car</t>
  </si>
  <si>
    <t>Cars</t>
  </si>
  <si>
    <t>Trd_Hdt</t>
  </si>
  <si>
    <t>Heavy Trucks</t>
  </si>
  <si>
    <t>Trd_Lcv</t>
  </si>
  <si>
    <t>Light Trucks</t>
  </si>
  <si>
    <t>Trd_3w</t>
  </si>
  <si>
    <t>3-wheelers</t>
  </si>
  <si>
    <t>Trd_2w</t>
  </si>
  <si>
    <t>2-wheelers</t>
  </si>
  <si>
    <t>Domestic Ships</t>
  </si>
  <si>
    <t>International Ships</t>
  </si>
  <si>
    <t>Rail-Passenger</t>
  </si>
  <si>
    <t>AGR</t>
  </si>
  <si>
    <t>CCK</t>
  </si>
  <si>
    <t>CHW</t>
  </si>
  <si>
    <t>CLA</t>
  </si>
  <si>
    <t>COE</t>
  </si>
  <si>
    <t>COT</t>
  </si>
  <si>
    <t>CRF</t>
  </si>
  <si>
    <t>CSC</t>
  </si>
  <si>
    <t>CSH</t>
  </si>
  <si>
    <t>ICH</t>
  </si>
  <si>
    <t>Chemicals</t>
  </si>
  <si>
    <t>IFP</t>
  </si>
  <si>
    <t>Food processing</t>
  </si>
  <si>
    <t>IIS</t>
  </si>
  <si>
    <t>Iron and Steel</t>
  </si>
  <si>
    <t>ILP</t>
  </si>
  <si>
    <t>Pulp and Paper</t>
  </si>
  <si>
    <t>IMC</t>
  </si>
  <si>
    <t>Mining and Construction</t>
  </si>
  <si>
    <t>INF</t>
  </si>
  <si>
    <t>Non-ferrous metals</t>
  </si>
  <si>
    <t>INM</t>
  </si>
  <si>
    <t>Non-metals</t>
  </si>
  <si>
    <t>IOI</t>
  </si>
  <si>
    <t>Other</t>
  </si>
  <si>
    <t>ITM</t>
  </si>
  <si>
    <t>Transport and machinery</t>
  </si>
  <si>
    <t>NEU</t>
  </si>
  <si>
    <t>Non Energy Uses</t>
  </si>
  <si>
    <t>ONO</t>
  </si>
  <si>
    <t>Other non-specified</t>
  </si>
  <si>
    <t>RCD</t>
  </si>
  <si>
    <t>RCK</t>
  </si>
  <si>
    <t>RCW</t>
  </si>
  <si>
    <t>RDW</t>
  </si>
  <si>
    <t>REA</t>
  </si>
  <si>
    <t>RHW</t>
  </si>
  <si>
    <t>RLI</t>
  </si>
  <si>
    <t>ROT</t>
  </si>
  <si>
    <t>RRF</t>
  </si>
  <si>
    <t>RSC</t>
  </si>
  <si>
    <t>RSH</t>
  </si>
  <si>
    <t>Cooking</t>
  </si>
  <si>
    <t>Hot Water</t>
  </si>
  <si>
    <t>Lighting</t>
  </si>
  <si>
    <t>Office Equipment</t>
  </si>
  <si>
    <t>Refrigeration</t>
  </si>
  <si>
    <t>Space Cooling</t>
  </si>
  <si>
    <t>Space Heating</t>
  </si>
  <si>
    <t>Clothes Drying</t>
  </si>
  <si>
    <t>Clothes Washing</t>
  </si>
  <si>
    <t>Dishwashing</t>
  </si>
  <si>
    <t>Other  Electric</t>
  </si>
  <si>
    <t>Other Industry</t>
  </si>
  <si>
    <t>PRE</t>
  </si>
  <si>
    <t>ICH_feed*</t>
  </si>
  <si>
    <t>DMD_ICH-fStock</t>
  </si>
  <si>
    <t>Chemical feedstock</t>
  </si>
  <si>
    <t>DMD_RAP</t>
  </si>
  <si>
    <t>DMD_CAP</t>
  </si>
  <si>
    <t>Appliances-Com</t>
  </si>
  <si>
    <t>Appliances-Rsd</t>
  </si>
  <si>
    <t>Non-bio Ren</t>
  </si>
  <si>
    <t>ELCCOA</t>
  </si>
  <si>
    <t>ELCCOB</t>
  </si>
  <si>
    <t>ELCGEO</t>
  </si>
  <si>
    <t>ELCNGA</t>
  </si>
  <si>
    <t>ELCNUC</t>
  </si>
  <si>
    <t>ELCOIL</t>
  </si>
  <si>
    <t>ELCOIL_CRD</t>
  </si>
  <si>
    <t>ELCOIL_DST</t>
  </si>
  <si>
    <t>ELCTDL</t>
  </si>
  <si>
    <t>ELCWAS</t>
  </si>
  <si>
    <t>Bio</t>
  </si>
  <si>
    <t>Lignite</t>
  </si>
  <si>
    <t>Crude</t>
  </si>
  <si>
    <t>Diesel</t>
  </si>
  <si>
    <t>Solar</t>
  </si>
  <si>
    <t>Tidal</t>
  </si>
  <si>
    <t>ELCBSL,ELCBIO</t>
  </si>
  <si>
    <t>-CO2Captured*</t>
  </si>
  <si>
    <t>CO2Captured*</t>
  </si>
  <si>
    <t>E_Thermal</t>
  </si>
  <si>
    <t>E_Thermal-S</t>
  </si>
  <si>
    <t>Thermal CCS</t>
  </si>
  <si>
    <t>E_Renewable</t>
  </si>
  <si>
    <t>Ren Elec</t>
  </si>
  <si>
    <t>aggregated set for Sankey</t>
  </si>
  <si>
    <t>t_pos_andor_forsets</t>
  </si>
  <si>
    <t>t_pos_andor</t>
  </si>
  <si>
    <t>t_neg_andor_forsets</t>
  </si>
  <si>
    <t>t_neg_andor</t>
  </si>
  <si>
    <t>pset_set</t>
  </si>
  <si>
    <t>pset_pn</t>
  </si>
  <si>
    <t>pset_pd</t>
  </si>
  <si>
    <t>pset_co</t>
  </si>
  <si>
    <t>pset_ci</t>
  </si>
  <si>
    <t>FossilProc</t>
  </si>
  <si>
    <t>Fossil processing</t>
  </si>
  <si>
    <t>IndProc</t>
  </si>
  <si>
    <t>Blastfurnace and Coke ovens</t>
  </si>
  <si>
    <t>SUP_*BLAST*,SUP_*COKE*</t>
  </si>
  <si>
    <t>BioRef</t>
  </si>
  <si>
    <t>Bio Refinery</t>
  </si>
  <si>
    <t>DMD,PRE</t>
  </si>
  <si>
    <t>DMD_COM</t>
  </si>
  <si>
    <t>PRE,DMD</t>
  </si>
  <si>
    <t>ONO*,-IND*</t>
  </si>
  <si>
    <t>DMD_IND</t>
  </si>
  <si>
    <t>R*,-refine*</t>
  </si>
  <si>
    <t>DMD_RES</t>
  </si>
  <si>
    <t>Trd_endo</t>
  </si>
  <si>
    <t>Endogenous trade</t>
  </si>
  <si>
    <t>*market*,TB[_]*,TU[_]*,-TU_Sup-Dem*</t>
  </si>
  <si>
    <t>DMD_AUTOP</t>
  </si>
  <si>
    <t>Autoproduction</t>
  </si>
  <si>
    <t>IND*</t>
  </si>
  <si>
    <t>NatGrdExt</t>
  </si>
  <si>
    <t>Nat Grid Extension</t>
  </si>
  <si>
    <t>NatGrdExt*</t>
  </si>
  <si>
    <t>ELCCurt,ELCi</t>
  </si>
  <si>
    <t>*ELC,ELCC,ELCD</t>
  </si>
  <si>
    <t>ALLELCi</t>
  </si>
  <si>
    <t>WIN,*WIN</t>
  </si>
  <si>
    <t>ALLSOL</t>
  </si>
  <si>
    <t>ALLWIN</t>
  </si>
  <si>
    <t>ALLHYD</t>
  </si>
  <si>
    <t>ALLGEO</t>
  </si>
  <si>
    <t>*GEO*</t>
  </si>
  <si>
    <t>HYD,*HYD,TID,*TID</t>
  </si>
  <si>
    <t>HET,*HET</t>
  </si>
  <si>
    <t>Geotherm</t>
  </si>
  <si>
    <t>Int. Elec</t>
  </si>
  <si>
    <t>H2_Thermal</t>
  </si>
  <si>
    <t>H2_Elec</t>
  </si>
  <si>
    <t>H2 Thermal</t>
  </si>
  <si>
    <t>H2 Elec</t>
  </si>
  <si>
    <t>HH2</t>
  </si>
  <si>
    <t>*COA*,*GAS*</t>
  </si>
  <si>
    <t>Grid Elec</t>
  </si>
  <si>
    <t>Thermal Power</t>
  </si>
  <si>
    <t>aggregated set for Sankey (includes HPL and autoproduction)</t>
  </si>
  <si>
    <t>DUMIMP</t>
  </si>
  <si>
    <t>Dummy imports</t>
  </si>
  <si>
    <t>ELE,IRE</t>
  </si>
  <si>
    <t>EN_RETargdum*,IMP*Z</t>
  </si>
  <si>
    <t>COA*,???COA,*COB,*COAg,*COP,-BIO*,-*PTC*,-*OVC,-*TAR</t>
  </si>
  <si>
    <t>*OVC,*TAR,*BFG</t>
  </si>
  <si>
    <t>ALLCOALInd</t>
  </si>
  <si>
    <t>Coal Ind.</t>
  </si>
  <si>
    <t>ALLOILCrd</t>
  </si>
  <si>
    <t>ALLOILprd</t>
  </si>
  <si>
    <t>Oil crude</t>
  </si>
  <si>
    <t>Oil prod.</t>
  </si>
  <si>
    <t>SUP_TREF*</t>
  </si>
  <si>
    <t>ICH_feed*,NEU</t>
  </si>
  <si>
    <t>DMD_Non-En</t>
  </si>
  <si>
    <t>Non-Energy</t>
  </si>
  <si>
    <t>T*,-TRA*</t>
  </si>
  <si>
    <t>Trd[_]*</t>
  </si>
  <si>
    <t>DMD_TRA-NR</t>
  </si>
  <si>
    <t>DMD_TRA-R</t>
  </si>
  <si>
    <t>Tra Non-Road</t>
  </si>
  <si>
    <t>Tra Road</t>
  </si>
  <si>
    <t>NRG,-allbio,-allbiof,-allcoal,-alloilcrd,-alloilprd,-allelc,-allgas,-allheat,-allh2,-allnuc,-allelci,-allsol,-allwin,-allhyd,-allgeo,-allcoalind</t>
  </si>
  <si>
    <t>-Trd[_]*</t>
  </si>
  <si>
    <t>-ICH_feed*</t>
  </si>
  <si>
    <t>E_Gas-CC</t>
  </si>
  <si>
    <t>Gas CC</t>
  </si>
  <si>
    <t>*CC*,*CHP</t>
  </si>
  <si>
    <t>E_Gas-CT</t>
  </si>
  <si>
    <t>Gas CT</t>
  </si>
  <si>
    <t>E_Gas-ST</t>
  </si>
  <si>
    <t>Gas ST</t>
  </si>
  <si>
    <t>*ST*</t>
  </si>
  <si>
    <t>???NGA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</si>
  <si>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</si>
  <si>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</si>
  <si>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</si>
  <si>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</si>
  <si>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</si>
  <si>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</si>
  <si>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</si>
  <si>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</si>
  <si>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</si>
  <si>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</si>
  <si>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</si>
  <si>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</si>
  <si>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</si>
  <si>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</si>
  <si>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</si>
  <si>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</si>
  <si>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</si>
  <si>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</si>
  <si>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</si>
  <si>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</si>
  <si>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</si>
  <si>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</si>
  <si>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</si>
  <si>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</si>
  <si>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</si>
  <si>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</si>
  <si>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</si>
  <si>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</si>
  <si>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</si>
  <si>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</si>
  <si>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</si>
  <si>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</si>
  <si>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</si>
  <si>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</si>
  <si>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Costa Rica</t>
  </si>
  <si>
    <t>Ivory Coast</t>
  </si>
  <si>
    <t>Croatia</t>
  </si>
  <si>
    <t>Cuba</t>
  </si>
  <si>
    <t>Cyprus</t>
  </si>
  <si>
    <t>Czech Republic</t>
  </si>
  <si>
    <t>Dem. People^s Rep. Korea</t>
  </si>
  <si>
    <t>Democratic Republic of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</si>
  <si>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</si>
  <si>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</si>
  <si>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</si>
  <si>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</si>
  <si>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</si>
  <si>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</si>
  <si>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</si>
  <si>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</si>
  <si>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</si>
  <si>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</si>
  <si>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</si>
  <si>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Finland</t>
  </si>
  <si>
    <t>France</t>
  </si>
  <si>
    <t>French Guiana</t>
  </si>
  <si>
    <t>Gabon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</si>
  <si>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</si>
  <si>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</si>
  <si>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</si>
  <si>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</si>
  <si>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</si>
  <si>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</si>
  <si>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</si>
  <si>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</si>
  <si>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</si>
  <si>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</si>
  <si>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</si>
  <si>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</si>
  <si>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</si>
  <si>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</si>
  <si>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</si>
  <si>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</si>
  <si>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</si>
  <si>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</si>
  <si>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</si>
  <si>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</si>
  <si>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</si>
  <si>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</si>
  <si>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</si>
  <si>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</si>
  <si>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</si>
  <si>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</si>
  <si>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</si>
  <si>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South Korea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</si>
  <si>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</si>
  <si>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</si>
  <si>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</si>
  <si>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</si>
  <si>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</si>
  <si>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</si>
  <si>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</si>
  <si>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</si>
  <si>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</si>
  <si>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</si>
  <si>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</si>
  <si>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</si>
  <si>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</si>
  <si>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</si>
  <si>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Mali</t>
  </si>
  <si>
    <t>Malta</t>
  </si>
  <si>
    <t>Mauritania</t>
  </si>
  <si>
    <t>Mexico</t>
  </si>
  <si>
    <t>Moldova</t>
  </si>
  <si>
    <t>Mongolia</t>
  </si>
  <si>
    <t>Montenegro</t>
  </si>
  <si>
    <t>Morocco</t>
  </si>
  <si>
    <t>Mozambique</t>
  </si>
  <si>
    <t>Myanmar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</si>
  <si>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</si>
  <si>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</si>
  <si>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</si>
  <si>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</si>
  <si>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</si>
  <si>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</si>
  <si>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</si>
  <si>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</si>
  <si>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</si>
  <si>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</si>
  <si>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</si>
  <si>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</si>
  <si>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</si>
  <si>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</si>
  <si>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</si>
  <si>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</si>
  <si>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</si>
  <si>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</si>
  <si>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</si>
  <si>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</si>
  <si>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Congo</t>
  </si>
  <si>
    <t>Romania</t>
  </si>
  <si>
    <t>Russia</t>
  </si>
  <si>
    <t>Rwanda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</si>
  <si>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</si>
  <si>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</si>
  <si>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</si>
  <si>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</si>
  <si>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</si>
  <si>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</si>
  <si>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</si>
  <si>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</si>
  <si>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</si>
  <si>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</si>
  <si>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</si>
  <si>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</si>
  <si>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</si>
  <si>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</si>
  <si>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</si>
  <si>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</si>
  <si>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</si>
  <si>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</si>
  <si>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</si>
  <si>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</si>
  <si>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</si>
  <si>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</si>
  <si>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</si>
  <si>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</si>
  <si>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</si>
  <si>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</si>
  <si>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</si>
  <si>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</si>
  <si>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</si>
  <si>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</si>
  <si>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</si>
  <si>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</si>
  <si>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</si>
  <si>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</si>
  <si>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</si>
  <si>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</si>
  <si>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</si>
  <si>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</si>
  <si>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</si>
  <si>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</si>
  <si>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</si>
  <si>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</si>
  <si>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</si>
  <si>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</si>
  <si>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</si>
  <si>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</si>
  <si>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IMP*,-IMP*Z</t>
  </si>
  <si>
    <t>s_Imports</t>
  </si>
  <si>
    <t>Imports exogenous</t>
  </si>
  <si>
    <t>s_Mining</t>
  </si>
  <si>
    <t>Mining</t>
  </si>
  <si>
    <t>s_Trade</t>
  </si>
  <si>
    <t>Trade endogenous</t>
  </si>
  <si>
    <t>ELC,HET</t>
  </si>
  <si>
    <t>s_Utility</t>
  </si>
  <si>
    <t>Power - utility</t>
  </si>
  <si>
    <t>s_Autoprod</t>
  </si>
  <si>
    <t>s_Energy</t>
  </si>
  <si>
    <t>Energy</t>
  </si>
  <si>
    <t>s_Industry</t>
  </si>
  <si>
    <t>s_Transport</t>
  </si>
  <si>
    <t>COM*</t>
  </si>
  <si>
    <t>s_Commercial</t>
  </si>
  <si>
    <t>s_Residential</t>
  </si>
  <si>
    <t>RES*</t>
  </si>
  <si>
    <t>s_Agriculture</t>
  </si>
  <si>
    <t>AGR*</t>
  </si>
  <si>
    <t>s_Hydrogen</t>
  </si>
  <si>
    <t>-IRE</t>
  </si>
  <si>
    <t>s_Industry_NE</t>
  </si>
  <si>
    <t>Industry non-energy</t>
  </si>
  <si>
    <t>s_Transport_NE</t>
  </si>
  <si>
    <t>Transport non-energy</t>
  </si>
  <si>
    <t>NEU*</t>
  </si>
  <si>
    <t>s_NatSinks</t>
  </si>
  <si>
    <t>Natural Sinks</t>
  </si>
  <si>
    <t>Snk[_]*</t>
  </si>
  <si>
    <t>*CO2*</t>
  </si>
  <si>
    <t>s_CO2Storage</t>
  </si>
  <si>
    <t>CO2Storage</t>
  </si>
  <si>
    <t>Sto-*</t>
  </si>
  <si>
    <t>ELE,CHP,HPL,-STG</t>
  </si>
  <si>
    <t>s_Storage</t>
  </si>
  <si>
    <t>Storage</t>
  </si>
  <si>
    <t>STG</t>
  </si>
  <si>
    <t>s_NatGrids</t>
  </si>
  <si>
    <t>Nat Grid (RE)</t>
  </si>
  <si>
    <t>s_DAC</t>
  </si>
  <si>
    <t>Direct Air Cap</t>
  </si>
  <si>
    <t>CO2_DAC</t>
  </si>
  <si>
    <t>I*feedst*</t>
  </si>
  <si>
    <t>mis_*</t>
  </si>
  <si>
    <t>DMD_IIS</t>
  </si>
  <si>
    <t>Avoided Forest Conv</t>
  </si>
  <si>
    <t>Snk_Avo_For</t>
  </si>
  <si>
    <t xml:space="preserve">Reforestation </t>
  </si>
  <si>
    <t>Snk_Ref_-_T</t>
  </si>
  <si>
    <t>Nat Forest Mgmt</t>
  </si>
  <si>
    <t>Snk_Nat_For</t>
  </si>
  <si>
    <t xml:space="preserve">Biochar </t>
  </si>
  <si>
    <t>Snk_Bio_-_T</t>
  </si>
  <si>
    <t>Crplnd Nutrient Mgmt</t>
  </si>
  <si>
    <t>Snk_Cro_Nut</t>
  </si>
  <si>
    <t xml:space="preserve">Trees in Cropland </t>
  </si>
  <si>
    <t>Snk_Tre_In_</t>
  </si>
  <si>
    <t>Avoided Peatland</t>
  </si>
  <si>
    <t>Snk_Avo_Pet</t>
  </si>
  <si>
    <t>Cstal Wetland Rstrn</t>
  </si>
  <si>
    <t>Snk_Coa_Wet</t>
  </si>
  <si>
    <t xml:space="preserve">Peatland Restoration </t>
  </si>
  <si>
    <t>Snk_Pet_Res</t>
  </si>
  <si>
    <t>H2_Bio</t>
  </si>
  <si>
    <t>H2 Bio</t>
  </si>
  <si>
    <t>*BIO*,-*COA*,-*GAS*</t>
  </si>
  <si>
    <t>-*BIO*,-*COA*,-*GAS*</t>
  </si>
  <si>
    <t>TRA*,TRDELC</t>
  </si>
  <si>
    <t>*SOL*,*WIN*,*TID*,*GEO*,*HYD*,*WAV*,*TDL,*REN,*SPV*,*STH*</t>
  </si>
  <si>
    <t>SOL,*SOL,INDREN,*SPV*,*STH*</t>
  </si>
  <si>
    <t>ELCSOL,*SPV*,*STH*</t>
  </si>
  <si>
    <t>s_LNGterm</t>
  </si>
  <si>
    <t>LNG Terminals</t>
  </si>
  <si>
    <t>LNG[_]*</t>
  </si>
  <si>
    <t>SUP_T*,SUP_Pipe*,-SUP_*BLAST*,-SUP_*COKE*</t>
  </si>
  <si>
    <t>OILCRD,OILFEE,OILNCR,OILNGL,*OIL*CRD,OIL[_]*</t>
  </si>
  <si>
    <t>country_lev_AFG</t>
  </si>
  <si>
    <t>country_lev_AGO</t>
  </si>
  <si>
    <t>country_lev_ALB</t>
  </si>
  <si>
    <t>country_lev_ARE</t>
  </si>
  <si>
    <t>country_lev_ARG</t>
  </si>
  <si>
    <t>country_lev_ARM</t>
  </si>
  <si>
    <t>country_lev_ATG</t>
  </si>
  <si>
    <t>country_lev_AUS</t>
  </si>
  <si>
    <t>country_lev_AUT</t>
  </si>
  <si>
    <t>country_lev_AZE</t>
  </si>
  <si>
    <t>country_lev_BDI</t>
  </si>
  <si>
    <t>country_lev_BEL</t>
  </si>
  <si>
    <t>country_lev_BEN</t>
  </si>
  <si>
    <t>country_lev_BFA</t>
  </si>
  <si>
    <t>country_lev_BGD</t>
  </si>
  <si>
    <t>country_lev_BGR</t>
  </si>
  <si>
    <t>country_lev_BHR</t>
  </si>
  <si>
    <t>country_lev_BHS</t>
  </si>
  <si>
    <t>country_lev_BIH</t>
  </si>
  <si>
    <t>country_lev_BLR</t>
  </si>
  <si>
    <t>country_lev_BLZ</t>
  </si>
  <si>
    <t>country_lev_BOL</t>
  </si>
  <si>
    <t>country_lev_BRA</t>
  </si>
  <si>
    <t>country_lev_BRB</t>
  </si>
  <si>
    <t>country_lev_BRN</t>
  </si>
  <si>
    <t>country_lev_BTN</t>
  </si>
  <si>
    <t>country_lev_BWA</t>
  </si>
  <si>
    <t>country_lev_CAF</t>
  </si>
  <si>
    <t>country_lev_CAN</t>
  </si>
  <si>
    <t>country_lev_CHE</t>
  </si>
  <si>
    <t>country_lev_CHL</t>
  </si>
  <si>
    <t>country_lev_CHN</t>
  </si>
  <si>
    <t>country_lev_CIV</t>
  </si>
  <si>
    <t>country_lev_CMR</t>
  </si>
  <si>
    <t>country_lev_COD</t>
  </si>
  <si>
    <t>country_lev_COG</t>
  </si>
  <si>
    <t>country_lev_COL</t>
  </si>
  <si>
    <t>country_lev_CRI</t>
  </si>
  <si>
    <t>country_lev_CUB</t>
  </si>
  <si>
    <t>country_lev_CYP</t>
  </si>
  <si>
    <t>country_lev_CZE</t>
  </si>
  <si>
    <t>country_lev_DEU</t>
  </si>
  <si>
    <t>country_lev_DJI</t>
  </si>
  <si>
    <t>country_lev_DNK</t>
  </si>
  <si>
    <t>country_lev_DOM</t>
  </si>
  <si>
    <t>country_lev_DZA</t>
  </si>
  <si>
    <t>country_lev_ECU</t>
  </si>
  <si>
    <t>country_lev_EGY</t>
  </si>
  <si>
    <t>country_lev_ERI</t>
  </si>
  <si>
    <t>country_lev_ESH</t>
  </si>
  <si>
    <t>Western Sahara</t>
  </si>
  <si>
    <t>country_lev_ESP</t>
  </si>
  <si>
    <t>country_lev_EST</t>
  </si>
  <si>
    <t>country_lev_ETH</t>
  </si>
  <si>
    <t>country_lev_FIN</t>
  </si>
  <si>
    <t>country_lev_FLK</t>
  </si>
  <si>
    <t>Falkland Islands</t>
  </si>
  <si>
    <t>country_lev_FRA</t>
  </si>
  <si>
    <t>country_lev_FRO</t>
  </si>
  <si>
    <t>country_lev_GAB</t>
  </si>
  <si>
    <t>country_lev_GBR</t>
  </si>
  <si>
    <t>country_lev_GEO</t>
  </si>
  <si>
    <t>country_lev_GHA</t>
  </si>
  <si>
    <t>country_lev_GIN</t>
  </si>
  <si>
    <t>country_lev_GMB</t>
  </si>
  <si>
    <t>country_lev_GNB</t>
  </si>
  <si>
    <t>country_lev_GNQ</t>
  </si>
  <si>
    <t>country_lev_GRC</t>
  </si>
  <si>
    <t>country_lev_GRD</t>
  </si>
  <si>
    <t>country_lev_GRL</t>
  </si>
  <si>
    <t>country_lev_GTM</t>
  </si>
  <si>
    <t>country_lev_GUF</t>
  </si>
  <si>
    <t>country_lev_GUY</t>
  </si>
  <si>
    <t>country_lev_HND</t>
  </si>
  <si>
    <t>country_lev_HRV</t>
  </si>
  <si>
    <t>country_lev_HTI</t>
  </si>
  <si>
    <t>country_lev_HUN</t>
  </si>
  <si>
    <t>country_lev_IDN</t>
  </si>
  <si>
    <t>country_lev_IMN</t>
  </si>
  <si>
    <t>country_lev_IND</t>
  </si>
  <si>
    <t>country_lev_IRL</t>
  </si>
  <si>
    <t>country_lev_IRN</t>
  </si>
  <si>
    <t>country_lev_IRQ</t>
  </si>
  <si>
    <t>country_lev_ISL</t>
  </si>
  <si>
    <t>country_lev_ISR</t>
  </si>
  <si>
    <t>country_lev_ITA</t>
  </si>
  <si>
    <t>country_lev_JAM</t>
  </si>
  <si>
    <t>country_lev_JOR</t>
  </si>
  <si>
    <t>country_lev_JPN</t>
  </si>
  <si>
    <t>country_lev_KAZ</t>
  </si>
  <si>
    <t>country_lev_KEN</t>
  </si>
  <si>
    <t>country_lev_KGZ</t>
  </si>
  <si>
    <t>country_lev_KHM</t>
  </si>
  <si>
    <t>country_lev_KOR</t>
  </si>
  <si>
    <t>country_lev_KWT</t>
  </si>
  <si>
    <t>country_lev_LAO</t>
  </si>
  <si>
    <t>country_lev_LBN</t>
  </si>
  <si>
    <t>country_lev_LBR</t>
  </si>
  <si>
    <t>country_lev_LBY</t>
  </si>
  <si>
    <t>country_lev_LKA</t>
  </si>
  <si>
    <t>country_lev_LSO</t>
  </si>
  <si>
    <t>country_lev_LTU</t>
  </si>
  <si>
    <t>country_lev_LUX</t>
  </si>
  <si>
    <t>country_lev_LVA</t>
  </si>
  <si>
    <t>country_lev_MAR</t>
  </si>
  <si>
    <t>country_lev_MDA</t>
  </si>
  <si>
    <t>country_lev_MDG</t>
  </si>
  <si>
    <t>country_lev_MEX</t>
  </si>
  <si>
    <t>country_lev_MKD</t>
  </si>
  <si>
    <t>country_lev_MLI</t>
  </si>
  <si>
    <t>country_lev_MLT</t>
  </si>
  <si>
    <t>country_lev_MMR</t>
  </si>
  <si>
    <t>country_lev_MNE</t>
  </si>
  <si>
    <t>country_lev_MNG</t>
  </si>
  <si>
    <t>country_lev_MOZ</t>
  </si>
  <si>
    <t>country_lev_MRT</t>
  </si>
  <si>
    <t>country_lev_MTQ</t>
  </si>
  <si>
    <t>MARTINIQUE</t>
  </si>
  <si>
    <t>country_lev_MWI</t>
  </si>
  <si>
    <t>country_lev_MYS</t>
  </si>
  <si>
    <t>country_lev_NAM</t>
  </si>
  <si>
    <t>Namibia</t>
  </si>
  <si>
    <t>country_lev_NCL</t>
  </si>
  <si>
    <t>country_lev_NER</t>
  </si>
  <si>
    <t>country_lev_NGA</t>
  </si>
  <si>
    <t>country_lev_NIC</t>
  </si>
  <si>
    <t>country_lev_NLD</t>
  </si>
  <si>
    <t>country_lev_NOR</t>
  </si>
  <si>
    <t>country_lev_NPL</t>
  </si>
  <si>
    <t>country_lev_NZL</t>
  </si>
  <si>
    <t>country_lev_OMN</t>
  </si>
  <si>
    <t>country_lev_PAK</t>
  </si>
  <si>
    <t>country_lev_PAN</t>
  </si>
  <si>
    <t>country_lev_PER</t>
  </si>
  <si>
    <t>country_lev_PHL</t>
  </si>
  <si>
    <t>country_lev_PLW</t>
  </si>
  <si>
    <t>country_lev_PNG</t>
  </si>
  <si>
    <t>country_lev_POL</t>
  </si>
  <si>
    <t>country_lev_PRK</t>
  </si>
  <si>
    <t>country_lev_PRT</t>
  </si>
  <si>
    <t>country_lev_PRY</t>
  </si>
  <si>
    <t>country_lev_PSE</t>
  </si>
  <si>
    <t>country_lev_QAT</t>
  </si>
  <si>
    <t>country_lev_ROU</t>
  </si>
  <si>
    <t>country_lev_RUS</t>
  </si>
  <si>
    <t>country_lev_RWA</t>
  </si>
  <si>
    <t>country_lev_SAU</t>
  </si>
  <si>
    <t>country_lev_SDN</t>
  </si>
  <si>
    <t>country_lev_SEN</t>
  </si>
  <si>
    <t>country_lev_SGP</t>
  </si>
  <si>
    <t>country_lev_SLE</t>
  </si>
  <si>
    <t>country_lev_SLV</t>
  </si>
  <si>
    <t>country_lev_SOM</t>
  </si>
  <si>
    <t>country_lev_SPM</t>
  </si>
  <si>
    <t>St. Pierre &amp; Miquelon</t>
  </si>
  <si>
    <t>country_lev_SRB</t>
  </si>
  <si>
    <t>country_lev_SSD</t>
  </si>
  <si>
    <t>country_lev_STP</t>
  </si>
  <si>
    <t>country_lev_SUR</t>
  </si>
  <si>
    <t>country_lev_SVK</t>
  </si>
  <si>
    <t>country_lev_SVN</t>
  </si>
  <si>
    <t>country_lev_SWE</t>
  </si>
  <si>
    <t>country_lev_SWZ</t>
  </si>
  <si>
    <t>country_lev_SYC</t>
  </si>
  <si>
    <t>country_lev_SYR</t>
  </si>
  <si>
    <t>country_lev_TCD</t>
  </si>
  <si>
    <t>country_lev_TGO</t>
  </si>
  <si>
    <t>country_lev_THA</t>
  </si>
  <si>
    <t>country_lev_TJK</t>
  </si>
  <si>
    <t>country_lev_TKM</t>
  </si>
  <si>
    <t>country_lev_TLS</t>
  </si>
  <si>
    <t>country_lev_TON</t>
  </si>
  <si>
    <t>country_lev_TTO</t>
  </si>
  <si>
    <t>country_lev_TUN</t>
  </si>
  <si>
    <t>country_lev_TUR</t>
  </si>
  <si>
    <t>country_lev_TWN</t>
  </si>
  <si>
    <t>country_lev_TZA</t>
  </si>
  <si>
    <t>country_lev_UGA</t>
  </si>
  <si>
    <t>country_lev_UKR</t>
  </si>
  <si>
    <t>country_lev_URY</t>
  </si>
  <si>
    <t>country_lev_USA</t>
  </si>
  <si>
    <t>country_lev_UZB</t>
  </si>
  <si>
    <t>country_lev_VEN</t>
  </si>
  <si>
    <t>country_lev_VNM</t>
  </si>
  <si>
    <t>country_lev_VUT</t>
  </si>
  <si>
    <t>country_lev_YEM</t>
  </si>
  <si>
    <t>country_lev_ZAF</t>
  </si>
  <si>
    <t>country_lev_ZMB</t>
  </si>
  <si>
    <t>country_lev_ZWE</t>
  </si>
  <si>
    <t>OIL*,*OIL,*DST,*GSL,*HFO,*LPG,*JTK,*KER,*RPP,*RFG,-BIO*,-OILCRD,-OILFEE,-OILNCR,-OILNGL,-OIL[_]*</t>
  </si>
  <si>
    <t>*[_]AFG*,*[_]156</t>
  </si>
  <si>
    <t>*[_]AGO*,*[_]016</t>
  </si>
  <si>
    <t>*[_]ALB*,*[_]140</t>
  </si>
  <si>
    <t>*[_]ARE*,*[_]036</t>
  </si>
  <si>
    <t>*[_]ARG*,*[_]027</t>
  </si>
  <si>
    <t>*[_]ARM*,*[_]147</t>
  </si>
  <si>
    <t>*[_]ATG*,*[_]211</t>
  </si>
  <si>
    <t>*[_]AUS*,*[_]022</t>
  </si>
  <si>
    <t>*[_]AUT*,*[_]059</t>
  </si>
  <si>
    <t>*[_]AZE*,*[_]109</t>
  </si>
  <si>
    <t>*[_]BDI*,*[_]041</t>
  </si>
  <si>
    <t>*[_]BEL*,*[_]053</t>
  </si>
  <si>
    <t>*[_]BEN*,*[_]029</t>
  </si>
  <si>
    <t>*[_]BFA*,*[_]040</t>
  </si>
  <si>
    <t>*[_]BGD*,*[_]021</t>
  </si>
  <si>
    <t>*[_]BGR*,*[_]092</t>
  </si>
  <si>
    <t>*[_]BHR*,*[_]117</t>
  </si>
  <si>
    <t>*[_]BHS*,*[_]179</t>
  </si>
  <si>
    <t>*[_]BIH*,*[_]129</t>
  </si>
  <si>
    <t>*[_]BLR*,*[_]077</t>
  </si>
  <si>
    <t>*[_]BLZ*,*[_]182</t>
  </si>
  <si>
    <t>*[_]BOL*,*[_]086</t>
  </si>
  <si>
    <t>*[_]BRA*,*[_]006</t>
  </si>
  <si>
    <t>*[_]BRB*,*[_]181</t>
  </si>
  <si>
    <t>*[_]BRN*,*[_]152</t>
  </si>
  <si>
    <t>*[_]BTN*,*[_]165</t>
  </si>
  <si>
    <t>*[_]BWA*,*[_]034</t>
  </si>
  <si>
    <t>*[_]CAF*,*[_]050</t>
  </si>
  <si>
    <t>*[_]CAN*,*[_]020</t>
  </si>
  <si>
    <t>*[_]CHE*,*[_]057</t>
  </si>
  <si>
    <t>*[_]CHL*,*[_]044</t>
  </si>
  <si>
    <t>*[_]CHN*,*[_]002</t>
  </si>
  <si>
    <t>*[_]CIV*,*[_]096</t>
  </si>
  <si>
    <t>*[_]CMR*,*[_]042</t>
  </si>
  <si>
    <t>*[_]COD*,*[_]060</t>
  </si>
  <si>
    <t>*[_]COG*,*[_]141</t>
  </si>
  <si>
    <t>*[_]COL*,*[_]031</t>
  </si>
  <si>
    <t>*[_]CRI*,*[_]102</t>
  </si>
  <si>
    <t>*[_]CUB*,*[_]104</t>
  </si>
  <si>
    <t>*[_]CYP*,*[_]151</t>
  </si>
  <si>
    <t>*[_]CZE*,*[_]051</t>
  </si>
  <si>
    <t>*[_]DEU*,*[_]011</t>
  </si>
  <si>
    <t>*[_]DJI*,*[_]067</t>
  </si>
  <si>
    <t>*[_]DNK*,*[_]082</t>
  </si>
  <si>
    <t>*[_]DOM*,*[_]083</t>
  </si>
  <si>
    <t>*[_]DZA*,*[_]009</t>
  </si>
  <si>
    <t>*[_]ECU*,*[_]066</t>
  </si>
  <si>
    <t>*[_]EGY*,*[_]068</t>
  </si>
  <si>
    <t>*[_]ERI*,*[_]075</t>
  </si>
  <si>
    <t>*[_]ESH*,*[_]321</t>
  </si>
  <si>
    <t>*[_]ESP*,*[_]025</t>
  </si>
  <si>
    <t>*[_]EST*,*[_]142</t>
  </si>
  <si>
    <t>*[_]ETH*,*[_]076</t>
  </si>
  <si>
    <t>*[_]FIN*,*[_]081</t>
  </si>
  <si>
    <t>*[_]FLK*,*[_]219</t>
  </si>
  <si>
    <t>*[_]FRA*,*[_]013</t>
  </si>
  <si>
    <t>*[_]FRO*,*[_]220</t>
  </si>
  <si>
    <t>*[_]GAB*,*[_]084</t>
  </si>
  <si>
    <t>*[_]GBR*,*[_]012</t>
  </si>
  <si>
    <t>*[_]GEO*,*[_]128</t>
  </si>
  <si>
    <t>*[_]GHA*,*[_]085</t>
  </si>
  <si>
    <t>*[_]GIN*,*[_]070</t>
  </si>
  <si>
    <t>*[_]GMB*,*[_]148</t>
  </si>
  <si>
    <t>*[_]GNB*,*[_]087</t>
  </si>
  <si>
    <t>*[_]GNQ*,*[_]071</t>
  </si>
  <si>
    <t>*[_]GRC*,*[_]062</t>
  </si>
  <si>
    <t>*[_]GRD*,*[_]282</t>
  </si>
  <si>
    <t>*[_]GRL*,*[_]225</t>
  </si>
  <si>
    <t>*[_]GTM*,*[_]072</t>
  </si>
  <si>
    <t>*[_]GUF*,*[_]222</t>
  </si>
  <si>
    <t>*[_]GUY*,*[_]180</t>
  </si>
  <si>
    <t>*[_]HND*,*[_]108</t>
  </si>
  <si>
    <t>*[_]HRV*,*[_]118</t>
  </si>
  <si>
    <t>*[_]HTI*,*[_]116</t>
  </si>
  <si>
    <t>*[_]HUN*,*[_]080</t>
  </si>
  <si>
    <t>*[_]IDN*,*[_]005</t>
  </si>
  <si>
    <t>*[_]IMN*,*[_]237</t>
  </si>
  <si>
    <t>*[_]IND*,*[_]003</t>
  </si>
  <si>
    <t>*[_]IRL*,*[_]079</t>
  </si>
  <si>
    <t>*[_]IRN*,*[_]023</t>
  </si>
  <si>
    <t>*[_]IRQ*,*[_]046</t>
  </si>
  <si>
    <t>*[_]ISL*,*[_]155</t>
  </si>
  <si>
    <t>*[_]ISR*,*[_]047</t>
  </si>
  <si>
    <t>*[_]ITA*,*[_]018</t>
  </si>
  <si>
    <t>*[_]JAM*,*[_]150</t>
  </si>
  <si>
    <t>*[_]JOR*,*[_]088</t>
  </si>
  <si>
    <t>*[_]JPN*,*[_]008</t>
  </si>
  <si>
    <t>*[_]KAZ*,*[_]045</t>
  </si>
  <si>
    <t>*[_]KEN*,*[_]098</t>
  </si>
  <si>
    <t>*[_]KGZ*,*[_]131</t>
  </si>
  <si>
    <t>*[_]KHM*,*[_]090</t>
  </si>
  <si>
    <t>*[_]KOR*,*[_]014</t>
  </si>
  <si>
    <t>*[_]KWT*,*[_]063</t>
  </si>
  <si>
    <t>*[_]LAO*,*[_]113</t>
  </si>
  <si>
    <t>*[_]LBN*,*[_]105</t>
  </si>
  <si>
    <t>*[_]LBR*,*[_]099</t>
  </si>
  <si>
    <t>*[_]LBY*,*[_]103</t>
  </si>
  <si>
    <t>*[_]LKA*,*[_]055</t>
  </si>
  <si>
    <t>*[_]LSO*,*[_]095</t>
  </si>
  <si>
    <t>*[_]LTU*,*[_]123</t>
  </si>
  <si>
    <t>*[_]LUX*,*[_]138</t>
  </si>
  <si>
    <t>*[_]LVA*,*[_]134</t>
  </si>
  <si>
    <t>*[_]MAR*,*[_]130</t>
  </si>
  <si>
    <t>*[_]MDA*,*[_]149</t>
  </si>
  <si>
    <t>*[_]MDG*,*[_]100</t>
  </si>
  <si>
    <t>*[_]MEX*,*[_]010</t>
  </si>
  <si>
    <t>*[_]MKD*,*[_]137</t>
  </si>
  <si>
    <t>*[_]MLI*,*[_]110</t>
  </si>
  <si>
    <t>*[_]MLT*,*[_]160</t>
  </si>
  <si>
    <t>*[_]MMR*,*[_]064</t>
  </si>
  <si>
    <t>*[_]MNE*,*[_]164</t>
  </si>
  <si>
    <t>*[_]MNG*,*[_]114</t>
  </si>
  <si>
    <t>*[_]MOZ*,*[_]132</t>
  </si>
  <si>
    <t>*[_]MRT*,*[_]111</t>
  </si>
  <si>
    <t>*[_]MTQ*,*[_]248</t>
  </si>
  <si>
    <t>*[_]MWI*,*[_]106</t>
  </si>
  <si>
    <t>*[_]MYS*,*[_]030</t>
  </si>
  <si>
    <t>*[_]NAM*,*[_]133</t>
  </si>
  <si>
    <t>*[_]NCL*,*[_]166</t>
  </si>
  <si>
    <t>*[_]NER*,*[_]135</t>
  </si>
  <si>
    <t>*[_]NGA*,*[_]136</t>
  </si>
  <si>
    <t>*[_]NIC*,*[_]125</t>
  </si>
  <si>
    <t>*[_]NLD*,*[_]038</t>
  </si>
  <si>
    <t>*[_]NOR*,*[_]065</t>
  </si>
  <si>
    <t>*[_]NPL*,*[_]078</t>
  </si>
  <si>
    <t>*[_]NZL*,*[_]089</t>
  </si>
  <si>
    <t>*[_]OMN*,*[_]093</t>
  </si>
  <si>
    <t>*[_]PAK*,*[_]017</t>
  </si>
  <si>
    <t>*[_]PAN*,*[_]097</t>
  </si>
  <si>
    <t>*[_]PER*,*[_]035</t>
  </si>
  <si>
    <t>*[_]PHL*,*[_]024</t>
  </si>
  <si>
    <t>*[_]PLW*,*[_]176</t>
  </si>
  <si>
    <t>*[_]PNG*,*[_]157</t>
  </si>
  <si>
    <t>*[_]POL*,*[_]032</t>
  </si>
  <si>
    <t>*[_]PRK*,*[_]208</t>
  </si>
  <si>
    <t>*[_]PRT*,*[_]069</t>
  </si>
  <si>
    <t>*[_]PRY*,*[_]101</t>
  </si>
  <si>
    <t>*[_]PSE*,*[_]139</t>
  </si>
  <si>
    <t>*[_]QAT*,*[_]073</t>
  </si>
  <si>
    <t>*[_]ROU*,*[_]287</t>
  </si>
  <si>
    <t>*[_]RUS*,*[_]007</t>
  </si>
  <si>
    <t>*[_]RWA*,*[_]112</t>
  </si>
  <si>
    <t>*[_]SAU*,*[_]026</t>
  </si>
  <si>
    <t>*[_]SDN*,*[_]163</t>
  </si>
  <si>
    <t>*[_]SEN*,*[_]153</t>
  </si>
  <si>
    <t>*[_]SGP*,*[_]061</t>
  </si>
  <si>
    <t>*[_]SLE*,*[_]143</t>
  </si>
  <si>
    <t>*[_]SLV*,*[_]122</t>
  </si>
  <si>
    <t>*[_]SOM*,*[_]145</t>
  </si>
  <si>
    <t>*[_]SPM*,*[_]301</t>
  </si>
  <si>
    <t>*[_]SRB*,*[_]107</t>
  </si>
  <si>
    <t>*[_]SSD*,*[_]159</t>
  </si>
  <si>
    <t>*[_]STP*,*[_]120</t>
  </si>
  <si>
    <t>*[_]SUR*,*[_]162</t>
  </si>
  <si>
    <t>*[_]SVK*,*[_]091</t>
  </si>
  <si>
    <t>*[_]SVN*,*[_]124</t>
  </si>
  <si>
    <t>*[_]SWE*,*[_]049</t>
  </si>
  <si>
    <t>*[_]SWZ*,*[_]146</t>
  </si>
  <si>
    <t>*[_]SYC*,*[_]121</t>
  </si>
  <si>
    <t>*[_]SYR*,*[_]048</t>
  </si>
  <si>
    <t>*[_]TCD*,*[_]052</t>
  </si>
  <si>
    <t>*[_]TGO*,*[_]177</t>
  </si>
  <si>
    <t>*[_]THA*,*[_]019</t>
  </si>
  <si>
    <t>*[_]TJK*,*[_]119</t>
  </si>
  <si>
    <t>*[_]TKM*,*[_]094</t>
  </si>
  <si>
    <t>*[_]TLS*,*[_]306</t>
  </si>
  <si>
    <t>*[_]TON*,*[_]174</t>
  </si>
  <si>
    <t>*[_]TTO*,*[_]144</t>
  </si>
  <si>
    <t>*[_]TUN*,*[_]209</t>
  </si>
  <si>
    <t>*[_]TUR*,*[_]015</t>
  </si>
  <si>
    <t>*[_]TWN*,*[_]033</t>
  </si>
  <si>
    <t>*[_]TZA*,*[_]173</t>
  </si>
  <si>
    <t>*[_]UGA*,*[_]154</t>
  </si>
  <si>
    <t>*[_]UKR*,*[_]037</t>
  </si>
  <si>
    <t>*[_]URY*,*[_]115</t>
  </si>
  <si>
    <t>*[_]USA*,*[_]004</t>
  </si>
  <si>
    <t>*[_]UZB*,*[_]056</t>
  </si>
  <si>
    <t>*[_]VEN*,*[_]039</t>
  </si>
  <si>
    <t>*[_]VNM*,*[_]028</t>
  </si>
  <si>
    <t>*[_]VUT*,*[_]171</t>
  </si>
  <si>
    <t>*[_]YEM*,*[_]074</t>
  </si>
  <si>
    <t>*[_]ZAF*,*[_]158</t>
  </si>
  <si>
    <t>*[_]ZMB*,*[_]290</t>
  </si>
  <si>
    <t>*[_]ZWE*,*[_]297</t>
  </si>
  <si>
    <t>BIODST,BIOGSL,BIOSNG</t>
  </si>
  <si>
    <t>*BIO*,*WOO*,*CROP*,*WAS,*CHARCOAL*,BIOTRAD,*CRP,*BSL,-BIODST,-BIOGSL,-*JTK,-*SNG</t>
  </si>
  <si>
    <t>*BDS,*BGS,BIODST,BIOGSL,BIOJTK,TRABJT</t>
  </si>
  <si>
    <t>ALLBIOFliq</t>
  </si>
  <si>
    <t>???SNG</t>
  </si>
  <si>
    <t>ALLBIOFgas</t>
  </si>
  <si>
    <t>Biofuels liq</t>
  </si>
  <si>
    <t>Biofuels gas</t>
  </si>
  <si>
    <t>E_Bio,E_Coal,E_Gas,E_Lignite,E_Geothermal,E_Nuclear,E_Oil,E_Crude,E_Diesel,E_Waste,HPL</t>
  </si>
  <si>
    <t>-ELC</t>
  </si>
  <si>
    <t>-*HET</t>
  </si>
  <si>
    <t>E_USHP</t>
  </si>
  <si>
    <t>Utility Heat Pump</t>
  </si>
  <si>
    <t>HPL</t>
  </si>
  <si>
    <t>*HET</t>
  </si>
  <si>
    <t>ELC</t>
  </si>
  <si>
    <t>CNG</t>
  </si>
  <si>
    <t>cng</t>
  </si>
  <si>
    <t>dsl</t>
  </si>
  <si>
    <t>Dsl Hybrid</t>
  </si>
  <si>
    <t>dsl-hyb</t>
  </si>
  <si>
    <t>Dsl Plug-in Hyb</t>
  </si>
  <si>
    <t>dsl-pih</t>
  </si>
  <si>
    <t>E85</t>
  </si>
  <si>
    <t>Elec vehicle</t>
  </si>
  <si>
    <t>elc</t>
  </si>
  <si>
    <t>Elec 150</t>
  </si>
  <si>
    <t>elc150</t>
  </si>
  <si>
    <t>Elec 50</t>
  </si>
  <si>
    <t>elc50</t>
  </si>
  <si>
    <t>Elec 500</t>
  </si>
  <si>
    <t>elc500</t>
  </si>
  <si>
    <t>Gasoline</t>
  </si>
  <si>
    <t>gsl</t>
  </si>
  <si>
    <t>Gasoline 150</t>
  </si>
  <si>
    <t>gsl150</t>
  </si>
  <si>
    <t>Gasoline 50</t>
  </si>
  <si>
    <t>gsl50</t>
  </si>
  <si>
    <t>Gasoline 500</t>
  </si>
  <si>
    <t>gsl500</t>
  </si>
  <si>
    <t>Gsl Hybrid</t>
  </si>
  <si>
    <t>gsl-hyb</t>
  </si>
  <si>
    <t>Gsl Plug-in Hyb</t>
  </si>
  <si>
    <t>gsl-pih</t>
  </si>
  <si>
    <t xml:space="preserve">Hydrogen </t>
  </si>
  <si>
    <t>hh2</t>
  </si>
  <si>
    <t>LNG</t>
  </si>
  <si>
    <t>lng</t>
  </si>
  <si>
    <t>LPG</t>
  </si>
  <si>
    <t>lpg</t>
  </si>
  <si>
    <t>MIN*,WB[_]sup*</t>
  </si>
  <si>
    <t>H2_Exp_LH2</t>
  </si>
  <si>
    <t>H2Conv*liquid</t>
  </si>
  <si>
    <t>H2_Exp_Amm</t>
  </si>
  <si>
    <t>H2Conv*Ammonia</t>
  </si>
  <si>
    <t>H2_Exp_LOHC</t>
  </si>
  <si>
    <t>H2Conv*LOHC</t>
  </si>
  <si>
    <t>H2_Imp_LH2</t>
  </si>
  <si>
    <t>H2ReConv*liquid</t>
  </si>
  <si>
    <t>H2_Imp_Amm</t>
  </si>
  <si>
    <t>H2ReConv*Ammonia</t>
  </si>
  <si>
    <t>H2_Imp_LOHC</t>
  </si>
  <si>
    <t>H2ReConv*LOHC</t>
  </si>
  <si>
    <t>*H2,-LH2</t>
  </si>
  <si>
    <t>*market*,TB[_]*,TU[_]*,-*sup-dem*,-*dem-sup*</t>
  </si>
  <si>
    <t>BOF</t>
  </si>
  <si>
    <t>*[_]BOF[_]*,-*rf</t>
  </si>
  <si>
    <t>-New*</t>
  </si>
  <si>
    <t>EAF</t>
  </si>
  <si>
    <t>*[_]EAF[_]*,-*rf</t>
  </si>
  <si>
    <t>BF</t>
  </si>
  <si>
    <t>*[_]BF[_]*,-*rf</t>
  </si>
  <si>
    <t>Gas-DRI</t>
  </si>
  <si>
    <t>*DRI*,-*rf</t>
  </si>
  <si>
    <t>*nga*</t>
  </si>
  <si>
    <t>Coal-DRI</t>
  </si>
  <si>
    <t>*Coal-DRI*,-*rf</t>
  </si>
  <si>
    <t>Trade</t>
  </si>
  <si>
    <t>GlbMarket*</t>
  </si>
  <si>
    <t>Domestic</t>
  </si>
  <si>
    <t>Sup*,Fuel*</t>
  </si>
  <si>
    <t>BAT_BF-BOF</t>
  </si>
  <si>
    <t>*[_]OHF[_]*</t>
  </si>
  <si>
    <t>BAT_BF-BOF_ccs</t>
  </si>
  <si>
    <t>DRI-EAF</t>
  </si>
  <si>
    <t>DRI-EAF_ccs</t>
  </si>
  <si>
    <t>H2-DRI-EAF</t>
  </si>
  <si>
    <t>Smelt_Red-BOF</t>
  </si>
  <si>
    <t>Smelt_Red-BOF_ccs</t>
  </si>
  <si>
    <t>DRI-Melt-BOF</t>
  </si>
  <si>
    <t>DRI-Melt-BOF_ccs</t>
  </si>
  <si>
    <t>H2-DRI-Melt-BOF</t>
  </si>
  <si>
    <t>Gas-DRI_ccs</t>
  </si>
  <si>
    <t>t_H2-DRI</t>
  </si>
  <si>
    <t>H2-DRI</t>
  </si>
  <si>
    <t>*H-DRI*</t>
  </si>
  <si>
    <t>*|H2-DRI|*</t>
  </si>
  <si>
    <t>Melt-BOF</t>
  </si>
  <si>
    <t>BAT_BF-BOF_H2-PCI_ccs</t>
  </si>
  <si>
    <t>kb_HiProb</t>
  </si>
  <si>
    <t>Planned - Highly Probably</t>
  </si>
  <si>
    <t>*-Planned - Highly probable-*</t>
  </si>
  <si>
    <t>kb_Announced</t>
  </si>
  <si>
    <t>Announced</t>
  </si>
  <si>
    <t>*-announced-*</t>
  </si>
  <si>
    <t>kb_Possible</t>
  </si>
  <si>
    <t>Planned - Possible</t>
  </si>
  <si>
    <t>*-Planned - Possible-*</t>
  </si>
  <si>
    <t>kb_Probable</t>
  </si>
  <si>
    <t>Planned - Probable</t>
  </si>
  <si>
    <t>*-Planned - Probable-*</t>
  </si>
  <si>
    <t>steel</t>
  </si>
  <si>
    <t>MAT</t>
  </si>
  <si>
    <t>-*pellet*,-*scrap</t>
  </si>
  <si>
    <t>hotmetal</t>
  </si>
  <si>
    <t>Hot Metal</t>
  </si>
  <si>
    <t>mis_hotmetal*</t>
  </si>
  <si>
    <t>spongeiron</t>
  </si>
  <si>
    <t>Sponge Iron</t>
  </si>
  <si>
    <t>mis_*sponge*</t>
  </si>
  <si>
    <t>ironore</t>
  </si>
  <si>
    <t>Iron Ore</t>
  </si>
  <si>
    <t>mis_iron_ore</t>
  </si>
  <si>
    <t>scrap</t>
  </si>
  <si>
    <t>Scrap</t>
  </si>
  <si>
    <t>mis_scrap</t>
  </si>
  <si>
    <t>crudesteel</t>
  </si>
  <si>
    <t>Crude Steel</t>
  </si>
  <si>
    <t>mis_steel_crude</t>
  </si>
  <si>
    <t>C*,-CCUS*</t>
  </si>
  <si>
    <t>STM</t>
  </si>
  <si>
    <t>Steam</t>
  </si>
  <si>
    <t>PRH</t>
  </si>
  <si>
    <t>Process heat</t>
  </si>
  <si>
    <t>PRC</t>
  </si>
  <si>
    <t>Process Cool</t>
  </si>
  <si>
    <t>MDR</t>
  </si>
  <si>
    <t>Machine drive</t>
  </si>
  <si>
    <t>ECP</t>
  </si>
  <si>
    <t>Electrochemical</t>
  </si>
  <si>
    <t>OTP</t>
  </si>
  <si>
    <t>Other process</t>
  </si>
  <si>
    <t>SPC</t>
  </si>
  <si>
    <t>Space conditioning</t>
  </si>
  <si>
    <t>LIG</t>
  </si>
  <si>
    <t>OTH</t>
  </si>
  <si>
    <t>Proc. heat</t>
  </si>
  <si>
    <t>Proc. Cool</t>
  </si>
  <si>
    <t>Electrochem</t>
  </si>
  <si>
    <t>Mch drive</t>
  </si>
  <si>
    <t>Oth. Proc. Use</t>
  </si>
  <si>
    <t>Space cond.</t>
  </si>
  <si>
    <t>TRA???*,TRDELC</t>
  </si>
  <si>
    <t>*gas tur*,*CT*,*GT*,-*CCGT*</t>
  </si>
  <si>
    <t>Pow2Liq</t>
  </si>
  <si>
    <t>Power to Liquids</t>
  </si>
  <si>
    <t>OIL???s</t>
  </si>
  <si>
    <t>FinCon_OIL</t>
  </si>
  <si>
    <t>Final consumption - OIL</t>
  </si>
  <si>
    <t>FT_*,-FT_ELC*,-FT_SUP*</t>
  </si>
  <si>
    <t>OIL*</t>
  </si>
  <si>
    <t>FinCon_GAS</t>
  </si>
  <si>
    <t>Final consumption - GAS</t>
  </si>
  <si>
    <t>GAS*</t>
  </si>
  <si>
    <t>FinCon_Power-Energy</t>
  </si>
  <si>
    <t>Intermediate consumption - power and energy</t>
  </si>
  <si>
    <t>FT_ELC*,FT_SUP*</t>
  </si>
  <si>
    <t>DMD_TRA_EV</t>
  </si>
  <si>
    <t>Electric Vehicles</t>
  </si>
  <si>
    <t>TRDELC</t>
  </si>
  <si>
    <t>STG_TRA_Batt</t>
  </si>
  <si>
    <t>EV Batteries</t>
  </si>
  <si>
    <t>STG_TRA_Batt-Rep</t>
  </si>
  <si>
    <t>Repurposed EV Batteries</t>
  </si>
  <si>
    <t>Util_rep*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</si>
</sst>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rgb="FF9C6500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0" tint="-0.149810001254082"/>
        <bgColor indexed="64"/>
      </patternFill>
    </fill>
  </fills>
  <borders count="1">
    <border>
      <left/>
      <right/>
      <top/>
      <bottom/>
      <diagonal/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2" borderId="0" applyNumberFormat="0" applyBorder="0" applyAlignment="0" applyProtection="0"/>
    <xf numFmtId="0" fontId="3" fillId="0" borderId="0">
      <alignment/>
      <protection/>
    </xf>
    <xf numFmtId="0" fontId="4" fillId="0" borderId="0">
      <alignment/>
      <protection/>
    </xf>
    <xf numFmtId="0" fontId="2" fillId="0" borderId="0">
      <alignment/>
      <protection/>
    </xf>
  </cellStyleXfs>
  <cellXfs count="4">
    <xf numFmtId="0" fontId="0" fillId="0" borderId="0" xfId="0"/>
    <xf numFmtId="0" fontId="5" fillId="2" borderId="0" xfId="20"/>
    <xf numFmtId="0" fontId="0" fillId="0" borderId="0" xfId="0" quotePrefix="1"/>
    <xf numFmtId="0" fontId="0" fillId="3" borderId="0" xfId="0" applyFill="1"/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eutral 2" xfId="20"/>
    <cellStyle name="Normal 10" xfId="21"/>
    <cellStyle name="Normal 4" xfId="22"/>
    <cellStyle name="Normale_Scen_UC_IND-StrucConst" xf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4" Type="http://schemas.openxmlformats.org/officeDocument/2006/relationships/calcChain" Target="calcChain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comments" Target="../comments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EC8CD2F-6F62-48BD-9CBC-1E4188C441E6}">
  <dimension ref="A1:K38"/>
  <sheetViews>
    <sheetView tabSelected="1" workbookViewId="0" topLeftCell="A1">
      <selection pane="topLeft" activeCell="A19" sqref="A19"/>
    </sheetView>
  </sheetViews>
  <sheetFormatPr defaultRowHeight="14.25"/>
  <cols>
    <col min="2" max="2" width="12" bestFit="1" customWidth="1"/>
    <col min="3" max="3" width="19.5714285714286" bestFit="1" customWidth="1"/>
    <col min="4" max="4" width="12.1428571428571" bestFit="1" customWidth="1"/>
    <col min="5" max="5" width="13.2857142857143" bestFit="1" customWidth="1"/>
    <col min="6" max="6" width="26.8571428571429" bestFit="1" customWidth="1"/>
    <col min="7" max="7" width="8.57142857142857" bestFit="1" customWidth="1"/>
    <col min="8" max="8" width="24.8571428571429" bestFit="1" customWidth="1"/>
    <col min="9" max="9" width="8.14285714285714" bestFit="1" customWidth="1"/>
    <col min="10" max="10" width="7.85714285714286" bestFit="1" customWidth="1"/>
    <col min="11" max="11" width="7.28571428571429" bestFit="1" customWidth="1"/>
  </cols>
  <sheetData>
    <row r="1" spans="1:1" ht="14.25">
      <c r="A1" t="s">
        <v>62</v>
      </c>
    </row>
    <row r="2" spans="1:11" ht="14.25">
      <c r="A2" t="s">
        <v>205</v>
      </c>
      <c r="B2" t="s">
        <v>206</v>
      </c>
      <c r="C2" t="s">
        <v>207</v>
      </c>
      <c r="D2" t="s">
        <v>208</v>
      </c>
      <c r="E2" t="s">
        <v>78</v>
      </c>
      <c r="F2" t="s">
        <v>79</v>
      </c>
      <c r="G2" t="s">
        <v>209</v>
      </c>
      <c r="H2" t="s">
        <v>210</v>
      </c>
      <c r="I2" t="s">
        <v>211</v>
      </c>
      <c r="J2" t="s">
        <v>212</v>
      </c>
      <c r="K2" t="s">
        <v>213</v>
      </c>
    </row>
    <row r="3" spans="1:8" ht="14.25">
      <c r="A3" t="s">
        <v>73</v>
      </c>
      <c r="B3" t="s">
        <v>73</v>
      </c>
      <c r="C3" t="s">
        <v>74</v>
      </c>
      <c r="D3" t="s">
        <v>74</v>
      </c>
      <c r="E3" t="s">
        <v>214</v>
      </c>
      <c r="F3" t="s">
        <v>215</v>
      </c>
      <c r="G3" t="s">
        <v>171</v>
      </c>
      <c r="H3" t="s">
        <v>271</v>
      </c>
    </row>
    <row r="4" spans="1:8" ht="14.25">
      <c r="A4" t="s">
        <v>73</v>
      </c>
      <c r="B4" t="s">
        <v>73</v>
      </c>
      <c r="C4" t="s">
        <v>74</v>
      </c>
      <c r="D4" t="s">
        <v>74</v>
      </c>
      <c r="E4" t="s">
        <v>216</v>
      </c>
      <c r="F4" t="s">
        <v>217</v>
      </c>
      <c r="G4" t="s">
        <v>171</v>
      </c>
      <c r="H4" t="s">
        <v>218</v>
      </c>
    </row>
    <row r="5" spans="1:10" ht="14.25">
      <c r="A5" t="s">
        <v>73</v>
      </c>
      <c r="B5" t="s">
        <v>73</v>
      </c>
      <c r="C5" t="s">
        <v>73</v>
      </c>
      <c r="D5" t="s">
        <v>73</v>
      </c>
      <c r="E5" t="s">
        <v>219</v>
      </c>
      <c r="F5" t="s">
        <v>220</v>
      </c>
      <c r="G5" t="s">
        <v>171</v>
      </c>
      <c r="J5" t="s">
        <v>924</v>
      </c>
    </row>
    <row r="6" spans="1:8" ht="14.25">
      <c r="A6" t="s">
        <v>73</v>
      </c>
      <c r="B6" t="s">
        <v>73</v>
      </c>
      <c r="C6" t="s">
        <v>74</v>
      </c>
      <c r="D6" t="s">
        <v>73</v>
      </c>
      <c r="E6" t="s">
        <v>228</v>
      </c>
      <c r="F6" t="s">
        <v>229</v>
      </c>
      <c r="G6" t="s">
        <v>72</v>
      </c>
      <c r="H6" t="s">
        <v>988</v>
      </c>
    </row>
    <row r="7" spans="1:11" ht="14.25">
      <c r="A7" t="s">
        <v>73</v>
      </c>
      <c r="B7" t="s">
        <v>73</v>
      </c>
      <c r="C7" t="s">
        <v>73</v>
      </c>
      <c r="D7" t="s">
        <v>73</v>
      </c>
      <c r="E7" t="s">
        <v>231</v>
      </c>
      <c r="F7" t="s">
        <v>232</v>
      </c>
      <c r="G7" t="s">
        <v>68</v>
      </c>
      <c r="K7" t="s">
        <v>233</v>
      </c>
    </row>
    <row r="8" spans="1:8" ht="14.25">
      <c r="A8" t="s">
        <v>73</v>
      </c>
      <c r="B8" t="s">
        <v>73</v>
      </c>
      <c r="C8" t="s">
        <v>73</v>
      </c>
      <c r="D8" t="s">
        <v>73</v>
      </c>
      <c r="E8" t="s">
        <v>234</v>
      </c>
      <c r="F8" t="s">
        <v>235</v>
      </c>
      <c r="H8" t="s">
        <v>236</v>
      </c>
    </row>
    <row r="9" spans="5:11" ht="14.25">
      <c r="E9" t="s">
        <v>250</v>
      </c>
      <c r="F9" t="s">
        <v>252</v>
      </c>
      <c r="G9" t="s">
        <v>171</v>
      </c>
      <c r="J9" t="s">
        <v>254</v>
      </c>
      <c r="K9" t="s">
        <v>255</v>
      </c>
    </row>
    <row r="10" spans="5:11" ht="14.25">
      <c r="E10" t="s">
        <v>537</v>
      </c>
      <c r="F10" t="s">
        <v>538</v>
      </c>
      <c r="J10" t="s">
        <v>254</v>
      </c>
      <c r="K10" s="2" t="s">
        <v>539</v>
      </c>
    </row>
    <row r="11" spans="5:11" ht="14.25">
      <c r="E11" t="s">
        <v>251</v>
      </c>
      <c r="F11" t="s">
        <v>253</v>
      </c>
      <c r="G11" t="s">
        <v>171</v>
      </c>
      <c r="J11" t="s">
        <v>254</v>
      </c>
      <c r="K11" s="2" t="s">
        <v>540</v>
      </c>
    </row>
    <row r="12" spans="5:11" ht="14.25">
      <c r="E12" t="s">
        <v>975</v>
      </c>
      <c r="H12" t="s">
        <v>976</v>
      </c>
      <c r="K12" s="2"/>
    </row>
    <row r="13" spans="5:11" ht="14.25">
      <c r="E13" t="s">
        <v>977</v>
      </c>
      <c r="H13" t="s">
        <v>978</v>
      </c>
      <c r="K13" s="2"/>
    </row>
    <row r="14" spans="5:11" ht="14.25">
      <c r="E14" t="s">
        <v>979</v>
      </c>
      <c r="H14" t="s">
        <v>980</v>
      </c>
      <c r="K14" s="2"/>
    </row>
    <row r="15" spans="5:11" ht="14.25">
      <c r="E15" t="s">
        <v>981</v>
      </c>
      <c r="H15" t="s">
        <v>982</v>
      </c>
      <c r="K15" s="2"/>
    </row>
    <row r="16" spans="5:11" ht="14.25">
      <c r="E16" t="s">
        <v>983</v>
      </c>
      <c r="H16" t="s">
        <v>984</v>
      </c>
      <c r="K16" s="2"/>
    </row>
    <row r="17" spans="5:11" ht="14.25">
      <c r="E17" t="s">
        <v>985</v>
      </c>
      <c r="H17" t="s">
        <v>986</v>
      </c>
      <c r="K17" s="2"/>
    </row>
    <row r="18" spans="1:8" ht="14.25">
      <c r="A18" t="s">
        <v>73</v>
      </c>
      <c r="B18" t="s">
        <v>73</v>
      </c>
      <c r="C18" t="s">
        <v>73</v>
      </c>
      <c r="D18" t="s">
        <v>73</v>
      </c>
      <c r="E18" t="s">
        <v>259</v>
      </c>
      <c r="F18" t="s">
        <v>260</v>
      </c>
      <c r="G18" t="s">
        <v>261</v>
      </c>
      <c r="H18" t="s">
        <v>262</v>
      </c>
    </row>
    <row r="19" spans="1:11" ht="14.25">
      <c r="A19" t="s">
        <v>73</v>
      </c>
      <c r="B19" t="s">
        <v>73</v>
      </c>
      <c r="C19" t="s">
        <v>74</v>
      </c>
      <c r="D19" t="s">
        <v>74</v>
      </c>
      <c r="E19" t="s">
        <v>284</v>
      </c>
      <c r="F19" t="s">
        <v>285</v>
      </c>
      <c r="G19" t="s">
        <v>68</v>
      </c>
      <c r="H19" t="s">
        <v>286</v>
      </c>
      <c r="J19" t="s">
        <v>197</v>
      </c>
      <c r="K19" t="s">
        <v>292</v>
      </c>
    </row>
    <row r="20" spans="1:11" ht="14.25">
      <c r="A20" t="s">
        <v>73</v>
      </c>
      <c r="B20" t="s">
        <v>73</v>
      </c>
      <c r="C20" t="s">
        <v>74</v>
      </c>
      <c r="D20" t="s">
        <v>74</v>
      </c>
      <c r="E20" t="s">
        <v>287</v>
      </c>
      <c r="F20" t="s">
        <v>288</v>
      </c>
      <c r="G20" t="s">
        <v>68</v>
      </c>
      <c r="H20" t="s">
        <v>1077</v>
      </c>
      <c r="J20" t="s">
        <v>197</v>
      </c>
      <c r="K20" t="s">
        <v>292</v>
      </c>
    </row>
    <row r="21" spans="1:11" ht="14.25">
      <c r="A21" t="s">
        <v>73</v>
      </c>
      <c r="B21" t="s">
        <v>73</v>
      </c>
      <c r="C21" t="s">
        <v>74</v>
      </c>
      <c r="D21" t="s">
        <v>74</v>
      </c>
      <c r="E21" t="s">
        <v>289</v>
      </c>
      <c r="F21" t="s">
        <v>290</v>
      </c>
      <c r="G21" t="s">
        <v>68</v>
      </c>
      <c r="H21" t="s">
        <v>291</v>
      </c>
      <c r="J21" t="s">
        <v>197</v>
      </c>
      <c r="K21" t="s">
        <v>292</v>
      </c>
    </row>
    <row r="22" spans="5:8" ht="14.25">
      <c r="E22" t="s">
        <v>520</v>
      </c>
      <c r="F22" t="s">
        <v>519</v>
      </c>
      <c r="H22" t="str">
        <f>E22&amp;"*"</f>
        <v>Snk_Avo_For*</v>
      </c>
    </row>
    <row r="23" spans="5:8" ht="14.25">
      <c r="E23" t="s">
        <v>522</v>
      </c>
      <c r="F23" t="s">
        <v>521</v>
      </c>
      <c r="H23" t="str">
        <f t="shared" si="0" ref="H23:H30">E23&amp;"*"</f>
        <v>Snk_Ref_-_T*</v>
      </c>
    </row>
    <row r="24" spans="5:8" ht="14.25">
      <c r="E24" t="s">
        <v>524</v>
      </c>
      <c r="F24" t="s">
        <v>523</v>
      </c>
      <c r="H24" t="str">
        <f t="shared" si="0"/>
        <v>Snk_Nat_For*</v>
      </c>
    </row>
    <row r="25" spans="5:8" ht="14.25">
      <c r="E25" t="s">
        <v>526</v>
      </c>
      <c r="F25" t="s">
        <v>525</v>
      </c>
      <c r="H25" t="str">
        <f t="shared" si="0"/>
        <v>Snk_Bio_-_T*</v>
      </c>
    </row>
    <row r="26" spans="5:8" ht="14.25">
      <c r="E26" t="s">
        <v>528</v>
      </c>
      <c r="F26" t="s">
        <v>527</v>
      </c>
      <c r="H26" t="str">
        <f t="shared" si="0"/>
        <v>Snk_Cro_Nut*</v>
      </c>
    </row>
    <row r="27" spans="5:8" ht="14.25">
      <c r="E27" t="s">
        <v>530</v>
      </c>
      <c r="F27" t="s">
        <v>529</v>
      </c>
      <c r="H27" t="str">
        <f t="shared" si="0"/>
        <v>Snk_Tre_In_*</v>
      </c>
    </row>
    <row r="28" spans="5:8" ht="14.25">
      <c r="E28" t="s">
        <v>532</v>
      </c>
      <c r="F28" t="s">
        <v>531</v>
      </c>
      <c r="H28" t="str">
        <f t="shared" si="0"/>
        <v>Snk_Avo_Pet*</v>
      </c>
    </row>
    <row r="29" spans="5:8" ht="14.25">
      <c r="E29" t="s">
        <v>534</v>
      </c>
      <c r="F29" t="s">
        <v>533</v>
      </c>
      <c r="H29" t="str">
        <f t="shared" si="0"/>
        <v>Snk_Coa_Wet*</v>
      </c>
    </row>
    <row r="30" spans="5:8" ht="14.25">
      <c r="E30" t="s">
        <v>536</v>
      </c>
      <c r="F30" t="s">
        <v>535</v>
      </c>
      <c r="H30" t="str">
        <f t="shared" si="0"/>
        <v>Snk_Pet_Res*</v>
      </c>
    </row>
    <row r="31" spans="1:11" ht="14.25">
      <c r="A31" t="s">
        <v>73</v>
      </c>
      <c r="B31" t="s">
        <v>73</v>
      </c>
      <c r="C31" t="s">
        <v>74</v>
      </c>
      <c r="D31" t="s">
        <v>73</v>
      </c>
      <c r="E31" t="s">
        <v>935</v>
      </c>
      <c r="F31" t="s">
        <v>936</v>
      </c>
      <c r="G31" t="s">
        <v>937</v>
      </c>
      <c r="J31" t="s">
        <v>938</v>
      </c>
      <c r="K31" t="s">
        <v>939</v>
      </c>
    </row>
    <row r="32" spans="1:10" ht="14.25">
      <c r="A32" t="s">
        <v>73</v>
      </c>
      <c r="B32" t="s">
        <v>73</v>
      </c>
      <c r="C32" t="s">
        <v>74</v>
      </c>
      <c r="D32" t="s">
        <v>74</v>
      </c>
      <c r="E32" t="s">
        <v>1078</v>
      </c>
      <c r="F32" t="s">
        <v>1079</v>
      </c>
      <c r="G32" t="s">
        <v>171</v>
      </c>
      <c r="J32" t="s">
        <v>1080</v>
      </c>
    </row>
    <row r="33" spans="1:11" ht="14.25">
      <c r="A33" t="s">
        <v>73</v>
      </c>
      <c r="B33" t="s">
        <v>73</v>
      </c>
      <c r="C33" t="s">
        <v>74</v>
      </c>
      <c r="D33" t="s">
        <v>74</v>
      </c>
      <c r="E33" t="s">
        <v>1081</v>
      </c>
      <c r="F33" t="s">
        <v>1082</v>
      </c>
      <c r="H33" t="s">
        <v>1083</v>
      </c>
      <c r="K33" t="s">
        <v>1084</v>
      </c>
    </row>
    <row r="34" spans="1:11" ht="14.25">
      <c r="A34" t="s">
        <v>73</v>
      </c>
      <c r="B34" t="s">
        <v>73</v>
      </c>
      <c r="C34" t="s">
        <v>74</v>
      </c>
      <c r="D34" t="s">
        <v>74</v>
      </c>
      <c r="E34" t="s">
        <v>1085</v>
      </c>
      <c r="F34" t="s">
        <v>1086</v>
      </c>
      <c r="H34" t="s">
        <v>1083</v>
      </c>
      <c r="K34" t="s">
        <v>1087</v>
      </c>
    </row>
    <row r="35" spans="1:8" ht="14.25">
      <c r="A35" t="s">
        <v>73</v>
      </c>
      <c r="B35" t="s">
        <v>73</v>
      </c>
      <c r="C35" t="s">
        <v>74</v>
      </c>
      <c r="D35" t="s">
        <v>74</v>
      </c>
      <c r="E35" t="s">
        <v>1088</v>
      </c>
      <c r="F35" t="s">
        <v>1089</v>
      </c>
      <c r="H35" t="s">
        <v>1090</v>
      </c>
    </row>
    <row r="36" spans="1:11" ht="14.25">
      <c r="A36" t="s">
        <v>73</v>
      </c>
      <c r="B36" t="s">
        <v>73</v>
      </c>
      <c r="C36" t="s">
        <v>74</v>
      </c>
      <c r="D36" t="s">
        <v>74</v>
      </c>
      <c r="E36" t="s">
        <v>1091</v>
      </c>
      <c r="F36" t="s">
        <v>1092</v>
      </c>
      <c r="G36" t="s">
        <v>92</v>
      </c>
      <c r="K36" t="s">
        <v>1093</v>
      </c>
    </row>
    <row r="37" spans="1:10" ht="14.25">
      <c r="A37" t="s">
        <v>73</v>
      </c>
      <c r="B37" t="s">
        <v>73</v>
      </c>
      <c r="C37" t="s">
        <v>74</v>
      </c>
      <c r="D37" t="s">
        <v>74</v>
      </c>
      <c r="E37" t="s">
        <v>1094</v>
      </c>
      <c r="F37" t="s">
        <v>1095</v>
      </c>
      <c r="G37" t="s">
        <v>510</v>
      </c>
      <c r="J37" t="s">
        <v>1093</v>
      </c>
    </row>
    <row r="38" spans="1:11" ht="14.25">
      <c r="A38" t="s">
        <v>73</v>
      </c>
      <c r="B38" t="s">
        <v>73</v>
      </c>
      <c r="C38" t="s">
        <v>74</v>
      </c>
      <c r="D38" t="s">
        <v>74</v>
      </c>
      <c r="E38" t="s">
        <v>1096</v>
      </c>
      <c r="F38" t="s">
        <v>1097</v>
      </c>
      <c r="G38" t="s">
        <v>510</v>
      </c>
      <c r="H38" t="s">
        <v>1098</v>
      </c>
      <c r="J38" t="s">
        <v>939</v>
      </c>
      <c r="K38" t="s">
        <v>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EB3CE5D-3069-4B4E-97BA-7551AC29E6FE}">
  <dimension ref="A1:K40"/>
  <sheetViews>
    <sheetView workbookViewId="0" topLeftCell="A1">
      <selection pane="topLeft" activeCell="J33" sqref="J33"/>
    </sheetView>
  </sheetViews>
  <sheetFormatPr defaultRowHeight="14.25"/>
  <cols>
    <col min="2" max="2" width="12" bestFit="1" customWidth="1"/>
    <col min="3" max="3" width="19.5714285714286" bestFit="1" customWidth="1"/>
    <col min="4" max="4" width="12.1428571428571" bestFit="1" customWidth="1"/>
    <col min="5" max="5" width="18.7142857142857" bestFit="1" customWidth="1"/>
    <col min="6" max="6" width="16.8571428571429" bestFit="1" customWidth="1"/>
    <col min="7" max="7" width="8.57142857142857" bestFit="1" customWidth="1"/>
    <col min="8" max="8" width="15.2857142857143" bestFit="1" customWidth="1"/>
    <col min="9" max="9" width="16" bestFit="1" customWidth="1"/>
    <col min="10" max="10" width="8.57142857142857" bestFit="1" customWidth="1"/>
    <col min="11" max="11" width="7.28571428571429" bestFit="1" customWidth="1"/>
  </cols>
  <sheetData>
    <row r="1" spans="1:1" ht="14.25">
      <c r="A1" t="s">
        <v>62</v>
      </c>
    </row>
    <row r="2" spans="1:11" ht="14.25">
      <c r="A2" t="s">
        <v>205</v>
      </c>
      <c r="B2" t="s">
        <v>206</v>
      </c>
      <c r="C2" t="s">
        <v>207</v>
      </c>
      <c r="D2" t="s">
        <v>208</v>
      </c>
      <c r="E2" t="s">
        <v>78</v>
      </c>
      <c r="F2" t="s">
        <v>79</v>
      </c>
      <c r="G2" t="s">
        <v>209</v>
      </c>
      <c r="H2" t="s">
        <v>210</v>
      </c>
      <c r="I2" t="s">
        <v>211</v>
      </c>
      <c r="J2" t="s">
        <v>212</v>
      </c>
      <c r="K2" t="s">
        <v>213</v>
      </c>
    </row>
    <row r="3" spans="4:9" ht="14.25">
      <c r="D3" t="s">
        <v>14</v>
      </c>
      <c r="E3" t="s">
        <v>989</v>
      </c>
      <c r="F3" t="str">
        <f t="shared" si="0" ref="F3:F9">E3</f>
        <v>BOF</v>
      </c>
      <c r="H3" t="s">
        <v>990</v>
      </c>
      <c r="I3" s="2" t="s">
        <v>991</v>
      </c>
    </row>
    <row r="4" spans="4:9" ht="14.25">
      <c r="D4" t="s">
        <v>14</v>
      </c>
      <c r="E4" t="s">
        <v>992</v>
      </c>
      <c r="F4" t="str">
        <f t="shared" si="0"/>
        <v>EAF</v>
      </c>
      <c r="H4" t="s">
        <v>993</v>
      </c>
      <c r="I4" s="2" t="s">
        <v>991</v>
      </c>
    </row>
    <row r="5" spans="4:10" ht="14.25">
      <c r="D5" t="s">
        <v>14</v>
      </c>
      <c r="E5" t="s">
        <v>994</v>
      </c>
      <c r="F5" t="str">
        <f t="shared" si="0"/>
        <v>BF</v>
      </c>
      <c r="H5" t="s">
        <v>995</v>
      </c>
      <c r="I5" s="2" t="s">
        <v>991</v>
      </c>
      <c r="J5" s="2"/>
    </row>
    <row r="6" spans="1:11" ht="14.25">
      <c r="A6" t="s">
        <v>73</v>
      </c>
      <c r="B6" t="s">
        <v>73</v>
      </c>
      <c r="C6" t="s">
        <v>74</v>
      </c>
      <c r="D6" t="s">
        <v>74</v>
      </c>
      <c r="E6" t="s">
        <v>996</v>
      </c>
      <c r="F6" t="s">
        <v>996</v>
      </c>
      <c r="H6" t="s">
        <v>997</v>
      </c>
      <c r="I6" s="2" t="s">
        <v>991</v>
      </c>
      <c r="J6" s="2"/>
      <c r="K6" t="s">
        <v>998</v>
      </c>
    </row>
    <row r="7" spans="4:10" ht="14.25">
      <c r="D7" t="s">
        <v>14</v>
      </c>
      <c r="E7" t="s">
        <v>999</v>
      </c>
      <c r="F7" t="str">
        <f t="shared" si="0"/>
        <v>Coal-DRI</v>
      </c>
      <c r="H7" t="s">
        <v>1000</v>
      </c>
      <c r="I7" s="2" t="s">
        <v>991</v>
      </c>
      <c r="J7" s="2"/>
    </row>
    <row r="8" spans="5:8" ht="14.25">
      <c r="E8" t="s">
        <v>1001</v>
      </c>
      <c r="F8" t="str">
        <f t="shared" si="0"/>
        <v>Trade</v>
      </c>
      <c r="H8" t="s">
        <v>1002</v>
      </c>
    </row>
    <row r="9" spans="5:8" ht="14.25">
      <c r="E9" t="s">
        <v>1003</v>
      </c>
      <c r="F9" t="str">
        <f t="shared" si="0"/>
        <v>Domestic</v>
      </c>
      <c r="H9" t="s">
        <v>1004</v>
      </c>
    </row>
    <row r="10" spans="2:9" ht="14.25">
      <c r="B10" t="s">
        <v>14</v>
      </c>
      <c r="E10" t="str">
        <f>"t_"&amp;F10</f>
        <v>t_BAT_BF-BOF</v>
      </c>
      <c r="F10" t="s">
        <v>1005</v>
      </c>
      <c r="H10" t="s">
        <v>1006</v>
      </c>
      <c r="I10" t="str">
        <f t="shared" si="1" ref="I10:I25">"*|"&amp;F10&amp;"|*"</f>
        <v>*|BAT_BF-BOF|*</v>
      </c>
    </row>
    <row r="11" spans="5:9" ht="14.25">
      <c r="E11" t="str">
        <f t="shared" si="2" ref="E11:E25">"t_"&amp;F11</f>
        <v>t_BAT_BF-BOF_ccs</v>
      </c>
      <c r="F11" t="s">
        <v>1007</v>
      </c>
      <c r="I11" t="str">
        <f t="shared" si="1"/>
        <v>*|BAT_BF-BOF_ccs|*</v>
      </c>
    </row>
    <row r="12" spans="5:9" ht="14.25">
      <c r="E12" t="str">
        <f t="shared" si="2"/>
        <v>t_DRI-EAF</v>
      </c>
      <c r="F12" t="s">
        <v>1008</v>
      </c>
      <c r="I12" t="str">
        <f t="shared" si="1"/>
        <v>*|DRI-EAF|*</v>
      </c>
    </row>
    <row r="13" spans="5:9" ht="14.25">
      <c r="E13" t="str">
        <f t="shared" si="2"/>
        <v>t_DRI-EAF_ccs</v>
      </c>
      <c r="F13" t="s">
        <v>1009</v>
      </c>
      <c r="I13" t="str">
        <f t="shared" si="1"/>
        <v>*|DRI-EAF_ccs|*</v>
      </c>
    </row>
    <row r="14" spans="5:9" ht="14.25">
      <c r="E14" t="str">
        <f t="shared" si="2"/>
        <v>t_H2-DRI-EAF</v>
      </c>
      <c r="F14" t="s">
        <v>1010</v>
      </c>
      <c r="I14" t="str">
        <f t="shared" si="1"/>
        <v>*|H2-DRI-EAF|*</v>
      </c>
    </row>
    <row r="15" spans="5:9" ht="14.25">
      <c r="E15" t="str">
        <f t="shared" si="2"/>
        <v>t_Smelt_Red-BOF</v>
      </c>
      <c r="F15" t="s">
        <v>1011</v>
      </c>
      <c r="I15" t="str">
        <f t="shared" si="1"/>
        <v>*|Smelt_Red-BOF|*</v>
      </c>
    </row>
    <row r="16" spans="5:9" ht="14.25">
      <c r="E16" t="str">
        <f t="shared" si="2"/>
        <v>t_Smelt_Red-BOF_ccs</v>
      </c>
      <c r="F16" t="s">
        <v>1012</v>
      </c>
      <c r="I16" t="str">
        <f t="shared" si="1"/>
        <v>*|Smelt_Red-BOF_ccs|*</v>
      </c>
    </row>
    <row r="17" spans="5:9" ht="14.25">
      <c r="E17" t="str">
        <f t="shared" si="2"/>
        <v>t_EAF</v>
      </c>
      <c r="F17" t="s">
        <v>992</v>
      </c>
      <c r="I17" t="str">
        <f t="shared" si="1"/>
        <v>*|EAF|*</v>
      </c>
    </row>
    <row r="18" spans="5:9" ht="14.25">
      <c r="E18" t="str">
        <f t="shared" si="2"/>
        <v>t_DRI-Melt-BOF</v>
      </c>
      <c r="F18" t="s">
        <v>1013</v>
      </c>
      <c r="I18" t="str">
        <f t="shared" si="1"/>
        <v>*|DRI-Melt-BOF|*</v>
      </c>
    </row>
    <row r="19" spans="5:9" ht="14.25">
      <c r="E19" t="str">
        <f t="shared" si="2"/>
        <v>t_DRI-Melt-BOF_ccs</v>
      </c>
      <c r="F19" t="s">
        <v>1014</v>
      </c>
      <c r="I19" t="str">
        <f t="shared" si="1"/>
        <v>*|DRI-Melt-BOF_ccs|*</v>
      </c>
    </row>
    <row r="20" spans="5:9" ht="14.25">
      <c r="E20" t="str">
        <f t="shared" si="2"/>
        <v>t_H2-DRI-Melt-BOF</v>
      </c>
      <c r="F20" t="s">
        <v>1015</v>
      </c>
      <c r="I20" t="str">
        <f t="shared" si="1"/>
        <v>*|H2-DRI-Melt-BOF|*</v>
      </c>
    </row>
    <row r="21" spans="5:9" ht="14.25">
      <c r="E21" t="str">
        <f t="shared" si="2"/>
        <v>t_Gas-DRI</v>
      </c>
      <c r="F21" t="s">
        <v>996</v>
      </c>
      <c r="I21" t="str">
        <f t="shared" si="1"/>
        <v>*|Gas-DRI|*</v>
      </c>
    </row>
    <row r="22" spans="5:9" ht="14.25">
      <c r="E22" t="str">
        <f t="shared" si="2"/>
        <v>t_Gas-DRI_ccs</v>
      </c>
      <c r="F22" t="s">
        <v>1016</v>
      </c>
      <c r="I22" t="str">
        <f t="shared" si="1"/>
        <v>*|Gas-DRI_ccs|*</v>
      </c>
    </row>
    <row r="23" spans="1:9" ht="14.25">
      <c r="A23" t="s">
        <v>73</v>
      </c>
      <c r="B23" t="s">
        <v>74</v>
      </c>
      <c r="C23" t="s">
        <v>74</v>
      </c>
      <c r="D23" t="s">
        <v>74</v>
      </c>
      <c r="E23" t="s">
        <v>1017</v>
      </c>
      <c r="F23" t="s">
        <v>1018</v>
      </c>
      <c r="H23" t="s">
        <v>1019</v>
      </c>
      <c r="I23" t="s">
        <v>1020</v>
      </c>
    </row>
    <row r="24" spans="5:9" ht="14.25">
      <c r="E24" t="str">
        <f t="shared" si="2"/>
        <v>t_Melt-BOF</v>
      </c>
      <c r="F24" t="s">
        <v>1021</v>
      </c>
      <c r="I24" t="str">
        <f t="shared" si="1"/>
        <v>*|Melt-BOF|*</v>
      </c>
    </row>
    <row r="25" spans="5:9" ht="14.25">
      <c r="E25" t="str">
        <f t="shared" si="2"/>
        <v>t_BAT_BF-BOF_H2-PCI_ccs</v>
      </c>
      <c r="F25" t="s">
        <v>1022</v>
      </c>
      <c r="I25" t="str">
        <f t="shared" si="1"/>
        <v>*|BAT_BF-BOF_H2-PCI_ccs|*</v>
      </c>
    </row>
    <row r="26" spans="5:9" ht="14.25">
      <c r="E26" t="s">
        <v>1023</v>
      </c>
      <c r="F26" t="s">
        <v>1024</v>
      </c>
      <c r="I26" t="s">
        <v>1025</v>
      </c>
    </row>
    <row r="27" spans="5:9" ht="14.25">
      <c r="E27" t="s">
        <v>1026</v>
      </c>
      <c r="F27" t="s">
        <v>1027</v>
      </c>
      <c r="I27" t="s">
        <v>1028</v>
      </c>
    </row>
    <row r="28" spans="5:9" ht="14.25">
      <c r="E28" t="s">
        <v>1029</v>
      </c>
      <c r="F28" t="s">
        <v>1030</v>
      </c>
      <c r="I28" t="s">
        <v>1031</v>
      </c>
    </row>
    <row r="29" spans="5:9" ht="14.25">
      <c r="E29" t="s">
        <v>1032</v>
      </c>
      <c r="F29" t="s">
        <v>1033</v>
      </c>
      <c r="I29" t="s">
        <v>1034</v>
      </c>
    </row>
    <row r="33" spans="1:1" ht="14.25">
      <c r="A33" t="s">
        <v>77</v>
      </c>
    </row>
    <row r="34" spans="1:9" ht="14.25">
      <c r="A34" t="s">
        <v>78</v>
      </c>
      <c r="B34" t="s">
        <v>79</v>
      </c>
      <c r="C34" t="s">
        <v>80</v>
      </c>
      <c r="D34" t="s">
        <v>81</v>
      </c>
      <c r="E34" t="s">
        <v>82</v>
      </c>
      <c r="F34" t="s">
        <v>83</v>
      </c>
      <c r="G34" t="s">
        <v>84</v>
      </c>
      <c r="H34" t="s">
        <v>85</v>
      </c>
      <c r="I34" t="s">
        <v>86</v>
      </c>
    </row>
    <row r="35" spans="1:4" ht="14.25">
      <c r="A35" t="s">
        <v>1035</v>
      </c>
      <c r="C35" t="s">
        <v>1036</v>
      </c>
      <c r="D35" s="2" t="s">
        <v>1037</v>
      </c>
    </row>
    <row r="36" spans="1:9" ht="14.25">
      <c r="A36" t="s">
        <v>1038</v>
      </c>
      <c r="B36" t="s">
        <v>1039</v>
      </c>
      <c r="C36" t="s">
        <v>1036</v>
      </c>
      <c r="D36" t="s">
        <v>1040</v>
      </c>
      <c r="F36" t="s">
        <v>73</v>
      </c>
      <c r="G36" t="s">
        <v>73</v>
      </c>
      <c r="H36" t="s">
        <v>74</v>
      </c>
      <c r="I36" t="s">
        <v>74</v>
      </c>
    </row>
    <row r="37" spans="1:9" ht="14.25">
      <c r="A37" t="s">
        <v>1041</v>
      </c>
      <c r="B37" t="s">
        <v>1042</v>
      </c>
      <c r="C37" t="s">
        <v>1036</v>
      </c>
      <c r="D37" t="s">
        <v>1043</v>
      </c>
      <c r="F37" t="s">
        <v>73</v>
      </c>
      <c r="G37" t="s">
        <v>73</v>
      </c>
      <c r="H37" t="s">
        <v>74</v>
      </c>
      <c r="I37" t="s">
        <v>74</v>
      </c>
    </row>
    <row r="38" spans="1:9" ht="14.25">
      <c r="A38" t="s">
        <v>1044</v>
      </c>
      <c r="B38" t="s">
        <v>1045</v>
      </c>
      <c r="C38" t="s">
        <v>1036</v>
      </c>
      <c r="D38" t="s">
        <v>1046</v>
      </c>
      <c r="F38" t="s">
        <v>73</v>
      </c>
      <c r="G38" t="s">
        <v>73</v>
      </c>
      <c r="H38" t="s">
        <v>74</v>
      </c>
      <c r="I38" t="s">
        <v>74</v>
      </c>
    </row>
    <row r="39" spans="1:9" ht="14.25">
      <c r="A39" t="s">
        <v>1047</v>
      </c>
      <c r="B39" t="s">
        <v>1048</v>
      </c>
      <c r="C39" t="s">
        <v>1036</v>
      </c>
      <c r="D39" t="s">
        <v>1049</v>
      </c>
      <c r="F39" t="s">
        <v>73</v>
      </c>
      <c r="G39" t="s">
        <v>73</v>
      </c>
      <c r="H39" t="s">
        <v>74</v>
      </c>
      <c r="I39" t="s">
        <v>74</v>
      </c>
    </row>
    <row r="40" spans="1:9" ht="14.25">
      <c r="A40" t="s">
        <v>1050</v>
      </c>
      <c r="B40" t="s">
        <v>1051</v>
      </c>
      <c r="C40" t="s">
        <v>1036</v>
      </c>
      <c r="D40" t="s">
        <v>1052</v>
      </c>
      <c r="F40" t="s">
        <v>73</v>
      </c>
      <c r="G40" t="s">
        <v>73</v>
      </c>
      <c r="H40" t="s">
        <v>74</v>
      </c>
      <c r="I40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9DDFE8C-FA8A-4098-99A4-4BB06CE69CF7}">
  <dimension ref="B2:N26"/>
  <sheetViews>
    <sheetView workbookViewId="0" topLeftCell="A1">
      <selection pane="topLeft" activeCell="F4" sqref="F4:G12"/>
    </sheetView>
  </sheetViews>
  <sheetFormatPr defaultRowHeight="14.25"/>
  <cols>
    <col min="2" max="2" width="11.5714285714286" bestFit="1" customWidth="1"/>
    <col min="3" max="3" width="12" bestFit="1" customWidth="1"/>
    <col min="4" max="4" width="8.28571428571429" bestFit="1" customWidth="1"/>
    <col min="5" max="5" width="13.8571428571429" bestFit="1" customWidth="1"/>
    <col min="6" max="6" width="14.5714285714286" bestFit="1" customWidth="1"/>
    <col min="7" max="7" width="19.4285714285714" bestFit="1" customWidth="1"/>
    <col min="8" max="8" width="11.5714285714286" bestFit="1" customWidth="1"/>
    <col min="9" max="9" width="13.4285714285714" bestFit="1" customWidth="1"/>
    <col min="10" max="10" width="9.71428571428571" bestFit="1" customWidth="1"/>
    <col min="13" max="13" width="13.8571428571429" bestFit="1" customWidth="1"/>
  </cols>
  <sheetData>
    <row r="2" spans="2:2" ht="14.25">
      <c r="B2" t="s">
        <v>62</v>
      </c>
    </row>
    <row r="3" spans="2:9" ht="14.25">
      <c r="B3" t="s">
        <v>63</v>
      </c>
      <c r="C3" t="s">
        <v>64</v>
      </c>
      <c r="D3" t="s">
        <v>66</v>
      </c>
      <c r="E3" t="s">
        <v>67</v>
      </c>
      <c r="F3" t="s">
        <v>6</v>
      </c>
      <c r="G3" t="s">
        <v>7</v>
      </c>
      <c r="H3" t="s">
        <v>9</v>
      </c>
      <c r="I3" t="s">
        <v>12</v>
      </c>
    </row>
    <row r="4" spans="2:14" ht="14.25">
      <c r="B4" t="s">
        <v>171</v>
      </c>
      <c r="E4" t="str">
        <f>"???[_]"&amp;L4</f>
        <v>???[_]STM</v>
      </c>
      <c r="F4" t="str">
        <f>"IndSerT_"&amp;L4</f>
        <v>IndSerT_STM</v>
      </c>
      <c r="G4" t="str">
        <f>M4</f>
        <v>Steam</v>
      </c>
      <c r="L4" t="s">
        <v>1054</v>
      </c>
      <c r="M4" t="s">
        <v>1055</v>
      </c>
      <c r="N4" t="s">
        <v>1055</v>
      </c>
    </row>
    <row r="5" spans="2:14" ht="14.25">
      <c r="B5" t="s">
        <v>171</v>
      </c>
      <c r="E5" t="str">
        <f t="shared" si="0" ref="E5:E12">"???[_]"&amp;L5</f>
        <v>???[_]PRH</v>
      </c>
      <c r="F5" t="str">
        <f t="shared" si="1" ref="F5:F12">"IndSerT_"&amp;L5</f>
        <v>IndSerT_PRH</v>
      </c>
      <c r="G5" t="str">
        <f t="shared" si="2" ref="G5:G12">M5</f>
        <v>Proc. heat</v>
      </c>
      <c r="L5" t="s">
        <v>1056</v>
      </c>
      <c r="M5" t="s">
        <v>1070</v>
      </c>
      <c r="N5" t="s">
        <v>1057</v>
      </c>
    </row>
    <row r="6" spans="2:14" ht="14.25">
      <c r="B6" t="s">
        <v>171</v>
      </c>
      <c r="E6" t="str">
        <f t="shared" si="0"/>
        <v>???[_]PRC</v>
      </c>
      <c r="F6" t="str">
        <f t="shared" si="1"/>
        <v>IndSerT_PRC</v>
      </c>
      <c r="G6" t="str">
        <f t="shared" si="2"/>
        <v>Proc. Cool</v>
      </c>
      <c r="L6" t="s">
        <v>1058</v>
      </c>
      <c r="M6" t="s">
        <v>1071</v>
      </c>
      <c r="N6" t="s">
        <v>1059</v>
      </c>
    </row>
    <row r="7" spans="2:14" ht="14.25">
      <c r="B7" t="s">
        <v>171</v>
      </c>
      <c r="E7" t="str">
        <f t="shared" si="0"/>
        <v>???[_]MDR</v>
      </c>
      <c r="F7" t="str">
        <f t="shared" si="1"/>
        <v>IndSerT_MDR</v>
      </c>
      <c r="G7" t="str">
        <f t="shared" si="2"/>
        <v>Mch drive</v>
      </c>
      <c r="L7" t="s">
        <v>1060</v>
      </c>
      <c r="M7" t="s">
        <v>1073</v>
      </c>
      <c r="N7" t="s">
        <v>1061</v>
      </c>
    </row>
    <row r="8" spans="2:14" ht="14.25">
      <c r="B8" t="s">
        <v>171</v>
      </c>
      <c r="E8" t="str">
        <f t="shared" si="0"/>
        <v>???[_]ECP</v>
      </c>
      <c r="F8" t="str">
        <f t="shared" si="1"/>
        <v>IndSerT_ECP</v>
      </c>
      <c r="G8" t="str">
        <f t="shared" si="2"/>
        <v>Electrochem</v>
      </c>
      <c r="L8" t="s">
        <v>1062</v>
      </c>
      <c r="M8" t="s">
        <v>1072</v>
      </c>
      <c r="N8" t="s">
        <v>1063</v>
      </c>
    </row>
    <row r="9" spans="2:14" ht="14.25">
      <c r="B9" t="s">
        <v>171</v>
      </c>
      <c r="E9" t="str">
        <f t="shared" si="0"/>
        <v>???[_]OTP</v>
      </c>
      <c r="F9" t="str">
        <f t="shared" si="1"/>
        <v>IndSerT_OTP</v>
      </c>
      <c r="G9" t="str">
        <f t="shared" si="2"/>
        <v>Oth. Proc. Use</v>
      </c>
      <c r="L9" t="s">
        <v>1064</v>
      </c>
      <c r="M9" t="s">
        <v>1074</v>
      </c>
      <c r="N9" t="s">
        <v>1065</v>
      </c>
    </row>
    <row r="10" spans="2:14" ht="14.25">
      <c r="B10" t="s">
        <v>171</v>
      </c>
      <c r="E10" t="str">
        <f t="shared" si="0"/>
        <v>???[_]SPC</v>
      </c>
      <c r="F10" t="str">
        <f t="shared" si="1"/>
        <v>IndSerT_SPC</v>
      </c>
      <c r="G10" t="str">
        <f t="shared" si="2"/>
        <v>Space cond.</v>
      </c>
      <c r="L10" t="s">
        <v>1066</v>
      </c>
      <c r="M10" t="s">
        <v>1075</v>
      </c>
      <c r="N10" t="s">
        <v>1067</v>
      </c>
    </row>
    <row r="11" spans="2:14" ht="14.25">
      <c r="B11" t="s">
        <v>171</v>
      </c>
      <c r="E11" t="str">
        <f t="shared" si="0"/>
        <v>???[_]LIG</v>
      </c>
      <c r="F11" t="str">
        <f t="shared" si="1"/>
        <v>IndSerT_LIG</v>
      </c>
      <c r="G11" t="str">
        <f t="shared" si="2"/>
        <v>Lighting</v>
      </c>
      <c r="L11" t="s">
        <v>1068</v>
      </c>
      <c r="M11" t="s">
        <v>161</v>
      </c>
      <c r="N11" t="s">
        <v>161</v>
      </c>
    </row>
    <row r="12" spans="2:14" ht="14.25">
      <c r="B12" t="s">
        <v>171</v>
      </c>
      <c r="E12" t="str">
        <f t="shared" si="0"/>
        <v>???[_]OTH</v>
      </c>
      <c r="F12" t="str">
        <f t="shared" si="1"/>
        <v>IndSerT_OTH</v>
      </c>
      <c r="G12" t="str">
        <f t="shared" si="2"/>
        <v>Other</v>
      </c>
      <c r="L12" t="s">
        <v>1069</v>
      </c>
      <c r="M12" t="s">
        <v>141</v>
      </c>
      <c r="N12" t="s">
        <v>141</v>
      </c>
    </row>
    <row r="16" spans="2:2" ht="14.25">
      <c r="B16" t="s">
        <v>77</v>
      </c>
    </row>
    <row r="17" spans="2:10" ht="14.25"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</row>
    <row r="18" spans="2:5" ht="14.25">
      <c r="B18" t="str">
        <f>"IndSer_"&amp;L4</f>
        <v>IndSer_STM</v>
      </c>
      <c r="C18" t="str">
        <f>G4</f>
        <v>Steam</v>
      </c>
      <c r="E18" t="str">
        <f>E4</f>
        <v>???[_]STM</v>
      </c>
    </row>
    <row r="19" spans="2:5" ht="14.25">
      <c r="B19" t="str">
        <f t="shared" si="3" ref="B19:B26">"IndSer_"&amp;L5</f>
        <v>IndSer_PRH</v>
      </c>
      <c r="C19" t="str">
        <f t="shared" si="4" ref="C19:C26">G5</f>
        <v>Proc. heat</v>
      </c>
      <c r="E19" t="str">
        <f t="shared" si="5" ref="E19:E26">E5</f>
        <v>???[_]PRH</v>
      </c>
    </row>
    <row r="20" spans="2:5" ht="14.25">
      <c r="B20" t="str">
        <f t="shared" si="3"/>
        <v>IndSer_PRC</v>
      </c>
      <c r="C20" t="str">
        <f t="shared" si="4"/>
        <v>Proc. Cool</v>
      </c>
      <c r="E20" t="str">
        <f t="shared" si="5"/>
        <v>???[_]PRC</v>
      </c>
    </row>
    <row r="21" spans="2:5" ht="14.25">
      <c r="B21" t="str">
        <f t="shared" si="3"/>
        <v>IndSer_MDR</v>
      </c>
      <c r="C21" t="str">
        <f t="shared" si="4"/>
        <v>Mch drive</v>
      </c>
      <c r="E21" t="str">
        <f t="shared" si="5"/>
        <v>???[_]MDR</v>
      </c>
    </row>
    <row r="22" spans="2:5" ht="14.25">
      <c r="B22" t="str">
        <f t="shared" si="3"/>
        <v>IndSer_ECP</v>
      </c>
      <c r="C22" t="str">
        <f t="shared" si="4"/>
        <v>Electrochem</v>
      </c>
      <c r="E22" t="str">
        <f t="shared" si="5"/>
        <v>???[_]ECP</v>
      </c>
    </row>
    <row r="23" spans="2:5" ht="14.25">
      <c r="B23" t="str">
        <f t="shared" si="3"/>
        <v>IndSer_OTP</v>
      </c>
      <c r="C23" t="str">
        <f t="shared" si="4"/>
        <v>Oth. Proc. Use</v>
      </c>
      <c r="E23" t="str">
        <f t="shared" si="5"/>
        <v>???[_]OTP</v>
      </c>
    </row>
    <row r="24" spans="2:5" ht="14.25">
      <c r="B24" t="str">
        <f t="shared" si="3"/>
        <v>IndSer_SPC</v>
      </c>
      <c r="C24" t="str">
        <f t="shared" si="4"/>
        <v>Space cond.</v>
      </c>
      <c r="E24" t="str">
        <f t="shared" si="5"/>
        <v>???[_]SPC</v>
      </c>
    </row>
    <row r="25" spans="2:5" ht="14.25">
      <c r="B25" t="str">
        <f t="shared" si="3"/>
        <v>IndSer_LIG</v>
      </c>
      <c r="C25" t="str">
        <f t="shared" si="4"/>
        <v>Lighting</v>
      </c>
      <c r="E25" t="str">
        <f t="shared" si="5"/>
        <v>???[_]LIG</v>
      </c>
    </row>
    <row r="26" spans="2:5" ht="14.25">
      <c r="B26" t="str">
        <f t="shared" si="3"/>
        <v>IndSer_OTH</v>
      </c>
      <c r="C26" t="str">
        <f t="shared" si="4"/>
        <v>Other</v>
      </c>
      <c r="E26" t="str">
        <f t="shared" si="5"/>
        <v>???[_]OTH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230BCBA-5FE5-4CE6-B967-48281B1D2664}">
  <dimension ref="A1:K22"/>
  <sheetViews>
    <sheetView workbookViewId="0" topLeftCell="A1"/>
  </sheetViews>
  <sheetFormatPr defaultRowHeight="14.25"/>
  <cols>
    <col min="1" max="1" width="19.4285714285714" bestFit="1" customWidth="1"/>
    <col min="2" max="2" width="12" bestFit="1" customWidth="1"/>
    <col min="3" max="3" width="19.5714285714286" bestFit="1" customWidth="1"/>
    <col min="4" max="4" width="12.1428571428571" bestFit="1" customWidth="1"/>
    <col min="5" max="5" width="14.8571428571429" bestFit="1" customWidth="1"/>
    <col min="6" max="6" width="20.4285714285714" bestFit="1" customWidth="1"/>
    <col min="7" max="7" width="11.8571428571429" bestFit="1" customWidth="1"/>
    <col min="8" max="8" width="24.8571428571429" bestFit="1" customWidth="1"/>
    <col min="9" max="9" width="8.14285714285714" bestFit="1" customWidth="1"/>
    <col min="10" max="10" width="9.28571428571429" bestFit="1" customWidth="1"/>
    <col min="11" max="11" width="7.28571428571429" bestFit="1" customWidth="1"/>
  </cols>
  <sheetData>
    <row r="1" spans="1:1" ht="14.25">
      <c r="A1" t="s">
        <v>62</v>
      </c>
    </row>
    <row r="2" spans="1:11" ht="14.25">
      <c r="A2" t="s">
        <v>205</v>
      </c>
      <c r="B2" t="s">
        <v>206</v>
      </c>
      <c r="C2" t="s">
        <v>207</v>
      </c>
      <c r="D2" t="s">
        <v>208</v>
      </c>
      <c r="E2" t="s">
        <v>78</v>
      </c>
      <c r="F2" t="s">
        <v>79</v>
      </c>
      <c r="G2" t="s">
        <v>209</v>
      </c>
      <c r="H2" t="s">
        <v>210</v>
      </c>
      <c r="I2" t="s">
        <v>211</v>
      </c>
      <c r="J2" t="s">
        <v>212</v>
      </c>
      <c r="K2" t="s">
        <v>213</v>
      </c>
    </row>
    <row r="3" spans="5:8" ht="14.25">
      <c r="E3" t="s">
        <v>473</v>
      </c>
      <c r="F3" t="s">
        <v>474</v>
      </c>
      <c r="G3" t="s">
        <v>72</v>
      </c>
      <c r="H3" t="s">
        <v>472</v>
      </c>
    </row>
    <row r="4" spans="5:8" ht="14.25">
      <c r="E4" t="s">
        <v>475</v>
      </c>
      <c r="F4" t="s">
        <v>476</v>
      </c>
      <c r="G4" t="s">
        <v>72</v>
      </c>
      <c r="H4" t="s">
        <v>974</v>
      </c>
    </row>
    <row r="5" spans="1:8" ht="14.25">
      <c r="A5" t="s">
        <v>73</v>
      </c>
      <c r="B5" t="s">
        <v>73</v>
      </c>
      <c r="C5" t="s">
        <v>74</v>
      </c>
      <c r="D5" t="s">
        <v>74</v>
      </c>
      <c r="E5" t="s">
        <v>477</v>
      </c>
      <c r="F5" t="s">
        <v>478</v>
      </c>
      <c r="G5" t="s">
        <v>72</v>
      </c>
      <c r="H5" t="s">
        <v>230</v>
      </c>
    </row>
    <row r="6" spans="5:10" ht="14.25">
      <c r="E6" t="s">
        <v>480</v>
      </c>
      <c r="F6" t="s">
        <v>481</v>
      </c>
      <c r="G6" t="s">
        <v>507</v>
      </c>
      <c r="J6" t="s">
        <v>479</v>
      </c>
    </row>
    <row r="7" spans="1:11" ht="14.25">
      <c r="A7" t="s">
        <v>73</v>
      </c>
      <c r="B7" t="s">
        <v>73</v>
      </c>
      <c r="C7" t="s">
        <v>74</v>
      </c>
      <c r="D7" t="s">
        <v>73</v>
      </c>
      <c r="E7" t="s">
        <v>482</v>
      </c>
      <c r="F7" t="s">
        <v>232</v>
      </c>
      <c r="G7" t="s">
        <v>68</v>
      </c>
      <c r="I7" s="2"/>
      <c r="K7" s="2" t="s">
        <v>233</v>
      </c>
    </row>
    <row r="8" spans="2:10" ht="14.25">
      <c r="B8" t="s">
        <v>14</v>
      </c>
      <c r="E8" t="s">
        <v>483</v>
      </c>
      <c r="F8" t="s">
        <v>484</v>
      </c>
      <c r="G8" t="s">
        <v>171</v>
      </c>
      <c r="H8" t="s">
        <v>548</v>
      </c>
      <c r="J8" t="s">
        <v>924</v>
      </c>
    </row>
    <row r="9" spans="1:11" ht="14.25">
      <c r="A9" t="s">
        <v>73</v>
      </c>
      <c r="B9" t="s">
        <v>74</v>
      </c>
      <c r="C9" t="s">
        <v>74</v>
      </c>
      <c r="D9" t="s">
        <v>74</v>
      </c>
      <c r="E9" t="s">
        <v>485</v>
      </c>
      <c r="F9" t="s">
        <v>48</v>
      </c>
      <c r="G9" t="s">
        <v>223</v>
      </c>
      <c r="H9" t="s">
        <v>218</v>
      </c>
      <c r="K9" t="s">
        <v>233</v>
      </c>
    </row>
    <row r="10" spans="5:11" ht="14.25">
      <c r="E10" t="s">
        <v>486</v>
      </c>
      <c r="F10" t="s">
        <v>54</v>
      </c>
      <c r="G10" t="s">
        <v>92</v>
      </c>
      <c r="K10" t="s">
        <v>541</v>
      </c>
    </row>
    <row r="11" spans="5:11" ht="14.25">
      <c r="E11" t="s">
        <v>488</v>
      </c>
      <c r="F11" t="s">
        <v>45</v>
      </c>
      <c r="G11" t="s">
        <v>92</v>
      </c>
      <c r="K11" t="s">
        <v>487</v>
      </c>
    </row>
    <row r="12" spans="5:11" ht="14.25">
      <c r="E12" t="s">
        <v>489</v>
      </c>
      <c r="F12" t="s">
        <v>52</v>
      </c>
      <c r="G12" t="s">
        <v>92</v>
      </c>
      <c r="K12" t="s">
        <v>490</v>
      </c>
    </row>
    <row r="13" spans="5:11" ht="14.25">
      <c r="E13" t="s">
        <v>491</v>
      </c>
      <c r="F13" t="s">
        <v>42</v>
      </c>
      <c r="G13" t="s">
        <v>92</v>
      </c>
      <c r="K13" t="s">
        <v>492</v>
      </c>
    </row>
    <row r="14" spans="5:10" ht="14.25">
      <c r="E14" t="s">
        <v>493</v>
      </c>
      <c r="F14" t="s">
        <v>39</v>
      </c>
      <c r="G14" s="2" t="s">
        <v>494</v>
      </c>
      <c r="J14" t="s">
        <v>254</v>
      </c>
    </row>
    <row r="15" spans="1:11" ht="14.25">
      <c r="A15" t="s">
        <v>73</v>
      </c>
      <c r="B15" t="s">
        <v>73</v>
      </c>
      <c r="C15" t="s">
        <v>74</v>
      </c>
      <c r="D15" t="s">
        <v>74</v>
      </c>
      <c r="E15" t="s">
        <v>495</v>
      </c>
      <c r="F15" t="s">
        <v>496</v>
      </c>
      <c r="G15" s="2" t="s">
        <v>221</v>
      </c>
      <c r="H15" t="s">
        <v>516</v>
      </c>
      <c r="K15" s="2"/>
    </row>
    <row r="16" spans="5:11" ht="14.25">
      <c r="E16" t="s">
        <v>497</v>
      </c>
      <c r="F16" t="s">
        <v>498</v>
      </c>
      <c r="G16" s="2" t="s">
        <v>221</v>
      </c>
      <c r="H16" t="s">
        <v>499</v>
      </c>
      <c r="K16" s="2"/>
    </row>
    <row r="17" spans="5:11" ht="14.25">
      <c r="E17" t="s">
        <v>500</v>
      </c>
      <c r="F17" t="s">
        <v>501</v>
      </c>
      <c r="G17" s="2"/>
      <c r="H17" t="s">
        <v>502</v>
      </c>
      <c r="K17" s="2" t="s">
        <v>503</v>
      </c>
    </row>
    <row r="18" spans="5:11" ht="14.25">
      <c r="E18" t="s">
        <v>504</v>
      </c>
      <c r="F18" t="s">
        <v>505</v>
      </c>
      <c r="G18" s="2"/>
      <c r="H18" t="s">
        <v>506</v>
      </c>
      <c r="K18" s="2" t="s">
        <v>503</v>
      </c>
    </row>
    <row r="19" spans="5:11" ht="14.25">
      <c r="E19" t="s">
        <v>508</v>
      </c>
      <c r="F19" t="s">
        <v>509</v>
      </c>
      <c r="G19" s="2" t="s">
        <v>510</v>
      </c>
      <c r="K19" s="2"/>
    </row>
    <row r="20" spans="5:11" ht="14.25">
      <c r="E20" t="s">
        <v>511</v>
      </c>
      <c r="F20" t="s">
        <v>512</v>
      </c>
      <c r="H20" t="s">
        <v>236</v>
      </c>
      <c r="K20" s="2"/>
    </row>
    <row r="21" spans="5:10" ht="14.25">
      <c r="E21" t="s">
        <v>513</v>
      </c>
      <c r="F21" t="s">
        <v>514</v>
      </c>
      <c r="G21" s="2" t="s">
        <v>494</v>
      </c>
      <c r="J21" t="s">
        <v>515</v>
      </c>
    </row>
    <row r="22" spans="5:8" ht="14.25">
      <c r="E22" t="s">
        <v>545</v>
      </c>
      <c r="F22" t="s">
        <v>546</v>
      </c>
      <c r="G22" t="s">
        <v>171</v>
      </c>
      <c r="H22" t="s">
        <v>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7046C0-C3F3-4B73-8C4A-995BFBB58AC8}">
  <dimension ref="A1:I3"/>
  <sheetViews>
    <sheetView workbookViewId="0" topLeftCell="A1">
      <selection pane="topLeft" activeCell="A2" sqref="A1:I3"/>
    </sheetView>
  </sheetViews>
  <sheetFormatPr defaultRowHeight="14.25"/>
  <sheetData>
    <row r="1" spans="1:1" ht="14.25">
      <c r="A1" t="s">
        <v>77</v>
      </c>
    </row>
    <row r="2" spans="1:9" ht="14.25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</row>
    <row r="3" spans="1:9" ht="14.25">
      <c r="A3" t="s">
        <v>87</v>
      </c>
      <c r="B3" t="s">
        <v>88</v>
      </c>
      <c r="C3" t="s">
        <v>281</v>
      </c>
      <c r="D3" t="s">
        <v>89</v>
      </c>
      <c r="F3" t="s">
        <v>73</v>
      </c>
      <c r="G3" t="s">
        <v>73</v>
      </c>
      <c r="H3" t="s">
        <v>74</v>
      </c>
      <c r="I3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673314-9EFA-4BAD-9858-D80A2B0053AA}">
  <dimension ref="A1:J29"/>
  <sheetViews>
    <sheetView workbookViewId="0" topLeftCell="A1">
      <selection pane="topLeft" activeCell="B26" sqref="B26"/>
    </sheetView>
  </sheetViews>
  <sheetFormatPr defaultRowHeight="14.25"/>
  <cols>
    <col min="1" max="1" width="15.1428571428571" bestFit="1" customWidth="1"/>
    <col min="2" max="2" width="58.2857142857143" customWidth="1"/>
    <col min="3" max="3" width="8.57142857142857" bestFit="1" customWidth="1"/>
    <col min="4" max="4" width="15.1428571428571" bestFit="1" customWidth="1"/>
    <col min="5" max="5" width="16.7142857142857" bestFit="1" customWidth="1"/>
    <col min="6" max="6" width="13.1428571428571" bestFit="1" customWidth="1"/>
    <col min="7" max="7" width="13.5714285714286" bestFit="1" customWidth="1"/>
  </cols>
  <sheetData>
    <row r="1" spans="1:1" ht="14.25">
      <c r="A1" t="s">
        <v>21</v>
      </c>
    </row>
    <row r="2" spans="1:10" ht="14.25">
      <c r="A2" t="s">
        <v>22</v>
      </c>
      <c r="B2" t="s">
        <v>23</v>
      </c>
      <c r="C2" t="s">
        <v>24</v>
      </c>
      <c r="D2" t="s">
        <v>6</v>
      </c>
      <c r="E2" t="s">
        <v>7</v>
      </c>
      <c r="F2" t="s">
        <v>25</v>
      </c>
      <c r="G2" t="s">
        <v>26</v>
      </c>
      <c r="H2" t="s">
        <v>27</v>
      </c>
      <c r="I2" t="s">
        <v>28</v>
      </c>
      <c r="J2" t="s">
        <v>12</v>
      </c>
    </row>
    <row r="3" spans="1:7" ht="14.25">
      <c r="A3" t="s">
        <v>40</v>
      </c>
      <c r="B3" t="s">
        <v>542</v>
      </c>
      <c r="D3" t="s">
        <v>90</v>
      </c>
      <c r="E3" t="s">
        <v>179</v>
      </c>
      <c r="F3" t="s">
        <v>13</v>
      </c>
      <c r="G3" t="s">
        <v>13</v>
      </c>
    </row>
    <row r="4" spans="1:5" ht="14.25">
      <c r="A4" t="s">
        <v>40</v>
      </c>
      <c r="B4" t="s">
        <v>543</v>
      </c>
      <c r="D4" s="3" t="s">
        <v>241</v>
      </c>
      <c r="E4" t="s">
        <v>194</v>
      </c>
    </row>
    <row r="5" spans="1:5" ht="14.25">
      <c r="A5" t="s">
        <v>40</v>
      </c>
      <c r="B5" t="s">
        <v>240</v>
      </c>
      <c r="D5" s="3" t="s">
        <v>242</v>
      </c>
      <c r="E5" t="s">
        <v>16</v>
      </c>
    </row>
    <row r="6" spans="1:5" ht="14.25">
      <c r="A6" t="s">
        <v>40</v>
      </c>
      <c r="B6" t="s">
        <v>246</v>
      </c>
      <c r="D6" s="3" t="s">
        <v>243</v>
      </c>
      <c r="E6" t="s">
        <v>19</v>
      </c>
    </row>
    <row r="7" spans="1:5" ht="14.25">
      <c r="A7" t="s">
        <v>40</v>
      </c>
      <c r="B7" t="s">
        <v>245</v>
      </c>
      <c r="D7" s="3" t="s">
        <v>244</v>
      </c>
      <c r="E7" t="s">
        <v>248</v>
      </c>
    </row>
    <row r="8" spans="1:7" ht="14.25">
      <c r="A8" t="s">
        <v>40</v>
      </c>
      <c r="B8" t="s">
        <v>925</v>
      </c>
      <c r="D8" s="3" t="s">
        <v>29</v>
      </c>
      <c r="E8" t="s">
        <v>17</v>
      </c>
      <c r="F8" t="s">
        <v>13</v>
      </c>
      <c r="G8" t="s">
        <v>13</v>
      </c>
    </row>
    <row r="9" spans="1:7" ht="14.25">
      <c r="A9" t="s">
        <v>40</v>
      </c>
      <c r="B9" t="s">
        <v>30</v>
      </c>
      <c r="D9" s="3" t="s">
        <v>31</v>
      </c>
      <c r="E9" t="s">
        <v>20</v>
      </c>
      <c r="F9" t="s">
        <v>13</v>
      </c>
      <c r="G9" t="s">
        <v>13</v>
      </c>
    </row>
    <row r="10" spans="1:9" ht="14.25">
      <c r="A10" t="s">
        <v>40</v>
      </c>
      <c r="B10" t="s">
        <v>238</v>
      </c>
      <c r="D10" s="3" t="s">
        <v>32</v>
      </c>
      <c r="E10" t="s">
        <v>256</v>
      </c>
      <c r="F10" t="s">
        <v>73</v>
      </c>
      <c r="G10" t="s">
        <v>73</v>
      </c>
      <c r="H10" t="s">
        <v>73</v>
      </c>
      <c r="I10" t="s">
        <v>74</v>
      </c>
    </row>
    <row r="11" spans="1:5" ht="14.25">
      <c r="A11" t="s">
        <v>40</v>
      </c>
      <c r="B11" t="s">
        <v>237</v>
      </c>
      <c r="D11" s="3" t="s">
        <v>239</v>
      </c>
      <c r="E11" t="s">
        <v>249</v>
      </c>
    </row>
    <row r="12" spans="1:7" ht="14.25">
      <c r="A12" t="s">
        <v>40</v>
      </c>
      <c r="B12" t="s">
        <v>91</v>
      </c>
      <c r="D12" s="3" t="s">
        <v>33</v>
      </c>
      <c r="E12" t="s">
        <v>34</v>
      </c>
      <c r="F12" t="s">
        <v>13</v>
      </c>
      <c r="G12" t="s">
        <v>13</v>
      </c>
    </row>
    <row r="13" spans="1:7" ht="14.25">
      <c r="A13" t="s">
        <v>40</v>
      </c>
      <c r="B13" t="s">
        <v>263</v>
      </c>
      <c r="D13" s="3" t="s">
        <v>35</v>
      </c>
      <c r="E13" t="s">
        <v>18</v>
      </c>
      <c r="F13" t="s">
        <v>14</v>
      </c>
      <c r="G13" t="s">
        <v>14</v>
      </c>
    </row>
    <row r="14" spans="1:5" ht="14.25">
      <c r="A14" t="s">
        <v>40</v>
      </c>
      <c r="B14" t="s">
        <v>264</v>
      </c>
      <c r="D14" s="3" t="s">
        <v>265</v>
      </c>
      <c r="E14" t="s">
        <v>266</v>
      </c>
    </row>
    <row r="15" spans="1:7" ht="14.25">
      <c r="A15" t="s">
        <v>40</v>
      </c>
      <c r="B15" t="s">
        <v>926</v>
      </c>
      <c r="D15" s="3" t="s">
        <v>927</v>
      </c>
      <c r="E15" t="s">
        <v>930</v>
      </c>
      <c r="F15" t="s">
        <v>13</v>
      </c>
      <c r="G15" t="s">
        <v>13</v>
      </c>
    </row>
    <row r="16" spans="1:5" ht="14.25">
      <c r="A16" t="s">
        <v>40</v>
      </c>
      <c r="B16" t="s">
        <v>928</v>
      </c>
      <c r="D16" s="3" t="s">
        <v>929</v>
      </c>
      <c r="E16" t="s">
        <v>931</v>
      </c>
    </row>
    <row r="17" spans="1:7" ht="14.25">
      <c r="A17" t="s">
        <v>40</v>
      </c>
      <c r="B17" t="s">
        <v>247</v>
      </c>
      <c r="D17" s="3" t="s">
        <v>36</v>
      </c>
      <c r="E17" t="s">
        <v>37</v>
      </c>
      <c r="F17" t="s">
        <v>13</v>
      </c>
      <c r="G17" t="s">
        <v>13</v>
      </c>
    </row>
    <row r="18" spans="1:9" ht="14.25">
      <c r="A18" t="s">
        <v>40</v>
      </c>
      <c r="B18" t="s">
        <v>549</v>
      </c>
      <c r="D18" s="3" t="s">
        <v>267</v>
      </c>
      <c r="E18" t="s">
        <v>269</v>
      </c>
      <c r="F18" t="s">
        <v>73</v>
      </c>
      <c r="G18" t="s">
        <v>73</v>
      </c>
      <c r="H18" t="s">
        <v>73</v>
      </c>
      <c r="I18" t="s">
        <v>74</v>
      </c>
    </row>
    <row r="19" spans="1:9" ht="14.25">
      <c r="A19" t="s">
        <v>40</v>
      </c>
      <c r="B19" t="s">
        <v>739</v>
      </c>
      <c r="D19" s="3" t="s">
        <v>268</v>
      </c>
      <c r="E19" t="s">
        <v>270</v>
      </c>
      <c r="F19" t="s">
        <v>73</v>
      </c>
      <c r="G19" t="s">
        <v>74</v>
      </c>
      <c r="H19" t="s">
        <v>73</v>
      </c>
      <c r="I19" t="s">
        <v>74</v>
      </c>
    </row>
    <row r="20" spans="1:7" ht="14.25">
      <c r="A20" t="s">
        <v>40</v>
      </c>
      <c r="B20" t="s">
        <v>987</v>
      </c>
      <c r="D20" s="3" t="s">
        <v>75</v>
      </c>
      <c r="E20" t="s">
        <v>39</v>
      </c>
      <c r="F20" t="s">
        <v>13</v>
      </c>
      <c r="G20" t="s">
        <v>13</v>
      </c>
    </row>
    <row r="21" spans="1:6" ht="14.25">
      <c r="A21" t="s">
        <v>40</v>
      </c>
      <c r="B21" t="s">
        <v>61</v>
      </c>
      <c r="D21" t="s">
        <v>41</v>
      </c>
      <c r="E21" t="s">
        <v>42</v>
      </c>
      <c r="F21" t="s">
        <v>43</v>
      </c>
    </row>
    <row r="22" spans="1:6" ht="14.25">
      <c r="A22" t="s">
        <v>40</v>
      </c>
      <c r="B22" t="s">
        <v>60</v>
      </c>
      <c r="D22" t="s">
        <v>44</v>
      </c>
      <c r="E22" t="s">
        <v>45</v>
      </c>
      <c r="F22" t="s">
        <v>43</v>
      </c>
    </row>
    <row r="23" spans="1:6" ht="14.25">
      <c r="A23" t="s">
        <v>40</v>
      </c>
      <c r="B23" t="s">
        <v>46</v>
      </c>
      <c r="D23" t="s">
        <v>47</v>
      </c>
      <c r="E23" t="s">
        <v>48</v>
      </c>
      <c r="F23" t="s">
        <v>43</v>
      </c>
    </row>
    <row r="24" spans="1:6" ht="14.25">
      <c r="A24" t="s">
        <v>40</v>
      </c>
      <c r="B24" t="s">
        <v>59</v>
      </c>
      <c r="D24" t="s">
        <v>49</v>
      </c>
      <c r="E24" t="s">
        <v>50</v>
      </c>
      <c r="F24" t="s">
        <v>43</v>
      </c>
    </row>
    <row r="25" spans="1:6" ht="14.25">
      <c r="A25" t="s">
        <v>40</v>
      </c>
      <c r="B25" t="s">
        <v>58</v>
      </c>
      <c r="D25" t="s">
        <v>51</v>
      </c>
      <c r="E25" t="s">
        <v>52</v>
      </c>
      <c r="F25" t="s">
        <v>43</v>
      </c>
    </row>
    <row r="26" spans="1:6" ht="14.25">
      <c r="A26" t="s">
        <v>40</v>
      </c>
      <c r="B26" t="s">
        <v>1076</v>
      </c>
      <c r="D26" t="s">
        <v>53</v>
      </c>
      <c r="E26" t="s">
        <v>54</v>
      </c>
      <c r="F26" t="s">
        <v>43</v>
      </c>
    </row>
    <row r="27" spans="1:6" ht="14.25">
      <c r="A27" t="s">
        <v>40</v>
      </c>
      <c r="B27" t="s">
        <v>57</v>
      </c>
      <c r="D27" t="s">
        <v>55</v>
      </c>
      <c r="E27" t="s">
        <v>56</v>
      </c>
      <c r="F27" t="s">
        <v>43</v>
      </c>
    </row>
    <row r="29" spans="7:7" ht="14.25">
      <c r="G29" t="s">
        <v>76</v>
      </c>
    </row>
  </sheetData>
  <sortState ref="C30:C103">
    <sortCondition sortBy="value" ref="C30:C103"/>
  </sortState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090017-B091-4BF5-832C-7E9D295EE645}">
  <dimension ref="A1:R46"/>
  <sheetViews>
    <sheetView workbookViewId="0" topLeftCell="A1">
      <pane ySplit="2" topLeftCell="A8" activePane="bottomLeft" state="frozen"/>
      <selection pane="topLeft" activeCell="A1" sqref="A1"/>
      <selection pane="bottomLeft" activeCell="A51" sqref="A51"/>
    </sheetView>
  </sheetViews>
  <sheetFormatPr defaultRowHeight="14.25"/>
  <cols>
    <col min="2" max="2" width="14.2857142857143" bestFit="1" customWidth="1"/>
    <col min="5" max="5" width="26.7142857142857" bestFit="1" customWidth="1"/>
    <col min="6" max="6" width="23" bestFit="1" customWidth="1"/>
    <col min="7" max="7" width="41.2857142857143" customWidth="1"/>
    <col min="8" max="8" width="12.8571428571429" bestFit="1" customWidth="1"/>
    <col min="9" max="9" width="13.4285714285714" bestFit="1" customWidth="1"/>
    <col min="11" max="11" width="20.8571428571429" bestFit="1" customWidth="1"/>
    <col min="15" max="15" width="8" bestFit="1" customWidth="1"/>
  </cols>
  <sheetData>
    <row r="1" spans="1:1" ht="14.25">
      <c r="A1" t="s">
        <v>0</v>
      </c>
    </row>
    <row r="2" spans="1:12" ht="14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6" ht="14.25">
      <c r="A3" t="s">
        <v>92</v>
      </c>
      <c r="E3" t="str">
        <f>O3</f>
        <v>AGR</v>
      </c>
      <c r="F3" t="str">
        <f>"DMD_"&amp;LEFT(E3,3)</f>
        <v>DMD_AGR</v>
      </c>
      <c r="G3" t="str">
        <f>P3</f>
        <v>Agriculture</v>
      </c>
      <c r="O3" s="1" t="s">
        <v>117</v>
      </c>
      <c r="P3" s="1" t="s">
        <v>42</v>
      </c>
    </row>
    <row r="4" spans="1:16" ht="14.25">
      <c r="A4" t="s">
        <v>92</v>
      </c>
      <c r="E4" t="str">
        <f t="shared" si="0" ref="E4:E6">O4</f>
        <v>CCK</v>
      </c>
      <c r="F4" t="str">
        <f t="shared" si="1" ref="F4:F27">"DMD_"&amp;LEFT(E4,3)</f>
        <v>DMD_CCK</v>
      </c>
      <c r="G4" t="str">
        <f>P4&amp;"-Com"</f>
        <v>Cooking-Com</v>
      </c>
      <c r="O4" s="1" t="s">
        <v>118</v>
      </c>
      <c r="P4" s="1" t="s">
        <v>159</v>
      </c>
    </row>
    <row r="5" spans="1:16" ht="14.25">
      <c r="A5" t="s">
        <v>92</v>
      </c>
      <c r="E5" t="str">
        <f t="shared" si="0"/>
        <v>CHW</v>
      </c>
      <c r="F5" t="str">
        <f t="shared" si="1"/>
        <v>DMD_CHW</v>
      </c>
      <c r="G5" t="str">
        <f>P5&amp;"-Com"</f>
        <v>Hot Water-Com</v>
      </c>
      <c r="O5" s="1" t="s">
        <v>119</v>
      </c>
      <c r="P5" s="1" t="s">
        <v>160</v>
      </c>
    </row>
    <row r="6" spans="1:16" ht="14.25">
      <c r="A6" t="s">
        <v>92</v>
      </c>
      <c r="E6" t="str">
        <f t="shared" si="0"/>
        <v>CLA</v>
      </c>
      <c r="F6" t="str">
        <f t="shared" si="1"/>
        <v>DMD_CLA</v>
      </c>
      <c r="G6" t="str">
        <f>P6&amp;"-Com"</f>
        <v>Lighting-Com</v>
      </c>
      <c r="O6" s="1" t="s">
        <v>120</v>
      </c>
      <c r="P6" s="1" t="s">
        <v>161</v>
      </c>
    </row>
    <row r="7" spans="1:18" ht="14.25">
      <c r="A7" t="s">
        <v>92</v>
      </c>
      <c r="E7" t="str">
        <f>R9</f>
        <v>COE,COT,CRF</v>
      </c>
      <c r="F7" t="s">
        <v>176</v>
      </c>
      <c r="G7" t="s">
        <v>177</v>
      </c>
      <c r="N7">
        <v>1</v>
      </c>
      <c r="O7" s="1" t="s">
        <v>121</v>
      </c>
      <c r="P7" s="1" t="s">
        <v>162</v>
      </c>
      <c r="R7" t="str">
        <f>O7</f>
        <v>COE</v>
      </c>
    </row>
    <row r="8" spans="1:18" ht="14.25">
      <c r="A8" t="s">
        <v>92</v>
      </c>
      <c r="E8" t="str">
        <f>O10</f>
        <v>CSC</v>
      </c>
      <c r="F8" t="str">
        <f t="shared" si="1"/>
        <v>DMD_CSC</v>
      </c>
      <c r="G8" t="str">
        <f>P10&amp;"-Com"</f>
        <v>Space Cooling-Com</v>
      </c>
      <c r="N8">
        <v>1</v>
      </c>
      <c r="O8" s="1" t="s">
        <v>122</v>
      </c>
      <c r="P8" s="1" t="s">
        <v>141</v>
      </c>
      <c r="R8" t="str">
        <f>R7&amp;","&amp;O8</f>
        <v>COE,COT</v>
      </c>
    </row>
    <row r="9" spans="1:18" ht="14.25">
      <c r="A9" t="s">
        <v>92</v>
      </c>
      <c r="E9" t="str">
        <f>O11</f>
        <v>CSH</v>
      </c>
      <c r="F9" t="str">
        <f t="shared" si="1"/>
        <v>DMD_CSH</v>
      </c>
      <c r="G9" t="str">
        <f>P11&amp;"-Com"</f>
        <v>Space Heating-Com</v>
      </c>
      <c r="N9">
        <v>1</v>
      </c>
      <c r="O9" s="1" t="s">
        <v>123</v>
      </c>
      <c r="P9" s="1" t="s">
        <v>163</v>
      </c>
      <c r="R9" t="str">
        <f t="shared" si="2" ref="R9">R8&amp;","&amp;O9</f>
        <v>COE,COT,CRF</v>
      </c>
    </row>
    <row r="10" spans="1:16" ht="14.25">
      <c r="A10" t="s">
        <v>171</v>
      </c>
      <c r="E10" t="str">
        <f>O12&amp;"*,-"&amp;O12</f>
        <v>ICH*,-ICH</v>
      </c>
      <c r="F10" t="str">
        <f t="shared" si="1"/>
        <v>DMD_ICH</v>
      </c>
      <c r="G10" t="str">
        <f>P12</f>
        <v>Chemicals</v>
      </c>
      <c r="O10" s="1" t="s">
        <v>124</v>
      </c>
      <c r="P10" s="1" t="s">
        <v>164</v>
      </c>
    </row>
    <row r="11" spans="1:16" ht="14.25">
      <c r="A11" t="s">
        <v>92</v>
      </c>
      <c r="E11" t="s">
        <v>172</v>
      </c>
      <c r="F11" t="s">
        <v>173</v>
      </c>
      <c r="G11" t="s">
        <v>174</v>
      </c>
      <c r="O11" s="1" t="s">
        <v>125</v>
      </c>
      <c r="P11" s="1" t="s">
        <v>165</v>
      </c>
    </row>
    <row r="12" spans="1:16" ht="14.25">
      <c r="A12" t="s">
        <v>171</v>
      </c>
      <c r="E12" t="str">
        <f t="shared" si="3" ref="E12:E19">O14&amp;"*,-"&amp;O14</f>
        <v>IFP*,-IFP</v>
      </c>
      <c r="F12" t="str">
        <f t="shared" si="1"/>
        <v>DMD_IFP</v>
      </c>
      <c r="G12" t="str">
        <f t="shared" si="4" ref="G12:G21">P14</f>
        <v>Food processing</v>
      </c>
      <c r="O12" s="1" t="s">
        <v>126</v>
      </c>
      <c r="P12" s="1" t="s">
        <v>127</v>
      </c>
    </row>
    <row r="13" spans="1:16" ht="14.25">
      <c r="A13" t="s">
        <v>171</v>
      </c>
      <c r="E13" t="s">
        <v>517</v>
      </c>
      <c r="F13" t="s">
        <v>518</v>
      </c>
      <c r="G13" t="s">
        <v>131</v>
      </c>
      <c r="O13" s="1"/>
      <c r="P13" s="1"/>
    </row>
    <row r="14" spans="1:16" ht="14.25">
      <c r="A14" t="s">
        <v>171</v>
      </c>
      <c r="E14" t="str">
        <f t="shared" si="3"/>
        <v>ILP*,-ILP</v>
      </c>
      <c r="F14" t="str">
        <f t="shared" si="1"/>
        <v>DMD_ILP</v>
      </c>
      <c r="G14" t="str">
        <f t="shared" si="4"/>
        <v>Pulp and Paper</v>
      </c>
      <c r="O14" s="1" t="s">
        <v>128</v>
      </c>
      <c r="P14" s="1" t="s">
        <v>129</v>
      </c>
    </row>
    <row r="15" spans="1:16" ht="14.25">
      <c r="A15" t="s">
        <v>171</v>
      </c>
      <c r="E15" t="str">
        <f t="shared" si="3"/>
        <v>IMC*,-IMC</v>
      </c>
      <c r="F15" t="str">
        <f t="shared" si="1"/>
        <v>DMD_IMC</v>
      </c>
      <c r="G15" t="str">
        <f t="shared" si="4"/>
        <v>Mining and Construction</v>
      </c>
      <c r="O15" s="1" t="s">
        <v>130</v>
      </c>
      <c r="P15" s="1" t="s">
        <v>131</v>
      </c>
    </row>
    <row r="16" spans="1:16" ht="14.25">
      <c r="A16" t="s">
        <v>171</v>
      </c>
      <c r="E16" t="str">
        <f t="shared" si="3"/>
        <v>INF*,-INF</v>
      </c>
      <c r="F16" t="str">
        <f t="shared" si="1"/>
        <v>DMD_INF</v>
      </c>
      <c r="G16" t="str">
        <f t="shared" si="4"/>
        <v>Non-ferrous metals</v>
      </c>
      <c r="O16" s="1" t="s">
        <v>132</v>
      </c>
      <c r="P16" s="1" t="s">
        <v>133</v>
      </c>
    </row>
    <row r="17" spans="1:16" ht="14.25">
      <c r="A17" t="s">
        <v>171</v>
      </c>
      <c r="E17" t="str">
        <f t="shared" si="3"/>
        <v>INM*,-INM</v>
      </c>
      <c r="F17" t="str">
        <f t="shared" si="1"/>
        <v>DMD_INM</v>
      </c>
      <c r="G17" t="str">
        <f t="shared" si="4"/>
        <v>Non-metals</v>
      </c>
      <c r="O17" s="1" t="s">
        <v>134</v>
      </c>
      <c r="P17" s="1" t="s">
        <v>135</v>
      </c>
    </row>
    <row r="18" spans="1:16" ht="14.25">
      <c r="A18" t="s">
        <v>171</v>
      </c>
      <c r="E18" t="str">
        <f t="shared" si="3"/>
        <v>IOI*,-IOI</v>
      </c>
      <c r="F18" t="str">
        <f t="shared" si="1"/>
        <v>DMD_IOI</v>
      </c>
      <c r="G18" t="str">
        <f t="shared" si="4"/>
        <v>Other Industry</v>
      </c>
      <c r="O18" s="1" t="s">
        <v>136</v>
      </c>
      <c r="P18" s="1" t="s">
        <v>137</v>
      </c>
    </row>
    <row r="19" spans="1:16" ht="14.25">
      <c r="A19" t="s">
        <v>171</v>
      </c>
      <c r="E19" t="str">
        <f t="shared" si="3"/>
        <v>ITM*,-ITM</v>
      </c>
      <c r="F19" t="str">
        <f t="shared" si="1"/>
        <v>DMD_ITM</v>
      </c>
      <c r="G19" t="str">
        <f t="shared" si="4"/>
        <v>Transport and machinery</v>
      </c>
      <c r="O19" s="1" t="s">
        <v>138</v>
      </c>
      <c r="P19" s="1" t="s">
        <v>139</v>
      </c>
    </row>
    <row r="20" spans="1:16" ht="14.25">
      <c r="A20" t="s">
        <v>171</v>
      </c>
      <c r="E20" t="str">
        <f>O22</f>
        <v>NEU</v>
      </c>
      <c r="F20" t="str">
        <f t="shared" si="1"/>
        <v>DMD_NEU</v>
      </c>
      <c r="G20" t="str">
        <f t="shared" si="4"/>
        <v>Non Energy Uses</v>
      </c>
      <c r="O20" s="1" t="s">
        <v>140</v>
      </c>
      <c r="P20" s="1" t="s">
        <v>170</v>
      </c>
    </row>
    <row r="21" spans="1:16" ht="14.25">
      <c r="A21" t="s">
        <v>92</v>
      </c>
      <c r="E21" t="str">
        <f>O23</f>
        <v>ONO</v>
      </c>
      <c r="F21" t="str">
        <f t="shared" si="1"/>
        <v>DMD_ONO</v>
      </c>
      <c r="G21" t="str">
        <f t="shared" si="4"/>
        <v>Other non-specified</v>
      </c>
      <c r="O21" s="1" t="s">
        <v>142</v>
      </c>
      <c r="P21" s="1" t="s">
        <v>143</v>
      </c>
    </row>
    <row r="22" spans="1:16" ht="14.25">
      <c r="A22" t="s">
        <v>92</v>
      </c>
      <c r="E22" t="str">
        <f>R29</f>
        <v>RCD,RCW,RDW,REA,ROT,RRF</v>
      </c>
      <c r="F22" t="s">
        <v>175</v>
      </c>
      <c r="G22" t="s">
        <v>178</v>
      </c>
      <c r="O22" s="1" t="s">
        <v>144</v>
      </c>
      <c r="P22" s="1" t="s">
        <v>145</v>
      </c>
    </row>
    <row r="23" spans="1:16" ht="14.25">
      <c r="A23" t="s">
        <v>92</v>
      </c>
      <c r="E23" t="str">
        <f t="shared" si="5" ref="E23:E39">O30</f>
        <v>RCK</v>
      </c>
      <c r="F23" t="str">
        <f t="shared" si="1"/>
        <v>DMD_RCK</v>
      </c>
      <c r="G23" t="str">
        <f>P30&amp;"-Rsd"</f>
        <v>Cooking-Rsd</v>
      </c>
      <c r="O23" s="1" t="s">
        <v>146</v>
      </c>
      <c r="P23" s="1" t="s">
        <v>147</v>
      </c>
    </row>
    <row r="24" spans="1:18" ht="14.25">
      <c r="A24" t="s">
        <v>92</v>
      </c>
      <c r="E24" t="str">
        <f t="shared" si="5"/>
        <v>RHW</v>
      </c>
      <c r="F24" t="str">
        <f t="shared" si="1"/>
        <v>DMD_RHW</v>
      </c>
      <c r="G24" t="str">
        <f>P31&amp;"-Rsd"</f>
        <v>Hot Water-Rsd</v>
      </c>
      <c r="N24">
        <v>1</v>
      </c>
      <c r="O24" s="1" t="s">
        <v>148</v>
      </c>
      <c r="P24" s="1" t="s">
        <v>166</v>
      </c>
      <c r="R24" t="str">
        <f>O24</f>
        <v>RCD</v>
      </c>
    </row>
    <row r="25" spans="1:18" ht="14.25">
      <c r="A25" t="s">
        <v>92</v>
      </c>
      <c r="E25" t="str">
        <f t="shared" si="5"/>
        <v>RLI</v>
      </c>
      <c r="F25" t="str">
        <f t="shared" si="1"/>
        <v>DMD_RLI</v>
      </c>
      <c r="G25" t="str">
        <f>P32&amp;"-Rsd"</f>
        <v>Lighting-Rsd</v>
      </c>
      <c r="N25">
        <v>1</v>
      </c>
      <c r="O25" s="1" t="s">
        <v>150</v>
      </c>
      <c r="P25" s="1" t="s">
        <v>167</v>
      </c>
      <c r="R25" t="str">
        <f>R24&amp;","&amp;O25</f>
        <v>RCD,RCW</v>
      </c>
    </row>
    <row r="26" spans="1:18" ht="14.25">
      <c r="A26" t="s">
        <v>92</v>
      </c>
      <c r="E26" t="str">
        <f t="shared" si="5"/>
        <v>RSC</v>
      </c>
      <c r="F26" t="str">
        <f t="shared" si="1"/>
        <v>DMD_RSC</v>
      </c>
      <c r="G26" t="str">
        <f>P33&amp;"-Rsd"</f>
        <v>Space Cooling-Rsd</v>
      </c>
      <c r="N26">
        <v>1</v>
      </c>
      <c r="O26" s="1" t="s">
        <v>151</v>
      </c>
      <c r="P26" s="1" t="s">
        <v>168</v>
      </c>
      <c r="R26" t="str">
        <f t="shared" si="6" ref="R26:R29">R25&amp;","&amp;O26</f>
        <v>RCD,RCW,RDW</v>
      </c>
    </row>
    <row r="27" spans="1:18" ht="14.25">
      <c r="A27" t="s">
        <v>92</v>
      </c>
      <c r="E27" t="str">
        <f t="shared" si="5"/>
        <v>RSH</v>
      </c>
      <c r="F27" t="str">
        <f t="shared" si="1"/>
        <v>DMD_RSH</v>
      </c>
      <c r="G27" t="str">
        <f>P34&amp;"-Rsd"</f>
        <v>Space Heating-Rsd</v>
      </c>
      <c r="N27">
        <v>1</v>
      </c>
      <c r="O27" s="1" t="s">
        <v>152</v>
      </c>
      <c r="P27" s="1" t="s">
        <v>169</v>
      </c>
      <c r="R27" t="str">
        <f t="shared" si="6"/>
        <v>RCD,RCW,RDW,REA</v>
      </c>
    </row>
    <row r="28" spans="1:18" ht="14.25">
      <c r="A28" t="s">
        <v>92</v>
      </c>
      <c r="E28" t="str">
        <f t="shared" si="5"/>
        <v>TAD</v>
      </c>
      <c r="F28" t="str">
        <f t="shared" si="7" ref="F28:F39">"DMD_"&amp;E28</f>
        <v>DMD_TAD</v>
      </c>
      <c r="G28" t="str">
        <f t="shared" si="8" ref="G28">P35</f>
        <v>Domestic Aviation</v>
      </c>
      <c r="N28">
        <v>1</v>
      </c>
      <c r="O28" s="1" t="s">
        <v>155</v>
      </c>
      <c r="P28" s="1" t="s">
        <v>141</v>
      </c>
      <c r="R28" t="str">
        <f t="shared" si="6"/>
        <v>RCD,RCW,RDW,REA,ROT</v>
      </c>
    </row>
    <row r="29" spans="1:18" ht="14.25">
      <c r="A29" t="s">
        <v>92</v>
      </c>
      <c r="E29" t="str">
        <f t="shared" si="5"/>
        <v>TAI</v>
      </c>
      <c r="F29" t="str">
        <f t="shared" si="7"/>
        <v>DMD_TAI</v>
      </c>
      <c r="G29" t="str">
        <f t="shared" si="9" ref="G29:G39">P36</f>
        <v>International Aviation</v>
      </c>
      <c r="N29">
        <v>1</v>
      </c>
      <c r="O29" s="1" t="s">
        <v>156</v>
      </c>
      <c r="P29" s="1" t="s">
        <v>163</v>
      </c>
      <c r="R29" t="str">
        <f t="shared" si="6"/>
        <v>RCD,RCW,RDW,REA,ROT,RRF</v>
      </c>
    </row>
    <row r="30" spans="1:16" ht="14.25">
      <c r="A30" t="s">
        <v>92</v>
      </c>
      <c r="E30" t="str">
        <f t="shared" si="5"/>
        <v>Trd_2w</v>
      </c>
      <c r="F30" t="str">
        <f t="shared" si="7"/>
        <v>DMD_Trd_2w</v>
      </c>
      <c r="G30" t="str">
        <f t="shared" si="9"/>
        <v>2-wheelers</v>
      </c>
      <c r="O30" s="1" t="s">
        <v>149</v>
      </c>
      <c r="P30" s="1" t="s">
        <v>159</v>
      </c>
    </row>
    <row r="31" spans="1:16" ht="14.25">
      <c r="A31" t="s">
        <v>92</v>
      </c>
      <c r="E31" t="str">
        <f t="shared" si="5"/>
        <v>Trd_3w</v>
      </c>
      <c r="F31" t="str">
        <f t="shared" si="7"/>
        <v>DMD_Trd_3w</v>
      </c>
      <c r="G31" t="str">
        <f t="shared" si="9"/>
        <v>3-wheelers</v>
      </c>
      <c r="O31" s="1" t="s">
        <v>153</v>
      </c>
      <c r="P31" s="1" t="s">
        <v>160</v>
      </c>
    </row>
    <row r="32" spans="1:16" ht="14.25">
      <c r="A32" t="s">
        <v>92</v>
      </c>
      <c r="E32" t="str">
        <f t="shared" si="5"/>
        <v>Trd_Bus</v>
      </c>
      <c r="F32" t="str">
        <f t="shared" si="7"/>
        <v>DMD_Trd_Bus</v>
      </c>
      <c r="G32" t="str">
        <f t="shared" si="9"/>
        <v>Bus</v>
      </c>
      <c r="O32" s="1" t="s">
        <v>154</v>
      </c>
      <c r="P32" s="1" t="s">
        <v>161</v>
      </c>
    </row>
    <row r="33" spans="1:16" ht="14.25">
      <c r="A33" t="s">
        <v>92</v>
      </c>
      <c r="E33" t="str">
        <f t="shared" si="5"/>
        <v>Trd_Car</v>
      </c>
      <c r="F33" t="str">
        <f t="shared" si="7"/>
        <v>DMD_Trd_Car</v>
      </c>
      <c r="G33" t="str">
        <f t="shared" si="9"/>
        <v>Cars</v>
      </c>
      <c r="O33" s="1" t="s">
        <v>157</v>
      </c>
      <c r="P33" s="1" t="s">
        <v>164</v>
      </c>
    </row>
    <row r="34" spans="1:16" ht="14.25">
      <c r="A34" t="s">
        <v>92</v>
      </c>
      <c r="E34" t="str">
        <f t="shared" si="5"/>
        <v>Trd_Hdt</v>
      </c>
      <c r="F34" t="str">
        <f t="shared" si="7"/>
        <v>DMD_Trd_Hdt</v>
      </c>
      <c r="G34" t="str">
        <f t="shared" si="9"/>
        <v>Heavy Trucks</v>
      </c>
      <c r="O34" s="1" t="s">
        <v>158</v>
      </c>
      <c r="P34" s="1" t="s">
        <v>165</v>
      </c>
    </row>
    <row r="35" spans="1:16" ht="14.25">
      <c r="A35" t="s">
        <v>92</v>
      </c>
      <c r="E35" t="str">
        <f t="shared" si="5"/>
        <v>Trd_Lcv</v>
      </c>
      <c r="F35" t="str">
        <f t="shared" si="7"/>
        <v>DMD_Trd_Lcv</v>
      </c>
      <c r="G35" t="str">
        <f t="shared" si="9"/>
        <v>Light Trucks</v>
      </c>
      <c r="O35" s="1" t="s">
        <v>93</v>
      </c>
      <c r="P35" s="1" t="s">
        <v>94</v>
      </c>
    </row>
    <row r="36" spans="1:16" ht="14.25">
      <c r="A36" t="s">
        <v>92</v>
      </c>
      <c r="E36" t="str">
        <f t="shared" si="5"/>
        <v>TTF</v>
      </c>
      <c r="F36" t="str">
        <f t="shared" si="7"/>
        <v>DMD_TTF</v>
      </c>
      <c r="G36" t="str">
        <f t="shared" si="9"/>
        <v>Rail-Freight</v>
      </c>
      <c r="O36" s="1" t="s">
        <v>95</v>
      </c>
      <c r="P36" s="1" t="s">
        <v>96</v>
      </c>
    </row>
    <row r="37" spans="1:16" ht="14.25">
      <c r="A37" t="s">
        <v>92</v>
      </c>
      <c r="E37" t="str">
        <f t="shared" si="5"/>
        <v>TTP</v>
      </c>
      <c r="F37" t="str">
        <f t="shared" si="7"/>
        <v>DMD_TTP</v>
      </c>
      <c r="G37" t="str">
        <f t="shared" si="9"/>
        <v>Rail-Passenger</v>
      </c>
      <c r="O37" s="1" t="s">
        <v>112</v>
      </c>
      <c r="P37" s="1" t="s">
        <v>113</v>
      </c>
    </row>
    <row r="38" spans="1:16" ht="14.25">
      <c r="A38" t="s">
        <v>92</v>
      </c>
      <c r="E38" t="str">
        <f t="shared" si="5"/>
        <v>TWD</v>
      </c>
      <c r="F38" t="str">
        <f t="shared" si="7"/>
        <v>DMD_TWD</v>
      </c>
      <c r="G38" t="str">
        <f t="shared" si="9"/>
        <v>Domestic Ships</v>
      </c>
      <c r="O38" s="1" t="s">
        <v>110</v>
      </c>
      <c r="P38" s="1" t="s">
        <v>111</v>
      </c>
    </row>
    <row r="39" spans="1:16" ht="14.25">
      <c r="A39" t="s">
        <v>92</v>
      </c>
      <c r="E39" t="str">
        <f t="shared" si="5"/>
        <v>TWI</v>
      </c>
      <c r="F39" t="str">
        <f t="shared" si="7"/>
        <v>DMD_TWI</v>
      </c>
      <c r="G39" t="str">
        <f t="shared" si="9"/>
        <v>International Ships</v>
      </c>
      <c r="O39" s="1" t="s">
        <v>102</v>
      </c>
      <c r="P39" s="1" t="s">
        <v>103</v>
      </c>
    </row>
    <row r="40" spans="1:16" ht="14.25">
      <c r="A40" t="s">
        <v>221</v>
      </c>
      <c r="B40" t="s">
        <v>1053</v>
      </c>
      <c r="F40" t="s">
        <v>222</v>
      </c>
      <c r="G40" t="s">
        <v>45</v>
      </c>
      <c r="H40" t="s">
        <v>73</v>
      </c>
      <c r="I40" t="s">
        <v>74</v>
      </c>
      <c r="J40" t="s">
        <v>73</v>
      </c>
      <c r="K40" t="s">
        <v>74</v>
      </c>
      <c r="O40" s="1" t="s">
        <v>104</v>
      </c>
      <c r="P40" s="1" t="s">
        <v>105</v>
      </c>
    </row>
    <row r="41" spans="1:16" ht="14.25">
      <c r="A41" t="s">
        <v>223</v>
      </c>
      <c r="B41" t="s">
        <v>224</v>
      </c>
      <c r="D41" t="s">
        <v>233</v>
      </c>
      <c r="E41" s="2" t="s">
        <v>283</v>
      </c>
      <c r="F41" t="s">
        <v>225</v>
      </c>
      <c r="G41" t="s">
        <v>48</v>
      </c>
      <c r="H41" t="s">
        <v>74</v>
      </c>
      <c r="I41" t="s">
        <v>74</v>
      </c>
      <c r="J41" t="s">
        <v>73</v>
      </c>
      <c r="K41" t="s">
        <v>74</v>
      </c>
      <c r="O41" s="1" t="s">
        <v>106</v>
      </c>
      <c r="P41" s="1" t="s">
        <v>107</v>
      </c>
    </row>
    <row r="42" spans="1:16" ht="14.25">
      <c r="A42" t="s">
        <v>223</v>
      </c>
      <c r="E42" t="s">
        <v>272</v>
      </c>
      <c r="F42" t="s">
        <v>273</v>
      </c>
      <c r="G42" t="s">
        <v>274</v>
      </c>
      <c r="O42" s="1" t="s">
        <v>108</v>
      </c>
      <c r="P42" s="1" t="s">
        <v>109</v>
      </c>
    </row>
    <row r="43" spans="1:16" ht="14.25">
      <c r="A43" t="s">
        <v>221</v>
      </c>
      <c r="B43" t="s">
        <v>226</v>
      </c>
      <c r="F43" t="s">
        <v>227</v>
      </c>
      <c r="G43" t="s">
        <v>52</v>
      </c>
      <c r="I43" t="s">
        <v>73</v>
      </c>
      <c r="J43" t="s">
        <v>73</v>
      </c>
      <c r="K43" t="s">
        <v>74</v>
      </c>
      <c r="O43" s="1" t="s">
        <v>97</v>
      </c>
      <c r="P43" s="1" t="s">
        <v>98</v>
      </c>
    </row>
    <row r="44" spans="1:16" ht="14.25">
      <c r="A44" t="s">
        <v>223</v>
      </c>
      <c r="B44" t="s">
        <v>275</v>
      </c>
      <c r="E44" s="2" t="s">
        <v>282</v>
      </c>
      <c r="F44" t="s">
        <v>277</v>
      </c>
      <c r="G44" t="s">
        <v>279</v>
      </c>
      <c r="I44" t="s">
        <v>14</v>
      </c>
      <c r="J44" t="s">
        <v>73</v>
      </c>
      <c r="K44" t="s">
        <v>74</v>
      </c>
      <c r="O44" s="1" t="s">
        <v>99</v>
      </c>
      <c r="P44" s="1" t="s">
        <v>116</v>
      </c>
    </row>
    <row r="45" spans="1:16" ht="14.25">
      <c r="A45" t="s">
        <v>92</v>
      </c>
      <c r="E45" t="s">
        <v>276</v>
      </c>
      <c r="F45" t="s">
        <v>278</v>
      </c>
      <c r="G45" t="s">
        <v>280</v>
      </c>
      <c r="O45" s="1" t="s">
        <v>100</v>
      </c>
      <c r="P45" s="1" t="s">
        <v>114</v>
      </c>
    </row>
    <row r="46" spans="15:16" ht="14.25">
      <c r="O46" s="1" t="s">
        <v>101</v>
      </c>
      <c r="P46" s="1" t="s">
        <v>115</v>
      </c>
    </row>
  </sheetData>
  <sortState ref="N24:P32">
    <sortCondition sortBy="value" ref="N24:N3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3EAFD2-6804-41B3-8CEB-3F681D89FB55}">
  <dimension ref="B3:E188"/>
  <sheetViews>
    <sheetView workbookViewId="0" topLeftCell="A151">
      <selection pane="topLeft" activeCell="C188" sqref="C188"/>
    </sheetView>
  </sheetViews>
  <sheetFormatPr defaultRowHeight="14.25"/>
  <cols>
    <col min="3" max="3" width="16.1428571428571" bestFit="1" customWidth="1"/>
    <col min="4" max="4" width="17.2857142857143" bestFit="1" customWidth="1"/>
    <col min="5" max="5" width="28" bestFit="1" customWidth="1"/>
  </cols>
  <sheetData>
    <row r="3" spans="2:2" ht="14.25">
      <c r="B3" t="s">
        <v>62</v>
      </c>
    </row>
    <row r="4" spans="2:5" ht="14.25">
      <c r="B4" t="s">
        <v>63</v>
      </c>
      <c r="C4" t="s">
        <v>2</v>
      </c>
      <c r="D4" t="s">
        <v>6</v>
      </c>
      <c r="E4" t="s">
        <v>7</v>
      </c>
    </row>
    <row r="5" spans="3:5" ht="14.25">
      <c r="C5" t="s">
        <v>740</v>
      </c>
      <c r="D5" t="s">
        <v>550</v>
      </c>
      <c r="E5" t="s">
        <v>293</v>
      </c>
    </row>
    <row r="6" spans="3:5" ht="14.25">
      <c r="C6" t="s">
        <v>741</v>
      </c>
      <c r="D6" t="s">
        <v>551</v>
      </c>
      <c r="E6" t="s">
        <v>296</v>
      </c>
    </row>
    <row r="7" spans="3:5" ht="14.25">
      <c r="C7" t="s">
        <v>742</v>
      </c>
      <c r="D7" t="s">
        <v>552</v>
      </c>
      <c r="E7" t="s">
        <v>294</v>
      </c>
    </row>
    <row r="8" spans="3:5" ht="14.25">
      <c r="C8" t="s">
        <v>743</v>
      </c>
      <c r="D8" t="s">
        <v>553</v>
      </c>
      <c r="E8" t="s">
        <v>461</v>
      </c>
    </row>
    <row r="9" spans="3:5" ht="14.25">
      <c r="C9" t="s">
        <v>744</v>
      </c>
      <c r="D9" t="s">
        <v>554</v>
      </c>
      <c r="E9" t="s">
        <v>298</v>
      </c>
    </row>
    <row r="10" spans="3:5" ht="14.25">
      <c r="C10" t="s">
        <v>745</v>
      </c>
      <c r="D10" t="s">
        <v>555</v>
      </c>
      <c r="E10" t="s">
        <v>299</v>
      </c>
    </row>
    <row r="11" spans="3:5" ht="14.25">
      <c r="C11" t="s">
        <v>746</v>
      </c>
      <c r="D11" t="s">
        <v>556</v>
      </c>
      <c r="E11" t="s">
        <v>297</v>
      </c>
    </row>
    <row r="12" spans="3:5" ht="14.25">
      <c r="C12" t="s">
        <v>747</v>
      </c>
      <c r="D12" t="s">
        <v>557</v>
      </c>
      <c r="E12" t="s">
        <v>300</v>
      </c>
    </row>
    <row r="13" spans="3:5" ht="14.25">
      <c r="C13" t="s">
        <v>748</v>
      </c>
      <c r="D13" t="s">
        <v>558</v>
      </c>
      <c r="E13" t="s">
        <v>301</v>
      </c>
    </row>
    <row r="14" spans="3:5" ht="14.25">
      <c r="C14" t="s">
        <v>749</v>
      </c>
      <c r="D14" t="s">
        <v>559</v>
      </c>
      <c r="E14" t="s">
        <v>302</v>
      </c>
    </row>
    <row r="15" spans="3:5" ht="14.25">
      <c r="C15" t="s">
        <v>750</v>
      </c>
      <c r="D15" t="s">
        <v>560</v>
      </c>
      <c r="E15" t="s">
        <v>318</v>
      </c>
    </row>
    <row r="16" spans="3:5" ht="14.25">
      <c r="C16" t="s">
        <v>751</v>
      </c>
      <c r="D16" t="s">
        <v>561</v>
      </c>
      <c r="E16" t="s">
        <v>307</v>
      </c>
    </row>
    <row r="17" spans="3:5" ht="14.25">
      <c r="C17" t="s">
        <v>752</v>
      </c>
      <c r="D17" t="s">
        <v>562</v>
      </c>
      <c r="E17" t="s">
        <v>309</v>
      </c>
    </row>
    <row r="18" spans="3:5" ht="14.25">
      <c r="C18" t="s">
        <v>753</v>
      </c>
      <c r="D18" t="s">
        <v>563</v>
      </c>
      <c r="E18" t="s">
        <v>317</v>
      </c>
    </row>
    <row r="19" spans="3:5" ht="14.25">
      <c r="C19" t="s">
        <v>754</v>
      </c>
      <c r="D19" t="s">
        <v>564</v>
      </c>
      <c r="E19" t="s">
        <v>304</v>
      </c>
    </row>
    <row r="20" spans="3:5" ht="14.25">
      <c r="C20" t="s">
        <v>755</v>
      </c>
      <c r="D20" t="s">
        <v>565</v>
      </c>
      <c r="E20" t="s">
        <v>316</v>
      </c>
    </row>
    <row r="21" spans="3:5" ht="14.25">
      <c r="C21" t="s">
        <v>756</v>
      </c>
      <c r="D21" t="s">
        <v>566</v>
      </c>
      <c r="E21" t="s">
        <v>303</v>
      </c>
    </row>
    <row r="22" spans="3:5" ht="14.25">
      <c r="C22" t="s">
        <v>757</v>
      </c>
      <c r="D22" t="s">
        <v>567</v>
      </c>
      <c r="E22" t="s">
        <v>450</v>
      </c>
    </row>
    <row r="23" spans="3:5" ht="14.25">
      <c r="C23" t="s">
        <v>758</v>
      </c>
      <c r="D23" t="s">
        <v>568</v>
      </c>
      <c r="E23" t="s">
        <v>312</v>
      </c>
    </row>
    <row r="24" spans="3:5" ht="14.25">
      <c r="C24" t="s">
        <v>759</v>
      </c>
      <c r="D24" t="s">
        <v>569</v>
      </c>
      <c r="E24" t="s">
        <v>306</v>
      </c>
    </row>
    <row r="25" spans="3:5" ht="14.25">
      <c r="C25" t="s">
        <v>760</v>
      </c>
      <c r="D25" t="s">
        <v>570</v>
      </c>
      <c r="E25" t="s">
        <v>308</v>
      </c>
    </row>
    <row r="26" spans="3:5" ht="14.25">
      <c r="C26" t="s">
        <v>761</v>
      </c>
      <c r="D26" t="s">
        <v>571</v>
      </c>
      <c r="E26" t="s">
        <v>311</v>
      </c>
    </row>
    <row r="27" spans="3:5" ht="14.25">
      <c r="C27" t="s">
        <v>762</v>
      </c>
      <c r="D27" t="s">
        <v>572</v>
      </c>
      <c r="E27" t="s">
        <v>314</v>
      </c>
    </row>
    <row r="28" spans="3:5" ht="14.25">
      <c r="C28" t="s">
        <v>763</v>
      </c>
      <c r="D28" t="s">
        <v>573</v>
      </c>
      <c r="E28" t="s">
        <v>305</v>
      </c>
    </row>
    <row r="29" spans="3:5" ht="14.25">
      <c r="C29" t="s">
        <v>764</v>
      </c>
      <c r="D29" t="s">
        <v>574</v>
      </c>
      <c r="E29" t="s">
        <v>315</v>
      </c>
    </row>
    <row r="30" spans="3:5" ht="14.25">
      <c r="C30" t="s">
        <v>765</v>
      </c>
      <c r="D30" t="s">
        <v>575</v>
      </c>
      <c r="E30" t="s">
        <v>310</v>
      </c>
    </row>
    <row r="31" spans="3:5" ht="14.25">
      <c r="C31" t="s">
        <v>766</v>
      </c>
      <c r="D31" t="s">
        <v>576</v>
      </c>
      <c r="E31" t="s">
        <v>313</v>
      </c>
    </row>
    <row r="32" spans="3:5" ht="14.25">
      <c r="C32" t="s">
        <v>767</v>
      </c>
      <c r="D32" t="s">
        <v>577</v>
      </c>
      <c r="E32" t="s">
        <v>322</v>
      </c>
    </row>
    <row r="33" spans="3:5" ht="14.25">
      <c r="C33" t="s">
        <v>768</v>
      </c>
      <c r="D33" t="s">
        <v>578</v>
      </c>
      <c r="E33" t="s">
        <v>321</v>
      </c>
    </row>
    <row r="34" spans="3:5" ht="14.25">
      <c r="C34" t="s">
        <v>769</v>
      </c>
      <c r="D34" t="s">
        <v>579</v>
      </c>
      <c r="E34" t="s">
        <v>444</v>
      </c>
    </row>
    <row r="35" spans="3:5" ht="14.25">
      <c r="C35" t="s">
        <v>770</v>
      </c>
      <c r="D35" t="s">
        <v>580</v>
      </c>
      <c r="E35" t="s">
        <v>324</v>
      </c>
    </row>
    <row r="36" spans="3:5" ht="14.25">
      <c r="C36" t="s">
        <v>771</v>
      </c>
      <c r="D36" t="s">
        <v>581</v>
      </c>
      <c r="E36" t="s">
        <v>325</v>
      </c>
    </row>
    <row r="37" spans="3:5" ht="14.25">
      <c r="C37" t="s">
        <v>772</v>
      </c>
      <c r="D37" t="s">
        <v>582</v>
      </c>
      <c r="E37" t="s">
        <v>328</v>
      </c>
    </row>
    <row r="38" spans="3:5" ht="14.25">
      <c r="C38" t="s">
        <v>773</v>
      </c>
      <c r="D38" t="s">
        <v>583</v>
      </c>
      <c r="E38" t="s">
        <v>320</v>
      </c>
    </row>
    <row r="39" spans="3:5" ht="14.25">
      <c r="C39" t="s">
        <v>774</v>
      </c>
      <c r="D39" t="s">
        <v>584</v>
      </c>
      <c r="E39" t="s">
        <v>334</v>
      </c>
    </row>
    <row r="40" spans="3:5" ht="14.25">
      <c r="C40" t="s">
        <v>775</v>
      </c>
      <c r="D40" t="s">
        <v>585</v>
      </c>
      <c r="E40" t="s">
        <v>422</v>
      </c>
    </row>
    <row r="41" spans="3:5" ht="14.25">
      <c r="C41" t="s">
        <v>776</v>
      </c>
      <c r="D41" t="s">
        <v>586</v>
      </c>
      <c r="E41" t="s">
        <v>326</v>
      </c>
    </row>
    <row r="42" spans="3:5" ht="14.25">
      <c r="C42" t="s">
        <v>777</v>
      </c>
      <c r="D42" t="s">
        <v>587</v>
      </c>
      <c r="E42" t="s">
        <v>327</v>
      </c>
    </row>
    <row r="43" spans="3:5" ht="14.25">
      <c r="C43" t="s">
        <v>778</v>
      </c>
      <c r="D43" t="s">
        <v>588</v>
      </c>
      <c r="E43" t="s">
        <v>330</v>
      </c>
    </row>
    <row r="44" spans="3:5" ht="14.25">
      <c r="C44" t="s">
        <v>779</v>
      </c>
      <c r="D44" t="s">
        <v>589</v>
      </c>
      <c r="E44" t="s">
        <v>331</v>
      </c>
    </row>
    <row r="45" spans="3:5" ht="14.25">
      <c r="C45" t="s">
        <v>780</v>
      </c>
      <c r="D45" t="s">
        <v>590</v>
      </c>
      <c r="E45" t="s">
        <v>332</v>
      </c>
    </row>
    <row r="46" spans="3:5" ht="14.25">
      <c r="C46" t="s">
        <v>781</v>
      </c>
      <c r="D46" t="s">
        <v>591</v>
      </c>
      <c r="E46" t="s">
        <v>351</v>
      </c>
    </row>
    <row r="47" spans="3:5" ht="14.25">
      <c r="C47" t="s">
        <v>782</v>
      </c>
      <c r="D47" t="s">
        <v>592</v>
      </c>
      <c r="E47" t="s">
        <v>336</v>
      </c>
    </row>
    <row r="48" spans="3:5" ht="14.25">
      <c r="C48" t="s">
        <v>783</v>
      </c>
      <c r="D48" t="s">
        <v>593</v>
      </c>
      <c r="E48" t="s">
        <v>335</v>
      </c>
    </row>
    <row r="49" spans="3:5" ht="14.25">
      <c r="C49" t="s">
        <v>784</v>
      </c>
      <c r="D49" t="s">
        <v>594</v>
      </c>
      <c r="E49" t="s">
        <v>337</v>
      </c>
    </row>
    <row r="50" spans="3:5" ht="14.25">
      <c r="C50" t="s">
        <v>785</v>
      </c>
      <c r="D50" t="s">
        <v>595</v>
      </c>
      <c r="E50" t="s">
        <v>295</v>
      </c>
    </row>
    <row r="51" spans="3:5" ht="14.25">
      <c r="C51" t="s">
        <v>786</v>
      </c>
      <c r="D51" t="s">
        <v>596</v>
      </c>
      <c r="E51" t="s">
        <v>338</v>
      </c>
    </row>
    <row r="52" spans="3:5" ht="14.25">
      <c r="C52" t="s">
        <v>787</v>
      </c>
      <c r="D52" t="s">
        <v>597</v>
      </c>
      <c r="E52" t="s">
        <v>339</v>
      </c>
    </row>
    <row r="53" spans="3:5" ht="14.25">
      <c r="C53" t="s">
        <v>788</v>
      </c>
      <c r="D53" t="s">
        <v>598</v>
      </c>
      <c r="E53" t="s">
        <v>342</v>
      </c>
    </row>
    <row r="54" spans="3:5" ht="14.25">
      <c r="C54" t="s">
        <v>789</v>
      </c>
      <c r="D54" t="s">
        <v>599</v>
      </c>
      <c r="E54" t="s">
        <v>600</v>
      </c>
    </row>
    <row r="55" spans="3:5" ht="14.25">
      <c r="C55" t="s">
        <v>790</v>
      </c>
      <c r="D55" t="s">
        <v>601</v>
      </c>
      <c r="E55" t="s">
        <v>438</v>
      </c>
    </row>
    <row r="56" spans="3:5" ht="14.25">
      <c r="C56" t="s">
        <v>791</v>
      </c>
      <c r="D56" t="s">
        <v>602</v>
      </c>
      <c r="E56" t="s">
        <v>343</v>
      </c>
    </row>
    <row r="57" spans="3:5" ht="14.25">
      <c r="C57" t="s">
        <v>792</v>
      </c>
      <c r="D57" t="s">
        <v>603</v>
      </c>
      <c r="E57" t="s">
        <v>344</v>
      </c>
    </row>
    <row r="58" spans="3:5" ht="14.25">
      <c r="C58" t="s">
        <v>793</v>
      </c>
      <c r="D58" t="s">
        <v>604</v>
      </c>
      <c r="E58" t="s">
        <v>346</v>
      </c>
    </row>
    <row r="59" spans="3:5" ht="14.25">
      <c r="C59" t="s">
        <v>794</v>
      </c>
      <c r="D59" t="s">
        <v>605</v>
      </c>
      <c r="E59" t="s">
        <v>606</v>
      </c>
    </row>
    <row r="60" spans="3:5" ht="14.25">
      <c r="C60" t="s">
        <v>795</v>
      </c>
      <c r="D60" t="s">
        <v>607</v>
      </c>
      <c r="E60" t="s">
        <v>347</v>
      </c>
    </row>
    <row r="61" spans="3:5" ht="14.25">
      <c r="C61" t="s">
        <v>796</v>
      </c>
      <c r="D61" t="s">
        <v>608</v>
      </c>
      <c r="E61" t="s">
        <v>345</v>
      </c>
    </row>
    <row r="62" spans="3:5" ht="14.25">
      <c r="C62" t="s">
        <v>797</v>
      </c>
      <c r="D62" t="s">
        <v>609</v>
      </c>
      <c r="E62" t="s">
        <v>349</v>
      </c>
    </row>
    <row r="63" spans="3:5" ht="14.25">
      <c r="C63" t="s">
        <v>798</v>
      </c>
      <c r="D63" t="s">
        <v>610</v>
      </c>
      <c r="E63" t="s">
        <v>462</v>
      </c>
    </row>
    <row r="64" spans="3:5" ht="14.25">
      <c r="C64" t="s">
        <v>799</v>
      </c>
      <c r="D64" t="s">
        <v>611</v>
      </c>
      <c r="E64" t="s">
        <v>350</v>
      </c>
    </row>
    <row r="65" spans="3:5" ht="14.25">
      <c r="C65" t="s">
        <v>800</v>
      </c>
      <c r="D65" t="s">
        <v>612</v>
      </c>
      <c r="E65" t="s">
        <v>352</v>
      </c>
    </row>
    <row r="66" spans="3:5" ht="14.25">
      <c r="C66" t="s">
        <v>801</v>
      </c>
      <c r="D66" t="s">
        <v>613</v>
      </c>
      <c r="E66" t="s">
        <v>357</v>
      </c>
    </row>
    <row r="67" spans="3:5" ht="14.25">
      <c r="C67" t="s">
        <v>802</v>
      </c>
      <c r="D67" t="s">
        <v>614</v>
      </c>
      <c r="E67" t="s">
        <v>451</v>
      </c>
    </row>
    <row r="68" spans="3:5" ht="14.25">
      <c r="C68" t="s">
        <v>803</v>
      </c>
      <c r="D68" t="s">
        <v>615</v>
      </c>
      <c r="E68" t="s">
        <v>358</v>
      </c>
    </row>
    <row r="69" spans="3:5" ht="14.25">
      <c r="C69" t="s">
        <v>804</v>
      </c>
      <c r="D69" t="s">
        <v>616</v>
      </c>
      <c r="E69" t="s">
        <v>341</v>
      </c>
    </row>
    <row r="70" spans="3:5" ht="14.25">
      <c r="C70" t="s">
        <v>805</v>
      </c>
      <c r="D70" t="s">
        <v>617</v>
      </c>
      <c r="E70" t="s">
        <v>353</v>
      </c>
    </row>
    <row r="71" spans="3:5" ht="14.25">
      <c r="C71" t="s">
        <v>806</v>
      </c>
      <c r="D71" t="s">
        <v>618</v>
      </c>
      <c r="E71" t="s">
        <v>355</v>
      </c>
    </row>
    <row r="72" spans="3:5" ht="14.25">
      <c r="C72" t="s">
        <v>807</v>
      </c>
      <c r="D72" t="s">
        <v>619</v>
      </c>
      <c r="E72" t="s">
        <v>354</v>
      </c>
    </row>
    <row r="73" spans="3:5" ht="14.25">
      <c r="C73" t="s">
        <v>808</v>
      </c>
      <c r="D73" t="s">
        <v>620</v>
      </c>
      <c r="E73" t="s">
        <v>356</v>
      </c>
    </row>
    <row r="74" spans="3:5" ht="14.25">
      <c r="C74" t="s">
        <v>809</v>
      </c>
      <c r="D74" t="s">
        <v>621</v>
      </c>
      <c r="E74" t="s">
        <v>348</v>
      </c>
    </row>
    <row r="75" spans="3:5" ht="14.25">
      <c r="C75" t="s">
        <v>810</v>
      </c>
      <c r="D75" t="s">
        <v>622</v>
      </c>
      <c r="E75" t="s">
        <v>359</v>
      </c>
    </row>
    <row r="76" spans="3:5" ht="14.25">
      <c r="C76" t="s">
        <v>811</v>
      </c>
      <c r="D76" t="s">
        <v>623</v>
      </c>
      <c r="E76" t="s">
        <v>361</v>
      </c>
    </row>
    <row r="77" spans="3:5" ht="14.25">
      <c r="C77" t="s">
        <v>812</v>
      </c>
      <c r="D77" t="s">
        <v>624</v>
      </c>
      <c r="E77" t="s">
        <v>329</v>
      </c>
    </row>
    <row r="78" spans="3:5" ht="14.25">
      <c r="C78" t="s">
        <v>813</v>
      </c>
      <c r="D78" t="s">
        <v>625</v>
      </c>
      <c r="E78" t="s">
        <v>360</v>
      </c>
    </row>
    <row r="79" spans="3:5" ht="14.25">
      <c r="C79" t="s">
        <v>814</v>
      </c>
      <c r="D79" t="s">
        <v>626</v>
      </c>
      <c r="E79" t="s">
        <v>362</v>
      </c>
    </row>
    <row r="80" spans="3:5" ht="14.25">
      <c r="C80" t="s">
        <v>815</v>
      </c>
      <c r="D80" t="s">
        <v>627</v>
      </c>
      <c r="E80" t="s">
        <v>365</v>
      </c>
    </row>
    <row r="81" spans="3:5" ht="14.25">
      <c r="C81" t="s">
        <v>816</v>
      </c>
      <c r="D81" t="s">
        <v>628</v>
      </c>
      <c r="E81" t="s">
        <v>369</v>
      </c>
    </row>
    <row r="82" spans="3:5" ht="14.25">
      <c r="C82" t="s">
        <v>817</v>
      </c>
      <c r="D82" t="s">
        <v>629</v>
      </c>
      <c r="E82" t="s">
        <v>364</v>
      </c>
    </row>
    <row r="83" spans="3:5" ht="14.25">
      <c r="C83" t="s">
        <v>818</v>
      </c>
      <c r="D83" t="s">
        <v>630</v>
      </c>
      <c r="E83" t="s">
        <v>368</v>
      </c>
    </row>
    <row r="84" spans="3:5" ht="14.25">
      <c r="C84" t="s">
        <v>819</v>
      </c>
      <c r="D84" t="s">
        <v>631</v>
      </c>
      <c r="E84" t="s">
        <v>366</v>
      </c>
    </row>
    <row r="85" spans="3:5" ht="14.25">
      <c r="C85" t="s">
        <v>820</v>
      </c>
      <c r="D85" t="s">
        <v>632</v>
      </c>
      <c r="E85" t="s">
        <v>367</v>
      </c>
    </row>
    <row r="86" spans="3:5" ht="14.25">
      <c r="C86" t="s">
        <v>821</v>
      </c>
      <c r="D86" t="s">
        <v>633</v>
      </c>
      <c r="E86" t="s">
        <v>363</v>
      </c>
    </row>
    <row r="87" spans="3:5" ht="14.25">
      <c r="C87" t="s">
        <v>822</v>
      </c>
      <c r="D87" t="s">
        <v>634</v>
      </c>
      <c r="E87" t="s">
        <v>370</v>
      </c>
    </row>
    <row r="88" spans="3:5" ht="14.25">
      <c r="C88" t="s">
        <v>823</v>
      </c>
      <c r="D88" t="s">
        <v>635</v>
      </c>
      <c r="E88" t="s">
        <v>371</v>
      </c>
    </row>
    <row r="89" spans="3:5" ht="14.25">
      <c r="C89" t="s">
        <v>824</v>
      </c>
      <c r="D89" t="s">
        <v>636</v>
      </c>
      <c r="E89" t="s">
        <v>372</v>
      </c>
    </row>
    <row r="90" spans="3:5" ht="14.25">
      <c r="C90" t="s">
        <v>825</v>
      </c>
      <c r="D90" t="s">
        <v>637</v>
      </c>
      <c r="E90" t="s">
        <v>374</v>
      </c>
    </row>
    <row r="91" spans="3:5" ht="14.25">
      <c r="C91" t="s">
        <v>826</v>
      </c>
      <c r="D91" t="s">
        <v>638</v>
      </c>
      <c r="E91" t="s">
        <v>373</v>
      </c>
    </row>
    <row r="92" spans="3:5" ht="14.25">
      <c r="C92" t="s">
        <v>827</v>
      </c>
      <c r="D92" t="s">
        <v>639</v>
      </c>
      <c r="E92" t="s">
        <v>375</v>
      </c>
    </row>
    <row r="93" spans="3:5" ht="14.25">
      <c r="C93" t="s">
        <v>828</v>
      </c>
      <c r="D93" t="s">
        <v>640</v>
      </c>
      <c r="E93" t="s">
        <v>376</v>
      </c>
    </row>
    <row r="94" spans="3:5" ht="14.25">
      <c r="C94" t="s">
        <v>829</v>
      </c>
      <c r="D94" t="s">
        <v>641</v>
      </c>
      <c r="E94" t="s">
        <v>379</v>
      </c>
    </row>
    <row r="95" spans="3:5" ht="14.25">
      <c r="C95" t="s">
        <v>830</v>
      </c>
      <c r="D95" t="s">
        <v>642</v>
      </c>
      <c r="E95" t="s">
        <v>319</v>
      </c>
    </row>
    <row r="96" spans="3:5" ht="14.25">
      <c r="C96" t="s">
        <v>831</v>
      </c>
      <c r="D96" t="s">
        <v>643</v>
      </c>
      <c r="E96" t="s">
        <v>377</v>
      </c>
    </row>
    <row r="97" spans="3:5" ht="14.25">
      <c r="C97" t="s">
        <v>832</v>
      </c>
      <c r="D97" t="s">
        <v>644</v>
      </c>
      <c r="E97" t="s">
        <v>378</v>
      </c>
    </row>
    <row r="98" spans="3:5" ht="14.25">
      <c r="C98" t="s">
        <v>833</v>
      </c>
      <c r="D98" t="s">
        <v>645</v>
      </c>
      <c r="E98" t="s">
        <v>380</v>
      </c>
    </row>
    <row r="99" spans="3:5" ht="14.25">
      <c r="C99" t="s">
        <v>834</v>
      </c>
      <c r="D99" t="s">
        <v>646</v>
      </c>
      <c r="E99" t="s">
        <v>382</v>
      </c>
    </row>
    <row r="100" spans="3:5" ht="14.25">
      <c r="C100" t="s">
        <v>835</v>
      </c>
      <c r="D100" t="s">
        <v>647</v>
      </c>
      <c r="E100" t="s">
        <v>384</v>
      </c>
    </row>
    <row r="101" spans="3:5" ht="14.25">
      <c r="C101" t="s">
        <v>836</v>
      </c>
      <c r="D101" t="s">
        <v>648</v>
      </c>
      <c r="E101" t="s">
        <v>385</v>
      </c>
    </row>
    <row r="102" spans="3:5" ht="14.25">
      <c r="C102" t="s">
        <v>837</v>
      </c>
      <c r="D102" t="s">
        <v>649</v>
      </c>
      <c r="E102" t="s">
        <v>439</v>
      </c>
    </row>
    <row r="103" spans="3:5" ht="14.25">
      <c r="C103" t="s">
        <v>838</v>
      </c>
      <c r="D103" t="s">
        <v>650</v>
      </c>
      <c r="E103" t="s">
        <v>383</v>
      </c>
    </row>
    <row r="104" spans="3:5" ht="14.25">
      <c r="C104" t="s">
        <v>839</v>
      </c>
      <c r="D104" t="s">
        <v>651</v>
      </c>
      <c r="E104" t="s">
        <v>386</v>
      </c>
    </row>
    <row r="105" spans="3:5" ht="14.25">
      <c r="C105" t="s">
        <v>840</v>
      </c>
      <c r="D105" t="s">
        <v>652</v>
      </c>
      <c r="E105" t="s">
        <v>387</v>
      </c>
    </row>
    <row r="106" spans="3:5" ht="14.25">
      <c r="C106" t="s">
        <v>841</v>
      </c>
      <c r="D106" t="s">
        <v>653</v>
      </c>
      <c r="E106" t="s">
        <v>381</v>
      </c>
    </row>
    <row r="107" spans="3:5" ht="14.25">
      <c r="C107" t="s">
        <v>842</v>
      </c>
      <c r="D107" t="s">
        <v>654</v>
      </c>
      <c r="E107" t="s">
        <v>399</v>
      </c>
    </row>
    <row r="108" spans="3:5" ht="14.25">
      <c r="C108" t="s">
        <v>843</v>
      </c>
      <c r="D108" t="s">
        <v>655</v>
      </c>
      <c r="E108" t="s">
        <v>396</v>
      </c>
    </row>
    <row r="109" spans="3:5" ht="14.25">
      <c r="C109" t="s">
        <v>844</v>
      </c>
      <c r="D109" t="s">
        <v>656</v>
      </c>
      <c r="E109" t="s">
        <v>389</v>
      </c>
    </row>
    <row r="110" spans="3:5" ht="14.25">
      <c r="C110" t="s">
        <v>845</v>
      </c>
      <c r="D110" t="s">
        <v>657</v>
      </c>
      <c r="E110" t="s">
        <v>395</v>
      </c>
    </row>
    <row r="111" spans="3:5" ht="14.25">
      <c r="C111" t="s">
        <v>846</v>
      </c>
      <c r="D111" t="s">
        <v>658</v>
      </c>
      <c r="E111" t="s">
        <v>388</v>
      </c>
    </row>
    <row r="112" spans="3:5" ht="14.25">
      <c r="C112" t="s">
        <v>847</v>
      </c>
      <c r="D112" t="s">
        <v>659</v>
      </c>
      <c r="E112" t="s">
        <v>392</v>
      </c>
    </row>
    <row r="113" spans="3:5" ht="14.25">
      <c r="C113" t="s">
        <v>848</v>
      </c>
      <c r="D113" t="s">
        <v>660</v>
      </c>
      <c r="E113" t="s">
        <v>393</v>
      </c>
    </row>
    <row r="114" spans="3:5" ht="14.25">
      <c r="C114" t="s">
        <v>849</v>
      </c>
      <c r="D114" t="s">
        <v>661</v>
      </c>
      <c r="E114" t="s">
        <v>401</v>
      </c>
    </row>
    <row r="115" spans="3:5" ht="14.25">
      <c r="C115" t="s">
        <v>850</v>
      </c>
      <c r="D115" t="s">
        <v>662</v>
      </c>
      <c r="E115" t="s">
        <v>398</v>
      </c>
    </row>
    <row r="116" spans="3:5" ht="14.25">
      <c r="C116" t="s">
        <v>851</v>
      </c>
      <c r="D116" t="s">
        <v>663</v>
      </c>
      <c r="E116" t="s">
        <v>397</v>
      </c>
    </row>
    <row r="117" spans="3:5" ht="14.25">
      <c r="C117" t="s">
        <v>852</v>
      </c>
      <c r="D117" t="s">
        <v>664</v>
      </c>
      <c r="E117" t="s">
        <v>400</v>
      </c>
    </row>
    <row r="118" spans="3:5" ht="14.25">
      <c r="C118" t="s">
        <v>853</v>
      </c>
      <c r="D118" t="s">
        <v>665</v>
      </c>
      <c r="E118" t="s">
        <v>394</v>
      </c>
    </row>
    <row r="119" spans="3:5" ht="14.25">
      <c r="C119" t="s">
        <v>854</v>
      </c>
      <c r="D119" t="s">
        <v>666</v>
      </c>
      <c r="E119" t="s">
        <v>667</v>
      </c>
    </row>
    <row r="120" spans="3:5" ht="14.25">
      <c r="C120" t="s">
        <v>855</v>
      </c>
      <c r="D120" t="s">
        <v>668</v>
      </c>
      <c r="E120" t="s">
        <v>390</v>
      </c>
    </row>
    <row r="121" spans="3:5" ht="14.25">
      <c r="C121" t="s">
        <v>856</v>
      </c>
      <c r="D121" t="s">
        <v>669</v>
      </c>
      <c r="E121" t="s">
        <v>391</v>
      </c>
    </row>
    <row r="122" spans="3:5" ht="14.25">
      <c r="C122" t="s">
        <v>857</v>
      </c>
      <c r="D122" t="s">
        <v>670</v>
      </c>
      <c r="E122" t="s">
        <v>671</v>
      </c>
    </row>
    <row r="123" spans="3:5" ht="14.25">
      <c r="C123" t="s">
        <v>858</v>
      </c>
      <c r="D123" t="s">
        <v>672</v>
      </c>
      <c r="E123" t="s">
        <v>404</v>
      </c>
    </row>
    <row r="124" spans="3:5" ht="14.25">
      <c r="C124" t="s">
        <v>859</v>
      </c>
      <c r="D124" t="s">
        <v>673</v>
      </c>
      <c r="E124" t="s">
        <v>407</v>
      </c>
    </row>
    <row r="125" spans="3:5" ht="14.25">
      <c r="C125" t="s">
        <v>860</v>
      </c>
      <c r="D125" t="s">
        <v>674</v>
      </c>
      <c r="E125" t="s">
        <v>408</v>
      </c>
    </row>
    <row r="126" spans="3:5" ht="14.25">
      <c r="C126" t="s">
        <v>861</v>
      </c>
      <c r="D126" t="s">
        <v>675</v>
      </c>
      <c r="E126" t="s">
        <v>406</v>
      </c>
    </row>
    <row r="127" spans="3:5" ht="14.25">
      <c r="C127" t="s">
        <v>862</v>
      </c>
      <c r="D127" t="s">
        <v>676</v>
      </c>
      <c r="E127" t="s">
        <v>403</v>
      </c>
    </row>
    <row r="128" spans="3:5" ht="14.25">
      <c r="C128" t="s">
        <v>863</v>
      </c>
      <c r="D128" t="s">
        <v>677</v>
      </c>
      <c r="E128" t="s">
        <v>409</v>
      </c>
    </row>
    <row r="129" spans="3:5" ht="14.25">
      <c r="C129" t="s">
        <v>864</v>
      </c>
      <c r="D129" t="s">
        <v>678</v>
      </c>
      <c r="E129" t="s">
        <v>402</v>
      </c>
    </row>
    <row r="130" spans="3:5" ht="14.25">
      <c r="C130" t="s">
        <v>865</v>
      </c>
      <c r="D130" t="s">
        <v>679</v>
      </c>
      <c r="E130" t="s">
        <v>405</v>
      </c>
    </row>
    <row r="131" spans="3:5" ht="14.25">
      <c r="C131" t="s">
        <v>866</v>
      </c>
      <c r="D131" t="s">
        <v>680</v>
      </c>
      <c r="E131" t="s">
        <v>410</v>
      </c>
    </row>
    <row r="132" spans="3:5" ht="14.25">
      <c r="C132" t="s">
        <v>867</v>
      </c>
      <c r="D132" t="s">
        <v>681</v>
      </c>
      <c r="E132" t="s">
        <v>411</v>
      </c>
    </row>
    <row r="133" spans="3:5" ht="14.25">
      <c r="C133" t="s">
        <v>868</v>
      </c>
      <c r="D133" t="s">
        <v>682</v>
      </c>
      <c r="E133" t="s">
        <v>414</v>
      </c>
    </row>
    <row r="134" spans="3:5" ht="14.25">
      <c r="C134" t="s">
        <v>869</v>
      </c>
      <c r="D134" t="s">
        <v>683</v>
      </c>
      <c r="E134" t="s">
        <v>417</v>
      </c>
    </row>
    <row r="135" spans="3:5" ht="14.25">
      <c r="C135" t="s">
        <v>870</v>
      </c>
      <c r="D135" t="s">
        <v>684</v>
      </c>
      <c r="E135" t="s">
        <v>418</v>
      </c>
    </row>
    <row r="136" spans="3:5" ht="14.25">
      <c r="C136" t="s">
        <v>871</v>
      </c>
      <c r="D136" t="s">
        <v>685</v>
      </c>
      <c r="E136" t="s">
        <v>412</v>
      </c>
    </row>
    <row r="137" spans="3:5" ht="14.25">
      <c r="C137" t="s">
        <v>872</v>
      </c>
      <c r="D137" t="s">
        <v>686</v>
      </c>
      <c r="E137" t="s">
        <v>415</v>
      </c>
    </row>
    <row r="138" spans="3:5" ht="14.25">
      <c r="C138" t="s">
        <v>873</v>
      </c>
      <c r="D138" t="s">
        <v>687</v>
      </c>
      <c r="E138" t="s">
        <v>419</v>
      </c>
    </row>
    <row r="139" spans="3:5" ht="14.25">
      <c r="C139" t="s">
        <v>874</v>
      </c>
      <c r="D139" t="s">
        <v>688</v>
      </c>
      <c r="E139" t="s">
        <v>333</v>
      </c>
    </row>
    <row r="140" spans="3:5" ht="14.25">
      <c r="C140" t="s">
        <v>875</v>
      </c>
      <c r="D140" t="s">
        <v>689</v>
      </c>
      <c r="E140" t="s">
        <v>420</v>
      </c>
    </row>
    <row r="141" spans="3:5" ht="14.25">
      <c r="C141" t="s">
        <v>876</v>
      </c>
      <c r="D141" t="s">
        <v>690</v>
      </c>
      <c r="E141" t="s">
        <v>416</v>
      </c>
    </row>
    <row r="142" spans="3:5" ht="14.25">
      <c r="C142" t="s">
        <v>877</v>
      </c>
      <c r="D142" t="s">
        <v>691</v>
      </c>
      <c r="E142" t="s">
        <v>413</v>
      </c>
    </row>
    <row r="143" spans="3:5" ht="14.25">
      <c r="C143" t="s">
        <v>878</v>
      </c>
      <c r="D143" t="s">
        <v>692</v>
      </c>
      <c r="E143" t="s">
        <v>421</v>
      </c>
    </row>
    <row r="144" spans="3:5" ht="14.25">
      <c r="C144" t="s">
        <v>879</v>
      </c>
      <c r="D144" t="s">
        <v>693</v>
      </c>
      <c r="E144" t="s">
        <v>423</v>
      </c>
    </row>
    <row r="145" spans="3:5" ht="14.25">
      <c r="C145" t="s">
        <v>880</v>
      </c>
      <c r="D145" t="s">
        <v>694</v>
      </c>
      <c r="E145" t="s">
        <v>424</v>
      </c>
    </row>
    <row r="146" spans="3:5" ht="14.25">
      <c r="C146" t="s">
        <v>881</v>
      </c>
      <c r="D146" t="s">
        <v>695</v>
      </c>
      <c r="E146" t="s">
        <v>425</v>
      </c>
    </row>
    <row r="147" spans="3:5" ht="14.25">
      <c r="C147" t="s">
        <v>882</v>
      </c>
      <c r="D147" t="s">
        <v>696</v>
      </c>
      <c r="E147" t="s">
        <v>427</v>
      </c>
    </row>
    <row r="148" spans="3:5" ht="14.25">
      <c r="C148" t="s">
        <v>883</v>
      </c>
      <c r="D148" t="s">
        <v>697</v>
      </c>
      <c r="E148" t="s">
        <v>440</v>
      </c>
    </row>
    <row r="149" spans="3:5" ht="14.25">
      <c r="C149" t="s">
        <v>884</v>
      </c>
      <c r="D149" t="s">
        <v>698</v>
      </c>
      <c r="E149" t="s">
        <v>428</v>
      </c>
    </row>
    <row r="150" spans="3:5" ht="14.25">
      <c r="C150" t="s">
        <v>885</v>
      </c>
      <c r="D150" t="s">
        <v>699</v>
      </c>
      <c r="E150" t="s">
        <v>432</v>
      </c>
    </row>
    <row r="151" spans="3:5" ht="14.25">
      <c r="C151" t="s">
        <v>886</v>
      </c>
      <c r="D151" t="s">
        <v>700</v>
      </c>
      <c r="E151" t="s">
        <v>431</v>
      </c>
    </row>
    <row r="152" spans="3:5" ht="14.25">
      <c r="C152" t="s">
        <v>887</v>
      </c>
      <c r="D152" t="s">
        <v>701</v>
      </c>
      <c r="E152" t="s">
        <v>340</v>
      </c>
    </row>
    <row r="153" spans="3:5" ht="14.25">
      <c r="C153" t="s">
        <v>888</v>
      </c>
      <c r="D153" t="s">
        <v>702</v>
      </c>
      <c r="E153" t="s">
        <v>435</v>
      </c>
    </row>
    <row r="154" spans="3:5" ht="14.25">
      <c r="C154" t="s">
        <v>889</v>
      </c>
      <c r="D154" t="s">
        <v>703</v>
      </c>
      <c r="E154" t="s">
        <v>704</v>
      </c>
    </row>
    <row r="155" spans="3:5" ht="14.25">
      <c r="C155" t="s">
        <v>890</v>
      </c>
      <c r="D155" t="s">
        <v>705</v>
      </c>
      <c r="E155" t="s">
        <v>429</v>
      </c>
    </row>
    <row r="156" spans="3:5" ht="14.25">
      <c r="C156" t="s">
        <v>891</v>
      </c>
      <c r="D156" t="s">
        <v>706</v>
      </c>
      <c r="E156" t="s">
        <v>437</v>
      </c>
    </row>
    <row r="157" spans="3:5" ht="14.25">
      <c r="C157" t="s">
        <v>892</v>
      </c>
      <c r="D157" t="s">
        <v>707</v>
      </c>
      <c r="E157" t="s">
        <v>426</v>
      </c>
    </row>
    <row r="158" spans="3:5" ht="14.25">
      <c r="C158" t="s">
        <v>893</v>
      </c>
      <c r="D158" t="s">
        <v>708</v>
      </c>
      <c r="E158" t="s">
        <v>441</v>
      </c>
    </row>
    <row r="159" spans="3:5" ht="14.25">
      <c r="C159" t="s">
        <v>894</v>
      </c>
      <c r="D159" t="s">
        <v>709</v>
      </c>
      <c r="E159" t="s">
        <v>433</v>
      </c>
    </row>
    <row r="160" spans="3:5" ht="14.25">
      <c r="C160" t="s">
        <v>895</v>
      </c>
      <c r="D160" t="s">
        <v>710</v>
      </c>
      <c r="E160" t="s">
        <v>434</v>
      </c>
    </row>
    <row r="161" spans="3:5" ht="14.25">
      <c r="C161" t="s">
        <v>896</v>
      </c>
      <c r="D161" t="s">
        <v>711</v>
      </c>
      <c r="E161" t="s">
        <v>443</v>
      </c>
    </row>
    <row r="162" spans="3:5" ht="14.25">
      <c r="C162" t="s">
        <v>897</v>
      </c>
      <c r="D162" t="s">
        <v>712</v>
      </c>
      <c r="E162" t="s">
        <v>442</v>
      </c>
    </row>
    <row r="163" spans="3:5" ht="14.25">
      <c r="C163" t="s">
        <v>898</v>
      </c>
      <c r="D163" t="s">
        <v>713</v>
      </c>
      <c r="E163" t="s">
        <v>430</v>
      </c>
    </row>
    <row r="164" spans="3:5" ht="14.25">
      <c r="C164" t="s">
        <v>899</v>
      </c>
      <c r="D164" t="s">
        <v>714</v>
      </c>
      <c r="E164" t="s">
        <v>445</v>
      </c>
    </row>
    <row r="165" spans="3:5" ht="14.25">
      <c r="C165" t="s">
        <v>900</v>
      </c>
      <c r="D165" t="s">
        <v>715</v>
      </c>
      <c r="E165" t="s">
        <v>323</v>
      </c>
    </row>
    <row r="166" spans="3:5" ht="14.25">
      <c r="C166" t="s">
        <v>901</v>
      </c>
      <c r="D166" t="s">
        <v>716</v>
      </c>
      <c r="E166" t="s">
        <v>453</v>
      </c>
    </row>
    <row r="167" spans="3:5" ht="14.25">
      <c r="C167" t="s">
        <v>902</v>
      </c>
      <c r="D167" t="s">
        <v>717</v>
      </c>
      <c r="E167" t="s">
        <v>449</v>
      </c>
    </row>
    <row r="168" spans="3:5" ht="14.25">
      <c r="C168" t="s">
        <v>903</v>
      </c>
      <c r="D168" t="s">
        <v>718</v>
      </c>
      <c r="E168" t="s">
        <v>447</v>
      </c>
    </row>
    <row r="169" spans="3:5" ht="14.25">
      <c r="C169" t="s">
        <v>904</v>
      </c>
      <c r="D169" t="s">
        <v>719</v>
      </c>
      <c r="E169" t="s">
        <v>458</v>
      </c>
    </row>
    <row r="170" spans="3:5" ht="14.25">
      <c r="C170" t="s">
        <v>905</v>
      </c>
      <c r="D170" t="s">
        <v>720</v>
      </c>
      <c r="E170" t="s">
        <v>452</v>
      </c>
    </row>
    <row r="171" spans="3:5" ht="14.25">
      <c r="C171" t="s">
        <v>906</v>
      </c>
      <c r="D171" t="s">
        <v>721</v>
      </c>
      <c r="E171" t="s">
        <v>454</v>
      </c>
    </row>
    <row r="172" spans="3:5" ht="14.25">
      <c r="C172" t="s">
        <v>907</v>
      </c>
      <c r="D172" t="s">
        <v>722</v>
      </c>
      <c r="E172" t="s">
        <v>455</v>
      </c>
    </row>
    <row r="173" spans="3:5" ht="14.25">
      <c r="C173" t="s">
        <v>908</v>
      </c>
      <c r="D173" t="s">
        <v>723</v>
      </c>
      <c r="E173" t="s">
        <v>456</v>
      </c>
    </row>
    <row r="174" spans="3:5" ht="14.25">
      <c r="C174" t="s">
        <v>909</v>
      </c>
      <c r="D174" t="s">
        <v>724</v>
      </c>
      <c r="E174" t="s">
        <v>457</v>
      </c>
    </row>
    <row r="175" spans="3:5" ht="14.25">
      <c r="C175" t="s">
        <v>910</v>
      </c>
      <c r="D175" t="s">
        <v>725</v>
      </c>
      <c r="E175" t="s">
        <v>446</v>
      </c>
    </row>
    <row r="176" spans="3:5" ht="14.25">
      <c r="C176" t="s">
        <v>911</v>
      </c>
      <c r="D176" t="s">
        <v>726</v>
      </c>
      <c r="E176" t="s">
        <v>448</v>
      </c>
    </row>
    <row r="177" spans="3:5" ht="14.25">
      <c r="C177" t="s">
        <v>912</v>
      </c>
      <c r="D177" t="s">
        <v>727</v>
      </c>
      <c r="E177" t="s">
        <v>459</v>
      </c>
    </row>
    <row r="178" spans="3:5" ht="14.25">
      <c r="C178" t="s">
        <v>913</v>
      </c>
      <c r="D178" t="s">
        <v>728</v>
      </c>
      <c r="E178" t="s">
        <v>460</v>
      </c>
    </row>
    <row r="179" spans="3:5" ht="14.25">
      <c r="C179" t="s">
        <v>914</v>
      </c>
      <c r="D179" t="s">
        <v>729</v>
      </c>
      <c r="E179" t="s">
        <v>464</v>
      </c>
    </row>
    <row r="180" spans="3:5" ht="14.25">
      <c r="C180" t="s">
        <v>915</v>
      </c>
      <c r="D180" t="s">
        <v>730</v>
      </c>
      <c r="E180" t="s">
        <v>463</v>
      </c>
    </row>
    <row r="181" spans="3:5" ht="14.25">
      <c r="C181" t="s">
        <v>916</v>
      </c>
      <c r="D181" t="s">
        <v>731</v>
      </c>
      <c r="E181" t="s">
        <v>465</v>
      </c>
    </row>
    <row r="182" spans="3:5" ht="14.25">
      <c r="C182" t="s">
        <v>917</v>
      </c>
      <c r="D182" t="s">
        <v>732</v>
      </c>
      <c r="E182" t="s">
        <v>467</v>
      </c>
    </row>
    <row r="183" spans="3:5" ht="14.25">
      <c r="C183" t="s">
        <v>918</v>
      </c>
      <c r="D183" t="s">
        <v>733</v>
      </c>
      <c r="E183" t="s">
        <v>468</v>
      </c>
    </row>
    <row r="184" spans="3:5" ht="14.25">
      <c r="C184" t="s">
        <v>919</v>
      </c>
      <c r="D184" t="s">
        <v>734</v>
      </c>
      <c r="E184" t="s">
        <v>466</v>
      </c>
    </row>
    <row r="185" spans="3:5" ht="14.25">
      <c r="C185" t="s">
        <v>920</v>
      </c>
      <c r="D185" t="s">
        <v>735</v>
      </c>
      <c r="E185" t="s">
        <v>469</v>
      </c>
    </row>
    <row r="186" spans="3:5" ht="14.25">
      <c r="C186" t="s">
        <v>921</v>
      </c>
      <c r="D186" t="s">
        <v>736</v>
      </c>
      <c r="E186" t="s">
        <v>436</v>
      </c>
    </row>
    <row r="187" spans="3:5" ht="14.25">
      <c r="C187" t="s">
        <v>922</v>
      </c>
      <c r="D187" t="s">
        <v>737</v>
      </c>
      <c r="E187" t="s">
        <v>470</v>
      </c>
    </row>
    <row r="188" spans="3:5" ht="14.25">
      <c r="C188" t="s">
        <v>923</v>
      </c>
      <c r="D188" t="s">
        <v>738</v>
      </c>
      <c r="E188" t="s">
        <v>471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309771-802F-4126-A7A5-6115F9D25E28}">
  <dimension ref="B2:P23"/>
  <sheetViews>
    <sheetView workbookViewId="0" topLeftCell="A1">
      <selection pane="topLeft" activeCell="B21" sqref="B21"/>
    </sheetView>
  </sheetViews>
  <sheetFormatPr defaultRowHeight="14.25"/>
  <cols>
    <col min="2" max="2" width="11.5714285714286" bestFit="1" customWidth="1"/>
    <col min="3" max="3" width="8.42857142857143" bestFit="1" customWidth="1"/>
    <col min="4" max="4" width="8.28571428571429" bestFit="1" customWidth="1"/>
    <col min="5" max="5" width="13.8571428571429" bestFit="1" customWidth="1"/>
    <col min="6" max="6" width="14.5714285714286" bestFit="1" customWidth="1"/>
    <col min="7" max="7" width="13.7142857142857" bestFit="1" customWidth="1"/>
    <col min="8" max="8" width="11.5714285714286" bestFit="1" customWidth="1"/>
    <col min="9" max="9" width="13.4285714285714" bestFit="1" customWidth="1"/>
    <col min="10" max="10" width="9.71428571428571" bestFit="1" customWidth="1"/>
    <col min="13" max="13" width="13.8571428571429" bestFit="1" customWidth="1"/>
  </cols>
  <sheetData>
    <row r="2" spans="2:2" ht="14.25">
      <c r="B2" t="s">
        <v>62</v>
      </c>
    </row>
    <row r="3" spans="2:10" ht="14.25"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</v>
      </c>
      <c r="H3" t="s">
        <v>7</v>
      </c>
      <c r="I3" t="s">
        <v>9</v>
      </c>
      <c r="J3" t="s">
        <v>12</v>
      </c>
    </row>
    <row r="4" spans="2:16" ht="14.25">
      <c r="B4" t="s">
        <v>68</v>
      </c>
      <c r="E4" t="str">
        <f t="shared" si="0" ref="E4:E17">M4</f>
        <v>ELCBSL,ELCBIO</v>
      </c>
      <c r="F4" s="2" t="s">
        <v>197</v>
      </c>
      <c r="G4" t="str">
        <f t="shared" si="1" ref="G4:G17">"E_"&amp;N4</f>
        <v>E_Bio</v>
      </c>
      <c r="H4" t="str">
        <f t="shared" si="2" ref="H4:H17">N4</f>
        <v>Bio</v>
      </c>
      <c r="L4">
        <v>1</v>
      </c>
      <c r="M4" t="s">
        <v>196</v>
      </c>
      <c r="N4" t="s">
        <v>190</v>
      </c>
      <c r="P4" t="str">
        <f>G4</f>
        <v>E_Bio</v>
      </c>
    </row>
    <row r="5" spans="2:16" ht="14.25">
      <c r="B5" t="s">
        <v>68</v>
      </c>
      <c r="E5" t="str">
        <f t="shared" si="0"/>
        <v>ELCCOA</v>
      </c>
      <c r="F5" s="2" t="s">
        <v>197</v>
      </c>
      <c r="G5" t="str">
        <f t="shared" si="1"/>
        <v>E_Coal</v>
      </c>
      <c r="H5" t="str">
        <f t="shared" si="2"/>
        <v>Coal</v>
      </c>
      <c r="L5">
        <v>1</v>
      </c>
      <c r="M5" t="s">
        <v>180</v>
      </c>
      <c r="N5" t="s">
        <v>18</v>
      </c>
      <c r="P5" t="str">
        <f>P4&amp;","&amp;G5</f>
        <v>E_Bio,E_Coal</v>
      </c>
    </row>
    <row r="6" spans="2:16" ht="14.25">
      <c r="B6" t="s">
        <v>68</v>
      </c>
      <c r="E6" t="str">
        <f t="shared" si="0"/>
        <v>ELCNGA</v>
      </c>
      <c r="F6" s="2" t="s">
        <v>197</v>
      </c>
      <c r="G6" t="str">
        <f t="shared" si="1"/>
        <v>E_Gas</v>
      </c>
      <c r="H6" t="str">
        <f t="shared" si="2"/>
        <v>Gas</v>
      </c>
      <c r="L6">
        <v>1</v>
      </c>
      <c r="M6" t="s">
        <v>183</v>
      </c>
      <c r="N6" t="s">
        <v>34</v>
      </c>
      <c r="P6" t="str">
        <f t="shared" si="3" ref="P6:P13">P5&amp;","&amp;G6</f>
        <v>E_Bio,E_Coal,E_Gas</v>
      </c>
    </row>
    <row r="7" spans="2:16" ht="14.25">
      <c r="B7" t="s">
        <v>68</v>
      </c>
      <c r="E7" t="str">
        <f t="shared" si="0"/>
        <v>ELCCOB</v>
      </c>
      <c r="F7" s="2"/>
      <c r="G7" t="str">
        <f t="shared" si="1"/>
        <v>E_Lignite</v>
      </c>
      <c r="H7" t="str">
        <f t="shared" si="2"/>
        <v>Lignite</v>
      </c>
      <c r="L7">
        <v>1</v>
      </c>
      <c r="M7" t="s">
        <v>181</v>
      </c>
      <c r="N7" t="s">
        <v>191</v>
      </c>
      <c r="P7" t="str">
        <f t="shared" si="3"/>
        <v>E_Bio,E_Coal,E_Gas,E_Lignite</v>
      </c>
    </row>
    <row r="8" spans="2:16" ht="14.25">
      <c r="B8" t="s">
        <v>68</v>
      </c>
      <c r="E8" t="str">
        <f t="shared" si="0"/>
        <v>ELCGEO</v>
      </c>
      <c r="F8" s="2"/>
      <c r="G8" t="str">
        <f t="shared" si="1"/>
        <v>E_Geothermal</v>
      </c>
      <c r="H8" t="str">
        <f t="shared" si="2"/>
        <v>Geothermal</v>
      </c>
      <c r="L8">
        <v>1</v>
      </c>
      <c r="M8" t="s">
        <v>182</v>
      </c>
      <c r="N8" t="s">
        <v>71</v>
      </c>
      <c r="P8" t="str">
        <f t="shared" si="3"/>
        <v>E_Bio,E_Coal,E_Gas,E_Lignite,E_Geothermal</v>
      </c>
    </row>
    <row r="9" spans="2:16" ht="14.25">
      <c r="B9" t="s">
        <v>68</v>
      </c>
      <c r="E9" t="str">
        <f t="shared" si="0"/>
        <v>ELCNUC</v>
      </c>
      <c r="F9" s="2"/>
      <c r="G9" t="str">
        <f t="shared" si="1"/>
        <v>E_Nuclear</v>
      </c>
      <c r="H9" t="str">
        <f t="shared" si="2"/>
        <v>Nuclear</v>
      </c>
      <c r="L9">
        <v>1</v>
      </c>
      <c r="M9" t="s">
        <v>184</v>
      </c>
      <c r="N9" t="s">
        <v>20</v>
      </c>
      <c r="P9" t="str">
        <f t="shared" si="3"/>
        <v>E_Bio,E_Coal,E_Gas,E_Lignite,E_Geothermal,E_Nuclear</v>
      </c>
    </row>
    <row r="10" spans="2:16" ht="14.25">
      <c r="B10" t="s">
        <v>68</v>
      </c>
      <c r="E10" t="str">
        <f t="shared" si="0"/>
        <v>ELCOIL</v>
      </c>
      <c r="F10" s="2"/>
      <c r="G10" t="str">
        <f t="shared" si="1"/>
        <v>E_Oil</v>
      </c>
      <c r="H10" t="str">
        <f t="shared" si="2"/>
        <v>Oil</v>
      </c>
      <c r="L10">
        <v>1</v>
      </c>
      <c r="M10" t="s">
        <v>185</v>
      </c>
      <c r="N10" t="s">
        <v>38</v>
      </c>
      <c r="P10" t="str">
        <f t="shared" si="3"/>
        <v>E_Bio,E_Coal,E_Gas,E_Lignite,E_Geothermal,E_Nuclear,E_Oil</v>
      </c>
    </row>
    <row r="11" spans="2:16" ht="14.25">
      <c r="B11" t="s">
        <v>68</v>
      </c>
      <c r="E11" t="str">
        <f t="shared" si="0"/>
        <v>ELCOIL_CRD</v>
      </c>
      <c r="F11" s="2"/>
      <c r="G11" t="str">
        <f t="shared" si="1"/>
        <v>E_Crude</v>
      </c>
      <c r="H11" t="str">
        <f t="shared" si="2"/>
        <v>Crude</v>
      </c>
      <c r="L11">
        <v>1</v>
      </c>
      <c r="M11" t="s">
        <v>186</v>
      </c>
      <c r="N11" t="s">
        <v>192</v>
      </c>
      <c r="P11" t="str">
        <f t="shared" si="3"/>
        <v>E_Bio,E_Coal,E_Gas,E_Lignite,E_Geothermal,E_Nuclear,E_Oil,E_Crude</v>
      </c>
    </row>
    <row r="12" spans="2:16" ht="14.25">
      <c r="B12" t="s">
        <v>68</v>
      </c>
      <c r="E12" t="str">
        <f t="shared" si="0"/>
        <v>ELCOIL_DST</v>
      </c>
      <c r="F12" s="2"/>
      <c r="G12" t="str">
        <f t="shared" si="1"/>
        <v>E_Diesel</v>
      </c>
      <c r="H12" t="str">
        <f t="shared" si="2"/>
        <v>Diesel</v>
      </c>
      <c r="L12">
        <v>1</v>
      </c>
      <c r="M12" t="s">
        <v>187</v>
      </c>
      <c r="N12" t="s">
        <v>193</v>
      </c>
      <c r="P12" t="str">
        <f t="shared" si="3"/>
        <v>E_Bio,E_Coal,E_Gas,E_Lignite,E_Geothermal,E_Nuclear,E_Oil,E_Crude,E_Diesel</v>
      </c>
    </row>
    <row r="13" spans="2:16" ht="14.25">
      <c r="B13" t="s">
        <v>68</v>
      </c>
      <c r="E13" t="str">
        <f t="shared" si="0"/>
        <v>ELCWAS</v>
      </c>
      <c r="F13" s="2"/>
      <c r="G13" t="str">
        <f t="shared" si="1"/>
        <v>E_Waste</v>
      </c>
      <c r="H13" t="str">
        <f t="shared" si="2"/>
        <v>Waste</v>
      </c>
      <c r="L13">
        <v>1</v>
      </c>
      <c r="M13" t="s">
        <v>189</v>
      </c>
      <c r="N13" t="s">
        <v>70</v>
      </c>
      <c r="P13" t="str">
        <f t="shared" si="3"/>
        <v>E_Bio,E_Coal,E_Gas,E_Lignite,E_Geothermal,E_Nuclear,E_Oil,E_Crude,E_Diesel,E_Waste</v>
      </c>
    </row>
    <row r="14" spans="2:16" ht="14.25">
      <c r="B14" t="s">
        <v>68</v>
      </c>
      <c r="E14" t="str">
        <f t="shared" si="0"/>
        <v>ELCHYD</v>
      </c>
      <c r="F14" s="2"/>
      <c r="G14" t="str">
        <f t="shared" si="1"/>
        <v>E_Hydro</v>
      </c>
      <c r="H14" t="str">
        <f t="shared" si="2"/>
        <v>Hydro</v>
      </c>
      <c r="M14" t="s">
        <v>69</v>
      </c>
      <c r="N14" t="s">
        <v>19</v>
      </c>
      <c r="P14" t="str">
        <f>G14</f>
        <v>E_Hydro</v>
      </c>
    </row>
    <row r="15" spans="2:16" ht="14.25">
      <c r="B15" t="s">
        <v>68</v>
      </c>
      <c r="E15" t="str">
        <f t="shared" si="0"/>
        <v>ELCSOL,*SPV*,*STH*</v>
      </c>
      <c r="F15" s="2"/>
      <c r="G15" t="str">
        <f t="shared" si="1"/>
        <v>E_Solar</v>
      </c>
      <c r="H15" t="str">
        <f t="shared" si="2"/>
        <v>Solar</v>
      </c>
      <c r="M15" t="s">
        <v>544</v>
      </c>
      <c r="N15" t="s">
        <v>194</v>
      </c>
      <c r="P15" t="str">
        <f>P14&amp;","&amp;G15</f>
        <v>E_Hydro,E_Solar</v>
      </c>
    </row>
    <row r="16" spans="2:16" ht="14.25">
      <c r="B16" t="s">
        <v>68</v>
      </c>
      <c r="E16" t="str">
        <f t="shared" si="0"/>
        <v>ELCTDL</v>
      </c>
      <c r="F16" s="2"/>
      <c r="G16" t="str">
        <f t="shared" si="1"/>
        <v>E_Tidal</v>
      </c>
      <c r="H16" t="str">
        <f t="shared" si="2"/>
        <v>Tidal</v>
      </c>
      <c r="M16" t="s">
        <v>188</v>
      </c>
      <c r="N16" t="s">
        <v>195</v>
      </c>
      <c r="P16" t="str">
        <f t="shared" si="4" ref="P16:P17">P15&amp;","&amp;G16</f>
        <v>E_Hydro,E_Solar,E_Tidal</v>
      </c>
    </row>
    <row r="17" spans="2:16" ht="14.25">
      <c r="B17" t="s">
        <v>68</v>
      </c>
      <c r="E17" t="str">
        <f t="shared" si="0"/>
        <v>ELCWIN</v>
      </c>
      <c r="F17" s="2"/>
      <c r="G17" t="str">
        <f t="shared" si="1"/>
        <v>E_Wind</v>
      </c>
      <c r="H17" t="str">
        <f t="shared" si="2"/>
        <v>Wind</v>
      </c>
      <c r="M17" t="s">
        <v>15</v>
      </c>
      <c r="N17" t="s">
        <v>16</v>
      </c>
      <c r="P17" t="str">
        <f t="shared" si="4"/>
        <v>E_Hydro,E_Solar,E_Tidal,E_Wind</v>
      </c>
    </row>
    <row r="18" spans="2:16" ht="14.25">
      <c r="B18" t="s">
        <v>68</v>
      </c>
      <c r="E18" t="str">
        <f>E4</f>
        <v>ELCBSL,ELCBIO</v>
      </c>
      <c r="F18" s="2" t="s">
        <v>198</v>
      </c>
      <c r="G18" t="str">
        <f>"E_"&amp;N4&amp;"-S"</f>
        <v>E_Bio-S</v>
      </c>
      <c r="H18" t="str">
        <f>N4&amp;" (CCS)"</f>
        <v>Bio (CCS)</v>
      </c>
      <c r="P18" t="str">
        <f>G18</f>
        <v>E_Bio-S</v>
      </c>
    </row>
    <row r="19" spans="2:16" ht="14.25">
      <c r="B19" t="s">
        <v>68</v>
      </c>
      <c r="E19" t="str">
        <f>E5</f>
        <v>ELCCOA</v>
      </c>
      <c r="F19" s="2" t="s">
        <v>198</v>
      </c>
      <c r="G19" t="str">
        <f t="shared" si="5" ref="G19:G20">"E_"&amp;N5&amp;"-S"</f>
        <v>E_Coal-S</v>
      </c>
      <c r="H19" t="str">
        <f t="shared" si="6" ref="H19:H20">N5&amp;" (CCS)"</f>
        <v>Coal (CCS)</v>
      </c>
      <c r="P19" t="str">
        <f>P18&amp;","&amp;G19</f>
        <v>E_Bio-S,E_Coal-S</v>
      </c>
    </row>
    <row r="20" spans="2:16" ht="14.25">
      <c r="B20" t="s">
        <v>68</v>
      </c>
      <c r="E20" t="str">
        <f>E6</f>
        <v>ELCNGA</v>
      </c>
      <c r="F20" s="2" t="s">
        <v>198</v>
      </c>
      <c r="G20" t="str">
        <f t="shared" si="5"/>
        <v>E_Gas-S</v>
      </c>
      <c r="H20" t="str">
        <f t="shared" si="6"/>
        <v>Gas (CCS)</v>
      </c>
      <c r="P20" t="str">
        <f>P19&amp;","&amp;G20</f>
        <v>E_Bio-S,E_Coal-S,E_Gas-S</v>
      </c>
    </row>
    <row r="21" spans="2:10" ht="14.25">
      <c r="B21" t="s">
        <v>932</v>
      </c>
      <c r="E21" t="s">
        <v>933</v>
      </c>
      <c r="F21" t="s">
        <v>934</v>
      </c>
      <c r="G21" t="s">
        <v>199</v>
      </c>
      <c r="H21" t="s">
        <v>257</v>
      </c>
      <c r="I21" t="s">
        <v>73</v>
      </c>
      <c r="J21" t="s">
        <v>258</v>
      </c>
    </row>
    <row r="22" spans="2:10" ht="14.25">
      <c r="B22" t="str">
        <f>P20</f>
        <v>E_Bio-S,E_Coal-S,E_Gas-S</v>
      </c>
      <c r="G22" t="s">
        <v>200</v>
      </c>
      <c r="H22" t="s">
        <v>201</v>
      </c>
      <c r="J22" t="s">
        <v>204</v>
      </c>
    </row>
    <row r="23" spans="2:10" ht="14.25">
      <c r="B23" t="str">
        <f>P17</f>
        <v>E_Hydro,E_Solar,E_Tidal,E_Wind</v>
      </c>
      <c r="G23" t="s">
        <v>202</v>
      </c>
      <c r="H23" t="s">
        <v>203</v>
      </c>
      <c r="J23" t="s">
        <v>204</v>
      </c>
    </row>
  </sheetData>
  <sortState ref="L4:N17">
    <sortCondition sortBy="value" ref="L4:L1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4D11348-D9A7-447D-AD63-C9D5942A839F}">
  <dimension ref="B2:M21"/>
  <sheetViews>
    <sheetView workbookViewId="0" topLeftCell="A1">
      <selection pane="topLeft" activeCell="F23" sqref="F23"/>
    </sheetView>
  </sheetViews>
  <sheetFormatPr defaultRowHeight="14.25"/>
  <cols>
    <col min="2" max="2" width="11.5714285714286" bestFit="1" customWidth="1"/>
    <col min="3" max="3" width="12" bestFit="1" customWidth="1"/>
    <col min="4" max="4" width="8.28571428571429" bestFit="1" customWidth="1"/>
    <col min="5" max="5" width="13.8571428571429" bestFit="1" customWidth="1"/>
    <col min="6" max="6" width="14.5714285714286" bestFit="1" customWidth="1"/>
    <col min="7" max="7" width="19.4285714285714" bestFit="1" customWidth="1"/>
    <col min="8" max="8" width="11.5714285714286" bestFit="1" customWidth="1"/>
    <col min="9" max="9" width="13.4285714285714" bestFit="1" customWidth="1"/>
    <col min="10" max="10" width="9.71428571428571" bestFit="1" customWidth="1"/>
    <col min="13" max="13" width="13.8571428571429" bestFit="1" customWidth="1"/>
  </cols>
  <sheetData>
    <row r="2" spans="2:2" ht="14.25">
      <c r="B2" t="s">
        <v>62</v>
      </c>
    </row>
    <row r="3" spans="2:10" ht="14.25"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</v>
      </c>
      <c r="H3" t="s">
        <v>7</v>
      </c>
      <c r="I3" t="s">
        <v>9</v>
      </c>
      <c r="J3" t="s">
        <v>12</v>
      </c>
    </row>
    <row r="4" spans="2:13" ht="14.25">
      <c r="B4" t="s">
        <v>92</v>
      </c>
      <c r="C4" t="str">
        <f>"*[_]"&amp;M4&amp;"*"</f>
        <v>*[_]cng*</v>
      </c>
      <c r="F4" s="2" t="s">
        <v>276</v>
      </c>
      <c r="G4" t="str">
        <f>"TrdT_"&amp;H4</f>
        <v>TrdT_CNG</v>
      </c>
      <c r="H4" t="s">
        <v>940</v>
      </c>
      <c r="M4" s="1" t="s">
        <v>941</v>
      </c>
    </row>
    <row r="5" spans="2:13" ht="14.25">
      <c r="B5" t="s">
        <v>92</v>
      </c>
      <c r="C5" t="str">
        <f t="shared" si="0" ref="C5:C21">"*[_]"&amp;M5&amp;"*"</f>
        <v>*[_]dsl*</v>
      </c>
      <c r="F5" s="2" t="s">
        <v>276</v>
      </c>
      <c r="G5" t="str">
        <f t="shared" si="1" ref="G5:G21">"TrdT_"&amp;H5</f>
        <v>TrdT_Diesel</v>
      </c>
      <c r="H5" t="s">
        <v>193</v>
      </c>
      <c r="M5" s="1" t="s">
        <v>942</v>
      </c>
    </row>
    <row r="6" spans="2:13" ht="14.25">
      <c r="B6" t="s">
        <v>92</v>
      </c>
      <c r="C6" t="str">
        <f t="shared" si="0"/>
        <v>*[_]dsl-hyb*</v>
      </c>
      <c r="F6" s="2" t="s">
        <v>276</v>
      </c>
      <c r="G6" t="str">
        <f t="shared" si="1"/>
        <v>TrdT_Dsl Hybrid</v>
      </c>
      <c r="H6" t="s">
        <v>943</v>
      </c>
      <c r="M6" s="1" t="s">
        <v>944</v>
      </c>
    </row>
    <row r="7" spans="2:13" ht="14.25">
      <c r="B7" t="s">
        <v>92</v>
      </c>
      <c r="C7" t="str">
        <f t="shared" si="0"/>
        <v>*[_]dsl-pih*</v>
      </c>
      <c r="F7" s="2" t="s">
        <v>276</v>
      </c>
      <c r="G7" t="str">
        <f t="shared" si="1"/>
        <v>TrdT_Dsl Plug-in Hyb</v>
      </c>
      <c r="H7" t="s">
        <v>945</v>
      </c>
      <c r="M7" s="1" t="s">
        <v>946</v>
      </c>
    </row>
    <row r="8" spans="2:13" ht="14.25">
      <c r="B8" t="s">
        <v>92</v>
      </c>
      <c r="C8" t="str">
        <f t="shared" si="0"/>
        <v>*[_]E85*</v>
      </c>
      <c r="F8" s="2" t="s">
        <v>276</v>
      </c>
      <c r="G8" t="str">
        <f t="shared" si="1"/>
        <v>TrdT_E85</v>
      </c>
      <c r="H8" t="s">
        <v>947</v>
      </c>
      <c r="M8" s="1" t="s">
        <v>947</v>
      </c>
    </row>
    <row r="9" spans="2:13" ht="14.25">
      <c r="B9" t="s">
        <v>92</v>
      </c>
      <c r="C9" t="str">
        <f t="shared" si="0"/>
        <v>*[_]elc*</v>
      </c>
      <c r="F9" s="2" t="s">
        <v>276</v>
      </c>
      <c r="G9" t="str">
        <f t="shared" si="1"/>
        <v>TrdT_Elec vehicle</v>
      </c>
      <c r="H9" t="s">
        <v>948</v>
      </c>
      <c r="M9" s="1" t="s">
        <v>949</v>
      </c>
    </row>
    <row r="10" spans="2:13" ht="14.25">
      <c r="B10" t="s">
        <v>92</v>
      </c>
      <c r="C10" t="str">
        <f t="shared" si="0"/>
        <v>*[_]elc150*</v>
      </c>
      <c r="F10" s="2" t="s">
        <v>276</v>
      </c>
      <c r="G10" t="str">
        <f t="shared" si="1"/>
        <v>TrdT_Elec 150</v>
      </c>
      <c r="H10" t="s">
        <v>950</v>
      </c>
      <c r="M10" s="1" t="s">
        <v>951</v>
      </c>
    </row>
    <row r="11" spans="2:13" ht="14.25">
      <c r="B11" t="s">
        <v>92</v>
      </c>
      <c r="C11" t="str">
        <f t="shared" si="0"/>
        <v>*[_]elc50*</v>
      </c>
      <c r="F11" s="2" t="s">
        <v>276</v>
      </c>
      <c r="G11" t="str">
        <f t="shared" si="1"/>
        <v>TrdT_Elec 50</v>
      </c>
      <c r="H11" t="s">
        <v>952</v>
      </c>
      <c r="M11" s="1" t="s">
        <v>953</v>
      </c>
    </row>
    <row r="12" spans="2:13" ht="14.25">
      <c r="B12" t="s">
        <v>92</v>
      </c>
      <c r="C12" t="str">
        <f t="shared" si="0"/>
        <v>*[_]elc500*</v>
      </c>
      <c r="F12" s="2" t="s">
        <v>276</v>
      </c>
      <c r="G12" t="str">
        <f t="shared" si="1"/>
        <v>TrdT_Elec 500</v>
      </c>
      <c r="H12" t="s">
        <v>954</v>
      </c>
      <c r="M12" s="1" t="s">
        <v>955</v>
      </c>
    </row>
    <row r="13" spans="2:13" ht="14.25">
      <c r="B13" t="s">
        <v>92</v>
      </c>
      <c r="C13" t="str">
        <f t="shared" si="0"/>
        <v>*[_]gsl*</v>
      </c>
      <c r="F13" s="2" t="s">
        <v>276</v>
      </c>
      <c r="G13" t="str">
        <f t="shared" si="1"/>
        <v>TrdT_Gasoline</v>
      </c>
      <c r="H13" t="s">
        <v>956</v>
      </c>
      <c r="M13" s="1" t="s">
        <v>957</v>
      </c>
    </row>
    <row r="14" spans="2:13" ht="14.25">
      <c r="B14" t="s">
        <v>92</v>
      </c>
      <c r="C14" t="str">
        <f t="shared" si="0"/>
        <v>*[_]gsl150*</v>
      </c>
      <c r="F14" s="2" t="s">
        <v>276</v>
      </c>
      <c r="G14" t="str">
        <f t="shared" si="1"/>
        <v>TrdT_Gasoline 150</v>
      </c>
      <c r="H14" t="s">
        <v>958</v>
      </c>
      <c r="M14" s="1" t="s">
        <v>959</v>
      </c>
    </row>
    <row r="15" spans="2:13" ht="14.25">
      <c r="B15" t="s">
        <v>92</v>
      </c>
      <c r="C15" t="str">
        <f t="shared" si="0"/>
        <v>*[_]gsl50*</v>
      </c>
      <c r="F15" s="2" t="s">
        <v>276</v>
      </c>
      <c r="G15" t="str">
        <f t="shared" si="1"/>
        <v>TrdT_Gasoline 50</v>
      </c>
      <c r="H15" t="s">
        <v>960</v>
      </c>
      <c r="M15" s="1" t="s">
        <v>961</v>
      </c>
    </row>
    <row r="16" spans="2:13" ht="14.25">
      <c r="B16" t="s">
        <v>92</v>
      </c>
      <c r="C16" t="str">
        <f t="shared" si="0"/>
        <v>*[_]gsl500*</v>
      </c>
      <c r="F16" s="2" t="s">
        <v>276</v>
      </c>
      <c r="G16" t="str">
        <f t="shared" si="1"/>
        <v>TrdT_Gasoline 500</v>
      </c>
      <c r="H16" t="s">
        <v>962</v>
      </c>
      <c r="M16" s="1" t="s">
        <v>963</v>
      </c>
    </row>
    <row r="17" spans="2:13" ht="14.25">
      <c r="B17" t="s">
        <v>92</v>
      </c>
      <c r="C17" t="str">
        <f t="shared" si="0"/>
        <v>*[_]gsl-hyb*</v>
      </c>
      <c r="F17" s="2" t="s">
        <v>276</v>
      </c>
      <c r="G17" t="str">
        <f t="shared" si="1"/>
        <v>TrdT_Gsl Hybrid</v>
      </c>
      <c r="H17" t="s">
        <v>964</v>
      </c>
      <c r="M17" s="1" t="s">
        <v>965</v>
      </c>
    </row>
    <row r="18" spans="2:13" ht="14.25">
      <c r="B18" t="s">
        <v>92</v>
      </c>
      <c r="C18" t="str">
        <f t="shared" si="0"/>
        <v>*[_]gsl-pih*</v>
      </c>
      <c r="F18" s="2" t="s">
        <v>276</v>
      </c>
      <c r="G18" t="str">
        <f t="shared" si="1"/>
        <v>TrdT_Gsl Plug-in Hyb</v>
      </c>
      <c r="H18" t="s">
        <v>966</v>
      </c>
      <c r="M18" s="1" t="s">
        <v>967</v>
      </c>
    </row>
    <row r="19" spans="2:13" ht="14.25">
      <c r="B19" t="s">
        <v>92</v>
      </c>
      <c r="C19" t="str">
        <f t="shared" si="0"/>
        <v>*[_]hh2*</v>
      </c>
      <c r="F19" s="2" t="s">
        <v>276</v>
      </c>
      <c r="G19" t="str">
        <f t="shared" si="1"/>
        <v xml:space="preserve">TrdT_Hydrogen </v>
      </c>
      <c r="H19" t="s">
        <v>968</v>
      </c>
      <c r="M19" s="1" t="s">
        <v>969</v>
      </c>
    </row>
    <row r="20" spans="2:13" ht="14.25">
      <c r="B20" t="s">
        <v>92</v>
      </c>
      <c r="C20" t="str">
        <f t="shared" si="0"/>
        <v>*[_]lng*</v>
      </c>
      <c r="F20" s="2" t="s">
        <v>276</v>
      </c>
      <c r="G20" t="str">
        <f t="shared" si="1"/>
        <v>TrdT_LNG</v>
      </c>
      <c r="H20" t="s">
        <v>970</v>
      </c>
      <c r="M20" s="1" t="s">
        <v>971</v>
      </c>
    </row>
    <row r="21" spans="2:13" ht="14.25">
      <c r="B21" t="s">
        <v>92</v>
      </c>
      <c r="C21" t="str">
        <f t="shared" si="0"/>
        <v>*[_]lpg*</v>
      </c>
      <c r="F21" s="2" t="s">
        <v>276</v>
      </c>
      <c r="G21" t="str">
        <f t="shared" si="1"/>
        <v>TrdT_LPG</v>
      </c>
      <c r="H21" t="s">
        <v>972</v>
      </c>
      <c r="M21" s="1" t="s">
        <v>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SetsEditor- Proc</vt:lpstr>
      <vt:lpstr>Steel</vt:lpstr>
      <vt:lpstr>Industry</vt:lpstr>
      <vt:lpstr>Proc - complete sectors</vt:lpstr>
      <vt:lpstr>SetsEditor- Comm</vt:lpstr>
      <vt:lpstr>VEDA_Sets-Comm</vt:lpstr>
      <vt:lpstr>VEDA_Sets-Proc</vt:lpstr>
      <vt:lpstr>proc by country</vt:lpstr>
      <vt:lpstr>Elec proc</vt:lpstr>
      <vt:lpstr>Road transport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2021-06-24T10:27:59Z</dcterms:created>
  <dcterms:modified xsi:type="dcterms:W3CDTF">2024-09-29T05:30:22Z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970860779285430</vt:r8>
  </property>
  <property fmtid="{D5CDD505-2E9C-101B-9397-08002B2CF9AE}" pid="3" name="{A44787D4-0540-4523-9961-78E4036D8C6D}">
    <vt:lpwstr>{CED79C70-0822-4D70-A5E5-7468000BD706}</vt:lpwstr>
  </property>
</Properties>
</file>