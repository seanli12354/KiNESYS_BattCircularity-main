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"/>
    </mc:Choice>
  </mc:AlternateContent>
  <xr:revisionPtr revIDLastSave="0" documentId="13_ncr:1_{E933DEC7-7AE8-40A6-AA45-C3EFD7728846}" xr6:coauthVersionLast="47" xr6:coauthVersionMax="47" xr10:uidLastSave="{00000000-0000-0000-0000-000000000000}"/>
  <bookViews>
    <workbookView xWindow="-98" yWindow="-98" windowWidth="28996" windowHeight="17475" activeTab="3" xr2:uid="{D3E3067E-5191-434A-9D10-0E1E0C00A76D}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Assumptions" sheetId="3" r:id="rId9"/>
    <sheet name="TIAM15_assumptions" sheetId="6" r:id="rId10"/>
    <sheet name="vehicle population data" sheetId="8" r:id="rId11"/>
    <sheet name="non-road" sheetId="5" r:id="rId12"/>
    <sheet name="Average VMT by Vehicle Type" sheetId="16" r:id="rId13"/>
    <sheet name="fuel tech" sheetId="17" r:id="rId14"/>
  </sheets>
  <definedNames>
    <definedName name="_xlnm._FilterDatabase" localSheetId="8" hidden="1">Assumptions!$E$2:$F$103</definedName>
    <definedName name="_xlnm._FilterDatabase" localSheetId="13" hidden="1">'fuel tech'!$A$40:$A$52</definedName>
    <definedName name="_xlnm._FilterDatabase" localSheetId="11" hidden="1">'non-road'!#REF!</definedName>
    <definedName name="_xlnm._FilterDatabase" localSheetId="9" hidden="1">TIAM15_assumptions!$E$2:$F$103</definedName>
    <definedName name="_xlnm._FilterDatabase" localSheetId="0" hidden="1">'TRA balance'!#REF!</definedName>
    <definedName name="_xlnm._FilterDatabase" localSheetId="10" hidden="1">'vehicle population data'!$A$1:$D$595</definedName>
  </definedNames>
  <calcPr calcId="191029"/>
  <pivotCaches>
    <pivotCache cacheId="0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1" l="1"/>
  <c r="Z2" i="1"/>
  <c r="L2" i="1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C37" i="17"/>
  <c r="C16" i="17"/>
  <c r="DB34" i="5"/>
  <c r="DB33" i="5"/>
  <c r="DB32" i="5"/>
  <c r="DB31" i="5"/>
  <c r="DB30" i="5"/>
  <c r="DB29" i="5"/>
  <c r="AZ49" i="14"/>
  <c r="AZ49" i="13"/>
  <c r="AZ49" i="10"/>
  <c r="AZ49" i="7"/>
  <c r="AZ50" i="12"/>
  <c r="AZ50" i="11"/>
  <c r="CW135" i="3" l="1"/>
  <c r="CV135" i="3"/>
  <c r="CU135" i="3"/>
  <c r="CT135" i="3"/>
  <c r="CS135" i="3"/>
  <c r="CR135" i="3"/>
  <c r="CQ135" i="3"/>
  <c r="CP135" i="3"/>
  <c r="CO135" i="3"/>
  <c r="CN135" i="3"/>
  <c r="CM135" i="3"/>
  <c r="CL135" i="3"/>
  <c r="CK135" i="3"/>
  <c r="CJ135" i="3"/>
  <c r="CI135" i="3"/>
  <c r="CH135" i="3"/>
  <c r="CG135" i="3"/>
  <c r="CF135" i="3"/>
  <c r="CE135" i="3"/>
  <c r="CD135" i="3"/>
  <c r="CC135" i="3"/>
  <c r="CB135" i="3"/>
  <c r="CA135" i="3"/>
  <c r="BZ135" i="3"/>
  <c r="BY135" i="3"/>
  <c r="BX135" i="3"/>
  <c r="BW135" i="3"/>
  <c r="BV135" i="3"/>
  <c r="BU135" i="3"/>
  <c r="BT135" i="3"/>
  <c r="BS135" i="3"/>
  <c r="BR135" i="3"/>
  <c r="BQ135" i="3"/>
  <c r="BP135" i="3"/>
  <c r="BO135" i="3"/>
  <c r="BN135" i="3"/>
  <c r="BM135" i="3"/>
  <c r="BL135" i="3"/>
  <c r="BK135" i="3"/>
  <c r="BJ135" i="3"/>
  <c r="BI135" i="3"/>
  <c r="BH135" i="3"/>
  <c r="BG135" i="3"/>
  <c r="BF135" i="3"/>
  <c r="BE135" i="3"/>
  <c r="CW134" i="3"/>
  <c r="CV134" i="3"/>
  <c r="CU134" i="3"/>
  <c r="CT134" i="3"/>
  <c r="CS134" i="3"/>
  <c r="CR134" i="3"/>
  <c r="CQ134" i="3"/>
  <c r="CP134" i="3"/>
  <c r="CO134" i="3"/>
  <c r="CN134" i="3"/>
  <c r="CM134" i="3"/>
  <c r="CL134" i="3"/>
  <c r="CK134" i="3"/>
  <c r="CJ134" i="3"/>
  <c r="CI134" i="3"/>
  <c r="CH134" i="3"/>
  <c r="CG134" i="3"/>
  <c r="CF134" i="3"/>
  <c r="CE134" i="3"/>
  <c r="CD134" i="3"/>
  <c r="CC134" i="3"/>
  <c r="CB134" i="3"/>
  <c r="CA134" i="3"/>
  <c r="BZ134" i="3"/>
  <c r="BY134" i="3"/>
  <c r="BX134" i="3"/>
  <c r="BW134" i="3"/>
  <c r="BV134" i="3"/>
  <c r="BU134" i="3"/>
  <c r="BT134" i="3"/>
  <c r="BS134" i="3"/>
  <c r="BR134" i="3"/>
  <c r="BQ134" i="3"/>
  <c r="BP134" i="3"/>
  <c r="BO134" i="3"/>
  <c r="BN134" i="3"/>
  <c r="BM134" i="3"/>
  <c r="BL134" i="3"/>
  <c r="BK134" i="3"/>
  <c r="BJ134" i="3"/>
  <c r="BI134" i="3"/>
  <c r="BH134" i="3"/>
  <c r="BG134" i="3"/>
  <c r="BF134" i="3"/>
  <c r="BE134" i="3"/>
  <c r="CW133" i="3"/>
  <c r="CV133" i="3"/>
  <c r="CU133" i="3"/>
  <c r="CT133" i="3"/>
  <c r="CS133" i="3"/>
  <c r="CR133" i="3"/>
  <c r="CQ133" i="3"/>
  <c r="CP133" i="3"/>
  <c r="CO133" i="3"/>
  <c r="CN133" i="3"/>
  <c r="CM133" i="3"/>
  <c r="CL133" i="3"/>
  <c r="CK133" i="3"/>
  <c r="CJ133" i="3"/>
  <c r="CI133" i="3"/>
  <c r="CH133" i="3"/>
  <c r="CG133" i="3"/>
  <c r="CF133" i="3"/>
  <c r="CE133" i="3"/>
  <c r="CD133" i="3"/>
  <c r="CC133" i="3"/>
  <c r="CB133" i="3"/>
  <c r="CA133" i="3"/>
  <c r="BZ133" i="3"/>
  <c r="BY133" i="3"/>
  <c r="BX133" i="3"/>
  <c r="BW133" i="3"/>
  <c r="BV133" i="3"/>
  <c r="BU133" i="3"/>
  <c r="BT133" i="3"/>
  <c r="BS133" i="3"/>
  <c r="BR133" i="3"/>
  <c r="BQ133" i="3"/>
  <c r="BP133" i="3"/>
  <c r="BO133" i="3"/>
  <c r="BN133" i="3"/>
  <c r="BM133" i="3"/>
  <c r="BL133" i="3"/>
  <c r="BK133" i="3"/>
  <c r="BJ133" i="3"/>
  <c r="BI133" i="3"/>
  <c r="BH133" i="3"/>
  <c r="BG133" i="3"/>
  <c r="BF133" i="3"/>
  <c r="BE133" i="3"/>
  <c r="CW132" i="3"/>
  <c r="CV132" i="3"/>
  <c r="CU132" i="3"/>
  <c r="CT132" i="3"/>
  <c r="CS132" i="3"/>
  <c r="CR132" i="3"/>
  <c r="CQ132" i="3"/>
  <c r="CP132" i="3"/>
  <c r="CO132" i="3"/>
  <c r="CN132" i="3"/>
  <c r="CM132" i="3"/>
  <c r="CL132" i="3"/>
  <c r="CK132" i="3"/>
  <c r="CJ132" i="3"/>
  <c r="CI132" i="3"/>
  <c r="CH132" i="3"/>
  <c r="CG132" i="3"/>
  <c r="CF132" i="3"/>
  <c r="CE132" i="3"/>
  <c r="CD132" i="3"/>
  <c r="CC132" i="3"/>
  <c r="CB132" i="3"/>
  <c r="CA132" i="3"/>
  <c r="BZ132" i="3"/>
  <c r="BY132" i="3"/>
  <c r="BX132" i="3"/>
  <c r="BW132" i="3"/>
  <c r="BV132" i="3"/>
  <c r="BU132" i="3"/>
  <c r="BT132" i="3"/>
  <c r="BS132" i="3"/>
  <c r="BR132" i="3"/>
  <c r="BQ132" i="3"/>
  <c r="BP132" i="3"/>
  <c r="BO132" i="3"/>
  <c r="BN132" i="3"/>
  <c r="BM132" i="3"/>
  <c r="BL132" i="3"/>
  <c r="BK132" i="3"/>
  <c r="BJ132" i="3"/>
  <c r="BI132" i="3"/>
  <c r="BH132" i="3"/>
  <c r="BG132" i="3"/>
  <c r="BF132" i="3"/>
  <c r="BE132" i="3"/>
  <c r="CW131" i="3"/>
  <c r="CV131" i="3"/>
  <c r="CU131" i="3"/>
  <c r="CT131" i="3"/>
  <c r="CS131" i="3"/>
  <c r="CR131" i="3"/>
  <c r="CQ131" i="3"/>
  <c r="CP131" i="3"/>
  <c r="CO131" i="3"/>
  <c r="CN131" i="3"/>
  <c r="CM131" i="3"/>
  <c r="CL131" i="3"/>
  <c r="CK131" i="3"/>
  <c r="CJ131" i="3"/>
  <c r="CI131" i="3"/>
  <c r="CH131" i="3"/>
  <c r="CG131" i="3"/>
  <c r="CF131" i="3"/>
  <c r="CE131" i="3"/>
  <c r="CD131" i="3"/>
  <c r="CC131" i="3"/>
  <c r="CB131" i="3"/>
  <c r="CA131" i="3"/>
  <c r="BZ131" i="3"/>
  <c r="BY131" i="3"/>
  <c r="BX131" i="3"/>
  <c r="BW131" i="3"/>
  <c r="BV131" i="3"/>
  <c r="BU131" i="3"/>
  <c r="BT131" i="3"/>
  <c r="BS131" i="3"/>
  <c r="BR131" i="3"/>
  <c r="BQ131" i="3"/>
  <c r="BP131" i="3"/>
  <c r="BO131" i="3"/>
  <c r="BN131" i="3"/>
  <c r="BM131" i="3"/>
  <c r="BL131" i="3"/>
  <c r="BK131" i="3"/>
  <c r="BJ131" i="3"/>
  <c r="BI131" i="3"/>
  <c r="BH131" i="3"/>
  <c r="BG131" i="3"/>
  <c r="BF131" i="3"/>
  <c r="BE131" i="3"/>
  <c r="CW130" i="3"/>
  <c r="CV130" i="3"/>
  <c r="CU130" i="3"/>
  <c r="CT130" i="3"/>
  <c r="CS130" i="3"/>
  <c r="CR130" i="3"/>
  <c r="CQ130" i="3"/>
  <c r="CP130" i="3"/>
  <c r="CO130" i="3"/>
  <c r="CN130" i="3"/>
  <c r="CM130" i="3"/>
  <c r="CL130" i="3"/>
  <c r="CK130" i="3"/>
  <c r="CJ130" i="3"/>
  <c r="CI130" i="3"/>
  <c r="CH130" i="3"/>
  <c r="CG130" i="3"/>
  <c r="CF130" i="3"/>
  <c r="CE130" i="3"/>
  <c r="CD130" i="3"/>
  <c r="CC130" i="3"/>
  <c r="CB130" i="3"/>
  <c r="CA130" i="3"/>
  <c r="BZ130" i="3"/>
  <c r="BY130" i="3"/>
  <c r="BX130" i="3"/>
  <c r="BW130" i="3"/>
  <c r="BV130" i="3"/>
  <c r="BU130" i="3"/>
  <c r="BT130" i="3"/>
  <c r="BS130" i="3"/>
  <c r="BR130" i="3"/>
  <c r="BQ130" i="3"/>
  <c r="BP130" i="3"/>
  <c r="BO130" i="3"/>
  <c r="BN130" i="3"/>
  <c r="BM130" i="3"/>
  <c r="BL130" i="3"/>
  <c r="BK130" i="3"/>
  <c r="BJ130" i="3"/>
  <c r="BI130" i="3"/>
  <c r="BH130" i="3"/>
  <c r="BG130" i="3"/>
  <c r="BF130" i="3"/>
  <c r="BE130" i="3"/>
  <c r="CW129" i="3"/>
  <c r="CV129" i="3"/>
  <c r="CU129" i="3"/>
  <c r="CT129" i="3"/>
  <c r="CS129" i="3"/>
  <c r="CR129" i="3"/>
  <c r="CQ129" i="3"/>
  <c r="CP129" i="3"/>
  <c r="CO129" i="3"/>
  <c r="CN129" i="3"/>
  <c r="CM129" i="3"/>
  <c r="CL129" i="3"/>
  <c r="CK129" i="3"/>
  <c r="CJ129" i="3"/>
  <c r="CI129" i="3"/>
  <c r="CH129" i="3"/>
  <c r="CG129" i="3"/>
  <c r="CF129" i="3"/>
  <c r="CE129" i="3"/>
  <c r="CD129" i="3"/>
  <c r="CC129" i="3"/>
  <c r="CB129" i="3"/>
  <c r="CA129" i="3"/>
  <c r="BZ129" i="3"/>
  <c r="BY129" i="3"/>
  <c r="BX129" i="3"/>
  <c r="AA47" i="5" s="1"/>
  <c r="BW129" i="3"/>
  <c r="BV129" i="3"/>
  <c r="BU129" i="3"/>
  <c r="BT129" i="3"/>
  <c r="BS129" i="3"/>
  <c r="BR129" i="3"/>
  <c r="BQ129" i="3"/>
  <c r="BP129" i="3"/>
  <c r="BO129" i="3"/>
  <c r="BN129" i="3"/>
  <c r="BM129" i="3"/>
  <c r="BL129" i="3"/>
  <c r="BK129" i="3"/>
  <c r="BJ129" i="3"/>
  <c r="BI129" i="3"/>
  <c r="BH129" i="3"/>
  <c r="BG129" i="3"/>
  <c r="BF129" i="3"/>
  <c r="BE129" i="3"/>
  <c r="CW128" i="3"/>
  <c r="CV128" i="3"/>
  <c r="CU128" i="3"/>
  <c r="CT128" i="3"/>
  <c r="CS128" i="3"/>
  <c r="CR128" i="3"/>
  <c r="CQ128" i="3"/>
  <c r="CP128" i="3"/>
  <c r="CO128" i="3"/>
  <c r="CN128" i="3"/>
  <c r="CM128" i="3"/>
  <c r="CL128" i="3"/>
  <c r="CK128" i="3"/>
  <c r="CJ128" i="3"/>
  <c r="CI128" i="3"/>
  <c r="CH128" i="3"/>
  <c r="CG128" i="3"/>
  <c r="CF128" i="3"/>
  <c r="CE128" i="3"/>
  <c r="CD128" i="3"/>
  <c r="CC128" i="3"/>
  <c r="AF42" i="5" s="1"/>
  <c r="CB128" i="3"/>
  <c r="CA128" i="3"/>
  <c r="BZ128" i="3"/>
  <c r="BY128" i="3"/>
  <c r="BX128" i="3"/>
  <c r="BW128" i="3"/>
  <c r="BV128" i="3"/>
  <c r="BU128" i="3"/>
  <c r="BT128" i="3"/>
  <c r="BS128" i="3"/>
  <c r="BR128" i="3"/>
  <c r="BQ128" i="3"/>
  <c r="BP128" i="3"/>
  <c r="BO128" i="3"/>
  <c r="BN128" i="3"/>
  <c r="BM128" i="3"/>
  <c r="BL128" i="3"/>
  <c r="BK128" i="3"/>
  <c r="BJ128" i="3"/>
  <c r="BI128" i="3"/>
  <c r="BH128" i="3"/>
  <c r="BG128" i="3"/>
  <c r="BF128" i="3"/>
  <c r="BE128" i="3"/>
  <c r="CW127" i="3"/>
  <c r="CV127" i="3"/>
  <c r="CU127" i="3"/>
  <c r="CT127" i="3"/>
  <c r="CS127" i="3"/>
  <c r="CR127" i="3"/>
  <c r="CQ127" i="3"/>
  <c r="CP127" i="3"/>
  <c r="CO127" i="3"/>
  <c r="CN127" i="3"/>
  <c r="CM127" i="3"/>
  <c r="CL127" i="3"/>
  <c r="CK127" i="3"/>
  <c r="CJ127" i="3"/>
  <c r="CI127" i="3"/>
  <c r="CH127" i="3"/>
  <c r="CG127" i="3"/>
  <c r="CF127" i="3"/>
  <c r="CE127" i="3"/>
  <c r="CD127" i="3"/>
  <c r="CC127" i="3"/>
  <c r="CB127" i="3"/>
  <c r="CA127" i="3"/>
  <c r="BZ127" i="3"/>
  <c r="BY127" i="3"/>
  <c r="BX127" i="3"/>
  <c r="BW127" i="3"/>
  <c r="BV127" i="3"/>
  <c r="BU127" i="3"/>
  <c r="BT127" i="3"/>
  <c r="BS127" i="3"/>
  <c r="BR127" i="3"/>
  <c r="BQ127" i="3"/>
  <c r="BP127" i="3"/>
  <c r="BO127" i="3"/>
  <c r="BN127" i="3"/>
  <c r="BM127" i="3"/>
  <c r="BL127" i="3"/>
  <c r="BK127" i="3"/>
  <c r="BJ127" i="3"/>
  <c r="BI127" i="3"/>
  <c r="BH127" i="3"/>
  <c r="BG127" i="3"/>
  <c r="BF127" i="3"/>
  <c r="BE127" i="3"/>
  <c r="CW126" i="3"/>
  <c r="CV126" i="3"/>
  <c r="CU126" i="3"/>
  <c r="CT126" i="3"/>
  <c r="CS126" i="3"/>
  <c r="CR126" i="3"/>
  <c r="CQ126" i="3"/>
  <c r="CP126" i="3"/>
  <c r="CO126" i="3"/>
  <c r="CN126" i="3"/>
  <c r="CM126" i="3"/>
  <c r="CL126" i="3"/>
  <c r="CK126" i="3"/>
  <c r="CJ126" i="3"/>
  <c r="CI126" i="3"/>
  <c r="CH126" i="3"/>
  <c r="CG126" i="3"/>
  <c r="CF126" i="3"/>
  <c r="CE126" i="3"/>
  <c r="CD126" i="3"/>
  <c r="CC126" i="3"/>
  <c r="CB126" i="3"/>
  <c r="CA126" i="3"/>
  <c r="BZ126" i="3"/>
  <c r="BY126" i="3"/>
  <c r="BX126" i="3"/>
  <c r="BW126" i="3"/>
  <c r="BV126" i="3"/>
  <c r="BU126" i="3"/>
  <c r="BT126" i="3"/>
  <c r="BS126" i="3"/>
  <c r="BR126" i="3"/>
  <c r="BQ126" i="3"/>
  <c r="BP126" i="3"/>
  <c r="BO126" i="3"/>
  <c r="BN126" i="3"/>
  <c r="BM126" i="3"/>
  <c r="BL126" i="3"/>
  <c r="BK126" i="3"/>
  <c r="BJ126" i="3"/>
  <c r="BI126" i="3"/>
  <c r="BH126" i="3"/>
  <c r="BG126" i="3"/>
  <c r="BF126" i="3"/>
  <c r="BE126" i="3"/>
  <c r="CW125" i="3"/>
  <c r="CV125" i="3"/>
  <c r="CU125" i="3"/>
  <c r="CT125" i="3"/>
  <c r="CS125" i="3"/>
  <c r="CR125" i="3"/>
  <c r="CQ125" i="3"/>
  <c r="CP125" i="3"/>
  <c r="CO125" i="3"/>
  <c r="CN125" i="3"/>
  <c r="CM125" i="3"/>
  <c r="CL125" i="3"/>
  <c r="CK125" i="3"/>
  <c r="CJ125" i="3"/>
  <c r="CI125" i="3"/>
  <c r="CH125" i="3"/>
  <c r="CG125" i="3"/>
  <c r="CF125" i="3"/>
  <c r="CE125" i="3"/>
  <c r="CD125" i="3"/>
  <c r="CC125" i="3"/>
  <c r="CB125" i="3"/>
  <c r="CA125" i="3"/>
  <c r="BZ125" i="3"/>
  <c r="BY125" i="3"/>
  <c r="BX125" i="3"/>
  <c r="BW125" i="3"/>
  <c r="BV125" i="3"/>
  <c r="BU125" i="3"/>
  <c r="BT125" i="3"/>
  <c r="BS125" i="3"/>
  <c r="BR125" i="3"/>
  <c r="BQ125" i="3"/>
  <c r="BP125" i="3"/>
  <c r="BO125" i="3"/>
  <c r="BN125" i="3"/>
  <c r="BM125" i="3"/>
  <c r="BL125" i="3"/>
  <c r="BK125" i="3"/>
  <c r="BJ125" i="3"/>
  <c r="BI125" i="3"/>
  <c r="BH125" i="3"/>
  <c r="BG125" i="3"/>
  <c r="BF125" i="3"/>
  <c r="BE125" i="3"/>
  <c r="CW124" i="3"/>
  <c r="CV124" i="3"/>
  <c r="CU124" i="3"/>
  <c r="CT124" i="3"/>
  <c r="CS124" i="3"/>
  <c r="CR124" i="3"/>
  <c r="CQ124" i="3"/>
  <c r="CP124" i="3"/>
  <c r="CO124" i="3"/>
  <c r="CN124" i="3"/>
  <c r="CM124" i="3"/>
  <c r="CL124" i="3"/>
  <c r="CK124" i="3"/>
  <c r="CJ124" i="3"/>
  <c r="CI124" i="3"/>
  <c r="CH124" i="3"/>
  <c r="CG124" i="3"/>
  <c r="CF124" i="3"/>
  <c r="CE124" i="3"/>
  <c r="CD124" i="3"/>
  <c r="CC124" i="3"/>
  <c r="CB124" i="3"/>
  <c r="CA124" i="3"/>
  <c r="BZ124" i="3"/>
  <c r="BY124" i="3"/>
  <c r="BX124" i="3"/>
  <c r="BW124" i="3"/>
  <c r="BV124" i="3"/>
  <c r="BU124" i="3"/>
  <c r="BT124" i="3"/>
  <c r="BS124" i="3"/>
  <c r="BR124" i="3"/>
  <c r="BQ124" i="3"/>
  <c r="BP124" i="3"/>
  <c r="BO124" i="3"/>
  <c r="BN124" i="3"/>
  <c r="BM124" i="3"/>
  <c r="BL124" i="3"/>
  <c r="BK124" i="3"/>
  <c r="BJ124" i="3"/>
  <c r="BI124" i="3"/>
  <c r="BH124" i="3"/>
  <c r="BG124" i="3"/>
  <c r="BF124" i="3"/>
  <c r="BE124" i="3"/>
  <c r="CW123" i="3"/>
  <c r="CV123" i="3"/>
  <c r="CU123" i="3"/>
  <c r="CT123" i="3"/>
  <c r="CS123" i="3"/>
  <c r="CR123" i="3"/>
  <c r="CQ123" i="3"/>
  <c r="CP123" i="3"/>
  <c r="CO123" i="3"/>
  <c r="CN123" i="3"/>
  <c r="CM123" i="3"/>
  <c r="CL123" i="3"/>
  <c r="CK123" i="3"/>
  <c r="CJ123" i="3"/>
  <c r="CI123" i="3"/>
  <c r="CH123" i="3"/>
  <c r="CG123" i="3"/>
  <c r="CF123" i="3"/>
  <c r="CE123" i="3"/>
  <c r="CD123" i="3"/>
  <c r="CC123" i="3"/>
  <c r="CB123" i="3"/>
  <c r="CA123" i="3"/>
  <c r="BZ123" i="3"/>
  <c r="BY123" i="3"/>
  <c r="BX123" i="3"/>
  <c r="BW123" i="3"/>
  <c r="BV123" i="3"/>
  <c r="BU123" i="3"/>
  <c r="BT123" i="3"/>
  <c r="BS123" i="3"/>
  <c r="BR123" i="3"/>
  <c r="BQ123" i="3"/>
  <c r="BP123" i="3"/>
  <c r="BO123" i="3"/>
  <c r="BN123" i="3"/>
  <c r="BM123" i="3"/>
  <c r="BL123" i="3"/>
  <c r="BK123" i="3"/>
  <c r="BJ123" i="3"/>
  <c r="BI123" i="3"/>
  <c r="BH123" i="3"/>
  <c r="BG123" i="3"/>
  <c r="BF123" i="3"/>
  <c r="BE123" i="3"/>
  <c r="CW122" i="3"/>
  <c r="CV122" i="3"/>
  <c r="CU122" i="3"/>
  <c r="CT122" i="3"/>
  <c r="CS122" i="3"/>
  <c r="CR122" i="3"/>
  <c r="CQ122" i="3"/>
  <c r="CP122" i="3"/>
  <c r="CO122" i="3"/>
  <c r="CN122" i="3"/>
  <c r="CM122" i="3"/>
  <c r="CL122" i="3"/>
  <c r="CK122" i="3"/>
  <c r="CJ122" i="3"/>
  <c r="CI122" i="3"/>
  <c r="CH122" i="3"/>
  <c r="CG122" i="3"/>
  <c r="CF122" i="3"/>
  <c r="CE122" i="3"/>
  <c r="CD122" i="3"/>
  <c r="CC122" i="3"/>
  <c r="CB122" i="3"/>
  <c r="CA122" i="3"/>
  <c r="BZ122" i="3"/>
  <c r="BY122" i="3"/>
  <c r="BX122" i="3"/>
  <c r="BW122" i="3"/>
  <c r="BV122" i="3"/>
  <c r="BU122" i="3"/>
  <c r="BT122" i="3"/>
  <c r="BS122" i="3"/>
  <c r="BR122" i="3"/>
  <c r="BQ122" i="3"/>
  <c r="BP122" i="3"/>
  <c r="BO122" i="3"/>
  <c r="BN122" i="3"/>
  <c r="BM122" i="3"/>
  <c r="BL122" i="3"/>
  <c r="BK122" i="3"/>
  <c r="BJ122" i="3"/>
  <c r="BI122" i="3"/>
  <c r="BH122" i="3"/>
  <c r="BG122" i="3"/>
  <c r="BF122" i="3"/>
  <c r="BE122" i="3"/>
  <c r="CW121" i="3"/>
  <c r="CV121" i="3"/>
  <c r="CU121" i="3"/>
  <c r="CT121" i="3"/>
  <c r="CS121" i="3"/>
  <c r="CR121" i="3"/>
  <c r="CQ121" i="3"/>
  <c r="CP121" i="3"/>
  <c r="CO121" i="3"/>
  <c r="CN121" i="3"/>
  <c r="CM121" i="3"/>
  <c r="CL121" i="3"/>
  <c r="CK121" i="3"/>
  <c r="CJ121" i="3"/>
  <c r="CI121" i="3"/>
  <c r="CH121" i="3"/>
  <c r="CG121" i="3"/>
  <c r="CF121" i="3"/>
  <c r="CE121" i="3"/>
  <c r="CD121" i="3"/>
  <c r="CC121" i="3"/>
  <c r="CB121" i="3"/>
  <c r="CA121" i="3"/>
  <c r="BZ121" i="3"/>
  <c r="BY121" i="3"/>
  <c r="BX121" i="3"/>
  <c r="BW121" i="3"/>
  <c r="BV121" i="3"/>
  <c r="BU121" i="3"/>
  <c r="BT121" i="3"/>
  <c r="BS121" i="3"/>
  <c r="BR121" i="3"/>
  <c r="BQ121" i="3"/>
  <c r="BP121" i="3"/>
  <c r="BO121" i="3"/>
  <c r="BN121" i="3"/>
  <c r="BM121" i="3"/>
  <c r="BL121" i="3"/>
  <c r="BK121" i="3"/>
  <c r="BJ121" i="3"/>
  <c r="BI121" i="3"/>
  <c r="BH121" i="3"/>
  <c r="BG121" i="3"/>
  <c r="BF121" i="3"/>
  <c r="BE121" i="3"/>
  <c r="CW120" i="3"/>
  <c r="CV120" i="3"/>
  <c r="CU120" i="3"/>
  <c r="CT120" i="3"/>
  <c r="CS120" i="3"/>
  <c r="CR120" i="3"/>
  <c r="CQ120" i="3"/>
  <c r="CP120" i="3"/>
  <c r="CO120" i="3"/>
  <c r="CN120" i="3"/>
  <c r="CM120" i="3"/>
  <c r="CL120" i="3"/>
  <c r="CK120" i="3"/>
  <c r="CJ120" i="3"/>
  <c r="CI120" i="3"/>
  <c r="CH120" i="3"/>
  <c r="CG120" i="3"/>
  <c r="CF120" i="3"/>
  <c r="CE120" i="3"/>
  <c r="CD120" i="3"/>
  <c r="CC120" i="3"/>
  <c r="CB120" i="3"/>
  <c r="CA120" i="3"/>
  <c r="BZ120" i="3"/>
  <c r="BY120" i="3"/>
  <c r="BX120" i="3"/>
  <c r="BW120" i="3"/>
  <c r="BV120" i="3"/>
  <c r="BU120" i="3"/>
  <c r="BT120" i="3"/>
  <c r="BS120" i="3"/>
  <c r="BR120" i="3"/>
  <c r="BQ120" i="3"/>
  <c r="BP120" i="3"/>
  <c r="BO120" i="3"/>
  <c r="BN120" i="3"/>
  <c r="BM120" i="3"/>
  <c r="BL120" i="3"/>
  <c r="BK120" i="3"/>
  <c r="BJ120" i="3"/>
  <c r="BI120" i="3"/>
  <c r="BH120" i="3"/>
  <c r="BG120" i="3"/>
  <c r="BF120" i="3"/>
  <c r="BE120" i="3"/>
  <c r="CW119" i="3"/>
  <c r="CV119" i="3"/>
  <c r="CU119" i="3"/>
  <c r="CT119" i="3"/>
  <c r="CS119" i="3"/>
  <c r="CR119" i="3"/>
  <c r="CQ119" i="3"/>
  <c r="CP119" i="3"/>
  <c r="CO119" i="3"/>
  <c r="CN119" i="3"/>
  <c r="CM119" i="3"/>
  <c r="CL119" i="3"/>
  <c r="CK119" i="3"/>
  <c r="CJ119" i="3"/>
  <c r="CI119" i="3"/>
  <c r="CH119" i="3"/>
  <c r="CG119" i="3"/>
  <c r="CF119" i="3"/>
  <c r="CE119" i="3"/>
  <c r="CD119" i="3"/>
  <c r="CC119" i="3"/>
  <c r="CB119" i="3"/>
  <c r="CA119" i="3"/>
  <c r="BZ119" i="3"/>
  <c r="BY119" i="3"/>
  <c r="BX119" i="3"/>
  <c r="BW119" i="3"/>
  <c r="BV119" i="3"/>
  <c r="BU119" i="3"/>
  <c r="BT119" i="3"/>
  <c r="BS119" i="3"/>
  <c r="BR119" i="3"/>
  <c r="BQ119" i="3"/>
  <c r="BP119" i="3"/>
  <c r="BO119" i="3"/>
  <c r="BN119" i="3"/>
  <c r="BM119" i="3"/>
  <c r="BL119" i="3"/>
  <c r="BK119" i="3"/>
  <c r="BJ119" i="3"/>
  <c r="BI119" i="3"/>
  <c r="BH119" i="3"/>
  <c r="BG119" i="3"/>
  <c r="BF119" i="3"/>
  <c r="BE119" i="3"/>
  <c r="CW118" i="3"/>
  <c r="CV118" i="3"/>
  <c r="CU118" i="3"/>
  <c r="CT118" i="3"/>
  <c r="CS118" i="3"/>
  <c r="CR118" i="3"/>
  <c r="CQ118" i="3"/>
  <c r="CP118" i="3"/>
  <c r="CO118" i="3"/>
  <c r="CN118" i="3"/>
  <c r="CM118" i="3"/>
  <c r="CL118" i="3"/>
  <c r="CK118" i="3"/>
  <c r="CJ118" i="3"/>
  <c r="CI118" i="3"/>
  <c r="CH118" i="3"/>
  <c r="CG118" i="3"/>
  <c r="CF118" i="3"/>
  <c r="CE118" i="3"/>
  <c r="CD118" i="3"/>
  <c r="CC118" i="3"/>
  <c r="CB118" i="3"/>
  <c r="CA118" i="3"/>
  <c r="BZ118" i="3"/>
  <c r="BY118" i="3"/>
  <c r="BX118" i="3"/>
  <c r="BW118" i="3"/>
  <c r="BV118" i="3"/>
  <c r="BU118" i="3"/>
  <c r="BT118" i="3"/>
  <c r="BS118" i="3"/>
  <c r="BR118" i="3"/>
  <c r="BQ118" i="3"/>
  <c r="BP118" i="3"/>
  <c r="BO118" i="3"/>
  <c r="BN118" i="3"/>
  <c r="BM118" i="3"/>
  <c r="BL118" i="3"/>
  <c r="BK118" i="3"/>
  <c r="BJ118" i="3"/>
  <c r="BI118" i="3"/>
  <c r="BH118" i="3"/>
  <c r="BG118" i="3"/>
  <c r="BF118" i="3"/>
  <c r="BE118" i="3"/>
  <c r="CW117" i="3"/>
  <c r="CV117" i="3"/>
  <c r="CU117" i="3"/>
  <c r="CT117" i="3"/>
  <c r="CS117" i="3"/>
  <c r="CR117" i="3"/>
  <c r="CQ117" i="3"/>
  <c r="CP117" i="3"/>
  <c r="CO117" i="3"/>
  <c r="CN117" i="3"/>
  <c r="CM117" i="3"/>
  <c r="CL117" i="3"/>
  <c r="CK117" i="3"/>
  <c r="CJ117" i="3"/>
  <c r="CI117" i="3"/>
  <c r="CH117" i="3"/>
  <c r="CG117" i="3"/>
  <c r="CF117" i="3"/>
  <c r="CE117" i="3"/>
  <c r="CD117" i="3"/>
  <c r="CC117" i="3"/>
  <c r="CB117" i="3"/>
  <c r="CA117" i="3"/>
  <c r="BZ117" i="3"/>
  <c r="BY117" i="3"/>
  <c r="BX117" i="3"/>
  <c r="BW117" i="3"/>
  <c r="BV117" i="3"/>
  <c r="BU117" i="3"/>
  <c r="BT117" i="3"/>
  <c r="BS117" i="3"/>
  <c r="BR117" i="3"/>
  <c r="BQ117" i="3"/>
  <c r="BP117" i="3"/>
  <c r="BO117" i="3"/>
  <c r="BN117" i="3"/>
  <c r="BM117" i="3"/>
  <c r="BL117" i="3"/>
  <c r="BK117" i="3"/>
  <c r="BJ117" i="3"/>
  <c r="BI117" i="3"/>
  <c r="BH117" i="3"/>
  <c r="BG117" i="3"/>
  <c r="BF117" i="3"/>
  <c r="BE117" i="3"/>
  <c r="CW116" i="3"/>
  <c r="CV116" i="3"/>
  <c r="CU116" i="3"/>
  <c r="CT116" i="3"/>
  <c r="CS116" i="3"/>
  <c r="CR116" i="3"/>
  <c r="CQ116" i="3"/>
  <c r="CP116" i="3"/>
  <c r="CO116" i="3"/>
  <c r="CN116" i="3"/>
  <c r="CM116" i="3"/>
  <c r="CL116" i="3"/>
  <c r="CK116" i="3"/>
  <c r="CJ116" i="3"/>
  <c r="CI116" i="3"/>
  <c r="CH116" i="3"/>
  <c r="CG116" i="3"/>
  <c r="CF116" i="3"/>
  <c r="CE116" i="3"/>
  <c r="CD116" i="3"/>
  <c r="CC116" i="3"/>
  <c r="CB116" i="3"/>
  <c r="CA116" i="3"/>
  <c r="BZ116" i="3"/>
  <c r="BY116" i="3"/>
  <c r="BX116" i="3"/>
  <c r="BW116" i="3"/>
  <c r="BV116" i="3"/>
  <c r="BU116" i="3"/>
  <c r="BT116" i="3"/>
  <c r="BS116" i="3"/>
  <c r="BR116" i="3"/>
  <c r="BQ116" i="3"/>
  <c r="BP116" i="3"/>
  <c r="BO116" i="3"/>
  <c r="BN116" i="3"/>
  <c r="BM116" i="3"/>
  <c r="BL116" i="3"/>
  <c r="BK116" i="3"/>
  <c r="BJ116" i="3"/>
  <c r="BI116" i="3"/>
  <c r="BH116" i="3"/>
  <c r="BG116" i="3"/>
  <c r="BF116" i="3"/>
  <c r="BE116" i="3"/>
  <c r="CW115" i="3"/>
  <c r="CV115" i="3"/>
  <c r="CU115" i="3"/>
  <c r="CT115" i="3"/>
  <c r="CS115" i="3"/>
  <c r="CR115" i="3"/>
  <c r="CQ115" i="3"/>
  <c r="CP115" i="3"/>
  <c r="CO115" i="3"/>
  <c r="CN115" i="3"/>
  <c r="CM115" i="3"/>
  <c r="CL115" i="3"/>
  <c r="CK115" i="3"/>
  <c r="CJ115" i="3"/>
  <c r="CI115" i="3"/>
  <c r="CH115" i="3"/>
  <c r="CG115" i="3"/>
  <c r="CF115" i="3"/>
  <c r="CE115" i="3"/>
  <c r="CD115" i="3"/>
  <c r="CC115" i="3"/>
  <c r="CB115" i="3"/>
  <c r="CA115" i="3"/>
  <c r="BZ115" i="3"/>
  <c r="BY115" i="3"/>
  <c r="BX115" i="3"/>
  <c r="BW115" i="3"/>
  <c r="BV115" i="3"/>
  <c r="BU115" i="3"/>
  <c r="BT115" i="3"/>
  <c r="BS115" i="3"/>
  <c r="BR115" i="3"/>
  <c r="BQ115" i="3"/>
  <c r="BP115" i="3"/>
  <c r="BO115" i="3"/>
  <c r="BN115" i="3"/>
  <c r="DL7" i="5" s="1"/>
  <c r="DL16" i="5" s="1"/>
  <c r="BM115" i="3"/>
  <c r="BL115" i="3"/>
  <c r="BK115" i="3"/>
  <c r="BJ115" i="3"/>
  <c r="BI115" i="3"/>
  <c r="BH115" i="3"/>
  <c r="BG115" i="3"/>
  <c r="BF115" i="3"/>
  <c r="BE115" i="3"/>
  <c r="CW114" i="3"/>
  <c r="CV114" i="3"/>
  <c r="CU114" i="3"/>
  <c r="CT114" i="3"/>
  <c r="CS114" i="3"/>
  <c r="CR114" i="3"/>
  <c r="CQ114" i="3"/>
  <c r="CP114" i="3"/>
  <c r="CO114" i="3"/>
  <c r="CN114" i="3"/>
  <c r="CM114" i="3"/>
  <c r="CL114" i="3"/>
  <c r="CK114" i="3"/>
  <c r="CJ114" i="3"/>
  <c r="CI114" i="3"/>
  <c r="CH114" i="3"/>
  <c r="CG114" i="3"/>
  <c r="CF114" i="3"/>
  <c r="CE114" i="3"/>
  <c r="CD114" i="3"/>
  <c r="CC114" i="3"/>
  <c r="CB114" i="3"/>
  <c r="CA114" i="3"/>
  <c r="BZ114" i="3"/>
  <c r="BY114" i="3"/>
  <c r="BX114" i="3"/>
  <c r="BW114" i="3"/>
  <c r="BV114" i="3"/>
  <c r="BU114" i="3"/>
  <c r="BT114" i="3"/>
  <c r="BS114" i="3"/>
  <c r="BR114" i="3"/>
  <c r="BQ114" i="3"/>
  <c r="BP114" i="3"/>
  <c r="BO114" i="3"/>
  <c r="BN114" i="3"/>
  <c r="BM114" i="3"/>
  <c r="BL114" i="3"/>
  <c r="BK114" i="3"/>
  <c r="BJ114" i="3"/>
  <c r="BI114" i="3"/>
  <c r="BH114" i="3"/>
  <c r="BG114" i="3"/>
  <c r="BF114" i="3"/>
  <c r="BE114" i="3"/>
  <c r="CW113" i="3"/>
  <c r="CV113" i="3"/>
  <c r="CU113" i="3"/>
  <c r="CT113" i="3"/>
  <c r="CS113" i="3"/>
  <c r="CR113" i="3"/>
  <c r="CQ113" i="3"/>
  <c r="CP113" i="3"/>
  <c r="CO113" i="3"/>
  <c r="CN113" i="3"/>
  <c r="CM113" i="3"/>
  <c r="CL113" i="3"/>
  <c r="CK113" i="3"/>
  <c r="CJ113" i="3"/>
  <c r="CI113" i="3"/>
  <c r="CH113" i="3"/>
  <c r="CG113" i="3"/>
  <c r="CF113" i="3"/>
  <c r="CE113" i="3"/>
  <c r="CD113" i="3"/>
  <c r="CC113" i="3"/>
  <c r="CB113" i="3"/>
  <c r="CA113" i="3"/>
  <c r="BZ113" i="3"/>
  <c r="BY113" i="3"/>
  <c r="BX113" i="3"/>
  <c r="BW113" i="3"/>
  <c r="BV113" i="3"/>
  <c r="BU113" i="3"/>
  <c r="BT113" i="3"/>
  <c r="BS113" i="3"/>
  <c r="BR113" i="3"/>
  <c r="BQ113" i="3"/>
  <c r="BP113" i="3"/>
  <c r="BO113" i="3"/>
  <c r="BN113" i="3"/>
  <c r="BM113" i="3"/>
  <c r="BL113" i="3"/>
  <c r="BK113" i="3"/>
  <c r="BJ113" i="3"/>
  <c r="BI113" i="3"/>
  <c r="BH113" i="3"/>
  <c r="BG113" i="3"/>
  <c r="BF113" i="3"/>
  <c r="BE113" i="3"/>
  <c r="CW112" i="3"/>
  <c r="CV112" i="3"/>
  <c r="CU112" i="3"/>
  <c r="CT112" i="3"/>
  <c r="CS112" i="3"/>
  <c r="CR112" i="3"/>
  <c r="CQ112" i="3"/>
  <c r="CP112" i="3"/>
  <c r="CO112" i="3"/>
  <c r="CN112" i="3"/>
  <c r="CM112" i="3"/>
  <c r="CL112" i="3"/>
  <c r="CK112" i="3"/>
  <c r="CJ112" i="3"/>
  <c r="CI112" i="3"/>
  <c r="CH112" i="3"/>
  <c r="CG112" i="3"/>
  <c r="CF112" i="3"/>
  <c r="CE112" i="3"/>
  <c r="CD112" i="3"/>
  <c r="CC112" i="3"/>
  <c r="CB112" i="3"/>
  <c r="CA112" i="3"/>
  <c r="BZ112" i="3"/>
  <c r="BY112" i="3"/>
  <c r="BX112" i="3"/>
  <c r="BW112" i="3"/>
  <c r="BV112" i="3"/>
  <c r="BU112" i="3"/>
  <c r="BT112" i="3"/>
  <c r="BS112" i="3"/>
  <c r="BR112" i="3"/>
  <c r="BQ112" i="3"/>
  <c r="BP112" i="3"/>
  <c r="BO112" i="3"/>
  <c r="BN112" i="3"/>
  <c r="BM112" i="3"/>
  <c r="BL112" i="3"/>
  <c r="BK112" i="3"/>
  <c r="BJ112" i="3"/>
  <c r="BI112" i="3"/>
  <c r="BH112" i="3"/>
  <c r="BG112" i="3"/>
  <c r="BF112" i="3"/>
  <c r="BE112" i="3"/>
  <c r="CW111" i="3"/>
  <c r="CV111" i="3"/>
  <c r="CU111" i="3"/>
  <c r="CT111" i="3"/>
  <c r="CS111" i="3"/>
  <c r="CR111" i="3"/>
  <c r="CQ111" i="3"/>
  <c r="CP111" i="3"/>
  <c r="CO111" i="3"/>
  <c r="CN111" i="3"/>
  <c r="CM111" i="3"/>
  <c r="CL111" i="3"/>
  <c r="CK111" i="3"/>
  <c r="CJ111" i="3"/>
  <c r="CI111" i="3"/>
  <c r="CH111" i="3"/>
  <c r="CG111" i="3"/>
  <c r="CF111" i="3"/>
  <c r="CE111" i="3"/>
  <c r="CD111" i="3"/>
  <c r="CC111" i="3"/>
  <c r="CB111" i="3"/>
  <c r="CA111" i="3"/>
  <c r="BZ111" i="3"/>
  <c r="BY111" i="3"/>
  <c r="BX111" i="3"/>
  <c r="BW111" i="3"/>
  <c r="BV111" i="3"/>
  <c r="BU111" i="3"/>
  <c r="BT111" i="3"/>
  <c r="BS111" i="3"/>
  <c r="BR111" i="3"/>
  <c r="BQ111" i="3"/>
  <c r="BP111" i="3"/>
  <c r="BO111" i="3"/>
  <c r="BN111" i="3"/>
  <c r="BM111" i="3"/>
  <c r="BL111" i="3"/>
  <c r="BK111" i="3"/>
  <c r="BJ111" i="3"/>
  <c r="BI111" i="3"/>
  <c r="BH111" i="3"/>
  <c r="BG111" i="3"/>
  <c r="BF111" i="3"/>
  <c r="BE111" i="3"/>
  <c r="CW110" i="3"/>
  <c r="CV110" i="3"/>
  <c r="CU110" i="3"/>
  <c r="CT110" i="3"/>
  <c r="CS110" i="3"/>
  <c r="CR110" i="3"/>
  <c r="CQ110" i="3"/>
  <c r="CP110" i="3"/>
  <c r="CO110" i="3"/>
  <c r="CN110" i="3"/>
  <c r="CM110" i="3"/>
  <c r="CL110" i="3"/>
  <c r="CK110" i="3"/>
  <c r="CJ110" i="3"/>
  <c r="CI110" i="3"/>
  <c r="CH110" i="3"/>
  <c r="CG110" i="3"/>
  <c r="CF110" i="3"/>
  <c r="CE110" i="3"/>
  <c r="CD110" i="3"/>
  <c r="CC110" i="3"/>
  <c r="CB110" i="3"/>
  <c r="CA110" i="3"/>
  <c r="BZ110" i="3"/>
  <c r="BY110" i="3"/>
  <c r="BX110" i="3"/>
  <c r="BW110" i="3"/>
  <c r="BV110" i="3"/>
  <c r="BU110" i="3"/>
  <c r="BT110" i="3"/>
  <c r="BS110" i="3"/>
  <c r="BR110" i="3"/>
  <c r="BQ110" i="3"/>
  <c r="BP110" i="3"/>
  <c r="BO110" i="3"/>
  <c r="BN110" i="3"/>
  <c r="BM110" i="3"/>
  <c r="BL110" i="3"/>
  <c r="BK110" i="3"/>
  <c r="BJ110" i="3"/>
  <c r="BI110" i="3"/>
  <c r="BH110" i="3"/>
  <c r="BG110" i="3"/>
  <c r="BF110" i="3"/>
  <c r="BE110" i="3"/>
  <c r="CW109" i="3"/>
  <c r="CV109" i="3"/>
  <c r="CU109" i="3"/>
  <c r="CT109" i="3"/>
  <c r="CS109" i="3"/>
  <c r="CR109" i="3"/>
  <c r="CQ109" i="3"/>
  <c r="CP109" i="3"/>
  <c r="CO109" i="3"/>
  <c r="CN109" i="3"/>
  <c r="CM109" i="3"/>
  <c r="CL109" i="3"/>
  <c r="CK109" i="3"/>
  <c r="CJ109" i="3"/>
  <c r="CI109" i="3"/>
  <c r="CH109" i="3"/>
  <c r="CG109" i="3"/>
  <c r="CF109" i="3"/>
  <c r="CE109" i="3"/>
  <c r="CD109" i="3"/>
  <c r="CC109" i="3"/>
  <c r="CB109" i="3"/>
  <c r="CA109" i="3"/>
  <c r="BZ109" i="3"/>
  <c r="BY109" i="3"/>
  <c r="BX109" i="3"/>
  <c r="BW109" i="3"/>
  <c r="BV109" i="3"/>
  <c r="BU109" i="3"/>
  <c r="BT109" i="3"/>
  <c r="BS109" i="3"/>
  <c r="BR109" i="3"/>
  <c r="BQ109" i="3"/>
  <c r="BP109" i="3"/>
  <c r="BO109" i="3"/>
  <c r="BN109" i="3"/>
  <c r="BM109" i="3"/>
  <c r="BL109" i="3"/>
  <c r="BK109" i="3"/>
  <c r="BJ109" i="3"/>
  <c r="BI109" i="3"/>
  <c r="BH109" i="3"/>
  <c r="BG109" i="3"/>
  <c r="BF109" i="3"/>
  <c r="BE109" i="3"/>
  <c r="CW108" i="3"/>
  <c r="CV108" i="3"/>
  <c r="CU108" i="3"/>
  <c r="CT108" i="3"/>
  <c r="CS108" i="3"/>
  <c r="CR108" i="3"/>
  <c r="CQ108" i="3"/>
  <c r="CP108" i="3"/>
  <c r="CO108" i="3"/>
  <c r="CN108" i="3"/>
  <c r="CM108" i="3"/>
  <c r="CL108" i="3"/>
  <c r="CK108" i="3"/>
  <c r="CJ108" i="3"/>
  <c r="CI108" i="3"/>
  <c r="CH108" i="3"/>
  <c r="CG108" i="3"/>
  <c r="CF108" i="3"/>
  <c r="CE108" i="3"/>
  <c r="CD108" i="3"/>
  <c r="CC108" i="3"/>
  <c r="CB108" i="3"/>
  <c r="CA108" i="3"/>
  <c r="BZ108" i="3"/>
  <c r="BY108" i="3"/>
  <c r="BX108" i="3"/>
  <c r="BW108" i="3"/>
  <c r="BV108" i="3"/>
  <c r="BU108" i="3"/>
  <c r="BT108" i="3"/>
  <c r="BS108" i="3"/>
  <c r="BR108" i="3"/>
  <c r="BQ108" i="3"/>
  <c r="BP108" i="3"/>
  <c r="BO108" i="3"/>
  <c r="BN108" i="3"/>
  <c r="BM108" i="3"/>
  <c r="BL108" i="3"/>
  <c r="BK108" i="3"/>
  <c r="BJ108" i="3"/>
  <c r="BI108" i="3"/>
  <c r="BH108" i="3"/>
  <c r="BG108" i="3"/>
  <c r="BF108" i="3"/>
  <c r="BE108" i="3"/>
  <c r="CW107" i="3"/>
  <c r="CV107" i="3"/>
  <c r="CU107" i="3"/>
  <c r="CT107" i="3"/>
  <c r="CS107" i="3"/>
  <c r="CR107" i="3"/>
  <c r="CQ107" i="3"/>
  <c r="CP107" i="3"/>
  <c r="CO107" i="3"/>
  <c r="CN107" i="3"/>
  <c r="CM107" i="3"/>
  <c r="CL107" i="3"/>
  <c r="CK107" i="3"/>
  <c r="CJ107" i="3"/>
  <c r="CI107" i="3"/>
  <c r="CH107" i="3"/>
  <c r="CG107" i="3"/>
  <c r="CF107" i="3"/>
  <c r="CE107" i="3"/>
  <c r="CD107" i="3"/>
  <c r="CC107" i="3"/>
  <c r="CB107" i="3"/>
  <c r="CA107" i="3"/>
  <c r="BZ107" i="3"/>
  <c r="BY107" i="3"/>
  <c r="BX107" i="3"/>
  <c r="BW107" i="3"/>
  <c r="BV107" i="3"/>
  <c r="BU107" i="3"/>
  <c r="BT107" i="3"/>
  <c r="BS107" i="3"/>
  <c r="BR107" i="3"/>
  <c r="BQ107" i="3"/>
  <c r="BP107" i="3"/>
  <c r="BO107" i="3"/>
  <c r="BN107" i="3"/>
  <c r="BM107" i="3"/>
  <c r="BL107" i="3"/>
  <c r="BK107" i="3"/>
  <c r="BJ107" i="3"/>
  <c r="BI107" i="3"/>
  <c r="BH107" i="3"/>
  <c r="BG107" i="3"/>
  <c r="BF107" i="3"/>
  <c r="BE107" i="3"/>
  <c r="CW106" i="3"/>
  <c r="CV106" i="3"/>
  <c r="CU106" i="3"/>
  <c r="CT106" i="3"/>
  <c r="CS106" i="3"/>
  <c r="CR106" i="3"/>
  <c r="CQ106" i="3"/>
  <c r="CP106" i="3"/>
  <c r="CO106" i="3"/>
  <c r="CN106" i="3"/>
  <c r="CM106" i="3"/>
  <c r="CL106" i="3"/>
  <c r="CK106" i="3"/>
  <c r="CJ106" i="3"/>
  <c r="CI106" i="3"/>
  <c r="CH106" i="3"/>
  <c r="CG106" i="3"/>
  <c r="CF106" i="3"/>
  <c r="CE106" i="3"/>
  <c r="CD106" i="3"/>
  <c r="CC106" i="3"/>
  <c r="CB106" i="3"/>
  <c r="CA106" i="3"/>
  <c r="BZ106" i="3"/>
  <c r="BY106" i="3"/>
  <c r="BX106" i="3"/>
  <c r="BW106" i="3"/>
  <c r="BV106" i="3"/>
  <c r="BU106" i="3"/>
  <c r="BT106" i="3"/>
  <c r="BS106" i="3"/>
  <c r="BR106" i="3"/>
  <c r="BQ106" i="3"/>
  <c r="BP106" i="3"/>
  <c r="BO106" i="3"/>
  <c r="BN106" i="3"/>
  <c r="BM106" i="3"/>
  <c r="BL106" i="3"/>
  <c r="BK106" i="3"/>
  <c r="BJ106" i="3"/>
  <c r="BI106" i="3"/>
  <c r="BH106" i="3"/>
  <c r="BG106" i="3"/>
  <c r="BF106" i="3"/>
  <c r="BE106" i="3"/>
  <c r="CW105" i="3"/>
  <c r="CV105" i="3"/>
  <c r="CU105" i="3"/>
  <c r="CT105" i="3"/>
  <c r="CS105" i="3"/>
  <c r="CR105" i="3"/>
  <c r="CQ105" i="3"/>
  <c r="CP105" i="3"/>
  <c r="CO105" i="3"/>
  <c r="CN105" i="3"/>
  <c r="CM105" i="3"/>
  <c r="CL105" i="3"/>
  <c r="CK105" i="3"/>
  <c r="CJ105" i="3"/>
  <c r="CI105" i="3"/>
  <c r="CH105" i="3"/>
  <c r="CG105" i="3"/>
  <c r="CF105" i="3"/>
  <c r="CE105" i="3"/>
  <c r="CD105" i="3"/>
  <c r="CC105" i="3"/>
  <c r="CB105" i="3"/>
  <c r="CA105" i="3"/>
  <c r="BZ105" i="3"/>
  <c r="BY105" i="3"/>
  <c r="BX105" i="3"/>
  <c r="BW105" i="3"/>
  <c r="BV105" i="3"/>
  <c r="BU105" i="3"/>
  <c r="BT105" i="3"/>
  <c r="BS105" i="3"/>
  <c r="BR105" i="3"/>
  <c r="BQ105" i="3"/>
  <c r="BP105" i="3"/>
  <c r="BO105" i="3"/>
  <c r="BN105" i="3"/>
  <c r="BM105" i="3"/>
  <c r="BL105" i="3"/>
  <c r="BK105" i="3"/>
  <c r="BJ105" i="3"/>
  <c r="BI105" i="3"/>
  <c r="BH105" i="3"/>
  <c r="BG105" i="3"/>
  <c r="BF105" i="3"/>
  <c r="BE105" i="3"/>
  <c r="AW10" i="11" a="1"/>
  <c r="AW10" i="11" s="1"/>
  <c r="AV10" i="11" a="1"/>
  <c r="AV10" i="11" s="1"/>
  <c r="AU10" i="11"/>
  <c r="AU10" i="11" a="1"/>
  <c r="AT10" i="11" a="1"/>
  <c r="AT10" i="11" s="1"/>
  <c r="AS10" i="11"/>
  <c r="AS10" i="11" a="1"/>
  <c r="AR10" i="11"/>
  <c r="AR10" i="11" a="1"/>
  <c r="AQ10" i="11" a="1"/>
  <c r="AQ10" i="11" s="1"/>
  <c r="AP10" i="11" a="1"/>
  <c r="AP10" i="11" s="1"/>
  <c r="AO10" i="11" a="1"/>
  <c r="AO10" i="11" s="1"/>
  <c r="AN10" i="11"/>
  <c r="AN10" i="11" a="1"/>
  <c r="AM10" i="11" a="1"/>
  <c r="AM10" i="11" s="1"/>
  <c r="AL10" i="11" a="1"/>
  <c r="AL10" i="11" s="1"/>
  <c r="AK10" i="11"/>
  <c r="AK10" i="11" a="1"/>
  <c r="AJ10" i="11" a="1"/>
  <c r="AJ10" i="11" s="1"/>
  <c r="AI10" i="11"/>
  <c r="AI10" i="11" a="1"/>
  <c r="AH10" i="11"/>
  <c r="AH10" i="11" a="1"/>
  <c r="AG10" i="11" a="1"/>
  <c r="AG10" i="11" s="1"/>
  <c r="AF10" i="11" a="1"/>
  <c r="AF10" i="11" s="1"/>
  <c r="AE10" i="11" a="1"/>
  <c r="AE10" i="11" s="1"/>
  <c r="AD10" i="11"/>
  <c r="AD10" i="11" a="1"/>
  <c r="AC10" i="11" a="1"/>
  <c r="AC10" i="11" s="1"/>
  <c r="AB10" i="11" a="1"/>
  <c r="AB10" i="11" s="1"/>
  <c r="AA10" i="11"/>
  <c r="AA10" i="11" a="1"/>
  <c r="Z10" i="11" a="1"/>
  <c r="Z10" i="11" s="1"/>
  <c r="Y10" i="11"/>
  <c r="Y10" i="11" a="1"/>
  <c r="X10" i="11" a="1"/>
  <c r="X10" i="11" s="1"/>
  <c r="W10" i="11" a="1"/>
  <c r="W10" i="11" s="1"/>
  <c r="V10" i="11" a="1"/>
  <c r="V10" i="11" s="1"/>
  <c r="U10" i="11"/>
  <c r="U10" i="11" a="1"/>
  <c r="T10" i="11"/>
  <c r="T10" i="11" a="1"/>
  <c r="S10" i="11" a="1"/>
  <c r="S10" i="11" s="1"/>
  <c r="R10" i="11" a="1"/>
  <c r="R10" i="11" s="1"/>
  <c r="Q10" i="11"/>
  <c r="Q10" i="11" a="1"/>
  <c r="P10" i="11" a="1"/>
  <c r="P10" i="11" s="1"/>
  <c r="O10" i="11"/>
  <c r="O10" i="11" a="1"/>
  <c r="N10" i="11"/>
  <c r="N10" i="11" a="1"/>
  <c r="M10" i="11" a="1"/>
  <c r="M10" i="11" s="1"/>
  <c r="L10" i="11" a="1"/>
  <c r="L10" i="11" s="1"/>
  <c r="K10" i="11"/>
  <c r="K10" i="11" a="1"/>
  <c r="J10" i="11"/>
  <c r="J10" i="11" a="1"/>
  <c r="I10" i="11" a="1"/>
  <c r="I10" i="11" s="1"/>
  <c r="H10" i="11" a="1"/>
  <c r="H10" i="11" s="1"/>
  <c r="G10" i="11" a="1"/>
  <c r="G10" i="11" s="1"/>
  <c r="F10" i="11" a="1"/>
  <c r="F10" i="11" s="1"/>
  <c r="E10" i="11"/>
  <c r="E10" i="11" a="1"/>
  <c r="AW9" i="11" a="1"/>
  <c r="AW9" i="11" s="1"/>
  <c r="AV9" i="11" a="1"/>
  <c r="AV9" i="11" s="1"/>
  <c r="AU9" i="11"/>
  <c r="AU9" i="11" a="1"/>
  <c r="AT9" i="11" a="1"/>
  <c r="AT9" i="11" s="1"/>
  <c r="AS9" i="11"/>
  <c r="AS9" i="11" a="1"/>
  <c r="AR9" i="11" a="1"/>
  <c r="AR9" i="11" s="1"/>
  <c r="AQ9" i="11" a="1"/>
  <c r="AQ9" i="11" s="1"/>
  <c r="AP9" i="11" a="1"/>
  <c r="AP9" i="11" s="1"/>
  <c r="AO9" i="11" a="1"/>
  <c r="AO9" i="11" s="1"/>
  <c r="AN9" i="11"/>
  <c r="AN9" i="11" a="1"/>
  <c r="AM9" i="11" a="1"/>
  <c r="AM9" i="11" s="1"/>
  <c r="AL9" i="11" a="1"/>
  <c r="AL9" i="11" s="1"/>
  <c r="AK9" i="11" a="1"/>
  <c r="AK9" i="11" s="1"/>
  <c r="AJ9" i="11" a="1"/>
  <c r="AJ9" i="11" s="1"/>
  <c r="AI9" i="11"/>
  <c r="AI9" i="11" a="1"/>
  <c r="AH9" i="11" a="1"/>
  <c r="AH9" i="11" s="1"/>
  <c r="AG9" i="11" a="1"/>
  <c r="AG9" i="11" s="1"/>
  <c r="AF9" i="11" a="1"/>
  <c r="AF9" i="11" s="1"/>
  <c r="AE9" i="11" a="1"/>
  <c r="AE9" i="11" s="1"/>
  <c r="AD9" i="11"/>
  <c r="AD9" i="11" a="1"/>
  <c r="AC9" i="11" a="1"/>
  <c r="AC9" i="11" s="1"/>
  <c r="AB9" i="11" a="1"/>
  <c r="AB9" i="11" s="1"/>
  <c r="AA9" i="11" a="1"/>
  <c r="AA9" i="11" s="1"/>
  <c r="Z9" i="11" a="1"/>
  <c r="Z9" i="11" s="1"/>
  <c r="Y9" i="11"/>
  <c r="Y9" i="11" a="1"/>
  <c r="X9" i="11" a="1"/>
  <c r="X9" i="11" s="1"/>
  <c r="W9" i="11" a="1"/>
  <c r="W9" i="11" s="1"/>
  <c r="V9" i="11" a="1"/>
  <c r="V9" i="11" s="1"/>
  <c r="U9" i="11" a="1"/>
  <c r="U9" i="11" s="1"/>
  <c r="T9" i="11" a="1"/>
  <c r="T9" i="11" s="1"/>
  <c r="S9" i="11" a="1"/>
  <c r="S9" i="11" s="1"/>
  <c r="R9" i="11"/>
  <c r="R9" i="11" a="1"/>
  <c r="Q9" i="11" a="1"/>
  <c r="Q9" i="11" s="1"/>
  <c r="P9" i="11" a="1"/>
  <c r="P9" i="11" s="1"/>
  <c r="O9" i="11"/>
  <c r="O9" i="11" a="1"/>
  <c r="N9" i="11" a="1"/>
  <c r="N9" i="11" s="1"/>
  <c r="M9" i="11" a="1"/>
  <c r="M9" i="11" s="1"/>
  <c r="L9" i="11" a="1"/>
  <c r="L9" i="11" s="1"/>
  <c r="K9" i="11" a="1"/>
  <c r="K9" i="11" s="1"/>
  <c r="J9" i="11" a="1"/>
  <c r="J9" i="11" s="1"/>
  <c r="I9" i="11"/>
  <c r="I9" i="11" a="1"/>
  <c r="H9" i="11" a="1"/>
  <c r="H9" i="11" s="1"/>
  <c r="G9" i="11" a="1"/>
  <c r="G9" i="11" s="1"/>
  <c r="F9" i="11"/>
  <c r="F9" i="11" a="1"/>
  <c r="E9" i="11" a="1"/>
  <c r="E9" i="11" s="1"/>
  <c r="AW10" i="12" a="1"/>
  <c r="AW10" i="12" s="1"/>
  <c r="AV10" i="12" a="1"/>
  <c r="AV10" i="12" s="1"/>
  <c r="AU10" i="12" a="1"/>
  <c r="AU10" i="12" s="1"/>
  <c r="AT10" i="12"/>
  <c r="AT10" i="12" a="1"/>
  <c r="AS10" i="12"/>
  <c r="AS10" i="12" a="1"/>
  <c r="AR10" i="12" a="1"/>
  <c r="AR10" i="12" s="1"/>
  <c r="AQ10" i="12" a="1"/>
  <c r="AQ10" i="12" s="1"/>
  <c r="AP10" i="12"/>
  <c r="AP10" i="12" a="1"/>
  <c r="AO10" i="12" a="1"/>
  <c r="AO10" i="12" s="1"/>
  <c r="AN10" i="12" a="1"/>
  <c r="AN10" i="12" s="1"/>
  <c r="AM10" i="12" a="1"/>
  <c r="AM10" i="12" s="1"/>
  <c r="AL10" i="12" a="1"/>
  <c r="AL10" i="12" s="1"/>
  <c r="AK10" i="12" a="1"/>
  <c r="AK10" i="12" s="1"/>
  <c r="AJ10" i="12"/>
  <c r="AJ10" i="12" a="1"/>
  <c r="AI10" i="12"/>
  <c r="AI10" i="12" a="1"/>
  <c r="AH10" i="12" a="1"/>
  <c r="AH10" i="12" s="1"/>
  <c r="AG10" i="12" a="1"/>
  <c r="AG10" i="12" s="1"/>
  <c r="AF10" i="12" a="1"/>
  <c r="AF10" i="12" s="1"/>
  <c r="AE10" i="12" a="1"/>
  <c r="AE10" i="12" s="1"/>
  <c r="AD10" i="12" a="1"/>
  <c r="AD10" i="12" s="1"/>
  <c r="AC10" i="12" a="1"/>
  <c r="AC10" i="12" s="1"/>
  <c r="AB10" i="12" a="1"/>
  <c r="AB10" i="12" s="1"/>
  <c r="AA10" i="12" a="1"/>
  <c r="AA10" i="12" s="1"/>
  <c r="Z10" i="12"/>
  <c r="Z10" i="12" a="1"/>
  <c r="Y10" i="12"/>
  <c r="Y10" i="12" a="1"/>
  <c r="X10" i="12" a="1"/>
  <c r="X10" i="12" s="1"/>
  <c r="W10" i="12" a="1"/>
  <c r="W10" i="12" s="1"/>
  <c r="V10" i="12" a="1"/>
  <c r="V10" i="12" s="1"/>
  <c r="U10" i="12" a="1"/>
  <c r="U10" i="12" s="1"/>
  <c r="T10" i="12" a="1"/>
  <c r="T10" i="12" s="1"/>
  <c r="S10" i="12" a="1"/>
  <c r="S10" i="12" s="1"/>
  <c r="R10" i="12" a="1"/>
  <c r="R10" i="12" s="1"/>
  <c r="Q10" i="12" a="1"/>
  <c r="Q10" i="12" s="1"/>
  <c r="P10" i="12"/>
  <c r="P10" i="12" a="1"/>
  <c r="O10" i="12"/>
  <c r="O10" i="12" a="1"/>
  <c r="N10" i="12" a="1"/>
  <c r="N10" i="12" s="1"/>
  <c r="M10" i="12" a="1"/>
  <c r="M10" i="12" s="1"/>
  <c r="L10" i="12" a="1"/>
  <c r="L10" i="12" s="1"/>
  <c r="K10" i="12" a="1"/>
  <c r="K10" i="12" s="1"/>
  <c r="J10" i="12" a="1"/>
  <c r="J10" i="12" s="1"/>
  <c r="I10" i="12" a="1"/>
  <c r="I10" i="12" s="1"/>
  <c r="H10" i="12" a="1"/>
  <c r="H10" i="12" s="1"/>
  <c r="G10" i="12" a="1"/>
  <c r="G10" i="12" s="1"/>
  <c r="F10" i="12"/>
  <c r="F10" i="12" a="1"/>
  <c r="E10" i="12"/>
  <c r="E10" i="12" a="1"/>
  <c r="AW9" i="12" a="1"/>
  <c r="AW9" i="12" s="1"/>
  <c r="AV9" i="12" a="1"/>
  <c r="AV9" i="12" s="1"/>
  <c r="AU9" i="12" a="1"/>
  <c r="AU9" i="12" s="1"/>
  <c r="AT9" i="12" a="1"/>
  <c r="AT9" i="12" s="1"/>
  <c r="AS9" i="12"/>
  <c r="AS9" i="12" a="1"/>
  <c r="AR9" i="12" a="1"/>
  <c r="AR9" i="12" s="1"/>
  <c r="AQ9" i="12" a="1"/>
  <c r="AQ9" i="12" s="1"/>
  <c r="AP9" i="12" a="1"/>
  <c r="AP9" i="12" s="1"/>
  <c r="AO9" i="12"/>
  <c r="AO9" i="12" a="1"/>
  <c r="AN9" i="12"/>
  <c r="AN9" i="12" a="1"/>
  <c r="AM9" i="12" a="1"/>
  <c r="AM9" i="12" s="1"/>
  <c r="AL9" i="12" a="1"/>
  <c r="AL9" i="12" s="1"/>
  <c r="AK9" i="12"/>
  <c r="AK9" i="12" a="1"/>
  <c r="AJ9" i="12" a="1"/>
  <c r="AJ9" i="12" s="1"/>
  <c r="AI9" i="12" a="1"/>
  <c r="AI9" i="12" s="1"/>
  <c r="AH9" i="12" a="1"/>
  <c r="AH9" i="12" s="1"/>
  <c r="AG9" i="12" a="1"/>
  <c r="AG9" i="12" s="1"/>
  <c r="AF9" i="12" a="1"/>
  <c r="AF9" i="12" s="1"/>
  <c r="AE9" i="12"/>
  <c r="AE9" i="12" a="1"/>
  <c r="AD9" i="12"/>
  <c r="AD9" i="12" a="1"/>
  <c r="AC9" i="12" a="1"/>
  <c r="AC9" i="12" s="1"/>
  <c r="AB9" i="12" a="1"/>
  <c r="AB9" i="12" s="1"/>
  <c r="AA9" i="12" a="1"/>
  <c r="AA9" i="12" s="1"/>
  <c r="Z9" i="12" a="1"/>
  <c r="Z9" i="12" s="1"/>
  <c r="Y9" i="12"/>
  <c r="Y9" i="12" a="1"/>
  <c r="X9" i="12" a="1"/>
  <c r="X9" i="12" s="1"/>
  <c r="W9" i="12" a="1"/>
  <c r="W9" i="12" s="1"/>
  <c r="V9" i="12" a="1"/>
  <c r="V9" i="12" s="1"/>
  <c r="U9" i="12"/>
  <c r="U9" i="12" a="1"/>
  <c r="T9" i="12"/>
  <c r="T9" i="12" a="1"/>
  <c r="S9" i="12" a="1"/>
  <c r="S9" i="12" s="1"/>
  <c r="R9" i="12" a="1"/>
  <c r="R9" i="12" s="1"/>
  <c r="Q9" i="12" a="1"/>
  <c r="Q9" i="12" s="1"/>
  <c r="P9" i="12" a="1"/>
  <c r="P9" i="12" s="1"/>
  <c r="O9" i="12" a="1"/>
  <c r="O9" i="12" s="1"/>
  <c r="N9" i="12" a="1"/>
  <c r="N9" i="12" s="1"/>
  <c r="M9" i="12" a="1"/>
  <c r="M9" i="12" s="1"/>
  <c r="L9" i="12" a="1"/>
  <c r="L9" i="12" s="1"/>
  <c r="K9" i="12"/>
  <c r="K9" i="12" a="1"/>
  <c r="J9" i="12"/>
  <c r="J9" i="12" a="1"/>
  <c r="I9" i="12" a="1"/>
  <c r="I9" i="12" s="1"/>
  <c r="H9" i="12" a="1"/>
  <c r="H9" i="12" s="1"/>
  <c r="G9" i="12" a="1"/>
  <c r="G9" i="12" s="1"/>
  <c r="F9" i="12" a="1"/>
  <c r="F9" i="12" s="1"/>
  <c r="E9" i="12" a="1"/>
  <c r="E9" i="12" s="1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EU21" i="5"/>
  <c r="ET21" i="5"/>
  <c r="ES21" i="5"/>
  <c r="ER21" i="5"/>
  <c r="EQ21" i="5"/>
  <c r="EP21" i="5"/>
  <c r="EO21" i="5"/>
  <c r="EN21" i="5"/>
  <c r="EM21" i="5"/>
  <c r="EL21" i="5"/>
  <c r="EK21" i="5"/>
  <c r="EJ21" i="5"/>
  <c r="EI21" i="5"/>
  <c r="EH21" i="5"/>
  <c r="EG21" i="5"/>
  <c r="EF21" i="5"/>
  <c r="EE21" i="5"/>
  <c r="ED21" i="5"/>
  <c r="EC21" i="5"/>
  <c r="EB21" i="5"/>
  <c r="EA21" i="5"/>
  <c r="DZ21" i="5"/>
  <c r="DY21" i="5"/>
  <c r="DX21" i="5"/>
  <c r="DW21" i="5"/>
  <c r="DV21" i="5"/>
  <c r="DU21" i="5"/>
  <c r="DT21" i="5"/>
  <c r="DS21" i="5"/>
  <c r="DR21" i="5"/>
  <c r="DQ21" i="5"/>
  <c r="DP21" i="5"/>
  <c r="DO21" i="5"/>
  <c r="DN21" i="5"/>
  <c r="DM21" i="5"/>
  <c r="DL21" i="5"/>
  <c r="DK21" i="5"/>
  <c r="DJ21" i="5"/>
  <c r="DI21" i="5"/>
  <c r="DH21" i="5"/>
  <c r="DG21" i="5"/>
  <c r="DF21" i="5"/>
  <c r="DE21" i="5"/>
  <c r="DD21" i="5"/>
  <c r="DC21" i="5"/>
  <c r="EU20" i="5"/>
  <c r="ET20" i="5"/>
  <c r="ES20" i="5"/>
  <c r="ER20" i="5"/>
  <c r="EQ20" i="5"/>
  <c r="EP20" i="5"/>
  <c r="EO20" i="5"/>
  <c r="EN20" i="5"/>
  <c r="EM20" i="5"/>
  <c r="EL20" i="5"/>
  <c r="EK20" i="5"/>
  <c r="EJ20" i="5"/>
  <c r="EI20" i="5"/>
  <c r="EH20" i="5"/>
  <c r="EG20" i="5"/>
  <c r="EF20" i="5"/>
  <c r="EE20" i="5"/>
  <c r="ED20" i="5"/>
  <c r="EC20" i="5"/>
  <c r="EB20" i="5"/>
  <c r="EA20" i="5"/>
  <c r="DZ20" i="5"/>
  <c r="DY20" i="5"/>
  <c r="DX20" i="5"/>
  <c r="DW20" i="5"/>
  <c r="DV20" i="5"/>
  <c r="DU20" i="5"/>
  <c r="DT20" i="5"/>
  <c r="DS20" i="5"/>
  <c r="DR20" i="5"/>
  <c r="DQ20" i="5"/>
  <c r="DP20" i="5"/>
  <c r="DO20" i="5"/>
  <c r="DN20" i="5"/>
  <c r="DM20" i="5"/>
  <c r="DL20" i="5"/>
  <c r="DK20" i="5"/>
  <c r="DJ20" i="5"/>
  <c r="DI20" i="5"/>
  <c r="DH20" i="5"/>
  <c r="DG20" i="5"/>
  <c r="DF20" i="5"/>
  <c r="DE20" i="5"/>
  <c r="DD20" i="5"/>
  <c r="DC20" i="5"/>
  <c r="EU19" i="5"/>
  <c r="ET19" i="5"/>
  <c r="ES19" i="5"/>
  <c r="ER19" i="5"/>
  <c r="EQ19" i="5"/>
  <c r="EP19" i="5"/>
  <c r="EO19" i="5"/>
  <c r="EN19" i="5"/>
  <c r="EM19" i="5"/>
  <c r="EL19" i="5"/>
  <c r="EK19" i="5"/>
  <c r="EJ19" i="5"/>
  <c r="EI19" i="5"/>
  <c r="EH19" i="5"/>
  <c r="EG19" i="5"/>
  <c r="EF19" i="5"/>
  <c r="EE19" i="5"/>
  <c r="ED19" i="5"/>
  <c r="EC19" i="5"/>
  <c r="EB19" i="5"/>
  <c r="EA19" i="5"/>
  <c r="DZ19" i="5"/>
  <c r="DY19" i="5"/>
  <c r="DX19" i="5"/>
  <c r="DW19" i="5"/>
  <c r="DV19" i="5"/>
  <c r="DU19" i="5"/>
  <c r="DT19" i="5"/>
  <c r="DS19" i="5"/>
  <c r="DR19" i="5"/>
  <c r="DQ19" i="5"/>
  <c r="DP19" i="5"/>
  <c r="DO19" i="5"/>
  <c r="DN19" i="5"/>
  <c r="DM19" i="5"/>
  <c r="DL19" i="5"/>
  <c r="DK19" i="5"/>
  <c r="DJ19" i="5"/>
  <c r="DI19" i="5"/>
  <c r="DH19" i="5"/>
  <c r="DG19" i="5"/>
  <c r="DF19" i="5"/>
  <c r="DE19" i="5"/>
  <c r="DD19" i="5"/>
  <c r="DC19" i="5"/>
  <c r="ER2" i="5"/>
  <c r="ER11" i="5" s="1"/>
  <c r="EQ2" i="5"/>
  <c r="EQ11" i="5" s="1"/>
  <c r="EP2" i="5"/>
  <c r="EP11" i="5" s="1"/>
  <c r="EO2" i="5"/>
  <c r="EO11" i="5" s="1"/>
  <c r="EN2" i="5"/>
  <c r="EN11" i="5" s="1"/>
  <c r="EM2" i="5"/>
  <c r="EM11" i="5" s="1"/>
  <c r="EL2" i="5"/>
  <c r="EL11" i="5" s="1"/>
  <c r="EK2" i="5"/>
  <c r="EK11" i="5" s="1"/>
  <c r="EJ2" i="5"/>
  <c r="EJ11" i="5" s="1"/>
  <c r="EE2" i="5"/>
  <c r="EE11" i="5" s="1"/>
  <c r="ED2" i="5"/>
  <c r="ED11" i="5" s="1"/>
  <c r="CX40" i="5"/>
  <c r="CW40" i="5"/>
  <c r="CV40" i="5"/>
  <c r="CU40" i="5"/>
  <c r="CT40" i="5"/>
  <c r="CS40" i="5"/>
  <c r="CR40" i="5"/>
  <c r="CQ40" i="5"/>
  <c r="CP40" i="5"/>
  <c r="CO40" i="5"/>
  <c r="CN40" i="5"/>
  <c r="CM40" i="5"/>
  <c r="CL40" i="5"/>
  <c r="CK40" i="5"/>
  <c r="CJ40" i="5"/>
  <c r="CI40" i="5"/>
  <c r="CH40" i="5"/>
  <c r="CG40" i="5"/>
  <c r="CF40" i="5"/>
  <c r="CE40" i="5"/>
  <c r="CD40" i="5"/>
  <c r="CC40" i="5"/>
  <c r="CB40" i="5"/>
  <c r="CA40" i="5"/>
  <c r="BZ40" i="5"/>
  <c r="BY40" i="5"/>
  <c r="BX40" i="5"/>
  <c r="BW40" i="5"/>
  <c r="BV40" i="5"/>
  <c r="BU40" i="5"/>
  <c r="BT40" i="5"/>
  <c r="BS40" i="5"/>
  <c r="BR40" i="5"/>
  <c r="BQ40" i="5"/>
  <c r="BP40" i="5"/>
  <c r="BO40" i="5"/>
  <c r="BN40" i="5"/>
  <c r="BM40" i="5"/>
  <c r="BL40" i="5"/>
  <c r="BK40" i="5"/>
  <c r="BJ40" i="5"/>
  <c r="BI40" i="5"/>
  <c r="BH40" i="5"/>
  <c r="BG40" i="5"/>
  <c r="BF40" i="5"/>
  <c r="CX39" i="5"/>
  <c r="CW39" i="5"/>
  <c r="CV39" i="5"/>
  <c r="CU39" i="5"/>
  <c r="CT39" i="5"/>
  <c r="CS39" i="5"/>
  <c r="CR39" i="5"/>
  <c r="CQ39" i="5"/>
  <c r="CP39" i="5"/>
  <c r="CO39" i="5"/>
  <c r="CN39" i="5"/>
  <c r="CM39" i="5"/>
  <c r="CL39" i="5"/>
  <c r="CK39" i="5"/>
  <c r="CJ39" i="5"/>
  <c r="CI39" i="5"/>
  <c r="CH39" i="5"/>
  <c r="CG39" i="5"/>
  <c r="CF39" i="5"/>
  <c r="CE39" i="5"/>
  <c r="CD39" i="5"/>
  <c r="CC39" i="5"/>
  <c r="CB39" i="5"/>
  <c r="CA39" i="5"/>
  <c r="BZ39" i="5"/>
  <c r="BY39" i="5"/>
  <c r="BX39" i="5"/>
  <c r="BW39" i="5"/>
  <c r="BV39" i="5"/>
  <c r="BU39" i="5"/>
  <c r="BT39" i="5"/>
  <c r="BS39" i="5"/>
  <c r="BR39" i="5"/>
  <c r="BQ39" i="5"/>
  <c r="BP39" i="5"/>
  <c r="BO39" i="5"/>
  <c r="BN39" i="5"/>
  <c r="BM39" i="5"/>
  <c r="BL39" i="5"/>
  <c r="BK39" i="5"/>
  <c r="BJ39" i="5"/>
  <c r="BI39" i="5"/>
  <c r="BH39" i="5"/>
  <c r="BG39" i="5"/>
  <c r="BF39" i="5"/>
  <c r="CX38" i="5"/>
  <c r="CW38" i="5"/>
  <c r="CV38" i="5"/>
  <c r="CU38" i="5"/>
  <c r="CT38" i="5"/>
  <c r="CS38" i="5"/>
  <c r="CR38" i="5"/>
  <c r="CQ38" i="5"/>
  <c r="CP38" i="5"/>
  <c r="CO38" i="5"/>
  <c r="CN38" i="5"/>
  <c r="CM38" i="5"/>
  <c r="CL38" i="5"/>
  <c r="CK38" i="5"/>
  <c r="CJ38" i="5"/>
  <c r="CI38" i="5"/>
  <c r="CH38" i="5"/>
  <c r="CG38" i="5"/>
  <c r="CF38" i="5"/>
  <c r="CE38" i="5"/>
  <c r="CD38" i="5"/>
  <c r="CC38" i="5"/>
  <c r="CB38" i="5"/>
  <c r="CA38" i="5"/>
  <c r="BZ38" i="5"/>
  <c r="BY38" i="5"/>
  <c r="BX38" i="5"/>
  <c r="BW38" i="5"/>
  <c r="BV38" i="5"/>
  <c r="BU38" i="5"/>
  <c r="BT38" i="5"/>
  <c r="BS38" i="5"/>
  <c r="BR38" i="5"/>
  <c r="BQ38" i="5"/>
  <c r="BP38" i="5"/>
  <c r="BO38" i="5"/>
  <c r="BN38" i="5"/>
  <c r="BM38" i="5"/>
  <c r="BL38" i="5"/>
  <c r="BK38" i="5"/>
  <c r="BJ38" i="5"/>
  <c r="BI38" i="5"/>
  <c r="BH38" i="5"/>
  <c r="BG38" i="5"/>
  <c r="BF38" i="5"/>
  <c r="CX37" i="5"/>
  <c r="CW37" i="5"/>
  <c r="CV37" i="5"/>
  <c r="CU37" i="5"/>
  <c r="CT37" i="5"/>
  <c r="CS37" i="5"/>
  <c r="CR37" i="5"/>
  <c r="CQ37" i="5"/>
  <c r="CP37" i="5"/>
  <c r="CO37" i="5"/>
  <c r="CN37" i="5"/>
  <c r="CM37" i="5"/>
  <c r="CL37" i="5"/>
  <c r="CK37" i="5"/>
  <c r="CJ37" i="5"/>
  <c r="CI37" i="5"/>
  <c r="CH37" i="5"/>
  <c r="CG37" i="5"/>
  <c r="CF37" i="5"/>
  <c r="CE37" i="5"/>
  <c r="CD37" i="5"/>
  <c r="CC37" i="5"/>
  <c r="CB37" i="5"/>
  <c r="CA37" i="5"/>
  <c r="BZ37" i="5"/>
  <c r="BY37" i="5"/>
  <c r="BX37" i="5"/>
  <c r="BW37" i="5"/>
  <c r="BV37" i="5"/>
  <c r="BU37" i="5"/>
  <c r="BT37" i="5"/>
  <c r="BS37" i="5"/>
  <c r="BR37" i="5"/>
  <c r="BQ37" i="5"/>
  <c r="BP37" i="5"/>
  <c r="BO37" i="5"/>
  <c r="BN37" i="5"/>
  <c r="BM37" i="5"/>
  <c r="BL37" i="5"/>
  <c r="BK37" i="5"/>
  <c r="BJ37" i="5"/>
  <c r="BI37" i="5"/>
  <c r="BH37" i="5"/>
  <c r="BG37" i="5"/>
  <c r="BF37" i="5"/>
  <c r="CX36" i="5"/>
  <c r="CW36" i="5"/>
  <c r="CV36" i="5"/>
  <c r="CU36" i="5"/>
  <c r="CT36" i="5"/>
  <c r="CS36" i="5"/>
  <c r="CR36" i="5"/>
  <c r="CQ36" i="5"/>
  <c r="CP36" i="5"/>
  <c r="CO36" i="5"/>
  <c r="CN36" i="5"/>
  <c r="CM36" i="5"/>
  <c r="CL36" i="5"/>
  <c r="CK36" i="5"/>
  <c r="CJ36" i="5"/>
  <c r="CI36" i="5"/>
  <c r="CH36" i="5"/>
  <c r="CG36" i="5"/>
  <c r="CF36" i="5"/>
  <c r="CE36" i="5"/>
  <c r="CD36" i="5"/>
  <c r="CC36" i="5"/>
  <c r="CB36" i="5"/>
  <c r="CA36" i="5"/>
  <c r="BZ36" i="5"/>
  <c r="BY36" i="5"/>
  <c r="BX36" i="5"/>
  <c r="BW36" i="5"/>
  <c r="BV36" i="5"/>
  <c r="BU36" i="5"/>
  <c r="BT36" i="5"/>
  <c r="BS36" i="5"/>
  <c r="BR36" i="5"/>
  <c r="BQ36" i="5"/>
  <c r="BP36" i="5"/>
  <c r="BO36" i="5"/>
  <c r="BN36" i="5"/>
  <c r="BM36" i="5"/>
  <c r="BL36" i="5"/>
  <c r="BK36" i="5"/>
  <c r="BJ36" i="5"/>
  <c r="BI36" i="5"/>
  <c r="BH36" i="5"/>
  <c r="BG36" i="5"/>
  <c r="BF36" i="5"/>
  <c r="CX35" i="5"/>
  <c r="CW35" i="5"/>
  <c r="CV35" i="5"/>
  <c r="CU35" i="5"/>
  <c r="CT35" i="5"/>
  <c r="CS35" i="5"/>
  <c r="CR35" i="5"/>
  <c r="CQ35" i="5"/>
  <c r="CP35" i="5"/>
  <c r="CO35" i="5"/>
  <c r="CN35" i="5"/>
  <c r="CM35" i="5"/>
  <c r="CL35" i="5"/>
  <c r="CK35" i="5"/>
  <c r="CJ35" i="5"/>
  <c r="CI35" i="5"/>
  <c r="CH35" i="5"/>
  <c r="CG35" i="5"/>
  <c r="CF35" i="5"/>
  <c r="CE35" i="5"/>
  <c r="CD35" i="5"/>
  <c r="CC35" i="5"/>
  <c r="CB35" i="5"/>
  <c r="CA35" i="5"/>
  <c r="BZ35" i="5"/>
  <c r="BY35" i="5"/>
  <c r="BX35" i="5"/>
  <c r="BW35" i="5"/>
  <c r="BV35" i="5"/>
  <c r="BU35" i="5"/>
  <c r="BT35" i="5"/>
  <c r="BS35" i="5"/>
  <c r="BR35" i="5"/>
  <c r="BQ35" i="5"/>
  <c r="BP35" i="5"/>
  <c r="BO35" i="5"/>
  <c r="BN35" i="5"/>
  <c r="BM35" i="5"/>
  <c r="BL35" i="5"/>
  <c r="BK35" i="5"/>
  <c r="BJ35" i="5"/>
  <c r="BI35" i="5"/>
  <c r="BH35" i="5"/>
  <c r="BG35" i="5"/>
  <c r="BF35" i="5"/>
  <c r="CX34" i="5"/>
  <c r="CW34" i="5"/>
  <c r="CV34" i="5"/>
  <c r="CU34" i="5"/>
  <c r="CT34" i="5"/>
  <c r="CS34" i="5"/>
  <c r="CR34" i="5"/>
  <c r="CQ34" i="5"/>
  <c r="CP34" i="5"/>
  <c r="CO34" i="5"/>
  <c r="CN34" i="5"/>
  <c r="CM34" i="5"/>
  <c r="CL34" i="5"/>
  <c r="CK34" i="5"/>
  <c r="CJ34" i="5"/>
  <c r="CI34" i="5"/>
  <c r="CH34" i="5"/>
  <c r="CG34" i="5"/>
  <c r="CF34" i="5"/>
  <c r="CE34" i="5"/>
  <c r="CD34" i="5"/>
  <c r="CC34" i="5"/>
  <c r="CB34" i="5"/>
  <c r="CA34" i="5"/>
  <c r="BZ34" i="5"/>
  <c r="BY34" i="5"/>
  <c r="BX34" i="5"/>
  <c r="BW34" i="5"/>
  <c r="BV34" i="5"/>
  <c r="BU34" i="5"/>
  <c r="BT34" i="5"/>
  <c r="BS34" i="5"/>
  <c r="BR34" i="5"/>
  <c r="BQ34" i="5"/>
  <c r="BP34" i="5"/>
  <c r="BO34" i="5"/>
  <c r="BN34" i="5"/>
  <c r="BM34" i="5"/>
  <c r="BL34" i="5"/>
  <c r="BK34" i="5"/>
  <c r="BJ34" i="5"/>
  <c r="BI34" i="5"/>
  <c r="BH34" i="5"/>
  <c r="BG34" i="5"/>
  <c r="BF34" i="5"/>
  <c r="CX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K33" i="5"/>
  <c r="CJ33" i="5"/>
  <c r="CI33" i="5"/>
  <c r="CH33" i="5"/>
  <c r="CG33" i="5"/>
  <c r="CF33" i="5"/>
  <c r="CE33" i="5"/>
  <c r="CD33" i="5"/>
  <c r="CC33" i="5"/>
  <c r="CB33" i="5"/>
  <c r="CA33" i="5"/>
  <c r="BZ33" i="5"/>
  <c r="BY33" i="5"/>
  <c r="BX33" i="5"/>
  <c r="BW33" i="5"/>
  <c r="BV33" i="5"/>
  <c r="BU33" i="5"/>
  <c r="BT33" i="5"/>
  <c r="BS33" i="5"/>
  <c r="BR33" i="5"/>
  <c r="BQ33" i="5"/>
  <c r="BP33" i="5"/>
  <c r="BO33" i="5"/>
  <c r="BN33" i="5"/>
  <c r="BM33" i="5"/>
  <c r="BL33" i="5"/>
  <c r="BK33" i="5"/>
  <c r="BJ33" i="5"/>
  <c r="BI33" i="5"/>
  <c r="BH33" i="5"/>
  <c r="BG33" i="5"/>
  <c r="BF33" i="5"/>
  <c r="CX32" i="5"/>
  <c r="CW32" i="5"/>
  <c r="CV32" i="5"/>
  <c r="CU32" i="5"/>
  <c r="CT32" i="5"/>
  <c r="CS32" i="5"/>
  <c r="CR32" i="5"/>
  <c r="CQ32" i="5"/>
  <c r="CP32" i="5"/>
  <c r="CO32" i="5"/>
  <c r="CN32" i="5"/>
  <c r="CM32" i="5"/>
  <c r="CL32" i="5"/>
  <c r="CK32" i="5"/>
  <c r="CJ32" i="5"/>
  <c r="CI32" i="5"/>
  <c r="CH32" i="5"/>
  <c r="CG32" i="5"/>
  <c r="CF32" i="5"/>
  <c r="CE32" i="5"/>
  <c r="CD32" i="5"/>
  <c r="CC32" i="5"/>
  <c r="CB32" i="5"/>
  <c r="CA32" i="5"/>
  <c r="BZ32" i="5"/>
  <c r="BY32" i="5"/>
  <c r="BX32" i="5"/>
  <c r="BW32" i="5"/>
  <c r="BV32" i="5"/>
  <c r="BU32" i="5"/>
  <c r="BT32" i="5"/>
  <c r="BS32" i="5"/>
  <c r="BR32" i="5"/>
  <c r="BQ32" i="5"/>
  <c r="BP32" i="5"/>
  <c r="BO32" i="5"/>
  <c r="BN32" i="5"/>
  <c r="BM32" i="5"/>
  <c r="BL32" i="5"/>
  <c r="BK32" i="5"/>
  <c r="BJ32" i="5"/>
  <c r="BI32" i="5"/>
  <c r="BH32" i="5"/>
  <c r="BG32" i="5"/>
  <c r="BF32" i="5"/>
  <c r="CX31" i="5"/>
  <c r="CW31" i="5"/>
  <c r="CV31" i="5"/>
  <c r="CU31" i="5"/>
  <c r="CT31" i="5"/>
  <c r="CS31" i="5"/>
  <c r="CR31" i="5"/>
  <c r="CQ31" i="5"/>
  <c r="CP31" i="5"/>
  <c r="CO31" i="5"/>
  <c r="CN31" i="5"/>
  <c r="CM31" i="5"/>
  <c r="CL31" i="5"/>
  <c r="CK31" i="5"/>
  <c r="CJ31" i="5"/>
  <c r="CI31" i="5"/>
  <c r="CH31" i="5"/>
  <c r="CG31" i="5"/>
  <c r="CF31" i="5"/>
  <c r="CE31" i="5"/>
  <c r="CD31" i="5"/>
  <c r="CC31" i="5"/>
  <c r="CB31" i="5"/>
  <c r="CA31" i="5"/>
  <c r="BZ31" i="5"/>
  <c r="BY31" i="5"/>
  <c r="BX31" i="5"/>
  <c r="BW31" i="5"/>
  <c r="BV31" i="5"/>
  <c r="BU31" i="5"/>
  <c r="BT31" i="5"/>
  <c r="BS31" i="5"/>
  <c r="BR31" i="5"/>
  <c r="BQ31" i="5"/>
  <c r="BP31" i="5"/>
  <c r="BO31" i="5"/>
  <c r="BN31" i="5"/>
  <c r="BM31" i="5"/>
  <c r="BL31" i="5"/>
  <c r="BK31" i="5"/>
  <c r="BJ31" i="5"/>
  <c r="BI31" i="5"/>
  <c r="BH31" i="5"/>
  <c r="BG31" i="5"/>
  <c r="BF31" i="5"/>
  <c r="CX30" i="5"/>
  <c r="CW30" i="5"/>
  <c r="CV30" i="5"/>
  <c r="CU30" i="5"/>
  <c r="CT30" i="5"/>
  <c r="CS30" i="5"/>
  <c r="CR30" i="5"/>
  <c r="CQ30" i="5"/>
  <c r="CP30" i="5"/>
  <c r="CO30" i="5"/>
  <c r="CN30" i="5"/>
  <c r="CM30" i="5"/>
  <c r="CL30" i="5"/>
  <c r="CK30" i="5"/>
  <c r="CJ30" i="5"/>
  <c r="CI30" i="5"/>
  <c r="CH30" i="5"/>
  <c r="CG30" i="5"/>
  <c r="CF30" i="5"/>
  <c r="CE30" i="5"/>
  <c r="CD30" i="5"/>
  <c r="CC30" i="5"/>
  <c r="CB30" i="5"/>
  <c r="CA30" i="5"/>
  <c r="BZ30" i="5"/>
  <c r="BY30" i="5"/>
  <c r="BX30" i="5"/>
  <c r="BW30" i="5"/>
  <c r="BV30" i="5"/>
  <c r="BU30" i="5"/>
  <c r="BT30" i="5"/>
  <c r="BS30" i="5"/>
  <c r="BR30" i="5"/>
  <c r="BQ30" i="5"/>
  <c r="BP30" i="5"/>
  <c r="BO30" i="5"/>
  <c r="BN30" i="5"/>
  <c r="BM30" i="5"/>
  <c r="BL30" i="5"/>
  <c r="BK30" i="5"/>
  <c r="BJ30" i="5"/>
  <c r="BI30" i="5"/>
  <c r="BH30" i="5"/>
  <c r="BG30" i="5"/>
  <c r="BF30" i="5"/>
  <c r="CX29" i="5"/>
  <c r="CW29" i="5"/>
  <c r="CV29" i="5"/>
  <c r="CU29" i="5"/>
  <c r="CT29" i="5"/>
  <c r="CS29" i="5"/>
  <c r="CR29" i="5"/>
  <c r="CQ29" i="5"/>
  <c r="CP29" i="5"/>
  <c r="CO29" i="5"/>
  <c r="CN29" i="5"/>
  <c r="CM29" i="5"/>
  <c r="CL29" i="5"/>
  <c r="CK29" i="5"/>
  <c r="CJ29" i="5"/>
  <c r="CI29" i="5"/>
  <c r="CH29" i="5"/>
  <c r="CG29" i="5"/>
  <c r="CF29" i="5"/>
  <c r="CE29" i="5"/>
  <c r="CD29" i="5"/>
  <c r="CC29" i="5"/>
  <c r="CB29" i="5"/>
  <c r="CA29" i="5"/>
  <c r="BZ29" i="5"/>
  <c r="BY29" i="5"/>
  <c r="BX29" i="5"/>
  <c r="BW29" i="5"/>
  <c r="BV29" i="5"/>
  <c r="BU29" i="5"/>
  <c r="BT29" i="5"/>
  <c r="BS29" i="5"/>
  <c r="BR29" i="5"/>
  <c r="BQ29" i="5"/>
  <c r="BP29" i="5"/>
  <c r="BO29" i="5"/>
  <c r="BN29" i="5"/>
  <c r="BM29" i="5"/>
  <c r="BL29" i="5"/>
  <c r="BK29" i="5"/>
  <c r="BJ29" i="5"/>
  <c r="BI29" i="5"/>
  <c r="BH29" i="5"/>
  <c r="BG29" i="5"/>
  <c r="BF29" i="5"/>
  <c r="CX28" i="5"/>
  <c r="CW28" i="5"/>
  <c r="CV28" i="5"/>
  <c r="CU28" i="5"/>
  <c r="CT28" i="5"/>
  <c r="CS28" i="5"/>
  <c r="CR28" i="5"/>
  <c r="CQ28" i="5"/>
  <c r="CP28" i="5"/>
  <c r="CO28" i="5"/>
  <c r="CN28" i="5"/>
  <c r="CM28" i="5"/>
  <c r="CL28" i="5"/>
  <c r="CK28" i="5"/>
  <c r="CJ28" i="5"/>
  <c r="CI28" i="5"/>
  <c r="CH28" i="5"/>
  <c r="CG28" i="5"/>
  <c r="CF28" i="5"/>
  <c r="CE28" i="5"/>
  <c r="CD28" i="5"/>
  <c r="CC28" i="5"/>
  <c r="CB28" i="5"/>
  <c r="CA28" i="5"/>
  <c r="BZ28" i="5"/>
  <c r="BY28" i="5"/>
  <c r="BX28" i="5"/>
  <c r="BW28" i="5"/>
  <c r="BV28" i="5"/>
  <c r="BU28" i="5"/>
  <c r="BT28" i="5"/>
  <c r="BS28" i="5"/>
  <c r="BR28" i="5"/>
  <c r="BQ28" i="5"/>
  <c r="BP28" i="5"/>
  <c r="BO28" i="5"/>
  <c r="BN28" i="5"/>
  <c r="BM28" i="5"/>
  <c r="BL28" i="5"/>
  <c r="BK28" i="5"/>
  <c r="BJ28" i="5"/>
  <c r="BI28" i="5"/>
  <c r="BH28" i="5"/>
  <c r="BG28" i="5"/>
  <c r="BF28" i="5"/>
  <c r="CX27" i="5"/>
  <c r="CW27" i="5"/>
  <c r="CV27" i="5"/>
  <c r="CU27" i="5"/>
  <c r="CT27" i="5"/>
  <c r="CS27" i="5"/>
  <c r="CR27" i="5"/>
  <c r="CQ27" i="5"/>
  <c r="CP27" i="5"/>
  <c r="CO27" i="5"/>
  <c r="CN27" i="5"/>
  <c r="CM27" i="5"/>
  <c r="CL27" i="5"/>
  <c r="CK27" i="5"/>
  <c r="CJ27" i="5"/>
  <c r="CI27" i="5"/>
  <c r="CH27" i="5"/>
  <c r="CG27" i="5"/>
  <c r="CF27" i="5"/>
  <c r="CE27" i="5"/>
  <c r="CD27" i="5"/>
  <c r="CC27" i="5"/>
  <c r="CB27" i="5"/>
  <c r="CA27" i="5"/>
  <c r="BZ27" i="5"/>
  <c r="BY27" i="5"/>
  <c r="BX27" i="5"/>
  <c r="BW27" i="5"/>
  <c r="BV27" i="5"/>
  <c r="BU27" i="5"/>
  <c r="BT27" i="5"/>
  <c r="BS27" i="5"/>
  <c r="BR27" i="5"/>
  <c r="BQ27" i="5"/>
  <c r="BP27" i="5"/>
  <c r="BO27" i="5"/>
  <c r="BN27" i="5"/>
  <c r="BM27" i="5"/>
  <c r="BL27" i="5"/>
  <c r="BK27" i="5"/>
  <c r="BJ27" i="5"/>
  <c r="BI27" i="5"/>
  <c r="BH27" i="5"/>
  <c r="BG27" i="5"/>
  <c r="BF27" i="5"/>
  <c r="CX26" i="5"/>
  <c r="CW26" i="5"/>
  <c r="CV26" i="5"/>
  <c r="CU26" i="5"/>
  <c r="CT26" i="5"/>
  <c r="CS26" i="5"/>
  <c r="CR26" i="5"/>
  <c r="CQ26" i="5"/>
  <c r="CP26" i="5"/>
  <c r="CO26" i="5"/>
  <c r="CN26" i="5"/>
  <c r="CM26" i="5"/>
  <c r="CL26" i="5"/>
  <c r="CK26" i="5"/>
  <c r="CJ26" i="5"/>
  <c r="CI26" i="5"/>
  <c r="CH26" i="5"/>
  <c r="CG26" i="5"/>
  <c r="CF26" i="5"/>
  <c r="CE26" i="5"/>
  <c r="CD26" i="5"/>
  <c r="CC26" i="5"/>
  <c r="CB26" i="5"/>
  <c r="CA26" i="5"/>
  <c r="BZ26" i="5"/>
  <c r="BY26" i="5"/>
  <c r="BX26" i="5"/>
  <c r="BW26" i="5"/>
  <c r="BV26" i="5"/>
  <c r="BU26" i="5"/>
  <c r="BT26" i="5"/>
  <c r="BS26" i="5"/>
  <c r="BR26" i="5"/>
  <c r="BQ26" i="5"/>
  <c r="BP26" i="5"/>
  <c r="BO26" i="5"/>
  <c r="BN26" i="5"/>
  <c r="BM26" i="5"/>
  <c r="BL26" i="5"/>
  <c r="BK26" i="5"/>
  <c r="BJ26" i="5"/>
  <c r="BI26" i="5"/>
  <c r="BH26" i="5"/>
  <c r="BG26" i="5"/>
  <c r="BF26" i="5"/>
  <c r="CX25" i="5"/>
  <c r="CW25" i="5"/>
  <c r="CV25" i="5"/>
  <c r="CU25" i="5"/>
  <c r="CT25" i="5"/>
  <c r="CS25" i="5"/>
  <c r="CR25" i="5"/>
  <c r="CQ25" i="5"/>
  <c r="CP25" i="5"/>
  <c r="CO25" i="5"/>
  <c r="CN25" i="5"/>
  <c r="CM25" i="5"/>
  <c r="CL25" i="5"/>
  <c r="CK25" i="5"/>
  <c r="CJ25" i="5"/>
  <c r="CI25" i="5"/>
  <c r="CH25" i="5"/>
  <c r="CG25" i="5"/>
  <c r="CF25" i="5"/>
  <c r="CE25" i="5"/>
  <c r="CD25" i="5"/>
  <c r="CC25" i="5"/>
  <c r="CB25" i="5"/>
  <c r="CA25" i="5"/>
  <c r="BZ25" i="5"/>
  <c r="BY25" i="5"/>
  <c r="BX25" i="5"/>
  <c r="BW25" i="5"/>
  <c r="BV25" i="5"/>
  <c r="BU25" i="5"/>
  <c r="BT25" i="5"/>
  <c r="BS25" i="5"/>
  <c r="BR25" i="5"/>
  <c r="BQ25" i="5"/>
  <c r="BP25" i="5"/>
  <c r="BO25" i="5"/>
  <c r="BN25" i="5"/>
  <c r="BM25" i="5"/>
  <c r="BL25" i="5"/>
  <c r="BK25" i="5"/>
  <c r="BJ25" i="5"/>
  <c r="BI25" i="5"/>
  <c r="BH25" i="5"/>
  <c r="BG25" i="5"/>
  <c r="BF25" i="5"/>
  <c r="CX24" i="5"/>
  <c r="CW24" i="5"/>
  <c r="CV24" i="5"/>
  <c r="CU24" i="5"/>
  <c r="CT24" i="5"/>
  <c r="CS24" i="5"/>
  <c r="CR24" i="5"/>
  <c r="CQ24" i="5"/>
  <c r="CP24" i="5"/>
  <c r="CO24" i="5"/>
  <c r="CN24" i="5"/>
  <c r="CM24" i="5"/>
  <c r="CL24" i="5"/>
  <c r="CK24" i="5"/>
  <c r="CJ24" i="5"/>
  <c r="CI24" i="5"/>
  <c r="CH24" i="5"/>
  <c r="CG24" i="5"/>
  <c r="CF24" i="5"/>
  <c r="CE24" i="5"/>
  <c r="CD24" i="5"/>
  <c r="CC24" i="5"/>
  <c r="CB24" i="5"/>
  <c r="CA24" i="5"/>
  <c r="BZ24" i="5"/>
  <c r="BY24" i="5"/>
  <c r="BX24" i="5"/>
  <c r="BW24" i="5"/>
  <c r="BV24" i="5"/>
  <c r="BU24" i="5"/>
  <c r="BT24" i="5"/>
  <c r="BS24" i="5"/>
  <c r="BR24" i="5"/>
  <c r="BQ24" i="5"/>
  <c r="BP24" i="5"/>
  <c r="BO24" i="5"/>
  <c r="BN24" i="5"/>
  <c r="BM24" i="5"/>
  <c r="BL24" i="5"/>
  <c r="BK24" i="5"/>
  <c r="BJ24" i="5"/>
  <c r="BI24" i="5"/>
  <c r="BH24" i="5"/>
  <c r="BG24" i="5"/>
  <c r="BF24" i="5"/>
  <c r="CX23" i="5"/>
  <c r="CW23" i="5"/>
  <c r="CV23" i="5"/>
  <c r="CU23" i="5"/>
  <c r="CT23" i="5"/>
  <c r="CS23" i="5"/>
  <c r="CR23" i="5"/>
  <c r="CQ23" i="5"/>
  <c r="CP23" i="5"/>
  <c r="CO23" i="5"/>
  <c r="CN23" i="5"/>
  <c r="CM23" i="5"/>
  <c r="CL23" i="5"/>
  <c r="CK23" i="5"/>
  <c r="CJ23" i="5"/>
  <c r="CI23" i="5"/>
  <c r="CH23" i="5"/>
  <c r="CG23" i="5"/>
  <c r="CF23" i="5"/>
  <c r="CE23" i="5"/>
  <c r="CD23" i="5"/>
  <c r="CC23" i="5"/>
  <c r="CB23" i="5"/>
  <c r="CA23" i="5"/>
  <c r="BZ23" i="5"/>
  <c r="BY23" i="5"/>
  <c r="BX23" i="5"/>
  <c r="BW23" i="5"/>
  <c r="BV23" i="5"/>
  <c r="BU23" i="5"/>
  <c r="BT23" i="5"/>
  <c r="BS23" i="5"/>
  <c r="BR23" i="5"/>
  <c r="BQ23" i="5"/>
  <c r="BP23" i="5"/>
  <c r="BO23" i="5"/>
  <c r="BN23" i="5"/>
  <c r="BM23" i="5"/>
  <c r="BL23" i="5"/>
  <c r="BK23" i="5"/>
  <c r="BJ23" i="5"/>
  <c r="BI23" i="5"/>
  <c r="BH23" i="5"/>
  <c r="BG23" i="5"/>
  <c r="BF23" i="5"/>
  <c r="CX22" i="5"/>
  <c r="CW22" i="5"/>
  <c r="CV22" i="5"/>
  <c r="CU22" i="5"/>
  <c r="CT22" i="5"/>
  <c r="CS22" i="5"/>
  <c r="CR22" i="5"/>
  <c r="CQ22" i="5"/>
  <c r="CP22" i="5"/>
  <c r="CO22" i="5"/>
  <c r="CN22" i="5"/>
  <c r="CM22" i="5"/>
  <c r="CL22" i="5"/>
  <c r="CK22" i="5"/>
  <c r="CJ22" i="5"/>
  <c r="CI22" i="5"/>
  <c r="CH22" i="5"/>
  <c r="CG22" i="5"/>
  <c r="CF22" i="5"/>
  <c r="CE22" i="5"/>
  <c r="CD22" i="5"/>
  <c r="CC22" i="5"/>
  <c r="CB22" i="5"/>
  <c r="CA22" i="5"/>
  <c r="BZ22" i="5"/>
  <c r="BY22" i="5"/>
  <c r="BX22" i="5"/>
  <c r="BW22" i="5"/>
  <c r="BV22" i="5"/>
  <c r="BU22" i="5"/>
  <c r="BT22" i="5"/>
  <c r="BS22" i="5"/>
  <c r="BR22" i="5"/>
  <c r="BQ22" i="5"/>
  <c r="BP22" i="5"/>
  <c r="BO22" i="5"/>
  <c r="BN22" i="5"/>
  <c r="BM22" i="5"/>
  <c r="BL22" i="5"/>
  <c r="BK22" i="5"/>
  <c r="BJ22" i="5"/>
  <c r="BI22" i="5"/>
  <c r="BH22" i="5"/>
  <c r="BG22" i="5"/>
  <c r="BF22" i="5"/>
  <c r="CX21" i="5"/>
  <c r="CW21" i="5"/>
  <c r="CV21" i="5"/>
  <c r="CU21" i="5"/>
  <c r="CT21" i="5"/>
  <c r="CS21" i="5"/>
  <c r="CR21" i="5"/>
  <c r="CQ21" i="5"/>
  <c r="CP21" i="5"/>
  <c r="CO21" i="5"/>
  <c r="CN21" i="5"/>
  <c r="CM21" i="5"/>
  <c r="CL21" i="5"/>
  <c r="CK21" i="5"/>
  <c r="CJ21" i="5"/>
  <c r="CI21" i="5"/>
  <c r="CH21" i="5"/>
  <c r="CG21" i="5"/>
  <c r="CF21" i="5"/>
  <c r="CE21" i="5"/>
  <c r="CD21" i="5"/>
  <c r="CC21" i="5"/>
  <c r="CB21" i="5"/>
  <c r="CA21" i="5"/>
  <c r="BZ21" i="5"/>
  <c r="BY21" i="5"/>
  <c r="BX21" i="5"/>
  <c r="BW21" i="5"/>
  <c r="BV21" i="5"/>
  <c r="BU21" i="5"/>
  <c r="BT21" i="5"/>
  <c r="BS21" i="5"/>
  <c r="BR21" i="5"/>
  <c r="BQ21" i="5"/>
  <c r="BP21" i="5"/>
  <c r="BO21" i="5"/>
  <c r="BN21" i="5"/>
  <c r="BM21" i="5"/>
  <c r="BL21" i="5"/>
  <c r="BK21" i="5"/>
  <c r="BJ21" i="5"/>
  <c r="BI21" i="5"/>
  <c r="BH21" i="5"/>
  <c r="BG21" i="5"/>
  <c r="BF21" i="5"/>
  <c r="CX20" i="5"/>
  <c r="CW20" i="5"/>
  <c r="CV20" i="5"/>
  <c r="CU20" i="5"/>
  <c r="CT20" i="5"/>
  <c r="CS20" i="5"/>
  <c r="CR20" i="5"/>
  <c r="CQ20" i="5"/>
  <c r="CP20" i="5"/>
  <c r="CO20" i="5"/>
  <c r="CN20" i="5"/>
  <c r="CM20" i="5"/>
  <c r="CL20" i="5"/>
  <c r="CK20" i="5"/>
  <c r="CJ20" i="5"/>
  <c r="CI20" i="5"/>
  <c r="CH20" i="5"/>
  <c r="CG20" i="5"/>
  <c r="CF20" i="5"/>
  <c r="CE20" i="5"/>
  <c r="CD20" i="5"/>
  <c r="CC20" i="5"/>
  <c r="CB20" i="5"/>
  <c r="CA20" i="5"/>
  <c r="BZ20" i="5"/>
  <c r="BY20" i="5"/>
  <c r="BX20" i="5"/>
  <c r="BW20" i="5"/>
  <c r="BV20" i="5"/>
  <c r="BU20" i="5"/>
  <c r="BT20" i="5"/>
  <c r="BS20" i="5"/>
  <c r="BR20" i="5"/>
  <c r="BQ20" i="5"/>
  <c r="BP20" i="5"/>
  <c r="BO20" i="5"/>
  <c r="BN20" i="5"/>
  <c r="BM20" i="5"/>
  <c r="BL20" i="5"/>
  <c r="BK20" i="5"/>
  <c r="BJ20" i="5"/>
  <c r="BI20" i="5"/>
  <c r="BH20" i="5"/>
  <c r="BG20" i="5"/>
  <c r="BF20" i="5"/>
  <c r="CX19" i="5"/>
  <c r="CW19" i="5"/>
  <c r="CV19" i="5"/>
  <c r="CU19" i="5"/>
  <c r="CT19" i="5"/>
  <c r="CS19" i="5"/>
  <c r="CR19" i="5"/>
  <c r="CQ19" i="5"/>
  <c r="CP19" i="5"/>
  <c r="CO19" i="5"/>
  <c r="CN19" i="5"/>
  <c r="CM19" i="5"/>
  <c r="CL19" i="5"/>
  <c r="CK19" i="5"/>
  <c r="CJ19" i="5"/>
  <c r="CI19" i="5"/>
  <c r="CH19" i="5"/>
  <c r="CG19" i="5"/>
  <c r="CF19" i="5"/>
  <c r="CE19" i="5"/>
  <c r="CD19" i="5"/>
  <c r="CC19" i="5"/>
  <c r="CB19" i="5"/>
  <c r="CA19" i="5"/>
  <c r="BZ19" i="5"/>
  <c r="BY19" i="5"/>
  <c r="BX19" i="5"/>
  <c r="BW19" i="5"/>
  <c r="BV19" i="5"/>
  <c r="BU19" i="5"/>
  <c r="BT19" i="5"/>
  <c r="BS19" i="5"/>
  <c r="BR19" i="5"/>
  <c r="BQ19" i="5"/>
  <c r="BP19" i="5"/>
  <c r="BO19" i="5"/>
  <c r="BN19" i="5"/>
  <c r="BM19" i="5"/>
  <c r="BL19" i="5"/>
  <c r="BK19" i="5"/>
  <c r="BJ19" i="5"/>
  <c r="BI19" i="5"/>
  <c r="BH19" i="5"/>
  <c r="BG19" i="5"/>
  <c r="BF19" i="5"/>
  <c r="CX18" i="5"/>
  <c r="CW18" i="5"/>
  <c r="CV18" i="5"/>
  <c r="CU18" i="5"/>
  <c r="CT18" i="5"/>
  <c r="CS18" i="5"/>
  <c r="CR18" i="5"/>
  <c r="CQ18" i="5"/>
  <c r="CP18" i="5"/>
  <c r="CO18" i="5"/>
  <c r="CN18" i="5"/>
  <c r="CM18" i="5"/>
  <c r="CL18" i="5"/>
  <c r="CK18" i="5"/>
  <c r="CJ18" i="5"/>
  <c r="CI18" i="5"/>
  <c r="CH18" i="5"/>
  <c r="CG18" i="5"/>
  <c r="CF18" i="5"/>
  <c r="CE18" i="5"/>
  <c r="CD18" i="5"/>
  <c r="CC18" i="5"/>
  <c r="CB18" i="5"/>
  <c r="CA18" i="5"/>
  <c r="BZ18" i="5"/>
  <c r="BY18" i="5"/>
  <c r="BX18" i="5"/>
  <c r="BW18" i="5"/>
  <c r="BV18" i="5"/>
  <c r="BU18" i="5"/>
  <c r="BT18" i="5"/>
  <c r="BS18" i="5"/>
  <c r="BR18" i="5"/>
  <c r="BQ18" i="5"/>
  <c r="BP18" i="5"/>
  <c r="BO18" i="5"/>
  <c r="BN18" i="5"/>
  <c r="BM18" i="5"/>
  <c r="BL18" i="5"/>
  <c r="BK18" i="5"/>
  <c r="BJ18" i="5"/>
  <c r="BI18" i="5"/>
  <c r="BH18" i="5"/>
  <c r="BG18" i="5"/>
  <c r="BF18" i="5"/>
  <c r="CX17" i="5"/>
  <c r="CW17" i="5"/>
  <c r="CV17" i="5"/>
  <c r="CU17" i="5"/>
  <c r="CT17" i="5"/>
  <c r="CS17" i="5"/>
  <c r="CR17" i="5"/>
  <c r="CQ17" i="5"/>
  <c r="CP17" i="5"/>
  <c r="CO17" i="5"/>
  <c r="CN17" i="5"/>
  <c r="CM17" i="5"/>
  <c r="CL17" i="5"/>
  <c r="CK17" i="5"/>
  <c r="CJ17" i="5"/>
  <c r="CI17" i="5"/>
  <c r="CH17" i="5"/>
  <c r="CG17" i="5"/>
  <c r="CF17" i="5"/>
  <c r="CE17" i="5"/>
  <c r="CD17" i="5"/>
  <c r="CC17" i="5"/>
  <c r="CB17" i="5"/>
  <c r="CA17" i="5"/>
  <c r="BZ17" i="5"/>
  <c r="BY17" i="5"/>
  <c r="BX17" i="5"/>
  <c r="BW17" i="5"/>
  <c r="BV17" i="5"/>
  <c r="BU17" i="5"/>
  <c r="BT17" i="5"/>
  <c r="BS17" i="5"/>
  <c r="BR17" i="5"/>
  <c r="BQ17" i="5"/>
  <c r="BP17" i="5"/>
  <c r="BO17" i="5"/>
  <c r="BN17" i="5"/>
  <c r="BM17" i="5"/>
  <c r="BL17" i="5"/>
  <c r="BK17" i="5"/>
  <c r="BJ17" i="5"/>
  <c r="BI17" i="5"/>
  <c r="BH17" i="5"/>
  <c r="BG17" i="5"/>
  <c r="BF17" i="5"/>
  <c r="CX16" i="5"/>
  <c r="CW16" i="5"/>
  <c r="CV16" i="5"/>
  <c r="CU16" i="5"/>
  <c r="CT16" i="5"/>
  <c r="CS16" i="5"/>
  <c r="CR16" i="5"/>
  <c r="CQ16" i="5"/>
  <c r="CP16" i="5"/>
  <c r="CO16" i="5"/>
  <c r="CN16" i="5"/>
  <c r="CM16" i="5"/>
  <c r="CL16" i="5"/>
  <c r="CK16" i="5"/>
  <c r="CJ16" i="5"/>
  <c r="CI16" i="5"/>
  <c r="CH16" i="5"/>
  <c r="CG16" i="5"/>
  <c r="CF16" i="5"/>
  <c r="CE16" i="5"/>
  <c r="CD16" i="5"/>
  <c r="CC16" i="5"/>
  <c r="CB16" i="5"/>
  <c r="CA16" i="5"/>
  <c r="BZ16" i="5"/>
  <c r="BY16" i="5"/>
  <c r="BX16" i="5"/>
  <c r="BW16" i="5"/>
  <c r="BV16" i="5"/>
  <c r="BU16" i="5"/>
  <c r="BT16" i="5"/>
  <c r="BS16" i="5"/>
  <c r="BR16" i="5"/>
  <c r="BQ16" i="5"/>
  <c r="BP16" i="5"/>
  <c r="BO16" i="5"/>
  <c r="BN16" i="5"/>
  <c r="BM16" i="5"/>
  <c r="BL16" i="5"/>
  <c r="BK16" i="5"/>
  <c r="BJ16" i="5"/>
  <c r="BI16" i="5"/>
  <c r="BH16" i="5"/>
  <c r="BG16" i="5"/>
  <c r="BF16" i="5"/>
  <c r="CX15" i="5"/>
  <c r="CW15" i="5"/>
  <c r="CV15" i="5"/>
  <c r="CU15" i="5"/>
  <c r="CT15" i="5"/>
  <c r="CS15" i="5"/>
  <c r="CR15" i="5"/>
  <c r="CQ15" i="5"/>
  <c r="CP15" i="5"/>
  <c r="CO15" i="5"/>
  <c r="CN15" i="5"/>
  <c r="CM15" i="5"/>
  <c r="CL15" i="5"/>
  <c r="CK15" i="5"/>
  <c r="CJ15" i="5"/>
  <c r="CI15" i="5"/>
  <c r="CH15" i="5"/>
  <c r="CG15" i="5"/>
  <c r="CF15" i="5"/>
  <c r="CE15" i="5"/>
  <c r="CD15" i="5"/>
  <c r="CC15" i="5"/>
  <c r="CB15" i="5"/>
  <c r="CA15" i="5"/>
  <c r="BZ15" i="5"/>
  <c r="BY15" i="5"/>
  <c r="BX15" i="5"/>
  <c r="BW15" i="5"/>
  <c r="BV15" i="5"/>
  <c r="BU15" i="5"/>
  <c r="BT15" i="5"/>
  <c r="BS15" i="5"/>
  <c r="BR15" i="5"/>
  <c r="BQ15" i="5"/>
  <c r="BP15" i="5"/>
  <c r="BO15" i="5"/>
  <c r="BN15" i="5"/>
  <c r="BM15" i="5"/>
  <c r="BL15" i="5"/>
  <c r="BK15" i="5"/>
  <c r="BJ15" i="5"/>
  <c r="BI15" i="5"/>
  <c r="BH15" i="5"/>
  <c r="BG15" i="5"/>
  <c r="BF15" i="5"/>
  <c r="CX14" i="5"/>
  <c r="CW14" i="5"/>
  <c r="CV14" i="5"/>
  <c r="CU14" i="5"/>
  <c r="CT14" i="5"/>
  <c r="CS14" i="5"/>
  <c r="CR14" i="5"/>
  <c r="CQ14" i="5"/>
  <c r="CP14" i="5"/>
  <c r="CO14" i="5"/>
  <c r="CN14" i="5"/>
  <c r="CM14" i="5"/>
  <c r="CL14" i="5"/>
  <c r="CK14" i="5"/>
  <c r="CJ14" i="5"/>
  <c r="CI14" i="5"/>
  <c r="CH14" i="5"/>
  <c r="CG14" i="5"/>
  <c r="CF14" i="5"/>
  <c r="CE14" i="5"/>
  <c r="CD14" i="5"/>
  <c r="CC14" i="5"/>
  <c r="CB14" i="5"/>
  <c r="CA14" i="5"/>
  <c r="BZ14" i="5"/>
  <c r="BY14" i="5"/>
  <c r="BX14" i="5"/>
  <c r="BW14" i="5"/>
  <c r="BV14" i="5"/>
  <c r="BU14" i="5"/>
  <c r="BT14" i="5"/>
  <c r="BS14" i="5"/>
  <c r="BR14" i="5"/>
  <c r="BQ14" i="5"/>
  <c r="BP14" i="5"/>
  <c r="BO14" i="5"/>
  <c r="BN14" i="5"/>
  <c r="BM14" i="5"/>
  <c r="BL14" i="5"/>
  <c r="BK14" i="5"/>
  <c r="BJ14" i="5"/>
  <c r="BI14" i="5"/>
  <c r="BH14" i="5"/>
  <c r="BG14" i="5"/>
  <c r="BF14" i="5"/>
  <c r="CX13" i="5"/>
  <c r="CW13" i="5"/>
  <c r="CV13" i="5"/>
  <c r="CU13" i="5"/>
  <c r="CT13" i="5"/>
  <c r="CS13" i="5"/>
  <c r="CR13" i="5"/>
  <c r="CQ13" i="5"/>
  <c r="CP13" i="5"/>
  <c r="CO13" i="5"/>
  <c r="CN13" i="5"/>
  <c r="CM13" i="5"/>
  <c r="CL13" i="5"/>
  <c r="CK13" i="5"/>
  <c r="CJ13" i="5"/>
  <c r="CI13" i="5"/>
  <c r="CH13" i="5"/>
  <c r="CG13" i="5"/>
  <c r="CF13" i="5"/>
  <c r="CE13" i="5"/>
  <c r="CD13" i="5"/>
  <c r="CC13" i="5"/>
  <c r="CB13" i="5"/>
  <c r="CA13" i="5"/>
  <c r="BZ13" i="5"/>
  <c r="BY13" i="5"/>
  <c r="BX13" i="5"/>
  <c r="BW13" i="5"/>
  <c r="BV13" i="5"/>
  <c r="BU13" i="5"/>
  <c r="BT13" i="5"/>
  <c r="BS13" i="5"/>
  <c r="BR13" i="5"/>
  <c r="BQ13" i="5"/>
  <c r="BP13" i="5"/>
  <c r="BO13" i="5"/>
  <c r="BN13" i="5"/>
  <c r="BM13" i="5"/>
  <c r="BL13" i="5"/>
  <c r="BK13" i="5"/>
  <c r="BJ13" i="5"/>
  <c r="BI13" i="5"/>
  <c r="BH13" i="5"/>
  <c r="BG13" i="5"/>
  <c r="BF13" i="5"/>
  <c r="CX12" i="5"/>
  <c r="CW12" i="5"/>
  <c r="CV12" i="5"/>
  <c r="CU12" i="5"/>
  <c r="CT12" i="5"/>
  <c r="CS12" i="5"/>
  <c r="CR12" i="5"/>
  <c r="CQ12" i="5"/>
  <c r="CP12" i="5"/>
  <c r="CO12" i="5"/>
  <c r="CN12" i="5"/>
  <c r="CM12" i="5"/>
  <c r="CL12" i="5"/>
  <c r="CK12" i="5"/>
  <c r="CJ12" i="5"/>
  <c r="CI12" i="5"/>
  <c r="CH12" i="5"/>
  <c r="CG12" i="5"/>
  <c r="CF12" i="5"/>
  <c r="CE12" i="5"/>
  <c r="CD12" i="5"/>
  <c r="CC12" i="5"/>
  <c r="CB12" i="5"/>
  <c r="CA12" i="5"/>
  <c r="BZ12" i="5"/>
  <c r="BY12" i="5"/>
  <c r="BX12" i="5"/>
  <c r="BW12" i="5"/>
  <c r="BV12" i="5"/>
  <c r="BU12" i="5"/>
  <c r="BT12" i="5"/>
  <c r="BS12" i="5"/>
  <c r="BR12" i="5"/>
  <c r="BQ12" i="5"/>
  <c r="BP12" i="5"/>
  <c r="BO12" i="5"/>
  <c r="BN12" i="5"/>
  <c r="BM12" i="5"/>
  <c r="BL12" i="5"/>
  <c r="BK12" i="5"/>
  <c r="BJ12" i="5"/>
  <c r="BI12" i="5"/>
  <c r="BH12" i="5"/>
  <c r="BG12" i="5"/>
  <c r="BF12" i="5"/>
  <c r="CX11" i="5"/>
  <c r="CW11" i="5"/>
  <c r="CV11" i="5"/>
  <c r="CU11" i="5"/>
  <c r="CT11" i="5"/>
  <c r="CS11" i="5"/>
  <c r="CR11" i="5"/>
  <c r="CQ11" i="5"/>
  <c r="CP11" i="5"/>
  <c r="CO11" i="5"/>
  <c r="CN11" i="5"/>
  <c r="CM11" i="5"/>
  <c r="CL11" i="5"/>
  <c r="CK11" i="5"/>
  <c r="CJ11" i="5"/>
  <c r="CI11" i="5"/>
  <c r="CH11" i="5"/>
  <c r="CG11" i="5"/>
  <c r="CF11" i="5"/>
  <c r="CE11" i="5"/>
  <c r="CD11" i="5"/>
  <c r="CC11" i="5"/>
  <c r="CB11" i="5"/>
  <c r="CA11" i="5"/>
  <c r="BZ11" i="5"/>
  <c r="BY11" i="5"/>
  <c r="BX11" i="5"/>
  <c r="BW11" i="5"/>
  <c r="BV11" i="5"/>
  <c r="BU11" i="5"/>
  <c r="BT11" i="5"/>
  <c r="BS11" i="5"/>
  <c r="BR11" i="5"/>
  <c r="BQ11" i="5"/>
  <c r="BP11" i="5"/>
  <c r="BO11" i="5"/>
  <c r="BN11" i="5"/>
  <c r="BM11" i="5"/>
  <c r="BL11" i="5"/>
  <c r="BK11" i="5"/>
  <c r="BJ11" i="5"/>
  <c r="BI11" i="5"/>
  <c r="BH11" i="5"/>
  <c r="BG11" i="5"/>
  <c r="BF11" i="5"/>
  <c r="CX4" i="5"/>
  <c r="CW4" i="5"/>
  <c r="CV4" i="5"/>
  <c r="CU4" i="5"/>
  <c r="CT4" i="5"/>
  <c r="CS4" i="5"/>
  <c r="CR4" i="5"/>
  <c r="CQ4" i="5"/>
  <c r="CP4" i="5"/>
  <c r="CO4" i="5"/>
  <c r="CN4" i="5"/>
  <c r="CM4" i="5"/>
  <c r="CL4" i="5"/>
  <c r="CK4" i="5"/>
  <c r="CJ4" i="5"/>
  <c r="CI4" i="5"/>
  <c r="CH4" i="5"/>
  <c r="CG4" i="5"/>
  <c r="CF4" i="5"/>
  <c r="CE4" i="5"/>
  <c r="CD4" i="5"/>
  <c r="CC4" i="5"/>
  <c r="CB4" i="5"/>
  <c r="CA4" i="5"/>
  <c r="BZ4" i="5"/>
  <c r="BY4" i="5"/>
  <c r="BX4" i="5"/>
  <c r="BW4" i="5"/>
  <c r="BV4" i="5"/>
  <c r="BU4" i="5"/>
  <c r="BT4" i="5"/>
  <c r="BS4" i="5"/>
  <c r="BR4" i="5"/>
  <c r="BQ4" i="5"/>
  <c r="BP4" i="5"/>
  <c r="BO4" i="5"/>
  <c r="BN4" i="5"/>
  <c r="BM4" i="5"/>
  <c r="BL4" i="5"/>
  <c r="BK4" i="5"/>
  <c r="BJ4" i="5"/>
  <c r="BI4" i="5"/>
  <c r="BH4" i="5"/>
  <c r="BG4" i="5"/>
  <c r="BF4" i="5"/>
  <c r="CU3" i="5"/>
  <c r="CT3" i="5"/>
  <c r="CS3" i="5"/>
  <c r="CR3" i="5"/>
  <c r="CQ3" i="5"/>
  <c r="CP3" i="5"/>
  <c r="CO3" i="5"/>
  <c r="CN3" i="5"/>
  <c r="CM3" i="5"/>
  <c r="BM3" i="5"/>
  <c r="CW2" i="3"/>
  <c r="ER2" i="3" s="1"/>
  <c r="CV2" i="3"/>
  <c r="EQ2" i="3" s="1"/>
  <c r="CU2" i="3"/>
  <c r="EP2" i="3" s="1"/>
  <c r="CT2" i="3"/>
  <c r="EO2" i="3" s="1"/>
  <c r="CS2" i="3"/>
  <c r="EN2" i="3" s="1"/>
  <c r="CG2" i="3"/>
  <c r="EB2" i="3" s="1"/>
  <c r="CF2" i="3"/>
  <c r="EA2" i="3" s="1"/>
  <c r="BW2" i="3"/>
  <c r="DR2" i="3" s="1"/>
  <c r="AW3" i="10"/>
  <c r="AV3" i="10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U44" i="10" s="1"/>
  <c r="T3" i="10"/>
  <c r="T44" i="10" s="1"/>
  <c r="S3" i="10"/>
  <c r="S44" i="10" s="1"/>
  <c r="R3" i="10"/>
  <c r="R44" i="10" s="1"/>
  <c r="Q3" i="10"/>
  <c r="Q44" i="10" s="1"/>
  <c r="P3" i="10"/>
  <c r="P44" i="10" s="1"/>
  <c r="O3" i="10"/>
  <c r="O44" i="10" s="1"/>
  <c r="N3" i="10"/>
  <c r="N44" i="10" s="1"/>
  <c r="M3" i="10"/>
  <c r="M44" i="10" s="1"/>
  <c r="L3" i="10"/>
  <c r="L44" i="10" s="1"/>
  <c r="K3" i="10"/>
  <c r="K44" i="10" s="1"/>
  <c r="J3" i="10"/>
  <c r="J44" i="10" s="1"/>
  <c r="I3" i="10"/>
  <c r="I44" i="10" s="1"/>
  <c r="H3" i="10"/>
  <c r="H44" i="10" s="1"/>
  <c r="G3" i="10"/>
  <c r="G44" i="10" s="1"/>
  <c r="F3" i="10"/>
  <c r="F44" i="10" s="1"/>
  <c r="E3" i="10"/>
  <c r="E44" i="10" s="1"/>
  <c r="AW3" i="7"/>
  <c r="AV3" i="7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U44" i="7" s="1"/>
  <c r="V52" i="1" s="1"/>
  <c r="T3" i="7"/>
  <c r="T44" i="7" s="1"/>
  <c r="U52" i="1" s="1"/>
  <c r="S3" i="7"/>
  <c r="S44" i="7" s="1"/>
  <c r="T52" i="1" s="1"/>
  <c r="R3" i="7"/>
  <c r="R44" i="7" s="1"/>
  <c r="S52" i="1" s="1"/>
  <c r="Q3" i="7"/>
  <c r="Q44" i="7" s="1"/>
  <c r="R52" i="1" s="1"/>
  <c r="P3" i="7"/>
  <c r="P44" i="7" s="1"/>
  <c r="Q52" i="1" s="1"/>
  <c r="O3" i="7"/>
  <c r="O44" i="7" s="1"/>
  <c r="P52" i="1" s="1"/>
  <c r="N3" i="7"/>
  <c r="N44" i="7" s="1"/>
  <c r="O52" i="1" s="1"/>
  <c r="M3" i="7"/>
  <c r="M44" i="7" s="1"/>
  <c r="N52" i="1" s="1"/>
  <c r="L3" i="7"/>
  <c r="L44" i="7" s="1"/>
  <c r="M52" i="1" s="1"/>
  <c r="K3" i="7"/>
  <c r="K44" i="7" s="1"/>
  <c r="L52" i="1" s="1"/>
  <c r="J3" i="7"/>
  <c r="J44" i="7" s="1"/>
  <c r="K52" i="1" s="1"/>
  <c r="I3" i="7"/>
  <c r="I44" i="7" s="1"/>
  <c r="J52" i="1" s="1"/>
  <c r="H3" i="7"/>
  <c r="H44" i="7" s="1"/>
  <c r="I52" i="1" s="1"/>
  <c r="G3" i="7"/>
  <c r="G44" i="7" s="1"/>
  <c r="H52" i="1" s="1"/>
  <c r="F3" i="7"/>
  <c r="F44" i="7" s="1"/>
  <c r="G52" i="1" s="1"/>
  <c r="E3" i="7"/>
  <c r="E44" i="7" s="1"/>
  <c r="F52" i="1" s="1"/>
  <c r="AZ3" i="5"/>
  <c r="AY3" i="5"/>
  <c r="AX3" i="5"/>
  <c r="AW3" i="5"/>
  <c r="AV3" i="5"/>
  <c r="AU3" i="5"/>
  <c r="AT3" i="5"/>
  <c r="AS3" i="5"/>
  <c r="AR3" i="5"/>
  <c r="AQ3" i="5"/>
  <c r="AP3" i="5"/>
  <c r="AO3" i="5"/>
  <c r="AN3" i="5"/>
  <c r="CL3" i="5" s="1"/>
  <c r="AM3" i="5"/>
  <c r="AL3" i="5"/>
  <c r="EG2" i="5" s="1"/>
  <c r="EG11" i="5" s="1"/>
  <c r="AK3" i="5"/>
  <c r="EF2" i="5" s="1"/>
  <c r="EF11" i="5" s="1"/>
  <c r="AJ3" i="5"/>
  <c r="CH3" i="5" s="1"/>
  <c r="AI3" i="5"/>
  <c r="CG3" i="5" s="1"/>
  <c r="AH3" i="5"/>
  <c r="CF3" i="5" s="1"/>
  <c r="AG3" i="5"/>
  <c r="EB2" i="5" s="1"/>
  <c r="EB11" i="5" s="1"/>
  <c r="AF3" i="5"/>
  <c r="CD3" i="5" s="1"/>
  <c r="AE3" i="5"/>
  <c r="DZ2" i="5" s="1"/>
  <c r="DZ11" i="5" s="1"/>
  <c r="AD3" i="5"/>
  <c r="DY2" i="5" s="1"/>
  <c r="DY11" i="5" s="1"/>
  <c r="AC3" i="5"/>
  <c r="AB3" i="5"/>
  <c r="AA3" i="5"/>
  <c r="Z3" i="5"/>
  <c r="Y3" i="5"/>
  <c r="BW3" i="5" s="1"/>
  <c r="X3" i="5"/>
  <c r="BV3" i="5" s="1"/>
  <c r="W3" i="5"/>
  <c r="BU3" i="5" s="1"/>
  <c r="V3" i="5"/>
  <c r="DQ2" i="5" s="1"/>
  <c r="DQ11" i="5" s="1"/>
  <c r="U3" i="5"/>
  <c r="DP2" i="5" s="1"/>
  <c r="DP11" i="5" s="1"/>
  <c r="T3" i="5"/>
  <c r="S3" i="5"/>
  <c r="DN2" i="5" s="1"/>
  <c r="DN11" i="5" s="1"/>
  <c r="R3" i="5"/>
  <c r="DM2" i="5" s="1"/>
  <c r="DM11" i="5" s="1"/>
  <c r="Q3" i="5"/>
  <c r="DL2" i="5" s="1"/>
  <c r="DL11" i="5" s="1"/>
  <c r="P3" i="5"/>
  <c r="BN3" i="5" s="1"/>
  <c r="O3" i="5"/>
  <c r="DJ2" i="5" s="1"/>
  <c r="DJ11" i="5" s="1"/>
  <c r="N3" i="5"/>
  <c r="DI2" i="5" s="1"/>
  <c r="DI11" i="5" s="1"/>
  <c r="M3" i="5"/>
  <c r="DH2" i="5" s="1"/>
  <c r="DH11" i="5" s="1"/>
  <c r="L3" i="5"/>
  <c r="DG2" i="5" s="1"/>
  <c r="DG11" i="5" s="1"/>
  <c r="K3" i="5"/>
  <c r="DF2" i="5" s="1"/>
  <c r="DF11" i="5" s="1"/>
  <c r="J3" i="5"/>
  <c r="I3" i="5"/>
  <c r="DD2" i="5" s="1"/>
  <c r="DD11" i="5" s="1"/>
  <c r="H3" i="5"/>
  <c r="DC2" i="5" s="1"/>
  <c r="DC11" i="5" s="1"/>
  <c r="ER103" i="3"/>
  <c r="EQ103" i="3"/>
  <c r="EP103" i="3"/>
  <c r="EO103" i="3"/>
  <c r="EN103" i="3"/>
  <c r="EM103" i="3"/>
  <c r="EL103" i="3"/>
  <c r="EK103" i="3"/>
  <c r="EJ103" i="3"/>
  <c r="EI103" i="3"/>
  <c r="EH103" i="3"/>
  <c r="EG103" i="3"/>
  <c r="EF103" i="3"/>
  <c r="EE103" i="3"/>
  <c r="ED103" i="3"/>
  <c r="EC103" i="3"/>
  <c r="EB103" i="3"/>
  <c r="EA103" i="3"/>
  <c r="DZ103" i="3"/>
  <c r="DY103" i="3"/>
  <c r="DX103" i="3"/>
  <c r="DW103" i="3"/>
  <c r="DV103" i="3"/>
  <c r="DU103" i="3"/>
  <c r="DT103" i="3"/>
  <c r="DS103" i="3"/>
  <c r="DR103" i="3"/>
  <c r="DQ103" i="3"/>
  <c r="DP103" i="3"/>
  <c r="DO103" i="3"/>
  <c r="DN103" i="3"/>
  <c r="DM103" i="3"/>
  <c r="DL103" i="3"/>
  <c r="DK103" i="3"/>
  <c r="DJ103" i="3"/>
  <c r="DI103" i="3"/>
  <c r="DH103" i="3"/>
  <c r="DG103" i="3"/>
  <c r="DF103" i="3"/>
  <c r="DE103" i="3"/>
  <c r="DD103" i="3"/>
  <c r="DC103" i="3"/>
  <c r="DB103" i="3"/>
  <c r="DA103" i="3"/>
  <c r="CZ103" i="3"/>
  <c r="ER102" i="3"/>
  <c r="EQ102" i="3"/>
  <c r="EP102" i="3"/>
  <c r="EO102" i="3"/>
  <c r="EN102" i="3"/>
  <c r="EM102" i="3"/>
  <c r="EL102" i="3"/>
  <c r="EK102" i="3"/>
  <c r="EJ102" i="3"/>
  <c r="EI102" i="3"/>
  <c r="EH102" i="3"/>
  <c r="EG102" i="3"/>
  <c r="EF102" i="3"/>
  <c r="EE102" i="3"/>
  <c r="ED102" i="3"/>
  <c r="EC102" i="3"/>
  <c r="EB102" i="3"/>
  <c r="EA102" i="3"/>
  <c r="DZ102" i="3"/>
  <c r="DY102" i="3"/>
  <c r="DX102" i="3"/>
  <c r="DW102" i="3"/>
  <c r="DV102" i="3"/>
  <c r="DU102" i="3"/>
  <c r="DT102" i="3"/>
  <c r="DS102" i="3"/>
  <c r="DR102" i="3"/>
  <c r="DQ102" i="3"/>
  <c r="DP102" i="3"/>
  <c r="DO102" i="3"/>
  <c r="DN102" i="3"/>
  <c r="DM102" i="3"/>
  <c r="DL102" i="3"/>
  <c r="DK102" i="3"/>
  <c r="DJ102" i="3"/>
  <c r="DI102" i="3"/>
  <c r="DH102" i="3"/>
  <c r="DG102" i="3"/>
  <c r="DF102" i="3"/>
  <c r="DE102" i="3"/>
  <c r="DD102" i="3"/>
  <c r="DC102" i="3"/>
  <c r="DB102" i="3"/>
  <c r="DA102" i="3"/>
  <c r="CZ102" i="3"/>
  <c r="ER101" i="3"/>
  <c r="EQ101" i="3"/>
  <c r="EP101" i="3"/>
  <c r="EO101" i="3"/>
  <c r="EN101" i="3"/>
  <c r="EM101" i="3"/>
  <c r="EL101" i="3"/>
  <c r="EK101" i="3"/>
  <c r="EJ101" i="3"/>
  <c r="EI101" i="3"/>
  <c r="EH101" i="3"/>
  <c r="EG101" i="3"/>
  <c r="EF101" i="3"/>
  <c r="EE101" i="3"/>
  <c r="ED101" i="3"/>
  <c r="EC101" i="3"/>
  <c r="EB101" i="3"/>
  <c r="EA101" i="3"/>
  <c r="DZ101" i="3"/>
  <c r="DY101" i="3"/>
  <c r="DX101" i="3"/>
  <c r="DW101" i="3"/>
  <c r="DV101" i="3"/>
  <c r="DU101" i="3"/>
  <c r="DT101" i="3"/>
  <c r="DS101" i="3"/>
  <c r="DR101" i="3"/>
  <c r="DQ101" i="3"/>
  <c r="DP101" i="3"/>
  <c r="DO101" i="3"/>
  <c r="DN101" i="3"/>
  <c r="DM101" i="3"/>
  <c r="DL101" i="3"/>
  <c r="DK101" i="3"/>
  <c r="DJ101" i="3"/>
  <c r="DI101" i="3"/>
  <c r="DH101" i="3"/>
  <c r="DG101" i="3"/>
  <c r="DF101" i="3"/>
  <c r="DE101" i="3"/>
  <c r="DD101" i="3"/>
  <c r="DC101" i="3"/>
  <c r="DB101" i="3"/>
  <c r="DA101" i="3"/>
  <c r="CZ101" i="3"/>
  <c r="ER100" i="3"/>
  <c r="EQ100" i="3"/>
  <c r="EP100" i="3"/>
  <c r="EO100" i="3"/>
  <c r="EN100" i="3"/>
  <c r="EM100" i="3"/>
  <c r="EL100" i="3"/>
  <c r="EK100" i="3"/>
  <c r="EJ100" i="3"/>
  <c r="EI100" i="3"/>
  <c r="EH100" i="3"/>
  <c r="EG100" i="3"/>
  <c r="EF100" i="3"/>
  <c r="EE100" i="3"/>
  <c r="ED100" i="3"/>
  <c r="EC100" i="3"/>
  <c r="EB100" i="3"/>
  <c r="EA100" i="3"/>
  <c r="DZ100" i="3"/>
  <c r="DY100" i="3"/>
  <c r="DX100" i="3"/>
  <c r="DW100" i="3"/>
  <c r="DV100" i="3"/>
  <c r="DU100" i="3"/>
  <c r="DT100" i="3"/>
  <c r="DS100" i="3"/>
  <c r="DR100" i="3"/>
  <c r="DQ100" i="3"/>
  <c r="DP100" i="3"/>
  <c r="DO100" i="3"/>
  <c r="DN100" i="3"/>
  <c r="DM100" i="3"/>
  <c r="DL100" i="3"/>
  <c r="DK100" i="3"/>
  <c r="DJ100" i="3"/>
  <c r="DI100" i="3"/>
  <c r="DH100" i="3"/>
  <c r="DG100" i="3"/>
  <c r="DF100" i="3"/>
  <c r="DE100" i="3"/>
  <c r="DD100" i="3"/>
  <c r="DC100" i="3"/>
  <c r="DB100" i="3"/>
  <c r="DA100" i="3"/>
  <c r="CZ100" i="3"/>
  <c r="ER95" i="3"/>
  <c r="EQ95" i="3"/>
  <c r="EP95" i="3"/>
  <c r="EO95" i="3"/>
  <c r="EN95" i="3"/>
  <c r="EM95" i="3"/>
  <c r="EL95" i="3"/>
  <c r="EK95" i="3"/>
  <c r="EJ95" i="3"/>
  <c r="EI95" i="3"/>
  <c r="EH95" i="3"/>
  <c r="EG95" i="3"/>
  <c r="EF95" i="3"/>
  <c r="EE95" i="3"/>
  <c r="ED95" i="3"/>
  <c r="EC95" i="3"/>
  <c r="EB95" i="3"/>
  <c r="EA95" i="3"/>
  <c r="DZ95" i="3"/>
  <c r="DY95" i="3"/>
  <c r="DX95" i="3"/>
  <c r="DW95" i="3"/>
  <c r="DV95" i="3"/>
  <c r="DU95" i="3"/>
  <c r="DT95" i="3"/>
  <c r="DS95" i="3"/>
  <c r="DR95" i="3"/>
  <c r="DQ95" i="3"/>
  <c r="DP95" i="3"/>
  <c r="DO95" i="3"/>
  <c r="DN95" i="3"/>
  <c r="DM95" i="3"/>
  <c r="DL95" i="3"/>
  <c r="DK95" i="3"/>
  <c r="DJ95" i="3"/>
  <c r="DI95" i="3"/>
  <c r="DH95" i="3"/>
  <c r="DG95" i="3"/>
  <c r="DF95" i="3"/>
  <c r="DE95" i="3"/>
  <c r="DD95" i="3"/>
  <c r="DC95" i="3"/>
  <c r="DB95" i="3"/>
  <c r="DA95" i="3"/>
  <c r="CZ95" i="3"/>
  <c r="ER94" i="3"/>
  <c r="EQ94" i="3"/>
  <c r="EP94" i="3"/>
  <c r="EO94" i="3"/>
  <c r="EN94" i="3"/>
  <c r="EM94" i="3"/>
  <c r="EL94" i="3"/>
  <c r="EK94" i="3"/>
  <c r="EJ94" i="3"/>
  <c r="EI94" i="3"/>
  <c r="EH94" i="3"/>
  <c r="EG94" i="3"/>
  <c r="EF94" i="3"/>
  <c r="EE94" i="3"/>
  <c r="ED94" i="3"/>
  <c r="EC94" i="3"/>
  <c r="EB94" i="3"/>
  <c r="EA94" i="3"/>
  <c r="DZ94" i="3"/>
  <c r="DY94" i="3"/>
  <c r="DX94" i="3"/>
  <c r="DW94" i="3"/>
  <c r="DV94" i="3"/>
  <c r="DU94" i="3"/>
  <c r="DT94" i="3"/>
  <c r="DS94" i="3"/>
  <c r="DR94" i="3"/>
  <c r="DQ94" i="3"/>
  <c r="DP94" i="3"/>
  <c r="DO94" i="3"/>
  <c r="DN94" i="3"/>
  <c r="DM94" i="3"/>
  <c r="DL94" i="3"/>
  <c r="DK94" i="3"/>
  <c r="DJ94" i="3"/>
  <c r="DI94" i="3"/>
  <c r="DH94" i="3"/>
  <c r="DG94" i="3"/>
  <c r="DF94" i="3"/>
  <c r="DE94" i="3"/>
  <c r="DD94" i="3"/>
  <c r="DC94" i="3"/>
  <c r="DB94" i="3"/>
  <c r="DA94" i="3"/>
  <c r="CZ94" i="3"/>
  <c r="ER89" i="3"/>
  <c r="EQ89" i="3"/>
  <c r="EP89" i="3"/>
  <c r="EO89" i="3"/>
  <c r="EN89" i="3"/>
  <c r="EM89" i="3"/>
  <c r="EL89" i="3"/>
  <c r="EK89" i="3"/>
  <c r="EJ89" i="3"/>
  <c r="EI89" i="3"/>
  <c r="EH89" i="3"/>
  <c r="EG89" i="3"/>
  <c r="EF89" i="3"/>
  <c r="EE89" i="3"/>
  <c r="ED89" i="3"/>
  <c r="EC89" i="3"/>
  <c r="EB89" i="3"/>
  <c r="EA89" i="3"/>
  <c r="DZ89" i="3"/>
  <c r="DY89" i="3"/>
  <c r="DX89" i="3"/>
  <c r="DW89" i="3"/>
  <c r="DV89" i="3"/>
  <c r="DU89" i="3"/>
  <c r="DT89" i="3"/>
  <c r="DS89" i="3"/>
  <c r="DR89" i="3"/>
  <c r="DQ89" i="3"/>
  <c r="DP89" i="3"/>
  <c r="DO89" i="3"/>
  <c r="DN89" i="3"/>
  <c r="DM89" i="3"/>
  <c r="DL89" i="3"/>
  <c r="DK89" i="3"/>
  <c r="DJ89" i="3"/>
  <c r="DI89" i="3"/>
  <c r="DH89" i="3"/>
  <c r="DG89" i="3"/>
  <c r="DF89" i="3"/>
  <c r="DE89" i="3"/>
  <c r="DD89" i="3"/>
  <c r="DC89" i="3"/>
  <c r="DB89" i="3"/>
  <c r="DA89" i="3"/>
  <c r="CZ89" i="3"/>
  <c r="ER88" i="3"/>
  <c r="EQ88" i="3"/>
  <c r="EP88" i="3"/>
  <c r="EO88" i="3"/>
  <c r="EN88" i="3"/>
  <c r="EM88" i="3"/>
  <c r="EL88" i="3"/>
  <c r="EK88" i="3"/>
  <c r="EJ88" i="3"/>
  <c r="EI88" i="3"/>
  <c r="EH88" i="3"/>
  <c r="EG88" i="3"/>
  <c r="EF88" i="3"/>
  <c r="EE88" i="3"/>
  <c r="ED88" i="3"/>
  <c r="EC88" i="3"/>
  <c r="EB88" i="3"/>
  <c r="EA88" i="3"/>
  <c r="DZ88" i="3"/>
  <c r="DY88" i="3"/>
  <c r="DX88" i="3"/>
  <c r="DW88" i="3"/>
  <c r="DV88" i="3"/>
  <c r="DU88" i="3"/>
  <c r="DT88" i="3"/>
  <c r="DS88" i="3"/>
  <c r="DR88" i="3"/>
  <c r="DQ88" i="3"/>
  <c r="DP88" i="3"/>
  <c r="DO88" i="3"/>
  <c r="DN88" i="3"/>
  <c r="DM88" i="3"/>
  <c r="DL88" i="3"/>
  <c r="DK88" i="3"/>
  <c r="DJ88" i="3"/>
  <c r="DI88" i="3"/>
  <c r="DH88" i="3"/>
  <c r="DG88" i="3"/>
  <c r="DF88" i="3"/>
  <c r="DE88" i="3"/>
  <c r="DD88" i="3"/>
  <c r="DC88" i="3"/>
  <c r="DB88" i="3"/>
  <c r="DA88" i="3"/>
  <c r="CZ88" i="3"/>
  <c r="ER83" i="3"/>
  <c r="EQ83" i="3"/>
  <c r="EP83" i="3"/>
  <c r="EO83" i="3"/>
  <c r="EN83" i="3"/>
  <c r="EM83" i="3"/>
  <c r="EL83" i="3"/>
  <c r="EK83" i="3"/>
  <c r="EJ83" i="3"/>
  <c r="EI83" i="3"/>
  <c r="EH83" i="3"/>
  <c r="EG83" i="3"/>
  <c r="EF83" i="3"/>
  <c r="EE83" i="3"/>
  <c r="ED83" i="3"/>
  <c r="EC83" i="3"/>
  <c r="EB83" i="3"/>
  <c r="EA83" i="3"/>
  <c r="DZ83" i="3"/>
  <c r="DY83" i="3"/>
  <c r="DX83" i="3"/>
  <c r="DW83" i="3"/>
  <c r="DV83" i="3"/>
  <c r="DU83" i="3"/>
  <c r="DT83" i="3"/>
  <c r="DS83" i="3"/>
  <c r="DR83" i="3"/>
  <c r="DQ83" i="3"/>
  <c r="DP83" i="3"/>
  <c r="DO83" i="3"/>
  <c r="DN83" i="3"/>
  <c r="DM83" i="3"/>
  <c r="DL83" i="3"/>
  <c r="DK83" i="3"/>
  <c r="DJ83" i="3"/>
  <c r="DI83" i="3"/>
  <c r="DH83" i="3"/>
  <c r="DG83" i="3"/>
  <c r="DF83" i="3"/>
  <c r="DE83" i="3"/>
  <c r="DD83" i="3"/>
  <c r="DC83" i="3"/>
  <c r="DB83" i="3"/>
  <c r="DA83" i="3"/>
  <c r="CZ83" i="3"/>
  <c r="ER82" i="3"/>
  <c r="EQ82" i="3"/>
  <c r="EP82" i="3"/>
  <c r="EO82" i="3"/>
  <c r="EN82" i="3"/>
  <c r="EM82" i="3"/>
  <c r="EL82" i="3"/>
  <c r="EK82" i="3"/>
  <c r="EJ82" i="3"/>
  <c r="EI82" i="3"/>
  <c r="EH82" i="3"/>
  <c r="EG82" i="3"/>
  <c r="EF82" i="3"/>
  <c r="EE82" i="3"/>
  <c r="ED82" i="3"/>
  <c r="EC82" i="3"/>
  <c r="EB82" i="3"/>
  <c r="EA82" i="3"/>
  <c r="DZ82" i="3"/>
  <c r="DY82" i="3"/>
  <c r="DX82" i="3"/>
  <c r="DW82" i="3"/>
  <c r="DV82" i="3"/>
  <c r="DU82" i="3"/>
  <c r="DT82" i="3"/>
  <c r="DS82" i="3"/>
  <c r="DR82" i="3"/>
  <c r="DQ82" i="3"/>
  <c r="DP82" i="3"/>
  <c r="DO82" i="3"/>
  <c r="DN82" i="3"/>
  <c r="DM82" i="3"/>
  <c r="DL82" i="3"/>
  <c r="DK82" i="3"/>
  <c r="DJ82" i="3"/>
  <c r="DI82" i="3"/>
  <c r="DH82" i="3"/>
  <c r="DG82" i="3"/>
  <c r="DF82" i="3"/>
  <c r="DE82" i="3"/>
  <c r="DD82" i="3"/>
  <c r="DC82" i="3"/>
  <c r="DB82" i="3"/>
  <c r="DA82" i="3"/>
  <c r="CZ82" i="3"/>
  <c r="ER77" i="3"/>
  <c r="EQ77" i="3"/>
  <c r="EP77" i="3"/>
  <c r="EO77" i="3"/>
  <c r="EN77" i="3"/>
  <c r="EM77" i="3"/>
  <c r="EL77" i="3"/>
  <c r="EK77" i="3"/>
  <c r="EJ77" i="3"/>
  <c r="EI77" i="3"/>
  <c r="EH77" i="3"/>
  <c r="EG77" i="3"/>
  <c r="EF77" i="3"/>
  <c r="EE77" i="3"/>
  <c r="ED77" i="3"/>
  <c r="EC77" i="3"/>
  <c r="EB77" i="3"/>
  <c r="EA77" i="3"/>
  <c r="DZ77" i="3"/>
  <c r="DY77" i="3"/>
  <c r="DX77" i="3"/>
  <c r="DW77" i="3"/>
  <c r="DV77" i="3"/>
  <c r="DU77" i="3"/>
  <c r="DT77" i="3"/>
  <c r="DS77" i="3"/>
  <c r="DR77" i="3"/>
  <c r="DQ77" i="3"/>
  <c r="DP77" i="3"/>
  <c r="DO77" i="3"/>
  <c r="DN77" i="3"/>
  <c r="DM77" i="3"/>
  <c r="DL77" i="3"/>
  <c r="DK77" i="3"/>
  <c r="DJ77" i="3"/>
  <c r="DI77" i="3"/>
  <c r="DH77" i="3"/>
  <c r="DG77" i="3"/>
  <c r="DF77" i="3"/>
  <c r="DE77" i="3"/>
  <c r="DD77" i="3"/>
  <c r="DC77" i="3"/>
  <c r="DB77" i="3"/>
  <c r="DA77" i="3"/>
  <c r="CZ77" i="3"/>
  <c r="ER76" i="3"/>
  <c r="EQ76" i="3"/>
  <c r="EP76" i="3"/>
  <c r="EO76" i="3"/>
  <c r="EN76" i="3"/>
  <c r="EM76" i="3"/>
  <c r="EL76" i="3"/>
  <c r="EK76" i="3"/>
  <c r="EJ76" i="3"/>
  <c r="EI76" i="3"/>
  <c r="EH76" i="3"/>
  <c r="EG76" i="3"/>
  <c r="EF76" i="3"/>
  <c r="EE76" i="3"/>
  <c r="ED76" i="3"/>
  <c r="EC76" i="3"/>
  <c r="EB76" i="3"/>
  <c r="EA76" i="3"/>
  <c r="DZ76" i="3"/>
  <c r="DY76" i="3"/>
  <c r="DX76" i="3"/>
  <c r="DW76" i="3"/>
  <c r="DV76" i="3"/>
  <c r="DU76" i="3"/>
  <c r="DT76" i="3"/>
  <c r="DS76" i="3"/>
  <c r="DR76" i="3"/>
  <c r="DQ76" i="3"/>
  <c r="DP76" i="3"/>
  <c r="DO76" i="3"/>
  <c r="DN76" i="3"/>
  <c r="DM76" i="3"/>
  <c r="DL76" i="3"/>
  <c r="DK76" i="3"/>
  <c r="DJ76" i="3"/>
  <c r="DI76" i="3"/>
  <c r="DH76" i="3"/>
  <c r="DG76" i="3"/>
  <c r="DF76" i="3"/>
  <c r="DE76" i="3"/>
  <c r="DD76" i="3"/>
  <c r="DC76" i="3"/>
  <c r="DB76" i="3"/>
  <c r="DA76" i="3"/>
  <c r="CZ76" i="3"/>
  <c r="ER75" i="3"/>
  <c r="EQ75" i="3"/>
  <c r="EP75" i="3"/>
  <c r="EO75" i="3"/>
  <c r="EN75" i="3"/>
  <c r="EM75" i="3"/>
  <c r="EL75" i="3"/>
  <c r="EK75" i="3"/>
  <c r="EJ75" i="3"/>
  <c r="EI75" i="3"/>
  <c r="EH75" i="3"/>
  <c r="EG75" i="3"/>
  <c r="EF75" i="3"/>
  <c r="EE75" i="3"/>
  <c r="ED75" i="3"/>
  <c r="EC75" i="3"/>
  <c r="EB75" i="3"/>
  <c r="EA75" i="3"/>
  <c r="DZ75" i="3"/>
  <c r="DY75" i="3"/>
  <c r="DX75" i="3"/>
  <c r="DW75" i="3"/>
  <c r="DV75" i="3"/>
  <c r="DU75" i="3"/>
  <c r="DT75" i="3"/>
  <c r="DS75" i="3"/>
  <c r="DR75" i="3"/>
  <c r="DQ75" i="3"/>
  <c r="DP75" i="3"/>
  <c r="DO75" i="3"/>
  <c r="DN75" i="3"/>
  <c r="DM75" i="3"/>
  <c r="DL75" i="3"/>
  <c r="DK75" i="3"/>
  <c r="DJ75" i="3"/>
  <c r="DI75" i="3"/>
  <c r="DH75" i="3"/>
  <c r="DG75" i="3"/>
  <c r="DF75" i="3"/>
  <c r="DE75" i="3"/>
  <c r="DD75" i="3"/>
  <c r="DC75" i="3"/>
  <c r="DB75" i="3"/>
  <c r="DA75" i="3"/>
  <c r="CZ75" i="3"/>
  <c r="ER74" i="3"/>
  <c r="EQ74" i="3"/>
  <c r="EP74" i="3"/>
  <c r="EO74" i="3"/>
  <c r="EN74" i="3"/>
  <c r="EM74" i="3"/>
  <c r="EL74" i="3"/>
  <c r="EK74" i="3"/>
  <c r="EJ74" i="3"/>
  <c r="EI74" i="3"/>
  <c r="EH74" i="3"/>
  <c r="EG74" i="3"/>
  <c r="EF74" i="3"/>
  <c r="EE74" i="3"/>
  <c r="ED74" i="3"/>
  <c r="EC74" i="3"/>
  <c r="EB74" i="3"/>
  <c r="EA74" i="3"/>
  <c r="DZ74" i="3"/>
  <c r="DY74" i="3"/>
  <c r="DX74" i="3"/>
  <c r="DW74" i="3"/>
  <c r="DV74" i="3"/>
  <c r="DU74" i="3"/>
  <c r="DT74" i="3"/>
  <c r="DS74" i="3"/>
  <c r="DR74" i="3"/>
  <c r="DQ74" i="3"/>
  <c r="DP74" i="3"/>
  <c r="DO74" i="3"/>
  <c r="DN74" i="3"/>
  <c r="DM74" i="3"/>
  <c r="DL74" i="3"/>
  <c r="DK74" i="3"/>
  <c r="DJ74" i="3"/>
  <c r="DI74" i="3"/>
  <c r="DH74" i="3"/>
  <c r="DG74" i="3"/>
  <c r="DF74" i="3"/>
  <c r="DE74" i="3"/>
  <c r="DD74" i="3"/>
  <c r="DC74" i="3"/>
  <c r="DB74" i="3"/>
  <c r="DA74" i="3"/>
  <c r="CZ74" i="3"/>
  <c r="ER73" i="3"/>
  <c r="EQ73" i="3"/>
  <c r="EP73" i="3"/>
  <c r="EO73" i="3"/>
  <c r="EN73" i="3"/>
  <c r="EM73" i="3"/>
  <c r="EL73" i="3"/>
  <c r="EK73" i="3"/>
  <c r="EJ73" i="3"/>
  <c r="EI73" i="3"/>
  <c r="EH73" i="3"/>
  <c r="EG73" i="3"/>
  <c r="EF73" i="3"/>
  <c r="EE73" i="3"/>
  <c r="ED73" i="3"/>
  <c r="EC73" i="3"/>
  <c r="EB73" i="3"/>
  <c r="EA73" i="3"/>
  <c r="DZ73" i="3"/>
  <c r="DY73" i="3"/>
  <c r="DX73" i="3"/>
  <c r="DW73" i="3"/>
  <c r="DV73" i="3"/>
  <c r="DU73" i="3"/>
  <c r="DT73" i="3"/>
  <c r="DS73" i="3"/>
  <c r="DR73" i="3"/>
  <c r="DQ73" i="3"/>
  <c r="DP73" i="3"/>
  <c r="DO73" i="3"/>
  <c r="DN73" i="3"/>
  <c r="DM73" i="3"/>
  <c r="DL73" i="3"/>
  <c r="DK73" i="3"/>
  <c r="DJ73" i="3"/>
  <c r="DI73" i="3"/>
  <c r="DH73" i="3"/>
  <c r="DG73" i="3"/>
  <c r="DF73" i="3"/>
  <c r="DE73" i="3"/>
  <c r="DD73" i="3"/>
  <c r="DC73" i="3"/>
  <c r="DB73" i="3"/>
  <c r="DA73" i="3"/>
  <c r="CZ73" i="3"/>
  <c r="ER68" i="3"/>
  <c r="EQ68" i="3"/>
  <c r="EP68" i="3"/>
  <c r="EO68" i="3"/>
  <c r="EN68" i="3"/>
  <c r="EM68" i="3"/>
  <c r="EL68" i="3"/>
  <c r="EK68" i="3"/>
  <c r="EJ68" i="3"/>
  <c r="EI68" i="3"/>
  <c r="EH68" i="3"/>
  <c r="EG68" i="3"/>
  <c r="EF68" i="3"/>
  <c r="EE68" i="3"/>
  <c r="ED68" i="3"/>
  <c r="EC68" i="3"/>
  <c r="EB68" i="3"/>
  <c r="EA68" i="3"/>
  <c r="DZ68" i="3"/>
  <c r="DY68" i="3"/>
  <c r="DX68" i="3"/>
  <c r="DW68" i="3"/>
  <c r="DV68" i="3"/>
  <c r="DU68" i="3"/>
  <c r="DT68" i="3"/>
  <c r="DS68" i="3"/>
  <c r="DR68" i="3"/>
  <c r="DQ68" i="3"/>
  <c r="DP68" i="3"/>
  <c r="DO68" i="3"/>
  <c r="DN68" i="3"/>
  <c r="DM68" i="3"/>
  <c r="DL68" i="3"/>
  <c r="DK68" i="3"/>
  <c r="DJ68" i="3"/>
  <c r="DI68" i="3"/>
  <c r="DH68" i="3"/>
  <c r="DG68" i="3"/>
  <c r="DF68" i="3"/>
  <c r="DE68" i="3"/>
  <c r="DD68" i="3"/>
  <c r="DC68" i="3"/>
  <c r="DB68" i="3"/>
  <c r="DA68" i="3"/>
  <c r="CZ68" i="3"/>
  <c r="ER67" i="3"/>
  <c r="EQ67" i="3"/>
  <c r="EP67" i="3"/>
  <c r="EO67" i="3"/>
  <c r="EN67" i="3"/>
  <c r="EM67" i="3"/>
  <c r="EL67" i="3"/>
  <c r="EK67" i="3"/>
  <c r="EJ67" i="3"/>
  <c r="EI67" i="3"/>
  <c r="EH67" i="3"/>
  <c r="EG67" i="3"/>
  <c r="EF67" i="3"/>
  <c r="EE67" i="3"/>
  <c r="ED67" i="3"/>
  <c r="EC67" i="3"/>
  <c r="EB67" i="3"/>
  <c r="EA67" i="3"/>
  <c r="DZ67" i="3"/>
  <c r="DY67" i="3"/>
  <c r="DX67" i="3"/>
  <c r="DW67" i="3"/>
  <c r="DV67" i="3"/>
  <c r="DU67" i="3"/>
  <c r="DT67" i="3"/>
  <c r="DS67" i="3"/>
  <c r="DR67" i="3"/>
  <c r="DQ67" i="3"/>
  <c r="DP67" i="3"/>
  <c r="DO67" i="3"/>
  <c r="DN67" i="3"/>
  <c r="DM67" i="3"/>
  <c r="DL67" i="3"/>
  <c r="DK67" i="3"/>
  <c r="DJ67" i="3"/>
  <c r="DI67" i="3"/>
  <c r="DH67" i="3"/>
  <c r="DG67" i="3"/>
  <c r="DF67" i="3"/>
  <c r="DE67" i="3"/>
  <c r="DD67" i="3"/>
  <c r="DC67" i="3"/>
  <c r="DB67" i="3"/>
  <c r="DA67" i="3"/>
  <c r="CZ67" i="3"/>
  <c r="ER62" i="3"/>
  <c r="EQ62" i="3"/>
  <c r="EP62" i="3"/>
  <c r="EO62" i="3"/>
  <c r="EN62" i="3"/>
  <c r="EM62" i="3"/>
  <c r="EL62" i="3"/>
  <c r="EK62" i="3"/>
  <c r="EJ62" i="3"/>
  <c r="EI62" i="3"/>
  <c r="EH62" i="3"/>
  <c r="EG62" i="3"/>
  <c r="EF62" i="3"/>
  <c r="EE62" i="3"/>
  <c r="ED62" i="3"/>
  <c r="EC62" i="3"/>
  <c r="EB62" i="3"/>
  <c r="EA62" i="3"/>
  <c r="DZ62" i="3"/>
  <c r="DY62" i="3"/>
  <c r="DX62" i="3"/>
  <c r="DW62" i="3"/>
  <c r="DV62" i="3"/>
  <c r="DU62" i="3"/>
  <c r="DT62" i="3"/>
  <c r="DS62" i="3"/>
  <c r="DR62" i="3"/>
  <c r="DQ62" i="3"/>
  <c r="DP62" i="3"/>
  <c r="DO62" i="3"/>
  <c r="DN62" i="3"/>
  <c r="DM62" i="3"/>
  <c r="DL62" i="3"/>
  <c r="DK62" i="3"/>
  <c r="DJ62" i="3"/>
  <c r="DI62" i="3"/>
  <c r="DH62" i="3"/>
  <c r="DG62" i="3"/>
  <c r="DF62" i="3"/>
  <c r="DE62" i="3"/>
  <c r="DD62" i="3"/>
  <c r="DC62" i="3"/>
  <c r="DB62" i="3"/>
  <c r="DA62" i="3"/>
  <c r="CZ62" i="3"/>
  <c r="ER61" i="3"/>
  <c r="EQ61" i="3"/>
  <c r="EP61" i="3"/>
  <c r="EO61" i="3"/>
  <c r="EN61" i="3"/>
  <c r="EM61" i="3"/>
  <c r="EL61" i="3"/>
  <c r="EK61" i="3"/>
  <c r="EJ61" i="3"/>
  <c r="EI61" i="3"/>
  <c r="EH61" i="3"/>
  <c r="EG61" i="3"/>
  <c r="EF61" i="3"/>
  <c r="EE61" i="3"/>
  <c r="ED61" i="3"/>
  <c r="EC61" i="3"/>
  <c r="EB61" i="3"/>
  <c r="EA61" i="3"/>
  <c r="DZ61" i="3"/>
  <c r="DY61" i="3"/>
  <c r="DX61" i="3"/>
  <c r="DW61" i="3"/>
  <c r="DV61" i="3"/>
  <c r="DU61" i="3"/>
  <c r="DT61" i="3"/>
  <c r="DS61" i="3"/>
  <c r="DR61" i="3"/>
  <c r="DQ61" i="3"/>
  <c r="DP61" i="3"/>
  <c r="DO61" i="3"/>
  <c r="DN61" i="3"/>
  <c r="DM61" i="3"/>
  <c r="DL61" i="3"/>
  <c r="DK61" i="3"/>
  <c r="DJ61" i="3"/>
  <c r="DI61" i="3"/>
  <c r="DH61" i="3"/>
  <c r="DG61" i="3"/>
  <c r="DF61" i="3"/>
  <c r="DE61" i="3"/>
  <c r="DD61" i="3"/>
  <c r="DC61" i="3"/>
  <c r="DB61" i="3"/>
  <c r="DA61" i="3"/>
  <c r="CZ61" i="3"/>
  <c r="ER56" i="3"/>
  <c r="EQ56" i="3"/>
  <c r="EP56" i="3"/>
  <c r="EO56" i="3"/>
  <c r="EN56" i="3"/>
  <c r="EM56" i="3"/>
  <c r="EL56" i="3"/>
  <c r="EK56" i="3"/>
  <c r="EJ56" i="3"/>
  <c r="EI56" i="3"/>
  <c r="EH56" i="3"/>
  <c r="EG56" i="3"/>
  <c r="EF56" i="3"/>
  <c r="EE56" i="3"/>
  <c r="ED56" i="3"/>
  <c r="EC56" i="3"/>
  <c r="EB56" i="3"/>
  <c r="EA56" i="3"/>
  <c r="DZ56" i="3"/>
  <c r="DY56" i="3"/>
  <c r="DX56" i="3"/>
  <c r="DW56" i="3"/>
  <c r="DV56" i="3"/>
  <c r="DU56" i="3"/>
  <c r="DT56" i="3"/>
  <c r="DS56" i="3"/>
  <c r="DR56" i="3"/>
  <c r="DQ56" i="3"/>
  <c r="DP56" i="3"/>
  <c r="DO56" i="3"/>
  <c r="DN56" i="3"/>
  <c r="DM56" i="3"/>
  <c r="DL56" i="3"/>
  <c r="DK56" i="3"/>
  <c r="DJ56" i="3"/>
  <c r="DI56" i="3"/>
  <c r="DH56" i="3"/>
  <c r="DG56" i="3"/>
  <c r="DF56" i="3"/>
  <c r="DE56" i="3"/>
  <c r="DD56" i="3"/>
  <c r="DC56" i="3"/>
  <c r="DB56" i="3"/>
  <c r="DA56" i="3"/>
  <c r="CZ56" i="3"/>
  <c r="ER55" i="3"/>
  <c r="EQ55" i="3"/>
  <c r="EP55" i="3"/>
  <c r="EO55" i="3"/>
  <c r="EN55" i="3"/>
  <c r="EM55" i="3"/>
  <c r="EL55" i="3"/>
  <c r="EK55" i="3"/>
  <c r="EJ55" i="3"/>
  <c r="EI55" i="3"/>
  <c r="EH55" i="3"/>
  <c r="EG55" i="3"/>
  <c r="EF55" i="3"/>
  <c r="EE55" i="3"/>
  <c r="ED55" i="3"/>
  <c r="EC55" i="3"/>
  <c r="EB55" i="3"/>
  <c r="EA55" i="3"/>
  <c r="DZ55" i="3"/>
  <c r="DY55" i="3"/>
  <c r="DX55" i="3"/>
  <c r="DW55" i="3"/>
  <c r="DV55" i="3"/>
  <c r="DU55" i="3"/>
  <c r="DT55" i="3"/>
  <c r="DS55" i="3"/>
  <c r="DR55" i="3"/>
  <c r="DQ55" i="3"/>
  <c r="DP55" i="3"/>
  <c r="DO55" i="3"/>
  <c r="DN55" i="3"/>
  <c r="DM55" i="3"/>
  <c r="DL55" i="3"/>
  <c r="DK55" i="3"/>
  <c r="DJ55" i="3"/>
  <c r="DI55" i="3"/>
  <c r="DH55" i="3"/>
  <c r="DG55" i="3"/>
  <c r="DF55" i="3"/>
  <c r="DE55" i="3"/>
  <c r="DD55" i="3"/>
  <c r="DC55" i="3"/>
  <c r="DB55" i="3"/>
  <c r="DA55" i="3"/>
  <c r="CZ55" i="3"/>
  <c r="ER52" i="3"/>
  <c r="EQ52" i="3"/>
  <c r="EP52" i="3"/>
  <c r="EO52" i="3"/>
  <c r="EN52" i="3"/>
  <c r="EM52" i="3"/>
  <c r="EL52" i="3"/>
  <c r="EK52" i="3"/>
  <c r="EJ52" i="3"/>
  <c r="EI52" i="3"/>
  <c r="EH52" i="3"/>
  <c r="EG52" i="3"/>
  <c r="EF52" i="3"/>
  <c r="EE52" i="3"/>
  <c r="ED52" i="3"/>
  <c r="EC52" i="3"/>
  <c r="EB52" i="3"/>
  <c r="EA52" i="3"/>
  <c r="DZ52" i="3"/>
  <c r="DY52" i="3"/>
  <c r="DX52" i="3"/>
  <c r="DW52" i="3"/>
  <c r="DV52" i="3"/>
  <c r="DU52" i="3"/>
  <c r="DT52" i="3"/>
  <c r="DS52" i="3"/>
  <c r="DR52" i="3"/>
  <c r="DQ52" i="3"/>
  <c r="DP52" i="3"/>
  <c r="DO52" i="3"/>
  <c r="DN52" i="3"/>
  <c r="DM52" i="3"/>
  <c r="DL52" i="3"/>
  <c r="DK52" i="3"/>
  <c r="DJ52" i="3"/>
  <c r="DI52" i="3"/>
  <c r="DH52" i="3"/>
  <c r="DG52" i="3"/>
  <c r="DF52" i="3"/>
  <c r="DE52" i="3"/>
  <c r="DD52" i="3"/>
  <c r="DC52" i="3"/>
  <c r="DB52" i="3"/>
  <c r="DA52" i="3"/>
  <c r="CZ52" i="3"/>
  <c r="ER51" i="3"/>
  <c r="EQ51" i="3"/>
  <c r="EP51" i="3"/>
  <c r="EO51" i="3"/>
  <c r="EN51" i="3"/>
  <c r="EM51" i="3"/>
  <c r="EL51" i="3"/>
  <c r="EK51" i="3"/>
  <c r="EJ51" i="3"/>
  <c r="EI51" i="3"/>
  <c r="EH51" i="3"/>
  <c r="EG51" i="3"/>
  <c r="EF51" i="3"/>
  <c r="EE51" i="3"/>
  <c r="ED51" i="3"/>
  <c r="EC51" i="3"/>
  <c r="EB51" i="3"/>
  <c r="EA51" i="3"/>
  <c r="DZ51" i="3"/>
  <c r="DY51" i="3"/>
  <c r="DX51" i="3"/>
  <c r="DW51" i="3"/>
  <c r="DV51" i="3"/>
  <c r="DU51" i="3"/>
  <c r="DT51" i="3"/>
  <c r="DS51" i="3"/>
  <c r="DR51" i="3"/>
  <c r="DQ51" i="3"/>
  <c r="DP51" i="3"/>
  <c r="DO51" i="3"/>
  <c r="DN51" i="3"/>
  <c r="DM51" i="3"/>
  <c r="DL51" i="3"/>
  <c r="DK51" i="3"/>
  <c r="DJ51" i="3"/>
  <c r="DI51" i="3"/>
  <c r="DH51" i="3"/>
  <c r="DG51" i="3"/>
  <c r="DF51" i="3"/>
  <c r="DE51" i="3"/>
  <c r="DD51" i="3"/>
  <c r="DC51" i="3"/>
  <c r="DB51" i="3"/>
  <c r="DA51" i="3"/>
  <c r="CZ51" i="3"/>
  <c r="ER50" i="3"/>
  <c r="EQ50" i="3"/>
  <c r="EP50" i="3"/>
  <c r="EO50" i="3"/>
  <c r="EN50" i="3"/>
  <c r="EM50" i="3"/>
  <c r="EL50" i="3"/>
  <c r="EK50" i="3"/>
  <c r="EJ50" i="3"/>
  <c r="EI50" i="3"/>
  <c r="EH50" i="3"/>
  <c r="EG50" i="3"/>
  <c r="EF50" i="3"/>
  <c r="EE50" i="3"/>
  <c r="ED50" i="3"/>
  <c r="EC50" i="3"/>
  <c r="EB50" i="3"/>
  <c r="EA50" i="3"/>
  <c r="DZ50" i="3"/>
  <c r="DY50" i="3"/>
  <c r="DX50" i="3"/>
  <c r="DW50" i="3"/>
  <c r="DV50" i="3"/>
  <c r="DU50" i="3"/>
  <c r="DT50" i="3"/>
  <c r="DS50" i="3"/>
  <c r="DR50" i="3"/>
  <c r="DQ50" i="3"/>
  <c r="DP50" i="3"/>
  <c r="DO50" i="3"/>
  <c r="DN50" i="3"/>
  <c r="DM50" i="3"/>
  <c r="DL50" i="3"/>
  <c r="DK50" i="3"/>
  <c r="DJ50" i="3"/>
  <c r="DI50" i="3"/>
  <c r="DH50" i="3"/>
  <c r="DG50" i="3"/>
  <c r="DF50" i="3"/>
  <c r="DE50" i="3"/>
  <c r="DD50" i="3"/>
  <c r="DC50" i="3"/>
  <c r="DB50" i="3"/>
  <c r="DA50" i="3"/>
  <c r="CZ50" i="3"/>
  <c r="ER49" i="3"/>
  <c r="EQ49" i="3"/>
  <c r="EP49" i="3"/>
  <c r="EO49" i="3"/>
  <c r="EN49" i="3"/>
  <c r="EM49" i="3"/>
  <c r="EL49" i="3"/>
  <c r="EK49" i="3"/>
  <c r="EJ49" i="3"/>
  <c r="EI49" i="3"/>
  <c r="EH49" i="3"/>
  <c r="EG49" i="3"/>
  <c r="EF49" i="3"/>
  <c r="EE49" i="3"/>
  <c r="ED49" i="3"/>
  <c r="EC49" i="3"/>
  <c r="EB49" i="3"/>
  <c r="EA49" i="3"/>
  <c r="DZ49" i="3"/>
  <c r="DY49" i="3"/>
  <c r="DX49" i="3"/>
  <c r="DW49" i="3"/>
  <c r="DV49" i="3"/>
  <c r="DU49" i="3"/>
  <c r="DT49" i="3"/>
  <c r="DS49" i="3"/>
  <c r="DR49" i="3"/>
  <c r="DQ49" i="3"/>
  <c r="DP49" i="3"/>
  <c r="DO49" i="3"/>
  <c r="DN49" i="3"/>
  <c r="DM49" i="3"/>
  <c r="DL49" i="3"/>
  <c r="DK49" i="3"/>
  <c r="DJ49" i="3"/>
  <c r="DI49" i="3"/>
  <c r="DH49" i="3"/>
  <c r="DG49" i="3"/>
  <c r="DF49" i="3"/>
  <c r="DE49" i="3"/>
  <c r="DD49" i="3"/>
  <c r="DC49" i="3"/>
  <c r="DB49" i="3"/>
  <c r="DA49" i="3"/>
  <c r="CZ49" i="3"/>
  <c r="ER48" i="3"/>
  <c r="EQ48" i="3"/>
  <c r="EP48" i="3"/>
  <c r="EO48" i="3"/>
  <c r="EN48" i="3"/>
  <c r="EM48" i="3"/>
  <c r="EL48" i="3"/>
  <c r="EK48" i="3"/>
  <c r="EJ48" i="3"/>
  <c r="EI48" i="3"/>
  <c r="EH48" i="3"/>
  <c r="EG48" i="3"/>
  <c r="EF48" i="3"/>
  <c r="EE48" i="3"/>
  <c r="ED48" i="3"/>
  <c r="EC48" i="3"/>
  <c r="EB48" i="3"/>
  <c r="EA48" i="3"/>
  <c r="DZ48" i="3"/>
  <c r="DY48" i="3"/>
  <c r="DX48" i="3"/>
  <c r="DW48" i="3"/>
  <c r="DV48" i="3"/>
  <c r="DU48" i="3"/>
  <c r="DT48" i="3"/>
  <c r="DS48" i="3"/>
  <c r="DR48" i="3"/>
  <c r="DQ48" i="3"/>
  <c r="DP48" i="3"/>
  <c r="DO48" i="3"/>
  <c r="DN48" i="3"/>
  <c r="DM48" i="3"/>
  <c r="DL48" i="3"/>
  <c r="DK48" i="3"/>
  <c r="DJ48" i="3"/>
  <c r="DI48" i="3"/>
  <c r="DH48" i="3"/>
  <c r="DG48" i="3"/>
  <c r="DF48" i="3"/>
  <c r="DE48" i="3"/>
  <c r="DD48" i="3"/>
  <c r="DC48" i="3"/>
  <c r="DB48" i="3"/>
  <c r="DA48" i="3"/>
  <c r="CZ48" i="3"/>
  <c r="ER43" i="3"/>
  <c r="EQ43" i="3"/>
  <c r="EP43" i="3"/>
  <c r="EO43" i="3"/>
  <c r="EN43" i="3"/>
  <c r="EM43" i="3"/>
  <c r="EL43" i="3"/>
  <c r="EK43" i="3"/>
  <c r="EJ43" i="3"/>
  <c r="EI43" i="3"/>
  <c r="EH43" i="3"/>
  <c r="EG43" i="3"/>
  <c r="EF43" i="3"/>
  <c r="EE43" i="3"/>
  <c r="ED43" i="3"/>
  <c r="EC43" i="3"/>
  <c r="EB43" i="3"/>
  <c r="EA43" i="3"/>
  <c r="DZ43" i="3"/>
  <c r="DY43" i="3"/>
  <c r="DX43" i="3"/>
  <c r="DW43" i="3"/>
  <c r="DV43" i="3"/>
  <c r="DU43" i="3"/>
  <c r="DT43" i="3"/>
  <c r="DS43" i="3"/>
  <c r="DR43" i="3"/>
  <c r="DQ43" i="3"/>
  <c r="DP43" i="3"/>
  <c r="DO43" i="3"/>
  <c r="DN43" i="3"/>
  <c r="DM43" i="3"/>
  <c r="DL43" i="3"/>
  <c r="DK43" i="3"/>
  <c r="DJ43" i="3"/>
  <c r="DI43" i="3"/>
  <c r="DH43" i="3"/>
  <c r="DG43" i="3"/>
  <c r="DF43" i="3"/>
  <c r="DE43" i="3"/>
  <c r="DD43" i="3"/>
  <c r="DC43" i="3"/>
  <c r="DB43" i="3"/>
  <c r="DA43" i="3"/>
  <c r="CZ43" i="3"/>
  <c r="ER42" i="3"/>
  <c r="EQ42" i="3"/>
  <c r="EP42" i="3"/>
  <c r="EO42" i="3"/>
  <c r="EN42" i="3"/>
  <c r="EM42" i="3"/>
  <c r="EL42" i="3"/>
  <c r="EK42" i="3"/>
  <c r="EJ42" i="3"/>
  <c r="EI42" i="3"/>
  <c r="EH42" i="3"/>
  <c r="EG42" i="3"/>
  <c r="EF42" i="3"/>
  <c r="EE42" i="3"/>
  <c r="ED42" i="3"/>
  <c r="EC42" i="3"/>
  <c r="EB42" i="3"/>
  <c r="EA42" i="3"/>
  <c r="DZ42" i="3"/>
  <c r="DY42" i="3"/>
  <c r="DX42" i="3"/>
  <c r="DW42" i="3"/>
  <c r="DV42" i="3"/>
  <c r="DU42" i="3"/>
  <c r="DT42" i="3"/>
  <c r="DS42" i="3"/>
  <c r="DR42" i="3"/>
  <c r="DQ42" i="3"/>
  <c r="DP42" i="3"/>
  <c r="DO42" i="3"/>
  <c r="DN42" i="3"/>
  <c r="DM42" i="3"/>
  <c r="DL42" i="3"/>
  <c r="DK42" i="3"/>
  <c r="DJ42" i="3"/>
  <c r="DI42" i="3"/>
  <c r="DH42" i="3"/>
  <c r="DG42" i="3"/>
  <c r="DF42" i="3"/>
  <c r="DE42" i="3"/>
  <c r="DD42" i="3"/>
  <c r="DC42" i="3"/>
  <c r="DB42" i="3"/>
  <c r="DA42" i="3"/>
  <c r="CZ42" i="3"/>
  <c r="ER39" i="3"/>
  <c r="EQ39" i="3"/>
  <c r="EP39" i="3"/>
  <c r="EO39" i="3"/>
  <c r="EN39" i="3"/>
  <c r="EM39" i="3"/>
  <c r="EL39" i="3"/>
  <c r="EK39" i="3"/>
  <c r="EJ39" i="3"/>
  <c r="EI39" i="3"/>
  <c r="EH39" i="3"/>
  <c r="EG39" i="3"/>
  <c r="EF39" i="3"/>
  <c r="EE39" i="3"/>
  <c r="ED39" i="3"/>
  <c r="EC39" i="3"/>
  <c r="EB39" i="3"/>
  <c r="EA39" i="3"/>
  <c r="DZ39" i="3"/>
  <c r="DY39" i="3"/>
  <c r="DX39" i="3"/>
  <c r="DW39" i="3"/>
  <c r="DV39" i="3"/>
  <c r="DU39" i="3"/>
  <c r="DT39" i="3"/>
  <c r="DS39" i="3"/>
  <c r="DR39" i="3"/>
  <c r="DQ39" i="3"/>
  <c r="DP39" i="3"/>
  <c r="DO39" i="3"/>
  <c r="DN39" i="3"/>
  <c r="DM39" i="3"/>
  <c r="DL39" i="3"/>
  <c r="DK39" i="3"/>
  <c r="DJ39" i="3"/>
  <c r="DI39" i="3"/>
  <c r="DH39" i="3"/>
  <c r="DG39" i="3"/>
  <c r="DF39" i="3"/>
  <c r="DE39" i="3"/>
  <c r="DD39" i="3"/>
  <c r="DC39" i="3"/>
  <c r="DB39" i="3"/>
  <c r="DA39" i="3"/>
  <c r="CZ39" i="3"/>
  <c r="ER38" i="3"/>
  <c r="EQ38" i="3"/>
  <c r="EP38" i="3"/>
  <c r="EO38" i="3"/>
  <c r="EN38" i="3"/>
  <c r="EM38" i="3"/>
  <c r="EL38" i="3"/>
  <c r="EK38" i="3"/>
  <c r="EJ38" i="3"/>
  <c r="EI38" i="3"/>
  <c r="EH38" i="3"/>
  <c r="EG38" i="3"/>
  <c r="EF38" i="3"/>
  <c r="EE38" i="3"/>
  <c r="ED38" i="3"/>
  <c r="EC38" i="3"/>
  <c r="EB38" i="3"/>
  <c r="EA38" i="3"/>
  <c r="DZ38" i="3"/>
  <c r="DY38" i="3"/>
  <c r="DX38" i="3"/>
  <c r="DW38" i="3"/>
  <c r="DV38" i="3"/>
  <c r="DU38" i="3"/>
  <c r="DT38" i="3"/>
  <c r="DS38" i="3"/>
  <c r="DR38" i="3"/>
  <c r="DQ38" i="3"/>
  <c r="DP38" i="3"/>
  <c r="DO38" i="3"/>
  <c r="DN38" i="3"/>
  <c r="DM38" i="3"/>
  <c r="DL38" i="3"/>
  <c r="DK38" i="3"/>
  <c r="DJ38" i="3"/>
  <c r="DI38" i="3"/>
  <c r="DH38" i="3"/>
  <c r="DG38" i="3"/>
  <c r="DF38" i="3"/>
  <c r="DE38" i="3"/>
  <c r="DD38" i="3"/>
  <c r="DC38" i="3"/>
  <c r="DB38" i="3"/>
  <c r="DA38" i="3"/>
  <c r="CZ38" i="3"/>
  <c r="ER37" i="3"/>
  <c r="EQ37" i="3"/>
  <c r="EP37" i="3"/>
  <c r="EO37" i="3"/>
  <c r="EN37" i="3"/>
  <c r="EM37" i="3"/>
  <c r="EL37" i="3"/>
  <c r="EK37" i="3"/>
  <c r="EJ37" i="3"/>
  <c r="EI37" i="3"/>
  <c r="EH37" i="3"/>
  <c r="EG37" i="3"/>
  <c r="EF37" i="3"/>
  <c r="EE37" i="3"/>
  <c r="ED37" i="3"/>
  <c r="EC37" i="3"/>
  <c r="EB37" i="3"/>
  <c r="EA37" i="3"/>
  <c r="DZ37" i="3"/>
  <c r="DY37" i="3"/>
  <c r="DX37" i="3"/>
  <c r="DW37" i="3"/>
  <c r="DV37" i="3"/>
  <c r="DU37" i="3"/>
  <c r="DT37" i="3"/>
  <c r="DS37" i="3"/>
  <c r="DR37" i="3"/>
  <c r="DQ37" i="3"/>
  <c r="DP37" i="3"/>
  <c r="DO37" i="3"/>
  <c r="DN37" i="3"/>
  <c r="DM37" i="3"/>
  <c r="DL37" i="3"/>
  <c r="DK37" i="3"/>
  <c r="DJ37" i="3"/>
  <c r="DI37" i="3"/>
  <c r="DH37" i="3"/>
  <c r="DG37" i="3"/>
  <c r="DF37" i="3"/>
  <c r="DE37" i="3"/>
  <c r="DD37" i="3"/>
  <c r="DC37" i="3"/>
  <c r="DB37" i="3"/>
  <c r="DA37" i="3"/>
  <c r="CZ37" i="3"/>
  <c r="ER36" i="3"/>
  <c r="EQ36" i="3"/>
  <c r="EP36" i="3"/>
  <c r="EO36" i="3"/>
  <c r="EN36" i="3"/>
  <c r="EM36" i="3"/>
  <c r="EL36" i="3"/>
  <c r="EK36" i="3"/>
  <c r="EJ36" i="3"/>
  <c r="EI36" i="3"/>
  <c r="EH36" i="3"/>
  <c r="EG36" i="3"/>
  <c r="EF36" i="3"/>
  <c r="EE36" i="3"/>
  <c r="ED36" i="3"/>
  <c r="EC36" i="3"/>
  <c r="EB36" i="3"/>
  <c r="EA36" i="3"/>
  <c r="DZ36" i="3"/>
  <c r="DY36" i="3"/>
  <c r="DX36" i="3"/>
  <c r="DW36" i="3"/>
  <c r="DV36" i="3"/>
  <c r="DU36" i="3"/>
  <c r="DT36" i="3"/>
  <c r="DS36" i="3"/>
  <c r="DR36" i="3"/>
  <c r="DQ36" i="3"/>
  <c r="DP36" i="3"/>
  <c r="DO36" i="3"/>
  <c r="DN36" i="3"/>
  <c r="DM36" i="3"/>
  <c r="DL36" i="3"/>
  <c r="DK36" i="3"/>
  <c r="DJ36" i="3"/>
  <c r="DI36" i="3"/>
  <c r="DH36" i="3"/>
  <c r="DG36" i="3"/>
  <c r="DF36" i="3"/>
  <c r="DE36" i="3"/>
  <c r="DD36" i="3"/>
  <c r="DC36" i="3"/>
  <c r="DB36" i="3"/>
  <c r="DA36" i="3"/>
  <c r="CZ36" i="3"/>
  <c r="ER35" i="3"/>
  <c r="EQ35" i="3"/>
  <c r="EP35" i="3"/>
  <c r="EO35" i="3"/>
  <c r="EN35" i="3"/>
  <c r="EM35" i="3"/>
  <c r="EL35" i="3"/>
  <c r="EK35" i="3"/>
  <c r="EJ35" i="3"/>
  <c r="EI35" i="3"/>
  <c r="EH35" i="3"/>
  <c r="EG35" i="3"/>
  <c r="EF35" i="3"/>
  <c r="EE35" i="3"/>
  <c r="ED35" i="3"/>
  <c r="EC35" i="3"/>
  <c r="EB35" i="3"/>
  <c r="EA35" i="3"/>
  <c r="DZ35" i="3"/>
  <c r="DY35" i="3"/>
  <c r="DX35" i="3"/>
  <c r="DW35" i="3"/>
  <c r="DV35" i="3"/>
  <c r="DU35" i="3"/>
  <c r="DT35" i="3"/>
  <c r="DS35" i="3"/>
  <c r="DR35" i="3"/>
  <c r="DQ35" i="3"/>
  <c r="DP35" i="3"/>
  <c r="DO35" i="3"/>
  <c r="DN35" i="3"/>
  <c r="DM35" i="3"/>
  <c r="DL35" i="3"/>
  <c r="DK35" i="3"/>
  <c r="DJ35" i="3"/>
  <c r="DI35" i="3"/>
  <c r="DH35" i="3"/>
  <c r="DG35" i="3"/>
  <c r="DF35" i="3"/>
  <c r="DE35" i="3"/>
  <c r="DD35" i="3"/>
  <c r="DC35" i="3"/>
  <c r="DB35" i="3"/>
  <c r="DA35" i="3"/>
  <c r="CZ35" i="3"/>
  <c r="ER34" i="3"/>
  <c r="EQ34" i="3"/>
  <c r="EP34" i="3"/>
  <c r="EO34" i="3"/>
  <c r="EN34" i="3"/>
  <c r="EM34" i="3"/>
  <c r="EL34" i="3"/>
  <c r="EK34" i="3"/>
  <c r="EJ34" i="3"/>
  <c r="EI34" i="3"/>
  <c r="EH34" i="3"/>
  <c r="EG34" i="3"/>
  <c r="EF34" i="3"/>
  <c r="EE34" i="3"/>
  <c r="ED34" i="3"/>
  <c r="EC34" i="3"/>
  <c r="EB34" i="3"/>
  <c r="EA34" i="3"/>
  <c r="DZ34" i="3"/>
  <c r="DY34" i="3"/>
  <c r="DX34" i="3"/>
  <c r="DW34" i="3"/>
  <c r="DV34" i="3"/>
  <c r="DU34" i="3"/>
  <c r="DT34" i="3"/>
  <c r="DS34" i="3"/>
  <c r="DR34" i="3"/>
  <c r="DQ34" i="3"/>
  <c r="DP34" i="3"/>
  <c r="DO34" i="3"/>
  <c r="DN34" i="3"/>
  <c r="DM34" i="3"/>
  <c r="DL34" i="3"/>
  <c r="DK34" i="3"/>
  <c r="DJ34" i="3"/>
  <c r="DI34" i="3"/>
  <c r="DH34" i="3"/>
  <c r="DG34" i="3"/>
  <c r="DF34" i="3"/>
  <c r="DE34" i="3"/>
  <c r="DD34" i="3"/>
  <c r="DC34" i="3"/>
  <c r="DB34" i="3"/>
  <c r="DA34" i="3"/>
  <c r="CZ34" i="3"/>
  <c r="ER33" i="3"/>
  <c r="EQ33" i="3"/>
  <c r="EP33" i="3"/>
  <c r="EO33" i="3"/>
  <c r="EN33" i="3"/>
  <c r="EM33" i="3"/>
  <c r="EL33" i="3"/>
  <c r="EK33" i="3"/>
  <c r="EJ33" i="3"/>
  <c r="EI33" i="3"/>
  <c r="EH33" i="3"/>
  <c r="EG33" i="3"/>
  <c r="EF33" i="3"/>
  <c r="EE33" i="3"/>
  <c r="ED33" i="3"/>
  <c r="EC33" i="3"/>
  <c r="EB33" i="3"/>
  <c r="EA33" i="3"/>
  <c r="DZ33" i="3"/>
  <c r="DY33" i="3"/>
  <c r="DX33" i="3"/>
  <c r="DW33" i="3"/>
  <c r="DV33" i="3"/>
  <c r="DU33" i="3"/>
  <c r="DT33" i="3"/>
  <c r="DS33" i="3"/>
  <c r="DR33" i="3"/>
  <c r="DQ33" i="3"/>
  <c r="DP33" i="3"/>
  <c r="DO33" i="3"/>
  <c r="DN33" i="3"/>
  <c r="DM33" i="3"/>
  <c r="DL33" i="3"/>
  <c r="DK33" i="3"/>
  <c r="DJ33" i="3"/>
  <c r="DI33" i="3"/>
  <c r="DH33" i="3"/>
  <c r="DG33" i="3"/>
  <c r="DF33" i="3"/>
  <c r="DE33" i="3"/>
  <c r="DD33" i="3"/>
  <c r="DC33" i="3"/>
  <c r="DB33" i="3"/>
  <c r="DA33" i="3"/>
  <c r="CZ33" i="3"/>
  <c r="ER32" i="3"/>
  <c r="EQ32" i="3"/>
  <c r="EP32" i="3"/>
  <c r="EO32" i="3"/>
  <c r="EN32" i="3"/>
  <c r="EM32" i="3"/>
  <c r="EL32" i="3"/>
  <c r="EK32" i="3"/>
  <c r="EJ32" i="3"/>
  <c r="EI32" i="3"/>
  <c r="EH32" i="3"/>
  <c r="EG32" i="3"/>
  <c r="EF32" i="3"/>
  <c r="EE32" i="3"/>
  <c r="ED32" i="3"/>
  <c r="EC32" i="3"/>
  <c r="EB32" i="3"/>
  <c r="EA32" i="3"/>
  <c r="DZ32" i="3"/>
  <c r="DY32" i="3"/>
  <c r="DX32" i="3"/>
  <c r="DW32" i="3"/>
  <c r="DV32" i="3"/>
  <c r="DU32" i="3"/>
  <c r="DT32" i="3"/>
  <c r="DS32" i="3"/>
  <c r="DR32" i="3"/>
  <c r="DQ32" i="3"/>
  <c r="DP32" i="3"/>
  <c r="DO32" i="3"/>
  <c r="DN32" i="3"/>
  <c r="DM32" i="3"/>
  <c r="DL32" i="3"/>
  <c r="DK32" i="3"/>
  <c r="DJ32" i="3"/>
  <c r="DI32" i="3"/>
  <c r="DH32" i="3"/>
  <c r="DG32" i="3"/>
  <c r="DF32" i="3"/>
  <c r="DE32" i="3"/>
  <c r="DD32" i="3"/>
  <c r="DC32" i="3"/>
  <c r="DB32" i="3"/>
  <c r="DA32" i="3"/>
  <c r="CZ32" i="3"/>
  <c r="ER27" i="3"/>
  <c r="EQ27" i="3"/>
  <c r="EP27" i="3"/>
  <c r="EO27" i="3"/>
  <c r="EN27" i="3"/>
  <c r="EM27" i="3"/>
  <c r="EL27" i="3"/>
  <c r="EK27" i="3"/>
  <c r="EJ27" i="3"/>
  <c r="EI27" i="3"/>
  <c r="EH27" i="3"/>
  <c r="EG27" i="3"/>
  <c r="EF27" i="3"/>
  <c r="EE27" i="3"/>
  <c r="ED27" i="3"/>
  <c r="EC27" i="3"/>
  <c r="EB27" i="3"/>
  <c r="EA27" i="3"/>
  <c r="DZ27" i="3"/>
  <c r="DY27" i="3"/>
  <c r="DX27" i="3"/>
  <c r="DW27" i="3"/>
  <c r="DV27" i="3"/>
  <c r="DU27" i="3"/>
  <c r="DT27" i="3"/>
  <c r="DS27" i="3"/>
  <c r="DR27" i="3"/>
  <c r="DQ27" i="3"/>
  <c r="DP27" i="3"/>
  <c r="DO27" i="3"/>
  <c r="DN27" i="3"/>
  <c r="DM27" i="3"/>
  <c r="DL27" i="3"/>
  <c r="DK27" i="3"/>
  <c r="DJ27" i="3"/>
  <c r="DI27" i="3"/>
  <c r="DH27" i="3"/>
  <c r="DG27" i="3"/>
  <c r="DF27" i="3"/>
  <c r="DE27" i="3"/>
  <c r="DD27" i="3"/>
  <c r="DC27" i="3"/>
  <c r="DB27" i="3"/>
  <c r="DA27" i="3"/>
  <c r="CZ27" i="3"/>
  <c r="ER26" i="3"/>
  <c r="EQ26" i="3"/>
  <c r="EP26" i="3"/>
  <c r="EO26" i="3"/>
  <c r="EN26" i="3"/>
  <c r="EM26" i="3"/>
  <c r="EL26" i="3"/>
  <c r="EK26" i="3"/>
  <c r="EJ26" i="3"/>
  <c r="EI26" i="3"/>
  <c r="EH26" i="3"/>
  <c r="EG26" i="3"/>
  <c r="EF26" i="3"/>
  <c r="EE26" i="3"/>
  <c r="ED26" i="3"/>
  <c r="EC26" i="3"/>
  <c r="EB26" i="3"/>
  <c r="EA26" i="3"/>
  <c r="DZ26" i="3"/>
  <c r="DY26" i="3"/>
  <c r="DX26" i="3"/>
  <c r="DW26" i="3"/>
  <c r="DV26" i="3"/>
  <c r="DU26" i="3"/>
  <c r="DT26" i="3"/>
  <c r="DS26" i="3"/>
  <c r="DR26" i="3"/>
  <c r="DQ26" i="3"/>
  <c r="DP26" i="3"/>
  <c r="DO26" i="3"/>
  <c r="DN26" i="3"/>
  <c r="DM26" i="3"/>
  <c r="DL26" i="3"/>
  <c r="DK26" i="3"/>
  <c r="DJ26" i="3"/>
  <c r="DI26" i="3"/>
  <c r="DH26" i="3"/>
  <c r="DG26" i="3"/>
  <c r="DF26" i="3"/>
  <c r="DE26" i="3"/>
  <c r="DD26" i="3"/>
  <c r="DC26" i="3"/>
  <c r="DB26" i="3"/>
  <c r="DA26" i="3"/>
  <c r="CZ26" i="3"/>
  <c r="ER21" i="3"/>
  <c r="EQ21" i="3"/>
  <c r="EP21" i="3"/>
  <c r="EO21" i="3"/>
  <c r="EN21" i="3"/>
  <c r="EM21" i="3"/>
  <c r="EL21" i="3"/>
  <c r="EK21" i="3"/>
  <c r="EJ21" i="3"/>
  <c r="EI21" i="3"/>
  <c r="EH21" i="3"/>
  <c r="EG21" i="3"/>
  <c r="EF21" i="3"/>
  <c r="EE21" i="3"/>
  <c r="ED21" i="3"/>
  <c r="EC21" i="3"/>
  <c r="EB21" i="3"/>
  <c r="EA21" i="3"/>
  <c r="DZ21" i="3"/>
  <c r="DY21" i="3"/>
  <c r="DX21" i="3"/>
  <c r="DW21" i="3"/>
  <c r="DV21" i="3"/>
  <c r="DU21" i="3"/>
  <c r="DT21" i="3"/>
  <c r="DS21" i="3"/>
  <c r="DR21" i="3"/>
  <c r="DQ21" i="3"/>
  <c r="DP21" i="3"/>
  <c r="DO21" i="3"/>
  <c r="DN21" i="3"/>
  <c r="DM21" i="3"/>
  <c r="DL21" i="3"/>
  <c r="DK21" i="3"/>
  <c r="DJ21" i="3"/>
  <c r="DI21" i="3"/>
  <c r="DH21" i="3"/>
  <c r="DG21" i="3"/>
  <c r="DF21" i="3"/>
  <c r="DE21" i="3"/>
  <c r="DD21" i="3"/>
  <c r="DC21" i="3"/>
  <c r="DB21" i="3"/>
  <c r="DA21" i="3"/>
  <c r="CZ21" i="3"/>
  <c r="ER20" i="3"/>
  <c r="EQ20" i="3"/>
  <c r="EP20" i="3"/>
  <c r="EO20" i="3"/>
  <c r="EN20" i="3"/>
  <c r="EM20" i="3"/>
  <c r="EL20" i="3"/>
  <c r="EK20" i="3"/>
  <c r="EJ20" i="3"/>
  <c r="EI20" i="3"/>
  <c r="EH20" i="3"/>
  <c r="EG20" i="3"/>
  <c r="EF20" i="3"/>
  <c r="EE20" i="3"/>
  <c r="ED20" i="3"/>
  <c r="EC20" i="3"/>
  <c r="EB20" i="3"/>
  <c r="EA20" i="3"/>
  <c r="DZ20" i="3"/>
  <c r="DY20" i="3"/>
  <c r="DX20" i="3"/>
  <c r="DW20" i="3"/>
  <c r="DV20" i="3"/>
  <c r="DU20" i="3"/>
  <c r="DT20" i="3"/>
  <c r="DS20" i="3"/>
  <c r="DR20" i="3"/>
  <c r="DQ20" i="3"/>
  <c r="DP20" i="3"/>
  <c r="DO20" i="3"/>
  <c r="DN20" i="3"/>
  <c r="DM20" i="3"/>
  <c r="DL20" i="3"/>
  <c r="DK20" i="3"/>
  <c r="DJ20" i="3"/>
  <c r="DI20" i="3"/>
  <c r="DH20" i="3"/>
  <c r="DG20" i="3"/>
  <c r="DF20" i="3"/>
  <c r="DE20" i="3"/>
  <c r="DD20" i="3"/>
  <c r="DC20" i="3"/>
  <c r="DB20" i="3"/>
  <c r="DA20" i="3"/>
  <c r="CZ20" i="3"/>
  <c r="ER19" i="3"/>
  <c r="EQ19" i="3"/>
  <c r="EP19" i="3"/>
  <c r="EO19" i="3"/>
  <c r="EN19" i="3"/>
  <c r="EM19" i="3"/>
  <c r="EL19" i="3"/>
  <c r="EK19" i="3"/>
  <c r="EJ19" i="3"/>
  <c r="EI19" i="3"/>
  <c r="EH19" i="3"/>
  <c r="EG19" i="3"/>
  <c r="EF19" i="3"/>
  <c r="EE19" i="3"/>
  <c r="ED19" i="3"/>
  <c r="EC19" i="3"/>
  <c r="EB19" i="3"/>
  <c r="EA19" i="3"/>
  <c r="DZ19" i="3"/>
  <c r="DY19" i="3"/>
  <c r="DX19" i="3"/>
  <c r="DW19" i="3"/>
  <c r="DV19" i="3"/>
  <c r="DU19" i="3"/>
  <c r="DT19" i="3"/>
  <c r="DS19" i="3"/>
  <c r="DR19" i="3"/>
  <c r="DQ19" i="3"/>
  <c r="DP19" i="3"/>
  <c r="DO19" i="3"/>
  <c r="DN19" i="3"/>
  <c r="DM19" i="3"/>
  <c r="DL19" i="3"/>
  <c r="DK19" i="3"/>
  <c r="DJ19" i="3"/>
  <c r="DI19" i="3"/>
  <c r="DH19" i="3"/>
  <c r="DG19" i="3"/>
  <c r="DF19" i="3"/>
  <c r="DE19" i="3"/>
  <c r="DD19" i="3"/>
  <c r="DC19" i="3"/>
  <c r="DB19" i="3"/>
  <c r="DA19" i="3"/>
  <c r="CZ19" i="3"/>
  <c r="ER18" i="3"/>
  <c r="EQ18" i="3"/>
  <c r="EP18" i="3"/>
  <c r="EO18" i="3"/>
  <c r="EN18" i="3"/>
  <c r="EM18" i="3"/>
  <c r="EL18" i="3"/>
  <c r="EK18" i="3"/>
  <c r="EJ18" i="3"/>
  <c r="EI18" i="3"/>
  <c r="EH18" i="3"/>
  <c r="EG18" i="3"/>
  <c r="EF18" i="3"/>
  <c r="EE18" i="3"/>
  <c r="ED18" i="3"/>
  <c r="EC18" i="3"/>
  <c r="EB18" i="3"/>
  <c r="EA18" i="3"/>
  <c r="DZ18" i="3"/>
  <c r="DY18" i="3"/>
  <c r="DX18" i="3"/>
  <c r="DW18" i="3"/>
  <c r="DV18" i="3"/>
  <c r="DU18" i="3"/>
  <c r="DT18" i="3"/>
  <c r="DS18" i="3"/>
  <c r="DR18" i="3"/>
  <c r="DQ18" i="3"/>
  <c r="DP18" i="3"/>
  <c r="DO18" i="3"/>
  <c r="DN18" i="3"/>
  <c r="DM18" i="3"/>
  <c r="DL18" i="3"/>
  <c r="DK18" i="3"/>
  <c r="DJ18" i="3"/>
  <c r="DI18" i="3"/>
  <c r="DH18" i="3"/>
  <c r="DG18" i="3"/>
  <c r="DF18" i="3"/>
  <c r="DE18" i="3"/>
  <c r="DD18" i="3"/>
  <c r="DC18" i="3"/>
  <c r="DB18" i="3"/>
  <c r="DA18" i="3"/>
  <c r="CZ18" i="3"/>
  <c r="ER17" i="3"/>
  <c r="EQ17" i="3"/>
  <c r="EP17" i="3"/>
  <c r="EO17" i="3"/>
  <c r="EN17" i="3"/>
  <c r="EM17" i="3"/>
  <c r="EL17" i="3"/>
  <c r="EK17" i="3"/>
  <c r="EJ17" i="3"/>
  <c r="EI17" i="3"/>
  <c r="EH17" i="3"/>
  <c r="EG17" i="3"/>
  <c r="EF17" i="3"/>
  <c r="EE17" i="3"/>
  <c r="ED17" i="3"/>
  <c r="EC17" i="3"/>
  <c r="EB17" i="3"/>
  <c r="EA17" i="3"/>
  <c r="DZ17" i="3"/>
  <c r="DY17" i="3"/>
  <c r="DX17" i="3"/>
  <c r="DW17" i="3"/>
  <c r="DV17" i="3"/>
  <c r="DU17" i="3"/>
  <c r="DT17" i="3"/>
  <c r="DS17" i="3"/>
  <c r="DR17" i="3"/>
  <c r="DQ17" i="3"/>
  <c r="DP17" i="3"/>
  <c r="DO17" i="3"/>
  <c r="DN17" i="3"/>
  <c r="DM17" i="3"/>
  <c r="DL17" i="3"/>
  <c r="DK17" i="3"/>
  <c r="DJ17" i="3"/>
  <c r="DI17" i="3"/>
  <c r="DH17" i="3"/>
  <c r="DG17" i="3"/>
  <c r="DF17" i="3"/>
  <c r="DE17" i="3"/>
  <c r="DD17" i="3"/>
  <c r="DC17" i="3"/>
  <c r="DB17" i="3"/>
  <c r="DA17" i="3"/>
  <c r="CZ17" i="3"/>
  <c r="ER12" i="3"/>
  <c r="EQ12" i="3"/>
  <c r="EP12" i="3"/>
  <c r="EO12" i="3"/>
  <c r="EN12" i="3"/>
  <c r="EM12" i="3"/>
  <c r="EL12" i="3"/>
  <c r="EK12" i="3"/>
  <c r="EJ12" i="3"/>
  <c r="EI12" i="3"/>
  <c r="EH12" i="3"/>
  <c r="EG12" i="3"/>
  <c r="EF12" i="3"/>
  <c r="EE12" i="3"/>
  <c r="ED12" i="3"/>
  <c r="EC12" i="3"/>
  <c r="EB12" i="3"/>
  <c r="EA12" i="3"/>
  <c r="DZ12" i="3"/>
  <c r="DY12" i="3"/>
  <c r="DX12" i="3"/>
  <c r="DW12" i="3"/>
  <c r="DV12" i="3"/>
  <c r="DU12" i="3"/>
  <c r="DT12" i="3"/>
  <c r="DS12" i="3"/>
  <c r="DR12" i="3"/>
  <c r="DQ12" i="3"/>
  <c r="DP12" i="3"/>
  <c r="DO12" i="3"/>
  <c r="DN12" i="3"/>
  <c r="DM12" i="3"/>
  <c r="DL12" i="3"/>
  <c r="DK12" i="3"/>
  <c r="DJ12" i="3"/>
  <c r="DI12" i="3"/>
  <c r="DH12" i="3"/>
  <c r="DG12" i="3"/>
  <c r="DF12" i="3"/>
  <c r="DE12" i="3"/>
  <c r="DD12" i="3"/>
  <c r="DC12" i="3"/>
  <c r="DB12" i="3"/>
  <c r="DA12" i="3"/>
  <c r="CZ12" i="3"/>
  <c r="ER11" i="3"/>
  <c r="EQ11" i="3"/>
  <c r="EP11" i="3"/>
  <c r="EO11" i="3"/>
  <c r="EN11" i="3"/>
  <c r="EM11" i="3"/>
  <c r="EL11" i="3"/>
  <c r="EK11" i="3"/>
  <c r="EJ11" i="3"/>
  <c r="EI11" i="3"/>
  <c r="EH11" i="3"/>
  <c r="EG11" i="3"/>
  <c r="EF11" i="3"/>
  <c r="EE11" i="3"/>
  <c r="ED11" i="3"/>
  <c r="EC11" i="3"/>
  <c r="EB11" i="3"/>
  <c r="EA11" i="3"/>
  <c r="DZ11" i="3"/>
  <c r="DY11" i="3"/>
  <c r="DX11" i="3"/>
  <c r="DW11" i="3"/>
  <c r="DV11" i="3"/>
  <c r="DU11" i="3"/>
  <c r="DT11" i="3"/>
  <c r="DS11" i="3"/>
  <c r="DR11" i="3"/>
  <c r="DQ11" i="3"/>
  <c r="DP11" i="3"/>
  <c r="DO11" i="3"/>
  <c r="DN11" i="3"/>
  <c r="DM11" i="3"/>
  <c r="DL11" i="3"/>
  <c r="DK11" i="3"/>
  <c r="DJ11" i="3"/>
  <c r="DI11" i="3"/>
  <c r="DH11" i="3"/>
  <c r="DG11" i="3"/>
  <c r="DF11" i="3"/>
  <c r="DE11" i="3"/>
  <c r="DD11" i="3"/>
  <c r="DC11" i="3"/>
  <c r="DB11" i="3"/>
  <c r="DA11" i="3"/>
  <c r="CZ11" i="3"/>
  <c r="ER6" i="3"/>
  <c r="EQ6" i="3"/>
  <c r="EP6" i="3"/>
  <c r="EO6" i="3"/>
  <c r="EN6" i="3"/>
  <c r="EM6" i="3"/>
  <c r="EL6" i="3"/>
  <c r="EK6" i="3"/>
  <c r="EJ6" i="3"/>
  <c r="EI6" i="3"/>
  <c r="EH6" i="3"/>
  <c r="EG6" i="3"/>
  <c r="EF6" i="3"/>
  <c r="EE6" i="3"/>
  <c r="ED6" i="3"/>
  <c r="EC6" i="3"/>
  <c r="EB6" i="3"/>
  <c r="EA6" i="3"/>
  <c r="DZ6" i="3"/>
  <c r="DY6" i="3"/>
  <c r="DX6" i="3"/>
  <c r="DW6" i="3"/>
  <c r="DV6" i="3"/>
  <c r="DU6" i="3"/>
  <c r="DT6" i="3"/>
  <c r="DS6" i="3"/>
  <c r="DR6" i="3"/>
  <c r="DQ6" i="3"/>
  <c r="DP6" i="3"/>
  <c r="DO6" i="3"/>
  <c r="DN6" i="3"/>
  <c r="DM6" i="3"/>
  <c r="DL6" i="3"/>
  <c r="DK6" i="3"/>
  <c r="DJ6" i="3"/>
  <c r="DI6" i="3"/>
  <c r="DH6" i="3"/>
  <c r="DG6" i="3"/>
  <c r="DF6" i="3"/>
  <c r="DE6" i="3"/>
  <c r="DD6" i="3"/>
  <c r="DC6" i="3"/>
  <c r="DB6" i="3"/>
  <c r="DA6" i="3"/>
  <c r="CZ6" i="3"/>
  <c r="ER5" i="3"/>
  <c r="EQ5" i="3"/>
  <c r="EP5" i="3"/>
  <c r="EO5" i="3"/>
  <c r="EN5" i="3"/>
  <c r="EM5" i="3"/>
  <c r="EL5" i="3"/>
  <c r="EK5" i="3"/>
  <c r="EJ5" i="3"/>
  <c r="EI5" i="3"/>
  <c r="EH5" i="3"/>
  <c r="EG5" i="3"/>
  <c r="EF5" i="3"/>
  <c r="EE5" i="3"/>
  <c r="ED5" i="3"/>
  <c r="EC5" i="3"/>
  <c r="EB5" i="3"/>
  <c r="EA5" i="3"/>
  <c r="DZ5" i="3"/>
  <c r="DY5" i="3"/>
  <c r="DX5" i="3"/>
  <c r="DW5" i="3"/>
  <c r="DV5" i="3"/>
  <c r="DU5" i="3"/>
  <c r="DT5" i="3"/>
  <c r="DS5" i="3"/>
  <c r="DR5" i="3"/>
  <c r="DQ5" i="3"/>
  <c r="DP5" i="3"/>
  <c r="DO5" i="3"/>
  <c r="DN5" i="3"/>
  <c r="DM5" i="3"/>
  <c r="DL5" i="3"/>
  <c r="DK5" i="3"/>
  <c r="DJ5" i="3"/>
  <c r="DI5" i="3"/>
  <c r="DH5" i="3"/>
  <c r="DG5" i="3"/>
  <c r="DF5" i="3"/>
  <c r="DE5" i="3"/>
  <c r="DD5" i="3"/>
  <c r="DC5" i="3"/>
  <c r="DB5" i="3"/>
  <c r="DA5" i="3"/>
  <c r="CZ5" i="3"/>
  <c r="ER4" i="3"/>
  <c r="EQ4" i="3"/>
  <c r="EP4" i="3"/>
  <c r="EO4" i="3"/>
  <c r="EN4" i="3"/>
  <c r="EM4" i="3"/>
  <c r="EL4" i="3"/>
  <c r="EK4" i="3"/>
  <c r="EJ4" i="3"/>
  <c r="EI4" i="3"/>
  <c r="EH4" i="3"/>
  <c r="EG4" i="3"/>
  <c r="EF4" i="3"/>
  <c r="EE4" i="3"/>
  <c r="ED4" i="3"/>
  <c r="EC4" i="3"/>
  <c r="EB4" i="3"/>
  <c r="EA4" i="3"/>
  <c r="DZ4" i="3"/>
  <c r="DY4" i="3"/>
  <c r="DX4" i="3"/>
  <c r="DW4" i="3"/>
  <c r="DV4" i="3"/>
  <c r="DU4" i="3"/>
  <c r="DT4" i="3"/>
  <c r="DS4" i="3"/>
  <c r="DR4" i="3"/>
  <c r="DQ4" i="3"/>
  <c r="DP4" i="3"/>
  <c r="DO4" i="3"/>
  <c r="DN4" i="3"/>
  <c r="DM4" i="3"/>
  <c r="DL4" i="3"/>
  <c r="DK4" i="3"/>
  <c r="DJ4" i="3"/>
  <c r="DI4" i="3"/>
  <c r="DH4" i="3"/>
  <c r="DG4" i="3"/>
  <c r="DF4" i="3"/>
  <c r="DE4" i="3"/>
  <c r="DD4" i="3"/>
  <c r="DC4" i="3"/>
  <c r="DB4" i="3"/>
  <c r="DA4" i="3"/>
  <c r="CZ4" i="3"/>
  <c r="ER3" i="3"/>
  <c r="EQ3" i="3"/>
  <c r="EP3" i="3"/>
  <c r="EO3" i="3"/>
  <c r="EN3" i="3"/>
  <c r="EM3" i="3"/>
  <c r="EL3" i="3"/>
  <c r="EK3" i="3"/>
  <c r="EJ3" i="3"/>
  <c r="EI3" i="3"/>
  <c r="EH3" i="3"/>
  <c r="EG3" i="3"/>
  <c r="EF3" i="3"/>
  <c r="EE3" i="3"/>
  <c r="ED3" i="3"/>
  <c r="EC3" i="3"/>
  <c r="EB3" i="3"/>
  <c r="EA3" i="3"/>
  <c r="DZ3" i="3"/>
  <c r="DY3" i="3"/>
  <c r="DX3" i="3"/>
  <c r="DW3" i="3"/>
  <c r="DV3" i="3"/>
  <c r="DU3" i="3"/>
  <c r="DT3" i="3"/>
  <c r="DS3" i="3"/>
  <c r="DR3" i="3"/>
  <c r="DQ3" i="3"/>
  <c r="DP3" i="3"/>
  <c r="DO3" i="3"/>
  <c r="DN3" i="3"/>
  <c r="DM3" i="3"/>
  <c r="DL3" i="3"/>
  <c r="DK3" i="3"/>
  <c r="DJ3" i="3"/>
  <c r="DI3" i="3"/>
  <c r="DH3" i="3"/>
  <c r="DG3" i="3"/>
  <c r="DF3" i="3"/>
  <c r="DE3" i="3"/>
  <c r="DD3" i="3"/>
  <c r="DC3" i="3"/>
  <c r="DB3" i="3"/>
  <c r="DA3" i="3"/>
  <c r="CZ3" i="3"/>
  <c r="EG2" i="3"/>
  <c r="EF2" i="3"/>
  <c r="BA2" i="3"/>
  <c r="BA59" i="3" s="1"/>
  <c r="AZ2" i="3"/>
  <c r="AZ4" i="3" s="1"/>
  <c r="CV4" i="3" s="1"/>
  <c r="AY2" i="3"/>
  <c r="AY21" i="3" s="1"/>
  <c r="AX2" i="3"/>
  <c r="AW2" i="3"/>
  <c r="AW40" i="3" s="1"/>
  <c r="AV2" i="3"/>
  <c r="AV13" i="3" s="1"/>
  <c r="AU2" i="3"/>
  <c r="AU22" i="3" s="1"/>
  <c r="AT2" i="3"/>
  <c r="AT99" i="3" s="1"/>
  <c r="AS2" i="3"/>
  <c r="AS16" i="3" s="1"/>
  <c r="AR2" i="3"/>
  <c r="AR99" i="3" s="1"/>
  <c r="AQ2" i="3"/>
  <c r="AP2" i="3"/>
  <c r="CL2" i="3" s="1"/>
  <c r="AO2" i="3"/>
  <c r="CK2" i="3" s="1"/>
  <c r="AN2" i="3"/>
  <c r="AM2" i="3"/>
  <c r="AM46" i="3" s="1"/>
  <c r="AL2" i="3"/>
  <c r="AL46" i="3" s="1"/>
  <c r="AK2" i="3"/>
  <c r="AK79" i="3" s="1"/>
  <c r="AJ2" i="3"/>
  <c r="AJ78" i="3" s="1"/>
  <c r="AI2" i="3"/>
  <c r="AI92" i="3" s="1"/>
  <c r="AH2" i="3"/>
  <c r="AH85" i="3" s="1"/>
  <c r="AG2" i="3"/>
  <c r="AG96" i="3" s="1"/>
  <c r="AF2" i="3"/>
  <c r="AE2" i="3"/>
  <c r="AE33" i="3" s="1"/>
  <c r="AD2" i="3"/>
  <c r="AD53" i="3" s="1"/>
  <c r="AC2" i="3"/>
  <c r="AC81" i="3" s="1"/>
  <c r="AB2" i="3"/>
  <c r="AB33" i="3" s="1"/>
  <c r="AA2" i="3"/>
  <c r="AA85" i="3" s="1"/>
  <c r="Z2" i="3"/>
  <c r="Z85" i="3" s="1"/>
  <c r="Y2" i="3"/>
  <c r="X2" i="3"/>
  <c r="W2" i="3"/>
  <c r="V2" i="3"/>
  <c r="V71" i="3" s="1"/>
  <c r="U2" i="3"/>
  <c r="U28" i="3" s="1"/>
  <c r="T2" i="3"/>
  <c r="T45" i="3" s="1"/>
  <c r="S2" i="3"/>
  <c r="R2" i="3"/>
  <c r="R62" i="3" s="1"/>
  <c r="Q2" i="3"/>
  <c r="Q47" i="3" s="1"/>
  <c r="P2" i="3"/>
  <c r="P59" i="3" s="1"/>
  <c r="O2" i="3"/>
  <c r="N2" i="3"/>
  <c r="N64" i="3" s="1"/>
  <c r="M2" i="3"/>
  <c r="M24" i="3" s="1"/>
  <c r="L2" i="3"/>
  <c r="L19" i="3" s="1"/>
  <c r="BH19" i="3" s="1"/>
  <c r="K2" i="3"/>
  <c r="K24" i="3" s="1"/>
  <c r="J2" i="3"/>
  <c r="J62" i="3" s="1"/>
  <c r="I2" i="3"/>
  <c r="I62" i="3" s="1"/>
  <c r="BE62" i="3" s="1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U3" i="14"/>
  <c r="U44" i="14" s="1"/>
  <c r="T3" i="14"/>
  <c r="T44" i="14" s="1"/>
  <c r="S3" i="14"/>
  <c r="S44" i="14" s="1"/>
  <c r="R3" i="14"/>
  <c r="R44" i="14" s="1"/>
  <c r="Q3" i="14"/>
  <c r="Q44" i="14" s="1"/>
  <c r="P3" i="14"/>
  <c r="P44" i="14" s="1"/>
  <c r="O3" i="14"/>
  <c r="O44" i="14" s="1"/>
  <c r="N3" i="14"/>
  <c r="N44" i="14" s="1"/>
  <c r="M3" i="14"/>
  <c r="M44" i="14" s="1"/>
  <c r="L3" i="14"/>
  <c r="L44" i="14" s="1"/>
  <c r="K3" i="14"/>
  <c r="K44" i="14" s="1"/>
  <c r="J3" i="14"/>
  <c r="J44" i="14" s="1"/>
  <c r="I3" i="14"/>
  <c r="I44" i="14" s="1"/>
  <c r="H3" i="14"/>
  <c r="H44" i="14" s="1"/>
  <c r="G3" i="14"/>
  <c r="G44" i="14" s="1"/>
  <c r="F3" i="14"/>
  <c r="F44" i="14" s="1"/>
  <c r="E3" i="14"/>
  <c r="E44" i="14" s="1"/>
  <c r="M4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U3" i="13"/>
  <c r="U44" i="13" s="1"/>
  <c r="T3" i="13"/>
  <c r="T44" i="13" s="1"/>
  <c r="S3" i="13"/>
  <c r="S44" i="13" s="1"/>
  <c r="R3" i="13"/>
  <c r="R44" i="13" s="1"/>
  <c r="Q3" i="13"/>
  <c r="Q44" i="13" s="1"/>
  <c r="P3" i="13"/>
  <c r="P44" i="13" s="1"/>
  <c r="O3" i="13"/>
  <c r="O44" i="13" s="1"/>
  <c r="N3" i="13"/>
  <c r="N44" i="13" s="1"/>
  <c r="M3" i="13"/>
  <c r="L3" i="13"/>
  <c r="L44" i="13" s="1"/>
  <c r="K3" i="13"/>
  <c r="K44" i="13" s="1"/>
  <c r="J3" i="13"/>
  <c r="J44" i="13" s="1"/>
  <c r="I3" i="13"/>
  <c r="I44" i="13" s="1"/>
  <c r="H3" i="13"/>
  <c r="H44" i="13" s="1"/>
  <c r="G3" i="13"/>
  <c r="G44" i="13" s="1"/>
  <c r="F3" i="13"/>
  <c r="F44" i="13" s="1"/>
  <c r="E3" i="13"/>
  <c r="E44" i="13" s="1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P44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U3" i="12"/>
  <c r="U44" i="12" s="1"/>
  <c r="T3" i="12"/>
  <c r="T44" i="12" s="1"/>
  <c r="S3" i="12"/>
  <c r="S44" i="12" s="1"/>
  <c r="R3" i="12"/>
  <c r="R44" i="12" s="1"/>
  <c r="Q3" i="12"/>
  <c r="Q44" i="12" s="1"/>
  <c r="P3" i="12"/>
  <c r="O3" i="12"/>
  <c r="O44" i="12" s="1"/>
  <c r="N3" i="12"/>
  <c r="N44" i="12" s="1"/>
  <c r="M3" i="12"/>
  <c r="M44" i="12" s="1"/>
  <c r="L3" i="12"/>
  <c r="L44" i="12" s="1"/>
  <c r="K3" i="12"/>
  <c r="K44" i="12" s="1"/>
  <c r="J3" i="12"/>
  <c r="J44" i="12" s="1"/>
  <c r="I3" i="12"/>
  <c r="I44" i="12" s="1"/>
  <c r="H3" i="12"/>
  <c r="H44" i="12" s="1"/>
  <c r="G3" i="12"/>
  <c r="G44" i="12" s="1"/>
  <c r="F3" i="12"/>
  <c r="F44" i="12" s="1"/>
  <c r="E3" i="12"/>
  <c r="E44" i="12" s="1"/>
  <c r="P44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U3" i="11"/>
  <c r="U44" i="11" s="1"/>
  <c r="T3" i="11"/>
  <c r="T44" i="11" s="1"/>
  <c r="S3" i="11"/>
  <c r="S44" i="11" s="1"/>
  <c r="R3" i="11"/>
  <c r="R44" i="11" s="1"/>
  <c r="Q3" i="11"/>
  <c r="Q44" i="11" s="1"/>
  <c r="P3" i="11"/>
  <c r="O3" i="11"/>
  <c r="O44" i="11" s="1"/>
  <c r="N3" i="11"/>
  <c r="N44" i="11" s="1"/>
  <c r="M3" i="11"/>
  <c r="M44" i="11" s="1"/>
  <c r="L3" i="11"/>
  <c r="L44" i="11" s="1"/>
  <c r="K3" i="11"/>
  <c r="K44" i="11" s="1"/>
  <c r="J3" i="11"/>
  <c r="J44" i="11" s="1"/>
  <c r="I3" i="11"/>
  <c r="I44" i="11" s="1"/>
  <c r="H3" i="11"/>
  <c r="H44" i="11" s="1"/>
  <c r="G3" i="11"/>
  <c r="G44" i="11" s="1"/>
  <c r="F3" i="11"/>
  <c r="F44" i="11" s="1"/>
  <c r="E3" i="11"/>
  <c r="E44" i="11" s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AI43" i="1"/>
  <c r="M42" i="6"/>
  <c r="L42" i="6"/>
  <c r="K42" i="6"/>
  <c r="J42" i="6"/>
  <c r="I42" i="6"/>
  <c r="H42" i="6"/>
  <c r="C40" i="6"/>
  <c r="C140" i="3"/>
  <c r="BD135" i="3"/>
  <c r="BD134" i="3"/>
  <c r="BD133" i="3"/>
  <c r="BD132" i="3"/>
  <c r="BD131" i="3"/>
  <c r="BD130" i="3"/>
  <c r="BD129" i="3"/>
  <c r="BD128" i="3"/>
  <c r="BD127" i="3"/>
  <c r="BD126" i="3"/>
  <c r="BD125" i="3"/>
  <c r="BD124" i="3"/>
  <c r="BD123" i="3"/>
  <c r="BD122" i="3"/>
  <c r="BD121" i="3"/>
  <c r="BD120" i="3"/>
  <c r="BD119" i="3"/>
  <c r="BD118" i="3"/>
  <c r="BD117" i="3"/>
  <c r="BD116" i="3"/>
  <c r="BD115" i="3"/>
  <c r="BD114" i="3"/>
  <c r="BD113" i="3"/>
  <c r="BD112" i="3"/>
  <c r="BD111" i="3"/>
  <c r="BD110" i="3"/>
  <c r="BD109" i="3"/>
  <c r="BD108" i="3"/>
  <c r="BD107" i="3"/>
  <c r="BD106" i="3"/>
  <c r="BD105" i="3"/>
  <c r="C40" i="3"/>
  <c r="A40" i="1"/>
  <c r="BD140" i="3"/>
  <c r="D140" i="3"/>
  <c r="V42" i="6"/>
  <c r="U42" i="6"/>
  <c r="T42" i="6"/>
  <c r="S42" i="6"/>
  <c r="R42" i="6"/>
  <c r="Q42" i="6"/>
  <c r="P42" i="6"/>
  <c r="O42" i="6"/>
  <c r="N42" i="6"/>
  <c r="AX42" i="8"/>
  <c r="H34" i="8"/>
  <c r="AB50" i="8"/>
  <c r="AB43" i="8"/>
  <c r="AU44" i="8"/>
  <c r="O49" i="8"/>
  <c r="AV38" i="8"/>
  <c r="AV57" i="8"/>
  <c r="AS36" i="8"/>
  <c r="AE55" i="8"/>
  <c r="AJ54" i="8"/>
  <c r="P44" i="8"/>
  <c r="AI38" i="8"/>
  <c r="AB52" i="8"/>
  <c r="AE37" i="8"/>
  <c r="AP41" i="8"/>
  <c r="T57" i="8"/>
  <c r="AR48" i="8"/>
  <c r="AV49" i="8"/>
  <c r="AX49" i="8"/>
  <c r="AV36" i="8"/>
  <c r="AJ35" i="8"/>
  <c r="AE52" i="8"/>
  <c r="H49" i="8"/>
  <c r="AB57" i="8"/>
  <c r="AB35" i="8"/>
  <c r="AV41" i="8"/>
  <c r="AQ51" i="8"/>
  <c r="P57" i="8"/>
  <c r="AJ42" i="8"/>
  <c r="O39" i="8"/>
  <c r="AJ40" i="8"/>
  <c r="AB34" i="8"/>
  <c r="AR36" i="8"/>
  <c r="H51" i="8"/>
  <c r="P35" i="8"/>
  <c r="AV58" i="8"/>
  <c r="AJ44" i="8"/>
  <c r="X36" i="8"/>
  <c r="AT41" i="8"/>
  <c r="AJ36" i="8"/>
  <c r="P43" i="8"/>
  <c r="Z53" i="8"/>
  <c r="X42" i="8"/>
  <c r="H40" i="8"/>
  <c r="H42" i="8"/>
  <c r="AQ53" i="8"/>
  <c r="AP55" i="8"/>
  <c r="AV35" i="8"/>
  <c r="K36" i="8"/>
  <c r="H41" i="8"/>
  <c r="H50" i="8"/>
  <c r="AJ41" i="8"/>
  <c r="AA41" i="8"/>
  <c r="AQ44" i="8"/>
  <c r="AT36" i="8"/>
  <c r="P36" i="8"/>
  <c r="AJ52" i="8"/>
  <c r="AB58" i="8"/>
  <c r="AB51" i="8"/>
  <c r="AJ34" i="8"/>
  <c r="AB36" i="8"/>
  <c r="P40" i="8"/>
  <c r="AB39" i="8"/>
  <c r="AA48" i="8"/>
  <c r="AU35" i="8"/>
  <c r="AX44" i="8"/>
  <c r="AW34" i="8"/>
  <c r="H43" i="8"/>
  <c r="AX58" i="8"/>
  <c r="AV39" i="8"/>
  <c r="AU42" i="8"/>
  <c r="AU40" i="8"/>
  <c r="O40" i="8"/>
  <c r="AR37" i="8"/>
  <c r="AU48" i="8"/>
  <c r="AV34" i="8"/>
  <c r="AV42" i="8"/>
  <c r="AX34" i="8"/>
  <c r="AV50" i="8"/>
  <c r="AJ56" i="8"/>
  <c r="AB55" i="8"/>
  <c r="AI52" i="8"/>
  <c r="H56" i="8"/>
  <c r="AQ35" i="8"/>
  <c r="AV56" i="8"/>
  <c r="H35" i="8"/>
  <c r="AI54" i="8"/>
  <c r="AB54" i="8"/>
  <c r="P53" i="8"/>
  <c r="AV52" i="8"/>
  <c r="AV55" i="8"/>
  <c r="AB40" i="8"/>
  <c r="O56" i="8"/>
  <c r="AW42" i="8"/>
  <c r="AE39" i="8"/>
  <c r="H44" i="8"/>
  <c r="AR40" i="8"/>
  <c r="AU41" i="8"/>
  <c r="AT53" i="8"/>
  <c r="AV37" i="8"/>
  <c r="H48" i="8"/>
  <c r="H39" i="8"/>
  <c r="AX51" i="8"/>
  <c r="AW37" i="8"/>
  <c r="AV54" i="8"/>
  <c r="AB44" i="8"/>
  <c r="P52" i="8"/>
  <c r="AB41" i="8"/>
  <c r="AJ57" i="8"/>
  <c r="P54" i="8"/>
  <c r="AR53" i="8"/>
  <c r="AJ43" i="8"/>
  <c r="AA35" i="8"/>
  <c r="AU43" i="8"/>
  <c r="AR51" i="8"/>
  <c r="AV44" i="8"/>
  <c r="AU57" i="8"/>
  <c r="K53" i="8"/>
  <c r="AB42" i="8"/>
  <c r="AE38" i="8"/>
  <c r="P39" i="8"/>
  <c r="AA34" i="8"/>
  <c r="AW51" i="8"/>
  <c r="AI56" i="8"/>
  <c r="AX36" i="8"/>
  <c r="P49" i="8"/>
  <c r="AR35" i="8"/>
  <c r="AL39" i="8"/>
  <c r="AD35" i="8"/>
  <c r="AL40" i="8"/>
  <c r="AC44" i="8"/>
  <c r="I40" i="8"/>
  <c r="AL36" i="8"/>
  <c r="Q44" i="8"/>
  <c r="AL44" i="8"/>
  <c r="AL57" i="8"/>
  <c r="AD42" i="8"/>
  <c r="AL38" i="8"/>
  <c r="I49" i="8"/>
  <c r="AC43" i="8"/>
  <c r="AL37" i="8"/>
  <c r="AL43" i="8"/>
  <c r="AN36" i="8"/>
  <c r="M37" i="8"/>
  <c r="Q57" i="8"/>
  <c r="AC40" i="8"/>
  <c r="AL42" i="8"/>
  <c r="AL50" i="8"/>
  <c r="N35" i="8"/>
  <c r="AH37" i="8"/>
  <c r="I53" i="8"/>
  <c r="J41" i="8"/>
  <c r="AL52" i="8"/>
  <c r="AF34" i="8"/>
  <c r="AL51" i="8"/>
  <c r="AL35" i="8"/>
  <c r="AL34" i="8"/>
  <c r="J35" i="8"/>
  <c r="AC42" i="8"/>
  <c r="AK37" i="8"/>
  <c r="AL41" i="8"/>
  <c r="AD43" i="8"/>
  <c r="AL58" i="8"/>
  <c r="AD56" i="8"/>
  <c r="AC37" i="8"/>
  <c r="AH40" i="8"/>
  <c r="AH54" i="8"/>
  <c r="AL56" i="8"/>
  <c r="AC35" i="8"/>
  <c r="AC56" i="8"/>
  <c r="N56" i="8"/>
  <c r="AM43" i="8"/>
  <c r="I55" i="8"/>
  <c r="V58" i="8"/>
  <c r="AH56" i="8"/>
  <c r="I42" i="8"/>
  <c r="M55" i="8"/>
  <c r="J43" i="8"/>
  <c r="R42" i="8"/>
  <c r="I51" i="8"/>
  <c r="I41" i="8"/>
  <c r="I43" i="8"/>
  <c r="AC58" i="8"/>
  <c r="J38" i="8"/>
  <c r="I35" i="8"/>
  <c r="I58" i="8"/>
  <c r="J58" i="8"/>
  <c r="U39" i="8"/>
  <c r="AL49" i="8"/>
  <c r="AD38" i="8"/>
  <c r="AH48" i="8"/>
  <c r="AG58" i="8"/>
  <c r="AC34" i="8"/>
  <c r="I54" i="8"/>
  <c r="AL53" i="8"/>
  <c r="AL48" i="8"/>
  <c r="AL55" i="8"/>
  <c r="J37" i="8"/>
  <c r="AC52" i="8"/>
  <c r="EC2" i="5" l="1"/>
  <c r="EC11" i="5" s="1"/>
  <c r="BT3" i="5"/>
  <c r="CA33" i="3"/>
  <c r="BX33" i="3"/>
  <c r="CU21" i="3"/>
  <c r="L18" i="5"/>
  <c r="DQ7" i="5"/>
  <c r="DQ16" i="5" s="1"/>
  <c r="Q19" i="5"/>
  <c r="L19" i="5"/>
  <c r="L21" i="5"/>
  <c r="CK3" i="5"/>
  <c r="EH2" i="5"/>
  <c r="EH11" i="5" s="1"/>
  <c r="DO2" i="5"/>
  <c r="DO11" i="5" s="1"/>
  <c r="BR3" i="5"/>
  <c r="EI2" i="5"/>
  <c r="EI11" i="5" s="1"/>
  <c r="AY21" i="5"/>
  <c r="DE2" i="5"/>
  <c r="DE11" i="5" s="1"/>
  <c r="BH3" i="5"/>
  <c r="N21" i="5"/>
  <c r="AH20" i="5"/>
  <c r="I21" i="5"/>
  <c r="AC21" i="5"/>
  <c r="AW21" i="5"/>
  <c r="AC25" i="5"/>
  <c r="AW25" i="5"/>
  <c r="DI7" i="5"/>
  <c r="DI16" i="5" s="1"/>
  <c r="I29" i="5"/>
  <c r="AW29" i="5"/>
  <c r="AR30" i="5"/>
  <c r="EH8" i="5"/>
  <c r="EH17" i="5" s="1"/>
  <c r="I37" i="5"/>
  <c r="AC37" i="5"/>
  <c r="AW37" i="5"/>
  <c r="AR38" i="5"/>
  <c r="AC46" i="5"/>
  <c r="X47" i="5"/>
  <c r="AR43" i="5"/>
  <c r="S43" i="5"/>
  <c r="AM43" i="5"/>
  <c r="N44" i="5"/>
  <c r="AH45" i="5"/>
  <c r="J18" i="5"/>
  <c r="AS23" i="5"/>
  <c r="J26" i="5"/>
  <c r="AX22" i="5"/>
  <c r="AN36" i="5"/>
  <c r="AS35" i="5"/>
  <c r="AD46" i="5"/>
  <c r="CI2" i="3"/>
  <c r="ED2" i="3" s="1"/>
  <c r="EJ5" i="5"/>
  <c r="EJ14" i="5" s="1"/>
  <c r="P20" i="5"/>
  <c r="EE5" i="5"/>
  <c r="EE14" i="5" s="1"/>
  <c r="K19" i="5"/>
  <c r="AY20" i="5"/>
  <c r="AT23" i="5"/>
  <c r="P24" i="5"/>
  <c r="AY26" i="5"/>
  <c r="DK7" i="5"/>
  <c r="DK16" i="5" s="1"/>
  <c r="K29" i="5"/>
  <c r="AT29" i="5"/>
  <c r="AO40" i="5"/>
  <c r="DF8" i="5"/>
  <c r="DF17" i="5" s="1"/>
  <c r="AT35" i="5"/>
  <c r="AE46" i="5"/>
  <c r="AT42" i="5"/>
  <c r="AO45" i="5"/>
  <c r="AJ46" i="5"/>
  <c r="BS3" i="5"/>
  <c r="BQ2" i="3"/>
  <c r="DL2" i="3" s="1"/>
  <c r="BR2" i="3"/>
  <c r="DM2" i="3" s="1"/>
  <c r="BV2" i="3"/>
  <c r="DQ2" i="3" s="1"/>
  <c r="BY2" i="3"/>
  <c r="DT2" i="3" s="1"/>
  <c r="CE3" i="5"/>
  <c r="CA2" i="3"/>
  <c r="DV2" i="3" s="1"/>
  <c r="BG2" i="3"/>
  <c r="DB2" i="3" s="1"/>
  <c r="DR2" i="5"/>
  <c r="DR11" i="5" s="1"/>
  <c r="BJ2" i="3"/>
  <c r="DE2" i="3" s="1"/>
  <c r="BK2" i="3"/>
  <c r="DF2" i="3" s="1"/>
  <c r="BK3" i="5"/>
  <c r="EA2" i="5"/>
  <c r="EA11" i="5" s="1"/>
  <c r="BZ2" i="3"/>
  <c r="DU2" i="3" s="1"/>
  <c r="BE2" i="3"/>
  <c r="CZ2" i="3" s="1"/>
  <c r="DK2" i="5"/>
  <c r="DK11" i="5" s="1"/>
  <c r="BF2" i="3"/>
  <c r="DA2" i="3" s="1"/>
  <c r="BH2" i="3"/>
  <c r="DC2" i="3" s="1"/>
  <c r="BI2" i="3"/>
  <c r="DD2" i="3" s="1"/>
  <c r="BI3" i="5"/>
  <c r="BJ3" i="5"/>
  <c r="DS2" i="5"/>
  <c r="DS11" i="5" s="1"/>
  <c r="BP2" i="3"/>
  <c r="DK2" i="3" s="1"/>
  <c r="BL3" i="5"/>
  <c r="AU19" i="5"/>
  <c r="AZ22" i="5"/>
  <c r="AK33" i="5"/>
  <c r="EP7" i="5"/>
  <c r="EP16" i="5" s="1"/>
  <c r="AZ37" i="5"/>
  <c r="AP43" i="5"/>
  <c r="EK5" i="5"/>
  <c r="EK14" i="5" s="1"/>
  <c r="AZ21" i="5"/>
  <c r="AU23" i="5"/>
  <c r="AP34" i="5"/>
  <c r="AZ32" i="5"/>
  <c r="AK37" i="5"/>
  <c r="AU41" i="5"/>
  <c r="AK44" i="5"/>
  <c r="AV22" i="5"/>
  <c r="AV38" i="5"/>
  <c r="AM44" i="5"/>
  <c r="AY30" i="5"/>
  <c r="AT37" i="5"/>
  <c r="ET2" i="5"/>
  <c r="ET11" i="5" s="1"/>
  <c r="CW3" i="5"/>
  <c r="EU2" i="5"/>
  <c r="EU11" i="5" s="1"/>
  <c r="CX3" i="5"/>
  <c r="AQ86" i="3"/>
  <c r="CM2" i="3"/>
  <c r="EH2" i="3" s="1"/>
  <c r="AN22" i="3"/>
  <c r="CJ2" i="3"/>
  <c r="EE2" i="3" s="1"/>
  <c r="ES2" i="5"/>
  <c r="ES11" i="5" s="1"/>
  <c r="CV3" i="5"/>
  <c r="CN2" i="3"/>
  <c r="EI2" i="3" s="1"/>
  <c r="CO2" i="3"/>
  <c r="EJ2" i="3" s="1"/>
  <c r="CP2" i="3"/>
  <c r="EK2" i="3" s="1"/>
  <c r="CJ3" i="5"/>
  <c r="CQ2" i="3"/>
  <c r="EL2" i="3" s="1"/>
  <c r="CR2" i="3"/>
  <c r="EM2" i="3" s="1"/>
  <c r="CH2" i="3"/>
  <c r="EC2" i="3" s="1"/>
  <c r="CI3" i="5"/>
  <c r="H30" i="5"/>
  <c r="M25" i="5"/>
  <c r="K18" i="5"/>
  <c r="AW33" i="5"/>
  <c r="N40" i="5"/>
  <c r="AM47" i="5"/>
  <c r="N48" i="5"/>
  <c r="BX3" i="5"/>
  <c r="DU2" i="5"/>
  <c r="DU11" i="5" s="1"/>
  <c r="BZ3" i="5"/>
  <c r="DW2" i="5"/>
  <c r="DW11" i="5" s="1"/>
  <c r="AU26" i="5"/>
  <c r="AZ33" i="5"/>
  <c r="AU34" i="5"/>
  <c r="AU35" i="5"/>
  <c r="AU37" i="5"/>
  <c r="AP39" i="5"/>
  <c r="AK40" i="5"/>
  <c r="L45" i="5"/>
  <c r="AF45" i="5"/>
  <c r="DX2" i="5"/>
  <c r="DX11" i="5" s="1"/>
  <c r="CA3" i="5"/>
  <c r="AV26" i="5"/>
  <c r="AV34" i="5"/>
  <c r="DT2" i="5"/>
  <c r="DT11" i="5" s="1"/>
  <c r="M20" i="5"/>
  <c r="AG20" i="5"/>
  <c r="H21" i="5"/>
  <c r="AB21" i="5"/>
  <c r="AV21" i="5"/>
  <c r="H25" i="5"/>
  <c r="AB25" i="5"/>
  <c r="AV25" i="5"/>
  <c r="H29" i="5"/>
  <c r="AB29" i="5"/>
  <c r="AV29" i="5"/>
  <c r="W30" i="5"/>
  <c r="AQ30" i="5"/>
  <c r="W34" i="5"/>
  <c r="AQ34" i="5"/>
  <c r="AL40" i="5"/>
  <c r="H37" i="5"/>
  <c r="AB37" i="5"/>
  <c r="AV37" i="5"/>
  <c r="W38" i="5"/>
  <c r="AQ38" i="5"/>
  <c r="AV42" i="5"/>
  <c r="R43" i="5"/>
  <c r="AL43" i="5"/>
  <c r="M44" i="5"/>
  <c r="AG44" i="5"/>
  <c r="M48" i="5"/>
  <c r="AG48" i="5"/>
  <c r="J45" i="5"/>
  <c r="Y46" i="5"/>
  <c r="AI48" i="5"/>
  <c r="BY3" i="5"/>
  <c r="DV2" i="5"/>
  <c r="DV11" i="5" s="1"/>
  <c r="K24" i="5"/>
  <c r="K25" i="5"/>
  <c r="AT26" i="5"/>
  <c r="AO31" i="5"/>
  <c r="K33" i="5"/>
  <c r="AY33" i="5"/>
  <c r="Z34" i="5"/>
  <c r="AT34" i="5"/>
  <c r="AY36" i="5"/>
  <c r="AY37" i="5"/>
  <c r="AO39" i="5"/>
  <c r="P40" i="5"/>
  <c r="AJ40" i="5"/>
  <c r="AE45" i="5"/>
  <c r="X26" i="5"/>
  <c r="X34" i="5"/>
  <c r="AH40" i="5"/>
  <c r="AH48" i="5"/>
  <c r="AA26" i="5"/>
  <c r="AP37" i="5"/>
  <c r="AP40" i="5"/>
  <c r="V39" i="5"/>
  <c r="H26" i="5"/>
  <c r="AQ39" i="5"/>
  <c r="AR31" i="5"/>
  <c r="EA6" i="5"/>
  <c r="EA15" i="5" s="1"/>
  <c r="AF49" i="3"/>
  <c r="CB49" i="3" s="1"/>
  <c r="CB2" i="3"/>
  <c r="DW2" i="3" s="1"/>
  <c r="K28" i="5"/>
  <c r="CC2" i="3"/>
  <c r="DX2" i="3" s="1"/>
  <c r="L28" i="5"/>
  <c r="CD2" i="3"/>
  <c r="DY2" i="3" s="1"/>
  <c r="BF3" i="5"/>
  <c r="CE2" i="3"/>
  <c r="DZ2" i="3" s="1"/>
  <c r="BG3" i="5"/>
  <c r="AJ47" i="5"/>
  <c r="AI41" i="5"/>
  <c r="AN44" i="5"/>
  <c r="BL2" i="3"/>
  <c r="DG2" i="3" s="1"/>
  <c r="AY24" i="5"/>
  <c r="AT27" i="5"/>
  <c r="AJ41" i="5"/>
  <c r="Z47" i="5"/>
  <c r="BM2" i="3"/>
  <c r="DH2" i="3" s="1"/>
  <c r="AZ24" i="5"/>
  <c r="AP24" i="5"/>
  <c r="BN2" i="3"/>
  <c r="DI2" i="3" s="1"/>
  <c r="S45" i="3"/>
  <c r="BO2" i="3"/>
  <c r="DJ2" i="3" s="1"/>
  <c r="AY40" i="5"/>
  <c r="AE47" i="5"/>
  <c r="AU27" i="5"/>
  <c r="W29" i="3"/>
  <c r="BS2" i="3"/>
  <c r="DN2" i="3" s="1"/>
  <c r="CB3" i="5"/>
  <c r="CC3" i="5"/>
  <c r="Y13" i="3"/>
  <c r="BU2" i="3"/>
  <c r="DP2" i="3" s="1"/>
  <c r="X85" i="3"/>
  <c r="BT2" i="3"/>
  <c r="DO2" i="3" s="1"/>
  <c r="BX2" i="3"/>
  <c r="DS2" i="3" s="1"/>
  <c r="BO3" i="5"/>
  <c r="BP3" i="5"/>
  <c r="BQ3" i="5"/>
  <c r="AQ26" i="5"/>
  <c r="AL31" i="5"/>
  <c r="AC29" i="5"/>
  <c r="AC30" i="5"/>
  <c r="AC34" i="5"/>
  <c r="X30" i="5"/>
  <c r="DS7" i="5"/>
  <c r="DS16" i="5" s="1"/>
  <c r="AW44" i="5"/>
  <c r="AW48" i="5"/>
  <c r="AW41" i="5"/>
  <c r="AR46" i="5"/>
  <c r="T21" i="5"/>
  <c r="DO5" i="5"/>
  <c r="DO14" i="5" s="1"/>
  <c r="T19" i="5"/>
  <c r="T20" i="5"/>
  <c r="T25" i="5"/>
  <c r="DO6" i="5"/>
  <c r="DO15" i="5" s="1"/>
  <c r="T26" i="5"/>
  <c r="T23" i="5"/>
  <c r="T24" i="5"/>
  <c r="EI7" i="5"/>
  <c r="EI16" i="5" s="1"/>
  <c r="AN29" i="5"/>
  <c r="AN33" i="5"/>
  <c r="AN30" i="5"/>
  <c r="AN34" i="5"/>
  <c r="AN27" i="5"/>
  <c r="AN28" i="5"/>
  <c r="J33" i="5"/>
  <c r="O40" i="5"/>
  <c r="T41" i="5"/>
  <c r="T45" i="5"/>
  <c r="T42" i="5"/>
  <c r="T46" i="5"/>
  <c r="T43" i="5"/>
  <c r="T44" i="5"/>
  <c r="AN41" i="5"/>
  <c r="AN45" i="5"/>
  <c r="AN42" i="5"/>
  <c r="AN46" i="5"/>
  <c r="AN43" i="5"/>
  <c r="AN48" i="5"/>
  <c r="AI42" i="5"/>
  <c r="AI46" i="5"/>
  <c r="AI43" i="5"/>
  <c r="AI47" i="5"/>
  <c r="AI44" i="5"/>
  <c r="AE23" i="5"/>
  <c r="AE22" i="5"/>
  <c r="AE26" i="5"/>
  <c r="AE24" i="5"/>
  <c r="AE25" i="5"/>
  <c r="AJ32" i="5"/>
  <c r="P38" i="5"/>
  <c r="P35" i="5"/>
  <c r="P36" i="5"/>
  <c r="P39" i="5"/>
  <c r="P37" i="5"/>
  <c r="DK8" i="5"/>
  <c r="DK17" i="5" s="1"/>
  <c r="K43" i="5"/>
  <c r="K41" i="5"/>
  <c r="K47" i="5"/>
  <c r="K44" i="5"/>
  <c r="K42" i="5"/>
  <c r="K46" i="5"/>
  <c r="K48" i="5"/>
  <c r="AY45" i="5"/>
  <c r="H34" i="5"/>
  <c r="Q32" i="5"/>
  <c r="V37" i="5"/>
  <c r="V40" i="5"/>
  <c r="V36" i="5"/>
  <c r="V35" i="5"/>
  <c r="V38" i="5"/>
  <c r="DQ8" i="5"/>
  <c r="DQ17" i="5" s="1"/>
  <c r="AZ35" i="5"/>
  <c r="AZ39" i="5"/>
  <c r="AZ40" i="5"/>
  <c r="AZ38" i="5"/>
  <c r="EU8" i="5"/>
  <c r="EU17" i="5" s="1"/>
  <c r="AZ43" i="5"/>
  <c r="AZ47" i="5"/>
  <c r="AZ41" i="5"/>
  <c r="AZ44" i="5"/>
  <c r="AZ42" i="5"/>
  <c r="AZ46" i="5"/>
  <c r="AZ48" i="5"/>
  <c r="AU46" i="5"/>
  <c r="AL20" i="5"/>
  <c r="R22" i="5"/>
  <c r="R24" i="5"/>
  <c r="W29" i="5"/>
  <c r="W33" i="5"/>
  <c r="W27" i="5"/>
  <c r="AG33" i="5"/>
  <c r="M45" i="5"/>
  <c r="AM40" i="5"/>
  <c r="S20" i="5"/>
  <c r="N29" i="5"/>
  <c r="AC38" i="5"/>
  <c r="AW42" i="5"/>
  <c r="EO7" i="5"/>
  <c r="EO16" i="5" s="1"/>
  <c r="AU33" i="5"/>
  <c r="DH5" i="5"/>
  <c r="DH14" i="5" s="1"/>
  <c r="AF46" i="5"/>
  <c r="AO43" i="5"/>
  <c r="AT39" i="5"/>
  <c r="AP36" i="5"/>
  <c r="AT33" i="5"/>
  <c r="I30" i="5"/>
  <c r="AX26" i="5"/>
  <c r="Q20" i="5"/>
  <c r="AQ21" i="5"/>
  <c r="EL5" i="5"/>
  <c r="EL14" i="5" s="1"/>
  <c r="AQ18" i="5"/>
  <c r="EL6" i="5"/>
  <c r="EL15" i="5" s="1"/>
  <c r="AQ25" i="5"/>
  <c r="AG22" i="5"/>
  <c r="AG24" i="5"/>
  <c r="M27" i="5"/>
  <c r="M31" i="5"/>
  <c r="DH7" i="5"/>
  <c r="DH16" i="5" s="1"/>
  <c r="M28" i="5"/>
  <c r="AG32" i="5"/>
  <c r="DH8" i="5"/>
  <c r="DH17" i="5" s="1"/>
  <c r="M35" i="5"/>
  <c r="M39" i="5"/>
  <c r="M36" i="5"/>
  <c r="R47" i="5"/>
  <c r="AC33" i="5"/>
  <c r="AM39" i="5"/>
  <c r="AI18" i="5"/>
  <c r="AI20" i="5"/>
  <c r="ED5" i="5"/>
  <c r="ED14" i="5" s="1"/>
  <c r="AI21" i="5"/>
  <c r="O22" i="5"/>
  <c r="O26" i="5"/>
  <c r="O23" i="5"/>
  <c r="DJ6" i="5"/>
  <c r="DJ15" i="5" s="1"/>
  <c r="O24" i="5"/>
  <c r="O25" i="5"/>
  <c r="AI30" i="5"/>
  <c r="AI34" i="5"/>
  <c r="ED7" i="5"/>
  <c r="ED16" i="5" s="1"/>
  <c r="AI27" i="5"/>
  <c r="AI31" i="5"/>
  <c r="AI28" i="5"/>
  <c r="AI29" i="5"/>
  <c r="AI33" i="5"/>
  <c r="AS28" i="5"/>
  <c r="AS32" i="5"/>
  <c r="AS29" i="5"/>
  <c r="AS33" i="5"/>
  <c r="AS30" i="5"/>
  <c r="EN7" i="5"/>
  <c r="EN16" i="5" s="1"/>
  <c r="AT20" i="5"/>
  <c r="AT18" i="5"/>
  <c r="AT21" i="5"/>
  <c r="AT24" i="5"/>
  <c r="EO6" i="5"/>
  <c r="EO15" i="5" s="1"/>
  <c r="AT25" i="5"/>
  <c r="AT22" i="5"/>
  <c r="U29" i="5"/>
  <c r="U33" i="5"/>
  <c r="U27" i="5"/>
  <c r="U30" i="5"/>
  <c r="U34" i="5"/>
  <c r="U28" i="5"/>
  <c r="U32" i="5"/>
  <c r="AY27" i="5"/>
  <c r="AY31" i="5"/>
  <c r="AY34" i="5"/>
  <c r="U41" i="5"/>
  <c r="U45" i="5"/>
  <c r="U44" i="5"/>
  <c r="U46" i="5"/>
  <c r="U42" i="5"/>
  <c r="U43" i="5"/>
  <c r="P48" i="5"/>
  <c r="AZ19" i="5"/>
  <c r="EU5" i="5"/>
  <c r="EU14" i="5" s="1"/>
  <c r="AK32" i="5"/>
  <c r="AF35" i="5"/>
  <c r="AF39" i="5"/>
  <c r="EA8" i="5"/>
  <c r="EA17" i="5" s="1"/>
  <c r="AF36" i="5"/>
  <c r="AF37" i="5"/>
  <c r="AF40" i="5"/>
  <c r="AF38" i="5"/>
  <c r="L43" i="5"/>
  <c r="L47" i="5"/>
  <c r="L41" i="5"/>
  <c r="L44" i="5"/>
  <c r="L42" i="5"/>
  <c r="L46" i="5"/>
  <c r="L48" i="5"/>
  <c r="AK42" i="5"/>
  <c r="AK46" i="5"/>
  <c r="AK47" i="5"/>
  <c r="AN40" i="5"/>
  <c r="W23" i="5"/>
  <c r="AL28" i="5"/>
  <c r="AQ37" i="5"/>
  <c r="EL8" i="5"/>
  <c r="EL17" i="5" s="1"/>
  <c r="H42" i="5"/>
  <c r="R48" i="5"/>
  <c r="S44" i="5"/>
  <c r="AK43" i="5"/>
  <c r="AS39" i="5"/>
  <c r="AO36" i="5"/>
  <c r="W21" i="5"/>
  <c r="DR5" i="5"/>
  <c r="DR14" i="5" s="1"/>
  <c r="W18" i="5"/>
  <c r="AL38" i="5"/>
  <c r="AL35" i="5"/>
  <c r="AG40" i="5"/>
  <c r="H45" i="5"/>
  <c r="AH22" i="5"/>
  <c r="AH24" i="5"/>
  <c r="AH25" i="5"/>
  <c r="X41" i="5"/>
  <c r="X45" i="5"/>
  <c r="X42" i="5"/>
  <c r="X43" i="5"/>
  <c r="AW45" i="5"/>
  <c r="AL44" i="5"/>
  <c r="O18" i="5"/>
  <c r="O20" i="5"/>
  <c r="O21" i="5"/>
  <c r="DJ5" i="5"/>
  <c r="DJ14" i="5" s="1"/>
  <c r="AI22" i="5"/>
  <c r="AI26" i="5"/>
  <c r="AI23" i="5"/>
  <c r="ED6" i="5"/>
  <c r="ED15" i="5" s="1"/>
  <c r="AI24" i="5"/>
  <c r="AI25" i="5"/>
  <c r="AX27" i="5"/>
  <c r="AX31" i="5"/>
  <c r="AX28" i="5"/>
  <c r="AX32" i="5"/>
  <c r="ES7" i="5"/>
  <c r="ES16" i="5" s="1"/>
  <c r="AX29" i="5"/>
  <c r="AS34" i="5"/>
  <c r="O42" i="5"/>
  <c r="O46" i="5"/>
  <c r="O43" i="5"/>
  <c r="O47" i="5"/>
  <c r="O44" i="5"/>
  <c r="O41" i="5"/>
  <c r="O45" i="5"/>
  <c r="U21" i="5"/>
  <c r="U18" i="5"/>
  <c r="U19" i="5"/>
  <c r="U20" i="5"/>
  <c r="DP5" i="5"/>
  <c r="DP14" i="5" s="1"/>
  <c r="U25" i="5"/>
  <c r="U22" i="5"/>
  <c r="U23" i="5"/>
  <c r="U26" i="5"/>
  <c r="DP6" i="5"/>
  <c r="DP15" i="5" s="1"/>
  <c r="U24" i="5"/>
  <c r="P30" i="5"/>
  <c r="P34" i="5"/>
  <c r="P27" i="5"/>
  <c r="P28" i="5"/>
  <c r="P31" i="5"/>
  <c r="P29" i="5"/>
  <c r="P33" i="5"/>
  <c r="Z28" i="5"/>
  <c r="Z32" i="5"/>
  <c r="Z31" i="5"/>
  <c r="Z29" i="5"/>
  <c r="Z30" i="5"/>
  <c r="Z33" i="5"/>
  <c r="Z27" i="5"/>
  <c r="DU7" i="5"/>
  <c r="DU16" i="5" s="1"/>
  <c r="AE35" i="5"/>
  <c r="AE39" i="5"/>
  <c r="DZ8" i="5"/>
  <c r="DZ17" i="5" s="1"/>
  <c r="AE36" i="5"/>
  <c r="AE37" i="5"/>
  <c r="AE40" i="5"/>
  <c r="AE38" i="5"/>
  <c r="AY43" i="5"/>
  <c r="AY44" i="5"/>
  <c r="AY42" i="5"/>
  <c r="AY47" i="5"/>
  <c r="AY48" i="5"/>
  <c r="AY46" i="5"/>
  <c r="U47" i="5"/>
  <c r="AW30" i="5"/>
  <c r="AK18" i="5"/>
  <c r="AK19" i="5"/>
  <c r="AK20" i="5"/>
  <c r="AK21" i="5"/>
  <c r="L23" i="5"/>
  <c r="L22" i="5"/>
  <c r="L26" i="5"/>
  <c r="DG6" i="5"/>
  <c r="DG15" i="5" s="1"/>
  <c r="L27" i="5"/>
  <c r="L31" i="5"/>
  <c r="L32" i="5"/>
  <c r="DG7" i="5"/>
  <c r="DG16" i="5" s="1"/>
  <c r="L30" i="5"/>
  <c r="L34" i="5"/>
  <c r="AU28" i="5"/>
  <c r="AU32" i="5"/>
  <c r="AK38" i="5"/>
  <c r="EF8" i="5"/>
  <c r="EF17" i="5" s="1"/>
  <c r="AK39" i="5"/>
  <c r="AK35" i="5"/>
  <c r="AK36" i="5"/>
  <c r="V41" i="5"/>
  <c r="V45" i="5"/>
  <c r="V42" i="5"/>
  <c r="V43" i="5"/>
  <c r="V44" i="5"/>
  <c r="V46" i="5"/>
  <c r="AK48" i="5"/>
  <c r="L24" i="5"/>
  <c r="AQ23" i="5"/>
  <c r="AG29" i="5"/>
  <c r="R36" i="5"/>
  <c r="W47" i="5"/>
  <c r="DR7" i="5"/>
  <c r="DR16" i="5" s="1"/>
  <c r="AR19" i="5"/>
  <c r="AH29" i="5"/>
  <c r="I38" i="5"/>
  <c r="AR47" i="5"/>
  <c r="DG5" i="5"/>
  <c r="DG14" i="5" s="1"/>
  <c r="AT30" i="5"/>
  <c r="AW26" i="5"/>
  <c r="EF5" i="5"/>
  <c r="EF14" i="5" s="1"/>
  <c r="EU7" i="5"/>
  <c r="EU16" i="5" s="1"/>
  <c r="AR39" i="5"/>
  <c r="AZ29" i="5"/>
  <c r="P23" i="5"/>
  <c r="L20" i="5"/>
  <c r="W26" i="5"/>
  <c r="R31" i="5"/>
  <c r="H44" i="5"/>
  <c r="H48" i="5"/>
  <c r="H41" i="5"/>
  <c r="AB45" i="5"/>
  <c r="X21" i="5"/>
  <c r="X18" i="5"/>
  <c r="DS5" i="5"/>
  <c r="DS14" i="5" s="1"/>
  <c r="AM31" i="5"/>
  <c r="I44" i="5"/>
  <c r="I48" i="5"/>
  <c r="I41" i="5"/>
  <c r="X46" i="5"/>
  <c r="DE5" i="5"/>
  <c r="DE14" i="5" s="1"/>
  <c r="J21" i="5"/>
  <c r="AD25" i="5"/>
  <c r="AD26" i="5"/>
  <c r="AD22" i="5"/>
  <c r="T31" i="5"/>
  <c r="T37" i="5"/>
  <c r="T38" i="5"/>
  <c r="T35" i="5"/>
  <c r="T36" i="5"/>
  <c r="DO8" i="5"/>
  <c r="DO17" i="5" s="1"/>
  <c r="T40" i="5"/>
  <c r="AY35" i="5"/>
  <c r="AY39" i="5"/>
  <c r="AY38" i="5"/>
  <c r="ET8" i="5"/>
  <c r="ET17" i="5" s="1"/>
  <c r="AE43" i="5"/>
  <c r="AE41" i="5"/>
  <c r="AE44" i="5"/>
  <c r="AE42" i="5"/>
  <c r="AO47" i="5"/>
  <c r="DP7" i="5"/>
  <c r="DP16" i="5" s="1"/>
  <c r="H18" i="5"/>
  <c r="AA24" i="5"/>
  <c r="AA22" i="5"/>
  <c r="AA25" i="5"/>
  <c r="AA23" i="5"/>
  <c r="AP29" i="5"/>
  <c r="AP33" i="5"/>
  <c r="EK7" i="5"/>
  <c r="EK16" i="5" s="1"/>
  <c r="AP30" i="5"/>
  <c r="AP27" i="5"/>
  <c r="AF33" i="5"/>
  <c r="Q40" i="5"/>
  <c r="AP41" i="5"/>
  <c r="AP45" i="5"/>
  <c r="AP46" i="5"/>
  <c r="AP48" i="5"/>
  <c r="Q48" i="5"/>
  <c r="AQ19" i="5"/>
  <c r="AB24" i="5"/>
  <c r="AB22" i="5"/>
  <c r="W31" i="5"/>
  <c r="AL36" i="5"/>
  <c r="AB42" i="5"/>
  <c r="AV46" i="5"/>
  <c r="AO46" i="5"/>
  <c r="X19" i="5"/>
  <c r="AM28" i="5"/>
  <c r="AH37" i="5"/>
  <c r="AC42" i="5"/>
  <c r="ET7" i="5"/>
  <c r="ET16" i="5" s="1"/>
  <c r="DD8" i="5"/>
  <c r="DD17" i="5" s="1"/>
  <c r="AU42" i="5"/>
  <c r="AM36" i="5"/>
  <c r="AY29" i="5"/>
  <c r="K20" i="5"/>
  <c r="M22" i="5"/>
  <c r="M24" i="5"/>
  <c r="EG7" i="5"/>
  <c r="EG16" i="5" s="1"/>
  <c r="AL30" i="5"/>
  <c r="AL34" i="5"/>
  <c r="AL27" i="5"/>
  <c r="M40" i="5"/>
  <c r="AQ31" i="5"/>
  <c r="AR21" i="5"/>
  <c r="AR18" i="5"/>
  <c r="AR26" i="5"/>
  <c r="AH32" i="5"/>
  <c r="Y26" i="5"/>
  <c r="AN31" i="5"/>
  <c r="AN37" i="5"/>
  <c r="AN38" i="5"/>
  <c r="AN35" i="5"/>
  <c r="AX35" i="5"/>
  <c r="AX39" i="5"/>
  <c r="ES8" i="5"/>
  <c r="ES17" i="5" s="1"/>
  <c r="AX36" i="5"/>
  <c r="AX40" i="5"/>
  <c r="AX37" i="5"/>
  <c r="AX38" i="5"/>
  <c r="AD43" i="5"/>
  <c r="AD47" i="5"/>
  <c r="AD44" i="5"/>
  <c r="AD48" i="5"/>
  <c r="AD41" i="5"/>
  <c r="AD42" i="5"/>
  <c r="AD45" i="5"/>
  <c r="Z20" i="5"/>
  <c r="Z18" i="5"/>
  <c r="Z21" i="5"/>
  <c r="Z19" i="5"/>
  <c r="DU5" i="5"/>
  <c r="DU14" i="5" s="1"/>
  <c r="Z24" i="5"/>
  <c r="DU6" i="5"/>
  <c r="DU15" i="5" s="1"/>
  <c r="Z22" i="5"/>
  <c r="Z25" i="5"/>
  <c r="Z23" i="5"/>
  <c r="AY23" i="5"/>
  <c r="ET6" i="5"/>
  <c r="ET15" i="5" s="1"/>
  <c r="AE27" i="5"/>
  <c r="AE31" i="5"/>
  <c r="DZ7" i="5"/>
  <c r="DZ16" i="5" s="1"/>
  <c r="AE29" i="5"/>
  <c r="AE28" i="5"/>
  <c r="AE32" i="5"/>
  <c r="AE30" i="5"/>
  <c r="AE34" i="5"/>
  <c r="AJ42" i="5"/>
  <c r="AJ43" i="5"/>
  <c r="AJ44" i="5"/>
  <c r="AF19" i="5"/>
  <c r="EA5" i="5"/>
  <c r="EA14" i="5" s="1"/>
  <c r="AF18" i="5"/>
  <c r="AF20" i="5"/>
  <c r="AF21" i="5"/>
  <c r="AZ23" i="5"/>
  <c r="EU6" i="5"/>
  <c r="EU15" i="5" s="1"/>
  <c r="L33" i="5"/>
  <c r="AT45" i="5"/>
  <c r="AY32" i="5"/>
  <c r="AU29" i="5"/>
  <c r="AY22" i="5"/>
  <c r="R19" i="5"/>
  <c r="DM5" i="5"/>
  <c r="DM14" i="5" s="1"/>
  <c r="DR6" i="5"/>
  <c r="DR15" i="5" s="1"/>
  <c r="W25" i="5"/>
  <c r="AL26" i="5"/>
  <c r="EG6" i="5"/>
  <c r="EG15" i="5" s="1"/>
  <c r="AL23" i="5"/>
  <c r="H33" i="5"/>
  <c r="AQ46" i="5"/>
  <c r="S19" i="5"/>
  <c r="DN5" i="5"/>
  <c r="DN14" i="5" s="1"/>
  <c r="DS6" i="5"/>
  <c r="DS15" i="5" s="1"/>
  <c r="X25" i="5"/>
  <c r="I25" i="5"/>
  <c r="DD6" i="5"/>
  <c r="DD15" i="5" s="1"/>
  <c r="AR34" i="5"/>
  <c r="DI8" i="5"/>
  <c r="DI17" i="5" s="1"/>
  <c r="N35" i="5"/>
  <c r="N39" i="5"/>
  <c r="N36" i="5"/>
  <c r="AC45" i="5"/>
  <c r="AS20" i="5"/>
  <c r="EN5" i="5"/>
  <c r="EN14" i="5" s="1"/>
  <c r="AS18" i="5"/>
  <c r="AS19" i="5"/>
  <c r="DY5" i="5"/>
  <c r="DY14" i="5" s="1"/>
  <c r="AD21" i="5"/>
  <c r="AD18" i="5"/>
  <c r="J25" i="5"/>
  <c r="DE6" i="5"/>
  <c r="DE15" i="5" s="1"/>
  <c r="O30" i="5"/>
  <c r="O34" i="5"/>
  <c r="DJ7" i="5"/>
  <c r="DJ16" i="5" s="1"/>
  <c r="O27" i="5"/>
  <c r="O31" i="5"/>
  <c r="O28" i="5"/>
  <c r="O29" i="5"/>
  <c r="O33" i="5"/>
  <c r="Y28" i="5"/>
  <c r="Y32" i="5"/>
  <c r="Y29" i="5"/>
  <c r="Y33" i="5"/>
  <c r="Y30" i="5"/>
  <c r="Y27" i="5"/>
  <c r="Y31" i="5"/>
  <c r="DT7" i="5"/>
  <c r="DT16" i="5" s="1"/>
  <c r="Y34" i="5"/>
  <c r="AN39" i="5"/>
  <c r="Y44" i="5"/>
  <c r="Y48" i="5"/>
  <c r="Y41" i="5"/>
  <c r="Y45" i="5"/>
  <c r="Y42" i="5"/>
  <c r="Y43" i="5"/>
  <c r="M21" i="5"/>
  <c r="AE19" i="5"/>
  <c r="DZ5" i="5"/>
  <c r="DZ14" i="5" s="1"/>
  <c r="AE20" i="5"/>
  <c r="AE21" i="5"/>
  <c r="AE18" i="5"/>
  <c r="AJ22" i="5"/>
  <c r="AJ26" i="5"/>
  <c r="AJ23" i="5"/>
  <c r="AJ24" i="5"/>
  <c r="EE6" i="5"/>
  <c r="EE15" i="5" s="1"/>
  <c r="AJ25" i="5"/>
  <c r="AO29" i="5"/>
  <c r="AO33" i="5"/>
  <c r="EJ7" i="5"/>
  <c r="EJ16" i="5" s="1"/>
  <c r="AO27" i="5"/>
  <c r="AO34" i="5"/>
  <c r="AO30" i="5"/>
  <c r="AE33" i="5"/>
  <c r="AJ38" i="5"/>
  <c r="EE8" i="5"/>
  <c r="EE17" i="5" s="1"/>
  <c r="AJ35" i="5"/>
  <c r="AJ36" i="5"/>
  <c r="AJ39" i="5"/>
  <c r="P42" i="5"/>
  <c r="P43" i="5"/>
  <c r="P44" i="5"/>
  <c r="P41" i="5"/>
  <c r="P45" i="5"/>
  <c r="P46" i="5"/>
  <c r="P47" i="5"/>
  <c r="AS27" i="5"/>
  <c r="AP21" i="5"/>
  <c r="AP18" i="5"/>
  <c r="AP19" i="5"/>
  <c r="AP20" i="5"/>
  <c r="AU24" i="5"/>
  <c r="EP6" i="5"/>
  <c r="EP15" i="5" s="1"/>
  <c r="AU22" i="5"/>
  <c r="V29" i="5"/>
  <c r="V33" i="5"/>
  <c r="V27" i="5"/>
  <c r="V30" i="5"/>
  <c r="V34" i="5"/>
  <c r="V28" i="5"/>
  <c r="V32" i="5"/>
  <c r="AZ27" i="5"/>
  <c r="AZ31" i="5"/>
  <c r="AZ30" i="5"/>
  <c r="AZ34" i="5"/>
  <c r="Q42" i="5"/>
  <c r="Q46" i="5"/>
  <c r="Q45" i="5"/>
  <c r="Q43" i="5"/>
  <c r="Q44" i="5"/>
  <c r="Q41" i="5"/>
  <c r="Q47" i="5"/>
  <c r="W19" i="5"/>
  <c r="AB26" i="5"/>
  <c r="R32" i="5"/>
  <c r="M37" i="5"/>
  <c r="R44" i="5"/>
  <c r="X23" i="5"/>
  <c r="N33" i="5"/>
  <c r="I46" i="5"/>
  <c r="EM5" i="5"/>
  <c r="EM14" i="5" s="1"/>
  <c r="EG8" i="5"/>
  <c r="EG17" i="5" s="1"/>
  <c r="AP42" i="5"/>
  <c r="AP32" i="5"/>
  <c r="I26" i="5"/>
  <c r="AT19" i="5"/>
  <c r="AL39" i="5"/>
  <c r="AQ41" i="5"/>
  <c r="AQ45" i="5"/>
  <c r="AQ42" i="5"/>
  <c r="AL47" i="5"/>
  <c r="AM26" i="5"/>
  <c r="AM23" i="5"/>
  <c r="EH6" i="5"/>
  <c r="EH15" i="5" s="1"/>
  <c r="N27" i="5"/>
  <c r="N31" i="5"/>
  <c r="N28" i="5"/>
  <c r="AS26" i="5"/>
  <c r="AI32" i="5"/>
  <c r="ED8" i="5"/>
  <c r="ED17" i="5" s="1"/>
  <c r="AI38" i="5"/>
  <c r="AI35" i="5"/>
  <c r="AI39" i="5"/>
  <c r="AI36" i="5"/>
  <c r="AI37" i="5"/>
  <c r="Y36" i="5"/>
  <c r="Y40" i="5"/>
  <c r="Y37" i="5"/>
  <c r="DT8" i="5"/>
  <c r="DT17" i="5" s="1"/>
  <c r="Y38" i="5"/>
  <c r="Y39" i="5"/>
  <c r="Y35" i="5"/>
  <c r="AS46" i="5"/>
  <c r="AY19" i="5"/>
  <c r="ET5" i="5"/>
  <c r="ET14" i="5" s="1"/>
  <c r="U39" i="5"/>
  <c r="AO41" i="5"/>
  <c r="AO48" i="5"/>
  <c r="AJ48" i="5"/>
  <c r="V21" i="5"/>
  <c r="V18" i="5"/>
  <c r="V19" i="5"/>
  <c r="DQ5" i="5"/>
  <c r="DQ14" i="5" s="1"/>
  <c r="V20" i="5"/>
  <c r="AK22" i="5"/>
  <c r="AK26" i="5"/>
  <c r="AK24" i="5"/>
  <c r="AK23" i="5"/>
  <c r="AK25" i="5"/>
  <c r="EF6" i="5"/>
  <c r="EF15" i="5" s="1"/>
  <c r="V31" i="5"/>
  <c r="V47" i="5"/>
  <c r="K21" i="5"/>
  <c r="AL22" i="5"/>
  <c r="AL24" i="5"/>
  <c r="AL32" i="5"/>
  <c r="W39" i="5"/>
  <c r="AL48" i="5"/>
  <c r="AZ20" i="5"/>
  <c r="X31" i="5"/>
  <c r="S40" i="5"/>
  <c r="EO5" i="5"/>
  <c r="EO14" i="5" s="1"/>
  <c r="AE48" i="5"/>
  <c r="AK45" i="5"/>
  <c r="AO42" i="5"/>
  <c r="AW38" i="5"/>
  <c r="AO32" i="5"/>
  <c r="L29" i="5"/>
  <c r="AW22" i="5"/>
  <c r="AG27" i="5"/>
  <c r="AG31" i="5"/>
  <c r="EB7" i="5"/>
  <c r="EB16" i="5" s="1"/>
  <c r="AG28" i="5"/>
  <c r="AV33" i="5"/>
  <c r="R39" i="5"/>
  <c r="W41" i="5"/>
  <c r="W45" i="5"/>
  <c r="W42" i="5"/>
  <c r="AV45" i="5"/>
  <c r="N22" i="5"/>
  <c r="N24" i="5"/>
  <c r="AH27" i="5"/>
  <c r="AH31" i="5"/>
  <c r="AH28" i="5"/>
  <c r="EC7" i="5"/>
  <c r="EC16" i="5" s="1"/>
  <c r="I33" i="5"/>
  <c r="AM38" i="5"/>
  <c r="AM35" i="5"/>
  <c r="X38" i="5"/>
  <c r="X39" i="5"/>
  <c r="AR41" i="5"/>
  <c r="AR45" i="5"/>
  <c r="AR42" i="5"/>
  <c r="I45" i="5"/>
  <c r="Y20" i="5"/>
  <c r="DT5" i="5"/>
  <c r="DT14" i="5" s="1"/>
  <c r="Y18" i="5"/>
  <c r="Y19" i="5"/>
  <c r="DT6" i="5"/>
  <c r="DT15" i="5" s="1"/>
  <c r="Y24" i="5"/>
  <c r="Y25" i="5"/>
  <c r="Y22" i="5"/>
  <c r="Y23" i="5"/>
  <c r="AX23" i="5"/>
  <c r="AX25" i="5"/>
  <c r="ES6" i="5"/>
  <c r="ES15" i="5" s="1"/>
  <c r="AD27" i="5"/>
  <c r="AD31" i="5"/>
  <c r="AD28" i="5"/>
  <c r="AD32" i="5"/>
  <c r="DY7" i="5"/>
  <c r="DY16" i="5" s="1"/>
  <c r="AD29" i="5"/>
  <c r="AD30" i="5"/>
  <c r="AD34" i="5"/>
  <c r="AD33" i="5"/>
  <c r="J35" i="5"/>
  <c r="J39" i="5"/>
  <c r="DE8" i="5"/>
  <c r="DE17" i="5" s="1"/>
  <c r="J36" i="5"/>
  <c r="J40" i="5"/>
  <c r="J37" i="5"/>
  <c r="J38" i="5"/>
  <c r="AS36" i="5"/>
  <c r="AS40" i="5"/>
  <c r="AS37" i="5"/>
  <c r="EN8" i="5"/>
  <c r="EN17" i="5" s="1"/>
  <c r="AS38" i="5"/>
  <c r="AX43" i="5"/>
  <c r="AX47" i="5"/>
  <c r="AX44" i="5"/>
  <c r="AX48" i="5"/>
  <c r="AX41" i="5"/>
  <c r="AX42" i="5"/>
  <c r="AX46" i="5"/>
  <c r="O48" i="5"/>
  <c r="P18" i="5"/>
  <c r="P21" i="5"/>
  <c r="DK5" i="5"/>
  <c r="DK14" i="5" s="1"/>
  <c r="P22" i="5"/>
  <c r="P26" i="5"/>
  <c r="P25" i="5"/>
  <c r="DK6" i="5"/>
  <c r="DK15" i="5" s="1"/>
  <c r="AJ30" i="5"/>
  <c r="AJ34" i="5"/>
  <c r="AJ27" i="5"/>
  <c r="AJ28" i="5"/>
  <c r="EE7" i="5"/>
  <c r="EE16" i="5" s="1"/>
  <c r="AJ31" i="5"/>
  <c r="AJ33" i="5"/>
  <c r="AJ29" i="5"/>
  <c r="AT28" i="5"/>
  <c r="AT32" i="5"/>
  <c r="U37" i="5"/>
  <c r="U40" i="5"/>
  <c r="U35" i="5"/>
  <c r="U38" i="5"/>
  <c r="DP8" i="5"/>
  <c r="DP17" i="5" s="1"/>
  <c r="U36" i="5"/>
  <c r="AT36" i="5"/>
  <c r="AT40" i="5"/>
  <c r="Z44" i="5"/>
  <c r="Z42" i="5"/>
  <c r="Z41" i="5"/>
  <c r="Z45" i="5"/>
  <c r="Z43" i="5"/>
  <c r="Z46" i="5"/>
  <c r="AF23" i="5"/>
  <c r="AF22" i="5"/>
  <c r="AF24" i="5"/>
  <c r="AF25" i="5"/>
  <c r="AF26" i="5"/>
  <c r="AP31" i="5"/>
  <c r="Q38" i="5"/>
  <c r="Q36" i="5"/>
  <c r="Q35" i="5"/>
  <c r="Q39" i="5"/>
  <c r="Q37" i="5"/>
  <c r="DL8" i="5"/>
  <c r="DL17" i="5" s="1"/>
  <c r="AU36" i="5"/>
  <c r="AU40" i="5"/>
  <c r="AU39" i="5"/>
  <c r="EP8" i="5"/>
  <c r="EP17" i="5" s="1"/>
  <c r="AA44" i="5"/>
  <c r="AA48" i="5"/>
  <c r="AA41" i="5"/>
  <c r="AA42" i="5"/>
  <c r="AA45" i="5"/>
  <c r="AA43" i="5"/>
  <c r="AZ45" i="5"/>
  <c r="AR27" i="5"/>
  <c r="DC5" i="5"/>
  <c r="DC14" i="5" s="1"/>
  <c r="H20" i="5"/>
  <c r="H24" i="5"/>
  <c r="DC6" i="5"/>
  <c r="DC15" i="5" s="1"/>
  <c r="M29" i="5"/>
  <c r="AB34" i="5"/>
  <c r="W37" i="5"/>
  <c r="DR8" i="5"/>
  <c r="DR17" i="5" s="1"/>
  <c r="W35" i="5"/>
  <c r="H46" i="5"/>
  <c r="DF5" i="5"/>
  <c r="DF14" i="5" s="1"/>
  <c r="AC26" i="5"/>
  <c r="N45" i="5"/>
  <c r="DV6" i="5"/>
  <c r="DV15" i="5" s="1"/>
  <c r="EI8" i="5"/>
  <c r="EI17" i="5" s="1"/>
  <c r="Z48" i="5"/>
  <c r="AJ45" i="5"/>
  <c r="AR35" i="5"/>
  <c r="AN32" i="5"/>
  <c r="AZ25" i="5"/>
  <c r="P19" i="5"/>
  <c r="R26" i="5"/>
  <c r="DM6" i="5"/>
  <c r="DM15" i="5" s="1"/>
  <c r="R23" i="5"/>
  <c r="DM7" i="5"/>
  <c r="DM16" i="5" s="1"/>
  <c r="R30" i="5"/>
  <c r="R34" i="5"/>
  <c r="R27" i="5"/>
  <c r="M32" i="5"/>
  <c r="AB44" i="5"/>
  <c r="AB48" i="5"/>
  <c r="AB41" i="5"/>
  <c r="AM19" i="5"/>
  <c r="EH5" i="5"/>
  <c r="EH14" i="5" s="1"/>
  <c r="EM6" i="5"/>
  <c r="EM15" i="5" s="1"/>
  <c r="AR25" i="5"/>
  <c r="AR23" i="5"/>
  <c r="EH7" i="5"/>
  <c r="EH16" i="5" s="1"/>
  <c r="AM30" i="5"/>
  <c r="AM34" i="5"/>
  <c r="AM27" i="5"/>
  <c r="AM32" i="5"/>
  <c r="S39" i="5"/>
  <c r="EN6" i="5"/>
  <c r="EN15" i="5" s="1"/>
  <c r="AS24" i="5"/>
  <c r="AS25" i="5"/>
  <c r="AS22" i="5"/>
  <c r="DO7" i="5"/>
  <c r="DO16" i="5" s="1"/>
  <c r="T29" i="5"/>
  <c r="T33" i="5"/>
  <c r="T30" i="5"/>
  <c r="T34" i="5"/>
  <c r="T27" i="5"/>
  <c r="T28" i="5"/>
  <c r="T32" i="5"/>
  <c r="O32" i="5"/>
  <c r="DJ8" i="5"/>
  <c r="DJ17" i="5" s="1"/>
  <c r="O38" i="5"/>
  <c r="O35" i="5"/>
  <c r="O39" i="5"/>
  <c r="O36" i="5"/>
  <c r="O37" i="5"/>
  <c r="AD35" i="5"/>
  <c r="AD39" i="5"/>
  <c r="DY8" i="5"/>
  <c r="DY17" i="5" s="1"/>
  <c r="AD36" i="5"/>
  <c r="AD40" i="5"/>
  <c r="AD37" i="5"/>
  <c r="AD38" i="5"/>
  <c r="J43" i="5"/>
  <c r="J47" i="5"/>
  <c r="J44" i="5"/>
  <c r="J48" i="5"/>
  <c r="J41" i="5"/>
  <c r="J42" i="5"/>
  <c r="J46" i="5"/>
  <c r="T47" i="5"/>
  <c r="I18" i="5"/>
  <c r="Z26" i="5"/>
  <c r="K27" i="5"/>
  <c r="K31" i="5"/>
  <c r="K30" i="5"/>
  <c r="DF7" i="5"/>
  <c r="DF16" i="5" s="1"/>
  <c r="K34" i="5"/>
  <c r="K35" i="5"/>
  <c r="K39" i="5"/>
  <c r="K36" i="5"/>
  <c r="K37" i="5"/>
  <c r="K40" i="5"/>
  <c r="K38" i="5"/>
  <c r="Y47" i="5"/>
  <c r="AA20" i="5"/>
  <c r="AA18" i="5"/>
  <c r="AA21" i="5"/>
  <c r="DV5" i="5"/>
  <c r="DV14" i="5" s="1"/>
  <c r="AA19" i="5"/>
  <c r="V25" i="5"/>
  <c r="DQ6" i="5"/>
  <c r="DQ15" i="5" s="1"/>
  <c r="V22" i="5"/>
  <c r="V23" i="5"/>
  <c r="V26" i="5"/>
  <c r="V24" i="5"/>
  <c r="AK30" i="5"/>
  <c r="AK34" i="5"/>
  <c r="EF7" i="5"/>
  <c r="EF16" i="5" s="1"/>
  <c r="AK27" i="5"/>
  <c r="AK28" i="5"/>
  <c r="AK31" i="5"/>
  <c r="AK29" i="5"/>
  <c r="AA34" i="5"/>
  <c r="L35" i="5"/>
  <c r="L39" i="5"/>
  <c r="L36" i="5"/>
  <c r="L37" i="5"/>
  <c r="L40" i="5"/>
  <c r="L38" i="5"/>
  <c r="DG8" i="5"/>
  <c r="DG17" i="5" s="1"/>
  <c r="R20" i="5"/>
  <c r="AB38" i="5"/>
  <c r="AQ47" i="5"/>
  <c r="AZ26" i="5"/>
  <c r="S28" i="5"/>
  <c r="S36" i="5"/>
  <c r="AW46" i="5"/>
  <c r="DW6" i="5"/>
  <c r="DW15" i="5" s="1"/>
  <c r="V48" i="5"/>
  <c r="AY41" i="5"/>
  <c r="AQ35" i="5"/>
  <c r="AZ28" i="5"/>
  <c r="AZ18" i="5"/>
  <c r="AL19" i="5"/>
  <c r="EG5" i="5"/>
  <c r="EG14" i="5" s="1"/>
  <c r="R38" i="5"/>
  <c r="R35" i="5"/>
  <c r="DM8" i="5"/>
  <c r="DM17" i="5" s="1"/>
  <c r="EB8" i="5"/>
  <c r="EB17" i="5" s="1"/>
  <c r="AG35" i="5"/>
  <c r="AG39" i="5"/>
  <c r="AG36" i="5"/>
  <c r="N20" i="5"/>
  <c r="DI5" i="5"/>
  <c r="DI14" i="5" s="1"/>
  <c r="S26" i="5"/>
  <c r="S23" i="5"/>
  <c r="DN6" i="5"/>
  <c r="DN15" i="5" s="1"/>
  <c r="DN7" i="5"/>
  <c r="DN16" i="5" s="1"/>
  <c r="S30" i="5"/>
  <c r="S34" i="5"/>
  <c r="S27" i="5"/>
  <c r="N32" i="5"/>
  <c r="S38" i="5"/>
  <c r="S35" i="5"/>
  <c r="DN8" i="5"/>
  <c r="DN17" i="5" s="1"/>
  <c r="EC8" i="5"/>
  <c r="EC17" i="5" s="1"/>
  <c r="AH35" i="5"/>
  <c r="AH39" i="5"/>
  <c r="AH36" i="5"/>
  <c r="AC44" i="5"/>
  <c r="AC48" i="5"/>
  <c r="AC41" i="5"/>
  <c r="S47" i="5"/>
  <c r="AN21" i="5"/>
  <c r="EI5" i="5"/>
  <c r="EI14" i="5" s="1"/>
  <c r="AN19" i="5"/>
  <c r="AN20" i="5"/>
  <c r="AN25" i="5"/>
  <c r="EI6" i="5"/>
  <c r="EI15" i="5" s="1"/>
  <c r="AN26" i="5"/>
  <c r="AN23" i="5"/>
  <c r="AN24" i="5"/>
  <c r="J27" i="5"/>
  <c r="J31" i="5"/>
  <c r="J28" i="5"/>
  <c r="J32" i="5"/>
  <c r="DE7" i="5"/>
  <c r="DE16" i="5" s="1"/>
  <c r="J29" i="5"/>
  <c r="J30" i="5"/>
  <c r="J34" i="5"/>
  <c r="AX33" i="5"/>
  <c r="AI40" i="5"/>
  <c r="AX45" i="5"/>
  <c r="AX30" i="5"/>
  <c r="AJ18" i="5"/>
  <c r="AJ19" i="5"/>
  <c r="AJ20" i="5"/>
  <c r="AJ21" i="5"/>
  <c r="K23" i="5"/>
  <c r="K26" i="5"/>
  <c r="DF6" i="5"/>
  <c r="DF15" i="5" s="1"/>
  <c r="P32" i="5"/>
  <c r="AO37" i="5"/>
  <c r="AO35" i="5"/>
  <c r="K45" i="5"/>
  <c r="Q18" i="5"/>
  <c r="Q21" i="5"/>
  <c r="DL5" i="5"/>
  <c r="DL14" i="5" s="1"/>
  <c r="Q22" i="5"/>
  <c r="Q26" i="5"/>
  <c r="Q23" i="5"/>
  <c r="Q24" i="5"/>
  <c r="Q25" i="5"/>
  <c r="DL6" i="5"/>
  <c r="DL15" i="5" s="1"/>
  <c r="AF27" i="5"/>
  <c r="AF31" i="5"/>
  <c r="EA7" i="5"/>
  <c r="EA16" i="5" s="1"/>
  <c r="AF28" i="5"/>
  <c r="AF29" i="5"/>
  <c r="AF32" i="5"/>
  <c r="AF30" i="5"/>
  <c r="AF34" i="5"/>
  <c r="AA36" i="5"/>
  <c r="AA40" i="5"/>
  <c r="DV8" i="5"/>
  <c r="DV17" i="5" s="1"/>
  <c r="AA37" i="5"/>
  <c r="AA38" i="5"/>
  <c r="AA35" i="5"/>
  <c r="AA39" i="5"/>
  <c r="AF43" i="5"/>
  <c r="AF47" i="5"/>
  <c r="AF48" i="5"/>
  <c r="AF41" i="5"/>
  <c r="AF44" i="5"/>
  <c r="AA46" i="5"/>
  <c r="AV30" i="5"/>
  <c r="AG21" i="5"/>
  <c r="AB30" i="5"/>
  <c r="H38" i="5"/>
  <c r="AG45" i="5"/>
  <c r="AQ43" i="5"/>
  <c r="AM20" i="5"/>
  <c r="S32" i="5"/>
  <c r="N37" i="5"/>
  <c r="AM48" i="5"/>
  <c r="EJ8" i="5"/>
  <c r="EJ17" i="5" s="1"/>
  <c r="AI45" i="5"/>
  <c r="AU38" i="5"/>
  <c r="K32" i="5"/>
  <c r="AY25" i="5"/>
  <c r="K22" i="5"/>
  <c r="DX6" i="5"/>
  <c r="DX15" i="5" s="1"/>
  <c r="EK8" i="5"/>
  <c r="EK17" i="5" s="1"/>
  <c r="U48" i="5"/>
  <c r="AT38" i="5"/>
  <c r="AP35" i="5"/>
  <c r="AU31" i="5"/>
  <c r="AY28" i="5"/>
  <c r="AU25" i="5"/>
  <c r="J22" i="5"/>
  <c r="AY18" i="5"/>
  <c r="AB33" i="5"/>
  <c r="AV44" i="5"/>
  <c r="AV48" i="5"/>
  <c r="AV41" i="5"/>
  <c r="W46" i="5"/>
  <c r="S31" i="5"/>
  <c r="AH44" i="5"/>
  <c r="AH41" i="5"/>
  <c r="ES5" i="5"/>
  <c r="ES14" i="5" s="1"/>
  <c r="AX21" i="5"/>
  <c r="T39" i="5"/>
  <c r="AS48" i="5"/>
  <c r="AS44" i="5"/>
  <c r="AS41" i="5"/>
  <c r="AS45" i="5"/>
  <c r="AS42" i="5"/>
  <c r="AS47" i="5"/>
  <c r="AN47" i="5"/>
  <c r="AO21" i="5"/>
  <c r="AO19" i="5"/>
  <c r="AO18" i="5"/>
  <c r="AO20" i="5"/>
  <c r="AO25" i="5"/>
  <c r="AO22" i="5"/>
  <c r="AO23" i="5"/>
  <c r="EJ6" i="5"/>
  <c r="EJ15" i="5" s="1"/>
  <c r="AO26" i="5"/>
  <c r="AO24" i="5"/>
  <c r="U31" i="5"/>
  <c r="Z36" i="5"/>
  <c r="Z40" i="5"/>
  <c r="Z35" i="5"/>
  <c r="DU8" i="5"/>
  <c r="DU17" i="5" s="1"/>
  <c r="Z37" i="5"/>
  <c r="Z38" i="5"/>
  <c r="Z39" i="5"/>
  <c r="AT44" i="5"/>
  <c r="AT43" i="5"/>
  <c r="AT48" i="5"/>
  <c r="AT47" i="5"/>
  <c r="AT46" i="5"/>
  <c r="AS43" i="5"/>
  <c r="AU20" i="5"/>
  <c r="EP5" i="5"/>
  <c r="EP14" i="5" s="1"/>
  <c r="AU21" i="5"/>
  <c r="AU18" i="5"/>
  <c r="AP25" i="5"/>
  <c r="EK6" i="5"/>
  <c r="EK15" i="5" s="1"/>
  <c r="AP22" i="5"/>
  <c r="AP23" i="5"/>
  <c r="AP26" i="5"/>
  <c r="Q30" i="5"/>
  <c r="Q34" i="5"/>
  <c r="Q27" i="5"/>
  <c r="Q28" i="5"/>
  <c r="Q31" i="5"/>
  <c r="Q29" i="5"/>
  <c r="Q33" i="5"/>
  <c r="AA28" i="5"/>
  <c r="AA32" i="5"/>
  <c r="AA29" i="5"/>
  <c r="AA30" i="5"/>
  <c r="AA33" i="5"/>
  <c r="AA27" i="5"/>
  <c r="AA31" i="5"/>
  <c r="DV7" i="5"/>
  <c r="DV16" i="5" s="1"/>
  <c r="AU44" i="5"/>
  <c r="AU48" i="5"/>
  <c r="AU45" i="5"/>
  <c r="AU43" i="5"/>
  <c r="AU47" i="5"/>
  <c r="AP47" i="5"/>
  <c r="AJ37" i="5"/>
  <c r="EQ5" i="5"/>
  <c r="EQ14" i="5" s="1"/>
  <c r="AV20" i="5"/>
  <c r="AV18" i="5"/>
  <c r="AG25" i="5"/>
  <c r="AQ29" i="5"/>
  <c r="AQ33" i="5"/>
  <c r="EL7" i="5"/>
  <c r="EL16" i="5" s="1"/>
  <c r="AQ27" i="5"/>
  <c r="M33" i="5"/>
  <c r="R40" i="5"/>
  <c r="AB46" i="5"/>
  <c r="AZ36" i="5"/>
  <c r="N25" i="5"/>
  <c r="I34" i="5"/>
  <c r="DY6" i="5"/>
  <c r="DY15" i="5" s="1"/>
  <c r="EO8" i="5"/>
  <c r="EO17" i="5" s="1"/>
  <c r="T48" i="5"/>
  <c r="AP44" i="5"/>
  <c r="AT41" i="5"/>
  <c r="AP38" i="5"/>
  <c r="AX34" i="5"/>
  <c r="AT31" i="5"/>
  <c r="AP28" i="5"/>
  <c r="I22" i="5"/>
  <c r="AX18" i="5"/>
  <c r="DW5" i="5"/>
  <c r="DW14" i="5" s="1"/>
  <c r="AB20" i="5"/>
  <c r="AB18" i="5"/>
  <c r="AV24" i="5"/>
  <c r="EQ6" i="5"/>
  <c r="EQ15" i="5" s="1"/>
  <c r="R28" i="5"/>
  <c r="AG37" i="5"/>
  <c r="W43" i="5"/>
  <c r="AU30" i="5"/>
  <c r="AH21" i="5"/>
  <c r="AH33" i="5"/>
  <c r="I42" i="5"/>
  <c r="DZ6" i="5"/>
  <c r="DZ15" i="5" s="1"/>
  <c r="S48" i="5"/>
  <c r="AO44" i="5"/>
  <c r="AK41" i="5"/>
  <c r="AO38" i="5"/>
  <c r="AW34" i="5"/>
  <c r="AS31" i="5"/>
  <c r="AO28" i="5"/>
  <c r="L25" i="5"/>
  <c r="H22" i="5"/>
  <c r="AW18" i="5"/>
  <c r="AG43" i="5"/>
  <c r="AG47" i="5"/>
  <c r="DX5" i="5"/>
  <c r="DX14" i="5" s="1"/>
  <c r="AC20" i="5"/>
  <c r="I24" i="5"/>
  <c r="S22" i="5"/>
  <c r="X29" i="5"/>
  <c r="X33" i="5"/>
  <c r="AR37" i="5"/>
  <c r="EM8" i="5"/>
  <c r="EM17" i="5" s="1"/>
  <c r="N43" i="5"/>
  <c r="N47" i="5"/>
  <c r="AG41" i="5"/>
  <c r="J19" i="5"/>
  <c r="AD19" i="5"/>
  <c r="AX19" i="5"/>
  <c r="J23" i="5"/>
  <c r="AD23" i="5"/>
  <c r="AX24" i="5"/>
  <c r="T22" i="5"/>
  <c r="AN22" i="5"/>
  <c r="DD5" i="5"/>
  <c r="DD14" i="5" s="1"/>
  <c r="ER5" i="5"/>
  <c r="ER14" i="5" s="1"/>
  <c r="AW20" i="5"/>
  <c r="AW24" i="5"/>
  <c r="AM22" i="5"/>
  <c r="AR29" i="5"/>
  <c r="AR33" i="5"/>
  <c r="X37" i="5"/>
  <c r="DS8" i="5"/>
  <c r="DS17" i="5" s="1"/>
  <c r="AH43" i="5"/>
  <c r="AH47" i="5"/>
  <c r="AM24" i="5"/>
  <c r="M43" i="5"/>
  <c r="M47" i="5"/>
  <c r="AC24" i="5"/>
  <c r="AB19" i="5"/>
  <c r="AV23" i="5"/>
  <c r="W28" i="5"/>
  <c r="AV31" i="5"/>
  <c r="AQ36" i="5"/>
  <c r="W40" i="5"/>
  <c r="AB43" i="5"/>
  <c r="AV47" i="5"/>
  <c r="X20" i="5"/>
  <c r="N23" i="5"/>
  <c r="DI6" i="5"/>
  <c r="DI15" i="5" s="1"/>
  <c r="N26" i="5"/>
  <c r="AH26" i="5"/>
  <c r="I27" i="5"/>
  <c r="I28" i="5"/>
  <c r="I32" i="5"/>
  <c r="DD7" i="5"/>
  <c r="DD16" i="5" s="1"/>
  <c r="AC27" i="5"/>
  <c r="AC28" i="5"/>
  <c r="AC32" i="5"/>
  <c r="DX7" i="5"/>
  <c r="DX16" i="5" s="1"/>
  <c r="X28" i="5"/>
  <c r="AC31" i="5"/>
  <c r="AW31" i="5"/>
  <c r="X32" i="5"/>
  <c r="AR32" i="5"/>
  <c r="S33" i="5"/>
  <c r="AM33" i="5"/>
  <c r="N34" i="5"/>
  <c r="AH34" i="5"/>
  <c r="I35" i="5"/>
  <c r="I36" i="5"/>
  <c r="I40" i="5"/>
  <c r="AC35" i="5"/>
  <c r="AC36" i="5"/>
  <c r="AC40" i="5"/>
  <c r="DX8" i="5"/>
  <c r="DX17" i="5" s="1"/>
  <c r="AW35" i="5"/>
  <c r="AW36" i="5"/>
  <c r="AW40" i="5"/>
  <c r="ER8" i="5"/>
  <c r="ER17" i="5" s="1"/>
  <c r="X36" i="5"/>
  <c r="AR36" i="5"/>
  <c r="S37" i="5"/>
  <c r="AM37" i="5"/>
  <c r="N38" i="5"/>
  <c r="AH38" i="5"/>
  <c r="I39" i="5"/>
  <c r="AC39" i="5"/>
  <c r="AW39" i="5"/>
  <c r="X40" i="5"/>
  <c r="AR40" i="5"/>
  <c r="S41" i="5"/>
  <c r="S42" i="5"/>
  <c r="S46" i="5"/>
  <c r="AM41" i="5"/>
  <c r="AM42" i="5"/>
  <c r="AM46" i="5"/>
  <c r="N42" i="5"/>
  <c r="AH42" i="5"/>
  <c r="I43" i="5"/>
  <c r="AC43" i="5"/>
  <c r="AW43" i="5"/>
  <c r="X44" i="5"/>
  <c r="AR44" i="5"/>
  <c r="S45" i="5"/>
  <c r="AM45" i="5"/>
  <c r="N46" i="5"/>
  <c r="AH46" i="5"/>
  <c r="I47" i="5"/>
  <c r="AC47" i="5"/>
  <c r="AW47" i="5"/>
  <c r="X48" i="5"/>
  <c r="AR48" i="5"/>
  <c r="R21" i="5"/>
  <c r="AG26" i="5"/>
  <c r="AG30" i="5"/>
  <c r="AG34" i="5"/>
  <c r="AG38" i="5"/>
  <c r="AG42" i="5"/>
  <c r="M46" i="5"/>
  <c r="AH18" i="5"/>
  <c r="AC23" i="5"/>
  <c r="AM29" i="5"/>
  <c r="H19" i="5"/>
  <c r="H23" i="5"/>
  <c r="M26" i="5"/>
  <c r="AB27" i="5"/>
  <c r="AB28" i="5"/>
  <c r="AB32" i="5"/>
  <c r="DW7" i="5"/>
  <c r="DW16" i="5" s="1"/>
  <c r="H31" i="5"/>
  <c r="R33" i="5"/>
  <c r="R37" i="5"/>
  <c r="AB39" i="5"/>
  <c r="AL41" i="5"/>
  <c r="AL42" i="5"/>
  <c r="AL46" i="5"/>
  <c r="R45" i="5"/>
  <c r="AG46" i="5"/>
  <c r="AC19" i="5"/>
  <c r="I23" i="5"/>
  <c r="AR24" i="5"/>
  <c r="AR22" i="5"/>
  <c r="N30" i="5"/>
  <c r="X35" i="5"/>
  <c r="AC22" i="5"/>
  <c r="AG18" i="5"/>
  <c r="AB23" i="5"/>
  <c r="AQ28" i="5"/>
  <c r="AQ32" i="5"/>
  <c r="H35" i="5"/>
  <c r="H36" i="5"/>
  <c r="H40" i="5"/>
  <c r="DC8" i="5"/>
  <c r="DC17" i="5" s="1"/>
  <c r="AL37" i="5"/>
  <c r="H43" i="5"/>
  <c r="H47" i="5"/>
  <c r="AM21" i="5"/>
  <c r="X24" i="5"/>
  <c r="X22" i="5"/>
  <c r="AW27" i="5"/>
  <c r="AW28" i="5"/>
  <c r="AW32" i="5"/>
  <c r="ER7" i="5"/>
  <c r="ER16" i="5" s="1"/>
  <c r="X27" i="5"/>
  <c r="AC18" i="5"/>
  <c r="M18" i="5"/>
  <c r="AL21" i="5"/>
  <c r="AL25" i="5"/>
  <c r="M30" i="5"/>
  <c r="AL33" i="5"/>
  <c r="AV35" i="5"/>
  <c r="AV36" i="5"/>
  <c r="AV40" i="5"/>
  <c r="EQ8" i="5"/>
  <c r="EQ17" i="5" s="1"/>
  <c r="AQ40" i="5"/>
  <c r="W44" i="5"/>
  <c r="W48" i="5"/>
  <c r="AR20" i="5"/>
  <c r="S25" i="5"/>
  <c r="AH30" i="5"/>
  <c r="ER6" i="5"/>
  <c r="ER15" i="5" s="1"/>
  <c r="N41" i="5"/>
  <c r="R18" i="5"/>
  <c r="AL18" i="5"/>
  <c r="M19" i="5"/>
  <c r="AG19" i="5"/>
  <c r="W20" i="5"/>
  <c r="AG23" i="5"/>
  <c r="EB6" i="5"/>
  <c r="EB15" i="5" s="1"/>
  <c r="AQ24" i="5"/>
  <c r="AQ22" i="5"/>
  <c r="R29" i="5"/>
  <c r="W32" i="5"/>
  <c r="AB35" i="5"/>
  <c r="AB36" i="5"/>
  <c r="AB40" i="5"/>
  <c r="DW8" i="5"/>
  <c r="DW17" i="5" s="1"/>
  <c r="H39" i="5"/>
  <c r="M42" i="5"/>
  <c r="AL45" i="5"/>
  <c r="I19" i="5"/>
  <c r="AW23" i="5"/>
  <c r="S29" i="5"/>
  <c r="S18" i="5"/>
  <c r="AM18" i="5"/>
  <c r="N19" i="5"/>
  <c r="AH19" i="5"/>
  <c r="I20" i="5"/>
  <c r="AQ20" i="5"/>
  <c r="R25" i="5"/>
  <c r="AV27" i="5"/>
  <c r="AV28" i="5"/>
  <c r="AV32" i="5"/>
  <c r="EQ7" i="5"/>
  <c r="EQ16" i="5" s="1"/>
  <c r="AB31" i="5"/>
  <c r="W36" i="5"/>
  <c r="AV39" i="5"/>
  <c r="AV43" i="5"/>
  <c r="AB47" i="5"/>
  <c r="AW19" i="5"/>
  <c r="AH23" i="5"/>
  <c r="EC6" i="5"/>
  <c r="EC15" i="5" s="1"/>
  <c r="AR28" i="5"/>
  <c r="M41" i="5"/>
  <c r="EB5" i="5"/>
  <c r="EB14" i="5" s="1"/>
  <c r="S24" i="5"/>
  <c r="T18" i="5"/>
  <c r="AN18" i="5"/>
  <c r="O19" i="5"/>
  <c r="AI19" i="5"/>
  <c r="J20" i="5"/>
  <c r="AD20" i="5"/>
  <c r="AX20" i="5"/>
  <c r="Y21" i="5"/>
  <c r="AS21" i="5"/>
  <c r="AV19" i="5"/>
  <c r="M23" i="5"/>
  <c r="DH6" i="5"/>
  <c r="DH15" i="5" s="1"/>
  <c r="W24" i="5"/>
  <c r="W22" i="5"/>
  <c r="H27" i="5"/>
  <c r="H28" i="5"/>
  <c r="H32" i="5"/>
  <c r="DC7" i="5"/>
  <c r="DC16" i="5" s="1"/>
  <c r="AL29" i="5"/>
  <c r="M34" i="5"/>
  <c r="M38" i="5"/>
  <c r="R41" i="5"/>
  <c r="R42" i="5"/>
  <c r="R46" i="5"/>
  <c r="AQ44" i="5"/>
  <c r="AQ48" i="5"/>
  <c r="N18" i="5"/>
  <c r="S21" i="5"/>
  <c r="AM25" i="5"/>
  <c r="I31" i="5"/>
  <c r="EC5" i="5"/>
  <c r="EC14" i="5" s="1"/>
  <c r="EM7" i="5"/>
  <c r="EM16" i="5" s="1"/>
  <c r="AD24" i="5"/>
  <c r="J24" i="5"/>
  <c r="H45" i="8" a="1"/>
  <c r="H45" i="8" s="1"/>
  <c r="AB45" i="8" a="1"/>
  <c r="AB45" i="8" s="1"/>
  <c r="AU45" i="8" a="1"/>
  <c r="AU45" i="8" s="1"/>
  <c r="AV59" i="8" a="1"/>
  <c r="AV59" i="8" s="1"/>
  <c r="AJ45" i="8" a="1"/>
  <c r="AJ45" i="8" s="1"/>
  <c r="AL45" i="8" a="1"/>
  <c r="AL45" i="8" s="1"/>
  <c r="AR45" i="8" a="1"/>
  <c r="AR45" i="8" s="1"/>
  <c r="DA65" i="3"/>
  <c r="BF62" i="3"/>
  <c r="DI64" i="3"/>
  <c r="BN62" i="3"/>
  <c r="CZ66" i="3"/>
  <c r="CZ64" i="3"/>
  <c r="CZ63" i="3"/>
  <c r="DA66" i="3"/>
  <c r="DA64" i="3"/>
  <c r="DA63" i="3"/>
  <c r="EP25" i="3"/>
  <c r="EP24" i="3"/>
  <c r="EP23" i="3"/>
  <c r="EP22" i="3"/>
  <c r="CZ65" i="3"/>
  <c r="DI66" i="3"/>
  <c r="DI63" i="3"/>
  <c r="DI65" i="3"/>
  <c r="I68" i="3"/>
  <c r="BE68" i="3" s="1"/>
  <c r="AY27" i="3"/>
  <c r="CU27" i="3" s="1"/>
  <c r="J68" i="3"/>
  <c r="BF68" i="3" s="1"/>
  <c r="R68" i="3"/>
  <c r="BN68" i="3" s="1"/>
  <c r="U6" i="3"/>
  <c r="BQ6" i="3" s="1"/>
  <c r="AJ6" i="3"/>
  <c r="CF6" i="3" s="1"/>
  <c r="AL7" i="3"/>
  <c r="W10" i="3"/>
  <c r="AU16" i="3"/>
  <c r="AJ23" i="3"/>
  <c r="S28" i="3"/>
  <c r="AH30" i="3"/>
  <c r="AN30" i="3"/>
  <c r="AC40" i="3"/>
  <c r="R44" i="3"/>
  <c r="AH64" i="3"/>
  <c r="AH70" i="3"/>
  <c r="AL8" i="3"/>
  <c r="AJ29" i="3"/>
  <c r="AL52" i="3"/>
  <c r="CH52" i="3" s="1"/>
  <c r="W9" i="3"/>
  <c r="AG30" i="3"/>
  <c r="AJ53" i="3"/>
  <c r="AI25" i="3"/>
  <c r="AJ52" i="3"/>
  <c r="CF52" i="3" s="1"/>
  <c r="O54" i="3"/>
  <c r="AJ28" i="3"/>
  <c r="AJ10" i="3"/>
  <c r="AI30" i="3"/>
  <c r="Q58" i="3"/>
  <c r="P47" i="3"/>
  <c r="AK8" i="3"/>
  <c r="AK10" i="3"/>
  <c r="AJ30" i="3"/>
  <c r="AJ25" i="3"/>
  <c r="AI8" i="3"/>
  <c r="AL64" i="3"/>
  <c r="AK15" i="3"/>
  <c r="AI31" i="3"/>
  <c r="O66" i="3"/>
  <c r="AJ15" i="3"/>
  <c r="R16" i="3"/>
  <c r="AJ31" i="3"/>
  <c r="AM69" i="3"/>
  <c r="AK18" i="3"/>
  <c r="CG18" i="3" s="1"/>
  <c r="AA37" i="3"/>
  <c r="BW37" i="3" s="1"/>
  <c r="AL18" i="3"/>
  <c r="CH18" i="3" s="1"/>
  <c r="AI37" i="3"/>
  <c r="CE37" i="3" s="1"/>
  <c r="P21" i="3"/>
  <c r="BL21" i="3" s="1"/>
  <c r="AJ37" i="3"/>
  <c r="CF37" i="3" s="1"/>
  <c r="X71" i="3"/>
  <c r="AJ21" i="3"/>
  <c r="CF21" i="3" s="1"/>
  <c r="AJ71" i="3"/>
  <c r="AL21" i="3"/>
  <c r="CH21" i="3" s="1"/>
  <c r="AN86" i="3"/>
  <c r="AI52" i="3"/>
  <c r="CE52" i="3" s="1"/>
  <c r="AA3" i="3"/>
  <c r="BW3" i="3" s="1"/>
  <c r="AM21" i="3"/>
  <c r="CI21" i="3" s="1"/>
  <c r="AJ40" i="3"/>
  <c r="N87" i="3"/>
  <c r="M40" i="3"/>
  <c r="AD44" i="3"/>
  <c r="R58" i="3"/>
  <c r="AI3" i="3"/>
  <c r="CE3" i="3" s="1"/>
  <c r="AM10" i="3"/>
  <c r="AK23" i="3"/>
  <c r="AJ33" i="3"/>
  <c r="CF33" i="3" s="1"/>
  <c r="AG44" i="3"/>
  <c r="S59" i="3"/>
  <c r="AL3" i="3"/>
  <c r="CH3" i="3" s="1"/>
  <c r="M13" i="3"/>
  <c r="AL23" i="3"/>
  <c r="AL33" i="3"/>
  <c r="CH33" i="3" s="1"/>
  <c r="AJ44" i="3"/>
  <c r="W62" i="3"/>
  <c r="BS62" i="3" s="1"/>
  <c r="I78" i="3"/>
  <c r="R4" i="3"/>
  <c r="BN4" i="3" s="1"/>
  <c r="N13" i="3"/>
  <c r="P24" i="3"/>
  <c r="AM33" i="3"/>
  <c r="CI33" i="3" s="1"/>
  <c r="AM44" i="3"/>
  <c r="AI62" i="3"/>
  <c r="CE62" i="3" s="1"/>
  <c r="AH78" i="3"/>
  <c r="AJ4" i="3"/>
  <c r="CF4" i="3" s="1"/>
  <c r="AJ13" i="3"/>
  <c r="U24" i="3"/>
  <c r="AN33" i="3"/>
  <c r="CJ33" i="3" s="1"/>
  <c r="AN44" i="3"/>
  <c r="AJ62" i="3"/>
  <c r="CF62" i="3" s="1"/>
  <c r="AI78" i="3"/>
  <c r="AK4" i="3"/>
  <c r="CG4" i="3" s="1"/>
  <c r="W14" i="3"/>
  <c r="W24" i="3"/>
  <c r="BA33" i="3"/>
  <c r="CW33" i="3" s="1"/>
  <c r="AI45" i="3"/>
  <c r="S79" i="3"/>
  <c r="R6" i="3"/>
  <c r="BN6" i="3" s="1"/>
  <c r="M15" i="3"/>
  <c r="AL24" i="3"/>
  <c r="O34" i="3"/>
  <c r="BK34" i="3" s="1"/>
  <c r="AQ46" i="3"/>
  <c r="AL79" i="3"/>
  <c r="S6" i="3"/>
  <c r="BO6" i="3" s="1"/>
  <c r="N15" i="3"/>
  <c r="R25" i="3"/>
  <c r="AF36" i="3"/>
  <c r="CB36" i="3" s="1"/>
  <c r="AX46" i="3"/>
  <c r="M64" i="3"/>
  <c r="AI85" i="3"/>
  <c r="AG36" i="3"/>
  <c r="CC36" i="3" s="1"/>
  <c r="AG64" i="3"/>
  <c r="AJ7" i="3"/>
  <c r="AL15" i="3"/>
  <c r="AL25" i="3"/>
  <c r="J52" i="3"/>
  <c r="BF52" i="3" s="1"/>
  <c r="AI64" i="3"/>
  <c r="O87" i="3"/>
  <c r="Z37" i="3"/>
  <c r="BV37" i="3" s="1"/>
  <c r="M52" i="3"/>
  <c r="BI52" i="3" s="1"/>
  <c r="P87" i="3"/>
  <c r="AG8" i="3"/>
  <c r="N52" i="3"/>
  <c r="BJ52" i="3" s="1"/>
  <c r="P65" i="3"/>
  <c r="S90" i="3"/>
  <c r="AH8" i="3"/>
  <c r="AH18" i="3"/>
  <c r="CD18" i="3" s="1"/>
  <c r="O52" i="3"/>
  <c r="BK52" i="3" s="1"/>
  <c r="R65" i="3"/>
  <c r="O92" i="3"/>
  <c r="J78" i="3"/>
  <c r="M19" i="3"/>
  <c r="BI19" i="3" s="1"/>
  <c r="M28" i="3"/>
  <c r="N3" i="3"/>
  <c r="BJ3" i="3" s="1"/>
  <c r="AG13" i="3"/>
  <c r="N19" i="3"/>
  <c r="BJ19" i="3" s="1"/>
  <c r="N22" i="3"/>
  <c r="J34" i="3"/>
  <c r="BF34" i="3" s="1"/>
  <c r="AG40" i="3"/>
  <c r="AD47" i="3"/>
  <c r="AM8" i="3"/>
  <c r="AH13" i="3"/>
  <c r="AX15" i="3"/>
  <c r="O19" i="3"/>
  <c r="BK19" i="3" s="1"/>
  <c r="O22" i="3"/>
  <c r="T28" i="3"/>
  <c r="AX30" i="3"/>
  <c r="M34" i="3"/>
  <c r="BI34" i="3" s="1"/>
  <c r="AX44" i="3"/>
  <c r="AH47" i="3"/>
  <c r="AD71" i="3"/>
  <c r="AI90" i="3"/>
  <c r="AF3" i="3"/>
  <c r="CB3" i="3" s="1"/>
  <c r="AN6" i="3"/>
  <c r="CJ6" i="3" s="1"/>
  <c r="N9" i="3"/>
  <c r="AI13" i="3"/>
  <c r="BA15" i="3"/>
  <c r="P19" i="3"/>
  <c r="BL19" i="3" s="1"/>
  <c r="P22" i="3"/>
  <c r="AD24" i="3"/>
  <c r="BA30" i="3"/>
  <c r="N34" i="3"/>
  <c r="BJ34" i="3" s="1"/>
  <c r="AK40" i="3"/>
  <c r="AZ44" i="3"/>
  <c r="AI47" i="3"/>
  <c r="AK52" i="3"/>
  <c r="CG52" i="3" s="1"/>
  <c r="M62" i="3"/>
  <c r="BI62" i="3" s="1"/>
  <c r="AI71" i="3"/>
  <c r="AY80" i="3"/>
  <c r="AX90" i="3"/>
  <c r="J40" i="3"/>
  <c r="AX58" i="3"/>
  <c r="AG3" i="3"/>
  <c r="CC3" i="3" s="1"/>
  <c r="AZ6" i="3"/>
  <c r="CV6" i="3" s="1"/>
  <c r="M16" i="3"/>
  <c r="Q19" i="3"/>
  <c r="BM19" i="3" s="1"/>
  <c r="Q22" i="3"/>
  <c r="AG24" i="3"/>
  <c r="AD28" i="3"/>
  <c r="AG31" i="3"/>
  <c r="AF37" i="3"/>
  <c r="CB37" i="3" s="1"/>
  <c r="BA40" i="3"/>
  <c r="BA44" i="3"/>
  <c r="N65" i="3"/>
  <c r="AZ80" i="3"/>
  <c r="AK91" i="3"/>
  <c r="AH3" i="3"/>
  <c r="CD3" i="3" s="1"/>
  <c r="M7" i="3"/>
  <c r="X9" i="3"/>
  <c r="AX13" i="3"/>
  <c r="P16" i="3"/>
  <c r="R19" i="3"/>
  <c r="BN19" i="3" s="1"/>
  <c r="R22" i="3"/>
  <c r="AJ24" i="3"/>
  <c r="AG28" i="3"/>
  <c r="AH31" i="3"/>
  <c r="P34" i="3"/>
  <c r="BL34" i="3" s="1"/>
  <c r="AG37" i="3"/>
  <c r="CC37" i="3" s="1"/>
  <c r="AE41" i="3"/>
  <c r="AG45" i="3"/>
  <c r="AD49" i="3"/>
  <c r="BZ49" i="3" s="1"/>
  <c r="X62" i="3"/>
  <c r="BT62" i="3" s="1"/>
  <c r="N72" i="3"/>
  <c r="J81" i="3"/>
  <c r="AX91" i="3"/>
  <c r="N7" i="3"/>
  <c r="AD9" i="3"/>
  <c r="AY13" i="3"/>
  <c r="Q16" i="3"/>
  <c r="AG19" i="3"/>
  <c r="CC19" i="3" s="1"/>
  <c r="S22" i="3"/>
  <c r="AK24" i="3"/>
  <c r="Q34" i="3"/>
  <c r="BM34" i="3" s="1"/>
  <c r="AH37" i="3"/>
  <c r="CD37" i="3" s="1"/>
  <c r="AF41" i="3"/>
  <c r="AH45" i="3"/>
  <c r="AG49" i="3"/>
  <c r="CC49" i="3" s="1"/>
  <c r="AF53" i="3"/>
  <c r="AD62" i="3"/>
  <c r="BZ62" i="3" s="1"/>
  <c r="N81" i="3"/>
  <c r="S7" i="3"/>
  <c r="AG9" i="3"/>
  <c r="AZ13" i="3"/>
  <c r="AH19" i="3"/>
  <c r="CD19" i="3" s="1"/>
  <c r="AH22" i="3"/>
  <c r="M29" i="3"/>
  <c r="AH34" i="3"/>
  <c r="CD34" i="3" s="1"/>
  <c r="AG41" i="3"/>
  <c r="AH49" i="3"/>
  <c r="CD49" i="3" s="1"/>
  <c r="AG53" i="3"/>
  <c r="Q65" i="3"/>
  <c r="AG72" i="3"/>
  <c r="AD81" i="3"/>
  <c r="AD92" i="3"/>
  <c r="AD40" i="3"/>
  <c r="AM3" i="3"/>
  <c r="CI3" i="3" s="1"/>
  <c r="AH7" i="3"/>
  <c r="AH9" i="3"/>
  <c r="L14" i="3"/>
  <c r="S16" i="3"/>
  <c r="M21" i="3"/>
  <c r="BI21" i="3" s="1"/>
  <c r="AM22" i="3"/>
  <c r="AM24" i="3"/>
  <c r="AG29" i="3"/>
  <c r="AY34" i="3"/>
  <c r="CU34" i="3" s="1"/>
  <c r="AH41" i="3"/>
  <c r="AM45" i="3"/>
  <c r="AI49" i="3"/>
  <c r="CE49" i="3" s="1"/>
  <c r="AH72" i="3"/>
  <c r="T84" i="3"/>
  <c r="AX92" i="3"/>
  <c r="AD58" i="3"/>
  <c r="L4" i="3"/>
  <c r="BH4" i="3" s="1"/>
  <c r="AI7" i="3"/>
  <c r="AI9" i="3"/>
  <c r="Q14" i="3"/>
  <c r="N21" i="3"/>
  <c r="BJ21" i="3" s="1"/>
  <c r="J23" i="3"/>
  <c r="L25" i="3"/>
  <c r="AH29" i="3"/>
  <c r="AZ34" i="3"/>
  <c r="CV34" i="3" s="1"/>
  <c r="AI41" i="3"/>
  <c r="AN45" i="3"/>
  <c r="AK49" i="3"/>
  <c r="CG49" i="3" s="1"/>
  <c r="AX53" i="3"/>
  <c r="S65" i="3"/>
  <c r="S74" i="3"/>
  <c r="BO74" i="3" s="1"/>
  <c r="AH84" i="3"/>
  <c r="BA92" i="3"/>
  <c r="Q4" i="3"/>
  <c r="BM4" i="3" s="1"/>
  <c r="AZ9" i="3"/>
  <c r="R14" i="3"/>
  <c r="AW16" i="3"/>
  <c r="O21" i="3"/>
  <c r="BK21" i="3" s="1"/>
  <c r="M23" i="3"/>
  <c r="M25" i="3"/>
  <c r="AI29" i="3"/>
  <c r="BA34" i="3"/>
  <c r="CW34" i="3" s="1"/>
  <c r="BA37" i="3"/>
  <c r="CW37" i="3" s="1"/>
  <c r="AJ41" i="3"/>
  <c r="AX45" i="3"/>
  <c r="AL49" i="3"/>
  <c r="CH49" i="3" s="1"/>
  <c r="BA53" i="3"/>
  <c r="AH65" i="3"/>
  <c r="AH74" i="3"/>
  <c r="CD74" i="3" s="1"/>
  <c r="N85" i="3"/>
  <c r="AD98" i="3"/>
  <c r="J47" i="3"/>
  <c r="N23" i="3"/>
  <c r="Q25" i="3"/>
  <c r="BA31" i="3"/>
  <c r="J36" i="3"/>
  <c r="BF36" i="3" s="1"/>
  <c r="L39" i="3"/>
  <c r="BH39" i="3" s="1"/>
  <c r="AN41" i="3"/>
  <c r="M46" i="3"/>
  <c r="BA49" i="3"/>
  <c r="CW49" i="3" s="1"/>
  <c r="J63" i="3"/>
  <c r="AH75" i="3"/>
  <c r="CD75" i="3" s="1"/>
  <c r="AH98" i="3"/>
  <c r="S4" i="3"/>
  <c r="BO4" i="3" s="1"/>
  <c r="AK7" i="3"/>
  <c r="X14" i="3"/>
  <c r="AZ16" i="3"/>
  <c r="AG21" i="3"/>
  <c r="CC21" i="3" s="1"/>
  <c r="O23" i="3"/>
  <c r="AK29" i="3"/>
  <c r="M33" i="3"/>
  <c r="BI33" i="3" s="1"/>
  <c r="M36" i="3"/>
  <c r="BI36" i="3" s="1"/>
  <c r="N39" i="3"/>
  <c r="BJ39" i="3" s="1"/>
  <c r="BA41" i="3"/>
  <c r="N46" i="3"/>
  <c r="J50" i="3"/>
  <c r="BF50" i="3" s="1"/>
  <c r="T54" i="3"/>
  <c r="AD66" i="3"/>
  <c r="AI75" i="3"/>
  <c r="CE75" i="3" s="1"/>
  <c r="AX85" i="3"/>
  <c r="AI98" i="3"/>
  <c r="AD4" i="3"/>
  <c r="BZ4" i="3" s="1"/>
  <c r="AM7" i="3"/>
  <c r="X10" i="3"/>
  <c r="AF14" i="3"/>
  <c r="M18" i="3"/>
  <c r="BI18" i="3" s="1"/>
  <c r="AH21" i="3"/>
  <c r="CD21" i="3" s="1"/>
  <c r="P23" i="3"/>
  <c r="S25" i="3"/>
  <c r="AL29" i="3"/>
  <c r="N33" i="3"/>
  <c r="BJ33" i="3" s="1"/>
  <c r="P36" i="3"/>
  <c r="BL36" i="3" s="1"/>
  <c r="AJ39" i="3"/>
  <c r="CF39" i="3" s="1"/>
  <c r="O46" i="3"/>
  <c r="M50" i="3"/>
  <c r="BI50" i="3" s="1"/>
  <c r="AD54" i="3"/>
  <c r="AD55" i="3" s="1"/>
  <c r="BZ55" i="3" s="1"/>
  <c r="M63" i="3"/>
  <c r="AN66" i="3"/>
  <c r="AJ75" i="3"/>
  <c r="CF75" i="3" s="1"/>
  <c r="BA85" i="3"/>
  <c r="AJ98" i="3"/>
  <c r="AG4" i="3"/>
  <c r="CC4" i="3" s="1"/>
  <c r="AN7" i="3"/>
  <c r="AE10" i="3"/>
  <c r="AM14" i="3"/>
  <c r="N18" i="3"/>
  <c r="BJ18" i="3" s="1"/>
  <c r="AI21" i="3"/>
  <c r="CE21" i="3" s="1"/>
  <c r="AG23" i="3"/>
  <c r="T25" i="3"/>
  <c r="AM29" i="3"/>
  <c r="AF33" i="3"/>
  <c r="CB33" i="3" s="1"/>
  <c r="T36" i="3"/>
  <c r="BP36" i="3" s="1"/>
  <c r="AX39" i="3"/>
  <c r="CT39" i="3" s="1"/>
  <c r="S46" i="3"/>
  <c r="O50" i="3"/>
  <c r="BK50" i="3" s="1"/>
  <c r="AG54" i="3"/>
  <c r="N63" i="3"/>
  <c r="AN75" i="3"/>
  <c r="CJ75" i="3" s="1"/>
  <c r="N86" i="3"/>
  <c r="N99" i="3"/>
  <c r="J22" i="3"/>
  <c r="AY16" i="3"/>
  <c r="AH4" i="3"/>
  <c r="CD4" i="3" s="1"/>
  <c r="BA7" i="3"/>
  <c r="AF10" i="3"/>
  <c r="AX14" i="3"/>
  <c r="O18" i="3"/>
  <c r="BK18" i="3" s="1"/>
  <c r="AH23" i="3"/>
  <c r="AG25" i="3"/>
  <c r="N30" i="3"/>
  <c r="AD36" i="3"/>
  <c r="BZ36" i="3" s="1"/>
  <c r="AZ39" i="3"/>
  <c r="CV39" i="3" s="1"/>
  <c r="S44" i="3"/>
  <c r="AH50" i="3"/>
  <c r="CD50" i="3" s="1"/>
  <c r="AI54" i="3"/>
  <c r="N69" i="3"/>
  <c r="N77" i="3"/>
  <c r="BJ77" i="3" s="1"/>
  <c r="AD86" i="3"/>
  <c r="O99" i="3"/>
  <c r="M22" i="3"/>
  <c r="BA9" i="3"/>
  <c r="AI4" i="3"/>
  <c r="AD8" i="3"/>
  <c r="BA14" i="3"/>
  <c r="P18" i="3"/>
  <c r="BL18" i="3" s="1"/>
  <c r="AK21" i="3"/>
  <c r="CG21" i="3" s="1"/>
  <c r="AI23" i="3"/>
  <c r="AH25" i="3"/>
  <c r="AD30" i="3"/>
  <c r="AK33" i="3"/>
  <c r="CG33" i="3" s="1"/>
  <c r="BA39" i="3"/>
  <c r="CW39" i="3" s="1"/>
  <c r="T44" i="3"/>
  <c r="AR46" i="3"/>
  <c r="BA50" i="3"/>
  <c r="CW50" i="3" s="1"/>
  <c r="P58" i="3"/>
  <c r="AJ69" i="3"/>
  <c r="AJ77" i="3"/>
  <c r="CF77" i="3" s="1"/>
  <c r="AH86" i="3"/>
  <c r="AI99" i="3"/>
  <c r="V40" i="3"/>
  <c r="V54" i="3"/>
  <c r="V58" i="3"/>
  <c r="V21" i="3"/>
  <c r="BR21" i="3" s="1"/>
  <c r="V13" i="3"/>
  <c r="V19" i="3"/>
  <c r="BR19" i="3" s="1"/>
  <c r="V4" i="3"/>
  <c r="BR4" i="3" s="1"/>
  <c r="V70" i="3"/>
  <c r="V84" i="3"/>
  <c r="V22" i="3"/>
  <c r="V6" i="3"/>
  <c r="BR6" i="3" s="1"/>
  <c r="V25" i="3"/>
  <c r="V23" i="3"/>
  <c r="V30" i="3"/>
  <c r="V29" i="3"/>
  <c r="V14" i="3"/>
  <c r="V10" i="3"/>
  <c r="V9" i="3"/>
  <c r="AO59" i="3"/>
  <c r="AO18" i="3"/>
  <c r="CK18" i="3" s="1"/>
  <c r="AO37" i="3"/>
  <c r="CK37" i="3" s="1"/>
  <c r="AO60" i="3"/>
  <c r="AO101" i="3"/>
  <c r="CK101" i="3" s="1"/>
  <c r="AO86" i="3"/>
  <c r="AO30" i="3"/>
  <c r="AO6" i="3"/>
  <c r="CK6" i="3" s="1"/>
  <c r="AO50" i="3"/>
  <c r="CK50" i="3" s="1"/>
  <c r="AO21" i="3"/>
  <c r="CK21" i="3" s="1"/>
  <c r="AO8" i="3"/>
  <c r="AO28" i="3"/>
  <c r="AO7" i="3"/>
  <c r="AO10" i="3"/>
  <c r="AO13" i="3"/>
  <c r="AO52" i="3"/>
  <c r="CK52" i="3" s="1"/>
  <c r="AO24" i="3"/>
  <c r="AO29" i="3"/>
  <c r="AO3" i="3"/>
  <c r="CK3" i="3" s="1"/>
  <c r="AO14" i="3"/>
  <c r="AO45" i="3"/>
  <c r="AO46" i="3"/>
  <c r="AO39" i="3"/>
  <c r="CK39" i="3" s="1"/>
  <c r="U59" i="3"/>
  <c r="U14" i="3"/>
  <c r="U10" i="3"/>
  <c r="U9" i="3"/>
  <c r="U54" i="3"/>
  <c r="U19" i="3"/>
  <c r="BQ19" i="3" s="1"/>
  <c r="U22" i="3"/>
  <c r="U25" i="3"/>
  <c r="U65" i="3"/>
  <c r="U16" i="3"/>
  <c r="U84" i="3"/>
  <c r="U4" i="3"/>
  <c r="BQ4" i="3" s="1"/>
  <c r="U58" i="3"/>
  <c r="U21" i="3"/>
  <c r="BQ21" i="3" s="1"/>
  <c r="U71" i="3"/>
  <c r="U8" i="3"/>
  <c r="AP34" i="3"/>
  <c r="CL34" i="3" s="1"/>
  <c r="AP9" i="3"/>
  <c r="AP21" i="3"/>
  <c r="CL21" i="3" s="1"/>
  <c r="AP31" i="3"/>
  <c r="AP8" i="3"/>
  <c r="AP15" i="3"/>
  <c r="AP23" i="3"/>
  <c r="AP3" i="3"/>
  <c r="CL3" i="3" s="1"/>
  <c r="AP7" i="3"/>
  <c r="AP36" i="3"/>
  <c r="CL36" i="3" s="1"/>
  <c r="AP78" i="3"/>
  <c r="AP52" i="3"/>
  <c r="CL52" i="3" s="1"/>
  <c r="AP25" i="3"/>
  <c r="AP24" i="3"/>
  <c r="AP4" i="3"/>
  <c r="CL4" i="3" s="1"/>
  <c r="AP29" i="3"/>
  <c r="AP6" i="3"/>
  <c r="CL6" i="3" s="1"/>
  <c r="AP14" i="3"/>
  <c r="AP13" i="3"/>
  <c r="V8" i="3"/>
  <c r="AP46" i="3"/>
  <c r="Z3" i="3"/>
  <c r="BV3" i="3" s="1"/>
  <c r="AT16" i="3"/>
  <c r="AQ18" i="3"/>
  <c r="CM18" i="3" s="1"/>
  <c r="Y37" i="3"/>
  <c r="BU37" i="3" s="1"/>
  <c r="Z75" i="3"/>
  <c r="BV75" i="3" s="1"/>
  <c r="AX80" i="3"/>
  <c r="AD97" i="3"/>
  <c r="AN14" i="3"/>
  <c r="AR15" i="3"/>
  <c r="X28" i="3"/>
  <c r="AS31" i="3"/>
  <c r="AQ33" i="3"/>
  <c r="CM33" i="3" s="1"/>
  <c r="X58" i="3"/>
  <c r="T81" i="3"/>
  <c r="AR91" i="3"/>
  <c r="AX98" i="3"/>
  <c r="W6" i="3"/>
  <c r="BS6" i="3" s="1"/>
  <c r="AN3" i="3"/>
  <c r="CJ3" i="3" s="1"/>
  <c r="AR9" i="3"/>
  <c r="W19" i="3"/>
  <c r="BS19" i="3" s="1"/>
  <c r="W50" i="3"/>
  <c r="BS50" i="3" s="1"/>
  <c r="AN52" i="3"/>
  <c r="CJ52" i="3" s="1"/>
  <c r="AQ3" i="3"/>
  <c r="CM3" i="3" s="1"/>
  <c r="AX8" i="3"/>
  <c r="AV9" i="3"/>
  <c r="AD18" i="3"/>
  <c r="BZ18" i="3" s="1"/>
  <c r="W22" i="3"/>
  <c r="AT28" i="3"/>
  <c r="AR29" i="3"/>
  <c r="K31" i="3"/>
  <c r="K45" i="3"/>
  <c r="X50" i="3"/>
  <c r="BT50" i="3" s="1"/>
  <c r="AT59" i="3"/>
  <c r="AN78" i="3"/>
  <c r="J93" i="3"/>
  <c r="AY99" i="3"/>
  <c r="AR3" i="3"/>
  <c r="CN3" i="3" s="1"/>
  <c r="AX4" i="3"/>
  <c r="CT4" i="3" s="1"/>
  <c r="J8" i="3"/>
  <c r="BA8" i="3"/>
  <c r="AW9" i="3"/>
  <c r="BA13" i="3"/>
  <c r="AG22" i="3"/>
  <c r="AQ24" i="3"/>
  <c r="AX28" i="3"/>
  <c r="BA29" i="3"/>
  <c r="O33" i="3"/>
  <c r="BK33" i="3" s="1"/>
  <c r="J39" i="3"/>
  <c r="BF39" i="3" s="1"/>
  <c r="L45" i="3"/>
  <c r="P46" i="3"/>
  <c r="AG50" i="3"/>
  <c r="CC50" i="3" s="1"/>
  <c r="AS54" i="3"/>
  <c r="AX59" i="3"/>
  <c r="AD63" i="3"/>
  <c r="AI72" i="3"/>
  <c r="AI84" i="3"/>
  <c r="AS87" i="3"/>
  <c r="P93" i="3"/>
  <c r="J101" i="3"/>
  <c r="BF101" i="3" s="1"/>
  <c r="AR86" i="3"/>
  <c r="BA3" i="3"/>
  <c r="CW3" i="3" s="1"/>
  <c r="BA4" i="3"/>
  <c r="CW4" i="3" s="1"/>
  <c r="O7" i="3"/>
  <c r="M8" i="3"/>
  <c r="J9" i="3"/>
  <c r="AX9" i="3"/>
  <c r="O13" i="3"/>
  <c r="O15" i="3"/>
  <c r="T16" i="3"/>
  <c r="AI18" i="3"/>
  <c r="CE18" i="3" s="1"/>
  <c r="AI19" i="3"/>
  <c r="CE19" i="3" s="1"/>
  <c r="AR24" i="3"/>
  <c r="AQ25" i="3"/>
  <c r="AY28" i="3"/>
  <c r="J30" i="3"/>
  <c r="M31" i="3"/>
  <c r="P33" i="3"/>
  <c r="BL33" i="3" s="1"/>
  <c r="T34" i="3"/>
  <c r="BP34" i="3" s="1"/>
  <c r="AN40" i="3"/>
  <c r="M45" i="3"/>
  <c r="AN47" i="3"/>
  <c r="AQ52" i="3"/>
  <c r="CM52" i="3" s="1"/>
  <c r="AU54" i="3"/>
  <c r="O60" i="3"/>
  <c r="AF63" i="3"/>
  <c r="T65" i="3"/>
  <c r="AQ78" i="3"/>
  <c r="AX84" i="3"/>
  <c r="AW87" i="3"/>
  <c r="AG93" i="3"/>
  <c r="P101" i="3"/>
  <c r="BL101" i="3" s="1"/>
  <c r="W28" i="3"/>
  <c r="AN10" i="3"/>
  <c r="AQ14" i="3"/>
  <c r="AQ6" i="3"/>
  <c r="CM6" i="3" s="1"/>
  <c r="AN24" i="3"/>
  <c r="X19" i="3"/>
  <c r="BT19" i="3" s="1"/>
  <c r="M3" i="3"/>
  <c r="BI3" i="3" s="1"/>
  <c r="J4" i="3"/>
  <c r="BF4" i="3" s="1"/>
  <c r="P7" i="3"/>
  <c r="N8" i="3"/>
  <c r="M9" i="3"/>
  <c r="AY9" i="3"/>
  <c r="P13" i="3"/>
  <c r="P14" i="3"/>
  <c r="P15" i="3"/>
  <c r="AJ18" i="3"/>
  <c r="CF18" i="3" s="1"/>
  <c r="AJ19" i="3"/>
  <c r="CF19" i="3" s="1"/>
  <c r="AI22" i="3"/>
  <c r="BA24" i="3"/>
  <c r="AR25" i="3"/>
  <c r="AZ28" i="3"/>
  <c r="M30" i="3"/>
  <c r="N31" i="3"/>
  <c r="AD34" i="3"/>
  <c r="BZ34" i="3" s="1"/>
  <c r="AX36" i="3"/>
  <c r="CT36" i="3" s="1"/>
  <c r="M39" i="3"/>
  <c r="BI39" i="3" s="1"/>
  <c r="AR40" i="3"/>
  <c r="N45" i="3"/>
  <c r="AD46" i="3"/>
  <c r="AI50" i="3"/>
  <c r="CE50" i="3" s="1"/>
  <c r="AR52" i="3"/>
  <c r="CN52" i="3" s="1"/>
  <c r="AV54" i="3"/>
  <c r="W60" i="3"/>
  <c r="AG63" i="3"/>
  <c r="X74" i="3"/>
  <c r="BT74" i="3" s="1"/>
  <c r="R79" i="3"/>
  <c r="BA84" i="3"/>
  <c r="AX87" i="3"/>
  <c r="AH93" i="3"/>
  <c r="AH101" i="3"/>
  <c r="CD101" i="3" s="1"/>
  <c r="AA18" i="3"/>
  <c r="BW18" i="3" s="1"/>
  <c r="AU9" i="3"/>
  <c r="X84" i="3"/>
  <c r="K4" i="3"/>
  <c r="BG4" i="3" s="1"/>
  <c r="I6" i="3"/>
  <c r="BE6" i="3" s="1"/>
  <c r="O8" i="3"/>
  <c r="X15" i="3"/>
  <c r="W16" i="3"/>
  <c r="AR19" i="3"/>
  <c r="CN19" i="3" s="1"/>
  <c r="AN21" i="3"/>
  <c r="CJ21" i="3" s="1"/>
  <c r="AQ23" i="3"/>
  <c r="BA25" i="3"/>
  <c r="BA28" i="3"/>
  <c r="O31" i="3"/>
  <c r="AG34" i="3"/>
  <c r="CC34" i="3" s="1"/>
  <c r="BA36" i="3"/>
  <c r="CW36" i="3" s="1"/>
  <c r="AX40" i="3"/>
  <c r="O45" i="3"/>
  <c r="AI46" i="3"/>
  <c r="AN50" i="3"/>
  <c r="CJ50" i="3" s="1"/>
  <c r="AX52" i="3"/>
  <c r="CT52" i="3" s="1"/>
  <c r="AX54" i="3"/>
  <c r="AG60" i="3"/>
  <c r="AG65" i="3"/>
  <c r="AD70" i="3"/>
  <c r="AD74" i="3"/>
  <c r="BZ74" i="3" s="1"/>
  <c r="M85" i="3"/>
  <c r="AY87" i="3"/>
  <c r="O96" i="3"/>
  <c r="AI101" i="3"/>
  <c r="CE101" i="3" s="1"/>
  <c r="AQ66" i="3"/>
  <c r="AQ15" i="3"/>
  <c r="AR66" i="3"/>
  <c r="T22" i="3"/>
  <c r="AN29" i="3"/>
  <c r="X69" i="3"/>
  <c r="K6" i="3"/>
  <c r="BG6" i="3" s="1"/>
  <c r="X7" i="3"/>
  <c r="P8" i="3"/>
  <c r="O9" i="3"/>
  <c r="W13" i="3"/>
  <c r="AS19" i="3"/>
  <c r="CO19" i="3" s="1"/>
  <c r="AT22" i="3"/>
  <c r="AR23" i="3"/>
  <c r="I28" i="3"/>
  <c r="O30" i="3"/>
  <c r="P31" i="3"/>
  <c r="M37" i="3"/>
  <c r="BI37" i="3" s="1"/>
  <c r="AD39" i="3"/>
  <c r="BZ39" i="3" s="1"/>
  <c r="J44" i="3"/>
  <c r="P45" i="3"/>
  <c r="AJ46" i="3"/>
  <c r="J49" i="3"/>
  <c r="BF49" i="3" s="1"/>
  <c r="BA52" i="3"/>
  <c r="CW52" i="3" s="1"/>
  <c r="BA54" i="3"/>
  <c r="J89" i="3"/>
  <c r="BF89" i="3" s="1"/>
  <c r="P96" i="3"/>
  <c r="AN101" i="3"/>
  <c r="CJ101" i="3" s="1"/>
  <c r="AR13" i="3"/>
  <c r="AR45" i="3"/>
  <c r="AQ7" i="3"/>
  <c r="AN28" i="3"/>
  <c r="X16" i="3"/>
  <c r="P3" i="3"/>
  <c r="BL3" i="3" s="1"/>
  <c r="M4" i="3"/>
  <c r="BI4" i="3" s="1"/>
  <c r="L6" i="3"/>
  <c r="BH6" i="3" s="1"/>
  <c r="Z7" i="3"/>
  <c r="Q8" i="3"/>
  <c r="P9" i="3"/>
  <c r="P10" i="3"/>
  <c r="X13" i="3"/>
  <c r="S14" i="3"/>
  <c r="Z15" i="3"/>
  <c r="AD16" i="3"/>
  <c r="AM18" i="3"/>
  <c r="CI18" i="3" s="1"/>
  <c r="AT19" i="3"/>
  <c r="CP19" i="3" s="1"/>
  <c r="BA23" i="3"/>
  <c r="N25" i="3"/>
  <c r="J28" i="3"/>
  <c r="N29" i="3"/>
  <c r="P30" i="3"/>
  <c r="Q31" i="3"/>
  <c r="AG33" i="3"/>
  <c r="CC33" i="3" s="1"/>
  <c r="AI34" i="3"/>
  <c r="CE34" i="3" s="1"/>
  <c r="N37" i="3"/>
  <c r="BJ37" i="3" s="1"/>
  <c r="AG39" i="3"/>
  <c r="CC39" i="3" s="1"/>
  <c r="M41" i="3"/>
  <c r="M44" i="3"/>
  <c r="Q45" i="3"/>
  <c r="L49" i="3"/>
  <c r="BH49" i="3" s="1"/>
  <c r="AQ50" i="3"/>
  <c r="CM50" i="3" s="1"/>
  <c r="M53" i="3"/>
  <c r="AD57" i="3"/>
  <c r="AN60" i="3"/>
  <c r="AN63" i="3"/>
  <c r="N71" i="3"/>
  <c r="M80" i="3"/>
  <c r="S89" i="3"/>
  <c r="BO89" i="3" s="1"/>
  <c r="AI96" i="3"/>
  <c r="AQ91" i="3"/>
  <c r="W23" i="3"/>
  <c r="X25" i="3"/>
  <c r="AQ45" i="3"/>
  <c r="AA21" i="3"/>
  <c r="BW21" i="3" s="1"/>
  <c r="X23" i="3"/>
  <c r="AQ9" i="3"/>
  <c r="AR59" i="3"/>
  <c r="J31" i="3"/>
  <c r="O3" i="3"/>
  <c r="BK3" i="3" s="1"/>
  <c r="Y15" i="3"/>
  <c r="S3" i="3"/>
  <c r="BO3" i="3" s="1"/>
  <c r="N4" i="3"/>
  <c r="BJ4" i="3" s="1"/>
  <c r="P6" i="3"/>
  <c r="BL6" i="3" s="1"/>
  <c r="AA7" i="3"/>
  <c r="R8" i="3"/>
  <c r="Q9" i="3"/>
  <c r="Q10" i="3"/>
  <c r="T14" i="3"/>
  <c r="AD15" i="3"/>
  <c r="AJ16" i="3"/>
  <c r="AN18" i="3"/>
  <c r="CJ18" i="3" s="1"/>
  <c r="AX19" i="3"/>
  <c r="CT19" i="3" s="1"/>
  <c r="AQ21" i="3"/>
  <c r="CM21" i="3" s="1"/>
  <c r="AW22" i="3"/>
  <c r="J24" i="3"/>
  <c r="O25" i="3"/>
  <c r="K28" i="3"/>
  <c r="O29" i="3"/>
  <c r="R30" i="3"/>
  <c r="R31" i="3"/>
  <c r="AH33" i="3"/>
  <c r="CD33" i="3" s="1"/>
  <c r="AM34" i="3"/>
  <c r="CI34" i="3" s="1"/>
  <c r="O37" i="3"/>
  <c r="BK37" i="3" s="1"/>
  <c r="AH39" i="3"/>
  <c r="CD39" i="3" s="1"/>
  <c r="N41" i="3"/>
  <c r="P44" i="3"/>
  <c r="R45" i="3"/>
  <c r="M49" i="3"/>
  <c r="BI49" i="3" s="1"/>
  <c r="AR50" i="3"/>
  <c r="CN50" i="3" s="1"/>
  <c r="S53" i="3"/>
  <c r="AG57" i="3"/>
  <c r="M66" i="3"/>
  <c r="Q71" i="3"/>
  <c r="P75" i="3"/>
  <c r="BL75" i="3" s="1"/>
  <c r="N80" i="3"/>
  <c r="AI89" i="3"/>
  <c r="CE89" i="3" s="1"/>
  <c r="AW96" i="3"/>
  <c r="AX101" i="3"/>
  <c r="CT101" i="3" s="1"/>
  <c r="AQ13" i="3"/>
  <c r="W40" i="3"/>
  <c r="AR7" i="3"/>
  <c r="J13" i="3"/>
  <c r="AC18" i="3"/>
  <c r="BY18" i="3" s="1"/>
  <c r="AS59" i="3"/>
  <c r="AX99" i="3"/>
  <c r="X3" i="3"/>
  <c r="BT3" i="3" s="1"/>
  <c r="O4" i="3"/>
  <c r="BK4" i="3" s="1"/>
  <c r="Q6" i="3"/>
  <c r="BM6" i="3" s="1"/>
  <c r="AG7" i="3"/>
  <c r="S8" i="3"/>
  <c r="AD13" i="3"/>
  <c r="AI15" i="3"/>
  <c r="AR21" i="3"/>
  <c r="CN21" i="3" s="1"/>
  <c r="AX22" i="3"/>
  <c r="P25" i="3"/>
  <c r="L28" i="3"/>
  <c r="P29" i="3"/>
  <c r="S30" i="3"/>
  <c r="AD31" i="3"/>
  <c r="AI33" i="3"/>
  <c r="CE33" i="3" s="1"/>
  <c r="AX34" i="3"/>
  <c r="CT34" i="3" s="1"/>
  <c r="P37" i="3"/>
  <c r="BL37" i="3" s="1"/>
  <c r="AI39" i="3"/>
  <c r="CE39" i="3" s="1"/>
  <c r="X41" i="3"/>
  <c r="Q44" i="3"/>
  <c r="AN46" i="3"/>
  <c r="N49" i="3"/>
  <c r="BJ49" i="3" s="1"/>
  <c r="AX50" i="3"/>
  <c r="CT50" i="3" s="1"/>
  <c r="O58" i="3"/>
  <c r="N66" i="3"/>
  <c r="R71" i="3"/>
  <c r="X75" i="3"/>
  <c r="BT75" i="3" s="1"/>
  <c r="AI80" i="3"/>
  <c r="P90" i="3"/>
  <c r="N97" i="3"/>
  <c r="W102" i="3"/>
  <c r="BS102" i="3" s="1"/>
  <c r="Y93" i="3"/>
  <c r="Y65" i="3"/>
  <c r="Y89" i="3"/>
  <c r="BU89" i="3" s="1"/>
  <c r="Y78" i="3"/>
  <c r="Y91" i="3"/>
  <c r="Y86" i="3"/>
  <c r="Y66" i="3"/>
  <c r="Y64" i="3"/>
  <c r="Y57" i="3"/>
  <c r="Y98" i="3"/>
  <c r="Y72" i="3"/>
  <c r="Y63" i="3"/>
  <c r="Y81" i="3"/>
  <c r="Y101" i="3"/>
  <c r="BU101" i="3" s="1"/>
  <c r="Y92" i="3"/>
  <c r="Y96" i="3"/>
  <c r="Y71" i="3"/>
  <c r="Y75" i="3"/>
  <c r="BU75" i="3" s="1"/>
  <c r="Y47" i="3"/>
  <c r="Y34" i="3"/>
  <c r="BU34" i="3" s="1"/>
  <c r="Y30" i="3"/>
  <c r="Y22" i="3"/>
  <c r="Y18" i="3"/>
  <c r="BU18" i="3" s="1"/>
  <c r="Y102" i="3"/>
  <c r="BU102" i="3" s="1"/>
  <c r="Y8" i="3"/>
  <c r="Y4" i="3"/>
  <c r="BU4" i="3" s="1"/>
  <c r="Y44" i="3"/>
  <c r="Y31" i="3"/>
  <c r="Y29" i="3"/>
  <c r="Y45" i="3"/>
  <c r="Y99" i="3"/>
  <c r="Y87" i="3"/>
  <c r="Y79" i="3"/>
  <c r="Y28" i="3"/>
  <c r="Y52" i="3"/>
  <c r="BU52" i="3" s="1"/>
  <c r="Y59" i="3"/>
  <c r="Y54" i="3"/>
  <c r="Y80" i="3"/>
  <c r="Y23" i="3"/>
  <c r="Y21" i="3"/>
  <c r="BU21" i="3" s="1"/>
  <c r="Y7" i="3"/>
  <c r="Y3" i="3"/>
  <c r="BU3" i="3" s="1"/>
  <c r="Y62" i="3"/>
  <c r="BU62" i="3" s="1"/>
  <c r="Y33" i="3"/>
  <c r="BU33" i="3" s="1"/>
  <c r="Y6" i="3"/>
  <c r="BU6" i="3" s="1"/>
  <c r="Y60" i="3"/>
  <c r="Y49" i="3"/>
  <c r="BU49" i="3" s="1"/>
  <c r="Y74" i="3"/>
  <c r="BU74" i="3" s="1"/>
  <c r="Y90" i="3"/>
  <c r="Y84" i="3"/>
  <c r="Y70" i="3"/>
  <c r="Y19" i="3"/>
  <c r="BU19" i="3" s="1"/>
  <c r="Y85" i="3"/>
  <c r="Y46" i="3"/>
  <c r="Y40" i="3"/>
  <c r="Y14" i="3"/>
  <c r="Y10" i="3"/>
  <c r="Y25" i="3"/>
  <c r="Y69" i="3"/>
  <c r="Y50" i="3"/>
  <c r="BU50" i="3" s="1"/>
  <c r="Y36" i="3"/>
  <c r="BU36" i="3" s="1"/>
  <c r="Y53" i="3"/>
  <c r="Y77" i="3"/>
  <c r="BU77" i="3" s="1"/>
  <c r="Y58" i="3"/>
  <c r="Y39" i="3"/>
  <c r="BU39" i="3" s="1"/>
  <c r="Y16" i="3"/>
  <c r="Y9" i="3"/>
  <c r="AS97" i="3"/>
  <c r="AS85" i="3"/>
  <c r="AS86" i="3"/>
  <c r="AS75" i="3"/>
  <c r="CO75" i="3" s="1"/>
  <c r="AS93" i="3"/>
  <c r="AS57" i="3"/>
  <c r="AS92" i="3"/>
  <c r="AS101" i="3"/>
  <c r="CO101" i="3" s="1"/>
  <c r="AS98" i="3"/>
  <c r="AS84" i="3"/>
  <c r="AS81" i="3"/>
  <c r="AS78" i="3"/>
  <c r="AS34" i="3"/>
  <c r="CO34" i="3" s="1"/>
  <c r="AS30" i="3"/>
  <c r="AS22" i="3"/>
  <c r="AS18" i="3"/>
  <c r="CO18" i="3" s="1"/>
  <c r="AS14" i="3"/>
  <c r="AS50" i="3"/>
  <c r="CO50" i="3" s="1"/>
  <c r="AS46" i="3"/>
  <c r="AS58" i="3"/>
  <c r="AS36" i="3"/>
  <c r="CO36" i="3" s="1"/>
  <c r="AS8" i="3"/>
  <c r="AS4" i="3"/>
  <c r="CO4" i="3" s="1"/>
  <c r="AS33" i="3"/>
  <c r="CO33" i="3" s="1"/>
  <c r="AS53" i="3"/>
  <c r="AS89" i="3"/>
  <c r="CO89" i="3" s="1"/>
  <c r="AS64" i="3"/>
  <c r="AS44" i="3"/>
  <c r="AS72" i="3"/>
  <c r="AS60" i="3"/>
  <c r="AS49" i="3"/>
  <c r="CO49" i="3" s="1"/>
  <c r="AS25" i="3"/>
  <c r="AS7" i="3"/>
  <c r="AS3" i="3"/>
  <c r="CO3" i="3" s="1"/>
  <c r="AS90" i="3"/>
  <c r="AS28" i="3"/>
  <c r="AS80" i="3"/>
  <c r="AS102" i="3"/>
  <c r="CO102" i="3" s="1"/>
  <c r="AS23" i="3"/>
  <c r="AS15" i="3"/>
  <c r="AS77" i="3"/>
  <c r="CO77" i="3" s="1"/>
  <c r="AS52" i="3"/>
  <c r="CO52" i="3" s="1"/>
  <c r="AS39" i="3"/>
  <c r="CO39" i="3" s="1"/>
  <c r="AS37" i="3"/>
  <c r="CO37" i="3" s="1"/>
  <c r="AS21" i="3"/>
  <c r="CO21" i="3" s="1"/>
  <c r="AS99" i="3"/>
  <c r="AS96" i="3"/>
  <c r="AS24" i="3"/>
  <c r="AS9" i="3"/>
  <c r="AS6" i="3"/>
  <c r="CO6" i="3" s="1"/>
  <c r="AS13" i="3"/>
  <c r="AS79" i="3"/>
  <c r="AS40" i="3"/>
  <c r="AS91" i="3"/>
  <c r="AS45" i="3"/>
  <c r="AS41" i="3"/>
  <c r="AS10" i="3"/>
  <c r="AS29" i="3"/>
  <c r="Y24" i="3"/>
  <c r="Z65" i="3"/>
  <c r="Z99" i="3"/>
  <c r="Z79" i="3"/>
  <c r="Z98" i="3"/>
  <c r="Z72" i="3"/>
  <c r="Z63" i="3"/>
  <c r="Z89" i="3"/>
  <c r="BV89" i="3" s="1"/>
  <c r="Z81" i="3"/>
  <c r="Z62" i="3"/>
  <c r="BV62" i="3" s="1"/>
  <c r="Z101" i="3"/>
  <c r="BV101" i="3" s="1"/>
  <c r="Z92" i="3"/>
  <c r="Z86" i="3"/>
  <c r="Z78" i="3"/>
  <c r="Z64" i="3"/>
  <c r="Z96" i="3"/>
  <c r="Z71" i="3"/>
  <c r="Z80" i="3"/>
  <c r="Z52" i="3"/>
  <c r="BV52" i="3" s="1"/>
  <c r="Z66" i="3"/>
  <c r="Z58" i="3"/>
  <c r="Z90" i="3"/>
  <c r="Z91" i="3"/>
  <c r="Z87" i="3"/>
  <c r="Z41" i="3"/>
  <c r="Z57" i="3"/>
  <c r="Z44" i="3"/>
  <c r="Z31" i="3"/>
  <c r="Z29" i="3"/>
  <c r="Z30" i="3"/>
  <c r="Z28" i="3"/>
  <c r="Z45" i="3"/>
  <c r="Z25" i="3"/>
  <c r="Z59" i="3"/>
  <c r="Z54" i="3"/>
  <c r="Z22" i="3"/>
  <c r="Z50" i="3"/>
  <c r="BV50" i="3" s="1"/>
  <c r="Z93" i="3"/>
  <c r="Z33" i="3"/>
  <c r="BV33" i="3" s="1"/>
  <c r="Z21" i="3"/>
  <c r="BV21" i="3" s="1"/>
  <c r="Z6" i="3"/>
  <c r="BV6" i="3" s="1"/>
  <c r="Z60" i="3"/>
  <c r="Z49" i="3"/>
  <c r="BV49" i="3" s="1"/>
  <c r="Z74" i="3"/>
  <c r="BV74" i="3" s="1"/>
  <c r="Z16" i="3"/>
  <c r="Z13" i="3"/>
  <c r="Z14" i="3"/>
  <c r="Z10" i="3"/>
  <c r="Z23" i="3"/>
  <c r="Z70" i="3"/>
  <c r="Z46" i="3"/>
  <c r="Z40" i="3"/>
  <c r="Z53" i="3"/>
  <c r="Z19" i="3"/>
  <c r="BV19" i="3" s="1"/>
  <c r="Z34" i="3"/>
  <c r="BV34" i="3" s="1"/>
  <c r="Z102" i="3"/>
  <c r="BV102" i="3" s="1"/>
  <c r="Z24" i="3"/>
  <c r="Z36" i="3"/>
  <c r="BV36" i="3" s="1"/>
  <c r="Z97" i="3"/>
  <c r="Z69" i="3"/>
  <c r="Z77" i="3"/>
  <c r="BV77" i="3" s="1"/>
  <c r="Z4" i="3"/>
  <c r="BV4" i="3" s="1"/>
  <c r="Z9" i="3"/>
  <c r="Z84" i="3"/>
  <c r="Z39" i="3"/>
  <c r="BV39" i="3" s="1"/>
  <c r="Z8" i="3"/>
  <c r="AT86" i="3"/>
  <c r="AT75" i="3"/>
  <c r="CP75" i="3" s="1"/>
  <c r="AT65" i="3"/>
  <c r="AT87" i="3"/>
  <c r="AT92" i="3"/>
  <c r="AT101" i="3"/>
  <c r="CP101" i="3" s="1"/>
  <c r="AT98" i="3"/>
  <c r="AT84" i="3"/>
  <c r="AT89" i="3"/>
  <c r="CP89" i="3" s="1"/>
  <c r="AT52" i="3"/>
  <c r="CP52" i="3" s="1"/>
  <c r="AT102" i="3"/>
  <c r="CP102" i="3" s="1"/>
  <c r="AT93" i="3"/>
  <c r="AT78" i="3"/>
  <c r="AT85" i="3"/>
  <c r="AT57" i="3"/>
  <c r="AT50" i="3"/>
  <c r="CP50" i="3" s="1"/>
  <c r="AT47" i="3"/>
  <c r="AT80" i="3"/>
  <c r="AT96" i="3"/>
  <c r="AT77" i="3"/>
  <c r="CP77" i="3" s="1"/>
  <c r="AT62" i="3"/>
  <c r="CP62" i="3" s="1"/>
  <c r="AT41" i="3"/>
  <c r="AT33" i="3"/>
  <c r="CP33" i="3" s="1"/>
  <c r="AT81" i="3"/>
  <c r="AT53" i="3"/>
  <c r="AT34" i="3"/>
  <c r="CP34" i="3" s="1"/>
  <c r="AT44" i="3"/>
  <c r="AT31" i="3"/>
  <c r="AT29" i="3"/>
  <c r="AT49" i="3"/>
  <c r="CP49" i="3" s="1"/>
  <c r="AT97" i="3"/>
  <c r="AT24" i="3"/>
  <c r="AT90" i="3"/>
  <c r="AT54" i="3"/>
  <c r="AT23" i="3"/>
  <c r="AT15" i="3"/>
  <c r="AT46" i="3"/>
  <c r="AT9" i="3"/>
  <c r="AT7" i="3"/>
  <c r="AT13" i="3"/>
  <c r="AT21" i="3"/>
  <c r="CP21" i="3" s="1"/>
  <c r="AT10" i="3"/>
  <c r="AT4" i="3"/>
  <c r="CP4" i="3" s="1"/>
  <c r="AT45" i="3"/>
  <c r="AT30" i="3"/>
  <c r="AT3" i="3"/>
  <c r="CP3" i="3" s="1"/>
  <c r="AT79" i="3"/>
  <c r="AT37" i="3"/>
  <c r="CP37" i="3" s="1"/>
  <c r="AT18" i="3"/>
  <c r="CP18" i="3" s="1"/>
  <c r="AT91" i="3"/>
  <c r="AT36" i="3"/>
  <c r="CP36" i="3" s="1"/>
  <c r="AT14" i="3"/>
  <c r="AT8" i="3"/>
  <c r="AT66" i="3"/>
  <c r="AT6" i="3"/>
  <c r="CP6" i="3" s="1"/>
  <c r="AT58" i="3"/>
  <c r="AT40" i="3"/>
  <c r="AT25" i="3"/>
  <c r="Y41" i="3"/>
  <c r="Z47" i="3"/>
  <c r="AA96" i="3"/>
  <c r="AA92" i="3"/>
  <c r="AA84" i="3"/>
  <c r="AA80" i="3"/>
  <c r="AA72" i="3"/>
  <c r="AA99" i="3"/>
  <c r="AA91" i="3"/>
  <c r="AA77" i="3"/>
  <c r="BW77" i="3" s="1"/>
  <c r="AA89" i="3"/>
  <c r="BW89" i="3" s="1"/>
  <c r="AA81" i="3"/>
  <c r="AA62" i="3"/>
  <c r="BW62" i="3" s="1"/>
  <c r="AA52" i="3"/>
  <c r="BW52" i="3" s="1"/>
  <c r="AA75" i="3"/>
  <c r="BW75" i="3" s="1"/>
  <c r="AA58" i="3"/>
  <c r="AA90" i="3"/>
  <c r="AA46" i="3"/>
  <c r="AA102" i="3"/>
  <c r="BW102" i="3" s="1"/>
  <c r="AA45" i="3"/>
  <c r="AA30" i="3"/>
  <c r="AA28" i="3"/>
  <c r="AA87" i="3"/>
  <c r="AA79" i="3"/>
  <c r="AA25" i="3"/>
  <c r="AA86" i="3"/>
  <c r="AA59" i="3"/>
  <c r="AA54" i="3"/>
  <c r="AA24" i="3"/>
  <c r="AA78" i="3"/>
  <c r="AA50" i="3"/>
  <c r="BW50" i="3" s="1"/>
  <c r="AA19" i="3"/>
  <c r="BW19" i="3" s="1"/>
  <c r="AA66" i="3"/>
  <c r="AA93" i="3"/>
  <c r="AA60" i="3"/>
  <c r="AA49" i="3"/>
  <c r="BW49" i="3" s="1"/>
  <c r="AA16" i="3"/>
  <c r="AA29" i="3"/>
  <c r="AA40" i="3"/>
  <c r="AA33" i="3"/>
  <c r="BW33" i="3" s="1"/>
  <c r="AA36" i="3"/>
  <c r="BW36" i="3" s="1"/>
  <c r="AA14" i="3"/>
  <c r="AA10" i="3"/>
  <c r="AA44" i="3"/>
  <c r="AA39" i="3"/>
  <c r="BW39" i="3" s="1"/>
  <c r="AA6" i="3"/>
  <c r="BW6" i="3" s="1"/>
  <c r="AA53" i="3"/>
  <c r="AA23" i="3"/>
  <c r="AA4" i="3"/>
  <c r="BW4" i="3" s="1"/>
  <c r="AA13" i="3"/>
  <c r="AA8" i="3"/>
  <c r="AA15" i="3"/>
  <c r="AA97" i="3"/>
  <c r="AA9" i="3"/>
  <c r="AA34" i="3"/>
  <c r="BW34" i="3" s="1"/>
  <c r="AA57" i="3"/>
  <c r="AA22" i="3"/>
  <c r="AA98" i="3"/>
  <c r="AA101" i="3"/>
  <c r="BW101" i="3" s="1"/>
  <c r="AU96" i="3"/>
  <c r="AU92" i="3"/>
  <c r="AU84" i="3"/>
  <c r="AU80" i="3"/>
  <c r="AU99" i="3"/>
  <c r="AU91" i="3"/>
  <c r="AU87" i="3"/>
  <c r="AU98" i="3"/>
  <c r="AU77" i="3"/>
  <c r="CQ77" i="3" s="1"/>
  <c r="AU101" i="3"/>
  <c r="CQ101" i="3" s="1"/>
  <c r="AU64" i="3"/>
  <c r="AU75" i="3"/>
  <c r="CQ75" i="3" s="1"/>
  <c r="AU78" i="3"/>
  <c r="AU89" i="3"/>
  <c r="CQ89" i="3" s="1"/>
  <c r="AU52" i="3"/>
  <c r="CQ52" i="3" s="1"/>
  <c r="AU81" i="3"/>
  <c r="AU86" i="3"/>
  <c r="AU79" i="3"/>
  <c r="AU53" i="3"/>
  <c r="AU34" i="3"/>
  <c r="CQ34" i="3" s="1"/>
  <c r="AU31" i="3"/>
  <c r="AU29" i="3"/>
  <c r="AU44" i="3"/>
  <c r="AU30" i="3"/>
  <c r="AU28" i="3"/>
  <c r="AU49" i="3"/>
  <c r="CQ49" i="3" s="1"/>
  <c r="AU97" i="3"/>
  <c r="AU93" i="3"/>
  <c r="AU45" i="3"/>
  <c r="AU23" i="3"/>
  <c r="AU21" i="3"/>
  <c r="CQ21" i="3" s="1"/>
  <c r="AU70" i="3"/>
  <c r="AU102" i="3"/>
  <c r="CQ102" i="3" s="1"/>
  <c r="AU59" i="3"/>
  <c r="AU15" i="3"/>
  <c r="AU58" i="3"/>
  <c r="AU33" i="3"/>
  <c r="CQ33" i="3" s="1"/>
  <c r="AU13" i="3"/>
  <c r="AU7" i="3"/>
  <c r="AU36" i="3"/>
  <c r="CQ36" i="3" s="1"/>
  <c r="AU8" i="3"/>
  <c r="AU62" i="3"/>
  <c r="CQ62" i="3" s="1"/>
  <c r="AU57" i="3"/>
  <c r="AU50" i="3"/>
  <c r="CQ50" i="3" s="1"/>
  <c r="AU24" i="3"/>
  <c r="AU3" i="3"/>
  <c r="CQ3" i="3" s="1"/>
  <c r="AU4" i="3"/>
  <c r="CQ4" i="3" s="1"/>
  <c r="AU85" i="3"/>
  <c r="AU37" i="3"/>
  <c r="CQ37" i="3" s="1"/>
  <c r="AU18" i="3"/>
  <c r="CQ18" i="3" s="1"/>
  <c r="AU41" i="3"/>
  <c r="AU39" i="3"/>
  <c r="CQ39" i="3" s="1"/>
  <c r="AU14" i="3"/>
  <c r="AU6" i="3"/>
  <c r="CQ6" i="3" s="1"/>
  <c r="AU46" i="3"/>
  <c r="AU40" i="3"/>
  <c r="AU10" i="3"/>
  <c r="AU25" i="3"/>
  <c r="AU19" i="3"/>
  <c r="CQ19" i="3" s="1"/>
  <c r="AT39" i="3"/>
  <c r="CP39" i="3" s="1"/>
  <c r="AA41" i="3"/>
  <c r="AU90" i="3"/>
  <c r="AB96" i="3"/>
  <c r="AB92" i="3"/>
  <c r="AB84" i="3"/>
  <c r="AB80" i="3"/>
  <c r="AB72" i="3"/>
  <c r="AB99" i="3"/>
  <c r="AB91" i="3"/>
  <c r="AB87" i="3"/>
  <c r="AB79" i="3"/>
  <c r="AB75" i="3"/>
  <c r="BX75" i="3" s="1"/>
  <c r="AB71" i="3"/>
  <c r="AB77" i="3"/>
  <c r="BX77" i="3" s="1"/>
  <c r="AB89" i="3"/>
  <c r="BX89" i="3" s="1"/>
  <c r="AB78" i="3"/>
  <c r="AB90" i="3"/>
  <c r="AB102" i="3"/>
  <c r="BX102" i="3" s="1"/>
  <c r="AB52" i="3"/>
  <c r="BX52" i="3" s="1"/>
  <c r="AB69" i="3"/>
  <c r="AB85" i="3"/>
  <c r="AB46" i="3"/>
  <c r="AB101" i="3"/>
  <c r="BX101" i="3" s="1"/>
  <c r="AB63" i="3"/>
  <c r="AB25" i="3"/>
  <c r="AB86" i="3"/>
  <c r="AB59" i="3"/>
  <c r="AB54" i="3"/>
  <c r="AB45" i="3"/>
  <c r="AB24" i="3"/>
  <c r="AB23" i="3"/>
  <c r="AB21" i="3"/>
  <c r="BX21" i="3" s="1"/>
  <c r="AB7" i="3"/>
  <c r="AB3" i="3"/>
  <c r="BX3" i="3" s="1"/>
  <c r="AB50" i="3"/>
  <c r="BX50" i="3" s="1"/>
  <c r="AB18" i="3"/>
  <c r="BX18" i="3" s="1"/>
  <c r="AB16" i="3"/>
  <c r="AB66" i="3"/>
  <c r="AB62" i="3"/>
  <c r="BX62" i="3" s="1"/>
  <c r="AB58" i="3"/>
  <c r="AB74" i="3"/>
  <c r="BX74" i="3" s="1"/>
  <c r="AB31" i="3"/>
  <c r="AB93" i="3"/>
  <c r="AB29" i="3"/>
  <c r="AB64" i="3"/>
  <c r="AB98" i="3"/>
  <c r="AB70" i="3"/>
  <c r="AB65" i="3"/>
  <c r="AB14" i="3"/>
  <c r="AB40" i="3"/>
  <c r="AB36" i="3"/>
  <c r="BX36" i="3" s="1"/>
  <c r="AB10" i="3"/>
  <c r="AB22" i="3"/>
  <c r="AB9" i="3"/>
  <c r="AB53" i="3"/>
  <c r="AB57" i="3"/>
  <c r="AB13" i="3"/>
  <c r="AB39" i="3"/>
  <c r="BX39" i="3" s="1"/>
  <c r="AB28" i="3"/>
  <c r="AB6" i="3"/>
  <c r="BX6" i="3" s="1"/>
  <c r="AB44" i="3"/>
  <c r="AB4" i="3"/>
  <c r="BX4" i="3" s="1"/>
  <c r="AB8" i="3"/>
  <c r="AB81" i="3"/>
  <c r="AB30" i="3"/>
  <c r="AB97" i="3"/>
  <c r="AB34" i="3"/>
  <c r="BX34" i="3" s="1"/>
  <c r="AB15" i="3"/>
  <c r="AB49" i="3"/>
  <c r="BX49" i="3" s="1"/>
  <c r="AB47" i="3"/>
  <c r="AB37" i="3"/>
  <c r="BX37" i="3" s="1"/>
  <c r="AB19" i="3"/>
  <c r="BX19" i="3" s="1"/>
  <c r="AB60" i="3"/>
  <c r="AB41" i="3"/>
  <c r="AV96" i="3"/>
  <c r="AV92" i="3"/>
  <c r="AV84" i="3"/>
  <c r="AV80" i="3"/>
  <c r="AV72" i="3"/>
  <c r="AV99" i="3"/>
  <c r="AV91" i="3"/>
  <c r="AV87" i="3"/>
  <c r="AV79" i="3"/>
  <c r="AV98" i="3"/>
  <c r="AV93" i="3"/>
  <c r="AV78" i="3"/>
  <c r="AV90" i="3"/>
  <c r="AV89" i="3"/>
  <c r="CR89" i="3" s="1"/>
  <c r="AV52" i="3"/>
  <c r="CR52" i="3" s="1"/>
  <c r="AV81" i="3"/>
  <c r="AV102" i="3"/>
  <c r="CR102" i="3" s="1"/>
  <c r="AV64" i="3"/>
  <c r="AV70" i="3"/>
  <c r="AV46" i="3"/>
  <c r="AV45" i="3"/>
  <c r="AV29" i="3"/>
  <c r="AV44" i="3"/>
  <c r="AV30" i="3"/>
  <c r="AV28" i="3"/>
  <c r="AV49" i="3"/>
  <c r="CR49" i="3" s="1"/>
  <c r="AV25" i="3"/>
  <c r="AV7" i="3"/>
  <c r="AV3" i="3"/>
  <c r="CR3" i="3" s="1"/>
  <c r="AV97" i="3"/>
  <c r="AV22" i="3"/>
  <c r="AV101" i="3"/>
  <c r="CR101" i="3" s="1"/>
  <c r="AV57" i="3"/>
  <c r="AV86" i="3"/>
  <c r="AV77" i="3"/>
  <c r="CR77" i="3" s="1"/>
  <c r="AV23" i="3"/>
  <c r="AV18" i="3"/>
  <c r="CR18" i="3" s="1"/>
  <c r="AV6" i="3"/>
  <c r="CR6" i="3" s="1"/>
  <c r="AV16" i="3"/>
  <c r="AV36" i="3"/>
  <c r="CR36" i="3" s="1"/>
  <c r="AV8" i="3"/>
  <c r="AV39" i="3"/>
  <c r="CR39" i="3" s="1"/>
  <c r="AV34" i="3"/>
  <c r="CR34" i="3" s="1"/>
  <c r="AV24" i="3"/>
  <c r="AV21" i="3"/>
  <c r="CR21" i="3" s="1"/>
  <c r="AV19" i="3"/>
  <c r="CR19" i="3" s="1"/>
  <c r="AV37" i="3"/>
  <c r="CR37" i="3" s="1"/>
  <c r="AV50" i="3"/>
  <c r="CR50" i="3" s="1"/>
  <c r="AV41" i="3"/>
  <c r="AV15" i="3"/>
  <c r="AV33" i="3"/>
  <c r="CR33" i="3" s="1"/>
  <c r="AV4" i="3"/>
  <c r="CR4" i="3" s="1"/>
  <c r="AV14" i="3"/>
  <c r="AV85" i="3"/>
  <c r="AV59" i="3"/>
  <c r="AV53" i="3"/>
  <c r="AV58" i="3"/>
  <c r="AV40" i="3"/>
  <c r="AV10" i="3"/>
  <c r="Z18" i="3"/>
  <c r="BV18" i="3" s="1"/>
  <c r="Y97" i="3"/>
  <c r="AY19" i="3"/>
  <c r="CU19" i="3" s="1"/>
  <c r="AY85" i="3"/>
  <c r="AC34" i="3"/>
  <c r="BY34" i="3" s="1"/>
  <c r="AY4" i="3"/>
  <c r="CU4" i="3" s="1"/>
  <c r="L7" i="3"/>
  <c r="AC9" i="3"/>
  <c r="AW14" i="3"/>
  <c r="L36" i="3"/>
  <c r="BH36" i="3" s="1"/>
  <c r="AW36" i="3"/>
  <c r="CS36" i="3" s="1"/>
  <c r="L46" i="3"/>
  <c r="AY52" i="3"/>
  <c r="CU52" i="3" s="1"/>
  <c r="I57" i="3"/>
  <c r="AF60" i="3"/>
  <c r="L89" i="3"/>
  <c r="BH89" i="3" s="1"/>
  <c r="AF101" i="3"/>
  <c r="CB101" i="3" s="1"/>
  <c r="AC99" i="3"/>
  <c r="AC89" i="3"/>
  <c r="BY89" i="3" s="1"/>
  <c r="AC78" i="3"/>
  <c r="AC101" i="3"/>
  <c r="BY101" i="3" s="1"/>
  <c r="AC91" i="3"/>
  <c r="AC102" i="3"/>
  <c r="BY102" i="3" s="1"/>
  <c r="AC93" i="3"/>
  <c r="AC84" i="3"/>
  <c r="AC52" i="3"/>
  <c r="BY52" i="3" s="1"/>
  <c r="AC96" i="3"/>
  <c r="AC80" i="3"/>
  <c r="AC65" i="3"/>
  <c r="AC90" i="3"/>
  <c r="AC41" i="3"/>
  <c r="AC37" i="3"/>
  <c r="BY37" i="3" s="1"/>
  <c r="AC33" i="3"/>
  <c r="BY33" i="3" s="1"/>
  <c r="AC29" i="3"/>
  <c r="AC25" i="3"/>
  <c r="AC21" i="3"/>
  <c r="BY21" i="3" s="1"/>
  <c r="AC87" i="3"/>
  <c r="AC85" i="3"/>
  <c r="AC86" i="3"/>
  <c r="AC79" i="3"/>
  <c r="AC59" i="3"/>
  <c r="AC54" i="3"/>
  <c r="AC45" i="3"/>
  <c r="AC24" i="3"/>
  <c r="AC23" i="3"/>
  <c r="AC7" i="3"/>
  <c r="AC3" i="3"/>
  <c r="BY3" i="3" s="1"/>
  <c r="AC22" i="3"/>
  <c r="AC50" i="3"/>
  <c r="BY50" i="3" s="1"/>
  <c r="AC92" i="3"/>
  <c r="AC66" i="3"/>
  <c r="AC62" i="3"/>
  <c r="BY62" i="3" s="1"/>
  <c r="AC46" i="3"/>
  <c r="AC15" i="3"/>
  <c r="AC97" i="3"/>
  <c r="AC16" i="3"/>
  <c r="AC98" i="3"/>
  <c r="AC70" i="3"/>
  <c r="AC36" i="3"/>
  <c r="BY36" i="3" s="1"/>
  <c r="I39" i="3"/>
  <c r="BE39" i="3" s="1"/>
  <c r="AC49" i="3"/>
  <c r="BY49" i="3" s="1"/>
  <c r="I81" i="3"/>
  <c r="AY8" i="3"/>
  <c r="AC19" i="3"/>
  <c r="BY19" i="3" s="1"/>
  <c r="I24" i="3"/>
  <c r="AF34" i="3"/>
  <c r="CB34" i="3" s="1"/>
  <c r="AK37" i="3"/>
  <c r="CG37" i="3" s="1"/>
  <c r="K40" i="3"/>
  <c r="AK41" i="3"/>
  <c r="AK69" i="3"/>
  <c r="Q89" i="3"/>
  <c r="BM89" i="3" s="1"/>
  <c r="I92" i="3"/>
  <c r="AW59" i="3"/>
  <c r="AE79" i="3"/>
  <c r="AE81" i="3"/>
  <c r="AE84" i="3"/>
  <c r="AE69" i="3"/>
  <c r="AE87" i="3"/>
  <c r="AE96" i="3"/>
  <c r="AE80" i="3"/>
  <c r="AE85" i="3"/>
  <c r="AE101" i="3"/>
  <c r="CA101" i="3" s="1"/>
  <c r="AE72" i="3"/>
  <c r="AE45" i="3"/>
  <c r="AE102" i="3"/>
  <c r="CA102" i="3" s="1"/>
  <c r="AE52" i="3"/>
  <c r="CA52" i="3" s="1"/>
  <c r="AE86" i="3"/>
  <c r="AE44" i="3"/>
  <c r="AE99" i="3"/>
  <c r="AE22" i="3"/>
  <c r="AE78" i="3"/>
  <c r="AE50" i="3"/>
  <c r="CA50" i="3" s="1"/>
  <c r="AE21" i="3"/>
  <c r="CA21" i="3" s="1"/>
  <c r="AE19" i="3"/>
  <c r="CA19" i="3" s="1"/>
  <c r="AE46" i="3"/>
  <c r="AE18" i="3"/>
  <c r="CA18" i="3" s="1"/>
  <c r="AE16" i="3"/>
  <c r="AE66" i="3"/>
  <c r="AE62" i="3"/>
  <c r="CA62" i="3" s="1"/>
  <c r="AE74" i="3"/>
  <c r="CA74" i="3" s="1"/>
  <c r="AE70" i="3"/>
  <c r="AE71" i="3"/>
  <c r="AE98" i="3"/>
  <c r="AE29" i="3"/>
  <c r="AE24" i="3"/>
  <c r="AE13" i="3"/>
  <c r="AE40" i="3"/>
  <c r="AE7" i="3"/>
  <c r="AE97" i="3"/>
  <c r="AE34" i="3"/>
  <c r="CA34" i="3" s="1"/>
  <c r="AE3" i="3"/>
  <c r="CA3" i="3" s="1"/>
  <c r="AC13" i="3"/>
  <c r="AW23" i="3"/>
  <c r="AZ99" i="3"/>
  <c r="AZ91" i="3"/>
  <c r="AZ87" i="3"/>
  <c r="AZ79" i="3"/>
  <c r="AZ75" i="3"/>
  <c r="CV75" i="3" s="1"/>
  <c r="AZ71" i="3"/>
  <c r="AZ102" i="3"/>
  <c r="CV102" i="3" s="1"/>
  <c r="AZ98" i="3"/>
  <c r="AZ90" i="3"/>
  <c r="AZ78" i="3"/>
  <c r="AZ89" i="3"/>
  <c r="CV89" i="3" s="1"/>
  <c r="AZ96" i="3"/>
  <c r="AZ81" i="3"/>
  <c r="AZ93" i="3"/>
  <c r="AZ97" i="3"/>
  <c r="AZ86" i="3"/>
  <c r="AZ101" i="3"/>
  <c r="CV101" i="3" s="1"/>
  <c r="AZ62" i="3"/>
  <c r="CV62" i="3" s="1"/>
  <c r="AZ45" i="3"/>
  <c r="AZ77" i="3"/>
  <c r="CV77" i="3" s="1"/>
  <c r="AZ58" i="3"/>
  <c r="AZ52" i="3"/>
  <c r="CV52" i="3" s="1"/>
  <c r="AZ25" i="3"/>
  <c r="AZ23" i="3"/>
  <c r="AZ22" i="3"/>
  <c r="AZ21" i="3"/>
  <c r="CV21" i="3" s="1"/>
  <c r="AZ19" i="3"/>
  <c r="CV19" i="3" s="1"/>
  <c r="AZ57" i="3"/>
  <c r="AZ70" i="3"/>
  <c r="AZ54" i="3"/>
  <c r="AZ14" i="3"/>
  <c r="AZ59" i="3"/>
  <c r="AZ84" i="3"/>
  <c r="AZ65" i="3"/>
  <c r="AZ41" i="3"/>
  <c r="AZ37" i="3"/>
  <c r="CV37" i="3" s="1"/>
  <c r="AZ46" i="3"/>
  <c r="AZ85" i="3"/>
  <c r="AZ24" i="3"/>
  <c r="AW8" i="3"/>
  <c r="L21" i="3"/>
  <c r="BH21" i="3" s="1"/>
  <c r="AC57" i="3"/>
  <c r="AL102" i="3"/>
  <c r="CH102" i="3" s="1"/>
  <c r="AL98" i="3"/>
  <c r="AL90" i="3"/>
  <c r="AL86" i="3"/>
  <c r="AL78" i="3"/>
  <c r="AL70" i="3"/>
  <c r="AL101" i="3"/>
  <c r="CH101" i="3" s="1"/>
  <c r="AL97" i="3"/>
  <c r="AL93" i="3"/>
  <c r="AL89" i="3"/>
  <c r="CH89" i="3" s="1"/>
  <c r="AL85" i="3"/>
  <c r="AL81" i="3"/>
  <c r="AL77" i="3"/>
  <c r="CH77" i="3" s="1"/>
  <c r="AL96" i="3"/>
  <c r="AL91" i="3"/>
  <c r="AL92" i="3"/>
  <c r="AL99" i="3"/>
  <c r="AL54" i="3"/>
  <c r="AL50" i="3"/>
  <c r="CH50" i="3" s="1"/>
  <c r="AL84" i="3"/>
  <c r="AL87" i="3"/>
  <c r="AL47" i="3"/>
  <c r="AL80" i="3"/>
  <c r="AL13" i="3"/>
  <c r="AL9" i="3"/>
  <c r="AL39" i="3"/>
  <c r="CH39" i="3" s="1"/>
  <c r="AL58" i="3"/>
  <c r="AL53" i="3"/>
  <c r="AL41" i="3"/>
  <c r="AL40" i="3"/>
  <c r="AL22" i="3"/>
  <c r="AL14" i="3"/>
  <c r="AL30" i="3"/>
  <c r="AL57" i="3"/>
  <c r="AL4" i="3"/>
  <c r="CH4" i="3" s="1"/>
  <c r="AL28" i="3"/>
  <c r="AL10" i="3"/>
  <c r="AC6" i="3"/>
  <c r="BY6" i="3" s="1"/>
  <c r="AZ10" i="3"/>
  <c r="AY40" i="3"/>
  <c r="I101" i="3"/>
  <c r="BE101" i="3" s="1"/>
  <c r="I91" i="3"/>
  <c r="I97" i="3"/>
  <c r="I70" i="3"/>
  <c r="I60" i="3"/>
  <c r="I99" i="3"/>
  <c r="I90" i="3"/>
  <c r="I52" i="3"/>
  <c r="BE52" i="3" s="1"/>
  <c r="I98" i="3"/>
  <c r="I87" i="3"/>
  <c r="I74" i="3"/>
  <c r="BE74" i="3" s="1"/>
  <c r="I66" i="3"/>
  <c r="I93" i="3"/>
  <c r="I84" i="3"/>
  <c r="I96" i="3"/>
  <c r="I77" i="3"/>
  <c r="BE77" i="3" s="1"/>
  <c r="I45" i="3"/>
  <c r="I41" i="3"/>
  <c r="I37" i="3"/>
  <c r="BE37" i="3" s="1"/>
  <c r="I33" i="3"/>
  <c r="BE33" i="3" s="1"/>
  <c r="I29" i="3"/>
  <c r="I25" i="3"/>
  <c r="I21" i="3"/>
  <c r="BE21" i="3" s="1"/>
  <c r="I72" i="3"/>
  <c r="I22" i="3"/>
  <c r="I58" i="3"/>
  <c r="I46" i="3"/>
  <c r="I19" i="3"/>
  <c r="BE19" i="3" s="1"/>
  <c r="I7" i="3"/>
  <c r="I3" i="3"/>
  <c r="BE3" i="3" s="1"/>
  <c r="I102" i="3"/>
  <c r="BE102" i="3" s="1"/>
  <c r="I75" i="3"/>
  <c r="BE75" i="3" s="1"/>
  <c r="I71" i="3"/>
  <c r="I65" i="3"/>
  <c r="I18" i="3"/>
  <c r="BE18" i="3" s="1"/>
  <c r="I16" i="3"/>
  <c r="I47" i="3"/>
  <c r="I85" i="3"/>
  <c r="I64" i="3"/>
  <c r="I53" i="3"/>
  <c r="I86" i="3"/>
  <c r="I69" i="3"/>
  <c r="I63" i="3"/>
  <c r="I13" i="3"/>
  <c r="I34" i="3"/>
  <c r="BE34" i="3" s="1"/>
  <c r="I14" i="3"/>
  <c r="I59" i="3"/>
  <c r="I54" i="3"/>
  <c r="I44" i="3"/>
  <c r="I50" i="3"/>
  <c r="BE50" i="3" s="1"/>
  <c r="I9" i="3"/>
  <c r="AE30" i="3"/>
  <c r="AF99" i="3"/>
  <c r="AF91" i="3"/>
  <c r="AF87" i="3"/>
  <c r="AF79" i="3"/>
  <c r="AF75" i="3"/>
  <c r="CB75" i="3" s="1"/>
  <c r="AF71" i="3"/>
  <c r="AF102" i="3"/>
  <c r="CB102" i="3" s="1"/>
  <c r="AF98" i="3"/>
  <c r="AF90" i="3"/>
  <c r="AF80" i="3"/>
  <c r="AF65" i="3"/>
  <c r="AF85" i="3"/>
  <c r="AF69" i="3"/>
  <c r="AF47" i="3"/>
  <c r="AF77" i="3"/>
  <c r="CB77" i="3" s="1"/>
  <c r="AF66" i="3"/>
  <c r="AF59" i="3"/>
  <c r="AF52" i="3"/>
  <c r="CB52" i="3" s="1"/>
  <c r="AF89" i="3"/>
  <c r="CB89" i="3" s="1"/>
  <c r="AF78" i="3"/>
  <c r="AF50" i="3"/>
  <c r="CB50" i="3" s="1"/>
  <c r="AF21" i="3"/>
  <c r="CB21" i="3" s="1"/>
  <c r="AF19" i="3"/>
  <c r="CB19" i="3" s="1"/>
  <c r="AF18" i="3"/>
  <c r="CB18" i="3" s="1"/>
  <c r="AF16" i="3"/>
  <c r="AF92" i="3"/>
  <c r="AF62" i="3"/>
  <c r="CB62" i="3" s="1"/>
  <c r="AF46" i="3"/>
  <c r="AF15" i="3"/>
  <c r="AF96" i="3"/>
  <c r="AF81" i="3"/>
  <c r="AF58" i="3"/>
  <c r="AF72" i="3"/>
  <c r="AF93" i="3"/>
  <c r="AF70" i="3"/>
  <c r="AF64" i="3"/>
  <c r="AF24" i="3"/>
  <c r="AF13" i="3"/>
  <c r="AF40" i="3"/>
  <c r="AF7" i="3"/>
  <c r="AF86" i="3"/>
  <c r="AF22" i="3"/>
  <c r="AF9" i="3"/>
  <c r="AF30" i="3"/>
  <c r="AZ53" i="3"/>
  <c r="K62" i="3"/>
  <c r="BG62" i="3" s="1"/>
  <c r="K7" i="3"/>
  <c r="L10" i="3"/>
  <c r="K36" i="3"/>
  <c r="BG36" i="3" s="1"/>
  <c r="AE9" i="3"/>
  <c r="AY14" i="3"/>
  <c r="AY36" i="3"/>
  <c r="CU36" i="3" s="1"/>
  <c r="L40" i="3"/>
  <c r="AF84" i="3"/>
  <c r="K13" i="3"/>
  <c r="Q36" i="3"/>
  <c r="BM36" i="3" s="1"/>
  <c r="R102" i="3"/>
  <c r="BN102" i="3" s="1"/>
  <c r="R98" i="3"/>
  <c r="R90" i="3"/>
  <c r="R86" i="3"/>
  <c r="R78" i="3"/>
  <c r="R74" i="3"/>
  <c r="BN74" i="3" s="1"/>
  <c r="R70" i="3"/>
  <c r="R101" i="3"/>
  <c r="BN101" i="3" s="1"/>
  <c r="R97" i="3"/>
  <c r="R93" i="3"/>
  <c r="R89" i="3"/>
  <c r="BN89" i="3" s="1"/>
  <c r="R85" i="3"/>
  <c r="R81" i="3"/>
  <c r="R77" i="3"/>
  <c r="BN77" i="3" s="1"/>
  <c r="R69" i="3"/>
  <c r="R92" i="3"/>
  <c r="R84" i="3"/>
  <c r="R96" i="3"/>
  <c r="R54" i="3"/>
  <c r="R50" i="3"/>
  <c r="BN50" i="3" s="1"/>
  <c r="R57" i="3"/>
  <c r="R49" i="3"/>
  <c r="BN49" i="3" s="1"/>
  <c r="R99" i="3"/>
  <c r="R66" i="3"/>
  <c r="R91" i="3"/>
  <c r="R60" i="3"/>
  <c r="R41" i="3"/>
  <c r="R39" i="3"/>
  <c r="BN39" i="3" s="1"/>
  <c r="R13" i="3"/>
  <c r="R9" i="3"/>
  <c r="R63" i="3"/>
  <c r="R37" i="3"/>
  <c r="BN37" i="3" s="1"/>
  <c r="R36" i="3"/>
  <c r="BN36" i="3" s="1"/>
  <c r="R34" i="3"/>
  <c r="BN34" i="3" s="1"/>
  <c r="R87" i="3"/>
  <c r="R80" i="3"/>
  <c r="R59" i="3"/>
  <c r="R53" i="3"/>
  <c r="R28" i="3"/>
  <c r="R23" i="3"/>
  <c r="R15" i="3"/>
  <c r="R10" i="3"/>
  <c r="Q3" i="3"/>
  <c r="BM3" i="3" s="1"/>
  <c r="L13" i="3"/>
  <c r="I15" i="3"/>
  <c r="AL16" i="3"/>
  <c r="L24" i="3"/>
  <c r="AE25" i="3"/>
  <c r="Q29" i="3"/>
  <c r="AY33" i="3"/>
  <c r="CU33" i="3" s="1"/>
  <c r="AC39" i="3"/>
  <c r="BY39" i="3" s="1"/>
  <c r="R40" i="3"/>
  <c r="AW47" i="3"/>
  <c r="AY49" i="3"/>
  <c r="CU49" i="3" s="1"/>
  <c r="AW50" i="3"/>
  <c r="CS50" i="3" s="1"/>
  <c r="T53" i="3"/>
  <c r="T59" i="3"/>
  <c r="L66" i="3"/>
  <c r="S97" i="3"/>
  <c r="S102" i="3"/>
  <c r="BO102" i="3" s="1"/>
  <c r="S85" i="3"/>
  <c r="S93" i="3"/>
  <c r="S86" i="3"/>
  <c r="S99" i="3"/>
  <c r="S96" i="3"/>
  <c r="S71" i="3"/>
  <c r="S58" i="3"/>
  <c r="S75" i="3"/>
  <c r="BO75" i="3" s="1"/>
  <c r="S81" i="3"/>
  <c r="S70" i="3"/>
  <c r="S54" i="3"/>
  <c r="S50" i="3"/>
  <c r="BO50" i="3" s="1"/>
  <c r="S78" i="3"/>
  <c r="S63" i="3"/>
  <c r="S101" i="3"/>
  <c r="BO101" i="3" s="1"/>
  <c r="S92" i="3"/>
  <c r="S98" i="3"/>
  <c r="S49" i="3"/>
  <c r="BO49" i="3" s="1"/>
  <c r="S64" i="3"/>
  <c r="S62" i="3"/>
  <c r="BO62" i="3" s="1"/>
  <c r="S39" i="3"/>
  <c r="BO39" i="3" s="1"/>
  <c r="S31" i="3"/>
  <c r="S23" i="3"/>
  <c r="S19" i="3"/>
  <c r="BO19" i="3" s="1"/>
  <c r="S15" i="3"/>
  <c r="S91" i="3"/>
  <c r="S84" i="3"/>
  <c r="S69" i="3"/>
  <c r="S60" i="3"/>
  <c r="S41" i="3"/>
  <c r="S13" i="3"/>
  <c r="S9" i="3"/>
  <c r="S77" i="3"/>
  <c r="BO77" i="3" s="1"/>
  <c r="S40" i="3"/>
  <c r="S36" i="3"/>
  <c r="BO36" i="3" s="1"/>
  <c r="S34" i="3"/>
  <c r="BO34" i="3" s="1"/>
  <c r="S87" i="3"/>
  <c r="S57" i="3"/>
  <c r="S33" i="3"/>
  <c r="BO33" i="3" s="1"/>
  <c r="S10" i="3"/>
  <c r="S37" i="3"/>
  <c r="BO37" i="3" s="1"/>
  <c r="S29" i="3"/>
  <c r="S21" i="3"/>
  <c r="BO21" i="3" s="1"/>
  <c r="AM101" i="3"/>
  <c r="CI101" i="3" s="1"/>
  <c r="AM91" i="3"/>
  <c r="AM97" i="3"/>
  <c r="AM85" i="3"/>
  <c r="AM93" i="3"/>
  <c r="AM77" i="3"/>
  <c r="CI77" i="3" s="1"/>
  <c r="AM70" i="3"/>
  <c r="AM58" i="3"/>
  <c r="AM99" i="3"/>
  <c r="AM74" i="3"/>
  <c r="CI74" i="3" s="1"/>
  <c r="AM50" i="3"/>
  <c r="CI50" i="3" s="1"/>
  <c r="AM90" i="3"/>
  <c r="AM87" i="3"/>
  <c r="AM84" i="3"/>
  <c r="AM79" i="3"/>
  <c r="AM92" i="3"/>
  <c r="AM59" i="3"/>
  <c r="AM49" i="3"/>
  <c r="CI49" i="3" s="1"/>
  <c r="AM39" i="3"/>
  <c r="CI39" i="3" s="1"/>
  <c r="AM23" i="3"/>
  <c r="AM19" i="3"/>
  <c r="CI19" i="3" s="1"/>
  <c r="AM15" i="3"/>
  <c r="AM80" i="3"/>
  <c r="AM13" i="3"/>
  <c r="AM9" i="3"/>
  <c r="AM96" i="3"/>
  <c r="AM81" i="3"/>
  <c r="AM41" i="3"/>
  <c r="AM40" i="3"/>
  <c r="AM89" i="3"/>
  <c r="CI89" i="3" s="1"/>
  <c r="AM98" i="3"/>
  <c r="AM86" i="3"/>
  <c r="AM78" i="3"/>
  <c r="AM30" i="3"/>
  <c r="AM4" i="3"/>
  <c r="CI4" i="3" s="1"/>
  <c r="AM25" i="3"/>
  <c r="R3" i="3"/>
  <c r="BN3" i="3" s="1"/>
  <c r="AC4" i="3"/>
  <c r="BY4" i="3" s="1"/>
  <c r="AE6" i="3"/>
  <c r="CA6" i="3" s="1"/>
  <c r="Q7" i="3"/>
  <c r="K9" i="3"/>
  <c r="AM16" i="3"/>
  <c r="AF25" i="3"/>
  <c r="AE28" i="3"/>
  <c r="R29" i="3"/>
  <c r="AZ33" i="3"/>
  <c r="CV33" i="3" s="1"/>
  <c r="AL34" i="3"/>
  <c r="CH34" i="3" s="1"/>
  <c r="X36" i="3"/>
  <c r="BT36" i="3" s="1"/>
  <c r="K37" i="3"/>
  <c r="BG37" i="3" s="1"/>
  <c r="AZ40" i="3"/>
  <c r="AC44" i="3"/>
  <c r="R46" i="3"/>
  <c r="AZ49" i="3"/>
  <c r="CV49" i="3" s="1"/>
  <c r="AF74" i="3"/>
  <c r="CB74" i="3" s="1"/>
  <c r="AY79" i="3"/>
  <c r="AY92" i="3"/>
  <c r="AY98" i="3"/>
  <c r="AE49" i="3"/>
  <c r="CA49" i="3" s="1"/>
  <c r="I10" i="3"/>
  <c r="AZ66" i="3"/>
  <c r="I89" i="3"/>
  <c r="BE89" i="3" s="1"/>
  <c r="K46" i="3"/>
  <c r="AE58" i="3"/>
  <c r="AZ29" i="3"/>
  <c r="AK102" i="3"/>
  <c r="CG102" i="3" s="1"/>
  <c r="AK98" i="3"/>
  <c r="AK90" i="3"/>
  <c r="AK86" i="3"/>
  <c r="AK78" i="3"/>
  <c r="AK74" i="3"/>
  <c r="CG74" i="3" s="1"/>
  <c r="AK70" i="3"/>
  <c r="AK66" i="3"/>
  <c r="AK101" i="3"/>
  <c r="CG101" i="3" s="1"/>
  <c r="AK97" i="3"/>
  <c r="AK93" i="3"/>
  <c r="AK89" i="3"/>
  <c r="CG89" i="3" s="1"/>
  <c r="AK96" i="3"/>
  <c r="AK84" i="3"/>
  <c r="AK85" i="3"/>
  <c r="AK77" i="3"/>
  <c r="CG77" i="3" s="1"/>
  <c r="AK60" i="3"/>
  <c r="AK59" i="3"/>
  <c r="AK57" i="3"/>
  <c r="AK99" i="3"/>
  <c r="AK54" i="3"/>
  <c r="AK50" i="3"/>
  <c r="CG50" i="3" s="1"/>
  <c r="AK46" i="3"/>
  <c r="AK72" i="3"/>
  <c r="AK87" i="3"/>
  <c r="AK63" i="3"/>
  <c r="AK92" i="3"/>
  <c r="AK71" i="3"/>
  <c r="AK81" i="3"/>
  <c r="AK47" i="3"/>
  <c r="AK80" i="3"/>
  <c r="AK65" i="3"/>
  <c r="AK39" i="3"/>
  <c r="CG39" i="3" s="1"/>
  <c r="AK58" i="3"/>
  <c r="AK53" i="3"/>
  <c r="AK64" i="3"/>
  <c r="AK75" i="3"/>
  <c r="CG75" i="3" s="1"/>
  <c r="AK45" i="3"/>
  <c r="AK36" i="3"/>
  <c r="CG36" i="3" s="1"/>
  <c r="AK34" i="3"/>
  <c r="CG34" i="3" s="1"/>
  <c r="AK3" i="3"/>
  <c r="CG3" i="3" s="1"/>
  <c r="AK22" i="3"/>
  <c r="AK14" i="3"/>
  <c r="AK9" i="3"/>
  <c r="AK30" i="3"/>
  <c r="AK44" i="3"/>
  <c r="AC28" i="3"/>
  <c r="AZ36" i="3"/>
  <c r="CV36" i="3" s="1"/>
  <c r="AC8" i="3"/>
  <c r="T102" i="3"/>
  <c r="BP102" i="3" s="1"/>
  <c r="T85" i="3"/>
  <c r="T66" i="3"/>
  <c r="T62" i="3"/>
  <c r="BP62" i="3" s="1"/>
  <c r="T98" i="3"/>
  <c r="T87" i="3"/>
  <c r="T96" i="3"/>
  <c r="T71" i="3"/>
  <c r="T58" i="3"/>
  <c r="T75" i="3"/>
  <c r="BP75" i="3" s="1"/>
  <c r="T86" i="3"/>
  <c r="T97" i="3"/>
  <c r="T78" i="3"/>
  <c r="T63" i="3"/>
  <c r="T64" i="3"/>
  <c r="T39" i="3"/>
  <c r="BP39" i="3" s="1"/>
  <c r="T31" i="3"/>
  <c r="T23" i="3"/>
  <c r="T19" i="3"/>
  <c r="BP19" i="3" s="1"/>
  <c r="T15" i="3"/>
  <c r="T99" i="3"/>
  <c r="T74" i="3"/>
  <c r="BP74" i="3" s="1"/>
  <c r="T69" i="3"/>
  <c r="T60" i="3"/>
  <c r="T101" i="3"/>
  <c r="BP101" i="3" s="1"/>
  <c r="T41" i="3"/>
  <c r="T13" i="3"/>
  <c r="T9" i="3"/>
  <c r="T77" i="3"/>
  <c r="BP77" i="3" s="1"/>
  <c r="T70" i="3"/>
  <c r="T40" i="3"/>
  <c r="T37" i="3"/>
  <c r="BP37" i="3" s="1"/>
  <c r="T49" i="3"/>
  <c r="BP49" i="3" s="1"/>
  <c r="T57" i="3"/>
  <c r="T33" i="3"/>
  <c r="BP33" i="3" s="1"/>
  <c r="T30" i="3"/>
  <c r="T8" i="3"/>
  <c r="T4" i="3"/>
  <c r="BP4" i="3" s="1"/>
  <c r="T92" i="3"/>
  <c r="T79" i="3"/>
  <c r="T89" i="3"/>
  <c r="BP89" i="3" s="1"/>
  <c r="T50" i="3"/>
  <c r="BP50" i="3" s="1"/>
  <c r="T10" i="3"/>
  <c r="T91" i="3"/>
  <c r="T46" i="3"/>
  <c r="T18" i="3"/>
  <c r="BP18" i="3" s="1"/>
  <c r="T93" i="3"/>
  <c r="T80" i="3"/>
  <c r="T72" i="3"/>
  <c r="T6" i="3"/>
  <c r="BP6" i="3" s="1"/>
  <c r="AF6" i="3"/>
  <c r="CB6" i="3" s="1"/>
  <c r="AF28" i="3"/>
  <c r="L37" i="3"/>
  <c r="BH37" i="3" s="1"/>
  <c r="AE39" i="3"/>
  <c r="CA39" i="3" s="1"/>
  <c r="AY50" i="3"/>
  <c r="CU50" i="3" s="1"/>
  <c r="R52" i="3"/>
  <c r="BN52" i="3" s="1"/>
  <c r="AF57" i="3"/>
  <c r="AE59" i="3"/>
  <c r="AK62" i="3"/>
  <c r="CG62" i="3" s="1"/>
  <c r="R72" i="3"/>
  <c r="AC77" i="3"/>
  <c r="BY77" i="3" s="1"/>
  <c r="I80" i="3"/>
  <c r="AZ92" i="3"/>
  <c r="AF97" i="3"/>
  <c r="Q102" i="3"/>
  <c r="BM102" i="3" s="1"/>
  <c r="Q98" i="3"/>
  <c r="Q90" i="3"/>
  <c r="Q86" i="3"/>
  <c r="Q78" i="3"/>
  <c r="Q74" i="3"/>
  <c r="BM74" i="3" s="1"/>
  <c r="Q70" i="3"/>
  <c r="Q101" i="3"/>
  <c r="BM101" i="3" s="1"/>
  <c r="Q97" i="3"/>
  <c r="Q93" i="3"/>
  <c r="Q72" i="3"/>
  <c r="Q92" i="3"/>
  <c r="Q84" i="3"/>
  <c r="Q80" i="3"/>
  <c r="Q62" i="3"/>
  <c r="BM62" i="3" s="1"/>
  <c r="Q81" i="3"/>
  <c r="Q54" i="3"/>
  <c r="Q50" i="3"/>
  <c r="BM50" i="3" s="1"/>
  <c r="Q46" i="3"/>
  <c r="Q57" i="3"/>
  <c r="Q60" i="3"/>
  <c r="Q64" i="3"/>
  <c r="Q85" i="3"/>
  <c r="Q69" i="3"/>
  <c r="Q91" i="3"/>
  <c r="Q77" i="3"/>
  <c r="BM77" i="3" s="1"/>
  <c r="Q49" i="3"/>
  <c r="BM49" i="3" s="1"/>
  <c r="Q40" i="3"/>
  <c r="Q99" i="3"/>
  <c r="Q63" i="3"/>
  <c r="Q37" i="3"/>
  <c r="BM37" i="3" s="1"/>
  <c r="Q87" i="3"/>
  <c r="Q79" i="3"/>
  <c r="Q66" i="3"/>
  <c r="Q59" i="3"/>
  <c r="Q52" i="3"/>
  <c r="BM52" i="3" s="1"/>
  <c r="Q53" i="3"/>
  <c r="Q28" i="3"/>
  <c r="Q41" i="3"/>
  <c r="Q39" i="3"/>
  <c r="BM39" i="3" s="1"/>
  <c r="Q23" i="3"/>
  <c r="Q15" i="3"/>
  <c r="AK13" i="3"/>
  <c r="AK16" i="3"/>
  <c r="L33" i="3"/>
  <c r="BH33" i="3" s="1"/>
  <c r="AE89" i="3"/>
  <c r="CA89" i="3" s="1"/>
  <c r="L9" i="3"/>
  <c r="AZ18" i="3"/>
  <c r="CV18" i="3" s="1"/>
  <c r="AF45" i="3"/>
  <c r="T3" i="3"/>
  <c r="BP3" i="3" s="1"/>
  <c r="AO16" i="3"/>
  <c r="Q18" i="3"/>
  <c r="BM18" i="3" s="1"/>
  <c r="Q24" i="3"/>
  <c r="AY30" i="3"/>
  <c r="AF39" i="3"/>
  <c r="CB39" i="3" s="1"/>
  <c r="X40" i="3"/>
  <c r="L41" i="3"/>
  <c r="AF44" i="3"/>
  <c r="W46" i="3"/>
  <c r="R47" i="3"/>
  <c r="AZ50" i="3"/>
  <c r="CV50" i="3" s="1"/>
  <c r="S52" i="3"/>
  <c r="BO52" i="3" s="1"/>
  <c r="AL59" i="3"/>
  <c r="R64" i="3"/>
  <c r="S72" i="3"/>
  <c r="AE77" i="3"/>
  <c r="CA77" i="3" s="1"/>
  <c r="L80" i="3"/>
  <c r="T90" i="3"/>
  <c r="Q96" i="3"/>
  <c r="X102" i="3"/>
  <c r="BT102" i="3" s="1"/>
  <c r="AW53" i="3"/>
  <c r="K80" i="3"/>
  <c r="K64" i="3"/>
  <c r="K81" i="3"/>
  <c r="K70" i="3"/>
  <c r="K99" i="3"/>
  <c r="K90" i="3"/>
  <c r="K85" i="3"/>
  <c r="K101" i="3"/>
  <c r="BG101" i="3" s="1"/>
  <c r="K92" i="3"/>
  <c r="K77" i="3"/>
  <c r="BG77" i="3" s="1"/>
  <c r="K74" i="3"/>
  <c r="BG74" i="3" s="1"/>
  <c r="K87" i="3"/>
  <c r="K66" i="3"/>
  <c r="K102" i="3"/>
  <c r="BG102" i="3" s="1"/>
  <c r="K79" i="3"/>
  <c r="K72" i="3"/>
  <c r="K59" i="3"/>
  <c r="K93" i="3"/>
  <c r="K84" i="3"/>
  <c r="K60" i="3"/>
  <c r="K58" i="3"/>
  <c r="K89" i="3"/>
  <c r="BG89" i="3" s="1"/>
  <c r="K97" i="3"/>
  <c r="K65" i="3"/>
  <c r="K53" i="3"/>
  <c r="K75" i="3"/>
  <c r="BG75" i="3" s="1"/>
  <c r="K44" i="3"/>
  <c r="K71" i="3"/>
  <c r="K18" i="3"/>
  <c r="BG18" i="3" s="1"/>
  <c r="K16" i="3"/>
  <c r="K98" i="3"/>
  <c r="K15" i="3"/>
  <c r="K47" i="3"/>
  <c r="K91" i="3"/>
  <c r="K86" i="3"/>
  <c r="K69" i="3"/>
  <c r="K78" i="3"/>
  <c r="K57" i="3"/>
  <c r="K96" i="3"/>
  <c r="K63" i="3"/>
  <c r="K14" i="3"/>
  <c r="K54" i="3"/>
  <c r="K30" i="3"/>
  <c r="K22" i="3"/>
  <c r="K8" i="3"/>
  <c r="K3" i="3"/>
  <c r="BG3" i="3" s="1"/>
  <c r="K52" i="3"/>
  <c r="BG52" i="3" s="1"/>
  <c r="K49" i="3"/>
  <c r="BG49" i="3" s="1"/>
  <c r="K41" i="3"/>
  <c r="K39" i="3"/>
  <c r="BG39" i="3" s="1"/>
  <c r="K10" i="3"/>
  <c r="K23" i="3"/>
  <c r="I36" i="3"/>
  <c r="BE36" i="3" s="1"/>
  <c r="AY53" i="3"/>
  <c r="AC58" i="3"/>
  <c r="AW4" i="3"/>
  <c r="CS4" i="3" s="1"/>
  <c r="L23" i="3"/>
  <c r="I40" i="3"/>
  <c r="K33" i="3"/>
  <c r="BG33" i="3" s="1"/>
  <c r="L52" i="3"/>
  <c r="BH52" i="3" s="1"/>
  <c r="AY10" i="3"/>
  <c r="AF31" i="3"/>
  <c r="AN72" i="3"/>
  <c r="AN84" i="3"/>
  <c r="AN62" i="3"/>
  <c r="CJ62" i="3" s="1"/>
  <c r="AN102" i="3"/>
  <c r="CJ102" i="3" s="1"/>
  <c r="AN98" i="3"/>
  <c r="AN85" i="3"/>
  <c r="AN77" i="3"/>
  <c r="CJ77" i="3" s="1"/>
  <c r="AN70" i="3"/>
  <c r="AN58" i="3"/>
  <c r="AN99" i="3"/>
  <c r="AN74" i="3"/>
  <c r="CJ74" i="3" s="1"/>
  <c r="AN92" i="3"/>
  <c r="AN90" i="3"/>
  <c r="AN54" i="3"/>
  <c r="AN87" i="3"/>
  <c r="AN71" i="3"/>
  <c r="AN59" i="3"/>
  <c r="AN49" i="3"/>
  <c r="CJ49" i="3" s="1"/>
  <c r="AN39" i="3"/>
  <c r="CJ39" i="3" s="1"/>
  <c r="AN31" i="3"/>
  <c r="AN23" i="3"/>
  <c r="AN19" i="3"/>
  <c r="CJ19" i="3" s="1"/>
  <c r="AN15" i="3"/>
  <c r="AN93" i="3"/>
  <c r="AN91" i="3"/>
  <c r="AN79" i="3"/>
  <c r="AN57" i="3"/>
  <c r="AN80" i="3"/>
  <c r="AN13" i="3"/>
  <c r="AN9" i="3"/>
  <c r="AN96" i="3"/>
  <c r="AN53" i="3"/>
  <c r="AN81" i="3"/>
  <c r="AN65" i="3"/>
  <c r="AN37" i="3"/>
  <c r="CJ37" i="3" s="1"/>
  <c r="AN89" i="3"/>
  <c r="CJ89" i="3" s="1"/>
  <c r="AN36" i="3"/>
  <c r="CJ36" i="3" s="1"/>
  <c r="AN34" i="3"/>
  <c r="CJ34" i="3" s="1"/>
  <c r="AN8" i="3"/>
  <c r="AN4" i="3"/>
  <c r="CJ4" i="3" s="1"/>
  <c r="AN97" i="3"/>
  <c r="AN64" i="3"/>
  <c r="AN69" i="3"/>
  <c r="AN25" i="3"/>
  <c r="AF54" i="3"/>
  <c r="U66" i="3"/>
  <c r="U62" i="3"/>
  <c r="BQ62" i="3" s="1"/>
  <c r="U74" i="3"/>
  <c r="BQ74" i="3" s="1"/>
  <c r="U75" i="3"/>
  <c r="BQ75" i="3" s="1"/>
  <c r="U86" i="3"/>
  <c r="U78" i="3"/>
  <c r="U97" i="3"/>
  <c r="U63" i="3"/>
  <c r="U101" i="3"/>
  <c r="BQ101" i="3" s="1"/>
  <c r="U92" i="3"/>
  <c r="U53" i="3"/>
  <c r="U96" i="3"/>
  <c r="U99" i="3"/>
  <c r="U69" i="3"/>
  <c r="U60" i="3"/>
  <c r="U50" i="3"/>
  <c r="BQ50" i="3" s="1"/>
  <c r="U47" i="3"/>
  <c r="U98" i="3"/>
  <c r="U85" i="3"/>
  <c r="U77" i="3"/>
  <c r="BQ77" i="3" s="1"/>
  <c r="U70" i="3"/>
  <c r="U40" i="3"/>
  <c r="U102" i="3"/>
  <c r="BQ102" i="3" s="1"/>
  <c r="U39" i="3"/>
  <c r="BQ39" i="3" s="1"/>
  <c r="U37" i="3"/>
  <c r="BQ37" i="3" s="1"/>
  <c r="U49" i="3"/>
  <c r="BQ49" i="3" s="1"/>
  <c r="U36" i="3"/>
  <c r="BQ36" i="3" s="1"/>
  <c r="U34" i="3"/>
  <c r="BQ34" i="3" s="1"/>
  <c r="U57" i="3"/>
  <c r="U87" i="3"/>
  <c r="U30" i="3"/>
  <c r="U44" i="3"/>
  <c r="U31" i="3"/>
  <c r="U29" i="3"/>
  <c r="U52" i="3"/>
  <c r="BQ52" i="3" s="1"/>
  <c r="U79" i="3"/>
  <c r="U80" i="3"/>
  <c r="U89" i="3"/>
  <c r="BQ89" i="3" s="1"/>
  <c r="U81" i="3"/>
  <c r="U91" i="3"/>
  <c r="U23" i="3"/>
  <c r="U15" i="3"/>
  <c r="U46" i="3"/>
  <c r="U41" i="3"/>
  <c r="U18" i="3"/>
  <c r="BQ18" i="3" s="1"/>
  <c r="U93" i="3"/>
  <c r="U72" i="3"/>
  <c r="U33" i="3"/>
  <c r="BQ33" i="3" s="1"/>
  <c r="U64" i="3"/>
  <c r="U45" i="3"/>
  <c r="AL19" i="3"/>
  <c r="CH19" i="3" s="1"/>
  <c r="V101" i="3"/>
  <c r="BR101" i="3" s="1"/>
  <c r="V97" i="3"/>
  <c r="V93" i="3"/>
  <c r="V89" i="3"/>
  <c r="BR89" i="3" s="1"/>
  <c r="V85" i="3"/>
  <c r="V81" i="3"/>
  <c r="V77" i="3"/>
  <c r="BR77" i="3" s="1"/>
  <c r="V69" i="3"/>
  <c r="V96" i="3"/>
  <c r="V92" i="3"/>
  <c r="V74" i="3"/>
  <c r="BR74" i="3" s="1"/>
  <c r="V86" i="3"/>
  <c r="V75" i="3"/>
  <c r="BR75" i="3" s="1"/>
  <c r="V78" i="3"/>
  <c r="V98" i="3"/>
  <c r="V63" i="3"/>
  <c r="V53" i="3"/>
  <c r="V49" i="3"/>
  <c r="BR49" i="3" s="1"/>
  <c r="V45" i="3"/>
  <c r="V64" i="3"/>
  <c r="V91" i="3"/>
  <c r="V62" i="3"/>
  <c r="BR62" i="3" s="1"/>
  <c r="V50" i="3"/>
  <c r="BR50" i="3" s="1"/>
  <c r="V72" i="3"/>
  <c r="V102" i="3"/>
  <c r="BR102" i="3" s="1"/>
  <c r="V60" i="3"/>
  <c r="V39" i="3"/>
  <c r="BR39" i="3" s="1"/>
  <c r="V37" i="3"/>
  <c r="BR37" i="3" s="1"/>
  <c r="V36" i="3"/>
  <c r="BR36" i="3" s="1"/>
  <c r="V34" i="3"/>
  <c r="BR34" i="3" s="1"/>
  <c r="V57" i="3"/>
  <c r="V33" i="3"/>
  <c r="BR33" i="3" s="1"/>
  <c r="V87" i="3"/>
  <c r="V99" i="3"/>
  <c r="V44" i="3"/>
  <c r="V31" i="3"/>
  <c r="V79" i="3"/>
  <c r="V52" i="3"/>
  <c r="BR52" i="3" s="1"/>
  <c r="V28" i="3"/>
  <c r="V80" i="3"/>
  <c r="V59" i="3"/>
  <c r="V65" i="3"/>
  <c r="V46" i="3"/>
  <c r="V41" i="3"/>
  <c r="V18" i="3"/>
  <c r="BR18" i="3" s="1"/>
  <c r="V24" i="3"/>
  <c r="V16" i="3"/>
  <c r="AP101" i="3"/>
  <c r="CL101" i="3" s="1"/>
  <c r="AP97" i="3"/>
  <c r="AP93" i="3"/>
  <c r="AP89" i="3"/>
  <c r="CL89" i="3" s="1"/>
  <c r="AP85" i="3"/>
  <c r="AP81" i="3"/>
  <c r="AP77" i="3"/>
  <c r="CL77" i="3" s="1"/>
  <c r="AP69" i="3"/>
  <c r="AP96" i="3"/>
  <c r="AP92" i="3"/>
  <c r="AP66" i="3"/>
  <c r="AP86" i="3"/>
  <c r="AP90" i="3"/>
  <c r="AP80" i="3"/>
  <c r="AP99" i="3"/>
  <c r="AP87" i="3"/>
  <c r="AP72" i="3"/>
  <c r="AP62" i="3"/>
  <c r="CL62" i="3" s="1"/>
  <c r="AP79" i="3"/>
  <c r="AP53" i="3"/>
  <c r="AP49" i="3"/>
  <c r="CL49" i="3" s="1"/>
  <c r="AP45" i="3"/>
  <c r="AP74" i="3"/>
  <c r="CL74" i="3" s="1"/>
  <c r="AP91" i="3"/>
  <c r="AP54" i="3"/>
  <c r="AP50" i="3"/>
  <c r="CL50" i="3" s="1"/>
  <c r="AP47" i="3"/>
  <c r="AP41" i="3"/>
  <c r="AP40" i="3"/>
  <c r="AP65" i="3"/>
  <c r="AP39" i="3"/>
  <c r="CL39" i="3" s="1"/>
  <c r="AP37" i="3"/>
  <c r="CL37" i="3" s="1"/>
  <c r="AP58" i="3"/>
  <c r="AP33" i="3"/>
  <c r="CL33" i="3" s="1"/>
  <c r="AP64" i="3"/>
  <c r="AP30" i="3"/>
  <c r="AP75" i="3"/>
  <c r="CL75" i="3" s="1"/>
  <c r="AP71" i="3"/>
  <c r="AP70" i="3"/>
  <c r="AP60" i="3"/>
  <c r="AP98" i="3"/>
  <c r="AP84" i="3"/>
  <c r="AP63" i="3"/>
  <c r="AP57" i="3"/>
  <c r="AP44" i="3"/>
  <c r="AP28" i="3"/>
  <c r="AP10" i="3"/>
  <c r="AP102" i="3"/>
  <c r="CL102" i="3" s="1"/>
  <c r="AP18" i="3"/>
  <c r="CL18" i="3" s="1"/>
  <c r="U3" i="3"/>
  <c r="BQ3" i="3" s="1"/>
  <c r="AZ3" i="3"/>
  <c r="CV3" i="3" s="1"/>
  <c r="AF4" i="3"/>
  <c r="CB4" i="3" s="1"/>
  <c r="AK6" i="3"/>
  <c r="CG6" i="3" s="1"/>
  <c r="T7" i="3"/>
  <c r="AZ7" i="3"/>
  <c r="AZ15" i="3"/>
  <c r="AP16" i="3"/>
  <c r="R18" i="3"/>
  <c r="BN18" i="3" s="1"/>
  <c r="AO19" i="3"/>
  <c r="CK19" i="3" s="1"/>
  <c r="Q21" i="3"/>
  <c r="BM21" i="3" s="1"/>
  <c r="AO22" i="3"/>
  <c r="AE23" i="3"/>
  <c r="R24" i="3"/>
  <c r="AZ30" i="3"/>
  <c r="AK31" i="3"/>
  <c r="Q33" i="3"/>
  <c r="BM33" i="3" s="1"/>
  <c r="K34" i="3"/>
  <c r="BG34" i="3" s="1"/>
  <c r="S47" i="3"/>
  <c r="K50" i="3"/>
  <c r="BG50" i="3" s="1"/>
  <c r="T52" i="3"/>
  <c r="BP52" i="3" s="1"/>
  <c r="S66" i="3"/>
  <c r="X70" i="3"/>
  <c r="U90" i="3"/>
  <c r="AW93" i="3"/>
  <c r="AW99" i="3"/>
  <c r="AW89" i="3"/>
  <c r="CS89" i="3" s="1"/>
  <c r="AW75" i="3"/>
  <c r="CS75" i="3" s="1"/>
  <c r="AW78" i="3"/>
  <c r="AW86" i="3"/>
  <c r="AW98" i="3"/>
  <c r="AW84" i="3"/>
  <c r="AW52" i="3"/>
  <c r="CS52" i="3" s="1"/>
  <c r="AW81" i="3"/>
  <c r="AW102" i="3"/>
  <c r="CS102" i="3" s="1"/>
  <c r="AW64" i="3"/>
  <c r="AW80" i="3"/>
  <c r="AW79" i="3"/>
  <c r="AW46" i="3"/>
  <c r="AW41" i="3"/>
  <c r="AW37" i="3"/>
  <c r="CS37" i="3" s="1"/>
  <c r="AW33" i="3"/>
  <c r="CS33" i="3" s="1"/>
  <c r="AW29" i="3"/>
  <c r="AW25" i="3"/>
  <c r="AW21" i="3"/>
  <c r="CS21" i="3" s="1"/>
  <c r="AW58" i="3"/>
  <c r="AW92" i="3"/>
  <c r="AW44" i="3"/>
  <c r="AW30" i="3"/>
  <c r="AW28" i="3"/>
  <c r="AW49" i="3"/>
  <c r="CS49" i="3" s="1"/>
  <c r="AW7" i="3"/>
  <c r="AW3" i="3"/>
  <c r="CS3" i="3" s="1"/>
  <c r="AW97" i="3"/>
  <c r="AW24" i="3"/>
  <c r="AW45" i="3"/>
  <c r="AW101" i="3"/>
  <c r="CS101" i="3" s="1"/>
  <c r="AW19" i="3"/>
  <c r="CS19" i="3" s="1"/>
  <c r="AW57" i="3"/>
  <c r="AW77" i="3"/>
  <c r="CS77" i="3" s="1"/>
  <c r="AW85" i="3"/>
  <c r="AW18" i="3"/>
  <c r="CS18" i="3" s="1"/>
  <c r="AW6" i="3"/>
  <c r="CS6" i="3" s="1"/>
  <c r="AW39" i="3"/>
  <c r="CS39" i="3" s="1"/>
  <c r="AW90" i="3"/>
  <c r="AW65" i="3"/>
  <c r="AW54" i="3"/>
  <c r="AW31" i="3"/>
  <c r="AW13" i="3"/>
  <c r="I23" i="3"/>
  <c r="AC30" i="3"/>
  <c r="AY77" i="3"/>
  <c r="CU77" i="3" s="1"/>
  <c r="AY78" i="3"/>
  <c r="AY86" i="3"/>
  <c r="AY96" i="3"/>
  <c r="AY81" i="3"/>
  <c r="AY102" i="3"/>
  <c r="CU102" i="3" s="1"/>
  <c r="AY93" i="3"/>
  <c r="AY45" i="3"/>
  <c r="AY97" i="3"/>
  <c r="AY66" i="3"/>
  <c r="AY44" i="3"/>
  <c r="AY24" i="3"/>
  <c r="AY71" i="3"/>
  <c r="AY25" i="3"/>
  <c r="AY23" i="3"/>
  <c r="AY89" i="3"/>
  <c r="CU89" i="3" s="1"/>
  <c r="AY22" i="3"/>
  <c r="AY101" i="3"/>
  <c r="CU101" i="3" s="1"/>
  <c r="AY75" i="3"/>
  <c r="CU75" i="3" s="1"/>
  <c r="AY57" i="3"/>
  <c r="AY15" i="3"/>
  <c r="AY90" i="3"/>
  <c r="AY54" i="3"/>
  <c r="AY59" i="3"/>
  <c r="AY91" i="3"/>
  <c r="AY84" i="3"/>
  <c r="AY39" i="3"/>
  <c r="CU39" i="3" s="1"/>
  <c r="AY18" i="3"/>
  <c r="CU18" i="3" s="1"/>
  <c r="AY6" i="3"/>
  <c r="CU6" i="3" s="1"/>
  <c r="AY65" i="3"/>
  <c r="AY41" i="3"/>
  <c r="AY37" i="3"/>
  <c r="CU37" i="3" s="1"/>
  <c r="AY58" i="3"/>
  <c r="AY29" i="3"/>
  <c r="AY7" i="3"/>
  <c r="AE15" i="3"/>
  <c r="L99" i="3"/>
  <c r="L87" i="3"/>
  <c r="L79" i="3"/>
  <c r="L75" i="3"/>
  <c r="BH75" i="3" s="1"/>
  <c r="L102" i="3"/>
  <c r="BH102" i="3" s="1"/>
  <c r="L98" i="3"/>
  <c r="L81" i="3"/>
  <c r="L70" i="3"/>
  <c r="L101" i="3"/>
  <c r="BH101" i="3" s="1"/>
  <c r="L69" i="3"/>
  <c r="L85" i="3"/>
  <c r="L77" i="3"/>
  <c r="BH77" i="3" s="1"/>
  <c r="L59" i="3"/>
  <c r="L84" i="3"/>
  <c r="L60" i="3"/>
  <c r="L58" i="3"/>
  <c r="L57" i="3"/>
  <c r="L97" i="3"/>
  <c r="L86" i="3"/>
  <c r="L62" i="3"/>
  <c r="BH62" i="3" s="1"/>
  <c r="L15" i="3"/>
  <c r="L64" i="3"/>
  <c r="L53" i="3"/>
  <c r="L78" i="3"/>
  <c r="L96" i="3"/>
  <c r="L54" i="3"/>
  <c r="L44" i="3"/>
  <c r="L30" i="3"/>
  <c r="L22" i="3"/>
  <c r="L8" i="3"/>
  <c r="L3" i="3"/>
  <c r="BH3" i="3" s="1"/>
  <c r="K29" i="3"/>
  <c r="I79" i="3"/>
  <c r="L29" i="3"/>
  <c r="AW91" i="3"/>
  <c r="AZ8" i="3"/>
  <c r="AW10" i="3"/>
  <c r="L18" i="3"/>
  <c r="BH18" i="3" s="1"/>
  <c r="K21" i="3"/>
  <c r="BG21" i="3" s="1"/>
  <c r="AY46" i="3"/>
  <c r="R7" i="3"/>
  <c r="AE8" i="3"/>
  <c r="AN16" i="3"/>
  <c r="AK19" i="3"/>
  <c r="CG19" i="3" s="1"/>
  <c r="AO84" i="3"/>
  <c r="AO99" i="3"/>
  <c r="AO80" i="3"/>
  <c r="AO87" i="3"/>
  <c r="AO72" i="3"/>
  <c r="AO79" i="3"/>
  <c r="AO53" i="3"/>
  <c r="AO98" i="3"/>
  <c r="AO85" i="3"/>
  <c r="AO81" i="3"/>
  <c r="AO78" i="3"/>
  <c r="AO70" i="3"/>
  <c r="AO96" i="3"/>
  <c r="AO41" i="3"/>
  <c r="AO40" i="3"/>
  <c r="AO89" i="3"/>
  <c r="CK89" i="3" s="1"/>
  <c r="AO58" i="3"/>
  <c r="AO36" i="3"/>
  <c r="CK36" i="3" s="1"/>
  <c r="AO34" i="3"/>
  <c r="CK34" i="3" s="1"/>
  <c r="AO33" i="3"/>
  <c r="CK33" i="3" s="1"/>
  <c r="AO97" i="3"/>
  <c r="AO49" i="3"/>
  <c r="CK49" i="3" s="1"/>
  <c r="AO64" i="3"/>
  <c r="AO75" i="3"/>
  <c r="CK75" i="3" s="1"/>
  <c r="AO25" i="3"/>
  <c r="AO9" i="3"/>
  <c r="AO4" i="3"/>
  <c r="CK4" i="3" s="1"/>
  <c r="AO57" i="3"/>
  <c r="AO47" i="3"/>
  <c r="AO44" i="3"/>
  <c r="AO23" i="3"/>
  <c r="AO15" i="3"/>
  <c r="AE4" i="3"/>
  <c r="CA4" i="3" s="1"/>
  <c r="K19" i="3"/>
  <c r="BG19" i="3" s="1"/>
  <c r="W101" i="3"/>
  <c r="BS101" i="3" s="1"/>
  <c r="W97" i="3"/>
  <c r="W93" i="3"/>
  <c r="W89" i="3"/>
  <c r="BS89" i="3" s="1"/>
  <c r="W85" i="3"/>
  <c r="W81" i="3"/>
  <c r="W77" i="3"/>
  <c r="BS77" i="3" s="1"/>
  <c r="W96" i="3"/>
  <c r="W92" i="3"/>
  <c r="W84" i="3"/>
  <c r="W80" i="3"/>
  <c r="W72" i="3"/>
  <c r="W86" i="3"/>
  <c r="W75" i="3"/>
  <c r="BS75" i="3" s="1"/>
  <c r="W98" i="3"/>
  <c r="W87" i="3"/>
  <c r="W99" i="3"/>
  <c r="W78" i="3"/>
  <c r="W91" i="3"/>
  <c r="W53" i="3"/>
  <c r="W66" i="3"/>
  <c r="W58" i="3"/>
  <c r="W36" i="3"/>
  <c r="BS36" i="3" s="1"/>
  <c r="W34" i="3"/>
  <c r="BS34" i="3" s="1"/>
  <c r="W57" i="3"/>
  <c r="W49" i="3"/>
  <c r="BS49" i="3" s="1"/>
  <c r="W33" i="3"/>
  <c r="BS33" i="3" s="1"/>
  <c r="W44" i="3"/>
  <c r="W30" i="3"/>
  <c r="W8" i="3"/>
  <c r="W4" i="3"/>
  <c r="BS4" i="3" s="1"/>
  <c r="W63" i="3"/>
  <c r="W79" i="3"/>
  <c r="W52" i="3"/>
  <c r="BS52" i="3" s="1"/>
  <c r="W45" i="3"/>
  <c r="W25" i="3"/>
  <c r="W59" i="3"/>
  <c r="W54" i="3"/>
  <c r="W39" i="3"/>
  <c r="BS39" i="3" s="1"/>
  <c r="W37" i="3"/>
  <c r="BS37" i="3" s="1"/>
  <c r="W21" i="3"/>
  <c r="BS21" i="3" s="1"/>
  <c r="W7" i="3"/>
  <c r="AQ101" i="3"/>
  <c r="CM101" i="3" s="1"/>
  <c r="AQ97" i="3"/>
  <c r="AQ93" i="3"/>
  <c r="AQ89" i="3"/>
  <c r="CM89" i="3" s="1"/>
  <c r="AQ85" i="3"/>
  <c r="AQ81" i="3"/>
  <c r="AQ77" i="3"/>
  <c r="CM77" i="3" s="1"/>
  <c r="AQ96" i="3"/>
  <c r="AQ92" i="3"/>
  <c r="AQ84" i="3"/>
  <c r="AQ80" i="3"/>
  <c r="AQ102" i="3"/>
  <c r="CM102" i="3" s="1"/>
  <c r="AQ87" i="3"/>
  <c r="AQ99" i="3"/>
  <c r="AQ90" i="3"/>
  <c r="AQ79" i="3"/>
  <c r="AQ53" i="3"/>
  <c r="AQ49" i="3"/>
  <c r="CM49" i="3" s="1"/>
  <c r="AQ98" i="3"/>
  <c r="AQ54" i="3"/>
  <c r="AQ57" i="3"/>
  <c r="AQ75" i="3"/>
  <c r="CM75" i="3" s="1"/>
  <c r="AQ41" i="3"/>
  <c r="AQ40" i="3"/>
  <c r="AQ65" i="3"/>
  <c r="AQ39" i="3"/>
  <c r="CM39" i="3" s="1"/>
  <c r="AQ37" i="3"/>
  <c r="CM37" i="3" s="1"/>
  <c r="AQ58" i="3"/>
  <c r="AQ36" i="3"/>
  <c r="CM36" i="3" s="1"/>
  <c r="AQ34" i="3"/>
  <c r="CM34" i="3" s="1"/>
  <c r="AQ8" i="3"/>
  <c r="AQ4" i="3"/>
  <c r="CM4" i="3" s="1"/>
  <c r="AQ64" i="3"/>
  <c r="AQ30" i="3"/>
  <c r="AQ31" i="3"/>
  <c r="AQ29" i="3"/>
  <c r="AQ44" i="3"/>
  <c r="AQ47" i="3"/>
  <c r="AQ28" i="3"/>
  <c r="AQ10" i="3"/>
  <c r="V3" i="3"/>
  <c r="BR3" i="3" s="1"/>
  <c r="AL6" i="3"/>
  <c r="CH6" i="3" s="1"/>
  <c r="U7" i="3"/>
  <c r="Q13" i="3"/>
  <c r="AC14" i="3"/>
  <c r="V15" i="3"/>
  <c r="AQ16" i="3"/>
  <c r="S18" i="3"/>
  <c r="BO18" i="3" s="1"/>
  <c r="AP19" i="3"/>
  <c r="CL19" i="3" s="1"/>
  <c r="R21" i="3"/>
  <c r="BN21" i="3" s="1"/>
  <c r="AP22" i="3"/>
  <c r="AF23" i="3"/>
  <c r="S24" i="3"/>
  <c r="AK28" i="3"/>
  <c r="AF29" i="3"/>
  <c r="R33" i="3"/>
  <c r="BN33" i="3" s="1"/>
  <c r="L34" i="3"/>
  <c r="BH34" i="3" s="1"/>
  <c r="AW34" i="3"/>
  <c r="CS34" i="3" s="1"/>
  <c r="T47" i="3"/>
  <c r="I49" i="3"/>
  <c r="BE49" i="3" s="1"/>
  <c r="L50" i="3"/>
  <c r="BH50" i="3" s="1"/>
  <c r="AC53" i="3"/>
  <c r="AO54" i="3"/>
  <c r="AP59" i="3"/>
  <c r="V66" i="3"/>
  <c r="Q75" i="3"/>
  <c r="BM75" i="3" s="1"/>
  <c r="AO77" i="3"/>
  <c r="CK77" i="3" s="1"/>
  <c r="V90" i="3"/>
  <c r="AR96" i="3"/>
  <c r="AM102" i="3"/>
  <c r="CI102" i="3" s="1"/>
  <c r="I30" i="3"/>
  <c r="AW15" i="3"/>
  <c r="T29" i="3"/>
  <c r="AY3" i="3"/>
  <c r="CU3" i="3" s="1"/>
  <c r="AF8" i="3"/>
  <c r="X98" i="3"/>
  <c r="X87" i="3"/>
  <c r="X93" i="3"/>
  <c r="X77" i="3"/>
  <c r="BT77" i="3" s="1"/>
  <c r="X65" i="3"/>
  <c r="X91" i="3"/>
  <c r="X86" i="3"/>
  <c r="X66" i="3"/>
  <c r="X64" i="3"/>
  <c r="X57" i="3"/>
  <c r="X89" i="3"/>
  <c r="BT89" i="3" s="1"/>
  <c r="X97" i="3"/>
  <c r="X53" i="3"/>
  <c r="X78" i="3"/>
  <c r="X101" i="3"/>
  <c r="BT101" i="3" s="1"/>
  <c r="X92" i="3"/>
  <c r="X80" i="3"/>
  <c r="X47" i="3"/>
  <c r="X34" i="3"/>
  <c r="BT34" i="3" s="1"/>
  <c r="X30" i="3"/>
  <c r="X22" i="3"/>
  <c r="X18" i="3"/>
  <c r="BT18" i="3" s="1"/>
  <c r="X90" i="3"/>
  <c r="X52" i="3"/>
  <c r="BT52" i="3" s="1"/>
  <c r="X46" i="3"/>
  <c r="X49" i="3"/>
  <c r="BT49" i="3" s="1"/>
  <c r="X33" i="3"/>
  <c r="BT33" i="3" s="1"/>
  <c r="X8" i="3"/>
  <c r="X4" i="3"/>
  <c r="BT4" i="3" s="1"/>
  <c r="X63" i="3"/>
  <c r="X44" i="3"/>
  <c r="X31" i="3"/>
  <c r="X29" i="3"/>
  <c r="X99" i="3"/>
  <c r="X79" i="3"/>
  <c r="X45" i="3"/>
  <c r="X59" i="3"/>
  <c r="X54" i="3"/>
  <c r="X24" i="3"/>
  <c r="X96" i="3"/>
  <c r="X81" i="3"/>
  <c r="X39" i="3"/>
  <c r="BT39" i="3" s="1"/>
  <c r="X37" i="3"/>
  <c r="BT37" i="3" s="1"/>
  <c r="X72" i="3"/>
  <c r="X21" i="3"/>
  <c r="BT21" i="3" s="1"/>
  <c r="X6" i="3"/>
  <c r="BT6" i="3" s="1"/>
  <c r="X60" i="3"/>
  <c r="AR102" i="3"/>
  <c r="CN102" i="3" s="1"/>
  <c r="AR92" i="3"/>
  <c r="AR97" i="3"/>
  <c r="AR85" i="3"/>
  <c r="AR98" i="3"/>
  <c r="AR80" i="3"/>
  <c r="AR57" i="3"/>
  <c r="AR75" i="3"/>
  <c r="CN75" i="3" s="1"/>
  <c r="AR90" i="3"/>
  <c r="AR79" i="3"/>
  <c r="AR53" i="3"/>
  <c r="AR49" i="3"/>
  <c r="CN49" i="3" s="1"/>
  <c r="AR70" i="3"/>
  <c r="AR84" i="3"/>
  <c r="AR89" i="3"/>
  <c r="CN89" i="3" s="1"/>
  <c r="AR93" i="3"/>
  <c r="AR81" i="3"/>
  <c r="AR78" i="3"/>
  <c r="AR34" i="3"/>
  <c r="CN34" i="3" s="1"/>
  <c r="AR30" i="3"/>
  <c r="AR22" i="3"/>
  <c r="AR18" i="3"/>
  <c r="CN18" i="3" s="1"/>
  <c r="AR14" i="3"/>
  <c r="AR64" i="3"/>
  <c r="AR39" i="3"/>
  <c r="CN39" i="3" s="1"/>
  <c r="AR37" i="3"/>
  <c r="CN37" i="3" s="1"/>
  <c r="AR58" i="3"/>
  <c r="AR36" i="3"/>
  <c r="CN36" i="3" s="1"/>
  <c r="AR8" i="3"/>
  <c r="AR4" i="3"/>
  <c r="CN4" i="3" s="1"/>
  <c r="AR33" i="3"/>
  <c r="CN33" i="3" s="1"/>
  <c r="AR31" i="3"/>
  <c r="AR44" i="3"/>
  <c r="AR28" i="3"/>
  <c r="AR72" i="3"/>
  <c r="AR101" i="3"/>
  <c r="CN101" i="3" s="1"/>
  <c r="AR10" i="3"/>
  <c r="AR41" i="3"/>
  <c r="AR6" i="3"/>
  <c r="CN6" i="3" s="1"/>
  <c r="W3" i="3"/>
  <c r="BS3" i="3" s="1"/>
  <c r="I4" i="3"/>
  <c r="BE4" i="3" s="1"/>
  <c r="AM6" i="3"/>
  <c r="CI6" i="3" s="1"/>
  <c r="V7" i="3"/>
  <c r="I8" i="3"/>
  <c r="AC10" i="3"/>
  <c r="U13" i="3"/>
  <c r="AE14" i="3"/>
  <c r="W15" i="3"/>
  <c r="L16" i="3"/>
  <c r="AR16" i="3"/>
  <c r="W18" i="3"/>
  <c r="BS18" i="3" s="1"/>
  <c r="AQ19" i="3"/>
  <c r="CM19" i="3" s="1"/>
  <c r="T21" i="3"/>
  <c r="BP21" i="3" s="1"/>
  <c r="AQ22" i="3"/>
  <c r="T24" i="3"/>
  <c r="K25" i="3"/>
  <c r="AK25" i="3"/>
  <c r="AM28" i="3"/>
  <c r="Q30" i="3"/>
  <c r="I31" i="3"/>
  <c r="W41" i="3"/>
  <c r="AL44" i="3"/>
  <c r="AL45" i="3"/>
  <c r="V47" i="3"/>
  <c r="AR54" i="3"/>
  <c r="AQ59" i="3"/>
  <c r="R75" i="3"/>
  <c r="BN75" i="3" s="1"/>
  <c r="AR77" i="3"/>
  <c r="CN77" i="3" s="1"/>
  <c r="S80" i="3"/>
  <c r="AR87" i="3"/>
  <c r="W90" i="3"/>
  <c r="AO102" i="3"/>
  <c r="CK102" i="3" s="1"/>
  <c r="P74" i="3"/>
  <c r="BL74" i="3" s="1"/>
  <c r="AJ102" i="3"/>
  <c r="CF102" i="3" s="1"/>
  <c r="AJ9" i="3"/>
  <c r="AJ14" i="3"/>
  <c r="AJ22" i="3"/>
  <c r="P28" i="3"/>
  <c r="AJ3" i="3"/>
  <c r="CF3" i="3" s="1"/>
  <c r="AJ34" i="3"/>
  <c r="CF34" i="3" s="1"/>
  <c r="AJ36" i="3"/>
  <c r="CF36" i="3" s="1"/>
  <c r="AJ45" i="3"/>
  <c r="P52" i="3"/>
  <c r="BL52" i="3" s="1"/>
  <c r="P71" i="3"/>
  <c r="P63" i="3"/>
  <c r="P97" i="3"/>
  <c r="P72" i="3"/>
  <c r="P80" i="3"/>
  <c r="P102" i="3"/>
  <c r="BL102" i="3" s="1"/>
  <c r="P89" i="3"/>
  <c r="BL89" i="3" s="1"/>
  <c r="P70" i="3"/>
  <c r="P62" i="3"/>
  <c r="BL62" i="3" s="1"/>
  <c r="P86" i="3"/>
  <c r="P81" i="3"/>
  <c r="P54" i="3"/>
  <c r="P50" i="3"/>
  <c r="BL50" i="3" s="1"/>
  <c r="P98" i="3"/>
  <c r="P99" i="3"/>
  <c r="P69" i="3"/>
  <c r="P64" i="3"/>
  <c r="P53" i="3"/>
  <c r="P84" i="3"/>
  <c r="P85" i="3"/>
  <c r="P91" i="3"/>
  <c r="P60" i="3"/>
  <c r="P78" i="3"/>
  <c r="P77" i="3"/>
  <c r="BL77" i="3" s="1"/>
  <c r="P41" i="3"/>
  <c r="P39" i="3"/>
  <c r="BL39" i="3" s="1"/>
  <c r="P49" i="3"/>
  <c r="BL49" i="3" s="1"/>
  <c r="P40" i="3"/>
  <c r="P57" i="3"/>
  <c r="P92" i="3"/>
  <c r="P79" i="3"/>
  <c r="P66" i="3"/>
  <c r="AJ70" i="3"/>
  <c r="AJ63" i="3"/>
  <c r="AJ101" i="3"/>
  <c r="CF101" i="3" s="1"/>
  <c r="AJ97" i="3"/>
  <c r="AJ79" i="3"/>
  <c r="AJ85" i="3"/>
  <c r="AJ91" i="3"/>
  <c r="AJ58" i="3"/>
  <c r="AJ60" i="3"/>
  <c r="AJ59" i="3"/>
  <c r="AJ57" i="3"/>
  <c r="AJ99" i="3"/>
  <c r="AJ90" i="3"/>
  <c r="AJ54" i="3"/>
  <c r="AJ50" i="3"/>
  <c r="CF50" i="3" s="1"/>
  <c r="AJ87" i="3"/>
  <c r="AJ86" i="3"/>
  <c r="AJ84" i="3"/>
  <c r="AJ92" i="3"/>
  <c r="AJ49" i="3"/>
  <c r="CF49" i="3" s="1"/>
  <c r="AJ66" i="3"/>
  <c r="AJ47" i="3"/>
  <c r="AJ96" i="3"/>
  <c r="AJ80" i="3"/>
  <c r="AJ81" i="3"/>
  <c r="AJ93" i="3"/>
  <c r="AJ65" i="3"/>
  <c r="AJ89" i="3"/>
  <c r="CF89" i="3" s="1"/>
  <c r="AJ74" i="3"/>
  <c r="CF74" i="3" s="1"/>
  <c r="AJ72" i="3"/>
  <c r="AJ64" i="3"/>
  <c r="P4" i="3"/>
  <c r="BL4" i="3" s="1"/>
  <c r="AJ8" i="3"/>
  <c r="J80" i="3"/>
  <c r="J64" i="3"/>
  <c r="J96" i="3"/>
  <c r="J92" i="3"/>
  <c r="J70" i="3"/>
  <c r="J60" i="3"/>
  <c r="J99" i="3"/>
  <c r="J90" i="3"/>
  <c r="J85" i="3"/>
  <c r="J98" i="3"/>
  <c r="J87" i="3"/>
  <c r="J74" i="3"/>
  <c r="BF74" i="3" s="1"/>
  <c r="J66" i="3"/>
  <c r="J102" i="3"/>
  <c r="BF102" i="3" s="1"/>
  <c r="J79" i="3"/>
  <c r="J72" i="3"/>
  <c r="J59" i="3"/>
  <c r="J77" i="3"/>
  <c r="BF77" i="3" s="1"/>
  <c r="J45" i="3"/>
  <c r="J41" i="3"/>
  <c r="J37" i="3"/>
  <c r="BF37" i="3" s="1"/>
  <c r="J33" i="3"/>
  <c r="BF33" i="3" s="1"/>
  <c r="J29" i="3"/>
  <c r="J25" i="3"/>
  <c r="J21" i="3"/>
  <c r="BF21" i="3" s="1"/>
  <c r="J97" i="3"/>
  <c r="J65" i="3"/>
  <c r="J53" i="3"/>
  <c r="J57" i="3"/>
  <c r="J54" i="3"/>
  <c r="AD79" i="3"/>
  <c r="AD64" i="3"/>
  <c r="AD80" i="3"/>
  <c r="AD96" i="3"/>
  <c r="AD102" i="3"/>
  <c r="BZ102" i="3" s="1"/>
  <c r="AD60" i="3"/>
  <c r="AD93" i="3"/>
  <c r="AD84" i="3"/>
  <c r="AD69" i="3"/>
  <c r="AD75" i="3"/>
  <c r="BZ75" i="3" s="1"/>
  <c r="AD65" i="3"/>
  <c r="AD91" i="3"/>
  <c r="AD85" i="3"/>
  <c r="AD90" i="3"/>
  <c r="AD77" i="3"/>
  <c r="BZ77" i="3" s="1"/>
  <c r="AD41" i="3"/>
  <c r="AD37" i="3"/>
  <c r="BZ37" i="3" s="1"/>
  <c r="AD33" i="3"/>
  <c r="BZ33" i="3" s="1"/>
  <c r="AD29" i="3"/>
  <c r="AD25" i="3"/>
  <c r="AD21" i="3"/>
  <c r="BZ21" i="3" s="1"/>
  <c r="AD101" i="3"/>
  <c r="BZ101" i="3" s="1"/>
  <c r="AD87" i="3"/>
  <c r="AD72" i="3"/>
  <c r="AD45" i="3"/>
  <c r="AD89" i="3"/>
  <c r="BZ89" i="3" s="1"/>
  <c r="AD59" i="3"/>
  <c r="AX77" i="3"/>
  <c r="CT77" i="3" s="1"/>
  <c r="AX64" i="3"/>
  <c r="AX79" i="3"/>
  <c r="AX78" i="3"/>
  <c r="AX86" i="3"/>
  <c r="AX60" i="3"/>
  <c r="AX96" i="3"/>
  <c r="AX89" i="3"/>
  <c r="CT89" i="3" s="1"/>
  <c r="AX81" i="3"/>
  <c r="AX102" i="3"/>
  <c r="CT102" i="3" s="1"/>
  <c r="AX93" i="3"/>
  <c r="AX97" i="3"/>
  <c r="AX41" i="3"/>
  <c r="AX37" i="3"/>
  <c r="CT37" i="3" s="1"/>
  <c r="AX33" i="3"/>
  <c r="CT33" i="3" s="1"/>
  <c r="AX29" i="3"/>
  <c r="AX25" i="3"/>
  <c r="AX21" i="3"/>
  <c r="CT21" i="3" s="1"/>
  <c r="J6" i="3"/>
  <c r="BF6" i="3" s="1"/>
  <c r="AD6" i="3"/>
  <c r="BZ6" i="3" s="1"/>
  <c r="AX6" i="3"/>
  <c r="CT6" i="3" s="1"/>
  <c r="J10" i="3"/>
  <c r="AD10" i="3"/>
  <c r="AX10" i="3"/>
  <c r="J14" i="3"/>
  <c r="AD14" i="3"/>
  <c r="AX16" i="3"/>
  <c r="AX18" i="3"/>
  <c r="CT18" i="3" s="1"/>
  <c r="O39" i="3"/>
  <c r="BK39" i="3" s="1"/>
  <c r="O41" i="3"/>
  <c r="BA46" i="3"/>
  <c r="AG47" i="3"/>
  <c r="AX57" i="3"/>
  <c r="J69" i="3"/>
  <c r="AX70" i="3"/>
  <c r="O77" i="3"/>
  <c r="BK77" i="3" s="1"/>
  <c r="N78" i="3"/>
  <c r="AG81" i="3"/>
  <c r="J86" i="3"/>
  <c r="J91" i="3"/>
  <c r="M99" i="3"/>
  <c r="M91" i="3"/>
  <c r="M87" i="3"/>
  <c r="M79" i="3"/>
  <c r="M75" i="3"/>
  <c r="BI75" i="3" s="1"/>
  <c r="M71" i="3"/>
  <c r="M102" i="3"/>
  <c r="BI102" i="3" s="1"/>
  <c r="M98" i="3"/>
  <c r="M90" i="3"/>
  <c r="M86" i="3"/>
  <c r="M78" i="3"/>
  <c r="M74" i="3"/>
  <c r="BI74" i="3" s="1"/>
  <c r="M70" i="3"/>
  <c r="M101" i="3"/>
  <c r="BI101" i="3" s="1"/>
  <c r="M69" i="3"/>
  <c r="M96" i="3"/>
  <c r="M97" i="3"/>
  <c r="M93" i="3"/>
  <c r="M92" i="3"/>
  <c r="M77" i="3"/>
  <c r="BI77" i="3" s="1"/>
  <c r="M72" i="3"/>
  <c r="M59" i="3"/>
  <c r="M84" i="3"/>
  <c r="M60" i="3"/>
  <c r="M58" i="3"/>
  <c r="M57" i="3"/>
  <c r="M89" i="3"/>
  <c r="BI89" i="3" s="1"/>
  <c r="M81" i="3"/>
  <c r="M54" i="3"/>
  <c r="AG99" i="3"/>
  <c r="AG91" i="3"/>
  <c r="AG87" i="3"/>
  <c r="AG79" i="3"/>
  <c r="AG75" i="3"/>
  <c r="CC75" i="3" s="1"/>
  <c r="AG71" i="3"/>
  <c r="AG102" i="3"/>
  <c r="CC102" i="3" s="1"/>
  <c r="AG98" i="3"/>
  <c r="AG90" i="3"/>
  <c r="AG86" i="3"/>
  <c r="AG78" i="3"/>
  <c r="AG74" i="3"/>
  <c r="CC74" i="3" s="1"/>
  <c r="AG70" i="3"/>
  <c r="AG80" i="3"/>
  <c r="AG101" i="3"/>
  <c r="CC101" i="3" s="1"/>
  <c r="AG97" i="3"/>
  <c r="AG85" i="3"/>
  <c r="AG69" i="3"/>
  <c r="AG77" i="3"/>
  <c r="CC77" i="3" s="1"/>
  <c r="AG66" i="3"/>
  <c r="AG59" i="3"/>
  <c r="AG58" i="3"/>
  <c r="AG89" i="3"/>
  <c r="CC89" i="3" s="1"/>
  <c r="AG92" i="3"/>
  <c r="AG84" i="3"/>
  <c r="BA99" i="3"/>
  <c r="BA91" i="3"/>
  <c r="BA87" i="3"/>
  <c r="BA79" i="3"/>
  <c r="BA102" i="3"/>
  <c r="CW102" i="3" s="1"/>
  <c r="BA98" i="3"/>
  <c r="BA90" i="3"/>
  <c r="BA86" i="3"/>
  <c r="BA78" i="3"/>
  <c r="BA70" i="3"/>
  <c r="BA89" i="3"/>
  <c r="CW89" i="3" s="1"/>
  <c r="BA80" i="3"/>
  <c r="BA101" i="3"/>
  <c r="CW101" i="3" s="1"/>
  <c r="BA81" i="3"/>
  <c r="BA93" i="3"/>
  <c r="BA64" i="3"/>
  <c r="BA97" i="3"/>
  <c r="BA77" i="3"/>
  <c r="CW77" i="3" s="1"/>
  <c r="BA58" i="3"/>
  <c r="BA96" i="3"/>
  <c r="M6" i="3"/>
  <c r="BI6" i="3" s="1"/>
  <c r="AG6" i="3"/>
  <c r="CC6" i="3" s="1"/>
  <c r="BA6" i="3"/>
  <c r="CW6" i="3" s="1"/>
  <c r="M10" i="3"/>
  <c r="AG10" i="3"/>
  <c r="BA10" i="3"/>
  <c r="M14" i="3"/>
  <c r="AG14" i="3"/>
  <c r="J15" i="3"/>
  <c r="BA16" i="3"/>
  <c r="BA18" i="3"/>
  <c r="CW18" i="3" s="1"/>
  <c r="AD19" i="3"/>
  <c r="BZ19" i="3" s="1"/>
  <c r="AX23" i="3"/>
  <c r="BA45" i="3"/>
  <c r="AD50" i="3"/>
  <c r="BZ50" i="3" s="1"/>
  <c r="AD52" i="3"/>
  <c r="BZ52" i="3" s="1"/>
  <c r="N53" i="3"/>
  <c r="BA57" i="3"/>
  <c r="AX71" i="3"/>
  <c r="AD78" i="3"/>
  <c r="J84" i="3"/>
  <c r="N96" i="3"/>
  <c r="N91" i="3"/>
  <c r="N102" i="3"/>
  <c r="BJ102" i="3" s="1"/>
  <c r="N92" i="3"/>
  <c r="N84" i="3"/>
  <c r="N98" i="3"/>
  <c r="N74" i="3"/>
  <c r="BJ74" i="3" s="1"/>
  <c r="N101" i="3"/>
  <c r="BJ101" i="3" s="1"/>
  <c r="N59" i="3"/>
  <c r="N60" i="3"/>
  <c r="N58" i="3"/>
  <c r="N93" i="3"/>
  <c r="N79" i="3"/>
  <c r="N57" i="3"/>
  <c r="N89" i="3"/>
  <c r="BJ89" i="3" s="1"/>
  <c r="N70" i="3"/>
  <c r="N62" i="3"/>
  <c r="BJ62" i="3" s="1"/>
  <c r="N75" i="3"/>
  <c r="BJ75" i="3" s="1"/>
  <c r="N54" i="3"/>
  <c r="N44" i="3"/>
  <c r="N40" i="3"/>
  <c r="N36" i="3"/>
  <c r="BJ36" i="3" s="1"/>
  <c r="N28" i="3"/>
  <c r="N24" i="3"/>
  <c r="N16" i="3"/>
  <c r="N50" i="3"/>
  <c r="BJ50" i="3" s="1"/>
  <c r="AH90" i="3"/>
  <c r="AH80" i="3"/>
  <c r="AH81" i="3"/>
  <c r="AH69" i="3"/>
  <c r="AH96" i="3"/>
  <c r="AH102" i="3"/>
  <c r="CD102" i="3" s="1"/>
  <c r="AH92" i="3"/>
  <c r="AH87" i="3"/>
  <c r="AH59" i="3"/>
  <c r="AH97" i="3"/>
  <c r="AH79" i="3"/>
  <c r="AH91" i="3"/>
  <c r="AH77" i="3"/>
  <c r="CD77" i="3" s="1"/>
  <c r="AH66" i="3"/>
  <c r="AH58" i="3"/>
  <c r="AH60" i="3"/>
  <c r="AH57" i="3"/>
  <c r="AH99" i="3"/>
  <c r="AH89" i="3"/>
  <c r="CD89" i="3" s="1"/>
  <c r="AH63" i="3"/>
  <c r="AH53" i="3"/>
  <c r="AH44" i="3"/>
  <c r="AH40" i="3"/>
  <c r="AH36" i="3"/>
  <c r="CD36" i="3" s="1"/>
  <c r="AH28" i="3"/>
  <c r="AH24" i="3"/>
  <c r="AH16" i="3"/>
  <c r="AH71" i="3"/>
  <c r="AH54" i="3"/>
  <c r="N6" i="3"/>
  <c r="BJ6" i="3" s="1"/>
  <c r="AH6" i="3"/>
  <c r="CD6" i="3" s="1"/>
  <c r="N10" i="3"/>
  <c r="AH10" i="3"/>
  <c r="N14" i="3"/>
  <c r="AH14" i="3"/>
  <c r="AG15" i="3"/>
  <c r="J16" i="3"/>
  <c r="J18" i="3"/>
  <c r="BF18" i="3" s="1"/>
  <c r="BA19" i="3"/>
  <c r="CW19" i="3" s="1"/>
  <c r="BA21" i="3"/>
  <c r="CW21" i="3" s="1"/>
  <c r="AD22" i="3"/>
  <c r="AX24" i="3"/>
  <c r="AG46" i="3"/>
  <c r="M47" i="3"/>
  <c r="AG52" i="3"/>
  <c r="CC52" i="3" s="1"/>
  <c r="O53" i="3"/>
  <c r="AG62" i="3"/>
  <c r="CC62" i="3" s="1"/>
  <c r="J71" i="3"/>
  <c r="J75" i="3"/>
  <c r="BF75" i="3" s="1"/>
  <c r="N90" i="3"/>
  <c r="AD99" i="3"/>
  <c r="O91" i="3"/>
  <c r="O63" i="3"/>
  <c r="O85" i="3"/>
  <c r="O101" i="3"/>
  <c r="BK101" i="3" s="1"/>
  <c r="O59" i="3"/>
  <c r="O80" i="3"/>
  <c r="O93" i="3"/>
  <c r="O84" i="3"/>
  <c r="O79" i="3"/>
  <c r="O57" i="3"/>
  <c r="O102" i="3"/>
  <c r="BK102" i="3" s="1"/>
  <c r="O89" i="3"/>
  <c r="BK89" i="3" s="1"/>
  <c r="O62" i="3"/>
  <c r="BK62" i="3" s="1"/>
  <c r="O97" i="3"/>
  <c r="O86" i="3"/>
  <c r="O81" i="3"/>
  <c r="O78" i="3"/>
  <c r="O44" i="3"/>
  <c r="O40" i="3"/>
  <c r="O36" i="3"/>
  <c r="BK36" i="3" s="1"/>
  <c r="O28" i="3"/>
  <c r="O24" i="3"/>
  <c r="O16" i="3"/>
  <c r="O98" i="3"/>
  <c r="O49" i="3"/>
  <c r="BK49" i="3" s="1"/>
  <c r="AI81" i="3"/>
  <c r="AI69" i="3"/>
  <c r="AI70" i="3"/>
  <c r="AI63" i="3"/>
  <c r="AI91" i="3"/>
  <c r="AI87" i="3"/>
  <c r="AI59" i="3"/>
  <c r="AI97" i="3"/>
  <c r="AI79" i="3"/>
  <c r="AI77" i="3"/>
  <c r="CE77" i="3" s="1"/>
  <c r="AI66" i="3"/>
  <c r="AI58" i="3"/>
  <c r="AI60" i="3"/>
  <c r="AI57" i="3"/>
  <c r="AI74" i="3"/>
  <c r="CE74" i="3" s="1"/>
  <c r="AI102" i="3"/>
  <c r="CE102" i="3" s="1"/>
  <c r="AI53" i="3"/>
  <c r="AI44" i="3"/>
  <c r="AI40" i="3"/>
  <c r="AI36" i="3"/>
  <c r="CE36" i="3" s="1"/>
  <c r="AI28" i="3"/>
  <c r="AI24" i="3"/>
  <c r="AI16" i="3"/>
  <c r="AI86" i="3"/>
  <c r="AI93" i="3"/>
  <c r="AI65" i="3"/>
  <c r="J3" i="3"/>
  <c r="BF3" i="3" s="1"/>
  <c r="AD3" i="3"/>
  <c r="BZ3" i="3" s="1"/>
  <c r="AX3" i="3"/>
  <c r="CT3" i="3" s="1"/>
  <c r="O6" i="3"/>
  <c r="BK6" i="3" s="1"/>
  <c r="AI6" i="3"/>
  <c r="CE6" i="3" s="1"/>
  <c r="J7" i="3"/>
  <c r="AD7" i="3"/>
  <c r="AX7" i="3"/>
  <c r="O10" i="3"/>
  <c r="AI10" i="3"/>
  <c r="O14" i="3"/>
  <c r="AI14" i="3"/>
  <c r="AH15" i="3"/>
  <c r="AG16" i="3"/>
  <c r="AG18" i="3"/>
  <c r="CC18" i="3" s="1"/>
  <c r="J19" i="3"/>
  <c r="BF19" i="3" s="1"/>
  <c r="BA22" i="3"/>
  <c r="AD23" i="3"/>
  <c r="J46" i="3"/>
  <c r="AH46" i="3"/>
  <c r="N47" i="3"/>
  <c r="AX49" i="3"/>
  <c r="CT49" i="3" s="1"/>
  <c r="AH52" i="3"/>
  <c r="CD52" i="3" s="1"/>
  <c r="J58" i="3"/>
  <c r="AH62" i="3"/>
  <c r="CD62" i="3" s="1"/>
  <c r="M65" i="3"/>
  <c r="O90" i="3"/>
  <c r="AW42" i="7"/>
  <c r="AV42" i="7"/>
  <c r="AU42" i="7"/>
  <c r="AT42" i="7"/>
  <c r="AS42" i="7"/>
  <c r="AR42" i="7"/>
  <c r="AQ42" i="7"/>
  <c r="AP42" i="7"/>
  <c r="AO42" i="7"/>
  <c r="AN42" i="7"/>
  <c r="AM42" i="7"/>
  <c r="AL42" i="7"/>
  <c r="AK42" i="7"/>
  <c r="AJ42" i="7"/>
  <c r="AI42" i="7"/>
  <c r="AH42" i="7"/>
  <c r="AG42" i="7"/>
  <c r="AF42" i="7"/>
  <c r="AE42" i="7"/>
  <c r="AD42" i="7"/>
  <c r="AC42" i="7"/>
  <c r="AB42" i="7"/>
  <c r="AA42" i="7"/>
  <c r="Z42" i="7"/>
  <c r="Y42" i="7"/>
  <c r="X42" i="7"/>
  <c r="W42" i="7"/>
  <c r="V42" i="7"/>
  <c r="D42" i="7"/>
  <c r="AW41" i="7"/>
  <c r="AV41" i="7"/>
  <c r="AU41" i="7"/>
  <c r="AT41" i="7"/>
  <c r="AS41" i="7"/>
  <c r="AR41" i="7"/>
  <c r="AQ41" i="7"/>
  <c r="AP41" i="7"/>
  <c r="AO41" i="7"/>
  <c r="AN41" i="7"/>
  <c r="AM41" i="7"/>
  <c r="AL41" i="7"/>
  <c r="AK41" i="7"/>
  <c r="AJ41" i="7"/>
  <c r="AI41" i="7"/>
  <c r="AH41" i="7"/>
  <c r="AG41" i="7"/>
  <c r="AF41" i="7"/>
  <c r="AE41" i="7"/>
  <c r="AD41" i="7"/>
  <c r="AC41" i="7"/>
  <c r="AB41" i="7"/>
  <c r="AA41" i="7"/>
  <c r="Z41" i="7"/>
  <c r="Y41" i="7"/>
  <c r="X41" i="7"/>
  <c r="W41" i="7"/>
  <c r="V41" i="7"/>
  <c r="D41" i="7"/>
  <c r="AW40" i="7"/>
  <c r="AV40" i="7"/>
  <c r="AU40" i="7"/>
  <c r="AT40" i="7"/>
  <c r="AS40" i="7"/>
  <c r="AR40" i="7"/>
  <c r="AQ40" i="7"/>
  <c r="AP40" i="7"/>
  <c r="AO40" i="7"/>
  <c r="AN40" i="7"/>
  <c r="AM40" i="7"/>
  <c r="AL40" i="7"/>
  <c r="AK40" i="7"/>
  <c r="AJ40" i="7"/>
  <c r="AI40" i="7"/>
  <c r="AH40" i="7"/>
  <c r="AG40" i="7"/>
  <c r="AF40" i="7"/>
  <c r="AE40" i="7"/>
  <c r="AD40" i="7"/>
  <c r="AC40" i="7"/>
  <c r="AB40" i="7"/>
  <c r="AA40" i="7"/>
  <c r="Z40" i="7"/>
  <c r="Y40" i="7"/>
  <c r="X40" i="7"/>
  <c r="W40" i="7"/>
  <c r="V40" i="7"/>
  <c r="D40" i="7"/>
  <c r="AW39" i="7"/>
  <c r="AV39" i="7"/>
  <c r="AU39" i="7"/>
  <c r="AT39" i="7"/>
  <c r="AS39" i="7"/>
  <c r="AR39" i="7"/>
  <c r="AQ39" i="7"/>
  <c r="AP39" i="7"/>
  <c r="AO39" i="7"/>
  <c r="AN39" i="7"/>
  <c r="AM39" i="7"/>
  <c r="AL39" i="7"/>
  <c r="AK39" i="7"/>
  <c r="AJ39" i="7"/>
  <c r="AI39" i="7"/>
  <c r="AH39" i="7"/>
  <c r="AG39" i="7"/>
  <c r="AF39" i="7"/>
  <c r="AE39" i="7"/>
  <c r="AD39" i="7"/>
  <c r="AC39" i="7"/>
  <c r="AB39" i="7"/>
  <c r="AA39" i="7"/>
  <c r="Z39" i="7"/>
  <c r="Y39" i="7"/>
  <c r="X39" i="7"/>
  <c r="W39" i="7"/>
  <c r="V39" i="7"/>
  <c r="D39" i="7"/>
  <c r="AW38" i="7"/>
  <c r="AV38" i="7"/>
  <c r="AU38" i="7"/>
  <c r="AT38" i="7"/>
  <c r="AS38" i="7"/>
  <c r="AR38" i="7"/>
  <c r="AQ38" i="7"/>
  <c r="AP38" i="7"/>
  <c r="AO38" i="7"/>
  <c r="AN38" i="7"/>
  <c r="AM38" i="7"/>
  <c r="AL38" i="7"/>
  <c r="AK38" i="7"/>
  <c r="AJ38" i="7"/>
  <c r="AI38" i="7"/>
  <c r="AH38" i="7"/>
  <c r="AG38" i="7"/>
  <c r="AF38" i="7"/>
  <c r="AE38" i="7"/>
  <c r="AD38" i="7"/>
  <c r="AC38" i="7"/>
  <c r="AB38" i="7"/>
  <c r="AA38" i="7"/>
  <c r="Z38" i="7"/>
  <c r="Y38" i="7"/>
  <c r="X38" i="7"/>
  <c r="W38" i="7"/>
  <c r="V38" i="7"/>
  <c r="D38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D37" i="7"/>
  <c r="V31" i="6"/>
  <c r="AL31" i="3" s="1"/>
  <c r="U31" i="6"/>
  <c r="AV31" i="3" s="1"/>
  <c r="T31" i="6"/>
  <c r="S31" i="6"/>
  <c r="R31" i="6"/>
  <c r="Q31" i="6"/>
  <c r="AM31" i="3" s="1"/>
  <c r="P31" i="6"/>
  <c r="O31" i="6"/>
  <c r="W31" i="3" s="1"/>
  <c r="N31" i="6"/>
  <c r="AO31" i="3" s="1"/>
  <c r="M31" i="6"/>
  <c r="AE31" i="3" s="1"/>
  <c r="L31" i="6"/>
  <c r="AA31" i="3" s="1"/>
  <c r="K31" i="6"/>
  <c r="J31" i="6"/>
  <c r="I31" i="6"/>
  <c r="H31" i="6"/>
  <c r="DB21" i="5"/>
  <c r="DA21" i="5"/>
  <c r="CZ21" i="5"/>
  <c r="DB20" i="5"/>
  <c r="DA20" i="5"/>
  <c r="CZ20" i="5"/>
  <c r="DB19" i="5"/>
  <c r="DA19" i="5"/>
  <c r="CZ19" i="5"/>
  <c r="V60" i="6"/>
  <c r="V61" i="6" s="1"/>
  <c r="U60" i="6"/>
  <c r="U61" i="6" s="1"/>
  <c r="T60" i="6"/>
  <c r="T61" i="6" s="1"/>
  <c r="S60" i="6"/>
  <c r="S61" i="6" s="1"/>
  <c r="R60" i="6"/>
  <c r="R61" i="6" s="1"/>
  <c r="P60" i="6"/>
  <c r="P61" i="6" s="1"/>
  <c r="O60" i="6"/>
  <c r="O61" i="6" s="1"/>
  <c r="N60" i="6"/>
  <c r="N61" i="6" s="1"/>
  <c r="L60" i="6"/>
  <c r="L61" i="6" s="1"/>
  <c r="K60" i="6"/>
  <c r="K61" i="6" s="1"/>
  <c r="J60" i="6"/>
  <c r="J61" i="6" s="1"/>
  <c r="I60" i="6"/>
  <c r="I61" i="6" s="1"/>
  <c r="H60" i="6"/>
  <c r="H61" i="6" s="1"/>
  <c r="V47" i="6"/>
  <c r="V48" i="6" s="1"/>
  <c r="U47" i="6"/>
  <c r="U48" i="6" s="1"/>
  <c r="T47" i="6"/>
  <c r="T48" i="6" s="1"/>
  <c r="S47" i="6"/>
  <c r="S48" i="6" s="1"/>
  <c r="R47" i="6"/>
  <c r="R48" i="6" s="1"/>
  <c r="Q47" i="6"/>
  <c r="Q48" i="6" s="1"/>
  <c r="P47" i="6"/>
  <c r="P48" i="6" s="1"/>
  <c r="O47" i="6"/>
  <c r="O48" i="6" s="1"/>
  <c r="N47" i="6"/>
  <c r="N48" i="6" s="1"/>
  <c r="M47" i="6"/>
  <c r="M48" i="6" s="1"/>
  <c r="L47" i="6"/>
  <c r="L48" i="6" s="1"/>
  <c r="K47" i="6"/>
  <c r="K48" i="6" s="1"/>
  <c r="J47" i="6"/>
  <c r="J48" i="6" s="1"/>
  <c r="I47" i="6"/>
  <c r="I48" i="6" s="1"/>
  <c r="H47" i="6"/>
  <c r="H48" i="6" s="1"/>
  <c r="V75" i="6"/>
  <c r="AL75" i="3" s="1"/>
  <c r="CH75" i="3" s="1"/>
  <c r="U75" i="6"/>
  <c r="AV75" i="3" s="1"/>
  <c r="CR75" i="3" s="1"/>
  <c r="T75" i="6"/>
  <c r="S75" i="6"/>
  <c r="R75" i="6"/>
  <c r="Q75" i="6"/>
  <c r="AM75" i="3" s="1"/>
  <c r="CI75" i="3" s="1"/>
  <c r="P75" i="6"/>
  <c r="O75" i="6"/>
  <c r="N75" i="6"/>
  <c r="M75" i="6"/>
  <c r="AE75" i="3" s="1"/>
  <c r="CA75" i="3" s="1"/>
  <c r="L75" i="6"/>
  <c r="K75" i="6"/>
  <c r="O75" i="3" s="1"/>
  <c r="BK75" i="3" s="1"/>
  <c r="J75" i="6"/>
  <c r="I75" i="6"/>
  <c r="H75" i="6"/>
  <c r="V74" i="6"/>
  <c r="AL74" i="3" s="1"/>
  <c r="CH74" i="3" s="1"/>
  <c r="U74" i="6"/>
  <c r="AZ74" i="3" s="1"/>
  <c r="CV74" i="3" s="1"/>
  <c r="T74" i="6"/>
  <c r="S74" i="6"/>
  <c r="R74" i="6"/>
  <c r="Q74" i="6"/>
  <c r="P74" i="6"/>
  <c r="O74" i="6"/>
  <c r="W74" i="3" s="1"/>
  <c r="BS74" i="3" s="1"/>
  <c r="N74" i="6"/>
  <c r="AO74" i="3" s="1"/>
  <c r="CK74" i="3" s="1"/>
  <c r="M74" i="6"/>
  <c r="L74" i="6"/>
  <c r="AA74" i="3" s="1"/>
  <c r="BW74" i="3" s="1"/>
  <c r="K74" i="6"/>
  <c r="O74" i="3" s="1"/>
  <c r="BK74" i="3" s="1"/>
  <c r="J74" i="6"/>
  <c r="I74" i="6"/>
  <c r="H74" i="6"/>
  <c r="V72" i="6"/>
  <c r="AL72" i="3" s="1"/>
  <c r="U72" i="6"/>
  <c r="AQ72" i="3" s="1"/>
  <c r="T72" i="6"/>
  <c r="S72" i="6"/>
  <c r="R72" i="6"/>
  <c r="Q72" i="6"/>
  <c r="AM72" i="3" s="1"/>
  <c r="P72" i="6"/>
  <c r="O72" i="6"/>
  <c r="N72" i="6"/>
  <c r="L72" i="3" s="1"/>
  <c r="M72" i="6"/>
  <c r="L72" i="6"/>
  <c r="K72" i="6"/>
  <c r="O72" i="3" s="1"/>
  <c r="J72" i="6"/>
  <c r="I72" i="6"/>
  <c r="H72" i="6"/>
  <c r="V71" i="6"/>
  <c r="AL71" i="3" s="1"/>
  <c r="U71" i="6"/>
  <c r="AU71" i="3" s="1"/>
  <c r="T71" i="6"/>
  <c r="S71" i="6"/>
  <c r="R71" i="6"/>
  <c r="Q71" i="6"/>
  <c r="AM71" i="3" s="1"/>
  <c r="P71" i="6"/>
  <c r="O71" i="6"/>
  <c r="W71" i="3" s="1"/>
  <c r="N71" i="6"/>
  <c r="AO71" i="3" s="1"/>
  <c r="M71" i="6"/>
  <c r="L71" i="6"/>
  <c r="AA71" i="3" s="1"/>
  <c r="K71" i="6"/>
  <c r="O71" i="3" s="1"/>
  <c r="J71" i="6"/>
  <c r="I71" i="6"/>
  <c r="H71" i="6"/>
  <c r="V70" i="6"/>
  <c r="U70" i="6"/>
  <c r="AT70" i="3" s="1"/>
  <c r="T70" i="6"/>
  <c r="S70" i="6"/>
  <c r="R70" i="6"/>
  <c r="Q70" i="6"/>
  <c r="P70" i="6"/>
  <c r="O70" i="6"/>
  <c r="W70" i="3" s="1"/>
  <c r="N70" i="6"/>
  <c r="M70" i="6"/>
  <c r="L70" i="6"/>
  <c r="AA70" i="3" s="1"/>
  <c r="K70" i="6"/>
  <c r="O70" i="3" s="1"/>
  <c r="J70" i="6"/>
  <c r="I70" i="6"/>
  <c r="H70" i="6"/>
  <c r="V69" i="6"/>
  <c r="AL69" i="3" s="1"/>
  <c r="U69" i="6"/>
  <c r="AS69" i="3" s="1"/>
  <c r="T69" i="6"/>
  <c r="S69" i="6"/>
  <c r="R69" i="6"/>
  <c r="Q69" i="6"/>
  <c r="P69" i="6"/>
  <c r="O69" i="6"/>
  <c r="W69" i="3" s="1"/>
  <c r="N69" i="6"/>
  <c r="AO69" i="3" s="1"/>
  <c r="M69" i="6"/>
  <c r="L69" i="6"/>
  <c r="AA69" i="3" s="1"/>
  <c r="K69" i="6"/>
  <c r="O69" i="3" s="1"/>
  <c r="J69" i="6"/>
  <c r="I69" i="6"/>
  <c r="H69" i="6"/>
  <c r="V66" i="6"/>
  <c r="AL66" i="3" s="1"/>
  <c r="U66" i="6"/>
  <c r="AX66" i="3" s="1"/>
  <c r="T66" i="6"/>
  <c r="S66" i="6"/>
  <c r="R66" i="6"/>
  <c r="Q66" i="6"/>
  <c r="AM66" i="3" s="1"/>
  <c r="P66" i="6"/>
  <c r="O66" i="6"/>
  <c r="N66" i="6"/>
  <c r="AO66" i="3" s="1"/>
  <c r="M66" i="6"/>
  <c r="L66" i="6"/>
  <c r="K66" i="6"/>
  <c r="J66" i="6"/>
  <c r="I66" i="6"/>
  <c r="H66" i="6"/>
  <c r="V65" i="6"/>
  <c r="AL65" i="3" s="1"/>
  <c r="U65" i="6"/>
  <c r="AX65" i="3" s="1"/>
  <c r="T65" i="6"/>
  <c r="S65" i="6"/>
  <c r="R65" i="6"/>
  <c r="Q65" i="6"/>
  <c r="AM65" i="3" s="1"/>
  <c r="P65" i="6"/>
  <c r="O65" i="6"/>
  <c r="W65" i="3" s="1"/>
  <c r="N65" i="6"/>
  <c r="AO65" i="3" s="1"/>
  <c r="M65" i="6"/>
  <c r="AE65" i="3" s="1"/>
  <c r="L65" i="6"/>
  <c r="AA65" i="3" s="1"/>
  <c r="K65" i="6"/>
  <c r="O65" i="3" s="1"/>
  <c r="J65" i="6"/>
  <c r="I65" i="6"/>
  <c r="H65" i="6"/>
  <c r="V64" i="6"/>
  <c r="U64" i="6"/>
  <c r="AT64" i="3" s="1"/>
  <c r="T64" i="6"/>
  <c r="S64" i="6"/>
  <c r="R64" i="6"/>
  <c r="Q64" i="6"/>
  <c r="AM64" i="3" s="1"/>
  <c r="P64" i="6"/>
  <c r="O64" i="6"/>
  <c r="W64" i="3" s="1"/>
  <c r="N64" i="6"/>
  <c r="M64" i="6"/>
  <c r="AE64" i="3" s="1"/>
  <c r="L64" i="6"/>
  <c r="AA64" i="3" s="1"/>
  <c r="K64" i="6"/>
  <c r="O64" i="3" s="1"/>
  <c r="J64" i="6"/>
  <c r="I64" i="6"/>
  <c r="H64" i="6"/>
  <c r="V63" i="6"/>
  <c r="AL63" i="3" s="1"/>
  <c r="U63" i="6"/>
  <c r="BA63" i="3" s="1"/>
  <c r="T63" i="6"/>
  <c r="S63" i="6"/>
  <c r="R63" i="6"/>
  <c r="Q63" i="6"/>
  <c r="AM63" i="3" s="1"/>
  <c r="P63" i="6"/>
  <c r="O63" i="6"/>
  <c r="N63" i="6"/>
  <c r="L63" i="3" s="1"/>
  <c r="M63" i="6"/>
  <c r="AE63" i="3" s="1"/>
  <c r="L63" i="6"/>
  <c r="AA63" i="3" s="1"/>
  <c r="K63" i="6"/>
  <c r="J63" i="6"/>
  <c r="I63" i="6"/>
  <c r="H63" i="6"/>
  <c r="V62" i="6"/>
  <c r="AL62" i="3" s="1"/>
  <c r="CH62" i="3" s="1"/>
  <c r="U62" i="6"/>
  <c r="AS62" i="3" s="1"/>
  <c r="CO62" i="3" s="1"/>
  <c r="T62" i="6"/>
  <c r="S62" i="6"/>
  <c r="R62" i="6"/>
  <c r="Q62" i="6"/>
  <c r="AM62" i="3" s="1"/>
  <c r="CI62" i="3" s="1"/>
  <c r="P62" i="6"/>
  <c r="O62" i="6"/>
  <c r="N62" i="6"/>
  <c r="AO62" i="3" s="1"/>
  <c r="CK62" i="3" s="1"/>
  <c r="M62" i="6"/>
  <c r="L62" i="6"/>
  <c r="K62" i="6"/>
  <c r="J62" i="6"/>
  <c r="I62" i="6"/>
  <c r="H62" i="6"/>
  <c r="AY47" i="1"/>
  <c r="E47" i="1"/>
  <c r="AY46" i="1"/>
  <c r="E46" i="1"/>
  <c r="F5" i="16"/>
  <c r="F6" i="16"/>
  <c r="F7" i="16"/>
  <c r="F8" i="16"/>
  <c r="F9" i="16"/>
  <c r="F10" i="16"/>
  <c r="F11" i="16"/>
  <c r="F12" i="16"/>
  <c r="F4" i="16"/>
  <c r="AW42" i="14"/>
  <c r="AV42" i="14"/>
  <c r="AU42" i="14"/>
  <c r="AT42" i="14"/>
  <c r="AS42" i="14"/>
  <c r="AR42" i="14"/>
  <c r="AQ42" i="14"/>
  <c r="AP42" i="14"/>
  <c r="AO42" i="14"/>
  <c r="AN42" i="14"/>
  <c r="AM42" i="14"/>
  <c r="AK42" i="14"/>
  <c r="AJ42" i="14"/>
  <c r="AI42" i="14"/>
  <c r="AH42" i="14"/>
  <c r="AG42" i="14"/>
  <c r="AE42" i="14"/>
  <c r="AD42" i="14"/>
  <c r="AC42" i="14"/>
  <c r="AB42" i="14"/>
  <c r="AA42" i="14"/>
  <c r="Z42" i="14"/>
  <c r="Y42" i="14"/>
  <c r="X42" i="14"/>
  <c r="W42" i="14"/>
  <c r="V42" i="14"/>
  <c r="D42" i="14"/>
  <c r="AW41" i="14"/>
  <c r="AV41" i="14"/>
  <c r="AU41" i="14"/>
  <c r="AT41" i="14"/>
  <c r="AS41" i="14"/>
  <c r="AR41" i="14"/>
  <c r="AQ41" i="14"/>
  <c r="AP41" i="14"/>
  <c r="AO41" i="14"/>
  <c r="AN41" i="14"/>
  <c r="AM41" i="14"/>
  <c r="AK41" i="14"/>
  <c r="AJ41" i="14"/>
  <c r="AI41" i="14"/>
  <c r="AH41" i="14"/>
  <c r="AG41" i="14"/>
  <c r="AE41" i="14"/>
  <c r="AD41" i="14"/>
  <c r="AC41" i="14"/>
  <c r="AB41" i="14"/>
  <c r="AA41" i="14"/>
  <c r="Z41" i="14"/>
  <c r="Y41" i="14"/>
  <c r="X41" i="14"/>
  <c r="W41" i="14"/>
  <c r="V41" i="14"/>
  <c r="D41" i="14"/>
  <c r="AW40" i="14"/>
  <c r="AV40" i="14"/>
  <c r="AU40" i="14"/>
  <c r="AT40" i="14"/>
  <c r="AS40" i="14"/>
  <c r="AR40" i="14"/>
  <c r="AQ40" i="14"/>
  <c r="AP40" i="14"/>
  <c r="AO40" i="14"/>
  <c r="AN40" i="14"/>
  <c r="AM40" i="14"/>
  <c r="AK40" i="14"/>
  <c r="AJ40" i="14"/>
  <c r="AI40" i="14"/>
  <c r="AH40" i="14"/>
  <c r="AG40" i="14"/>
  <c r="AE40" i="14"/>
  <c r="AD40" i="14"/>
  <c r="AC40" i="14"/>
  <c r="AB40" i="14"/>
  <c r="AA40" i="14"/>
  <c r="Z40" i="14"/>
  <c r="Y40" i="14"/>
  <c r="X40" i="14"/>
  <c r="W40" i="14"/>
  <c r="V40" i="14"/>
  <c r="D40" i="14"/>
  <c r="AW39" i="14"/>
  <c r="AV39" i="14"/>
  <c r="AU39" i="14"/>
  <c r="AT39" i="14"/>
  <c r="AS39" i="14"/>
  <c r="AR39" i="14"/>
  <c r="AQ39" i="14"/>
  <c r="AP39" i="14"/>
  <c r="AO39" i="14"/>
  <c r="AN39" i="14"/>
  <c r="AM39" i="14"/>
  <c r="AK39" i="14"/>
  <c r="AJ39" i="14"/>
  <c r="AI39" i="14"/>
  <c r="AH39" i="14"/>
  <c r="AG39" i="14"/>
  <c r="AE39" i="14"/>
  <c r="AD39" i="14"/>
  <c r="AC39" i="14"/>
  <c r="AB39" i="14"/>
  <c r="AA39" i="14"/>
  <c r="Z39" i="14"/>
  <c r="Y39" i="14"/>
  <c r="X39" i="14"/>
  <c r="W39" i="14"/>
  <c r="V39" i="14"/>
  <c r="D39" i="14"/>
  <c r="AW38" i="14"/>
  <c r="AV38" i="14"/>
  <c r="AU38" i="14"/>
  <c r="AT38" i="14"/>
  <c r="AS38" i="14"/>
  <c r="AR38" i="14"/>
  <c r="AQ38" i="14"/>
  <c r="AP38" i="14"/>
  <c r="AO38" i="14"/>
  <c r="AN38" i="14"/>
  <c r="AM38" i="14"/>
  <c r="AK38" i="14"/>
  <c r="AJ38" i="14"/>
  <c r="AI38" i="14"/>
  <c r="AH38" i="14"/>
  <c r="AG38" i="14"/>
  <c r="AE38" i="14"/>
  <c r="AD38" i="14"/>
  <c r="AC38" i="14"/>
  <c r="AB38" i="14"/>
  <c r="AA38" i="14"/>
  <c r="Z38" i="14"/>
  <c r="Y38" i="14"/>
  <c r="X38" i="14"/>
  <c r="W38" i="14"/>
  <c r="V38" i="14"/>
  <c r="D38" i="14"/>
  <c r="AW37" i="14"/>
  <c r="AV37" i="14"/>
  <c r="AU37" i="14"/>
  <c r="AT37" i="14"/>
  <c r="AS37" i="14"/>
  <c r="AR37" i="14"/>
  <c r="AQ37" i="14"/>
  <c r="AP37" i="14"/>
  <c r="AO37" i="14"/>
  <c r="AN37" i="14"/>
  <c r="AM37" i="14"/>
  <c r="AK37" i="14"/>
  <c r="AJ37" i="14"/>
  <c r="AI37" i="14"/>
  <c r="AH37" i="14"/>
  <c r="AG37" i="14"/>
  <c r="AE37" i="14"/>
  <c r="AD37" i="14"/>
  <c r="AC37" i="14"/>
  <c r="AB37" i="14"/>
  <c r="AA37" i="14"/>
  <c r="Z37" i="14"/>
  <c r="Y37" i="14"/>
  <c r="X37" i="14"/>
  <c r="W37" i="14"/>
  <c r="V37" i="14"/>
  <c r="D37" i="14"/>
  <c r="AW36" i="14"/>
  <c r="AV36" i="14"/>
  <c r="AU36" i="14"/>
  <c r="AT36" i="14"/>
  <c r="AS36" i="14"/>
  <c r="AR36" i="14"/>
  <c r="AQ36" i="14"/>
  <c r="AP36" i="14"/>
  <c r="AO36" i="14"/>
  <c r="AN36" i="14"/>
  <c r="AM36" i="14"/>
  <c r="AK36" i="14"/>
  <c r="AJ36" i="14"/>
  <c r="AI36" i="14"/>
  <c r="AH36" i="14"/>
  <c r="AG36" i="14"/>
  <c r="AE36" i="14"/>
  <c r="AD36" i="14"/>
  <c r="AC36" i="14"/>
  <c r="AB36" i="14"/>
  <c r="AA36" i="14"/>
  <c r="Z36" i="14"/>
  <c r="Y36" i="14"/>
  <c r="X36" i="14"/>
  <c r="W36" i="14"/>
  <c r="V36" i="14"/>
  <c r="D36" i="14"/>
  <c r="AY45" i="1"/>
  <c r="E45" i="1"/>
  <c r="G32" i="8"/>
  <c r="AL3" i="9"/>
  <c r="AG3" i="9"/>
  <c r="AL34" i="14"/>
  <c r="AL33" i="14"/>
  <c r="AL32" i="14"/>
  <c r="AL31" i="14"/>
  <c r="AL30" i="14"/>
  <c r="AL3" i="14"/>
  <c r="AL44" i="14" s="1"/>
  <c r="AG34" i="14"/>
  <c r="AG33" i="14"/>
  <c r="AG32" i="14"/>
  <c r="AG31" i="14"/>
  <c r="AG30" i="14"/>
  <c r="AG3" i="14"/>
  <c r="AG44" i="14" s="1"/>
  <c r="AL34" i="13"/>
  <c r="AL33" i="13"/>
  <c r="AL32" i="13"/>
  <c r="AL30" i="13"/>
  <c r="AL3" i="13"/>
  <c r="AL44" i="13" s="1"/>
  <c r="AG34" i="13"/>
  <c r="AG33" i="13"/>
  <c r="AG32" i="13"/>
  <c r="AG30" i="13"/>
  <c r="AG3" i="13"/>
  <c r="AG44" i="13" s="1"/>
  <c r="AL34" i="7"/>
  <c r="AL33" i="7"/>
  <c r="AL32" i="7"/>
  <c r="AL30" i="7"/>
  <c r="AG34" i="7"/>
  <c r="AG33" i="7"/>
  <c r="AG32" i="7"/>
  <c r="AG30" i="7"/>
  <c r="AX31" i="7"/>
  <c r="AL31" i="7" s="1"/>
  <c r="AQ38" i="8"/>
  <c r="S35" i="8"/>
  <c r="AS55" i="8"/>
  <c r="AU55" i="8"/>
  <c r="AS48" i="8"/>
  <c r="AW36" i="8"/>
  <c r="AQ43" i="8"/>
  <c r="AP48" i="8"/>
  <c r="AS52" i="8"/>
  <c r="AT51" i="8"/>
  <c r="AQ54" i="8"/>
  <c r="X52" i="8"/>
  <c r="O50" i="8"/>
  <c r="Z54" i="8"/>
  <c r="L44" i="8"/>
  <c r="L41" i="8"/>
  <c r="L38" i="8"/>
  <c r="O36" i="8"/>
  <c r="Z56" i="8"/>
  <c r="O48" i="8"/>
  <c r="L55" i="8"/>
  <c r="Z58" i="8"/>
  <c r="L54" i="8"/>
  <c r="P38" i="8"/>
  <c r="Z51" i="8"/>
  <c r="P34" i="8"/>
  <c r="X48" i="8"/>
  <c r="O34" i="8"/>
  <c r="AU58" i="8"/>
  <c r="AO57" i="8"/>
  <c r="AS56" i="8"/>
  <c r="AS50" i="8"/>
  <c r="AX50" i="8"/>
  <c r="AP36" i="8"/>
  <c r="AR42" i="8"/>
  <c r="AQ40" i="8"/>
  <c r="AW58" i="8"/>
  <c r="AR38" i="8"/>
  <c r="AQ52" i="8"/>
  <c r="T52" i="8"/>
  <c r="O38" i="8"/>
  <c r="AI37" i="8"/>
  <c r="T49" i="8"/>
  <c r="AI34" i="8"/>
  <c r="L40" i="8"/>
  <c r="AE58" i="8"/>
  <c r="K52" i="8"/>
  <c r="Z36" i="8"/>
  <c r="X58" i="8"/>
  <c r="O41" i="8"/>
  <c r="AI40" i="8"/>
  <c r="S54" i="8"/>
  <c r="AI51" i="8"/>
  <c r="AJ51" i="8"/>
  <c r="T43" i="8"/>
  <c r="AP44" i="8"/>
  <c r="AT50" i="8"/>
  <c r="AP51" i="8"/>
  <c r="AR44" i="8"/>
  <c r="AR58" i="8"/>
  <c r="K54" i="8"/>
  <c r="Z57" i="8"/>
  <c r="L57" i="8"/>
  <c r="AA44" i="8"/>
  <c r="P50" i="8"/>
  <c r="AB48" i="8"/>
  <c r="L39" i="8"/>
  <c r="S52" i="8"/>
  <c r="O42" i="8"/>
  <c r="AS35" i="8"/>
  <c r="AU39" i="8"/>
  <c r="AU53" i="8"/>
  <c r="AT43" i="8"/>
  <c r="AR50" i="8"/>
  <c r="AT34" i="8"/>
  <c r="AW44" i="8"/>
  <c r="AX53" i="8"/>
  <c r="S58" i="8"/>
  <c r="AE57" i="8"/>
  <c r="P42" i="8"/>
  <c r="AO52" i="8"/>
  <c r="K56" i="8"/>
  <c r="AI44" i="8"/>
  <c r="X39" i="8"/>
  <c r="T58" i="8"/>
  <c r="H37" i="8"/>
  <c r="AS39" i="8"/>
  <c r="S42" i="8"/>
  <c r="P58" i="8"/>
  <c r="T34" i="8"/>
  <c r="AO54" i="8"/>
  <c r="AU37" i="8"/>
  <c r="AA51" i="8"/>
  <c r="AA38" i="8"/>
  <c r="O52" i="8"/>
  <c r="AQ49" i="8"/>
  <c r="AQ42" i="8"/>
  <c r="AX41" i="8"/>
  <c r="AX35" i="8"/>
  <c r="K35" i="8"/>
  <c r="AE34" i="8"/>
  <c r="K55" i="8"/>
  <c r="L48" i="8"/>
  <c r="AO43" i="8"/>
  <c r="AJ38" i="8"/>
  <c r="AJ58" i="8"/>
  <c r="AP37" i="8"/>
  <c r="X38" i="8"/>
  <c r="AO42" i="8"/>
  <c r="P37" i="8"/>
  <c r="AE53" i="8"/>
  <c r="AE50" i="8"/>
  <c r="AJ53" i="8"/>
  <c r="AI49" i="8"/>
  <c r="AS44" i="8"/>
  <c r="O44" i="8"/>
  <c r="AO56" i="8"/>
  <c r="AX39" i="8"/>
  <c r="AE44" i="8"/>
  <c r="O58" i="8"/>
  <c r="AI57" i="8"/>
  <c r="AS38" i="8"/>
  <c r="AX48" i="8"/>
  <c r="AQ48" i="8"/>
  <c r="AQ56" i="8"/>
  <c r="AW35" i="8"/>
  <c r="AT55" i="8"/>
  <c r="AS37" i="8"/>
  <c r="AQ50" i="8"/>
  <c r="AS51" i="8"/>
  <c r="T53" i="8"/>
  <c r="H38" i="8"/>
  <c r="K37" i="8"/>
  <c r="K34" i="8"/>
  <c r="AO49" i="8"/>
  <c r="O55" i="8"/>
  <c r="AO58" i="8"/>
  <c r="X34" i="8"/>
  <c r="AB38" i="8"/>
  <c r="AJ50" i="8"/>
  <c r="AI58" i="8"/>
  <c r="AO38" i="8"/>
  <c r="Z48" i="8"/>
  <c r="AJ39" i="8"/>
  <c r="AA43" i="8"/>
  <c r="K40" i="8"/>
  <c r="AE54" i="8"/>
  <c r="AQ39" i="8"/>
  <c r="AT37" i="8"/>
  <c r="AA52" i="8"/>
  <c r="S41" i="8"/>
  <c r="AO48" i="8"/>
  <c r="K39" i="8"/>
  <c r="AW55" i="8"/>
  <c r="AI50" i="8"/>
  <c r="Z55" i="8"/>
  <c r="AW43" i="8"/>
  <c r="AW52" i="8"/>
  <c r="AP50" i="8"/>
  <c r="AP56" i="8"/>
  <c r="AS49" i="8"/>
  <c r="AT44" i="8"/>
  <c r="AR49" i="8"/>
  <c r="AW56" i="8"/>
  <c r="AS41" i="8"/>
  <c r="S57" i="8"/>
  <c r="AB53" i="8"/>
  <c r="S49" i="8"/>
  <c r="S40" i="8"/>
  <c r="O53" i="8"/>
  <c r="K43" i="8"/>
  <c r="AA54" i="8"/>
  <c r="Z42" i="8"/>
  <c r="K57" i="8"/>
  <c r="X40" i="8"/>
  <c r="AE41" i="8"/>
  <c r="X54" i="8"/>
  <c r="K38" i="8"/>
  <c r="AO36" i="8"/>
  <c r="AA50" i="8"/>
  <c r="L35" i="8"/>
  <c r="AU50" i="8"/>
  <c r="AX56" i="8"/>
  <c r="AV43" i="8"/>
  <c r="AV51" i="8"/>
  <c r="AT57" i="8"/>
  <c r="AX43" i="8"/>
  <c r="AP34" i="8"/>
  <c r="O43" i="8"/>
  <c r="AJ55" i="8"/>
  <c r="T56" i="8"/>
  <c r="S50" i="8"/>
  <c r="H54" i="8"/>
  <c r="S34" i="8"/>
  <c r="AO41" i="8"/>
  <c r="X56" i="8"/>
  <c r="S56" i="8"/>
  <c r="X43" i="8"/>
  <c r="T38" i="8"/>
  <c r="AR55" i="8"/>
  <c r="AO55" i="8"/>
  <c r="Z39" i="8"/>
  <c r="Z49" i="8"/>
  <c r="AE35" i="8"/>
  <c r="P41" i="8"/>
  <c r="AV48" i="8"/>
  <c r="AR34" i="8"/>
  <c r="AO51" i="8"/>
  <c r="AO39" i="8"/>
  <c r="K58" i="8"/>
  <c r="X51" i="8"/>
  <c r="X37" i="8"/>
  <c r="AO50" i="8"/>
  <c r="AW41" i="8"/>
  <c r="Z40" i="8"/>
  <c r="S43" i="8"/>
  <c r="O37" i="8"/>
  <c r="AT56" i="8"/>
  <c r="AS43" i="8"/>
  <c r="H36" i="8"/>
  <c r="AB56" i="8"/>
  <c r="H58" i="8"/>
  <c r="L36" i="8"/>
  <c r="T51" i="8"/>
  <c r="AR56" i="8"/>
  <c r="AU51" i="8"/>
  <c r="AS57" i="8"/>
  <c r="AS53" i="8"/>
  <c r="AU36" i="8"/>
  <c r="AU54" i="8"/>
  <c r="AQ58" i="8"/>
  <c r="Z52" i="8"/>
  <c r="AI39" i="8"/>
  <c r="T41" i="8"/>
  <c r="X35" i="8"/>
  <c r="AE36" i="8"/>
  <c r="T36" i="8"/>
  <c r="Z35" i="8"/>
  <c r="AQ34" i="8"/>
  <c r="AP40" i="8"/>
  <c r="AP52" i="8"/>
  <c r="AX38" i="8"/>
  <c r="AW57" i="8"/>
  <c r="K49" i="8"/>
  <c r="P56" i="8"/>
  <c r="S39" i="8"/>
  <c r="AE49" i="8"/>
  <c r="X57" i="8"/>
  <c r="H53" i="8"/>
  <c r="AO44" i="8"/>
  <c r="AT42" i="8"/>
  <c r="S38" i="8"/>
  <c r="AV40" i="8"/>
  <c r="AX40" i="8"/>
  <c r="AA40" i="8"/>
  <c r="T55" i="8"/>
  <c r="P48" i="8"/>
  <c r="AU49" i="8"/>
  <c r="L53" i="8"/>
  <c r="AR43" i="8"/>
  <c r="AO35" i="8"/>
  <c r="AI41" i="8"/>
  <c r="T39" i="8"/>
  <c r="K41" i="8"/>
  <c r="AR41" i="8"/>
  <c r="L50" i="8"/>
  <c r="AW39" i="8"/>
  <c r="AV53" i="8"/>
  <c r="AQ57" i="8"/>
  <c r="AP43" i="8"/>
  <c r="AI53" i="8"/>
  <c r="X50" i="8"/>
  <c r="L51" i="8"/>
  <c r="AP42" i="8"/>
  <c r="S51" i="8"/>
  <c r="AO40" i="8"/>
  <c r="K44" i="8"/>
  <c r="AA36" i="8"/>
  <c r="AU38" i="8"/>
  <c r="AW50" i="8"/>
  <c r="AP38" i="8"/>
  <c r="AT52" i="8"/>
  <c r="AT54" i="8"/>
  <c r="AX52" i="8"/>
  <c r="AP39" i="8"/>
  <c r="AR52" i="8"/>
  <c r="AQ41" i="8"/>
  <c r="AB37" i="8"/>
  <c r="L49" i="8"/>
  <c r="AO37" i="8"/>
  <c r="AA39" i="8"/>
  <c r="AO34" i="8"/>
  <c r="AE42" i="8"/>
  <c r="AE48" i="8"/>
  <c r="S36" i="8"/>
  <c r="AA42" i="8"/>
  <c r="AE43" i="8"/>
  <c r="S48" i="8"/>
  <c r="AI35" i="8"/>
  <c r="Z38" i="8"/>
  <c r="K42" i="8"/>
  <c r="K51" i="8"/>
  <c r="AA53" i="8"/>
  <c r="AP54" i="8"/>
  <c r="AT58" i="8"/>
  <c r="H57" i="8"/>
  <c r="Z50" i="8"/>
  <c r="AA49" i="8"/>
  <c r="G55" i="8"/>
  <c r="T54" i="8"/>
  <c r="AJ37" i="8"/>
  <c r="T42" i="8"/>
  <c r="P55" i="8"/>
  <c r="L56" i="8"/>
  <c r="AW49" i="8"/>
  <c r="AT48" i="8"/>
  <c r="AW48" i="8"/>
  <c r="AP57" i="8"/>
  <c r="AR39" i="8"/>
  <c r="AQ37" i="8"/>
  <c r="L37" i="8"/>
  <c r="H55" i="8"/>
  <c r="AA58" i="8"/>
  <c r="T48" i="8"/>
  <c r="Z34" i="8"/>
  <c r="AT35" i="8"/>
  <c r="AW38" i="8"/>
  <c r="S44" i="8"/>
  <c r="H52" i="8"/>
  <c r="Z43" i="8"/>
  <c r="AT38" i="8"/>
  <c r="AW54" i="8"/>
  <c r="T40" i="8"/>
  <c r="AB49" i="8"/>
  <c r="AI43" i="8"/>
  <c r="AT39" i="8"/>
  <c r="AU56" i="8"/>
  <c r="AS42" i="8"/>
  <c r="AS54" i="8"/>
  <c r="AU34" i="8"/>
  <c r="AP49" i="8"/>
  <c r="AQ55" i="8"/>
  <c r="AJ48" i="8"/>
  <c r="AE51" i="8"/>
  <c r="AO53" i="8"/>
  <c r="S53" i="8"/>
  <c r="AA37" i="8"/>
  <c r="K48" i="8"/>
  <c r="L58" i="8"/>
  <c r="AT40" i="8"/>
  <c r="AS34" i="8"/>
  <c r="O57" i="8"/>
  <c r="X44" i="8"/>
  <c r="Z41" i="8"/>
  <c r="X53" i="8"/>
  <c r="S55" i="8"/>
  <c r="AX57" i="8"/>
  <c r="AE40" i="8"/>
  <c r="AA55" i="8"/>
  <c r="Z44" i="8"/>
  <c r="AW53" i="8"/>
  <c r="L34" i="8"/>
  <c r="L42" i="8"/>
  <c r="AR54" i="8"/>
  <c r="AX55" i="8"/>
  <c r="O51" i="8"/>
  <c r="AI48" i="8"/>
  <c r="L52" i="8"/>
  <c r="AE56" i="8"/>
  <c r="X41" i="8"/>
  <c r="P51" i="8"/>
  <c r="T44" i="8"/>
  <c r="AU52" i="8"/>
  <c r="K50" i="8"/>
  <c r="AX37" i="8"/>
  <c r="AS40" i="8"/>
  <c r="AW40" i="8"/>
  <c r="AT49" i="8"/>
  <c r="AP35" i="8"/>
  <c r="AP53" i="8"/>
  <c r="AP58" i="8"/>
  <c r="AQ36" i="8"/>
  <c r="AR57" i="8"/>
  <c r="AS58" i="8"/>
  <c r="T37" i="8"/>
  <c r="L43" i="8"/>
  <c r="S37" i="8"/>
  <c r="Z37" i="8"/>
  <c r="T35" i="8"/>
  <c r="AJ49" i="8"/>
  <c r="X55" i="8"/>
  <c r="AA57" i="8"/>
  <c r="O35" i="8"/>
  <c r="AI42" i="8"/>
  <c r="T50" i="8"/>
  <c r="O54" i="8"/>
  <c r="AI55" i="8"/>
  <c r="AI36" i="8"/>
  <c r="X49" i="8"/>
  <c r="AA56" i="8"/>
  <c r="AX54" i="8"/>
  <c r="U54" i="8"/>
  <c r="AM48" i="8"/>
  <c r="AH52" i="8"/>
  <c r="V43" i="8"/>
  <c r="AG55" i="8"/>
  <c r="Q39" i="8"/>
  <c r="AN38" i="8"/>
  <c r="Q36" i="8"/>
  <c r="AD44" i="8"/>
  <c r="AC41" i="8"/>
  <c r="AD39" i="8"/>
  <c r="AK52" i="8"/>
  <c r="AF39" i="8"/>
  <c r="AF41" i="8"/>
  <c r="I36" i="8"/>
  <c r="N53" i="8"/>
  <c r="Y49" i="8"/>
  <c r="AN55" i="8"/>
  <c r="AN51" i="8"/>
  <c r="AG36" i="8"/>
  <c r="U35" i="8"/>
  <c r="N43" i="8"/>
  <c r="AD55" i="8"/>
  <c r="W50" i="8"/>
  <c r="R50" i="8"/>
  <c r="W57" i="8"/>
  <c r="W55" i="8"/>
  <c r="AG37" i="8"/>
  <c r="M56" i="8"/>
  <c r="V38" i="8"/>
  <c r="AD49" i="8"/>
  <c r="AN57" i="8"/>
  <c r="AN35" i="8"/>
  <c r="AL54" i="8"/>
  <c r="W53" i="8"/>
  <c r="AC50" i="8"/>
  <c r="Q49" i="8"/>
  <c r="AH42" i="8"/>
  <c r="AM35" i="8"/>
  <c r="Y56" i="8"/>
  <c r="V51" i="8"/>
  <c r="Y44" i="8"/>
  <c r="Q48" i="8"/>
  <c r="AN48" i="8"/>
  <c r="AG42" i="8"/>
  <c r="J40" i="8"/>
  <c r="AD51" i="8"/>
  <c r="AF35" i="8"/>
  <c r="W52" i="8"/>
  <c r="R39" i="8"/>
  <c r="AK49" i="8"/>
  <c r="AN52" i="8"/>
  <c r="Y40" i="8"/>
  <c r="AG53" i="8"/>
  <c r="AK44" i="8"/>
  <c r="AG57" i="8"/>
  <c r="Q51" i="8"/>
  <c r="AF51" i="8"/>
  <c r="AK40" i="8"/>
  <c r="U37" i="8"/>
  <c r="R35" i="8"/>
  <c r="AM52" i="8"/>
  <c r="N44" i="8"/>
  <c r="AD41" i="8"/>
  <c r="Q58" i="8"/>
  <c r="AH57" i="8"/>
  <c r="AG43" i="8"/>
  <c r="M42" i="8"/>
  <c r="AH50" i="8"/>
  <c r="AM44" i="8"/>
  <c r="AK48" i="8"/>
  <c r="AC48" i="8"/>
  <c r="Y50" i="8"/>
  <c r="Q52" i="8"/>
  <c r="W44" i="8"/>
  <c r="AH49" i="8"/>
  <c r="N50" i="8"/>
  <c r="J57" i="8"/>
  <c r="AK38" i="8"/>
  <c r="AC39" i="8"/>
  <c r="J49" i="8"/>
  <c r="U43" i="8"/>
  <c r="I37" i="8"/>
  <c r="AG54" i="8"/>
  <c r="Q55" i="8"/>
  <c r="N36" i="8"/>
  <c r="AD40" i="8"/>
  <c r="AK43" i="8"/>
  <c r="Q50" i="8"/>
  <c r="I52" i="8"/>
  <c r="AK58" i="8"/>
  <c r="AF48" i="8"/>
  <c r="I44" i="8"/>
  <c r="AD54" i="8"/>
  <c r="Y43" i="8"/>
  <c r="N57" i="8"/>
  <c r="N55" i="8"/>
  <c r="R36" i="8"/>
  <c r="AH43" i="8"/>
  <c r="AK42" i="8"/>
  <c r="N52" i="8"/>
  <c r="V57" i="8"/>
  <c r="Y36" i="8"/>
  <c r="Q56" i="8"/>
  <c r="N40" i="8"/>
  <c r="AD57" i="8"/>
  <c r="AF58" i="8"/>
  <c r="AD36" i="8"/>
  <c r="AD52" i="8"/>
  <c r="U34" i="8"/>
  <c r="W58" i="8"/>
  <c r="Y55" i="8"/>
  <c r="R57" i="8"/>
  <c r="J56" i="8"/>
  <c r="AM34" i="8"/>
  <c r="R34" i="8"/>
  <c r="I38" i="8"/>
  <c r="AM41" i="8"/>
  <c r="R56" i="8"/>
  <c r="AM40" i="8"/>
  <c r="Y54" i="8"/>
  <c r="V36" i="8"/>
  <c r="W49" i="8"/>
  <c r="AD53" i="8"/>
  <c r="I57" i="8"/>
  <c r="M48" i="8"/>
  <c r="M35" i="8"/>
  <c r="AN39" i="8"/>
  <c r="AH58" i="8"/>
  <c r="AH51" i="8"/>
  <c r="J55" i="8"/>
  <c r="AF36" i="8"/>
  <c r="M50" i="8"/>
  <c r="V53" i="8"/>
  <c r="Y38" i="8"/>
  <c r="AG38" i="8"/>
  <c r="V49" i="8"/>
  <c r="W51" i="8"/>
  <c r="M52" i="8"/>
  <c r="AM58" i="8"/>
  <c r="V56" i="8"/>
  <c r="N37" i="8"/>
  <c r="J34" i="8"/>
  <c r="M44" i="8"/>
  <c r="J44" i="8"/>
  <c r="W40" i="8"/>
  <c r="AC54" i="8"/>
  <c r="N42" i="8"/>
  <c r="V50" i="8"/>
  <c r="AN58" i="8"/>
  <c r="AM53" i="8"/>
  <c r="AM36" i="8"/>
  <c r="N41" i="8"/>
  <c r="AF53" i="8"/>
  <c r="AH35" i="8"/>
  <c r="Q38" i="8"/>
  <c r="V39" i="8"/>
  <c r="N54" i="8"/>
  <c r="AN42" i="8"/>
  <c r="AG34" i="8"/>
  <c r="AM50" i="8"/>
  <c r="AM42" i="8"/>
  <c r="M51" i="8"/>
  <c r="U42" i="8"/>
  <c r="AD48" i="8"/>
  <c r="R43" i="8"/>
  <c r="W38" i="8"/>
  <c r="W41" i="8"/>
  <c r="AM39" i="8"/>
  <c r="W48" i="8"/>
  <c r="J42" i="8"/>
  <c r="N48" i="8"/>
  <c r="W39" i="8"/>
  <c r="AM55" i="8"/>
  <c r="AC55" i="8"/>
  <c r="U55" i="8"/>
  <c r="AN54" i="8"/>
  <c r="U49" i="8"/>
  <c r="W43" i="8"/>
  <c r="AG56" i="8"/>
  <c r="AN44" i="8"/>
  <c r="M43" i="8"/>
  <c r="M38" i="8"/>
  <c r="U41" i="8"/>
  <c r="U53" i="8"/>
  <c r="AK54" i="8"/>
  <c r="AF54" i="8"/>
  <c r="I39" i="8"/>
  <c r="M57" i="8"/>
  <c r="J54" i="8"/>
  <c r="I50" i="8"/>
  <c r="M40" i="8"/>
  <c r="R41" i="8"/>
  <c r="AG50" i="8"/>
  <c r="J53" i="8"/>
  <c r="W36" i="8"/>
  <c r="AK39" i="8"/>
  <c r="Y39" i="8"/>
  <c r="Q37" i="8"/>
  <c r="AN50" i="8"/>
  <c r="AG51" i="8"/>
  <c r="AN53" i="8"/>
  <c r="Q54" i="8"/>
  <c r="V35" i="8"/>
  <c r="AF43" i="8"/>
  <c r="AH34" i="8"/>
  <c r="R48" i="8"/>
  <c r="V44" i="8"/>
  <c r="AN49" i="8"/>
  <c r="AM37" i="8"/>
  <c r="AD37" i="8"/>
  <c r="AC51" i="8"/>
  <c r="Y37" i="8"/>
  <c r="AK36" i="8"/>
  <c r="AK53" i="8"/>
  <c r="N38" i="8"/>
  <c r="W42" i="8"/>
  <c r="AK34" i="8"/>
  <c r="AN41" i="8"/>
  <c r="M49" i="8"/>
  <c r="R53" i="8"/>
  <c r="AM54" i="8"/>
  <c r="J48" i="8"/>
  <c r="AN37" i="8"/>
  <c r="AK50" i="8"/>
  <c r="AG35" i="8"/>
  <c r="AM49" i="8"/>
  <c r="AK56" i="8"/>
  <c r="J36" i="8"/>
  <c r="W34" i="8"/>
  <c r="AH53" i="8"/>
  <c r="M39" i="8"/>
  <c r="AN40" i="8"/>
  <c r="AG40" i="8"/>
  <c r="M54" i="8"/>
  <c r="AH36" i="8"/>
  <c r="W35" i="8"/>
  <c r="AF44" i="8"/>
  <c r="AF57" i="8"/>
  <c r="R40" i="8"/>
  <c r="AG44" i="8"/>
  <c r="AD58" i="8"/>
  <c r="V37" i="8"/>
  <c r="AK55" i="8"/>
  <c r="Q35" i="8"/>
  <c r="AK41" i="8"/>
  <c r="Y51" i="8"/>
  <c r="AG41" i="8"/>
  <c r="AN34" i="8"/>
  <c r="AG39" i="8"/>
  <c r="Y53" i="8"/>
  <c r="AF56" i="8"/>
  <c r="V42" i="8"/>
  <c r="U48" i="8"/>
  <c r="U51" i="8"/>
  <c r="U52" i="8"/>
  <c r="Q53" i="8"/>
  <c r="AF40" i="8"/>
  <c r="W54" i="8"/>
  <c r="Y35" i="8"/>
  <c r="J50" i="8"/>
  <c r="AH38" i="8"/>
  <c r="Q42" i="8"/>
  <c r="AM56" i="8"/>
  <c r="AD34" i="8"/>
  <c r="AF38" i="8"/>
  <c r="AH44" i="8"/>
  <c r="Q40" i="8"/>
  <c r="AC57" i="8"/>
  <c r="U36" i="8"/>
  <c r="AF50" i="8"/>
  <c r="AN56" i="8"/>
  <c r="U58" i="8"/>
  <c r="Y34" i="8"/>
  <c r="M58" i="8"/>
  <c r="W37" i="8"/>
  <c r="V54" i="8"/>
  <c r="Q34" i="8"/>
  <c r="J51" i="8"/>
  <c r="I34" i="8"/>
  <c r="AK51" i="8"/>
  <c r="Q43" i="8"/>
  <c r="N49" i="8"/>
  <c r="Y57" i="8"/>
  <c r="V52" i="8"/>
  <c r="AC53" i="8"/>
  <c r="AF52" i="8"/>
  <c r="I48" i="8"/>
  <c r="N39" i="8"/>
  <c r="Y52" i="8"/>
  <c r="AC38" i="8"/>
  <c r="Y58" i="8"/>
  <c r="Y48" i="8"/>
  <c r="R52" i="8"/>
  <c r="AM57" i="8"/>
  <c r="N34" i="8"/>
  <c r="AF37" i="8"/>
  <c r="V41" i="8"/>
  <c r="N58" i="8"/>
  <c r="M36" i="8"/>
  <c r="R37" i="8"/>
  <c r="AF42" i="8"/>
  <c r="R38" i="8"/>
  <c r="Y41" i="8"/>
  <c r="U40" i="8"/>
  <c r="U50" i="8"/>
  <c r="I56" i="8"/>
  <c r="V34" i="8"/>
  <c r="Y42" i="8"/>
  <c r="R51" i="8"/>
  <c r="M41" i="8"/>
  <c r="N51" i="8"/>
  <c r="R54" i="8"/>
  <c r="R55" i="8"/>
  <c r="V55" i="8"/>
  <c r="U57" i="8"/>
  <c r="AK35" i="8"/>
  <c r="W56" i="8"/>
  <c r="AC36" i="8"/>
  <c r="R44" i="8"/>
  <c r="M53" i="8"/>
  <c r="AM38" i="8"/>
  <c r="AD50" i="8"/>
  <c r="Q41" i="8"/>
  <c r="AG52" i="8"/>
  <c r="AH55" i="8"/>
  <c r="R58" i="8"/>
  <c r="AG48" i="8"/>
  <c r="AC49" i="8"/>
  <c r="AH41" i="8"/>
  <c r="V40" i="8"/>
  <c r="R49" i="8"/>
  <c r="J52" i="8"/>
  <c r="AF49" i="8"/>
  <c r="U44" i="8"/>
  <c r="U38" i="8"/>
  <c r="U56" i="8"/>
  <c r="AF55" i="8"/>
  <c r="M34" i="8"/>
  <c r="AM51" i="8"/>
  <c r="V48" i="8"/>
  <c r="AN43" i="8"/>
  <c r="J39" i="8"/>
  <c r="AG49" i="8"/>
  <c r="AK57" i="8"/>
  <c r="AH39" i="8"/>
  <c r="AY62" i="3" l="1"/>
  <c r="CU62" i="3" s="1"/>
  <c r="AE47" i="3"/>
  <c r="AT69" i="3"/>
  <c r="AQ63" i="3"/>
  <c r="AQ67" i="3" s="1"/>
  <c r="CM67" i="3" s="1"/>
  <c r="AY69" i="3"/>
  <c r="AW66" i="3"/>
  <c r="AC75" i="3"/>
  <c r="BY75" i="3" s="1"/>
  <c r="AV74" i="3"/>
  <c r="CR74" i="3" s="1"/>
  <c r="AS70" i="3"/>
  <c r="AV69" i="3"/>
  <c r="AZ69" i="3"/>
  <c r="AR63" i="3"/>
  <c r="AZ63" i="3"/>
  <c r="AC69" i="3"/>
  <c r="AS63" i="3"/>
  <c r="AX47" i="3"/>
  <c r="AX48" i="3" s="1"/>
  <c r="CT48" i="3" s="1"/>
  <c r="BA69" i="3"/>
  <c r="BA71" i="3"/>
  <c r="BA75" i="3"/>
  <c r="CW75" i="3" s="1"/>
  <c r="AQ60" i="3"/>
  <c r="AQ61" i="3" s="1"/>
  <c r="CM61" i="3" s="1"/>
  <c r="AQ70" i="3"/>
  <c r="AW62" i="3"/>
  <c r="CS62" i="3" s="1"/>
  <c r="AZ47" i="3"/>
  <c r="AC47" i="3"/>
  <c r="AC48" i="3" s="1"/>
  <c r="BY48" i="3" s="1"/>
  <c r="AU72" i="3"/>
  <c r="AT71" i="3"/>
  <c r="BA74" i="3"/>
  <c r="CW74" i="3" s="1"/>
  <c r="BA60" i="3"/>
  <c r="BA61" i="3" s="1"/>
  <c r="CW61" i="3" s="1"/>
  <c r="AQ71" i="3"/>
  <c r="L71" i="3"/>
  <c r="L73" i="3" s="1"/>
  <c r="BH73" i="3" s="1"/>
  <c r="AW63" i="3"/>
  <c r="AZ64" i="3"/>
  <c r="AC31" i="3"/>
  <c r="AC32" i="3" s="1"/>
  <c r="BY32" i="3" s="1"/>
  <c r="AU60" i="3"/>
  <c r="AU61" i="3" s="1"/>
  <c r="CQ61" i="3" s="1"/>
  <c r="BA62" i="3"/>
  <c r="CW62" i="3" s="1"/>
  <c r="AX62" i="3"/>
  <c r="CT62" i="3" s="1"/>
  <c r="O47" i="3"/>
  <c r="O48" i="3" s="1"/>
  <c r="BK48" i="3" s="1"/>
  <c r="AA47" i="3"/>
  <c r="AA48" i="3" s="1"/>
  <c r="BW48" i="3" s="1"/>
  <c r="L31" i="3"/>
  <c r="L32" i="3" s="1"/>
  <c r="BH32" i="3" s="1"/>
  <c r="AX72" i="3"/>
  <c r="BA65" i="3"/>
  <c r="L47" i="3"/>
  <c r="L48" i="3" s="1"/>
  <c r="BH48" i="3" s="1"/>
  <c r="AC63" i="3"/>
  <c r="AZ72" i="3"/>
  <c r="AC71" i="3"/>
  <c r="AV63" i="3"/>
  <c r="AT60" i="3"/>
  <c r="AT61" i="3" s="1"/>
  <c r="CP61" i="3" s="1"/>
  <c r="AS71" i="3"/>
  <c r="AO63" i="3"/>
  <c r="AO67" i="3" s="1"/>
  <c r="CK67" i="3" s="1"/>
  <c r="AX75" i="3"/>
  <c r="CT75" i="3" s="1"/>
  <c r="AR65" i="3"/>
  <c r="AY70" i="3"/>
  <c r="AV65" i="3"/>
  <c r="AT72" i="3"/>
  <c r="AS66" i="3"/>
  <c r="AX31" i="3"/>
  <c r="AX32" i="3" s="1"/>
  <c r="CT32" i="3" s="1"/>
  <c r="AX69" i="3"/>
  <c r="L65" i="3"/>
  <c r="L67" i="3" s="1"/>
  <c r="BH67" i="3" s="1"/>
  <c r="AV62" i="3"/>
  <c r="CR62" i="3" s="1"/>
  <c r="AW74" i="3"/>
  <c r="CS74" i="3" s="1"/>
  <c r="AZ60" i="3"/>
  <c r="AZ61" i="3" s="1"/>
  <c r="CV61" i="3" s="1"/>
  <c r="AY47" i="3"/>
  <c r="AY48" i="3" s="1"/>
  <c r="CU48" i="3" s="1"/>
  <c r="AQ62" i="3"/>
  <c r="CM62" i="3" s="1"/>
  <c r="AU74" i="3"/>
  <c r="CQ74" i="3" s="1"/>
  <c r="AT5" i="5" s="1"/>
  <c r="AR74" i="3"/>
  <c r="CN74" i="3" s="1"/>
  <c r="AY64" i="3"/>
  <c r="AW69" i="3"/>
  <c r="AC64" i="3"/>
  <c r="AS74" i="3"/>
  <c r="CO74" i="3" s="1"/>
  <c r="AX74" i="3"/>
  <c r="CT74" i="3" s="1"/>
  <c r="AZ31" i="3"/>
  <c r="AZ32" i="3" s="1"/>
  <c r="CV32" i="3" s="1"/>
  <c r="AM47" i="3"/>
  <c r="AM48" i="3" s="1"/>
  <c r="CI48" i="3" s="1"/>
  <c r="AX63" i="3"/>
  <c r="AX67" i="3" s="1"/>
  <c r="CT67" i="3" s="1"/>
  <c r="AQ74" i="3"/>
  <c r="CM74" i="3" s="1"/>
  <c r="AS65" i="3"/>
  <c r="AV47" i="3"/>
  <c r="AV48" i="3" s="1"/>
  <c r="CR48" i="3" s="1"/>
  <c r="BA47" i="3"/>
  <c r="BA48" i="3" s="1"/>
  <c r="CW48" i="3" s="1"/>
  <c r="AR62" i="3"/>
  <c r="CN62" i="3" s="1"/>
  <c r="AW71" i="3"/>
  <c r="AW70" i="3"/>
  <c r="AU69" i="3"/>
  <c r="AU63" i="3"/>
  <c r="AT63" i="3"/>
  <c r="AT67" i="3" s="1"/>
  <c r="CP67" i="3" s="1"/>
  <c r="AQ69" i="3"/>
  <c r="BA66" i="3"/>
  <c r="AR71" i="3"/>
  <c r="AV66" i="3"/>
  <c r="AU47" i="3"/>
  <c r="AU48" i="3" s="1"/>
  <c r="CQ48" i="3" s="1"/>
  <c r="AC60" i="3"/>
  <c r="AC61" i="3" s="1"/>
  <c r="BY61" i="3" s="1"/>
  <c r="AR69" i="3"/>
  <c r="BA72" i="3"/>
  <c r="AY60" i="3"/>
  <c r="AY61" i="3" s="1"/>
  <c r="CU61" i="3" s="1"/>
  <c r="AY31" i="3"/>
  <c r="AY32" i="3" s="1"/>
  <c r="CU32" i="3" s="1"/>
  <c r="L74" i="3"/>
  <c r="BH74" i="3" s="1"/>
  <c r="AW72" i="3"/>
  <c r="AL60" i="3"/>
  <c r="AL61" i="3" s="1"/>
  <c r="CH61" i="3" s="1"/>
  <c r="AC72" i="3"/>
  <c r="AV71" i="3"/>
  <c r="AU65" i="3"/>
  <c r="AY63" i="3"/>
  <c r="AV60" i="3"/>
  <c r="AV61" i="3" s="1"/>
  <c r="CR61" i="3" s="1"/>
  <c r="AY72" i="3"/>
  <c r="AR60" i="3"/>
  <c r="AR61" i="3" s="1"/>
  <c r="CN61" i="3" s="1"/>
  <c r="W47" i="3"/>
  <c r="W48" i="3" s="1"/>
  <c r="BS48" i="3" s="1"/>
  <c r="AY74" i="3"/>
  <c r="CU74" i="3" s="1"/>
  <c r="AT74" i="3"/>
  <c r="CP74" i="3" s="1"/>
  <c r="AS47" i="3"/>
  <c r="AS48" i="3" s="1"/>
  <c r="CO48" i="3" s="1"/>
  <c r="AR47" i="3"/>
  <c r="AR48" i="3" s="1"/>
  <c r="CN48" i="3" s="1"/>
  <c r="AW60" i="3"/>
  <c r="AW61" i="3" s="1"/>
  <c r="CS61" i="3" s="1"/>
  <c r="AC74" i="3"/>
  <c r="BY74" i="3" s="1"/>
  <c r="AU66" i="3"/>
  <c r="X45" i="8" a="1"/>
  <c r="X45" i="8" s="1"/>
  <c r="AD42" i="3"/>
  <c r="BZ42" i="3" s="1"/>
  <c r="W59" i="8" a="1"/>
  <c r="W59" i="8" s="1"/>
  <c r="T13" i="9" s="1"/>
  <c r="H59" i="8" a="1"/>
  <c r="H59" i="8" s="1"/>
  <c r="E13" i="9" s="1"/>
  <c r="AB59" i="8" a="1"/>
  <c r="AB59" i="8" s="1"/>
  <c r="AV45" i="8" a="1"/>
  <c r="AV45" i="8" s="1"/>
  <c r="AA45" i="8" a="1"/>
  <c r="AA45" i="8" s="1"/>
  <c r="R45" i="8" a="1"/>
  <c r="R45" i="8" s="1"/>
  <c r="M59" i="8" a="1"/>
  <c r="M59" i="8" s="1"/>
  <c r="J13" i="9" s="1"/>
  <c r="S48" i="3"/>
  <c r="BO48" i="3" s="1"/>
  <c r="R5" i="5"/>
  <c r="T13" i="5"/>
  <c r="N9" i="5"/>
  <c r="T10" i="5"/>
  <c r="O17" i="5"/>
  <c r="Z11" i="5"/>
  <c r="Q16" i="5"/>
  <c r="AH9" i="5"/>
  <c r="AI9" i="5"/>
  <c r="AN16" i="5"/>
  <c r="AV16" i="5"/>
  <c r="AO16" i="5"/>
  <c r="AM11" i="5"/>
  <c r="AJ10" i="5"/>
  <c r="AE17" i="5"/>
  <c r="H14" i="5"/>
  <c r="AA4" i="5"/>
  <c r="Y8" i="5"/>
  <c r="M14" i="5"/>
  <c r="L11" i="5"/>
  <c r="L4" i="5"/>
  <c r="I10" i="5"/>
  <c r="X14" i="5"/>
  <c r="AN10" i="5"/>
  <c r="O5" i="5"/>
  <c r="M5" i="5"/>
  <c r="AE4" i="5"/>
  <c r="M4" i="5"/>
  <c r="Z4" i="5"/>
  <c r="V8" i="5"/>
  <c r="AQ14" i="5"/>
  <c r="K16" i="5"/>
  <c r="U15" i="5"/>
  <c r="S12" i="5"/>
  <c r="AY7" i="5"/>
  <c r="R16" i="5"/>
  <c r="AU15" i="5"/>
  <c r="AS14" i="5"/>
  <c r="Y11" i="5"/>
  <c r="AR11" i="5"/>
  <c r="V15" i="5"/>
  <c r="AG13" i="5"/>
  <c r="I17" i="5"/>
  <c r="AM8" i="5"/>
  <c r="Q10" i="5"/>
  <c r="AA12" i="5"/>
  <c r="AA16" i="5"/>
  <c r="AF6" i="5"/>
  <c r="J11" i="5"/>
  <c r="W13" i="5"/>
  <c r="AC17" i="5"/>
  <c r="AO6" i="5"/>
  <c r="U10" i="5"/>
  <c r="J6" i="5"/>
  <c r="P5" i="5"/>
  <c r="AT17" i="5"/>
  <c r="X10" i="5"/>
  <c r="AG4" i="5"/>
  <c r="AC4" i="5"/>
  <c r="AF17" i="5"/>
  <c r="N17" i="5"/>
  <c r="AI13" i="5"/>
  <c r="W10" i="5"/>
  <c r="P14" i="5"/>
  <c r="H5" i="5"/>
  <c r="AX17" i="5"/>
  <c r="AP11" i="5"/>
  <c r="S4" i="5"/>
  <c r="S6" i="5"/>
  <c r="AJ11" i="5"/>
  <c r="L5" i="5"/>
  <c r="R11" i="5"/>
  <c r="L10" i="5"/>
  <c r="AF11" i="5"/>
  <c r="AI4" i="5"/>
  <c r="L8" i="5"/>
  <c r="AE15" i="5"/>
  <c r="P10" i="5"/>
  <c r="AU13" i="5"/>
  <c r="M15" i="5"/>
  <c r="AC6" i="5"/>
  <c r="O15" i="5"/>
  <c r="P16" i="5"/>
  <c r="V10" i="5"/>
  <c r="J15" i="5"/>
  <c r="AO5" i="5"/>
  <c r="T7" i="5"/>
  <c r="J17" i="5"/>
  <c r="P8" i="5"/>
  <c r="S14" i="5"/>
  <c r="AJ4" i="5"/>
  <c r="AJ17" i="5"/>
  <c r="R14" i="5"/>
  <c r="Q8" i="5"/>
  <c r="H17" i="5"/>
  <c r="H9" i="5"/>
  <c r="Y13" i="5"/>
  <c r="AE7" i="5"/>
  <c r="AI14" i="5"/>
  <c r="AM5" i="5"/>
  <c r="V7" i="5"/>
  <c r="AX16" i="5"/>
  <c r="AO13" i="5"/>
  <c r="AE11" i="5"/>
  <c r="M8" i="5"/>
  <c r="K14" i="5"/>
  <c r="Y17" i="5"/>
  <c r="O10" i="5"/>
  <c r="AM16" i="5"/>
  <c r="AF5" i="5"/>
  <c r="AH7" i="5"/>
  <c r="N8" i="5"/>
  <c r="AC14" i="5"/>
  <c r="AI8" i="5"/>
  <c r="AP17" i="5"/>
  <c r="J12" i="5"/>
  <c r="AO17" i="5"/>
  <c r="T8" i="5"/>
  <c r="AM9" i="5"/>
  <c r="H7" i="5"/>
  <c r="P9" i="5"/>
  <c r="AJ13" i="5"/>
  <c r="AY6" i="5"/>
  <c r="R17" i="5"/>
  <c r="Q17" i="5"/>
  <c r="H15" i="5"/>
  <c r="H4" i="5"/>
  <c r="Y5" i="5"/>
  <c r="AT11" i="5"/>
  <c r="Z13" i="5"/>
  <c r="Y12" i="5"/>
  <c r="X9" i="5"/>
  <c r="AS12" i="5"/>
  <c r="AH5" i="5"/>
  <c r="AF15" i="5"/>
  <c r="T11" i="5"/>
  <c r="AC8" i="5"/>
  <c r="AM6" i="5"/>
  <c r="I4" i="5"/>
  <c r="AY8" i="5"/>
  <c r="L12" i="5"/>
  <c r="AC10" i="5"/>
  <c r="V14" i="5"/>
  <c r="Y7" i="5"/>
  <c r="Z5" i="5"/>
  <c r="AY4" i="5"/>
  <c r="AY5" i="5"/>
  <c r="AI17" i="5"/>
  <c r="AQ13" i="5"/>
  <c r="W11" i="5"/>
  <c r="AP14" i="5"/>
  <c r="AX14" i="5"/>
  <c r="J13" i="5"/>
  <c r="T5" i="5"/>
  <c r="T14" i="5"/>
  <c r="S16" i="5"/>
  <c r="AJ7" i="5"/>
  <c r="R6" i="5"/>
  <c r="Q15" i="5"/>
  <c r="AY9" i="5"/>
  <c r="AY17" i="5"/>
  <c r="AU16" i="5"/>
  <c r="Z9" i="5"/>
  <c r="Z17" i="5"/>
  <c r="X8" i="5"/>
  <c r="N14" i="5"/>
  <c r="AI12" i="5"/>
  <c r="W15" i="5"/>
  <c r="AO11" i="5"/>
  <c r="AE14" i="5"/>
  <c r="N12" i="5"/>
  <c r="AI6" i="5"/>
  <c r="AG11" i="5"/>
  <c r="AN14" i="5"/>
  <c r="AC15" i="5"/>
  <c r="AX15" i="5"/>
  <c r="AM14" i="5"/>
  <c r="AM4" i="5"/>
  <c r="Y15" i="5"/>
  <c r="M9" i="5"/>
  <c r="AJ15" i="5"/>
  <c r="AA13" i="5"/>
  <c r="W4" i="5"/>
  <c r="M17" i="5"/>
  <c r="L17" i="5"/>
  <c r="O9" i="5"/>
  <c r="AQ17" i="5"/>
  <c r="P6" i="5"/>
  <c r="AO15" i="5"/>
  <c r="U16" i="5"/>
  <c r="T16" i="5"/>
  <c r="J9" i="5"/>
  <c r="R8" i="5"/>
  <c r="P7" i="5"/>
  <c r="H12" i="5"/>
  <c r="AA10" i="5"/>
  <c r="AT16" i="5"/>
  <c r="Z8" i="5"/>
  <c r="X11" i="5"/>
  <c r="O14" i="5"/>
  <c r="M11" i="5"/>
  <c r="AF13" i="5"/>
  <c r="W9" i="5"/>
  <c r="AI5" i="5"/>
  <c r="AG15" i="5"/>
  <c r="N15" i="5"/>
  <c r="L15" i="5"/>
  <c r="I15" i="5"/>
  <c r="I7" i="5"/>
  <c r="AF8" i="5"/>
  <c r="M13" i="5"/>
  <c r="AM7" i="5"/>
  <c r="AF16" i="5"/>
  <c r="AN5" i="5"/>
  <c r="AR17" i="5"/>
  <c r="AN4" i="5"/>
  <c r="V9" i="5"/>
  <c r="L13" i="5"/>
  <c r="AC12" i="5"/>
  <c r="AP13" i="5"/>
  <c r="W7" i="5"/>
  <c r="AT14" i="5"/>
  <c r="N10" i="5"/>
  <c r="M7" i="5"/>
  <c r="AN17" i="5"/>
  <c r="W6" i="5"/>
  <c r="AJ12" i="5"/>
  <c r="AV17" i="5"/>
  <c r="U6" i="5"/>
  <c r="T17" i="5"/>
  <c r="T9" i="5"/>
  <c r="AJ16" i="5"/>
  <c r="AY16" i="5"/>
  <c r="AE10" i="5"/>
  <c r="AA11" i="5"/>
  <c r="AT15" i="5"/>
  <c r="Y10" i="5"/>
  <c r="AR13" i="5"/>
  <c r="AG6" i="5"/>
  <c r="R4" i="5"/>
  <c r="I8" i="5"/>
  <c r="AF14" i="5"/>
  <c r="AI11" i="5"/>
  <c r="AG17" i="5"/>
  <c r="AI7" i="5"/>
  <c r="AJ9" i="5"/>
  <c r="AU12" i="5"/>
  <c r="AC13" i="5"/>
  <c r="Q9" i="5"/>
  <c r="AG16" i="5"/>
  <c r="L9" i="5"/>
  <c r="AN9" i="5"/>
  <c r="J14" i="5"/>
  <c r="N11" i="5"/>
  <c r="S8" i="5"/>
  <c r="I5" i="5"/>
  <c r="L16" i="5"/>
  <c r="AP12" i="5"/>
  <c r="W8" i="5"/>
  <c r="K15" i="5"/>
  <c r="U9" i="5"/>
  <c r="J5" i="5"/>
  <c r="R13" i="5"/>
  <c r="AA9" i="5"/>
  <c r="X6" i="5"/>
  <c r="X17" i="5"/>
  <c r="AH6" i="5"/>
  <c r="N6" i="5"/>
  <c r="O13" i="5"/>
  <c r="AH4" i="5"/>
  <c r="Z14" i="5"/>
  <c r="W16" i="5"/>
  <c r="AN8" i="5"/>
  <c r="AN6" i="5"/>
  <c r="W17" i="5"/>
  <c r="Z6" i="5"/>
  <c r="AG12" i="5"/>
  <c r="AN13" i="5"/>
  <c r="AM15" i="5"/>
  <c r="AY13" i="5"/>
  <c r="AN7" i="5"/>
  <c r="AV11" i="5"/>
  <c r="AF10" i="5"/>
  <c r="I6" i="5"/>
  <c r="AI15" i="5"/>
  <c r="O8" i="5"/>
  <c r="V5" i="5"/>
  <c r="H8" i="5"/>
  <c r="U4" i="5"/>
  <c r="AO9" i="5"/>
  <c r="U13" i="5"/>
  <c r="J8" i="5"/>
  <c r="J10" i="5"/>
  <c r="AY15" i="5"/>
  <c r="P17" i="5"/>
  <c r="S5" i="5"/>
  <c r="R7" i="5"/>
  <c r="R10" i="5"/>
  <c r="H13" i="5"/>
  <c r="AY14" i="5"/>
  <c r="Z16" i="5"/>
  <c r="X5" i="5"/>
  <c r="N4" i="5"/>
  <c r="AP15" i="5"/>
  <c r="AC7" i="5"/>
  <c r="S7" i="5"/>
  <c r="O7" i="5"/>
  <c r="K11" i="5"/>
  <c r="AG14" i="5"/>
  <c r="AJ5" i="5"/>
  <c r="O4" i="5"/>
  <c r="AQ16" i="5"/>
  <c r="AE16" i="5"/>
  <c r="V12" i="5"/>
  <c r="AG7" i="5"/>
  <c r="AE12" i="5"/>
  <c r="V4" i="5"/>
  <c r="AO14" i="5"/>
  <c r="R12" i="5"/>
  <c r="Z10" i="5"/>
  <c r="AI10" i="5"/>
  <c r="T4" i="5"/>
  <c r="AX12" i="5"/>
  <c r="AM10" i="5"/>
  <c r="AI16" i="5"/>
  <c r="I14" i="5"/>
  <c r="AP16" i="5"/>
  <c r="V11" i="5"/>
  <c r="V16" i="5"/>
  <c r="U7" i="5"/>
  <c r="S10" i="5"/>
  <c r="AV15" i="5"/>
  <c r="AS16" i="5"/>
  <c r="X4" i="5"/>
  <c r="AH10" i="5"/>
  <c r="AO7" i="5"/>
  <c r="T12" i="5"/>
  <c r="AJ6" i="5"/>
  <c r="AE6" i="5"/>
  <c r="M6" i="5"/>
  <c r="L7" i="5"/>
  <c r="P11" i="5"/>
  <c r="P13" i="5"/>
  <c r="P12" i="5"/>
  <c r="O12" i="5"/>
  <c r="Y14" i="5"/>
  <c r="N13" i="5"/>
  <c r="W12" i="5"/>
  <c r="S11" i="5"/>
  <c r="O6" i="5"/>
  <c r="Z7" i="5"/>
  <c r="Y6" i="5"/>
  <c r="AC11" i="5"/>
  <c r="U8" i="5"/>
  <c r="AR15" i="5"/>
  <c r="N7" i="5"/>
  <c r="N16" i="5"/>
  <c r="M16" i="5"/>
  <c r="AC16" i="5"/>
  <c r="W14" i="5"/>
  <c r="AV13" i="5"/>
  <c r="AN11" i="5"/>
  <c r="AO8" i="5"/>
  <c r="AO10" i="5"/>
  <c r="U14" i="5"/>
  <c r="AM17" i="5"/>
  <c r="J4" i="5"/>
  <c r="J16" i="5"/>
  <c r="Q13" i="5"/>
  <c r="AY10" i="5"/>
  <c r="AJ14" i="5"/>
  <c r="AA17" i="5"/>
  <c r="AT12" i="5"/>
  <c r="Z12" i="5"/>
  <c r="X7" i="5"/>
  <c r="AC5" i="5"/>
  <c r="AN15" i="5"/>
  <c r="L6" i="5"/>
  <c r="I13" i="5"/>
  <c r="AE8" i="5"/>
  <c r="S13" i="5"/>
  <c r="V13" i="5"/>
  <c r="AU14" i="5"/>
  <c r="AX13" i="5"/>
  <c r="AA14" i="5"/>
  <c r="AR12" i="5"/>
  <c r="H11" i="5"/>
  <c r="AY12" i="5"/>
  <c r="AY11" i="5"/>
  <c r="AF7" i="5"/>
  <c r="AA8" i="5"/>
  <c r="AR16" i="5"/>
  <c r="M10" i="5"/>
  <c r="I12" i="5"/>
  <c r="H16" i="5"/>
  <c r="AS13" i="5"/>
  <c r="AF9" i="5"/>
  <c r="O11" i="5"/>
  <c r="AQ11" i="5"/>
  <c r="W5" i="5"/>
  <c r="K13" i="5"/>
  <c r="P15" i="5"/>
  <c r="R15" i="5"/>
  <c r="Q7" i="5"/>
  <c r="AE13" i="5"/>
  <c r="AU11" i="5"/>
  <c r="AU17" i="5"/>
  <c r="Z15" i="5"/>
  <c r="AS15" i="5"/>
  <c r="X15" i="5"/>
  <c r="X13" i="5"/>
  <c r="V17" i="5"/>
  <c r="L14" i="5"/>
  <c r="AQ12" i="5"/>
  <c r="AO4" i="5"/>
  <c r="U11" i="5"/>
  <c r="K12" i="5"/>
  <c r="AM13" i="5"/>
  <c r="AV12" i="5"/>
  <c r="AE5" i="5"/>
  <c r="AA7" i="5"/>
  <c r="AQ15" i="5"/>
  <c r="AV14" i="5"/>
  <c r="AO12" i="5"/>
  <c r="AG10" i="5"/>
  <c r="T6" i="5"/>
  <c r="P4" i="5"/>
  <c r="AG5" i="5"/>
  <c r="Q6" i="5"/>
  <c r="AN12" i="5"/>
  <c r="AM12" i="5"/>
  <c r="S15" i="5"/>
  <c r="S9" i="5"/>
  <c r="Q4" i="5"/>
  <c r="Q14" i="5"/>
  <c r="J7" i="5"/>
  <c r="H10" i="5"/>
  <c r="AA5" i="5"/>
  <c r="AT13" i="5"/>
  <c r="U12" i="5"/>
  <c r="N5" i="5"/>
  <c r="AG9" i="5"/>
  <c r="R9" i="5"/>
  <c r="AF12" i="5"/>
  <c r="Q12" i="5"/>
  <c r="AF4" i="5"/>
  <c r="M12" i="5"/>
  <c r="AS17" i="5"/>
  <c r="AJ8" i="5"/>
  <c r="Y4" i="5"/>
  <c r="I9" i="5"/>
  <c r="AX11" i="5"/>
  <c r="X12" i="5"/>
  <c r="AS11" i="5"/>
  <c r="I16" i="5"/>
  <c r="V6" i="5"/>
  <c r="K17" i="5"/>
  <c r="Q5" i="5"/>
  <c r="U5" i="5"/>
  <c r="U17" i="5"/>
  <c r="T15" i="5"/>
  <c r="S17" i="5"/>
  <c r="AE9" i="5"/>
  <c r="H6" i="5"/>
  <c r="AA15" i="5"/>
  <c r="Y9" i="5"/>
  <c r="AR14" i="5"/>
  <c r="X16" i="5"/>
  <c r="O16" i="5"/>
  <c r="AC9" i="5"/>
  <c r="I11" i="5"/>
  <c r="Y16" i="5"/>
  <c r="AH8" i="5"/>
  <c r="AG8" i="5"/>
  <c r="Q11" i="5"/>
  <c r="AA6" i="5"/>
  <c r="AJ59" i="8" a="1"/>
  <c r="AJ59" i="8" s="1"/>
  <c r="P59" i="8" a="1"/>
  <c r="P59" i="8" s="1"/>
  <c r="M13" i="9" s="1"/>
  <c r="W45" i="8" a="1"/>
  <c r="W45" i="8" s="1"/>
  <c r="AS59" i="8" a="1"/>
  <c r="AS59" i="8" s="1"/>
  <c r="AA59" i="8" a="1"/>
  <c r="AA59" i="8" s="1"/>
  <c r="O59" i="8" a="1"/>
  <c r="O59" i="8" s="1"/>
  <c r="L13" i="9" s="1"/>
  <c r="X59" i="8" a="1"/>
  <c r="X59" i="8" s="1"/>
  <c r="P45" i="8" a="1"/>
  <c r="P45" i="8" s="1"/>
  <c r="N45" i="8" a="1"/>
  <c r="N45" i="8" s="1"/>
  <c r="AX59" i="8" a="1"/>
  <c r="AX59" i="8" s="1"/>
  <c r="S59" i="8" a="1"/>
  <c r="S59" i="8" s="1"/>
  <c r="P13" i="9" s="1"/>
  <c r="Q59" i="8" a="1"/>
  <c r="Q59" i="8" s="1"/>
  <c r="N13" i="9" s="1"/>
  <c r="AK45" i="8" a="1"/>
  <c r="AK45" i="8" s="1"/>
  <c r="T45" i="8" a="1"/>
  <c r="T45" i="8" s="1"/>
  <c r="AG45" i="8" a="1"/>
  <c r="AG45" i="8" s="1"/>
  <c r="AX45" i="8" a="1"/>
  <c r="AX45" i="8" s="1"/>
  <c r="AQ59" i="8" a="1"/>
  <c r="AQ59" i="8" s="1"/>
  <c r="V45" i="8" a="1"/>
  <c r="V45" i="8" s="1"/>
  <c r="Q45" i="8" a="1"/>
  <c r="Q45" i="8" s="1"/>
  <c r="J45" i="8" a="1"/>
  <c r="J45" i="8" s="1"/>
  <c r="I45" i="8" a="1"/>
  <c r="I45" i="8" s="1"/>
  <c r="AT59" i="8" a="1"/>
  <c r="AT59" i="8" s="1"/>
  <c r="T59" i="8" a="1"/>
  <c r="T59" i="8" s="1"/>
  <c r="Q13" i="9" s="1"/>
  <c r="S45" i="8" a="1"/>
  <c r="S45" i="8" s="1"/>
  <c r="O45" i="8" a="1"/>
  <c r="O45" i="8" s="1"/>
  <c r="AP45" i="8" a="1"/>
  <c r="AP45" i="8" s="1"/>
  <c r="AF45" i="8" a="1"/>
  <c r="AF45" i="8" s="1"/>
  <c r="AL59" i="8" a="1"/>
  <c r="AL59" i="8" s="1"/>
  <c r="AU59" i="8" a="1"/>
  <c r="AU59" i="8" s="1"/>
  <c r="N59" i="8" a="1"/>
  <c r="N59" i="8" s="1"/>
  <c r="K13" i="9" s="1"/>
  <c r="M45" i="8" a="1"/>
  <c r="M45" i="8" s="1"/>
  <c r="AW59" i="8" a="1"/>
  <c r="AW59" i="8" s="1"/>
  <c r="Z45" i="8" a="1"/>
  <c r="Z45" i="8" s="1"/>
  <c r="R59" i="8" a="1"/>
  <c r="R59" i="8" s="1"/>
  <c r="O13" i="9" s="1"/>
  <c r="AF59" i="8" a="1"/>
  <c r="AF59" i="8" s="1"/>
  <c r="AW45" i="8" a="1"/>
  <c r="AW45" i="8" s="1"/>
  <c r="AN59" i="8" a="1"/>
  <c r="AN59" i="8" s="1"/>
  <c r="L59" i="8" a="1"/>
  <c r="L59" i="8" s="1"/>
  <c r="I13" i="9" s="1"/>
  <c r="AC59" i="8" a="1"/>
  <c r="AC59" i="8" s="1"/>
  <c r="AT45" i="8" a="1"/>
  <c r="AT45" i="8" s="1"/>
  <c r="AQ45" i="8" a="1"/>
  <c r="AQ45" i="8" s="1"/>
  <c r="V59" i="8" a="1"/>
  <c r="V59" i="8" s="1"/>
  <c r="S13" i="9" s="1"/>
  <c r="Y59" i="8" a="1"/>
  <c r="Y59" i="8" s="1"/>
  <c r="AD59" i="8" a="1"/>
  <c r="AD59" i="8" s="1"/>
  <c r="AC45" i="8" a="1"/>
  <c r="AC45" i="8" s="1"/>
  <c r="Z59" i="8" a="1"/>
  <c r="Z59" i="8" s="1"/>
  <c r="AI59" i="8" a="1"/>
  <c r="AI59" i="8" s="1"/>
  <c r="AE45" i="8" a="1"/>
  <c r="AE45" i="8" s="1"/>
  <c r="AO59" i="8" a="1"/>
  <c r="AO59" i="8" s="1"/>
  <c r="AP59" i="8" a="1"/>
  <c r="AP59" i="8" s="1"/>
  <c r="Y45" i="8" a="1"/>
  <c r="Y45" i="8" s="1"/>
  <c r="AK59" i="8" a="1"/>
  <c r="AK59" i="8" s="1"/>
  <c r="U45" i="8" a="1"/>
  <c r="U45" i="8" s="1"/>
  <c r="K45" i="8" a="1"/>
  <c r="K45" i="8" s="1"/>
  <c r="AD45" i="8" a="1"/>
  <c r="AD45" i="8" s="1"/>
  <c r="AR59" i="8" a="1"/>
  <c r="AR59" i="8" s="1"/>
  <c r="L45" i="8" a="1"/>
  <c r="L45" i="8" s="1"/>
  <c r="AO45" i="8" a="1"/>
  <c r="AO45" i="8" s="1"/>
  <c r="AE59" i="8" a="1"/>
  <c r="AE59" i="8" s="1"/>
  <c r="AH59" i="8" a="1"/>
  <c r="AH59" i="8" s="1"/>
  <c r="I59" i="8" a="1"/>
  <c r="I59" i="8" s="1"/>
  <c r="F13" i="9" s="1"/>
  <c r="J59" i="8" a="1"/>
  <c r="J59" i="8" s="1"/>
  <c r="G13" i="9" s="1"/>
  <c r="AM45" i="8" a="1"/>
  <c r="AM45" i="8" s="1"/>
  <c r="AN45" i="8" a="1"/>
  <c r="AN45" i="8" s="1"/>
  <c r="AM59" i="8" a="1"/>
  <c r="AM59" i="8" s="1"/>
  <c r="K59" i="8" a="1"/>
  <c r="K59" i="8" s="1"/>
  <c r="H13" i="9" s="1"/>
  <c r="AH45" i="8" a="1"/>
  <c r="AH45" i="8" s="1"/>
  <c r="U59" i="8" a="1"/>
  <c r="U59" i="8" s="1"/>
  <c r="R13" i="9" s="1"/>
  <c r="AG59" i="8" a="1"/>
  <c r="AG59" i="8" s="1"/>
  <c r="AI45" i="8" a="1"/>
  <c r="AI45" i="8" s="1"/>
  <c r="AS45" i="8" a="1"/>
  <c r="AS45" i="8" s="1"/>
  <c r="DL4" i="5"/>
  <c r="DL13" i="5" s="1"/>
  <c r="EH4" i="5"/>
  <c r="EH13" i="5" s="1"/>
  <c r="DV3" i="5"/>
  <c r="DV12" i="5" s="1"/>
  <c r="DG4" i="5"/>
  <c r="DG13" i="5" s="1"/>
  <c r="DH3" i="5"/>
  <c r="DH12" i="5" s="1"/>
  <c r="DU3" i="5"/>
  <c r="DU12" i="5" s="1"/>
  <c r="DG3" i="5"/>
  <c r="DG12" i="5" s="1"/>
  <c r="DO3" i="5"/>
  <c r="DO12" i="5" s="1"/>
  <c r="DU4" i="5"/>
  <c r="DU13" i="5" s="1"/>
  <c r="DN4" i="5"/>
  <c r="DN13" i="5" s="1"/>
  <c r="DE4" i="5"/>
  <c r="DE13" i="5" s="1"/>
  <c r="EB4" i="5"/>
  <c r="EB13" i="5" s="1"/>
  <c r="DT3" i="5"/>
  <c r="DT12" i="5" s="1"/>
  <c r="DM4" i="5"/>
  <c r="DM13" i="5" s="1"/>
  <c r="EB3" i="5"/>
  <c r="EB12" i="5" s="1"/>
  <c r="ET4" i="5"/>
  <c r="ET13" i="5" s="1"/>
  <c r="ES4" i="5"/>
  <c r="ES13" i="5" s="1"/>
  <c r="EA4" i="5"/>
  <c r="EA13" i="5" s="1"/>
  <c r="DX4" i="5"/>
  <c r="DX13" i="5" s="1"/>
  <c r="ED3" i="5"/>
  <c r="ED12" i="5" s="1"/>
  <c r="DQ3" i="5"/>
  <c r="DQ12" i="5" s="1"/>
  <c r="EK4" i="5"/>
  <c r="EK13" i="5" s="1"/>
  <c r="DZ4" i="5"/>
  <c r="DZ13" i="5" s="1"/>
  <c r="DN3" i="5"/>
  <c r="DN12" i="5" s="1"/>
  <c r="EH3" i="5"/>
  <c r="EH12" i="5" s="1"/>
  <c r="EI3" i="5"/>
  <c r="EI12" i="5" s="1"/>
  <c r="EE4" i="5"/>
  <c r="EE13" i="5" s="1"/>
  <c r="ET3" i="5"/>
  <c r="ET12" i="5" s="1"/>
  <c r="EQ4" i="5"/>
  <c r="EQ13" i="5" s="1"/>
  <c r="EN4" i="5"/>
  <c r="EN13" i="5" s="1"/>
  <c r="DI4" i="5"/>
  <c r="DI13" i="5" s="1"/>
  <c r="DK3" i="5"/>
  <c r="DK12" i="5" s="1"/>
  <c r="DR3" i="5"/>
  <c r="DR12" i="5" s="1"/>
  <c r="EE3" i="5"/>
  <c r="EE12" i="5" s="1"/>
  <c r="DC3" i="5"/>
  <c r="DC12" i="5" s="1"/>
  <c r="EO4" i="5"/>
  <c r="EO13" i="5" s="1"/>
  <c r="DO4" i="5"/>
  <c r="DO13" i="5" s="1"/>
  <c r="DJ3" i="5"/>
  <c r="DJ12" i="5" s="1"/>
  <c r="EJ4" i="5"/>
  <c r="EJ13" i="5" s="1"/>
  <c r="EM4" i="5"/>
  <c r="EM13" i="5" s="1"/>
  <c r="DC4" i="5"/>
  <c r="DC13" i="5" s="1"/>
  <c r="DR4" i="5"/>
  <c r="DR13" i="5" s="1"/>
  <c r="DS4" i="5"/>
  <c r="DS13" i="5" s="1"/>
  <c r="DH4" i="5"/>
  <c r="DH13" i="5" s="1"/>
  <c r="DD3" i="5"/>
  <c r="DD12" i="5" s="1"/>
  <c r="DV4" i="5"/>
  <c r="DV13" i="5" s="1"/>
  <c r="DM3" i="5"/>
  <c r="DM12" i="5" s="1"/>
  <c r="ED4" i="5"/>
  <c r="ED13" i="5" s="1"/>
  <c r="DZ3" i="5"/>
  <c r="DZ12" i="5" s="1"/>
  <c r="EC3" i="5"/>
  <c r="EC12" i="5" s="1"/>
  <c r="DT4" i="5"/>
  <c r="DT13" i="5" s="1"/>
  <c r="DP3" i="5"/>
  <c r="DP12" i="5" s="1"/>
  <c r="DI3" i="5"/>
  <c r="DI12" i="5" s="1"/>
  <c r="DF4" i="5"/>
  <c r="DF13" i="5" s="1"/>
  <c r="DX3" i="5"/>
  <c r="DX12" i="5" s="1"/>
  <c r="DQ4" i="5"/>
  <c r="DQ13" i="5" s="1"/>
  <c r="DS3" i="5"/>
  <c r="DS12" i="5" s="1"/>
  <c r="DK4" i="5"/>
  <c r="DK13" i="5" s="1"/>
  <c r="DE3" i="5"/>
  <c r="DE12" i="5" s="1"/>
  <c r="DD4" i="5"/>
  <c r="DD13" i="5" s="1"/>
  <c r="EI4" i="5"/>
  <c r="EI13" i="5" s="1"/>
  <c r="DJ4" i="5"/>
  <c r="DJ13" i="5" s="1"/>
  <c r="EL4" i="5"/>
  <c r="EL13" i="5" s="1"/>
  <c r="EP4" i="5"/>
  <c r="EP13" i="5" s="1"/>
  <c r="EJ3" i="5"/>
  <c r="EJ12" i="5" s="1"/>
  <c r="DP4" i="5"/>
  <c r="DP13" i="5" s="1"/>
  <c r="DL3" i="5"/>
  <c r="DL12" i="5" s="1"/>
  <c r="EA3" i="5"/>
  <c r="EA12" i="5" s="1"/>
  <c r="BN63" i="3"/>
  <c r="BN66" i="3"/>
  <c r="N4" i="11" s="1" a="1"/>
  <c r="N4" i="11" s="1"/>
  <c r="BN65" i="3"/>
  <c r="N4" i="12" s="1" a="1"/>
  <c r="N4" i="12" s="1"/>
  <c r="BE65" i="3"/>
  <c r="E4" i="12" s="1" a="1"/>
  <c r="E4" i="12" s="1"/>
  <c r="CU22" i="3"/>
  <c r="CU23" i="3"/>
  <c r="CU24" i="3"/>
  <c r="AU8" i="12" s="1" a="1"/>
  <c r="AU8" i="12" s="1"/>
  <c r="CU25" i="3"/>
  <c r="AU8" i="11" s="1" a="1"/>
  <c r="AU8" i="11" s="1"/>
  <c r="BF63" i="3"/>
  <c r="BF64" i="3"/>
  <c r="AI5" i="3"/>
  <c r="CE5" i="3" s="1"/>
  <c r="CE4" i="3"/>
  <c r="BF66" i="3"/>
  <c r="F4" i="11" s="1" a="1"/>
  <c r="F4" i="11" s="1"/>
  <c r="BE63" i="3"/>
  <c r="BE64" i="3"/>
  <c r="BE66" i="3"/>
  <c r="E4" i="11" s="1" a="1"/>
  <c r="E4" i="11" s="1"/>
  <c r="BN64" i="3"/>
  <c r="BF65" i="3"/>
  <c r="F4" i="12" s="1" a="1"/>
  <c r="F4" i="12" s="1"/>
  <c r="DF79" i="3"/>
  <c r="BK79" i="3" s="1"/>
  <c r="DF78" i="3"/>
  <c r="BK78" i="3" s="1"/>
  <c r="DF81" i="3"/>
  <c r="BK81" i="3" s="1"/>
  <c r="K5" i="11" s="1" a="1"/>
  <c r="K5" i="11" s="1"/>
  <c r="DF80" i="3"/>
  <c r="BK80" i="3" s="1"/>
  <c r="K5" i="12" s="1" a="1"/>
  <c r="K5" i="12" s="1"/>
  <c r="DF7" i="3"/>
  <c r="BK7" i="3" s="1"/>
  <c r="DF10" i="3"/>
  <c r="BK10" i="3" s="1"/>
  <c r="K6" i="11" s="1" a="1"/>
  <c r="K6" i="11" s="1"/>
  <c r="DF8" i="3"/>
  <c r="BK8" i="3" s="1"/>
  <c r="DF9" i="3"/>
  <c r="BK9" i="3" s="1"/>
  <c r="K6" i="12" s="1" a="1"/>
  <c r="K6" i="12" s="1"/>
  <c r="DE90" i="3"/>
  <c r="BJ90" i="3" s="1"/>
  <c r="DE92" i="3"/>
  <c r="BJ92" i="3" s="1"/>
  <c r="J7" i="12" s="1" a="1"/>
  <c r="J7" i="12" s="1"/>
  <c r="DE91" i="3"/>
  <c r="BJ91" i="3" s="1"/>
  <c r="DE93" i="3"/>
  <c r="BJ93" i="3" s="1"/>
  <c r="J7" i="11" s="1" a="1"/>
  <c r="J7" i="11" s="1"/>
  <c r="DU8" i="3"/>
  <c r="BZ8" i="3" s="1"/>
  <c r="DU7" i="3"/>
  <c r="BZ7" i="3" s="1"/>
  <c r="DU9" i="3"/>
  <c r="BZ9" i="3" s="1"/>
  <c r="Z6" i="12" s="1" a="1"/>
  <c r="Z6" i="12" s="1"/>
  <c r="DU10" i="3"/>
  <c r="BZ10" i="3" s="1"/>
  <c r="Z6" i="11" s="1" a="1"/>
  <c r="Z6" i="11" s="1"/>
  <c r="EH93" i="3"/>
  <c r="CM93" i="3" s="1"/>
  <c r="AM7" i="11" s="1" a="1"/>
  <c r="AM7" i="11" s="1"/>
  <c r="EH92" i="3"/>
  <c r="CM92" i="3" s="1"/>
  <c r="AM7" i="12" s="1" a="1"/>
  <c r="AM7" i="12" s="1"/>
  <c r="EH90" i="3"/>
  <c r="CM90" i="3" s="1"/>
  <c r="EH91" i="3"/>
  <c r="CM91" i="3" s="1"/>
  <c r="DC63" i="3"/>
  <c r="BH63" i="3" s="1"/>
  <c r="DC66" i="3"/>
  <c r="BH66" i="3" s="1"/>
  <c r="H4" i="11" s="1" a="1"/>
  <c r="H4" i="11" s="1"/>
  <c r="DC64" i="3"/>
  <c r="BH64" i="3" s="1"/>
  <c r="DC65" i="3"/>
  <c r="DT80" i="3"/>
  <c r="BY80" i="3" s="1"/>
  <c r="Y5" i="12" s="1" a="1"/>
  <c r="Y5" i="12" s="1"/>
  <c r="DT81" i="3"/>
  <c r="BY81" i="3" s="1"/>
  <c r="Y5" i="11" s="1" a="1"/>
  <c r="Y5" i="11" s="1"/>
  <c r="DT79" i="3"/>
  <c r="BY79" i="3" s="1"/>
  <c r="DT78" i="3"/>
  <c r="BY78" i="3" s="1"/>
  <c r="DQ41" i="3"/>
  <c r="BV41" i="3" s="1"/>
  <c r="DQ40" i="3"/>
  <c r="BV40" i="3" s="1"/>
  <c r="EJ23" i="3"/>
  <c r="CO23" i="3" s="1"/>
  <c r="EJ25" i="3"/>
  <c r="CO25" i="3" s="1"/>
  <c r="AO8" i="11" s="1" a="1"/>
  <c r="AO8" i="11" s="1"/>
  <c r="EJ24" i="3"/>
  <c r="CO24" i="3" s="1"/>
  <c r="AO8" i="12" s="1" a="1"/>
  <c r="AO8" i="12" s="1"/>
  <c r="EJ22" i="3"/>
  <c r="CO22" i="3" s="1"/>
  <c r="DA54" i="3"/>
  <c r="BF54" i="3" s="1"/>
  <c r="DA53" i="3"/>
  <c r="BF53" i="3" s="1"/>
  <c r="DI10" i="3"/>
  <c r="BN10" i="3" s="1"/>
  <c r="N6" i="11" s="1" a="1"/>
  <c r="N6" i="11" s="1"/>
  <c r="DI9" i="3"/>
  <c r="BN9" i="3" s="1"/>
  <c r="N6" i="12" s="1" a="1"/>
  <c r="N6" i="12" s="1"/>
  <c r="DI7" i="3"/>
  <c r="BN7" i="3" s="1"/>
  <c r="DI8" i="3"/>
  <c r="BN8" i="3" s="1"/>
  <c r="DA72" i="3"/>
  <c r="BF72" i="3" s="1"/>
  <c r="F4" i="13" s="1" a="1"/>
  <c r="F4" i="13" s="1"/>
  <c r="DA69" i="3"/>
  <c r="BF69" i="3" s="1"/>
  <c r="F4" i="10" s="1" a="1"/>
  <c r="F4" i="10" s="1"/>
  <c r="DA70" i="3"/>
  <c r="BF70" i="3" s="1"/>
  <c r="DA71" i="3"/>
  <c r="BF71" i="3" s="1"/>
  <c r="DY53" i="3"/>
  <c r="CD53" i="3" s="1"/>
  <c r="DY54" i="3"/>
  <c r="CD54" i="3" s="1"/>
  <c r="DA8" i="3"/>
  <c r="BF8" i="3" s="1"/>
  <c r="DA7" i="3"/>
  <c r="BF7" i="3" s="1"/>
  <c r="DA10" i="3"/>
  <c r="BF10" i="3" s="1"/>
  <c r="F6" i="11" s="1" a="1"/>
  <c r="F6" i="11" s="1"/>
  <c r="DA9" i="3"/>
  <c r="BF9" i="3" s="1"/>
  <c r="F6" i="12" s="1" a="1"/>
  <c r="F6" i="12" s="1"/>
  <c r="DU91" i="3"/>
  <c r="BZ91" i="3" s="1"/>
  <c r="DU93" i="3"/>
  <c r="BZ93" i="3" s="1"/>
  <c r="Z7" i="11" s="1" a="1"/>
  <c r="Z7" i="11" s="1"/>
  <c r="DU90" i="3"/>
  <c r="BZ90" i="3" s="1"/>
  <c r="DU92" i="3"/>
  <c r="BZ92" i="3" s="1"/>
  <c r="Z7" i="12" s="1" a="1"/>
  <c r="Z7" i="12" s="1"/>
  <c r="EG65" i="3"/>
  <c r="CL65" i="3" s="1"/>
  <c r="AL4" i="12" s="1" a="1"/>
  <c r="AL4" i="12" s="1"/>
  <c r="EG63" i="3"/>
  <c r="CL63" i="3" s="1"/>
  <c r="EG66" i="3"/>
  <c r="CL66" i="3" s="1"/>
  <c r="AL4" i="11" s="1" a="1"/>
  <c r="AL4" i="11" s="1"/>
  <c r="EG64" i="3"/>
  <c r="CL64" i="3" s="1"/>
  <c r="DH54" i="3"/>
  <c r="BM54" i="3" s="1"/>
  <c r="DH53" i="3"/>
  <c r="BM53" i="3" s="1"/>
  <c r="DK93" i="3"/>
  <c r="BP93" i="3" s="1"/>
  <c r="P7" i="11" s="1" a="1"/>
  <c r="P7" i="11" s="1"/>
  <c r="DK91" i="3"/>
  <c r="BP91" i="3" s="1"/>
  <c r="DK92" i="3"/>
  <c r="BP92" i="3" s="1"/>
  <c r="P7" i="12" s="1" a="1"/>
  <c r="P7" i="12" s="1"/>
  <c r="DK90" i="3"/>
  <c r="BP90" i="3" s="1"/>
  <c r="DT40" i="3"/>
  <c r="BY40" i="3" s="1"/>
  <c r="DT41" i="3"/>
  <c r="BY41" i="3" s="1"/>
  <c r="DI90" i="3"/>
  <c r="BN90" i="3" s="1"/>
  <c r="DI93" i="3"/>
  <c r="BN93" i="3" s="1"/>
  <c r="N7" i="11" s="1" a="1"/>
  <c r="N7" i="11" s="1"/>
  <c r="DI91" i="3"/>
  <c r="BN91" i="3" s="1"/>
  <c r="DI92" i="3"/>
  <c r="BN92" i="3" s="1"/>
  <c r="N7" i="12" s="1" a="1"/>
  <c r="N7" i="12" s="1"/>
  <c r="EM54" i="3"/>
  <c r="CR54" i="3" s="1"/>
  <c r="EM53" i="3"/>
  <c r="CR53" i="3" s="1"/>
  <c r="DS92" i="3"/>
  <c r="BX92" i="3" s="1"/>
  <c r="X7" i="12" s="1" a="1"/>
  <c r="X7" i="12" s="1"/>
  <c r="DS91" i="3"/>
  <c r="BX91" i="3" s="1"/>
  <c r="DS93" i="3"/>
  <c r="BX93" i="3" s="1"/>
  <c r="X7" i="11" s="1" a="1"/>
  <c r="X7" i="11" s="1"/>
  <c r="DS90" i="3"/>
  <c r="BX90" i="3" s="1"/>
  <c r="DR40" i="3"/>
  <c r="BW40" i="3" s="1"/>
  <c r="DR41" i="3"/>
  <c r="BW41" i="3" s="1"/>
  <c r="DR24" i="3"/>
  <c r="BW24" i="3" s="1"/>
  <c r="W8" i="12" s="1" a="1"/>
  <c r="W8" i="12" s="1"/>
  <c r="DR23" i="3"/>
  <c r="BW23" i="3" s="1"/>
  <c r="DR22" i="3"/>
  <c r="BW22" i="3" s="1"/>
  <c r="DR25" i="3"/>
  <c r="BW25" i="3" s="1"/>
  <c r="W8" i="11" s="1" a="1"/>
  <c r="W8" i="11" s="1"/>
  <c r="DX40" i="3"/>
  <c r="CC40" i="3" s="1"/>
  <c r="DX41" i="3"/>
  <c r="CC41" i="3" s="1"/>
  <c r="DC7" i="3"/>
  <c r="BH7" i="3" s="1"/>
  <c r="DC8" i="3"/>
  <c r="BH8" i="3" s="1"/>
  <c r="DC10" i="3"/>
  <c r="BH10" i="3" s="1"/>
  <c r="H6" i="11" s="1" a="1"/>
  <c r="H6" i="11" s="1"/>
  <c r="DC9" i="3"/>
  <c r="BH9" i="3" s="1"/>
  <c r="H6" i="12" s="1" a="1"/>
  <c r="H6" i="12" s="1"/>
  <c r="EB22" i="3"/>
  <c r="CG22" i="3" s="1"/>
  <c r="EB23" i="3"/>
  <c r="CG23" i="3" s="1"/>
  <c r="EB24" i="3"/>
  <c r="CG24" i="3" s="1"/>
  <c r="AG8" i="12" s="1" a="1"/>
  <c r="AG8" i="12" s="1"/>
  <c r="EB25" i="3"/>
  <c r="CG25" i="3" s="1"/>
  <c r="AG8" i="11" s="1" a="1"/>
  <c r="AG8" i="11" s="1"/>
  <c r="DZ25" i="3"/>
  <c r="CE25" i="3" s="1"/>
  <c r="AE8" i="11" s="1" a="1"/>
  <c r="AE8" i="11" s="1"/>
  <c r="DZ23" i="3"/>
  <c r="CE23" i="3" s="1"/>
  <c r="DZ22" i="3"/>
  <c r="CE22" i="3" s="1"/>
  <c r="DZ24" i="3"/>
  <c r="CE24" i="3" s="1"/>
  <c r="AE8" i="12" s="1" a="1"/>
  <c r="AE8" i="12" s="1"/>
  <c r="DY25" i="3"/>
  <c r="CD25" i="3" s="1"/>
  <c r="AD8" i="11" s="1" a="1"/>
  <c r="AD8" i="11" s="1"/>
  <c r="DY22" i="3"/>
  <c r="CD22" i="3" s="1"/>
  <c r="DY23" i="3"/>
  <c r="CD23" i="3" s="1"/>
  <c r="DY24" i="3"/>
  <c r="CD24" i="3" s="1"/>
  <c r="AD8" i="12" s="1" a="1"/>
  <c r="AD8" i="12" s="1"/>
  <c r="DX25" i="3"/>
  <c r="CC25" i="3" s="1"/>
  <c r="AC8" i="11" s="1" a="1"/>
  <c r="AC8" i="11" s="1"/>
  <c r="DX23" i="3"/>
  <c r="CC23" i="3" s="1"/>
  <c r="DX24" i="3"/>
  <c r="CC24" i="3" s="1"/>
  <c r="AC8" i="12" s="1" a="1"/>
  <c r="AC8" i="12" s="1"/>
  <c r="DX22" i="3"/>
  <c r="CC22" i="3" s="1"/>
  <c r="EE10" i="3"/>
  <c r="CJ10" i="3" s="1"/>
  <c r="AJ6" i="11" s="1" a="1"/>
  <c r="AJ6" i="11" s="1"/>
  <c r="EE9" i="3"/>
  <c r="CJ9" i="3" s="1"/>
  <c r="AJ6" i="12" s="1" a="1"/>
  <c r="AJ6" i="12" s="1"/>
  <c r="EE8" i="3"/>
  <c r="CJ8" i="3" s="1"/>
  <c r="EE7" i="3"/>
  <c r="CJ7" i="3" s="1"/>
  <c r="ED24" i="3"/>
  <c r="CI24" i="3" s="1"/>
  <c r="AI8" i="12" s="1" a="1"/>
  <c r="AI8" i="12" s="1"/>
  <c r="ED23" i="3"/>
  <c r="CI23" i="3" s="1"/>
  <c r="ED22" i="3"/>
  <c r="CI22" i="3" s="1"/>
  <c r="ED25" i="3"/>
  <c r="CI25" i="3" s="1"/>
  <c r="AI8" i="11" s="1" a="1"/>
  <c r="AI8" i="11" s="1"/>
  <c r="EP30" i="3"/>
  <c r="CU30" i="3" s="1"/>
  <c r="EP31" i="3"/>
  <c r="EP28" i="3"/>
  <c r="CU28" i="3" s="1"/>
  <c r="AU8" i="10" s="1" a="1"/>
  <c r="AU8" i="10" s="1"/>
  <c r="EP29" i="3"/>
  <c r="CU29" i="3" s="1"/>
  <c r="DZ81" i="3"/>
  <c r="CE81" i="3" s="1"/>
  <c r="AE5" i="11" s="1" a="1"/>
  <c r="AE5" i="11" s="1"/>
  <c r="DZ80" i="3"/>
  <c r="CE80" i="3" s="1"/>
  <c r="AE5" i="12" s="1" a="1"/>
  <c r="AE5" i="12" s="1"/>
  <c r="DZ79" i="3"/>
  <c r="CE79" i="3" s="1"/>
  <c r="DZ78" i="3"/>
  <c r="CE78" i="3" s="1"/>
  <c r="DB22" i="3"/>
  <c r="BG22" i="3" s="1"/>
  <c r="DB25" i="3"/>
  <c r="BG25" i="3" s="1"/>
  <c r="G8" i="11" s="1" a="1"/>
  <c r="G8" i="11" s="1"/>
  <c r="DB24" i="3"/>
  <c r="BG24" i="3" s="1"/>
  <c r="G8" i="12" s="1" a="1"/>
  <c r="G8" i="12" s="1"/>
  <c r="DB23" i="3"/>
  <c r="BG23" i="3" s="1"/>
  <c r="ED81" i="3"/>
  <c r="CI81" i="3" s="1"/>
  <c r="AI5" i="11" s="1" a="1"/>
  <c r="AI5" i="11" s="1"/>
  <c r="ED79" i="3"/>
  <c r="CI79" i="3" s="1"/>
  <c r="ED78" i="3"/>
  <c r="CI78" i="3" s="1"/>
  <c r="ED80" i="3"/>
  <c r="CI80" i="3" s="1"/>
  <c r="AI5" i="12" s="1" a="1"/>
  <c r="AI5" i="12" s="1"/>
  <c r="DR8" i="3"/>
  <c r="BW8" i="3" s="1"/>
  <c r="DR9" i="3"/>
  <c r="BW9" i="3" s="1"/>
  <c r="W6" i="12" s="1" a="1"/>
  <c r="W6" i="12" s="1"/>
  <c r="DR10" i="3"/>
  <c r="BW10" i="3" s="1"/>
  <c r="W6" i="11" s="1" a="1"/>
  <c r="W6" i="11" s="1"/>
  <c r="DR7" i="3"/>
  <c r="BW7" i="3" s="1"/>
  <c r="DR64" i="3"/>
  <c r="BW64" i="3" s="1"/>
  <c r="DR65" i="3"/>
  <c r="BW65" i="3" s="1"/>
  <c r="W4" i="12" s="1" a="1"/>
  <c r="W4" i="12" s="1"/>
  <c r="DR63" i="3"/>
  <c r="BW63" i="3" s="1"/>
  <c r="DR66" i="3"/>
  <c r="BW66" i="3" s="1"/>
  <c r="W4" i="11" s="1" a="1"/>
  <c r="W4" i="11" s="1"/>
  <c r="EJ92" i="3"/>
  <c r="CO92" i="3" s="1"/>
  <c r="AO7" i="12" s="1" a="1"/>
  <c r="AO7" i="12" s="1"/>
  <c r="EJ90" i="3"/>
  <c r="CO90" i="3" s="1"/>
  <c r="EJ93" i="3"/>
  <c r="CO93" i="3" s="1"/>
  <c r="AO7" i="11" s="1" a="1"/>
  <c r="AO7" i="11" s="1"/>
  <c r="EJ91" i="3"/>
  <c r="CO91" i="3" s="1"/>
  <c r="DF65" i="3"/>
  <c r="BK65" i="3" s="1"/>
  <c r="K4" i="12" s="1" a="1"/>
  <c r="K4" i="12" s="1"/>
  <c r="DF64" i="3"/>
  <c r="BK64" i="3" s="1"/>
  <c r="DF63" i="3"/>
  <c r="BK63" i="3" s="1"/>
  <c r="DF66" i="3"/>
  <c r="BK66" i="3" s="1"/>
  <c r="K4" i="11" s="1" a="1"/>
  <c r="K4" i="11" s="1"/>
  <c r="DX63" i="3"/>
  <c r="CC63" i="3" s="1"/>
  <c r="DX66" i="3"/>
  <c r="CC66" i="3" s="1"/>
  <c r="AC4" i="11" s="1" a="1"/>
  <c r="AC4" i="11" s="1"/>
  <c r="DX64" i="3"/>
  <c r="CC64" i="3" s="1"/>
  <c r="DX65" i="3"/>
  <c r="CC65" i="3" s="1"/>
  <c r="AC4" i="12" s="1" a="1"/>
  <c r="AC4" i="12" s="1"/>
  <c r="ER79" i="3"/>
  <c r="CW79" i="3" s="1"/>
  <c r="ER78" i="3"/>
  <c r="CW78" i="3" s="1"/>
  <c r="ER81" i="3"/>
  <c r="CW81" i="3" s="1"/>
  <c r="AW5" i="11" s="1" a="1"/>
  <c r="AW5" i="11" s="1"/>
  <c r="ER80" i="3"/>
  <c r="CW80" i="3" s="1"/>
  <c r="AW5" i="12" s="1" a="1"/>
  <c r="AW5" i="12" s="1"/>
  <c r="EO22" i="3"/>
  <c r="CT22" i="3" s="1"/>
  <c r="EO25" i="3"/>
  <c r="CT25" i="3" s="1"/>
  <c r="AT8" i="11" s="1" a="1"/>
  <c r="AT8" i="11" s="1"/>
  <c r="EO24" i="3"/>
  <c r="CT24" i="3" s="1"/>
  <c r="AT8" i="12" s="1" a="1"/>
  <c r="AT8" i="12" s="1"/>
  <c r="EO23" i="3"/>
  <c r="CT23" i="3" s="1"/>
  <c r="EA90" i="3"/>
  <c r="CF90" i="3" s="1"/>
  <c r="EA93" i="3"/>
  <c r="CF93" i="3" s="1"/>
  <c r="AF7" i="11" s="1" a="1"/>
  <c r="AF7" i="11" s="1"/>
  <c r="EA92" i="3"/>
  <c r="CF92" i="3" s="1"/>
  <c r="AF7" i="12" s="1" a="1"/>
  <c r="AF7" i="12" s="1"/>
  <c r="EA91" i="3"/>
  <c r="CF91" i="3" s="1"/>
  <c r="DG53" i="3"/>
  <c r="BL53" i="3" s="1"/>
  <c r="DG54" i="3"/>
  <c r="BL54" i="3" s="1"/>
  <c r="DM93" i="3"/>
  <c r="BR93" i="3" s="1"/>
  <c r="R7" i="11" s="1" a="1"/>
  <c r="R7" i="11" s="1"/>
  <c r="DM92" i="3"/>
  <c r="BR92" i="3" s="1"/>
  <c r="R7" i="12" s="1" a="1"/>
  <c r="R7" i="12" s="1"/>
  <c r="DM91" i="3"/>
  <c r="BR91" i="3" s="1"/>
  <c r="DM90" i="3"/>
  <c r="BR90" i="3" s="1"/>
  <c r="DL54" i="3"/>
  <c r="BQ54" i="3" s="1"/>
  <c r="DL53" i="3"/>
  <c r="BQ53" i="3" s="1"/>
  <c r="DB91" i="3"/>
  <c r="BG91" i="3" s="1"/>
  <c r="DB90" i="3"/>
  <c r="BG90" i="3" s="1"/>
  <c r="DB92" i="3"/>
  <c r="BG92" i="3" s="1"/>
  <c r="G7" i="12" s="1" a="1"/>
  <c r="G7" i="12" s="1"/>
  <c r="DB93" i="3"/>
  <c r="BG93" i="3" s="1"/>
  <c r="G7" i="11" s="1" a="1"/>
  <c r="G7" i="11" s="1"/>
  <c r="DW40" i="3"/>
  <c r="CB40" i="3" s="1"/>
  <c r="DW41" i="3"/>
  <c r="CB41" i="3" s="1"/>
  <c r="DH66" i="3"/>
  <c r="BM66" i="3" s="1"/>
  <c r="M4" i="11" s="1" a="1"/>
  <c r="M4" i="11" s="1"/>
  <c r="DH65" i="3"/>
  <c r="BM65" i="3" s="1"/>
  <c r="M4" i="12" s="1" a="1"/>
  <c r="M4" i="12" s="1"/>
  <c r="DH63" i="3"/>
  <c r="BM63" i="3" s="1"/>
  <c r="DH64" i="3"/>
  <c r="BM64" i="3" s="1"/>
  <c r="EB66" i="3"/>
  <c r="CG66" i="3" s="1"/>
  <c r="AG4" i="11" s="1" a="1"/>
  <c r="AG4" i="11" s="1"/>
  <c r="EB64" i="3"/>
  <c r="CG64" i="3" s="1"/>
  <c r="EB65" i="3"/>
  <c r="CG65" i="3" s="1"/>
  <c r="AG4" i="12" s="1" a="1"/>
  <c r="AG4" i="12" s="1"/>
  <c r="EB63" i="3"/>
  <c r="CG63" i="3" s="1"/>
  <c r="DW63" i="3"/>
  <c r="CB63" i="3" s="1"/>
  <c r="DW64" i="3"/>
  <c r="CB64" i="3" s="1"/>
  <c r="DW66" i="3"/>
  <c r="CB66" i="3" s="1"/>
  <c r="AB4" i="11" s="1" a="1"/>
  <c r="AB4" i="11" s="1"/>
  <c r="DW65" i="3"/>
  <c r="CB65" i="3" s="1"/>
  <c r="AB4" i="12" s="1" a="1"/>
  <c r="AB4" i="12" s="1"/>
  <c r="EM92" i="3"/>
  <c r="CR92" i="3" s="1"/>
  <c r="AR7" i="12" s="1" a="1"/>
  <c r="AR7" i="12" s="1"/>
  <c r="EM91" i="3"/>
  <c r="CR91" i="3" s="1"/>
  <c r="EM93" i="3"/>
  <c r="CR93" i="3" s="1"/>
  <c r="AR7" i="11" s="1" a="1"/>
  <c r="AR7" i="11" s="1"/>
  <c r="EM90" i="3"/>
  <c r="CR90" i="3" s="1"/>
  <c r="DS80" i="3"/>
  <c r="BX80" i="3" s="1"/>
  <c r="X5" i="12" s="1" a="1"/>
  <c r="X5" i="12" s="1"/>
  <c r="DS79" i="3"/>
  <c r="BX79" i="3" s="1"/>
  <c r="DS81" i="3"/>
  <c r="BX81" i="3" s="1"/>
  <c r="X5" i="11" s="1" a="1"/>
  <c r="X5" i="11" s="1"/>
  <c r="DS78" i="3"/>
  <c r="BX78" i="3" s="1"/>
  <c r="DR92" i="3"/>
  <c r="BW92" i="3" s="1"/>
  <c r="W7" i="12" s="1" a="1"/>
  <c r="W7" i="12" s="1"/>
  <c r="DR91" i="3"/>
  <c r="BW91" i="3" s="1"/>
  <c r="DR93" i="3"/>
  <c r="BW93" i="3" s="1"/>
  <c r="W7" i="11" s="1" a="1"/>
  <c r="W7" i="11" s="1"/>
  <c r="DR90" i="3"/>
  <c r="BW90" i="3" s="1"/>
  <c r="EJ41" i="3"/>
  <c r="CO41" i="3" s="1"/>
  <c r="EJ40" i="3"/>
  <c r="CO40" i="3" s="1"/>
  <c r="EI23" i="3"/>
  <c r="CN23" i="3" s="1"/>
  <c r="EI24" i="3"/>
  <c r="CN24" i="3" s="1"/>
  <c r="AN8" i="12" s="1" a="1"/>
  <c r="AN8" i="12" s="1"/>
  <c r="EI25" i="3"/>
  <c r="CN25" i="3" s="1"/>
  <c r="AN8" i="11" s="1" a="1"/>
  <c r="AN8" i="11" s="1"/>
  <c r="EI22" i="3"/>
  <c r="CN22" i="3" s="1"/>
  <c r="EH23" i="3"/>
  <c r="CM23" i="3" s="1"/>
  <c r="EH24" i="3"/>
  <c r="CM24" i="3" s="1"/>
  <c r="AM8" i="12" s="1" a="1"/>
  <c r="AM8" i="12" s="1"/>
  <c r="EH25" i="3"/>
  <c r="CM25" i="3" s="1"/>
  <c r="AM8" i="11" s="1" a="1"/>
  <c r="AM8" i="11" s="1"/>
  <c r="EH22" i="3"/>
  <c r="CM22" i="3" s="1"/>
  <c r="EE54" i="3"/>
  <c r="CJ54" i="3" s="1"/>
  <c r="EE53" i="3"/>
  <c r="CJ53" i="3" s="1"/>
  <c r="DM24" i="3"/>
  <c r="BR24" i="3" s="1"/>
  <c r="R8" i="12" s="1" a="1"/>
  <c r="R8" i="12" s="1"/>
  <c r="DM25" i="3"/>
  <c r="BR25" i="3" s="1"/>
  <c r="R8" i="11" s="1" a="1"/>
  <c r="R8" i="11" s="1"/>
  <c r="DM23" i="3"/>
  <c r="BR23" i="3" s="1"/>
  <c r="DM22" i="3"/>
  <c r="BR22" i="3" s="1"/>
  <c r="CZ69" i="3"/>
  <c r="BE69" i="3" s="1"/>
  <c r="E4" i="10" s="1" a="1"/>
  <c r="E4" i="10" s="1"/>
  <c r="CZ70" i="3"/>
  <c r="BE70" i="3" s="1"/>
  <c r="CZ71" i="3"/>
  <c r="BE71" i="3" s="1"/>
  <c r="CZ72" i="3"/>
  <c r="BE72" i="3" s="1"/>
  <c r="E4" i="13" s="1" a="1"/>
  <c r="E4" i="13" s="1"/>
  <c r="DT8" i="3"/>
  <c r="BY8" i="3" s="1"/>
  <c r="DT7" i="3"/>
  <c r="BY7" i="3" s="1"/>
  <c r="DT9" i="3"/>
  <c r="BY9" i="3" s="1"/>
  <c r="Y6" i="12" s="1" a="1"/>
  <c r="Y6" i="12" s="1"/>
  <c r="DT10" i="3"/>
  <c r="BY10" i="3" s="1"/>
  <c r="Y6" i="11" s="1" a="1"/>
  <c r="Y6" i="11" s="1"/>
  <c r="DT53" i="3"/>
  <c r="BY53" i="3" s="1"/>
  <c r="DT54" i="3"/>
  <c r="BY54" i="3" s="1"/>
  <c r="DC54" i="3"/>
  <c r="BH54" i="3" s="1"/>
  <c r="DC53" i="3"/>
  <c r="BH53" i="3" s="1"/>
  <c r="EC24" i="3"/>
  <c r="CH24" i="3" s="1"/>
  <c r="AH8" i="12" s="1" a="1"/>
  <c r="AH8" i="12" s="1"/>
  <c r="EC22" i="3"/>
  <c r="CH22" i="3" s="1"/>
  <c r="EC23" i="3"/>
  <c r="CH23" i="3" s="1"/>
  <c r="EC25" i="3"/>
  <c r="CH25" i="3" s="1"/>
  <c r="AH8" i="11" s="1" a="1"/>
  <c r="AH8" i="11" s="1"/>
  <c r="ED10" i="3"/>
  <c r="CI10" i="3" s="1"/>
  <c r="AI6" i="11" s="1" a="1"/>
  <c r="AI6" i="11" s="1"/>
  <c r="ED9" i="3"/>
  <c r="CI9" i="3" s="1"/>
  <c r="AI6" i="12" s="1" a="1"/>
  <c r="AI6" i="12" s="1"/>
  <c r="ED8" i="3"/>
  <c r="CI8" i="3" s="1"/>
  <c r="ED7" i="3"/>
  <c r="CI7" i="3" s="1"/>
  <c r="EB10" i="3"/>
  <c r="CG10" i="3" s="1"/>
  <c r="AG6" i="11" s="1" a="1"/>
  <c r="AG6" i="11" s="1"/>
  <c r="EB8" i="3"/>
  <c r="CG8" i="3" s="1"/>
  <c r="EB9" i="3"/>
  <c r="CG9" i="3" s="1"/>
  <c r="AG6" i="12" s="1" a="1"/>
  <c r="AG6" i="12" s="1"/>
  <c r="EB7" i="3"/>
  <c r="CG7" i="3" s="1"/>
  <c r="EE93" i="3"/>
  <c r="CJ93" i="3" s="1"/>
  <c r="AJ7" i="11" s="1" a="1"/>
  <c r="AJ7" i="11" s="1"/>
  <c r="EE92" i="3"/>
  <c r="CJ92" i="3" s="1"/>
  <c r="AJ7" i="12" s="1" a="1"/>
  <c r="AJ7" i="12" s="1"/>
  <c r="EE90" i="3"/>
  <c r="CJ90" i="3" s="1"/>
  <c r="EE91" i="3"/>
  <c r="CJ91" i="3" s="1"/>
  <c r="DK41" i="3"/>
  <c r="BP41" i="3" s="1"/>
  <c r="DK40" i="3"/>
  <c r="BP40" i="3" s="1"/>
  <c r="EC66" i="3"/>
  <c r="CH66" i="3" s="1"/>
  <c r="AH4" i="11" s="1" a="1"/>
  <c r="AH4" i="11" s="1"/>
  <c r="EC64" i="3"/>
  <c r="CH64" i="3" s="1"/>
  <c r="EC65" i="3"/>
  <c r="CH65" i="3" s="1"/>
  <c r="AH4" i="12" s="1" a="1"/>
  <c r="AH4" i="12" s="1"/>
  <c r="EC63" i="3"/>
  <c r="CH63" i="3" s="1"/>
  <c r="EM22" i="3"/>
  <c r="CR22" i="3" s="1"/>
  <c r="EM25" i="3"/>
  <c r="CR25" i="3" s="1"/>
  <c r="AR8" i="11" s="1" a="1"/>
  <c r="AR8" i="11" s="1"/>
  <c r="EM24" i="3"/>
  <c r="CR24" i="3" s="1"/>
  <c r="AR8" i="12" s="1" a="1"/>
  <c r="AR8" i="12" s="1"/>
  <c r="EM23" i="3"/>
  <c r="CR23" i="3" s="1"/>
  <c r="EL53" i="3"/>
  <c r="CQ53" i="3" s="1"/>
  <c r="EL54" i="3"/>
  <c r="CQ54" i="3" s="1"/>
  <c r="EK92" i="3"/>
  <c r="CP92" i="3" s="1"/>
  <c r="AP7" i="12" s="1" a="1"/>
  <c r="AP7" i="12" s="1"/>
  <c r="EK91" i="3"/>
  <c r="CP91" i="3" s="1"/>
  <c r="EK90" i="3"/>
  <c r="CP90" i="3" s="1"/>
  <c r="EK93" i="3"/>
  <c r="CP93" i="3" s="1"/>
  <c r="AP7" i="11" s="1" a="1"/>
  <c r="AP7" i="11" s="1"/>
  <c r="DQ53" i="3"/>
  <c r="BV53" i="3" s="1"/>
  <c r="DQ54" i="3"/>
  <c r="BV54" i="3" s="1"/>
  <c r="EO53" i="3"/>
  <c r="CT53" i="3" s="1"/>
  <c r="EO54" i="3"/>
  <c r="CT54" i="3" s="1"/>
  <c r="DX54" i="3"/>
  <c r="CC54" i="3" s="1"/>
  <c r="DX53" i="3"/>
  <c r="CC53" i="3" s="1"/>
  <c r="DI24" i="3"/>
  <c r="BN24" i="3" s="1"/>
  <c r="N8" i="12" s="1" a="1"/>
  <c r="N8" i="12" s="1"/>
  <c r="DI22" i="3"/>
  <c r="BN22" i="3" s="1"/>
  <c r="DI23" i="3"/>
  <c r="BN23" i="3" s="1"/>
  <c r="DI25" i="3"/>
  <c r="BN25" i="3" s="1"/>
  <c r="N8" i="11" s="1" a="1"/>
  <c r="N8" i="11" s="1"/>
  <c r="DN93" i="3"/>
  <c r="BS93" i="3" s="1"/>
  <c r="S7" i="11" s="1" a="1"/>
  <c r="S7" i="11" s="1"/>
  <c r="DN92" i="3"/>
  <c r="BS92" i="3" s="1"/>
  <c r="S7" i="12" s="1" a="1"/>
  <c r="S7" i="12" s="1"/>
  <c r="DN91" i="3"/>
  <c r="BS91" i="3" s="1"/>
  <c r="DN90" i="3"/>
  <c r="BS90" i="3" s="1"/>
  <c r="DW23" i="3"/>
  <c r="CB23" i="3" s="1"/>
  <c r="DW22" i="3"/>
  <c r="CB22" i="3" s="1"/>
  <c r="DW25" i="3"/>
  <c r="CB25" i="3" s="1"/>
  <c r="AB8" i="11" s="1" a="1"/>
  <c r="AB8" i="11" s="1"/>
  <c r="DW24" i="3"/>
  <c r="CB24" i="3" s="1"/>
  <c r="AB8" i="12" s="1" a="1"/>
  <c r="AB8" i="12" s="1"/>
  <c r="EQ25" i="3"/>
  <c r="CV25" i="3" s="1"/>
  <c r="AV8" i="11" s="1" a="1"/>
  <c r="AV8" i="11" s="1"/>
  <c r="EQ24" i="3"/>
  <c r="CV24" i="3" s="1"/>
  <c r="AV8" i="12" s="1" a="1"/>
  <c r="AV8" i="12" s="1"/>
  <c r="EQ23" i="3"/>
  <c r="CV23" i="3" s="1"/>
  <c r="EQ22" i="3"/>
  <c r="CV22" i="3" s="1"/>
  <c r="EL24" i="3"/>
  <c r="CQ24" i="3" s="1"/>
  <c r="AQ8" i="12" s="1" a="1"/>
  <c r="AQ8" i="12" s="1"/>
  <c r="EL25" i="3"/>
  <c r="CQ25" i="3" s="1"/>
  <c r="AQ8" i="11" s="1" a="1"/>
  <c r="AQ8" i="11" s="1"/>
  <c r="EL23" i="3"/>
  <c r="CQ23" i="3" s="1"/>
  <c r="EL22" i="3"/>
  <c r="CQ22" i="3" s="1"/>
  <c r="EL92" i="3"/>
  <c r="CQ92" i="3" s="1"/>
  <c r="AQ7" i="12" s="1" a="1"/>
  <c r="AQ7" i="12" s="1"/>
  <c r="EL91" i="3"/>
  <c r="CQ91" i="3" s="1"/>
  <c r="EL93" i="3"/>
  <c r="CQ93" i="3" s="1"/>
  <c r="AQ7" i="11" s="1" a="1"/>
  <c r="AQ7" i="11" s="1"/>
  <c r="EL90" i="3"/>
  <c r="CQ90" i="3" s="1"/>
  <c r="DH10" i="3"/>
  <c r="BM10" i="3" s="1"/>
  <c r="M6" i="11" s="1" a="1"/>
  <c r="M6" i="11" s="1"/>
  <c r="DH7" i="3"/>
  <c r="BM7" i="3" s="1"/>
  <c r="DH9" i="3"/>
  <c r="BM9" i="3" s="1"/>
  <c r="M6" i="12" s="1" a="1"/>
  <c r="M6" i="12" s="1"/>
  <c r="DH8" i="3"/>
  <c r="BM8" i="3" s="1"/>
  <c r="DJ90" i="3"/>
  <c r="BO90" i="3" s="1"/>
  <c r="DJ91" i="3"/>
  <c r="BO91" i="3" s="1"/>
  <c r="DJ93" i="3"/>
  <c r="BO93" i="3" s="1"/>
  <c r="O7" i="11" s="1" a="1"/>
  <c r="O7" i="11" s="1"/>
  <c r="DJ92" i="3"/>
  <c r="BO92" i="3" s="1"/>
  <c r="O7" i="12" s="1" a="1"/>
  <c r="O7" i="12" s="1"/>
  <c r="DD63" i="3"/>
  <c r="BI63" i="3" s="1"/>
  <c r="DD66" i="3"/>
  <c r="BI66" i="3" s="1"/>
  <c r="I4" i="11" s="1" a="1"/>
  <c r="I4" i="11" s="1"/>
  <c r="DD64" i="3"/>
  <c r="BI64" i="3" s="1"/>
  <c r="DD65" i="3"/>
  <c r="BI65" i="3" s="1"/>
  <c r="I4" i="12" s="1" a="1"/>
  <c r="I4" i="12" s="1"/>
  <c r="DN23" i="3"/>
  <c r="BS23" i="3" s="1"/>
  <c r="DN24" i="3"/>
  <c r="BS24" i="3" s="1"/>
  <c r="S8" i="12" s="1" a="1"/>
  <c r="S8" i="12" s="1"/>
  <c r="DN25" i="3"/>
  <c r="BS25" i="3" s="1"/>
  <c r="S8" i="11" s="1" a="1"/>
  <c r="S8" i="11" s="1"/>
  <c r="DN22" i="3"/>
  <c r="BS22" i="3" s="1"/>
  <c r="EI9" i="3"/>
  <c r="CN9" i="3" s="1"/>
  <c r="AN6" i="12" s="1" a="1"/>
  <c r="AN6" i="12" s="1"/>
  <c r="EI8" i="3"/>
  <c r="CN8" i="3" s="1"/>
  <c r="EI7" i="3"/>
  <c r="CN7" i="3" s="1"/>
  <c r="EI10" i="3"/>
  <c r="CN10" i="3" s="1"/>
  <c r="AN6" i="11" s="1" a="1"/>
  <c r="AN6" i="11" s="1"/>
  <c r="DN41" i="3"/>
  <c r="BS41" i="3" s="1"/>
  <c r="DN40" i="3"/>
  <c r="BS40" i="3" s="1"/>
  <c r="EG41" i="3"/>
  <c r="CL41" i="3" s="1"/>
  <c r="EG40" i="3"/>
  <c r="CL40" i="3" s="1"/>
  <c r="DM53" i="3"/>
  <c r="BR53" i="3" s="1"/>
  <c r="DM54" i="3"/>
  <c r="BR54" i="3" s="1"/>
  <c r="DV41" i="3"/>
  <c r="CA41" i="3" s="1"/>
  <c r="DV40" i="3"/>
  <c r="CA40" i="3" s="1"/>
  <c r="DJ24" i="3"/>
  <c r="BO24" i="3" s="1"/>
  <c r="O8" i="12" s="1" a="1"/>
  <c r="O8" i="12" s="1"/>
  <c r="DJ22" i="3"/>
  <c r="BO22" i="3" s="1"/>
  <c r="DJ23" i="3"/>
  <c r="BO23" i="3" s="1"/>
  <c r="DJ25" i="3"/>
  <c r="BO25" i="3" s="1"/>
  <c r="O8" i="11" s="1" a="1"/>
  <c r="O8" i="11" s="1"/>
  <c r="EQ91" i="3"/>
  <c r="CV91" i="3" s="1"/>
  <c r="EQ90" i="3"/>
  <c r="CV90" i="3" s="1"/>
  <c r="EQ92" i="3"/>
  <c r="CV92" i="3" s="1"/>
  <c r="AV7" i="12" s="1" a="1"/>
  <c r="AV7" i="12" s="1"/>
  <c r="EQ93" i="3"/>
  <c r="CV93" i="3" s="1"/>
  <c r="AV7" i="11" s="1" a="1"/>
  <c r="AV7" i="11" s="1"/>
  <c r="DN9" i="3"/>
  <c r="BS9" i="3" s="1"/>
  <c r="S6" i="12" s="1" a="1"/>
  <c r="S6" i="12" s="1"/>
  <c r="DN7" i="3"/>
  <c r="BS7" i="3" s="1"/>
  <c r="DN10" i="3"/>
  <c r="BS10" i="3" s="1"/>
  <c r="S6" i="11" s="1" a="1"/>
  <c r="S6" i="11" s="1"/>
  <c r="DN8" i="3"/>
  <c r="BS8" i="3" s="1"/>
  <c r="EA78" i="3"/>
  <c r="CF78" i="3" s="1"/>
  <c r="EA81" i="3"/>
  <c r="CF81" i="3" s="1"/>
  <c r="AF5" i="11" s="1" a="1"/>
  <c r="AF5" i="11" s="1"/>
  <c r="EA80" i="3"/>
  <c r="CF80" i="3" s="1"/>
  <c r="AF5" i="12" s="1" a="1"/>
  <c r="AF5" i="12" s="1"/>
  <c r="EA79" i="3"/>
  <c r="CF79" i="3" s="1"/>
  <c r="EB54" i="3"/>
  <c r="CG54" i="3" s="1"/>
  <c r="EB53" i="3"/>
  <c r="CG53" i="3" s="1"/>
  <c r="DF54" i="3"/>
  <c r="BK54" i="3" s="1"/>
  <c r="DF53" i="3"/>
  <c r="BK53" i="3" s="1"/>
  <c r="EA22" i="3"/>
  <c r="CF22" i="3" s="1"/>
  <c r="EA23" i="3"/>
  <c r="CF23" i="3" s="1"/>
  <c r="EA24" i="3"/>
  <c r="CF24" i="3" s="1"/>
  <c r="AF8" i="12" s="1" a="1"/>
  <c r="AF8" i="12" s="1"/>
  <c r="EA25" i="3"/>
  <c r="CF25" i="3" s="1"/>
  <c r="AF8" i="11" s="1" a="1"/>
  <c r="AF8" i="11" s="1"/>
  <c r="EE40" i="3"/>
  <c r="CJ40" i="3" s="1"/>
  <c r="EE41" i="3"/>
  <c r="CJ41" i="3" s="1"/>
  <c r="ER25" i="3"/>
  <c r="CW25" i="3" s="1"/>
  <c r="AW8" i="11" s="1" a="1"/>
  <c r="AW8" i="11" s="1"/>
  <c r="ER24" i="3"/>
  <c r="CW24" i="3" s="1"/>
  <c r="AW8" i="12" s="1" a="1"/>
  <c r="AW8" i="12" s="1"/>
  <c r="ER23" i="3"/>
  <c r="CW23" i="3" s="1"/>
  <c r="ER22" i="3"/>
  <c r="CW22" i="3" s="1"/>
  <c r="EF81" i="3"/>
  <c r="CK81" i="3" s="1"/>
  <c r="AK5" i="11" s="1" a="1"/>
  <c r="AK5" i="11" s="1"/>
  <c r="EF80" i="3"/>
  <c r="CK80" i="3" s="1"/>
  <c r="AK5" i="12" s="1" a="1"/>
  <c r="AK5" i="12" s="1"/>
  <c r="EF78" i="3"/>
  <c r="CK78" i="3" s="1"/>
  <c r="EF79" i="3"/>
  <c r="CK79" i="3" s="1"/>
  <c r="DK54" i="3"/>
  <c r="BP54" i="3" s="1"/>
  <c r="DK53" i="3"/>
  <c r="BP53" i="3" s="1"/>
  <c r="ED92" i="3"/>
  <c r="CI92" i="3" s="1"/>
  <c r="AI7" i="12" s="1" a="1"/>
  <c r="AI7" i="12" s="1"/>
  <c r="ED90" i="3"/>
  <c r="CI90" i="3" s="1"/>
  <c r="ED91" i="3"/>
  <c r="CI91" i="3" s="1"/>
  <c r="ED93" i="3"/>
  <c r="CI93" i="3" s="1"/>
  <c r="AI7" i="11" s="1" a="1"/>
  <c r="AI7" i="11" s="1"/>
  <c r="DL24" i="3"/>
  <c r="BQ24" i="3" s="1"/>
  <c r="Q8" i="12" s="1" a="1"/>
  <c r="Q8" i="12" s="1"/>
  <c r="DL25" i="3"/>
  <c r="BQ25" i="3" s="1"/>
  <c r="Q8" i="11" s="1" a="1"/>
  <c r="Q8" i="11" s="1"/>
  <c r="DL23" i="3"/>
  <c r="BQ23" i="3" s="1"/>
  <c r="DL22" i="3"/>
  <c r="BQ22" i="3" s="1"/>
  <c r="DD25" i="3"/>
  <c r="BI25" i="3" s="1"/>
  <c r="I8" i="11" s="1" a="1"/>
  <c r="I8" i="11" s="1"/>
  <c r="DD22" i="3"/>
  <c r="BI22" i="3" s="1"/>
  <c r="DD23" i="3"/>
  <c r="BI23" i="3" s="1"/>
  <c r="DD24" i="3"/>
  <c r="BI24" i="3" s="1"/>
  <c r="I8" i="12" s="1" a="1"/>
  <c r="I8" i="12" s="1"/>
  <c r="DO65" i="3"/>
  <c r="BT65" i="3" s="1"/>
  <c r="T4" i="12" s="1" a="1"/>
  <c r="T4" i="12" s="1"/>
  <c r="DO66" i="3"/>
  <c r="BT66" i="3" s="1"/>
  <c r="T4" i="11" s="1" a="1"/>
  <c r="T4" i="11" s="1"/>
  <c r="DO63" i="3"/>
  <c r="BT63" i="3" s="1"/>
  <c r="DO64" i="3"/>
  <c r="BT64" i="3" s="1"/>
  <c r="EA65" i="3"/>
  <c r="CF65" i="3" s="1"/>
  <c r="AF4" i="12" s="1" a="1"/>
  <c r="AF4" i="12" s="1"/>
  <c r="EA63" i="3"/>
  <c r="CF63" i="3" s="1"/>
  <c r="EA66" i="3"/>
  <c r="CF66" i="3" s="1"/>
  <c r="AF4" i="11" s="1" a="1"/>
  <c r="AF4" i="11" s="1"/>
  <c r="EA64" i="3"/>
  <c r="CF64" i="3" s="1"/>
  <c r="EN22" i="3"/>
  <c r="CS22" i="3" s="1"/>
  <c r="EN25" i="3"/>
  <c r="CS25" i="3" s="1"/>
  <c r="AS8" i="11" s="1" a="1"/>
  <c r="AS8" i="11" s="1"/>
  <c r="EN24" i="3"/>
  <c r="CS24" i="3" s="1"/>
  <c r="AS8" i="12" s="1" a="1"/>
  <c r="AS8" i="12" s="1"/>
  <c r="EN23" i="3"/>
  <c r="CS23" i="3" s="1"/>
  <c r="DB66" i="3"/>
  <c r="BG66" i="3" s="1"/>
  <c r="G4" i="11" s="1" a="1"/>
  <c r="G4" i="11" s="1"/>
  <c r="DB63" i="3"/>
  <c r="BG63" i="3" s="1"/>
  <c r="DB64" i="3"/>
  <c r="BG64" i="3" s="1"/>
  <c r="DB65" i="3"/>
  <c r="BG65" i="3" s="1"/>
  <c r="G4" i="12" s="1" a="1"/>
  <c r="G4" i="12" s="1"/>
  <c r="DV22" i="3"/>
  <c r="CA22" i="3" s="1"/>
  <c r="DV24" i="3"/>
  <c r="CA24" i="3" s="1"/>
  <c r="AA8" i="12" s="1" a="1"/>
  <c r="AA8" i="12" s="1"/>
  <c r="DV23" i="3"/>
  <c r="CA23" i="3" s="1"/>
  <c r="DV25" i="3"/>
  <c r="CA25" i="3" s="1"/>
  <c r="AA8" i="11" s="1" a="1"/>
  <c r="AA8" i="11" s="1"/>
  <c r="DR80" i="3"/>
  <c r="BW80" i="3" s="1"/>
  <c r="W5" i="12" s="1" a="1"/>
  <c r="W5" i="12" s="1"/>
  <c r="DR81" i="3"/>
  <c r="BW81" i="3" s="1"/>
  <c r="W5" i="11" s="1" a="1"/>
  <c r="W5" i="11" s="1"/>
  <c r="DR79" i="3"/>
  <c r="BW79" i="3" s="1"/>
  <c r="DR78" i="3"/>
  <c r="BW78" i="3" s="1"/>
  <c r="EF40" i="3"/>
  <c r="CK40" i="3" s="1"/>
  <c r="EF41" i="3"/>
  <c r="CK41" i="3" s="1"/>
  <c r="EC54" i="3"/>
  <c r="CH54" i="3" s="1"/>
  <c r="EC53" i="3"/>
  <c r="CH53" i="3" s="1"/>
  <c r="DU22" i="3"/>
  <c r="BZ22" i="3" s="1"/>
  <c r="DU23" i="3"/>
  <c r="BZ23" i="3" s="1"/>
  <c r="DU25" i="3"/>
  <c r="BZ25" i="3" s="1"/>
  <c r="Z8" i="11" s="1" a="1"/>
  <c r="Z8" i="11" s="1"/>
  <c r="DU24" i="3"/>
  <c r="BZ24" i="3" s="1"/>
  <c r="Z8" i="12" s="1" a="1"/>
  <c r="Z8" i="12" s="1"/>
  <c r="ER91" i="3"/>
  <c r="CW91" i="3" s="1"/>
  <c r="ER90" i="3"/>
  <c r="CW90" i="3" s="1"/>
  <c r="ER93" i="3"/>
  <c r="CW93" i="3" s="1"/>
  <c r="AW7" i="11" s="1" a="1"/>
  <c r="AW7" i="11" s="1"/>
  <c r="ER92" i="3"/>
  <c r="CW92" i="3" s="1"/>
  <c r="AW7" i="12" s="1" a="1"/>
  <c r="AW7" i="12" s="1"/>
  <c r="DW54" i="3"/>
  <c r="CB54" i="3" s="1"/>
  <c r="DW53" i="3"/>
  <c r="CB53" i="3" s="1"/>
  <c r="DC22" i="3"/>
  <c r="BH22" i="3" s="1"/>
  <c r="DC25" i="3"/>
  <c r="BH25" i="3" s="1"/>
  <c r="H8" i="11" s="1" a="1"/>
  <c r="H8" i="11" s="1"/>
  <c r="DC24" i="3"/>
  <c r="BH24" i="3" s="1"/>
  <c r="H8" i="12" s="1" a="1"/>
  <c r="H8" i="12" s="1"/>
  <c r="DC23" i="3"/>
  <c r="BH23" i="3" s="1"/>
  <c r="EQ53" i="3"/>
  <c r="CV53" i="3" s="1"/>
  <c r="EQ54" i="3"/>
  <c r="CV54" i="3" s="1"/>
  <c r="DT22" i="3"/>
  <c r="BY22" i="3" s="1"/>
  <c r="DT24" i="3"/>
  <c r="BY24" i="3" s="1"/>
  <c r="Y8" i="12" s="1" a="1"/>
  <c r="Y8" i="12" s="1"/>
  <c r="DT23" i="3"/>
  <c r="BY23" i="3" s="1"/>
  <c r="DT25" i="3"/>
  <c r="BY25" i="3" s="1"/>
  <c r="Y8" i="11" s="1" a="1"/>
  <c r="Y8" i="11" s="1"/>
  <c r="DY40" i="3"/>
  <c r="CD40" i="3" s="1"/>
  <c r="DY41" i="3"/>
  <c r="CD41" i="3" s="1"/>
  <c r="DA91" i="3"/>
  <c r="BF91" i="3" s="1"/>
  <c r="DA90" i="3"/>
  <c r="BF90" i="3" s="1"/>
  <c r="DA92" i="3"/>
  <c r="BF92" i="3" s="1"/>
  <c r="F7" i="12" s="1" a="1"/>
  <c r="F7" i="12" s="1"/>
  <c r="DA93" i="3"/>
  <c r="BF93" i="3" s="1"/>
  <c r="F7" i="11" s="1" a="1"/>
  <c r="F7" i="11" s="1"/>
  <c r="DU65" i="3"/>
  <c r="BZ65" i="3" s="1"/>
  <c r="Z4" i="12" s="1" a="1"/>
  <c r="Z4" i="12" s="1"/>
  <c r="DU63" i="3"/>
  <c r="BZ63" i="3" s="1"/>
  <c r="DU64" i="3"/>
  <c r="BZ64" i="3" s="1"/>
  <c r="DU66" i="3"/>
  <c r="BZ66" i="3" s="1"/>
  <c r="Z4" i="11" s="1" a="1"/>
  <c r="Z4" i="11" s="1"/>
  <c r="DG23" i="3"/>
  <c r="BL23" i="3" s="1"/>
  <c r="DG22" i="3"/>
  <c r="BL22" i="3" s="1"/>
  <c r="DG24" i="3"/>
  <c r="BL24" i="3" s="1"/>
  <c r="L8" i="12" s="1" a="1"/>
  <c r="L8" i="12" s="1"/>
  <c r="DG25" i="3"/>
  <c r="BL25" i="3" s="1"/>
  <c r="L8" i="11" s="1" a="1"/>
  <c r="L8" i="11" s="1"/>
  <c r="DD40" i="3"/>
  <c r="BI40" i="3" s="1"/>
  <c r="DD41" i="3"/>
  <c r="BI41" i="3" s="1"/>
  <c r="DZ53" i="3"/>
  <c r="CE53" i="3" s="1"/>
  <c r="DZ54" i="3"/>
  <c r="CE54" i="3" s="1"/>
  <c r="ED41" i="3"/>
  <c r="CI41" i="3" s="1"/>
  <c r="ED40" i="3"/>
  <c r="CI40" i="3" s="1"/>
  <c r="DQ80" i="3"/>
  <c r="BV80" i="3" s="1"/>
  <c r="V5" i="12" s="1" a="1"/>
  <c r="V5" i="12" s="1"/>
  <c r="DQ79" i="3"/>
  <c r="BV79" i="3" s="1"/>
  <c r="DQ81" i="3"/>
  <c r="BV81" i="3" s="1"/>
  <c r="V5" i="11" s="1" a="1"/>
  <c r="V5" i="11" s="1"/>
  <c r="DQ78" i="3"/>
  <c r="BV78" i="3" s="1"/>
  <c r="DI54" i="3"/>
  <c r="BN54" i="3" s="1"/>
  <c r="DI53" i="3"/>
  <c r="BN53" i="3" s="1"/>
  <c r="CZ81" i="3"/>
  <c r="BE81" i="3" s="1"/>
  <c r="E5" i="11" s="1" a="1"/>
  <c r="E5" i="11" s="1"/>
  <c r="CZ78" i="3"/>
  <c r="BE78" i="3" s="1"/>
  <c r="CZ79" i="3"/>
  <c r="BE79" i="3" s="1"/>
  <c r="CZ80" i="3"/>
  <c r="BE80" i="3" s="1"/>
  <c r="E5" i="12" s="1" a="1"/>
  <c r="E5" i="12" s="1"/>
  <c r="DY91" i="3"/>
  <c r="CD91" i="3" s="1"/>
  <c r="DY92" i="3"/>
  <c r="CD92" i="3" s="1"/>
  <c r="AD7" i="12" s="1" a="1"/>
  <c r="AD7" i="12" s="1"/>
  <c r="DY93" i="3"/>
  <c r="CD93" i="3" s="1"/>
  <c r="AD7" i="11" s="1" a="1"/>
  <c r="AD7" i="11" s="1"/>
  <c r="DY90" i="3"/>
  <c r="CD90" i="3" s="1"/>
  <c r="EF54" i="3"/>
  <c r="CK54" i="3" s="1"/>
  <c r="EF53" i="3"/>
  <c r="CK53" i="3" s="1"/>
  <c r="EF64" i="3"/>
  <c r="CK64" i="3" s="1"/>
  <c r="EF63" i="3"/>
  <c r="EF66" i="3"/>
  <c r="CK66" i="3" s="1"/>
  <c r="AK4" i="11" s="1" a="1"/>
  <c r="AK4" i="11" s="1"/>
  <c r="EF65" i="3"/>
  <c r="CK65" i="3" s="1"/>
  <c r="AK4" i="12" s="1" a="1"/>
  <c r="AK4" i="12" s="1"/>
  <c r="EG81" i="3"/>
  <c r="CL81" i="3" s="1"/>
  <c r="AL5" i="11" s="1" a="1"/>
  <c r="AL5" i="11" s="1"/>
  <c r="EG78" i="3"/>
  <c r="CL78" i="3" s="1"/>
  <c r="EG79" i="3"/>
  <c r="CL79" i="3" s="1"/>
  <c r="EG80" i="3"/>
  <c r="CL80" i="3" s="1"/>
  <c r="AL5" i="12" s="1" a="1"/>
  <c r="AL5" i="12" s="1"/>
  <c r="DK10" i="3"/>
  <c r="BP10" i="3" s="1"/>
  <c r="P6" i="11" s="1" a="1"/>
  <c r="P6" i="11" s="1"/>
  <c r="DK9" i="3"/>
  <c r="BP9" i="3" s="1"/>
  <c r="P6" i="12" s="1" a="1"/>
  <c r="P6" i="12" s="1"/>
  <c r="DK7" i="3"/>
  <c r="BP7" i="3" s="1"/>
  <c r="DK8" i="3"/>
  <c r="BP8" i="3" s="1"/>
  <c r="ED65" i="3"/>
  <c r="CI65" i="3" s="1"/>
  <c r="AI4" i="12" s="1" a="1"/>
  <c r="AI4" i="12" s="1"/>
  <c r="ED66" i="3"/>
  <c r="CI66" i="3" s="1"/>
  <c r="AI4" i="11" s="1" a="1"/>
  <c r="AI4" i="11" s="1"/>
  <c r="ED64" i="3"/>
  <c r="CI64" i="3" s="1"/>
  <c r="ED63" i="3"/>
  <c r="CI63" i="3" s="1"/>
  <c r="DV54" i="3"/>
  <c r="DV53" i="3"/>
  <c r="DT91" i="3"/>
  <c r="BY91" i="3" s="1"/>
  <c r="DT93" i="3"/>
  <c r="BY93" i="3" s="1"/>
  <c r="Y7" i="11" s="1" a="1"/>
  <c r="Y7" i="11" s="1"/>
  <c r="DT90" i="3"/>
  <c r="BY90" i="3" s="1"/>
  <c r="DT92" i="3"/>
  <c r="BY92" i="3" s="1"/>
  <c r="Y7" i="12" s="1" a="1"/>
  <c r="Y7" i="12" s="1"/>
  <c r="EJ64" i="3"/>
  <c r="CO64" i="3" s="1"/>
  <c r="EJ63" i="3"/>
  <c r="EJ65" i="3"/>
  <c r="EJ66" i="3"/>
  <c r="DZ40" i="3"/>
  <c r="CE40" i="3" s="1"/>
  <c r="DZ41" i="3"/>
  <c r="CE41" i="3" s="1"/>
  <c r="DG7" i="3"/>
  <c r="BL7" i="3" s="1"/>
  <c r="DG10" i="3"/>
  <c r="BL10" i="3" s="1"/>
  <c r="L6" i="11" s="1" a="1"/>
  <c r="L6" i="11" s="1"/>
  <c r="DG8" i="3"/>
  <c r="BL8" i="3" s="1"/>
  <c r="DG9" i="3"/>
  <c r="BL9" i="3" s="1"/>
  <c r="L6" i="12" s="1" a="1"/>
  <c r="L6" i="12" s="1"/>
  <c r="DC40" i="3"/>
  <c r="BH40" i="3" s="1"/>
  <c r="DC41" i="3"/>
  <c r="BH41" i="3" s="1"/>
  <c r="DE25" i="3"/>
  <c r="BJ25" i="3" s="1"/>
  <c r="J8" i="11" s="1" a="1"/>
  <c r="J8" i="11" s="1"/>
  <c r="DE22" i="3"/>
  <c r="BJ22" i="3" s="1"/>
  <c r="DE23" i="3"/>
  <c r="BJ23" i="3" s="1"/>
  <c r="DE24" i="3"/>
  <c r="BJ24" i="3" s="1"/>
  <c r="J8" i="12" s="1" a="1"/>
  <c r="J8" i="12" s="1"/>
  <c r="EJ54" i="3"/>
  <c r="CO54" i="3" s="1"/>
  <c r="EJ53" i="3"/>
  <c r="CO53" i="3" s="1"/>
  <c r="DN81" i="3"/>
  <c r="BS81" i="3" s="1"/>
  <c r="S5" i="11" s="1" a="1"/>
  <c r="S5" i="11" s="1"/>
  <c r="DN80" i="3"/>
  <c r="BS80" i="3" s="1"/>
  <c r="S5" i="12" s="1" a="1"/>
  <c r="S5" i="12" s="1"/>
  <c r="DN79" i="3"/>
  <c r="BS79" i="3" s="1"/>
  <c r="DN78" i="3"/>
  <c r="BS78" i="3" s="1"/>
  <c r="EP79" i="3"/>
  <c r="CU79" i="3" s="1"/>
  <c r="EP78" i="3"/>
  <c r="CU78" i="3" s="1"/>
  <c r="EP80" i="3"/>
  <c r="CU80" i="3" s="1"/>
  <c r="AU5" i="12" s="1" a="1"/>
  <c r="AU5" i="12" s="1"/>
  <c r="EP81" i="3"/>
  <c r="CU81" i="3" s="1"/>
  <c r="AU5" i="11" s="1" a="1"/>
  <c r="AU5" i="11" s="1"/>
  <c r="DH78" i="3"/>
  <c r="BM78" i="3" s="1"/>
  <c r="DH79" i="3"/>
  <c r="BM79" i="3" s="1"/>
  <c r="DH81" i="3"/>
  <c r="BM81" i="3" s="1"/>
  <c r="M5" i="11" s="1" a="1"/>
  <c r="M5" i="11" s="1"/>
  <c r="DH80" i="3"/>
  <c r="BM80" i="3" s="1"/>
  <c r="M5" i="12" s="1" a="1"/>
  <c r="M5" i="12" s="1"/>
  <c r="DG65" i="3"/>
  <c r="BL65" i="3" s="1"/>
  <c r="L4" i="12" s="1" a="1"/>
  <c r="L4" i="12" s="1"/>
  <c r="DG64" i="3"/>
  <c r="BL64" i="3" s="1"/>
  <c r="DG66" i="3"/>
  <c r="BL66" i="3" s="1"/>
  <c r="L4" i="11" s="1" a="1"/>
  <c r="L4" i="11" s="1"/>
  <c r="DG63" i="3"/>
  <c r="BL63" i="3" s="1"/>
  <c r="EH41" i="3"/>
  <c r="CM41" i="3" s="1"/>
  <c r="EH40" i="3"/>
  <c r="CM40" i="3" s="1"/>
  <c r="DL40" i="3"/>
  <c r="BQ40" i="3" s="1"/>
  <c r="DL41" i="3"/>
  <c r="BQ41" i="3" s="1"/>
  <c r="DK79" i="3"/>
  <c r="BP79" i="3" s="1"/>
  <c r="DK80" i="3"/>
  <c r="BP80" i="3" s="1"/>
  <c r="P5" i="12" s="1" a="1"/>
  <c r="P5" i="12" s="1"/>
  <c r="DK81" i="3"/>
  <c r="BP81" i="3" s="1"/>
  <c r="P5" i="11" s="1" a="1"/>
  <c r="P5" i="11" s="1"/>
  <c r="DK78" i="3"/>
  <c r="BP78" i="3" s="1"/>
  <c r="CZ54" i="3"/>
  <c r="BE54" i="3" s="1"/>
  <c r="CZ53" i="3"/>
  <c r="BE53" i="3" s="1"/>
  <c r="ER53" i="3"/>
  <c r="CW53" i="3" s="1"/>
  <c r="ER54" i="3"/>
  <c r="CW54" i="3" s="1"/>
  <c r="DF25" i="3"/>
  <c r="BK25" i="3" s="1"/>
  <c r="K8" i="11" s="1" a="1"/>
  <c r="K8" i="11" s="1"/>
  <c r="DF22" i="3"/>
  <c r="BK22" i="3" s="1"/>
  <c r="DF23" i="3"/>
  <c r="BK23" i="3" s="1"/>
  <c r="DF24" i="3"/>
  <c r="BK24" i="3" s="1"/>
  <c r="K8" i="12" s="1" a="1"/>
  <c r="K8" i="12" s="1"/>
  <c r="DE54" i="3"/>
  <c r="BJ54" i="3" s="1"/>
  <c r="DE53" i="3"/>
  <c r="BJ53" i="3" s="1"/>
  <c r="DJ10" i="3"/>
  <c r="BO10" i="3" s="1"/>
  <c r="O6" i="11" s="1" a="1"/>
  <c r="O6" i="11" s="1"/>
  <c r="DJ9" i="3"/>
  <c r="BO9" i="3" s="1"/>
  <c r="O6" i="12" s="1" a="1"/>
  <c r="O6" i="12" s="1"/>
  <c r="DJ7" i="3"/>
  <c r="BO7" i="3" s="1"/>
  <c r="DJ8" i="3"/>
  <c r="BO8" i="3" s="1"/>
  <c r="DQ9" i="3"/>
  <c r="BV9" i="3" s="1"/>
  <c r="V6" i="12" s="1" a="1"/>
  <c r="V6" i="12" s="1"/>
  <c r="DQ8" i="3"/>
  <c r="BV8" i="3" s="1"/>
  <c r="DQ10" i="3"/>
  <c r="BV10" i="3" s="1"/>
  <c r="V6" i="11" s="1" a="1"/>
  <c r="V6" i="11" s="1"/>
  <c r="DQ7" i="3"/>
  <c r="BV7" i="3" s="1"/>
  <c r="CZ40" i="3"/>
  <c r="BE40" i="3" s="1"/>
  <c r="CZ41" i="3"/>
  <c r="BE41" i="3" s="1"/>
  <c r="EK54" i="3"/>
  <c r="CP54" i="3" s="1"/>
  <c r="EK53" i="3"/>
  <c r="CP53" i="3" s="1"/>
  <c r="DO91" i="3"/>
  <c r="BT91" i="3" s="1"/>
  <c r="DO90" i="3"/>
  <c r="BT90" i="3" s="1"/>
  <c r="DO93" i="3"/>
  <c r="BT93" i="3" s="1"/>
  <c r="T7" i="11" s="1" a="1"/>
  <c r="T7" i="11" s="1"/>
  <c r="DO92" i="3"/>
  <c r="BT92" i="3" s="1"/>
  <c r="T7" i="12" s="1" a="1"/>
  <c r="T7" i="12" s="1"/>
  <c r="DV79" i="3"/>
  <c r="CA79" i="3" s="1"/>
  <c r="DV78" i="3"/>
  <c r="CA78" i="3" s="1"/>
  <c r="DV80" i="3"/>
  <c r="CA80" i="3" s="1"/>
  <c r="AA5" i="12" s="1" a="1"/>
  <c r="AA5" i="12" s="1"/>
  <c r="DV81" i="3"/>
  <c r="CA81" i="3" s="1"/>
  <c r="AA5" i="11" s="1" a="1"/>
  <c r="AA5" i="11" s="1"/>
  <c r="DB8" i="3"/>
  <c r="BG8" i="3" s="1"/>
  <c r="DB7" i="3"/>
  <c r="BG7" i="3" s="1"/>
  <c r="DB10" i="3"/>
  <c r="BG10" i="3" s="1"/>
  <c r="G6" i="11" s="1" a="1"/>
  <c r="G6" i="11" s="1"/>
  <c r="DB9" i="3"/>
  <c r="BG9" i="3" s="1"/>
  <c r="G6" i="12" s="1" a="1"/>
  <c r="G6" i="12" s="1"/>
  <c r="DE78" i="3"/>
  <c r="BJ78" i="3" s="1"/>
  <c r="DE80" i="3"/>
  <c r="BJ80" i="3" s="1"/>
  <c r="J5" i="12" s="1" a="1"/>
  <c r="J5" i="12" s="1"/>
  <c r="DE81" i="3"/>
  <c r="BJ81" i="3" s="1"/>
  <c r="J5" i="11" s="1" a="1"/>
  <c r="J5" i="11" s="1"/>
  <c r="DE79" i="3"/>
  <c r="BJ79" i="3" s="1"/>
  <c r="DD91" i="3"/>
  <c r="BI91" i="3" s="1"/>
  <c r="DD90" i="3"/>
  <c r="BI90" i="3" s="1"/>
  <c r="DD92" i="3"/>
  <c r="BI92" i="3" s="1"/>
  <c r="I7" i="12" s="1" a="1"/>
  <c r="I7" i="12" s="1"/>
  <c r="DD93" i="3"/>
  <c r="BI93" i="3" s="1"/>
  <c r="I7" i="11" s="1" a="1"/>
  <c r="I7" i="11" s="1"/>
  <c r="DK24" i="3"/>
  <c r="BP24" i="3" s="1"/>
  <c r="P8" i="12" s="1" a="1"/>
  <c r="P8" i="12" s="1"/>
  <c r="DK23" i="3"/>
  <c r="BP23" i="3" s="1"/>
  <c r="DK25" i="3"/>
  <c r="BP25" i="3" s="1"/>
  <c r="P8" i="11" s="1" a="1"/>
  <c r="P8" i="11" s="1"/>
  <c r="DK22" i="3"/>
  <c r="BP22" i="3" s="1"/>
  <c r="DN53" i="3"/>
  <c r="BS53" i="3" s="1"/>
  <c r="DN54" i="3"/>
  <c r="BS54" i="3" s="1"/>
  <c r="DB40" i="3"/>
  <c r="BG40" i="3" s="1"/>
  <c r="DB41" i="3"/>
  <c r="BG41" i="3" s="1"/>
  <c r="DB79" i="3"/>
  <c r="BG79" i="3" s="1"/>
  <c r="DB78" i="3"/>
  <c r="BG78" i="3" s="1"/>
  <c r="DB81" i="3"/>
  <c r="BG81" i="3" s="1"/>
  <c r="G5" i="11" s="1" a="1"/>
  <c r="G5" i="11" s="1"/>
  <c r="DB80" i="3"/>
  <c r="BG80" i="3" s="1"/>
  <c r="G5" i="12" s="1" a="1"/>
  <c r="G5" i="12" s="1"/>
  <c r="CZ90" i="3"/>
  <c r="BE90" i="3" s="1"/>
  <c r="CZ93" i="3"/>
  <c r="BE93" i="3" s="1"/>
  <c r="E7" i="11" s="1" a="1"/>
  <c r="E7" i="11" s="1"/>
  <c r="CZ91" i="3"/>
  <c r="BE91" i="3" s="1"/>
  <c r="CZ92" i="3"/>
  <c r="BE92" i="3" s="1"/>
  <c r="E7" i="12" s="1" a="1"/>
  <c r="E7" i="12" s="1"/>
  <c r="DW79" i="3"/>
  <c r="CB79" i="3" s="1"/>
  <c r="DW80" i="3"/>
  <c r="CB80" i="3" s="1"/>
  <c r="AB5" i="12" s="1" a="1"/>
  <c r="AB5" i="12" s="1"/>
  <c r="DW81" i="3"/>
  <c r="CB81" i="3" s="1"/>
  <c r="AB5" i="11" s="1" a="1"/>
  <c r="AB5" i="11" s="1"/>
  <c r="DW78" i="3"/>
  <c r="CB78" i="3" s="1"/>
  <c r="EQ79" i="3"/>
  <c r="CV79" i="3" s="1"/>
  <c r="EQ80" i="3"/>
  <c r="CV80" i="3" s="1"/>
  <c r="AV5" i="12" s="1" a="1"/>
  <c r="AV5" i="12" s="1"/>
  <c r="EQ78" i="3"/>
  <c r="CV78" i="3" s="1"/>
  <c r="EQ81" i="3"/>
  <c r="CV81" i="3" s="1"/>
  <c r="AV5" i="11" s="1" a="1"/>
  <c r="AV5" i="11" s="1"/>
  <c r="DH90" i="3"/>
  <c r="BM90" i="3" s="1"/>
  <c r="DH93" i="3"/>
  <c r="BM93" i="3" s="1"/>
  <c r="M7" i="11" s="1" a="1"/>
  <c r="M7" i="11" s="1"/>
  <c r="DH92" i="3"/>
  <c r="BM92" i="3" s="1"/>
  <c r="M7" i="12" s="1" a="1"/>
  <c r="M7" i="12" s="1"/>
  <c r="DH91" i="3"/>
  <c r="BM91" i="3" s="1"/>
  <c r="EM8" i="3"/>
  <c r="CR8" i="3" s="1"/>
  <c r="EM7" i="3"/>
  <c r="CR7" i="3" s="1"/>
  <c r="EM10" i="3"/>
  <c r="CR10" i="3" s="1"/>
  <c r="AR6" i="11" s="1" a="1"/>
  <c r="AR6" i="11" s="1"/>
  <c r="EM9" i="3"/>
  <c r="CR9" i="3" s="1"/>
  <c r="AR6" i="12" s="1" a="1"/>
  <c r="AR6" i="12" s="1"/>
  <c r="EK63" i="3"/>
  <c r="EK65" i="3"/>
  <c r="CP65" i="3" s="1"/>
  <c r="AP4" i="12" s="1" a="1"/>
  <c r="AP4" i="12" s="1"/>
  <c r="EK64" i="3"/>
  <c r="CP64" i="3" s="1"/>
  <c r="EK66" i="3"/>
  <c r="CP66" i="3" s="1"/>
  <c r="AP4" i="11" s="1" a="1"/>
  <c r="AP4" i="11" s="1"/>
  <c r="DP41" i="3"/>
  <c r="BU41" i="3" s="1"/>
  <c r="DP40" i="3"/>
  <c r="BU40" i="3" s="1"/>
  <c r="DP9" i="3"/>
  <c r="BU9" i="3" s="1"/>
  <c r="U6" i="12" s="1" a="1"/>
  <c r="U6" i="12" s="1"/>
  <c r="DP8" i="3"/>
  <c r="BU8" i="3" s="1"/>
  <c r="DP7" i="3"/>
  <c r="BU7" i="3" s="1"/>
  <c r="DP10" i="3"/>
  <c r="BU10" i="3" s="1"/>
  <c r="U6" i="11" s="1" a="1"/>
  <c r="U6" i="11" s="1"/>
  <c r="DA40" i="3"/>
  <c r="BF40" i="3" s="1"/>
  <c r="DA41" i="3"/>
  <c r="BF41" i="3" s="1"/>
  <c r="EN79" i="3"/>
  <c r="CS79" i="3" s="1"/>
  <c r="EN80" i="3"/>
  <c r="CS80" i="3" s="1"/>
  <c r="AS5" i="12" s="1" a="1"/>
  <c r="AS5" i="12" s="1"/>
  <c r="EN78" i="3"/>
  <c r="CS78" i="3" s="1"/>
  <c r="EN81" i="3"/>
  <c r="CS81" i="3" s="1"/>
  <c r="AS5" i="11" s="1" a="1"/>
  <c r="AS5" i="11" s="1"/>
  <c r="DM65" i="3"/>
  <c r="BR65" i="3" s="1"/>
  <c r="R4" i="12" s="1" a="1"/>
  <c r="R4" i="12" s="1"/>
  <c r="DM64" i="3"/>
  <c r="BR64" i="3" s="1"/>
  <c r="DM63" i="3"/>
  <c r="BR63" i="3" s="1"/>
  <c r="DM66" i="3"/>
  <c r="BR66" i="3" s="1"/>
  <c r="R4" i="11" s="1" a="1"/>
  <c r="R4" i="11" s="1"/>
  <c r="DI41" i="3"/>
  <c r="BN41" i="3" s="1"/>
  <c r="DI40" i="3"/>
  <c r="BN40" i="3" s="1"/>
  <c r="DQ22" i="3"/>
  <c r="BV22" i="3" s="1"/>
  <c r="DQ24" i="3"/>
  <c r="BV24" i="3" s="1"/>
  <c r="V8" i="12" s="1" a="1"/>
  <c r="V8" i="12" s="1"/>
  <c r="DQ23" i="3"/>
  <c r="BV23" i="3" s="1"/>
  <c r="DQ25" i="3"/>
  <c r="BV25" i="3" s="1"/>
  <c r="V8" i="11" s="1" a="1"/>
  <c r="V8" i="11" s="1"/>
  <c r="EG9" i="3"/>
  <c r="CL9" i="3" s="1"/>
  <c r="AL6" i="12" s="1" a="1"/>
  <c r="AL6" i="12" s="1"/>
  <c r="EG8" i="3"/>
  <c r="CL8" i="3" s="1"/>
  <c r="EG7" i="3"/>
  <c r="CL7" i="3" s="1"/>
  <c r="EG10" i="3"/>
  <c r="CL10" i="3" s="1"/>
  <c r="AL6" i="11" s="1" a="1"/>
  <c r="AL6" i="11" s="1"/>
  <c r="DU80" i="3"/>
  <c r="BZ80" i="3" s="1"/>
  <c r="Z5" i="12" s="1" a="1"/>
  <c r="Z5" i="12" s="1"/>
  <c r="DU81" i="3"/>
  <c r="BZ81" i="3" s="1"/>
  <c r="Z5" i="11" s="1" a="1"/>
  <c r="Z5" i="11" s="1"/>
  <c r="DU78" i="3"/>
  <c r="BZ78" i="3" s="1"/>
  <c r="DU79" i="3"/>
  <c r="BZ79" i="3" s="1"/>
  <c r="EP8" i="3"/>
  <c r="CU8" i="3" s="1"/>
  <c r="EP7" i="3"/>
  <c r="CU7" i="3" s="1"/>
  <c r="EP10" i="3"/>
  <c r="CU10" i="3" s="1"/>
  <c r="AU6" i="11" s="1" a="1"/>
  <c r="AU6" i="11" s="1"/>
  <c r="EP9" i="3"/>
  <c r="CU9" i="3" s="1"/>
  <c r="AU6" i="12" s="1" a="1"/>
  <c r="AU6" i="12" s="1"/>
  <c r="EG93" i="3"/>
  <c r="CL93" i="3" s="1"/>
  <c r="AL7" i="11" s="1" a="1"/>
  <c r="AL7" i="11" s="1"/>
  <c r="EG92" i="3"/>
  <c r="CL92" i="3" s="1"/>
  <c r="AL7" i="12" s="1" a="1"/>
  <c r="AL7" i="12" s="1"/>
  <c r="EG90" i="3"/>
  <c r="CL90" i="3" s="1"/>
  <c r="EG91" i="3"/>
  <c r="CL91" i="3" s="1"/>
  <c r="DL64" i="3"/>
  <c r="BQ64" i="3" s="1"/>
  <c r="DL65" i="3"/>
  <c r="BQ65" i="3" s="1"/>
  <c r="Q4" i="12" s="1" a="1"/>
  <c r="Q4" i="12" s="1"/>
  <c r="DL63" i="3"/>
  <c r="BQ63" i="3" s="1"/>
  <c r="DL66" i="3"/>
  <c r="BQ66" i="3" s="1"/>
  <c r="Q4" i="11" s="1" a="1"/>
  <c r="Q4" i="11" s="1"/>
  <c r="EE78" i="3"/>
  <c r="CJ78" i="3" s="1"/>
  <c r="EE79" i="3"/>
  <c r="CJ79" i="3" s="1"/>
  <c r="EE81" i="3"/>
  <c r="CJ81" i="3" s="1"/>
  <c r="AJ5" i="11" s="1" a="1"/>
  <c r="AJ5" i="11" s="1"/>
  <c r="EE80" i="3"/>
  <c r="CJ80" i="3" s="1"/>
  <c r="AJ5" i="12" s="1" a="1"/>
  <c r="AJ5" i="12" s="1"/>
  <c r="DJ54" i="3"/>
  <c r="BO54" i="3" s="1"/>
  <c r="DJ53" i="3"/>
  <c r="BO53" i="3" s="1"/>
  <c r="EB78" i="3"/>
  <c r="CG78" i="3" s="1"/>
  <c r="EB81" i="3"/>
  <c r="CG81" i="3" s="1"/>
  <c r="AG5" i="11" s="1" a="1"/>
  <c r="AG5" i="11" s="1"/>
  <c r="EB80" i="3"/>
  <c r="CG80" i="3" s="1"/>
  <c r="AG5" i="12" s="1" a="1"/>
  <c r="AG5" i="12" s="1"/>
  <c r="EB79" i="3"/>
  <c r="CG79" i="3" s="1"/>
  <c r="DT65" i="3"/>
  <c r="BY65" i="3" s="1"/>
  <c r="Y4" i="12" s="1" a="1"/>
  <c r="Y4" i="12" s="1"/>
  <c r="DT63" i="3"/>
  <c r="DT64" i="3"/>
  <c r="DT66" i="3"/>
  <c r="BY66" i="3" s="1"/>
  <c r="Y4" i="11" s="1" a="1"/>
  <c r="Y4" i="11" s="1"/>
  <c r="DC91" i="3"/>
  <c r="DC90" i="3"/>
  <c r="DC92" i="3"/>
  <c r="DC93" i="3"/>
  <c r="EK80" i="3"/>
  <c r="CP80" i="3" s="1"/>
  <c r="AP5" i="12" s="1" a="1"/>
  <c r="AP5" i="12" s="1"/>
  <c r="EK79" i="3"/>
  <c r="CP79" i="3" s="1"/>
  <c r="EK78" i="3"/>
  <c r="CP78" i="3" s="1"/>
  <c r="EK81" i="3"/>
  <c r="CP81" i="3" s="1"/>
  <c r="AP5" i="11" s="1" a="1"/>
  <c r="AP5" i="11" s="1"/>
  <c r="DQ63" i="3"/>
  <c r="BV63" i="3" s="1"/>
  <c r="DQ66" i="3"/>
  <c r="BV66" i="3" s="1"/>
  <c r="V4" i="11" s="1" a="1"/>
  <c r="V4" i="11" s="1"/>
  <c r="DQ65" i="3"/>
  <c r="BV65" i="3" s="1"/>
  <c r="V4" i="12" s="1" a="1"/>
  <c r="V4" i="12" s="1"/>
  <c r="DQ64" i="3"/>
  <c r="BV64" i="3" s="1"/>
  <c r="EJ9" i="3"/>
  <c r="CO9" i="3" s="1"/>
  <c r="AO6" i="12" s="1" a="1"/>
  <c r="AO6" i="12" s="1"/>
  <c r="EJ8" i="3"/>
  <c r="CO8" i="3" s="1"/>
  <c r="EJ10" i="3"/>
  <c r="CO10" i="3" s="1"/>
  <c r="AO6" i="11" s="1" a="1"/>
  <c r="AO6" i="11" s="1"/>
  <c r="EJ7" i="3"/>
  <c r="CO7" i="3" s="1"/>
  <c r="EG53" i="3"/>
  <c r="CL53" i="3" s="1"/>
  <c r="EG54" i="3"/>
  <c r="CL54" i="3" s="1"/>
  <c r="DM9" i="3"/>
  <c r="BR9" i="3" s="1"/>
  <c r="R6" i="12" s="1" a="1"/>
  <c r="R6" i="12" s="1"/>
  <c r="DM10" i="3"/>
  <c r="BR10" i="3" s="1"/>
  <c r="R6" i="11" s="1" a="1"/>
  <c r="R6" i="11" s="1"/>
  <c r="DM7" i="3"/>
  <c r="BR7" i="3" s="1"/>
  <c r="DM8" i="3"/>
  <c r="BR8" i="3" s="1"/>
  <c r="ER40" i="3"/>
  <c r="CW40" i="3" s="1"/>
  <c r="ER41" i="3"/>
  <c r="CW41" i="3" s="1"/>
  <c r="EQ41" i="3"/>
  <c r="CV41" i="3" s="1"/>
  <c r="EQ40" i="3"/>
  <c r="CV40" i="3" s="1"/>
  <c r="EO41" i="3"/>
  <c r="CT41" i="3" s="1"/>
  <c r="EO40" i="3"/>
  <c r="CT40" i="3" s="1"/>
  <c r="EA41" i="3"/>
  <c r="CF41" i="3" s="1"/>
  <c r="EA40" i="3"/>
  <c r="CF40" i="3" s="1"/>
  <c r="EN54" i="3"/>
  <c r="CS54" i="3" s="1"/>
  <c r="EN53" i="3"/>
  <c r="CS53" i="3" s="1"/>
  <c r="EC78" i="3"/>
  <c r="CH78" i="3" s="1"/>
  <c r="EC81" i="3"/>
  <c r="CH81" i="3" s="1"/>
  <c r="AH5" i="11" s="1" a="1"/>
  <c r="AH5" i="11" s="1"/>
  <c r="EC80" i="3"/>
  <c r="CH80" i="3" s="1"/>
  <c r="AH5" i="12" s="1" a="1"/>
  <c r="AH5" i="12" s="1"/>
  <c r="EC79" i="3"/>
  <c r="CH79" i="3" s="1"/>
  <c r="EQ63" i="3"/>
  <c r="EQ65" i="3"/>
  <c r="CV65" i="3" s="1"/>
  <c r="AV4" i="12" s="1" a="1"/>
  <c r="AV4" i="12" s="1"/>
  <c r="EQ66" i="3"/>
  <c r="CV66" i="3" s="1"/>
  <c r="AV4" i="11" s="1" a="1"/>
  <c r="AV4" i="11" s="1"/>
  <c r="EQ64" i="3"/>
  <c r="DV66" i="3"/>
  <c r="CA66" i="3" s="1"/>
  <c r="AA4" i="11" s="1" a="1"/>
  <c r="AA4" i="11" s="1"/>
  <c r="DV65" i="3"/>
  <c r="CA65" i="3" s="1"/>
  <c r="AA4" i="12" s="1" a="1"/>
  <c r="AA4" i="12" s="1"/>
  <c r="DV63" i="3"/>
  <c r="CA63" i="3" s="1"/>
  <c r="DV64" i="3"/>
  <c r="CA64" i="3" s="1"/>
  <c r="DS8" i="3"/>
  <c r="BX8" i="3" s="1"/>
  <c r="DS9" i="3"/>
  <c r="BX9" i="3" s="1"/>
  <c r="X6" i="12" s="1" a="1"/>
  <c r="X6" i="12" s="1"/>
  <c r="DS7" i="3"/>
  <c r="BX7" i="3" s="1"/>
  <c r="DS10" i="3"/>
  <c r="BX10" i="3" s="1"/>
  <c r="X6" i="11" s="1" a="1"/>
  <c r="X6" i="11" s="1"/>
  <c r="EL64" i="3"/>
  <c r="CQ64" i="3" s="1"/>
  <c r="EL65" i="3"/>
  <c r="EL66" i="3"/>
  <c r="EL63" i="3"/>
  <c r="EL80" i="3"/>
  <c r="CQ80" i="3" s="1"/>
  <c r="AQ5" i="12" s="1" a="1"/>
  <c r="AQ5" i="12" s="1"/>
  <c r="EL79" i="3"/>
  <c r="CQ79" i="3" s="1"/>
  <c r="EL78" i="3"/>
  <c r="CQ78" i="3" s="1"/>
  <c r="EL81" i="3"/>
  <c r="CQ81" i="3" s="1"/>
  <c r="AQ5" i="11" s="1" a="1"/>
  <c r="AQ5" i="11" s="1"/>
  <c r="EK9" i="3"/>
  <c r="CP9" i="3" s="1"/>
  <c r="AP6" i="12" s="1" a="1"/>
  <c r="AP6" i="12" s="1"/>
  <c r="EK8" i="3"/>
  <c r="CP8" i="3" s="1"/>
  <c r="EK10" i="3"/>
  <c r="CP10" i="3" s="1"/>
  <c r="AP6" i="11" s="1" a="1"/>
  <c r="AP6" i="11" s="1"/>
  <c r="EK7" i="3"/>
  <c r="CP7" i="3" s="1"/>
  <c r="DP81" i="3"/>
  <c r="BU81" i="3" s="1"/>
  <c r="U5" i="11" s="1" a="1"/>
  <c r="U5" i="11" s="1"/>
  <c r="DP80" i="3"/>
  <c r="BU80" i="3" s="1"/>
  <c r="U5" i="12" s="1" a="1"/>
  <c r="U5" i="12" s="1"/>
  <c r="DP78" i="3"/>
  <c r="BU78" i="3" s="1"/>
  <c r="DP79" i="3"/>
  <c r="BU79" i="3" s="1"/>
  <c r="DP65" i="3"/>
  <c r="BU65" i="3" s="1"/>
  <c r="U4" i="12" s="1" a="1"/>
  <c r="U4" i="12" s="1"/>
  <c r="DP66" i="3"/>
  <c r="BU66" i="3" s="1"/>
  <c r="U4" i="11" s="1" a="1"/>
  <c r="U4" i="11" s="1"/>
  <c r="DP63" i="3"/>
  <c r="BU63" i="3" s="1"/>
  <c r="DP64" i="3"/>
  <c r="BU64" i="3" s="1"/>
  <c r="DP92" i="3"/>
  <c r="BU92" i="3" s="1"/>
  <c r="U7" i="12" s="1" a="1"/>
  <c r="U7" i="12" s="1"/>
  <c r="DP91" i="3"/>
  <c r="BU91" i="3" s="1"/>
  <c r="DP90" i="3"/>
  <c r="BU90" i="3" s="1"/>
  <c r="DP93" i="3"/>
  <c r="BU93" i="3" s="1"/>
  <c r="U7" i="11" s="1" a="1"/>
  <c r="U7" i="11" s="1"/>
  <c r="DE40" i="3"/>
  <c r="BJ40" i="3" s="1"/>
  <c r="DE41" i="3"/>
  <c r="BJ41" i="3" s="1"/>
  <c r="DD54" i="3"/>
  <c r="BI54" i="3" s="1"/>
  <c r="DD53" i="3"/>
  <c r="BI53" i="3" s="1"/>
  <c r="DZ66" i="3"/>
  <c r="CE66" i="3" s="1"/>
  <c r="AE4" i="11" s="1" a="1"/>
  <c r="AE4" i="11" s="1"/>
  <c r="DZ64" i="3"/>
  <c r="CE64" i="3" s="1"/>
  <c r="DZ63" i="3"/>
  <c r="CE63" i="3" s="1"/>
  <c r="DZ65" i="3"/>
  <c r="CE65" i="3" s="1"/>
  <c r="AE4" i="12" s="1" a="1"/>
  <c r="AE4" i="12" s="1"/>
  <c r="EL8" i="3"/>
  <c r="CQ8" i="3" s="1"/>
  <c r="EL7" i="3"/>
  <c r="CQ7" i="3" s="1"/>
  <c r="EL10" i="3"/>
  <c r="CQ10" i="3" s="1"/>
  <c r="AQ6" i="11" s="1" a="1"/>
  <c r="AQ6" i="11" s="1"/>
  <c r="EL9" i="3"/>
  <c r="CQ9" i="3" s="1"/>
  <c r="AQ6" i="12" s="1" a="1"/>
  <c r="AQ6" i="12" s="1"/>
  <c r="DU53" i="3"/>
  <c r="BZ53" i="3" s="1"/>
  <c r="DU54" i="3"/>
  <c r="BZ54" i="3" s="1"/>
  <c r="EJ79" i="3"/>
  <c r="CO79" i="3" s="1"/>
  <c r="EJ78" i="3"/>
  <c r="CO78" i="3" s="1"/>
  <c r="EJ80" i="3"/>
  <c r="CO80" i="3" s="1"/>
  <c r="AO5" i="12" s="1" a="1"/>
  <c r="AO5" i="12" s="1"/>
  <c r="EJ81" i="3"/>
  <c r="CO81" i="3" s="1"/>
  <c r="AO5" i="11" s="1" a="1"/>
  <c r="AO5" i="11" s="1"/>
  <c r="DP54" i="3"/>
  <c r="BU54" i="3" s="1"/>
  <c r="DP53" i="3"/>
  <c r="BU53" i="3" s="1"/>
  <c r="EL40" i="3"/>
  <c r="CQ40" i="3" s="1"/>
  <c r="EL41" i="3"/>
  <c r="CQ41" i="3" s="1"/>
  <c r="EH9" i="3"/>
  <c r="CM9" i="3" s="1"/>
  <c r="AM6" i="12" s="1" a="1"/>
  <c r="AM6" i="12" s="1"/>
  <c r="EH8" i="3"/>
  <c r="CM8" i="3" s="1"/>
  <c r="EH7" i="3"/>
  <c r="CM7" i="3" s="1"/>
  <c r="EH10" i="3"/>
  <c r="CM10" i="3" s="1"/>
  <c r="AM6" i="11" s="1" a="1"/>
  <c r="AM6" i="11" s="1"/>
  <c r="EF93" i="3"/>
  <c r="EF92" i="3"/>
  <c r="EF90" i="3"/>
  <c r="EF91" i="3"/>
  <c r="EP91" i="3"/>
  <c r="CU91" i="3" s="1"/>
  <c r="EP90" i="3"/>
  <c r="CU90" i="3" s="1"/>
  <c r="EP92" i="3"/>
  <c r="CU92" i="3" s="1"/>
  <c r="AU7" i="12" s="1" a="1"/>
  <c r="AU7" i="12" s="1"/>
  <c r="EP93" i="3"/>
  <c r="CU93" i="3" s="1"/>
  <c r="AU7" i="11" s="1" a="1"/>
  <c r="AU7" i="11" s="1"/>
  <c r="DW91" i="3"/>
  <c r="CB91" i="3" s="1"/>
  <c r="DW90" i="3"/>
  <c r="CB90" i="3" s="1"/>
  <c r="DW93" i="3"/>
  <c r="CB93" i="3" s="1"/>
  <c r="AB7" i="11" s="1" a="1"/>
  <c r="AB7" i="11" s="1"/>
  <c r="DW92" i="3"/>
  <c r="CB92" i="3" s="1"/>
  <c r="AB7" i="12" s="1" a="1"/>
  <c r="AB7" i="12" s="1"/>
  <c r="EK23" i="3"/>
  <c r="CP23" i="3" s="1"/>
  <c r="EK24" i="3"/>
  <c r="CP24" i="3" s="1"/>
  <c r="AP8" i="12" s="1" a="1"/>
  <c r="AP8" i="12" s="1"/>
  <c r="EK25" i="3"/>
  <c r="CP25" i="3" s="1"/>
  <c r="AP8" i="11" s="1" a="1"/>
  <c r="AP8" i="11" s="1"/>
  <c r="EK22" i="3"/>
  <c r="CP22" i="3" s="1"/>
  <c r="DX79" i="3"/>
  <c r="CC79" i="3" s="1"/>
  <c r="DX78" i="3"/>
  <c r="CC78" i="3" s="1"/>
  <c r="DX81" i="3"/>
  <c r="CC81" i="3" s="1"/>
  <c r="AC5" i="11" s="1" a="1"/>
  <c r="AC5" i="11" s="1"/>
  <c r="DX80" i="3"/>
  <c r="CC80" i="3" s="1"/>
  <c r="AC5" i="12" s="1" a="1"/>
  <c r="AC5" i="12" s="1"/>
  <c r="DV91" i="3"/>
  <c r="DV90" i="3"/>
  <c r="DV93" i="3"/>
  <c r="DV92" i="3"/>
  <c r="DJ63" i="3"/>
  <c r="BO63" i="3" s="1"/>
  <c r="DJ64" i="3"/>
  <c r="BO64" i="3" s="1"/>
  <c r="DJ66" i="3"/>
  <c r="BO66" i="3" s="1"/>
  <c r="O4" i="11" s="1" a="1"/>
  <c r="O4" i="11" s="1"/>
  <c r="DJ65" i="3"/>
  <c r="BO65" i="3" s="1"/>
  <c r="O4" i="12" s="1" a="1"/>
  <c r="O4" i="12" s="1"/>
  <c r="DA22" i="3"/>
  <c r="BF22" i="3" s="1"/>
  <c r="DA25" i="3"/>
  <c r="BF25" i="3" s="1"/>
  <c r="F8" i="11" s="1" a="1"/>
  <c r="F8" i="11" s="1"/>
  <c r="DA24" i="3"/>
  <c r="BF24" i="3" s="1"/>
  <c r="F8" i="12" s="1" a="1"/>
  <c r="F8" i="12" s="1"/>
  <c r="DA23" i="3"/>
  <c r="BF23" i="3" s="1"/>
  <c r="DO9" i="3"/>
  <c r="BT9" i="3" s="1"/>
  <c r="T6" i="12" s="1" a="1"/>
  <c r="T6" i="12" s="1"/>
  <c r="DO8" i="3"/>
  <c r="BT8" i="3" s="1"/>
  <c r="DO10" i="3"/>
  <c r="BT10" i="3" s="1"/>
  <c r="T6" i="11" s="1" a="1"/>
  <c r="T6" i="11" s="1"/>
  <c r="DO7" i="3"/>
  <c r="BT7" i="3" s="1"/>
  <c r="DY81" i="3"/>
  <c r="CD81" i="3" s="1"/>
  <c r="AD5" i="11" s="1" a="1"/>
  <c r="AD5" i="11" s="1"/>
  <c r="DY78" i="3"/>
  <c r="CD78" i="3" s="1"/>
  <c r="DY80" i="3"/>
  <c r="CD80" i="3" s="1"/>
  <c r="AD5" i="12" s="1" a="1"/>
  <c r="AD5" i="12" s="1"/>
  <c r="DY79" i="3"/>
  <c r="CD79" i="3" s="1"/>
  <c r="DO23" i="3"/>
  <c r="BT23" i="3" s="1"/>
  <c r="DO24" i="3"/>
  <c r="BT24" i="3" s="1"/>
  <c r="T8" i="12" s="1" a="1"/>
  <c r="T8" i="12" s="1"/>
  <c r="DO25" i="3"/>
  <c r="BT25" i="3" s="1"/>
  <c r="T8" i="11" s="1" a="1"/>
  <c r="T8" i="11" s="1"/>
  <c r="DO22" i="3"/>
  <c r="BT22" i="3" s="1"/>
  <c r="ER7" i="3"/>
  <c r="CW7" i="3" s="1"/>
  <c r="ER10" i="3"/>
  <c r="CW10" i="3" s="1"/>
  <c r="AW6" i="11" s="1" a="1"/>
  <c r="AW6" i="11" s="1"/>
  <c r="ER9" i="3"/>
  <c r="CW9" i="3" s="1"/>
  <c r="AW6" i="12" s="1" a="1"/>
  <c r="AW6" i="12" s="1"/>
  <c r="ER8" i="3"/>
  <c r="CW8" i="3" s="1"/>
  <c r="DO53" i="3"/>
  <c r="BT53" i="3" s="1"/>
  <c r="DO54" i="3"/>
  <c r="BT54" i="3" s="1"/>
  <c r="DO80" i="3"/>
  <c r="BT80" i="3" s="1"/>
  <c r="T5" i="12" s="1" a="1"/>
  <c r="T5" i="12" s="1"/>
  <c r="DO81" i="3"/>
  <c r="BT81" i="3" s="1"/>
  <c r="T5" i="11" s="1" a="1"/>
  <c r="T5" i="11" s="1"/>
  <c r="DO79" i="3"/>
  <c r="BT79" i="3" s="1"/>
  <c r="DO78" i="3"/>
  <c r="BT78" i="3" s="1"/>
  <c r="EH81" i="3"/>
  <c r="CM81" i="3" s="1"/>
  <c r="AM5" i="11" s="1" a="1"/>
  <c r="AM5" i="11" s="1"/>
  <c r="EH80" i="3"/>
  <c r="CM80" i="3" s="1"/>
  <c r="AM5" i="12" s="1" a="1"/>
  <c r="AM5" i="12" s="1"/>
  <c r="EH78" i="3"/>
  <c r="CM78" i="3" s="1"/>
  <c r="EH79" i="3"/>
  <c r="CM79" i="3" s="1"/>
  <c r="EP41" i="3"/>
  <c r="CU41" i="3" s="1"/>
  <c r="EP40" i="3"/>
  <c r="CU40" i="3" s="1"/>
  <c r="DL81" i="3"/>
  <c r="BQ81" i="3" s="1"/>
  <c r="Q5" i="11" s="1" a="1"/>
  <c r="Q5" i="11" s="1"/>
  <c r="DL80" i="3"/>
  <c r="BQ80" i="3" s="1"/>
  <c r="Q5" i="12" s="1" a="1"/>
  <c r="Q5" i="12" s="1"/>
  <c r="DL79" i="3"/>
  <c r="BQ79" i="3" s="1"/>
  <c r="DL78" i="3"/>
  <c r="BQ78" i="3" s="1"/>
  <c r="DB54" i="3"/>
  <c r="BG54" i="3" s="1"/>
  <c r="DB53" i="3"/>
  <c r="BG53" i="3" s="1"/>
  <c r="DH41" i="3"/>
  <c r="BM41" i="3" s="1"/>
  <c r="DH40" i="3"/>
  <c r="BM40" i="3" s="1"/>
  <c r="EC41" i="3"/>
  <c r="CH41" i="3" s="1"/>
  <c r="EC40" i="3"/>
  <c r="CH40" i="3" s="1"/>
  <c r="EM80" i="3"/>
  <c r="CR80" i="3" s="1"/>
  <c r="AR5" i="12" s="1" a="1"/>
  <c r="AR5" i="12" s="1"/>
  <c r="EM79" i="3"/>
  <c r="CR79" i="3" s="1"/>
  <c r="EM78" i="3"/>
  <c r="CR78" i="3" s="1"/>
  <c r="EM81" i="3"/>
  <c r="CR81" i="3" s="1"/>
  <c r="AR5" i="11" s="1" a="1"/>
  <c r="AR5" i="11" s="1"/>
  <c r="DS64" i="3"/>
  <c r="BX64" i="3" s="1"/>
  <c r="DS65" i="3"/>
  <c r="BX65" i="3" s="1"/>
  <c r="X4" i="12" s="1" a="1"/>
  <c r="X4" i="12" s="1"/>
  <c r="DS63" i="3"/>
  <c r="BX63" i="3" s="1"/>
  <c r="DS66" i="3"/>
  <c r="BX66" i="3" s="1"/>
  <c r="X4" i="11" s="1" a="1"/>
  <c r="X4" i="11" s="1"/>
  <c r="DS53" i="3"/>
  <c r="BX53" i="3" s="1"/>
  <c r="DS54" i="3"/>
  <c r="BX54" i="3" s="1"/>
  <c r="EK41" i="3"/>
  <c r="CP41" i="3" s="1"/>
  <c r="EK40" i="3"/>
  <c r="CP40" i="3" s="1"/>
  <c r="DR53" i="3"/>
  <c r="BW53" i="3" s="1"/>
  <c r="DR54" i="3"/>
  <c r="BW54" i="3" s="1"/>
  <c r="DQ92" i="3"/>
  <c r="BV92" i="3" s="1"/>
  <c r="V7" i="12" s="1" a="1"/>
  <c r="V7" i="12" s="1"/>
  <c r="DQ91" i="3"/>
  <c r="BV91" i="3" s="1"/>
  <c r="DQ93" i="3"/>
  <c r="BV93" i="3" s="1"/>
  <c r="V7" i="11" s="1" a="1"/>
  <c r="V7" i="11" s="1"/>
  <c r="DQ90" i="3"/>
  <c r="BV90" i="3" s="1"/>
  <c r="EI54" i="3"/>
  <c r="CN54" i="3" s="1"/>
  <c r="EI53" i="3"/>
  <c r="CN53" i="3" s="1"/>
  <c r="EF22" i="3"/>
  <c r="CK22" i="3" s="1"/>
  <c r="EF23" i="3"/>
  <c r="CK23" i="3" s="1"/>
  <c r="EF24" i="3"/>
  <c r="CK24" i="3" s="1"/>
  <c r="AK8" i="12" s="1" a="1"/>
  <c r="AK8" i="12" s="1"/>
  <c r="EF25" i="3"/>
  <c r="CK25" i="3" s="1"/>
  <c r="AK8" i="11" s="1" a="1"/>
  <c r="AK8" i="11" s="1"/>
  <c r="EA7" i="3"/>
  <c r="CF7" i="3" s="1"/>
  <c r="EA10" i="3"/>
  <c r="CF10" i="3" s="1"/>
  <c r="AF6" i="11" s="1" a="1"/>
  <c r="AF6" i="11" s="1"/>
  <c r="EA8" i="3"/>
  <c r="CF8" i="3" s="1"/>
  <c r="EA9" i="3"/>
  <c r="CF9" i="3" s="1"/>
  <c r="AF6" i="12" s="1" a="1"/>
  <c r="AF6" i="12" s="1"/>
  <c r="EN92" i="3"/>
  <c r="CS92" i="3" s="1"/>
  <c r="AS7" i="12" s="1" a="1"/>
  <c r="AS7" i="12" s="1"/>
  <c r="EN93" i="3"/>
  <c r="CS93" i="3" s="1"/>
  <c r="AS7" i="11" s="1" a="1"/>
  <c r="AS7" i="11" s="1"/>
  <c r="EN90" i="3"/>
  <c r="CS90" i="3" s="1"/>
  <c r="EN91" i="3"/>
  <c r="CS91" i="3" s="1"/>
  <c r="DS22" i="3"/>
  <c r="BX22" i="3" s="1"/>
  <c r="DS23" i="3"/>
  <c r="BX23" i="3" s="1"/>
  <c r="DS25" i="3"/>
  <c r="BX25" i="3" s="1"/>
  <c r="X8" i="11" s="1" a="1"/>
  <c r="X8" i="11" s="1"/>
  <c r="DS24" i="3"/>
  <c r="BX24" i="3" s="1"/>
  <c r="X8" i="12" s="1" a="1"/>
  <c r="X8" i="12" s="1"/>
  <c r="EG22" i="3"/>
  <c r="CL22" i="3" s="1"/>
  <c r="EG24" i="3"/>
  <c r="CL24" i="3" s="1"/>
  <c r="AL8" i="12" s="1" a="1"/>
  <c r="AL8" i="12" s="1"/>
  <c r="EG23" i="3"/>
  <c r="CL23" i="3" s="1"/>
  <c r="EG25" i="3"/>
  <c r="CL25" i="3" s="1"/>
  <c r="AL8" i="11" s="1" a="1"/>
  <c r="AL8" i="11" s="1"/>
  <c r="DJ41" i="3"/>
  <c r="BO41" i="3" s="1"/>
  <c r="DJ40" i="3"/>
  <c r="BO40" i="3" s="1"/>
  <c r="DF41" i="3"/>
  <c r="BK41" i="3" s="1"/>
  <c r="DF40" i="3"/>
  <c r="BK40" i="3" s="1"/>
  <c r="DG90" i="3"/>
  <c r="BL90" i="3" s="1"/>
  <c r="DG93" i="3"/>
  <c r="BL93" i="3" s="1"/>
  <c r="L7" i="11" s="1" a="1"/>
  <c r="L7" i="11" s="1"/>
  <c r="DG92" i="3"/>
  <c r="BL92" i="3" s="1"/>
  <c r="L7" i="12" s="1" a="1"/>
  <c r="L7" i="12" s="1"/>
  <c r="DG91" i="3"/>
  <c r="BL91" i="3" s="1"/>
  <c r="EC10" i="3"/>
  <c r="CH10" i="3" s="1"/>
  <c r="AH6" i="11" s="1" a="1"/>
  <c r="AH6" i="11" s="1"/>
  <c r="EC8" i="3"/>
  <c r="CH8" i="3" s="1"/>
  <c r="EC9" i="3"/>
  <c r="CH9" i="3" s="1"/>
  <c r="AH6" i="12" s="1" a="1"/>
  <c r="AH6" i="12" s="1"/>
  <c r="EC7" i="3"/>
  <c r="CH7" i="3" s="1"/>
  <c r="DG41" i="3"/>
  <c r="BL41" i="3" s="1"/>
  <c r="DG40" i="3"/>
  <c r="BL40" i="3" s="1"/>
  <c r="EI90" i="3"/>
  <c r="CN90" i="3" s="1"/>
  <c r="EI92" i="3"/>
  <c r="CN92" i="3" s="1"/>
  <c r="AN7" i="12" s="1" a="1"/>
  <c r="AN7" i="12" s="1"/>
  <c r="EI93" i="3"/>
  <c r="CN93" i="3" s="1"/>
  <c r="AN7" i="11" s="1" a="1"/>
  <c r="AN7" i="11" s="1"/>
  <c r="EI91" i="3"/>
  <c r="CN91" i="3" s="1"/>
  <c r="DY7" i="3"/>
  <c r="CD7" i="3" s="1"/>
  <c r="DY10" i="3"/>
  <c r="CD10" i="3" s="1"/>
  <c r="AD6" i="11" s="1" a="1"/>
  <c r="AD6" i="11" s="1"/>
  <c r="DY9" i="3"/>
  <c r="CD9" i="3" s="1"/>
  <c r="AD6" i="12" s="1" a="1"/>
  <c r="AD6" i="12" s="1"/>
  <c r="DY8" i="3"/>
  <c r="CD8" i="3" s="1"/>
  <c r="DE64" i="3"/>
  <c r="BJ64" i="3" s="1"/>
  <c r="DE66" i="3"/>
  <c r="BJ66" i="3" s="1"/>
  <c r="J4" i="11" s="1" a="1"/>
  <c r="J4" i="11" s="1"/>
  <c r="DE63" i="3"/>
  <c r="BJ63" i="3" s="1"/>
  <c r="DE65" i="3"/>
  <c r="BJ65" i="3" s="1"/>
  <c r="J4" i="12" s="1" a="1"/>
  <c r="J4" i="12" s="1"/>
  <c r="DX7" i="3"/>
  <c r="CC7" i="3" s="1"/>
  <c r="DX9" i="3"/>
  <c r="CC9" i="3" s="1"/>
  <c r="AC6" i="12" s="1" a="1"/>
  <c r="AC6" i="12" s="1"/>
  <c r="DX8" i="3"/>
  <c r="CC8" i="3" s="1"/>
  <c r="DX10" i="3"/>
  <c r="CC10" i="3" s="1"/>
  <c r="AC6" i="11" s="1" a="1"/>
  <c r="AC6" i="11" s="1"/>
  <c r="DG78" i="3"/>
  <c r="BL78" i="3" s="1"/>
  <c r="DG81" i="3"/>
  <c r="BL81" i="3" s="1"/>
  <c r="L5" i="11" s="1" a="1"/>
  <c r="L5" i="11" s="1"/>
  <c r="DG79" i="3"/>
  <c r="BL79" i="3" s="1"/>
  <c r="DG80" i="3"/>
  <c r="BL80" i="3" s="1"/>
  <c r="L5" i="12" s="1" a="1"/>
  <c r="L5" i="12" s="1"/>
  <c r="EI79" i="3"/>
  <c r="CN79" i="3" s="1"/>
  <c r="EI78" i="3"/>
  <c r="CN78" i="3" s="1"/>
  <c r="EI81" i="3"/>
  <c r="CN81" i="3" s="1"/>
  <c r="AN5" i="11" s="1" a="1"/>
  <c r="AN5" i="11" s="1"/>
  <c r="EI80" i="3"/>
  <c r="CN80" i="3" s="1"/>
  <c r="AN5" i="12" s="1" a="1"/>
  <c r="AN5" i="12" s="1"/>
  <c r="EN41" i="3"/>
  <c r="CS41" i="3" s="1"/>
  <c r="EN40" i="3"/>
  <c r="CS40" i="3" s="1"/>
  <c r="DK63" i="3"/>
  <c r="BP63" i="3" s="1"/>
  <c r="DK64" i="3"/>
  <c r="BP64" i="3" s="1"/>
  <c r="DK65" i="3"/>
  <c r="BP65" i="3" s="1"/>
  <c r="P4" i="12" s="1" a="1"/>
  <c r="P4" i="12" s="1"/>
  <c r="DK66" i="3"/>
  <c r="BP66" i="3" s="1"/>
  <c r="P4" i="11" s="1" a="1"/>
  <c r="P4" i="11" s="1"/>
  <c r="EB40" i="3"/>
  <c r="CG40" i="3" s="1"/>
  <c r="EB41" i="3"/>
  <c r="CG41" i="3" s="1"/>
  <c r="DV8" i="3"/>
  <c r="CA8" i="3" s="1"/>
  <c r="DV7" i="3"/>
  <c r="CA7" i="3" s="1"/>
  <c r="DV9" i="3"/>
  <c r="CA9" i="3" s="1"/>
  <c r="AA6" i="12" s="1" a="1"/>
  <c r="AA6" i="12" s="1"/>
  <c r="DV10" i="3"/>
  <c r="CA10" i="3" s="1"/>
  <c r="AA6" i="11" s="1" a="1"/>
  <c r="AA6" i="11" s="1"/>
  <c r="DJ80" i="3"/>
  <c r="BO80" i="3" s="1"/>
  <c r="O5" i="12" s="1" a="1"/>
  <c r="O5" i="12" s="1"/>
  <c r="DJ81" i="3"/>
  <c r="BO81" i="3" s="1"/>
  <c r="O5" i="11" s="1" a="1"/>
  <c r="O5" i="11" s="1"/>
  <c r="DJ79" i="3"/>
  <c r="BO79" i="3" s="1"/>
  <c r="DJ78" i="3"/>
  <c r="BO78" i="3" s="1"/>
  <c r="DI78" i="3"/>
  <c r="BN78" i="3" s="1"/>
  <c r="DI81" i="3"/>
  <c r="BN81" i="3" s="1"/>
  <c r="N5" i="11" s="1" a="1"/>
  <c r="N5" i="11" s="1"/>
  <c r="DI80" i="3"/>
  <c r="BN80" i="3" s="1"/>
  <c r="N5" i="12" s="1" a="1"/>
  <c r="N5" i="12" s="1"/>
  <c r="DI79" i="3"/>
  <c r="BN79" i="3" s="1"/>
  <c r="CZ22" i="3"/>
  <c r="BE22" i="3" s="1"/>
  <c r="CZ25" i="3"/>
  <c r="BE25" i="3" s="1"/>
  <c r="E8" i="11" s="1" a="1"/>
  <c r="E8" i="11" s="1"/>
  <c r="CZ24" i="3"/>
  <c r="BE24" i="3" s="1"/>
  <c r="E8" i="12" s="1" a="1"/>
  <c r="E8" i="12" s="1"/>
  <c r="CZ23" i="3"/>
  <c r="BE23" i="3" s="1"/>
  <c r="EP54" i="3"/>
  <c r="CU54" i="3" s="1"/>
  <c r="EP53" i="3"/>
  <c r="CU53" i="3" s="1"/>
  <c r="DS40" i="3"/>
  <c r="BX40" i="3" s="1"/>
  <c r="DS41" i="3"/>
  <c r="BX41" i="3" s="1"/>
  <c r="DU40" i="3"/>
  <c r="BZ40" i="3" s="1"/>
  <c r="DU41" i="3"/>
  <c r="BZ41" i="3" s="1"/>
  <c r="EE24" i="3"/>
  <c r="CJ24" i="3" s="1"/>
  <c r="AJ8" i="12" s="1" a="1"/>
  <c r="AJ8" i="12" s="1"/>
  <c r="EE22" i="3"/>
  <c r="CJ22" i="3" s="1"/>
  <c r="EE23" i="3"/>
  <c r="CJ23" i="3" s="1"/>
  <c r="EE25" i="3"/>
  <c r="CJ25" i="3" s="1"/>
  <c r="AJ8" i="11" s="1" a="1"/>
  <c r="AJ8" i="11" s="1"/>
  <c r="EA53" i="3"/>
  <c r="CF53" i="3" s="1"/>
  <c r="EA54" i="3"/>
  <c r="CF54" i="3" s="1"/>
  <c r="DL10" i="3"/>
  <c r="BQ10" i="3" s="1"/>
  <c r="Q6" i="11" s="1" a="1"/>
  <c r="Q6" i="11" s="1"/>
  <c r="DL9" i="3"/>
  <c r="BQ9" i="3" s="1"/>
  <c r="Q6" i="12" s="1" a="1"/>
  <c r="Q6" i="12" s="1"/>
  <c r="DL7" i="3"/>
  <c r="BQ7" i="3" s="1"/>
  <c r="DL8" i="3"/>
  <c r="BQ8" i="3" s="1"/>
  <c r="CZ8" i="3"/>
  <c r="BE8" i="3" s="1"/>
  <c r="CZ7" i="3"/>
  <c r="BE7" i="3" s="1"/>
  <c r="CZ10" i="3"/>
  <c r="BE10" i="3" s="1"/>
  <c r="E6" i="11" s="1" a="1"/>
  <c r="E6" i="11" s="1"/>
  <c r="CZ9" i="3"/>
  <c r="BE9" i="3" s="1"/>
  <c r="E6" i="12" s="1" a="1"/>
  <c r="E6" i="12" s="1"/>
  <c r="DN65" i="3"/>
  <c r="BS65" i="3" s="1"/>
  <c r="S4" i="12" s="1" a="1"/>
  <c r="S4" i="12" s="1"/>
  <c r="DN63" i="3"/>
  <c r="BS63" i="3" s="1"/>
  <c r="DN64" i="3"/>
  <c r="BS64" i="3" s="1"/>
  <c r="DN66" i="3"/>
  <c r="BS66" i="3" s="1"/>
  <c r="S4" i="11" s="1" a="1"/>
  <c r="S4" i="11" s="1"/>
  <c r="DF90" i="3"/>
  <c r="BK90" i="3" s="1"/>
  <c r="DF92" i="3"/>
  <c r="BK92" i="3" s="1"/>
  <c r="K7" i="12" s="1" a="1"/>
  <c r="K7" i="12" s="1"/>
  <c r="DF91" i="3"/>
  <c r="BK91" i="3" s="1"/>
  <c r="DF93" i="3"/>
  <c r="BK93" i="3" s="1"/>
  <c r="K7" i="11" s="1" a="1"/>
  <c r="K7" i="11" s="1"/>
  <c r="EI41" i="3"/>
  <c r="CN41" i="3" s="1"/>
  <c r="EI40" i="3"/>
  <c r="CN40" i="3" s="1"/>
  <c r="DX91" i="3"/>
  <c r="CC91" i="3" s="1"/>
  <c r="DX90" i="3"/>
  <c r="CC90" i="3" s="1"/>
  <c r="DX93" i="3"/>
  <c r="CC93" i="3" s="1"/>
  <c r="AC7" i="11" s="1" a="1"/>
  <c r="AC7" i="11" s="1"/>
  <c r="DX92" i="3"/>
  <c r="CC92" i="3" s="1"/>
  <c r="AC7" i="12" s="1" a="1"/>
  <c r="AC7" i="12" s="1"/>
  <c r="EM40" i="3"/>
  <c r="CR40" i="3" s="1"/>
  <c r="EM41" i="3"/>
  <c r="CR41" i="3" s="1"/>
  <c r="DW7" i="3"/>
  <c r="CB7" i="3" s="1"/>
  <c r="DW9" i="3"/>
  <c r="CB9" i="3" s="1"/>
  <c r="AB6" i="12" s="1" a="1"/>
  <c r="AB6" i="12" s="1"/>
  <c r="DW10" i="3"/>
  <c r="CB10" i="3" s="1"/>
  <c r="AB6" i="11" s="1" a="1"/>
  <c r="AB6" i="11" s="1"/>
  <c r="DW8" i="3"/>
  <c r="CB8" i="3" s="1"/>
  <c r="EO91" i="3"/>
  <c r="CT91" i="3" s="1"/>
  <c r="EO92" i="3"/>
  <c r="CT92" i="3" s="1"/>
  <c r="AT7" i="12" s="1" a="1"/>
  <c r="AT7" i="12" s="1"/>
  <c r="EO93" i="3"/>
  <c r="CT93" i="3" s="1"/>
  <c r="AT7" i="11" s="1" a="1"/>
  <c r="AT7" i="11" s="1"/>
  <c r="EO90" i="3"/>
  <c r="CT90" i="3" s="1"/>
  <c r="DC79" i="3"/>
  <c r="BH79" i="3" s="1"/>
  <c r="DC81" i="3"/>
  <c r="BH81" i="3" s="1"/>
  <c r="H5" i="11" s="1" a="1"/>
  <c r="H5" i="11" s="1"/>
  <c r="DC78" i="3"/>
  <c r="BH78" i="3" s="1"/>
  <c r="DC80" i="3"/>
  <c r="BH80" i="3" s="1"/>
  <c r="H5" i="12" s="1" a="1"/>
  <c r="H5" i="12" s="1"/>
  <c r="DY66" i="3"/>
  <c r="CD66" i="3" s="1"/>
  <c r="AD4" i="11" s="1" a="1"/>
  <c r="AD4" i="11" s="1"/>
  <c r="DY64" i="3"/>
  <c r="CD64" i="3" s="1"/>
  <c r="DY63" i="3"/>
  <c r="CD63" i="3" s="1"/>
  <c r="DY65" i="3"/>
  <c r="CD65" i="3" s="1"/>
  <c r="AD4" i="12" s="1" a="1"/>
  <c r="AD4" i="12" s="1"/>
  <c r="DZ7" i="3"/>
  <c r="CE7" i="3" s="1"/>
  <c r="DZ10" i="3"/>
  <c r="CE10" i="3" s="1"/>
  <c r="AE6" i="11" s="1" a="1"/>
  <c r="AE6" i="11" s="1"/>
  <c r="DZ9" i="3"/>
  <c r="CE9" i="3" s="1"/>
  <c r="AE6" i="12" s="1" a="1"/>
  <c r="AE6" i="12" s="1"/>
  <c r="DZ8" i="3"/>
  <c r="CE8" i="3" s="1"/>
  <c r="DE7" i="3"/>
  <c r="BJ7" i="3" s="1"/>
  <c r="DE10" i="3"/>
  <c r="BJ10" i="3" s="1"/>
  <c r="J6" i="11" s="1" a="1"/>
  <c r="J6" i="11" s="1"/>
  <c r="DE8" i="3"/>
  <c r="BJ8" i="3" s="1"/>
  <c r="DE9" i="3"/>
  <c r="BJ9" i="3" s="1"/>
  <c r="J6" i="12" s="1" a="1"/>
  <c r="J6" i="12" s="1"/>
  <c r="DD7" i="3"/>
  <c r="BI7" i="3" s="1"/>
  <c r="DD8" i="3"/>
  <c r="BI8" i="3" s="1"/>
  <c r="DD10" i="3"/>
  <c r="BI10" i="3" s="1"/>
  <c r="I6" i="11" s="1" a="1"/>
  <c r="I6" i="11" s="1"/>
  <c r="DD9" i="3"/>
  <c r="BI9" i="3" s="1"/>
  <c r="I6" i="12" s="1" a="1"/>
  <c r="I6" i="12" s="1"/>
  <c r="DD79" i="3"/>
  <c r="BI79" i="3" s="1"/>
  <c r="DD78" i="3"/>
  <c r="BI78" i="3" s="1"/>
  <c r="DD81" i="3"/>
  <c r="BI81" i="3" s="1"/>
  <c r="I5" i="11" s="1" a="1"/>
  <c r="I5" i="11" s="1"/>
  <c r="DD80" i="3"/>
  <c r="BI80" i="3" s="1"/>
  <c r="I5" i="12" s="1" a="1"/>
  <c r="I5" i="12" s="1"/>
  <c r="EO8" i="3"/>
  <c r="CT8" i="3" s="1"/>
  <c r="EO7" i="3"/>
  <c r="CT7" i="3" s="1"/>
  <c r="EO10" i="3"/>
  <c r="CT10" i="3" s="1"/>
  <c r="AT6" i="11" s="1" a="1"/>
  <c r="AT6" i="11" s="1"/>
  <c r="EO9" i="3"/>
  <c r="CT9" i="3" s="1"/>
  <c r="AT6" i="12" s="1" a="1"/>
  <c r="AT6" i="12" s="1"/>
  <c r="EO80" i="3"/>
  <c r="CT80" i="3" s="1"/>
  <c r="AT5" i="12" s="1" a="1"/>
  <c r="AT5" i="12" s="1"/>
  <c r="EO81" i="3"/>
  <c r="CT81" i="3" s="1"/>
  <c r="AT5" i="11" s="1" a="1"/>
  <c r="AT5" i="11" s="1"/>
  <c r="EO79" i="3"/>
  <c r="CT79" i="3" s="1"/>
  <c r="EO78" i="3"/>
  <c r="CT78" i="3" s="1"/>
  <c r="DA81" i="3"/>
  <c r="BF81" i="3" s="1"/>
  <c r="F5" i="11" s="1" a="1"/>
  <c r="F5" i="11" s="1"/>
  <c r="DA78" i="3"/>
  <c r="BF78" i="3" s="1"/>
  <c r="DA79" i="3"/>
  <c r="BF79" i="3" s="1"/>
  <c r="DA80" i="3"/>
  <c r="BF80" i="3" s="1"/>
  <c r="F5" i="12" s="1" a="1"/>
  <c r="F5" i="12" s="1"/>
  <c r="DO41" i="3"/>
  <c r="BT41" i="3" s="1"/>
  <c r="DO40" i="3"/>
  <c r="BT40" i="3" s="1"/>
  <c r="EP66" i="3"/>
  <c r="CU66" i="3" s="1"/>
  <c r="AU4" i="11" s="1" a="1"/>
  <c r="AU4" i="11" s="1"/>
  <c r="EP65" i="3"/>
  <c r="CU65" i="3" s="1"/>
  <c r="AU4" i="12" s="1" a="1"/>
  <c r="AU4" i="12" s="1"/>
  <c r="EP63" i="3"/>
  <c r="EP64" i="3"/>
  <c r="EN8" i="3"/>
  <c r="CS8" i="3" s="1"/>
  <c r="EN7" i="3"/>
  <c r="CS7" i="3" s="1"/>
  <c r="EN10" i="3"/>
  <c r="CS10" i="3" s="1"/>
  <c r="AS6" i="11" s="1" a="1"/>
  <c r="AS6" i="11" s="1"/>
  <c r="EN9" i="3"/>
  <c r="CS9" i="3" s="1"/>
  <c r="AS6" i="12" s="1" a="1"/>
  <c r="AS6" i="12" s="1"/>
  <c r="DH23" i="3"/>
  <c r="BM23" i="3" s="1"/>
  <c r="DH22" i="3"/>
  <c r="BM22" i="3" s="1"/>
  <c r="DH24" i="3"/>
  <c r="BM24" i="3" s="1"/>
  <c r="M8" i="12" s="1" a="1"/>
  <c r="M8" i="12" s="1"/>
  <c r="DH25" i="3"/>
  <c r="BM25" i="3" s="1"/>
  <c r="M8" i="11" s="1" a="1"/>
  <c r="M8" i="11" s="1"/>
  <c r="DM41" i="3"/>
  <c r="BR41" i="3" s="1"/>
  <c r="DM40" i="3"/>
  <c r="BR40" i="3" s="1"/>
  <c r="DM81" i="3"/>
  <c r="BR81" i="3" s="1"/>
  <c r="R5" i="11" s="1" a="1"/>
  <c r="R5" i="11" s="1"/>
  <c r="DM79" i="3"/>
  <c r="BR79" i="3" s="1"/>
  <c r="DM80" i="3"/>
  <c r="BR80" i="3" s="1"/>
  <c r="R5" i="12" s="1" a="1"/>
  <c r="R5" i="12" s="1"/>
  <c r="DM78" i="3"/>
  <c r="BR78" i="3" s="1"/>
  <c r="DL93" i="3"/>
  <c r="BQ93" i="3" s="1"/>
  <c r="Q7" i="11" s="1" a="1"/>
  <c r="Q7" i="11" s="1"/>
  <c r="DL92" i="3"/>
  <c r="BQ92" i="3" s="1"/>
  <c r="Q7" i="12" s="1" a="1"/>
  <c r="Q7" i="12" s="1"/>
  <c r="DL91" i="3"/>
  <c r="BQ91" i="3" s="1"/>
  <c r="DL90" i="3"/>
  <c r="BQ90" i="3" s="1"/>
  <c r="EE66" i="3"/>
  <c r="CJ66" i="3" s="1"/>
  <c r="AJ4" i="11" s="1" a="1"/>
  <c r="AJ4" i="11" s="1"/>
  <c r="EE64" i="3"/>
  <c r="CJ64" i="3" s="1"/>
  <c r="EE65" i="3"/>
  <c r="CJ65" i="3" s="1"/>
  <c r="AJ4" i="12" s="1" a="1"/>
  <c r="AJ4" i="12" s="1"/>
  <c r="EE63" i="3"/>
  <c r="CJ63" i="3" s="1"/>
  <c r="EB90" i="3"/>
  <c r="CG90" i="3" s="1"/>
  <c r="EB93" i="3"/>
  <c r="CG93" i="3" s="1"/>
  <c r="AG7" i="11" s="1" a="1"/>
  <c r="AG7" i="11" s="1"/>
  <c r="EB92" i="3"/>
  <c r="CG92" i="3" s="1"/>
  <c r="AG7" i="12" s="1" a="1"/>
  <c r="AG7" i="12" s="1"/>
  <c r="EB91" i="3"/>
  <c r="CG91" i="3" s="1"/>
  <c r="EC90" i="3"/>
  <c r="CH90" i="3" s="1"/>
  <c r="EC93" i="3"/>
  <c r="CH93" i="3" s="1"/>
  <c r="AH7" i="11" s="1" a="1"/>
  <c r="AH7" i="11" s="1"/>
  <c r="EC92" i="3"/>
  <c r="CH92" i="3" s="1"/>
  <c r="AH7" i="12" s="1" a="1"/>
  <c r="AH7" i="12" s="1"/>
  <c r="EC91" i="3"/>
  <c r="CH91" i="3" s="1"/>
  <c r="DP23" i="3"/>
  <c r="BU23" i="3" s="1"/>
  <c r="DP25" i="3"/>
  <c r="BU25" i="3" s="1"/>
  <c r="U8" i="11" s="1" a="1"/>
  <c r="U8" i="11" s="1"/>
  <c r="DP24" i="3"/>
  <c r="BU24" i="3" s="1"/>
  <c r="U8" i="12" s="1" a="1"/>
  <c r="U8" i="12" s="1"/>
  <c r="DP22" i="3"/>
  <c r="BU22" i="3" s="1"/>
  <c r="DZ90" i="3"/>
  <c r="CE90" i="3" s="1"/>
  <c r="DZ91" i="3"/>
  <c r="CE91" i="3" s="1"/>
  <c r="DZ92" i="3"/>
  <c r="CE92" i="3" s="1"/>
  <c r="AE7" i="12" s="1" a="1"/>
  <c r="AE7" i="12" s="1"/>
  <c r="DZ93" i="3"/>
  <c r="CE93" i="3" s="1"/>
  <c r="AE7" i="11" s="1" a="1"/>
  <c r="AE7" i="11" s="1"/>
  <c r="EH53" i="3"/>
  <c r="CM53" i="3" s="1"/>
  <c r="EH54" i="3"/>
  <c r="CM54" i="3" s="1"/>
  <c r="EF10" i="3"/>
  <c r="CK10" i="3" s="1"/>
  <c r="AK6" i="11" s="1" a="1"/>
  <c r="AK6" i="11" s="1"/>
  <c r="EF9" i="3"/>
  <c r="CK9" i="3" s="1"/>
  <c r="AK6" i="12" s="1" a="1"/>
  <c r="AK6" i="12" s="1"/>
  <c r="EF8" i="3"/>
  <c r="CK8" i="3" s="1"/>
  <c r="EF7" i="3"/>
  <c r="CK7" i="3" s="1"/>
  <c r="EQ7" i="3"/>
  <c r="CV7" i="3" s="1"/>
  <c r="EQ8" i="3"/>
  <c r="CV8" i="3" s="1"/>
  <c r="EQ10" i="3"/>
  <c r="CV10" i="3" s="1"/>
  <c r="AV6" i="11" s="1" a="1"/>
  <c r="AV6" i="11" s="1"/>
  <c r="EQ9" i="3"/>
  <c r="CV9" i="3" s="1"/>
  <c r="AV6" i="12" s="1" a="1"/>
  <c r="AV6" i="12" s="1"/>
  <c r="DI70" i="3"/>
  <c r="BN70" i="3" s="1"/>
  <c r="DI69" i="3"/>
  <c r="BN69" i="3" s="1"/>
  <c r="N4" i="10" s="1" a="1"/>
  <c r="N4" i="10" s="1"/>
  <c r="DI72" i="3"/>
  <c r="BN72" i="3" s="1"/>
  <c r="N4" i="13" s="1" a="1"/>
  <c r="N4" i="13" s="1"/>
  <c r="DI71" i="3"/>
  <c r="BN71" i="3" s="1"/>
  <c r="AI55" i="3"/>
  <c r="CE55" i="3" s="1"/>
  <c r="AF55" i="3"/>
  <c r="CB55" i="3" s="1"/>
  <c r="AE42" i="3"/>
  <c r="CA42" i="3" s="1"/>
  <c r="AH11" i="3"/>
  <c r="CD11" i="3" s="1"/>
  <c r="J51" i="3"/>
  <c r="BF51" i="3" s="1"/>
  <c r="T55" i="3"/>
  <c r="BP55" i="3" s="1"/>
  <c r="AF27" i="3"/>
  <c r="CB27" i="3" s="1"/>
  <c r="O51" i="3"/>
  <c r="BK51" i="3" s="1"/>
  <c r="BA95" i="3"/>
  <c r="CW95" i="3" s="1"/>
  <c r="AJ68" i="3"/>
  <c r="CF68" i="3" s="1"/>
  <c r="M95" i="3"/>
  <c r="BI95" i="3" s="1"/>
  <c r="AD83" i="3"/>
  <c r="BZ83" i="3" s="1"/>
  <c r="AO95" i="3"/>
  <c r="CK95" i="3" s="1"/>
  <c r="AY95" i="3"/>
  <c r="CU95" i="3" s="1"/>
  <c r="AY83" i="3"/>
  <c r="CU83" i="3" s="1"/>
  <c r="AE83" i="3"/>
  <c r="CA83" i="3" s="1"/>
  <c r="AL35" i="3"/>
  <c r="CH35" i="3" s="1"/>
  <c r="S43" i="3"/>
  <c r="BO43" i="3" s="1"/>
  <c r="AF95" i="3"/>
  <c r="CB95" i="3" s="1"/>
  <c r="AV43" i="3"/>
  <c r="CR43" i="3" s="1"/>
  <c r="AT27" i="3"/>
  <c r="CP27" i="3" s="1"/>
  <c r="K12" i="3"/>
  <c r="BG12" i="3" s="1"/>
  <c r="AP12" i="3"/>
  <c r="CL12" i="3" s="1"/>
  <c r="AO56" i="3"/>
  <c r="CK56" i="3" s="1"/>
  <c r="N83" i="3"/>
  <c r="BJ83" i="3" s="1"/>
  <c r="P68" i="3"/>
  <c r="BL68" i="3" s="1"/>
  <c r="AE95" i="3"/>
  <c r="CA95" i="3" s="1"/>
  <c r="Q83" i="3"/>
  <c r="BM83" i="3" s="1"/>
  <c r="AF12" i="3"/>
  <c r="CB12" i="3" s="1"/>
  <c r="S68" i="3"/>
  <c r="BO68" i="3" s="1"/>
  <c r="AF56" i="3"/>
  <c r="CB56" i="3" s="1"/>
  <c r="L27" i="3"/>
  <c r="BH27" i="3" s="1"/>
  <c r="AZ56" i="3"/>
  <c r="CV56" i="3" s="1"/>
  <c r="AC27" i="3"/>
  <c r="BY27" i="3" s="1"/>
  <c r="Z20" i="3"/>
  <c r="BV20" i="3" s="1"/>
  <c r="AH43" i="3"/>
  <c r="CD43" i="3" s="1"/>
  <c r="J95" i="3"/>
  <c r="BF95" i="3" s="1"/>
  <c r="AD68" i="3"/>
  <c r="BZ68" i="3" s="1"/>
  <c r="P27" i="3"/>
  <c r="BL27" i="3" s="1"/>
  <c r="AP43" i="3"/>
  <c r="CL43" i="3" s="1"/>
  <c r="AF51" i="3"/>
  <c r="CB51" i="3" s="1"/>
  <c r="AB35" i="3"/>
  <c r="BX35" i="3" s="1"/>
  <c r="U27" i="3"/>
  <c r="BQ27" i="3" s="1"/>
  <c r="M27" i="3"/>
  <c r="BI27" i="3" s="1"/>
  <c r="X68" i="3"/>
  <c r="BT68" i="3" s="1"/>
  <c r="AX95" i="3"/>
  <c r="CT95" i="3" s="1"/>
  <c r="J27" i="3"/>
  <c r="BF27" i="3" s="1"/>
  <c r="X95" i="3"/>
  <c r="BT95" i="3" s="1"/>
  <c r="AO68" i="3"/>
  <c r="CK68" i="3" s="1"/>
  <c r="L83" i="3"/>
  <c r="BH83" i="3" s="1"/>
  <c r="AP83" i="3"/>
  <c r="CL83" i="3" s="1"/>
  <c r="T12" i="3"/>
  <c r="BP12" i="3" s="1"/>
  <c r="AM68" i="3"/>
  <c r="CI68" i="3" s="1"/>
  <c r="AE56" i="3"/>
  <c r="CA56" i="3" s="1"/>
  <c r="AC95" i="3"/>
  <c r="BY95" i="3" s="1"/>
  <c r="AS68" i="3"/>
  <c r="CO68" i="3" s="1"/>
  <c r="AI43" i="3"/>
  <c r="CE43" i="3" s="1"/>
  <c r="P12" i="3"/>
  <c r="BL12" i="3" s="1"/>
  <c r="L43" i="3"/>
  <c r="BH43" i="3" s="1"/>
  <c r="N27" i="3"/>
  <c r="BJ27" i="3" s="1"/>
  <c r="BA27" i="3"/>
  <c r="CW27" i="3" s="1"/>
  <c r="W43" i="3"/>
  <c r="BS43" i="3" s="1"/>
  <c r="P95" i="3"/>
  <c r="BL95" i="3" s="1"/>
  <c r="AR103" i="3"/>
  <c r="CN103" i="3" s="1"/>
  <c r="AQ43" i="3"/>
  <c r="CM43" i="3" s="1"/>
  <c r="U43" i="3"/>
  <c r="BQ43" i="3" s="1"/>
  <c r="T83" i="3"/>
  <c r="BP83" i="3" s="1"/>
  <c r="I56" i="3"/>
  <c r="BE56" i="3" s="1"/>
  <c r="BA56" i="3"/>
  <c r="CW56" i="3" s="1"/>
  <c r="O27" i="3"/>
  <c r="BK27" i="3" s="1"/>
  <c r="N56" i="3"/>
  <c r="BJ56" i="3" s="1"/>
  <c r="S12" i="3"/>
  <c r="BO12" i="3" s="1"/>
  <c r="AI38" i="3"/>
  <c r="CE38" i="3" s="1"/>
  <c r="O56" i="3"/>
  <c r="BK56" i="3" s="1"/>
  <c r="AH83" i="3"/>
  <c r="CD83" i="3" s="1"/>
  <c r="J38" i="3"/>
  <c r="BF38" i="3" s="1"/>
  <c r="P43" i="3"/>
  <c r="BL43" i="3" s="1"/>
  <c r="T27" i="3"/>
  <c r="BP27" i="3" s="1"/>
  <c r="W56" i="3"/>
  <c r="BS56" i="3" s="1"/>
  <c r="K43" i="3"/>
  <c r="BG43" i="3" s="1"/>
  <c r="K83" i="3"/>
  <c r="BG83" i="3" s="1"/>
  <c r="I95" i="3"/>
  <c r="BE95" i="3" s="1"/>
  <c r="AF83" i="3"/>
  <c r="CB83" i="3" s="1"/>
  <c r="AZ83" i="3"/>
  <c r="CV83" i="3" s="1"/>
  <c r="Q95" i="3"/>
  <c r="BM95" i="3" s="1"/>
  <c r="AV12" i="3"/>
  <c r="CR12" i="3" s="1"/>
  <c r="AT68" i="3"/>
  <c r="CP68" i="3" s="1"/>
  <c r="Y43" i="3"/>
  <c r="BU43" i="3" s="1"/>
  <c r="Y12" i="3"/>
  <c r="BU12" i="3" s="1"/>
  <c r="J43" i="3"/>
  <c r="BF43" i="3" s="1"/>
  <c r="AW42" i="3"/>
  <c r="CS42" i="3" s="1"/>
  <c r="AZ95" i="3"/>
  <c r="CV95" i="3" s="1"/>
  <c r="AP95" i="3"/>
  <c r="CL95" i="3" s="1"/>
  <c r="AX43" i="3"/>
  <c r="CT43" i="3" s="1"/>
  <c r="N68" i="3"/>
  <c r="BJ68" i="3" s="1"/>
  <c r="AE68" i="3"/>
  <c r="CA68" i="3" s="1"/>
  <c r="AB12" i="3"/>
  <c r="BX12" i="3" s="1"/>
  <c r="Y83" i="3"/>
  <c r="BU83" i="3" s="1"/>
  <c r="Y68" i="3"/>
  <c r="BU68" i="3" s="1"/>
  <c r="Y95" i="3"/>
  <c r="BU95" i="3" s="1"/>
  <c r="N43" i="3"/>
  <c r="BJ43" i="3" s="1"/>
  <c r="M56" i="3"/>
  <c r="BI56" i="3" s="1"/>
  <c r="AI68" i="3"/>
  <c r="CE68" i="3" s="1"/>
  <c r="AU95" i="3"/>
  <c r="CQ95" i="3" s="1"/>
  <c r="AH95" i="3"/>
  <c r="CD95" i="3" s="1"/>
  <c r="AR12" i="3"/>
  <c r="CN12" i="3" s="1"/>
  <c r="T56" i="3"/>
  <c r="BP56" i="3" s="1"/>
  <c r="AL12" i="3"/>
  <c r="CH12" i="3" s="1"/>
  <c r="AS12" i="3"/>
  <c r="CO12" i="3" s="1"/>
  <c r="AH12" i="3"/>
  <c r="CD12" i="3" s="1"/>
  <c r="AG12" i="3"/>
  <c r="CC12" i="3" s="1"/>
  <c r="X27" i="3"/>
  <c r="BT27" i="3" s="1"/>
  <c r="M83" i="3"/>
  <c r="BI83" i="3" s="1"/>
  <c r="J83" i="3"/>
  <c r="BF83" i="3" s="1"/>
  <c r="X83" i="3"/>
  <c r="BT83" i="3" s="1"/>
  <c r="K56" i="3"/>
  <c r="BG56" i="3" s="1"/>
  <c r="AL43" i="3"/>
  <c r="CH43" i="3" s="1"/>
  <c r="AV83" i="3"/>
  <c r="CR83" i="3" s="1"/>
  <c r="AB68" i="3"/>
  <c r="BX68" i="3" s="1"/>
  <c r="AB56" i="3"/>
  <c r="BX56" i="3" s="1"/>
  <c r="AT43" i="3"/>
  <c r="CP43" i="3" s="1"/>
  <c r="AA56" i="3"/>
  <c r="BW56" i="3" s="1"/>
  <c r="Z95" i="3"/>
  <c r="BV95" i="3" s="1"/>
  <c r="AR56" i="3"/>
  <c r="CN56" i="3" s="1"/>
  <c r="AO27" i="3"/>
  <c r="CK27" i="3" s="1"/>
  <c r="AJ12" i="3"/>
  <c r="CF12" i="3" s="1"/>
  <c r="AJ27" i="3"/>
  <c r="CF27" i="3" s="1"/>
  <c r="U68" i="3"/>
  <c r="BQ68" i="3" s="1"/>
  <c r="S56" i="3"/>
  <c r="BO56" i="3" s="1"/>
  <c r="AK83" i="3"/>
  <c r="CG83" i="3" s="1"/>
  <c r="AP56" i="3"/>
  <c r="CL56" i="3" s="1"/>
  <c r="BA43" i="3"/>
  <c r="CW43" i="3" s="1"/>
  <c r="AJ43" i="3"/>
  <c r="CF43" i="3" s="1"/>
  <c r="AT12" i="3"/>
  <c r="CP12" i="3" s="1"/>
  <c r="AH68" i="3"/>
  <c r="CD68" i="3" s="1"/>
  <c r="M12" i="3"/>
  <c r="BI12" i="3" s="1"/>
  <c r="AX83" i="3"/>
  <c r="CT83" i="3" s="1"/>
  <c r="AQ83" i="3"/>
  <c r="CM83" i="3" s="1"/>
  <c r="Q43" i="3"/>
  <c r="BM43" i="3" s="1"/>
  <c r="I27" i="3"/>
  <c r="BE27" i="3" s="1"/>
  <c r="AY56" i="3"/>
  <c r="CU56" i="3" s="1"/>
  <c r="AB43" i="3"/>
  <c r="BX43" i="3" s="1"/>
  <c r="AD43" i="3"/>
  <c r="BZ43" i="3" s="1"/>
  <c r="AN27" i="3"/>
  <c r="CJ27" i="3" s="1"/>
  <c r="AJ56" i="3"/>
  <c r="CF56" i="3" s="1"/>
  <c r="U12" i="3"/>
  <c r="BQ12" i="3" s="1"/>
  <c r="AZ27" i="3"/>
  <c r="CV27" i="3" s="1"/>
  <c r="AE43" i="3"/>
  <c r="CA43" i="3" s="1"/>
  <c r="AY12" i="3"/>
  <c r="CU12" i="3" s="1"/>
  <c r="Z68" i="3"/>
  <c r="BV68" i="3" s="1"/>
  <c r="V12" i="3"/>
  <c r="BR12" i="3" s="1"/>
  <c r="AZ43" i="3"/>
  <c r="CV43" i="3" s="1"/>
  <c r="P83" i="3"/>
  <c r="BL83" i="3" s="1"/>
  <c r="AR83" i="3"/>
  <c r="CN83" i="3" s="1"/>
  <c r="AR95" i="3"/>
  <c r="CN95" i="3" s="1"/>
  <c r="AW56" i="3"/>
  <c r="CS56" i="3" s="1"/>
  <c r="AL83" i="3"/>
  <c r="CH83" i="3" s="1"/>
  <c r="AZ68" i="3"/>
  <c r="CV68" i="3" s="1"/>
  <c r="AU68" i="3"/>
  <c r="CQ68" i="3" s="1"/>
  <c r="AU83" i="3"/>
  <c r="CQ83" i="3" s="1"/>
  <c r="AI12" i="3"/>
  <c r="CE12" i="3" s="1"/>
  <c r="N12" i="3"/>
  <c r="BJ12" i="3" s="1"/>
  <c r="AX12" i="3"/>
  <c r="CT12" i="3" s="1"/>
  <c r="X56" i="3"/>
  <c r="BT56" i="3" s="1"/>
  <c r="AY43" i="3"/>
  <c r="CU43" i="3" s="1"/>
  <c r="U83" i="3"/>
  <c r="BQ83" i="3" s="1"/>
  <c r="O12" i="3"/>
  <c r="BK12" i="3" s="1"/>
  <c r="AI83" i="3"/>
  <c r="CE83" i="3" s="1"/>
  <c r="N95" i="3"/>
  <c r="BJ95" i="3" s="1"/>
  <c r="AD12" i="3"/>
  <c r="BZ12" i="3" s="1"/>
  <c r="AW43" i="3"/>
  <c r="CS43" i="3" s="1"/>
  <c r="T68" i="3"/>
  <c r="BP68" i="3" s="1"/>
  <c r="AK43" i="3"/>
  <c r="CG43" i="3" s="1"/>
  <c r="AE12" i="3"/>
  <c r="CA12" i="3" s="1"/>
  <c r="S83" i="3"/>
  <c r="BO83" i="3" s="1"/>
  <c r="R83" i="3"/>
  <c r="BN83" i="3" s="1"/>
  <c r="AH56" i="3"/>
  <c r="CD56" i="3" s="1"/>
  <c r="J12" i="3"/>
  <c r="BF12" i="3" s="1"/>
  <c r="AD95" i="3"/>
  <c r="BZ95" i="3" s="1"/>
  <c r="AR5" i="3"/>
  <c r="CN5" i="3" s="1"/>
  <c r="X43" i="3"/>
  <c r="BT43" i="3" s="1"/>
  <c r="AY68" i="3"/>
  <c r="CU68" i="3" s="1"/>
  <c r="AW12" i="3"/>
  <c r="CS12" i="3" s="1"/>
  <c r="Q27" i="3"/>
  <c r="BM27" i="3" s="1"/>
  <c r="V43" i="3"/>
  <c r="BR43" i="3" s="1"/>
  <c r="V83" i="3"/>
  <c r="BR83" i="3" s="1"/>
  <c r="U95" i="3"/>
  <c r="BQ95" i="3" s="1"/>
  <c r="AN68" i="3"/>
  <c r="CJ68" i="3" s="1"/>
  <c r="AK95" i="3"/>
  <c r="CG95" i="3" s="1"/>
  <c r="AL95" i="3"/>
  <c r="CH95" i="3" s="1"/>
  <c r="Y27" i="3"/>
  <c r="BU27" i="3" s="1"/>
  <c r="AI95" i="3"/>
  <c r="CE95" i="3" s="1"/>
  <c r="AQ56" i="3"/>
  <c r="CM56" i="3" s="1"/>
  <c r="AO12" i="3"/>
  <c r="CK12" i="3" s="1"/>
  <c r="AZ12" i="3"/>
  <c r="CV12" i="3" s="1"/>
  <c r="AQ95" i="3"/>
  <c r="CM95" i="3" s="1"/>
  <c r="K27" i="3"/>
  <c r="BG27" i="3" s="1"/>
  <c r="L68" i="3"/>
  <c r="BH68" i="3" s="1"/>
  <c r="AC83" i="3"/>
  <c r="BY83" i="3" s="1"/>
  <c r="AM83" i="3"/>
  <c r="CI83" i="3" s="1"/>
  <c r="AA12" i="3"/>
  <c r="BW12" i="3" s="1"/>
  <c r="AA68" i="3"/>
  <c r="BW68" i="3" s="1"/>
  <c r="Z43" i="3"/>
  <c r="BV43" i="3" s="1"/>
  <c r="AS27" i="3"/>
  <c r="CO27" i="3" s="1"/>
  <c r="AS95" i="3"/>
  <c r="CO95" i="3" s="1"/>
  <c r="J56" i="3"/>
  <c r="BF56" i="3" s="1"/>
  <c r="R12" i="3"/>
  <c r="BN12" i="3" s="1"/>
  <c r="AD35" i="3"/>
  <c r="BZ35" i="3" s="1"/>
  <c r="R27" i="3"/>
  <c r="BN27" i="3" s="1"/>
  <c r="V56" i="3"/>
  <c r="BR56" i="3" s="1"/>
  <c r="S27" i="3"/>
  <c r="BO27" i="3" s="1"/>
  <c r="X12" i="3"/>
  <c r="BT12" i="3" s="1"/>
  <c r="O83" i="3"/>
  <c r="BK83" i="3" s="1"/>
  <c r="L20" i="3"/>
  <c r="BH20" i="3" s="1"/>
  <c r="AP68" i="3"/>
  <c r="CL68" i="3" s="1"/>
  <c r="Q56" i="3"/>
  <c r="BM56" i="3" s="1"/>
  <c r="T95" i="3"/>
  <c r="BP95" i="3" s="1"/>
  <c r="AC43" i="3"/>
  <c r="BY43" i="3" s="1"/>
  <c r="R95" i="3"/>
  <c r="BN95" i="3" s="1"/>
  <c r="AV56" i="3"/>
  <c r="CR56" i="3" s="1"/>
  <c r="AB95" i="3"/>
  <c r="BX95" i="3" s="1"/>
  <c r="AA43" i="3"/>
  <c r="BW43" i="3" s="1"/>
  <c r="AA27" i="3"/>
  <c r="BW27" i="3" s="1"/>
  <c r="AG43" i="3"/>
  <c r="CC43" i="3" s="1"/>
  <c r="L12" i="3"/>
  <c r="BH12" i="3" s="1"/>
  <c r="AK27" i="3"/>
  <c r="CG27" i="3" s="1"/>
  <c r="AI27" i="3"/>
  <c r="CE27" i="3" s="1"/>
  <c r="AH27" i="3"/>
  <c r="CD27" i="3" s="1"/>
  <c r="AG27" i="3"/>
  <c r="CC27" i="3" s="1"/>
  <c r="AN12" i="3"/>
  <c r="CJ12" i="3" s="1"/>
  <c r="AM27" i="3"/>
  <c r="CI27" i="3" s="1"/>
  <c r="S95" i="3"/>
  <c r="BO95" i="3" s="1"/>
  <c r="O43" i="3"/>
  <c r="BK43" i="3" s="1"/>
  <c r="X51" i="3"/>
  <c r="BT51" i="3" s="1"/>
  <c r="AC68" i="3"/>
  <c r="BY68" i="3" s="1"/>
  <c r="L95" i="3"/>
  <c r="BH95" i="3" s="1"/>
  <c r="AT83" i="3"/>
  <c r="CP83" i="3" s="1"/>
  <c r="AJ95" i="3"/>
  <c r="CF95" i="3" s="1"/>
  <c r="P56" i="3"/>
  <c r="BL56" i="3" s="1"/>
  <c r="O95" i="3"/>
  <c r="BK95" i="3" s="1"/>
  <c r="AJ38" i="3"/>
  <c r="CF38" i="3" s="1"/>
  <c r="V95" i="3"/>
  <c r="BR95" i="3" s="1"/>
  <c r="U56" i="3"/>
  <c r="BQ56" i="3" s="1"/>
  <c r="K95" i="3"/>
  <c r="BG95" i="3" s="1"/>
  <c r="AF43" i="3"/>
  <c r="CB43" i="3" s="1"/>
  <c r="Q68" i="3"/>
  <c r="BM68" i="3" s="1"/>
  <c r="AK68" i="3"/>
  <c r="CG68" i="3" s="1"/>
  <c r="AF68" i="3"/>
  <c r="CB68" i="3" s="1"/>
  <c r="AV95" i="3"/>
  <c r="CR95" i="3" s="1"/>
  <c r="AB83" i="3"/>
  <c r="BX83" i="3" s="1"/>
  <c r="AA95" i="3"/>
  <c r="BW95" i="3" s="1"/>
  <c r="AS43" i="3"/>
  <c r="CO43" i="3" s="1"/>
  <c r="AR27" i="3"/>
  <c r="CN27" i="3" s="1"/>
  <c r="AQ27" i="3"/>
  <c r="CM27" i="3" s="1"/>
  <c r="AN56" i="3"/>
  <c r="CJ56" i="3" s="1"/>
  <c r="V27" i="3"/>
  <c r="BR27" i="3" s="1"/>
  <c r="Q12" i="3"/>
  <c r="BM12" i="3" s="1"/>
  <c r="AZ5" i="3"/>
  <c r="CV5" i="3" s="1"/>
  <c r="AJ83" i="3"/>
  <c r="CF83" i="3" s="1"/>
  <c r="AO83" i="3"/>
  <c r="CK83" i="3" s="1"/>
  <c r="AN83" i="3"/>
  <c r="CJ83" i="3" s="1"/>
  <c r="AG56" i="3"/>
  <c r="CC56" i="3" s="1"/>
  <c r="AD56" i="3"/>
  <c r="BZ56" i="3" s="1"/>
  <c r="AJ35" i="3"/>
  <c r="CF35" i="3" s="1"/>
  <c r="AW83" i="3"/>
  <c r="CS83" i="3" s="1"/>
  <c r="AW27" i="3"/>
  <c r="CS27" i="3" s="1"/>
  <c r="AW95" i="3"/>
  <c r="CS95" i="3" s="1"/>
  <c r="AN43" i="3"/>
  <c r="CJ43" i="3" s="1"/>
  <c r="AM5" i="3"/>
  <c r="CI5" i="3" s="1"/>
  <c r="K68" i="3"/>
  <c r="BG68" i="3" s="1"/>
  <c r="AC12" i="3"/>
  <c r="BY12" i="3" s="1"/>
  <c r="AE27" i="3"/>
  <c r="CA27" i="3" s="1"/>
  <c r="AC56" i="3"/>
  <c r="BY56" i="3" s="1"/>
  <c r="AU12" i="3"/>
  <c r="CQ12" i="3" s="1"/>
  <c r="AA83" i="3"/>
  <c r="BW83" i="3" s="1"/>
  <c r="AS56" i="3"/>
  <c r="CO56" i="3" s="1"/>
  <c r="I12" i="3"/>
  <c r="BE12" i="3" s="1"/>
  <c r="M43" i="3"/>
  <c r="BI43" i="3" s="1"/>
  <c r="AO43" i="3"/>
  <c r="CK43" i="3" s="1"/>
  <c r="W68" i="3"/>
  <c r="BS68" i="3" s="1"/>
  <c r="AI56" i="3"/>
  <c r="CE56" i="3" s="1"/>
  <c r="AL56" i="3"/>
  <c r="CH56" i="3" s="1"/>
  <c r="M68" i="3"/>
  <c r="BI68" i="3" s="1"/>
  <c r="O68" i="3"/>
  <c r="BK68" i="3" s="1"/>
  <c r="BA83" i="3"/>
  <c r="CW83" i="3" s="1"/>
  <c r="AR43" i="3"/>
  <c r="CN43" i="3" s="1"/>
  <c r="W83" i="3"/>
  <c r="BS83" i="3" s="1"/>
  <c r="V68" i="3"/>
  <c r="BR68" i="3" s="1"/>
  <c r="AN35" i="3"/>
  <c r="CJ35" i="3" s="1"/>
  <c r="L56" i="3"/>
  <c r="BH56" i="3" s="1"/>
  <c r="AM43" i="3"/>
  <c r="CI43" i="3" s="1"/>
  <c r="R43" i="3"/>
  <c r="BN43" i="3" s="1"/>
  <c r="AB27" i="3"/>
  <c r="BX27" i="3" s="1"/>
  <c r="Z83" i="3"/>
  <c r="BV83" i="3" s="1"/>
  <c r="Z12" i="3"/>
  <c r="BV12" i="3" s="1"/>
  <c r="AS83" i="3"/>
  <c r="CO83" i="3" s="1"/>
  <c r="Y56" i="3"/>
  <c r="BU56" i="3" s="1"/>
  <c r="AP27" i="3"/>
  <c r="CL27" i="3" s="1"/>
  <c r="W95" i="3"/>
  <c r="BS95" i="3" s="1"/>
  <c r="AU27" i="3"/>
  <c r="CQ27" i="3" s="1"/>
  <c r="AK56" i="3"/>
  <c r="CG56" i="3" s="1"/>
  <c r="BA12" i="3"/>
  <c r="CW12" i="3" s="1"/>
  <c r="AX27" i="3"/>
  <c r="CT27" i="3" s="1"/>
  <c r="AX42" i="3"/>
  <c r="CT42" i="3" s="1"/>
  <c r="W42" i="3"/>
  <c r="BS42" i="3" s="1"/>
  <c r="R56" i="3"/>
  <c r="BN56" i="3" s="1"/>
  <c r="I43" i="3"/>
  <c r="BE43" i="3" s="1"/>
  <c r="AU43" i="3"/>
  <c r="CQ43" i="3" s="1"/>
  <c r="AT56" i="3"/>
  <c r="CP56" i="3" s="1"/>
  <c r="Z27" i="3"/>
  <c r="BV27" i="3" s="1"/>
  <c r="AQ12" i="3"/>
  <c r="CM12" i="3" s="1"/>
  <c r="AL27" i="3"/>
  <c r="CH27" i="3" s="1"/>
  <c r="W12" i="3"/>
  <c r="BS12" i="3" s="1"/>
  <c r="AG83" i="3"/>
  <c r="CC83" i="3" s="1"/>
  <c r="AM95" i="3"/>
  <c r="CI95" i="3" s="1"/>
  <c r="AG68" i="3"/>
  <c r="CC68" i="3" s="1"/>
  <c r="AD27" i="3"/>
  <c r="BZ27" i="3" s="1"/>
  <c r="AJ5" i="3"/>
  <c r="CF5" i="3" s="1"/>
  <c r="AG95" i="3"/>
  <c r="CC95" i="3" s="1"/>
  <c r="AM12" i="3"/>
  <c r="CI12" i="3" s="1"/>
  <c r="W27" i="3"/>
  <c r="BS27" i="3" s="1"/>
  <c r="I83" i="3"/>
  <c r="BE83" i="3" s="1"/>
  <c r="AE35" i="3"/>
  <c r="CA35" i="3" s="1"/>
  <c r="AK12" i="3"/>
  <c r="CG12" i="3" s="1"/>
  <c r="AL20" i="3"/>
  <c r="CH20" i="3" s="1"/>
  <c r="AN95" i="3"/>
  <c r="CJ95" i="3" s="1"/>
  <c r="T43" i="3"/>
  <c r="BP43" i="3" s="1"/>
  <c r="AL68" i="3"/>
  <c r="CH68" i="3" s="1"/>
  <c r="AV27" i="3"/>
  <c r="CR27" i="3" s="1"/>
  <c r="AU56" i="3"/>
  <c r="CQ56" i="3" s="1"/>
  <c r="AT95" i="3"/>
  <c r="CP95" i="3" s="1"/>
  <c r="Z56" i="3"/>
  <c r="BV56" i="3" s="1"/>
  <c r="AX56" i="3"/>
  <c r="CT56" i="3" s="1"/>
  <c r="AO51" i="3"/>
  <c r="CK51" i="3" s="1"/>
  <c r="O38" i="3"/>
  <c r="BK38" i="3" s="1"/>
  <c r="U35" i="3"/>
  <c r="BQ35" i="3" s="1"/>
  <c r="AK38" i="3"/>
  <c r="CG38" i="3" s="1"/>
  <c r="AK42" i="3"/>
  <c r="CG42" i="3" s="1"/>
  <c r="AI32" i="3"/>
  <c r="CE32" i="3" s="1"/>
  <c r="AO38" i="3"/>
  <c r="CK38" i="3" s="1"/>
  <c r="AC42" i="3"/>
  <c r="BY42" i="3" s="1"/>
  <c r="AH42" i="3"/>
  <c r="CD42" i="3" s="1"/>
  <c r="N35" i="3"/>
  <c r="BJ35" i="3" s="1"/>
  <c r="AG38" i="3"/>
  <c r="CC38" i="3" s="1"/>
  <c r="AM20" i="3"/>
  <c r="CI20" i="3" s="1"/>
  <c r="AC20" i="3"/>
  <c r="BY20" i="3" s="1"/>
  <c r="O20" i="3"/>
  <c r="BK20" i="3" s="1"/>
  <c r="AA38" i="3"/>
  <c r="BW38" i="3" s="1"/>
  <c r="AH51" i="3"/>
  <c r="CD51" i="3" s="1"/>
  <c r="AX55" i="3"/>
  <c r="CT55" i="3" s="1"/>
  <c r="BA42" i="3"/>
  <c r="CW42" i="3" s="1"/>
  <c r="S5" i="3"/>
  <c r="BO5" i="3" s="1"/>
  <c r="AJ55" i="3"/>
  <c r="CF55" i="3" s="1"/>
  <c r="AF38" i="3"/>
  <c r="CB38" i="3" s="1"/>
  <c r="X20" i="3"/>
  <c r="BT20" i="3" s="1"/>
  <c r="AN38" i="3"/>
  <c r="CJ38" i="3" s="1"/>
  <c r="AS20" i="3"/>
  <c r="CO20" i="3" s="1"/>
  <c r="AY20" i="3"/>
  <c r="CU20" i="3" s="1"/>
  <c r="AM11" i="3"/>
  <c r="CI11" i="3" s="1"/>
  <c r="L26" i="3"/>
  <c r="BH26" i="3" s="1"/>
  <c r="AX5" i="3"/>
  <c r="CT5" i="3" s="1"/>
  <c r="J103" i="3"/>
  <c r="BF103" i="3" s="1"/>
  <c r="AR51" i="3"/>
  <c r="CN51" i="3" s="1"/>
  <c r="AA5" i="3"/>
  <c r="BW5" i="3" s="1"/>
  <c r="W20" i="3"/>
  <c r="BS20" i="3" s="1"/>
  <c r="R20" i="3"/>
  <c r="BN20" i="3" s="1"/>
  <c r="V20" i="3"/>
  <c r="BR20" i="3" s="1"/>
  <c r="X42" i="3"/>
  <c r="BT42" i="3" s="1"/>
  <c r="R5" i="3"/>
  <c r="BN5" i="3" s="1"/>
  <c r="T32" i="3"/>
  <c r="BP32" i="3" s="1"/>
  <c r="V42" i="3"/>
  <c r="BR42" i="3" s="1"/>
  <c r="AD20" i="3"/>
  <c r="BZ20" i="3" s="1"/>
  <c r="AD32" i="3"/>
  <c r="BZ32" i="3" s="1"/>
  <c r="P32" i="3"/>
  <c r="BL32" i="3" s="1"/>
  <c r="AJ32" i="3"/>
  <c r="CF32" i="3" s="1"/>
  <c r="AD38" i="3"/>
  <c r="BZ38" i="3" s="1"/>
  <c r="U55" i="3"/>
  <c r="BQ55" i="3" s="1"/>
  <c r="I42" i="3"/>
  <c r="BE42" i="3" s="1"/>
  <c r="Q20" i="3"/>
  <c r="BM20" i="3" s="1"/>
  <c r="AP38" i="3"/>
  <c r="CL38" i="3" s="1"/>
  <c r="T35" i="3"/>
  <c r="BP35" i="3" s="1"/>
  <c r="AT5" i="3"/>
  <c r="CP5" i="3" s="1"/>
  <c r="L5" i="3"/>
  <c r="BH5" i="3" s="1"/>
  <c r="P20" i="3"/>
  <c r="BL20" i="3" s="1"/>
  <c r="N20" i="3"/>
  <c r="BJ20" i="3" s="1"/>
  <c r="M20" i="3"/>
  <c r="BI20" i="3" s="1"/>
  <c r="AG42" i="3"/>
  <c r="CC42" i="3" s="1"/>
  <c r="Z38" i="3"/>
  <c r="BV38" i="3" s="1"/>
  <c r="T38" i="3"/>
  <c r="BP38" i="3" s="1"/>
  <c r="Q5" i="3"/>
  <c r="BM5" i="3" s="1"/>
  <c r="J35" i="3"/>
  <c r="BF35" i="3" s="1"/>
  <c r="AK35" i="3"/>
  <c r="CG35" i="3" s="1"/>
  <c r="AJ42" i="3"/>
  <c r="CF42" i="3" s="1"/>
  <c r="AH20" i="3"/>
  <c r="CD20" i="3" s="1"/>
  <c r="AC55" i="3"/>
  <c r="BY55" i="3" s="1"/>
  <c r="AK20" i="3"/>
  <c r="CG20" i="3" s="1"/>
  <c r="Q35" i="3"/>
  <c r="BM35" i="3" s="1"/>
  <c r="M35" i="3"/>
  <c r="BI35" i="3" s="1"/>
  <c r="AX94" i="3"/>
  <c r="CT94" i="3" s="1"/>
  <c r="AD61" i="3"/>
  <c r="BZ61" i="3" s="1"/>
  <c r="U26" i="3"/>
  <c r="BQ26" i="3" s="1"/>
  <c r="T20" i="3"/>
  <c r="BP20" i="3" s="1"/>
  <c r="AK55" i="3"/>
  <c r="CG55" i="3" s="1"/>
  <c r="S94" i="3"/>
  <c r="BO94" i="3" s="1"/>
  <c r="AE51" i="3"/>
  <c r="CA51" i="3" s="1"/>
  <c r="AV55" i="3"/>
  <c r="CR55" i="3" s="1"/>
  <c r="AD48" i="3"/>
  <c r="BZ48" i="3" s="1"/>
  <c r="AO11" i="3"/>
  <c r="CK11" i="3" s="1"/>
  <c r="AK100" i="3"/>
  <c r="CG100" i="3" s="1"/>
  <c r="P38" i="3"/>
  <c r="BL38" i="3" s="1"/>
  <c r="AM35" i="3"/>
  <c r="CI35" i="3" s="1"/>
  <c r="O55" i="3"/>
  <c r="BK55" i="3" s="1"/>
  <c r="AR11" i="3"/>
  <c r="CN11" i="3" s="1"/>
  <c r="K55" i="3"/>
  <c r="BG55" i="3" s="1"/>
  <c r="Y55" i="3"/>
  <c r="BU55" i="3" s="1"/>
  <c r="M42" i="3"/>
  <c r="BI42" i="3" s="1"/>
  <c r="V26" i="3"/>
  <c r="BR26" i="3" s="1"/>
  <c r="AF35" i="3"/>
  <c r="CB35" i="3" s="1"/>
  <c r="AH38" i="3"/>
  <c r="CD38" i="3" s="1"/>
  <c r="BA32" i="3"/>
  <c r="CW32" i="3" s="1"/>
  <c r="O35" i="3"/>
  <c r="BK35" i="3" s="1"/>
  <c r="AI100" i="3"/>
  <c r="CE100" i="3" s="1"/>
  <c r="AA20" i="3"/>
  <c r="BW20" i="3" s="1"/>
  <c r="Y38" i="3"/>
  <c r="BU38" i="3" s="1"/>
  <c r="J76" i="3"/>
  <c r="BF76" i="3" s="1"/>
  <c r="AO55" i="3"/>
  <c r="CK55" i="3" s="1"/>
  <c r="BA38" i="3"/>
  <c r="CW38" i="3" s="1"/>
  <c r="AH103" i="3"/>
  <c r="CD103" i="3" s="1"/>
  <c r="AN5" i="3"/>
  <c r="CJ5" i="3" s="1"/>
  <c r="AH35" i="3"/>
  <c r="CD35" i="3" s="1"/>
  <c r="AN51" i="3"/>
  <c r="CJ51" i="3" s="1"/>
  <c r="P48" i="3"/>
  <c r="BL48" i="3" s="1"/>
  <c r="AJ26" i="3"/>
  <c r="CF26" i="3" s="1"/>
  <c r="AP35" i="3"/>
  <c r="CL35" i="3" s="1"/>
  <c r="AL5" i="3"/>
  <c r="CH5" i="3" s="1"/>
  <c r="AH55" i="3"/>
  <c r="CD55" i="3" s="1"/>
  <c r="AR26" i="3"/>
  <c r="CN26" i="3" s="1"/>
  <c r="AI48" i="3"/>
  <c r="CE48" i="3" s="1"/>
  <c r="AI11" i="3"/>
  <c r="CE11" i="3" s="1"/>
  <c r="N42" i="3"/>
  <c r="BJ42" i="3" s="1"/>
  <c r="BA11" i="3"/>
  <c r="CW11" i="3" s="1"/>
  <c r="AK5" i="3"/>
  <c r="CG5" i="3" s="1"/>
  <c r="AG26" i="3"/>
  <c r="CC26" i="3" s="1"/>
  <c r="AG55" i="3"/>
  <c r="CC55" i="3" s="1"/>
  <c r="W17" i="3"/>
  <c r="BS17" i="3" s="1"/>
  <c r="W32" i="3"/>
  <c r="BS32" i="3" s="1"/>
  <c r="O67" i="3"/>
  <c r="BK67" i="3" s="1"/>
  <c r="AX88" i="3"/>
  <c r="CT88" i="3" s="1"/>
  <c r="X5" i="3"/>
  <c r="BT5" i="3" s="1"/>
  <c r="AZ35" i="3"/>
  <c r="CV35" i="3" s="1"/>
  <c r="AO103" i="3"/>
  <c r="CK103" i="3" s="1"/>
  <c r="N5" i="3"/>
  <c r="BJ5" i="3" s="1"/>
  <c r="Q11" i="3"/>
  <c r="BM11" i="3" s="1"/>
  <c r="BA35" i="3"/>
  <c r="CW35" i="3" s="1"/>
  <c r="AN103" i="3"/>
  <c r="CJ103" i="3" s="1"/>
  <c r="R35" i="3"/>
  <c r="BN35" i="3" s="1"/>
  <c r="AP51" i="3"/>
  <c r="CL51" i="3" s="1"/>
  <c r="K5" i="3"/>
  <c r="BG5" i="3" s="1"/>
  <c r="AG35" i="3"/>
  <c r="CC35" i="3" s="1"/>
  <c r="M48" i="3"/>
  <c r="BI48" i="3" s="1"/>
  <c r="AM17" i="3"/>
  <c r="CI17" i="3" s="1"/>
  <c r="O61" i="3"/>
  <c r="BK61" i="3" s="1"/>
  <c r="AG48" i="3"/>
  <c r="CC48" i="3" s="1"/>
  <c r="AX38" i="3"/>
  <c r="CT38" i="3" s="1"/>
  <c r="W51" i="3"/>
  <c r="BS51" i="3" s="1"/>
  <c r="M51" i="3"/>
  <c r="BI51" i="3" s="1"/>
  <c r="AI26" i="3"/>
  <c r="CE26" i="3" s="1"/>
  <c r="N51" i="3"/>
  <c r="BJ51" i="3" s="1"/>
  <c r="AJ73" i="3"/>
  <c r="CF73" i="3" s="1"/>
  <c r="AY17" i="3"/>
  <c r="CU17" i="3" s="1"/>
  <c r="AG32" i="3"/>
  <c r="CC32" i="3" s="1"/>
  <c r="N88" i="3"/>
  <c r="BJ88" i="3" s="1"/>
  <c r="BA17" i="3"/>
  <c r="CW17" i="3" s="1"/>
  <c r="M26" i="3"/>
  <c r="BI26" i="3" s="1"/>
  <c r="S76" i="3"/>
  <c r="BO76" i="3" s="1"/>
  <c r="AY35" i="3"/>
  <c r="CU35" i="3" s="1"/>
  <c r="AG20" i="3"/>
  <c r="CC20" i="3" s="1"/>
  <c r="AQ5" i="3"/>
  <c r="CM5" i="3" s="1"/>
  <c r="AX20" i="3"/>
  <c r="CT20" i="3" s="1"/>
  <c r="Z76" i="3"/>
  <c r="BV76" i="3" s="1"/>
  <c r="AS55" i="3"/>
  <c r="CO55" i="3" s="1"/>
  <c r="AG51" i="3"/>
  <c r="CC51" i="3" s="1"/>
  <c r="BA51" i="3"/>
  <c r="CW51" i="3" s="1"/>
  <c r="N26" i="3"/>
  <c r="BJ26" i="3" s="1"/>
  <c r="T26" i="3"/>
  <c r="BP26" i="3" s="1"/>
  <c r="N32" i="3"/>
  <c r="BJ32" i="3" s="1"/>
  <c r="AM32" i="3"/>
  <c r="CI32" i="3" s="1"/>
  <c r="AR42" i="3"/>
  <c r="CN42" i="3" s="1"/>
  <c r="N38" i="3"/>
  <c r="BJ38" i="3" s="1"/>
  <c r="M17" i="3"/>
  <c r="BI17" i="3" s="1"/>
  <c r="AX17" i="3"/>
  <c r="CT17" i="3" s="1"/>
  <c r="AF5" i="3"/>
  <c r="CB5" i="3" s="1"/>
  <c r="AK11" i="3"/>
  <c r="CG11" i="3" s="1"/>
  <c r="Z5" i="3"/>
  <c r="BV5" i="3" s="1"/>
  <c r="AI35" i="3"/>
  <c r="CE35" i="3" s="1"/>
  <c r="AG11" i="3"/>
  <c r="CC11" i="3" s="1"/>
  <c r="V55" i="3"/>
  <c r="BR55" i="3" s="1"/>
  <c r="AK51" i="3"/>
  <c r="CG51" i="3" s="1"/>
  <c r="X17" i="3"/>
  <c r="BT17" i="3" s="1"/>
  <c r="J5" i="3"/>
  <c r="BF5" i="3" s="1"/>
  <c r="AD76" i="3"/>
  <c r="BZ76" i="3" s="1"/>
  <c r="J42" i="3"/>
  <c r="BF42" i="3" s="1"/>
  <c r="AL51" i="3"/>
  <c r="CH51" i="3" s="1"/>
  <c r="AA35" i="3"/>
  <c r="BW35" i="3" s="1"/>
  <c r="X11" i="3"/>
  <c r="BT11" i="3" s="1"/>
  <c r="P5" i="3"/>
  <c r="BL5" i="3" s="1"/>
  <c r="AQ20" i="3"/>
  <c r="CM20" i="3" s="1"/>
  <c r="U11" i="3"/>
  <c r="BQ11" i="3" s="1"/>
  <c r="AP11" i="3"/>
  <c r="CL11" i="3" s="1"/>
  <c r="Q48" i="3"/>
  <c r="BM48" i="3" s="1"/>
  <c r="P11" i="3"/>
  <c r="BL11" i="3" s="1"/>
  <c r="AI103" i="3"/>
  <c r="CE103" i="3" s="1"/>
  <c r="P35" i="3"/>
  <c r="BL35" i="3" s="1"/>
  <c r="AL26" i="3"/>
  <c r="CH26" i="3" s="1"/>
  <c r="V5" i="3"/>
  <c r="BR5" i="3" s="1"/>
  <c r="AH26" i="3"/>
  <c r="CD26" i="3" s="1"/>
  <c r="AM94" i="3"/>
  <c r="CI94" i="3" s="1"/>
  <c r="S61" i="3"/>
  <c r="BO61" i="3" s="1"/>
  <c r="S51" i="3"/>
  <c r="BO51" i="3" s="1"/>
  <c r="AT55" i="3"/>
  <c r="CP55" i="3" s="1"/>
  <c r="AN48" i="3"/>
  <c r="CJ48" i="3" s="1"/>
  <c r="AH100" i="3"/>
  <c r="CD100" i="3" s="1"/>
  <c r="Q38" i="3"/>
  <c r="BM38" i="3" s="1"/>
  <c r="AH76" i="3"/>
  <c r="CD76" i="3" s="1"/>
  <c r="AH32" i="3"/>
  <c r="CD32" i="3" s="1"/>
  <c r="AD51" i="3"/>
  <c r="BZ51" i="3" s="1"/>
  <c r="AX35" i="3"/>
  <c r="CT35" i="3" s="1"/>
  <c r="V73" i="3"/>
  <c r="BR73" i="3" s="1"/>
  <c r="U88" i="3"/>
  <c r="BQ88" i="3" s="1"/>
  <c r="X76" i="3"/>
  <c r="BT76" i="3" s="1"/>
  <c r="AJ20" i="3"/>
  <c r="CF20" i="3" s="1"/>
  <c r="M76" i="3"/>
  <c r="BI76" i="3" s="1"/>
  <c r="AQ103" i="3"/>
  <c r="CM103" i="3" s="1"/>
  <c r="AW20" i="3"/>
  <c r="CS20" i="3" s="1"/>
  <c r="AP82" i="3"/>
  <c r="CL82" i="3" s="1"/>
  <c r="AN67" i="3"/>
  <c r="CJ67" i="3" s="1"/>
  <c r="AK73" i="3"/>
  <c r="CG73" i="3" s="1"/>
  <c r="P17" i="3"/>
  <c r="BL17" i="3" s="1"/>
  <c r="X103" i="3"/>
  <c r="BT103" i="3" s="1"/>
  <c r="AN32" i="3"/>
  <c r="CJ32" i="3" s="1"/>
  <c r="AL11" i="3"/>
  <c r="CH11" i="3" s="1"/>
  <c r="P26" i="3"/>
  <c r="BL26" i="3" s="1"/>
  <c r="AX103" i="3"/>
  <c r="CT103" i="3" s="1"/>
  <c r="AJ51" i="3"/>
  <c r="CF51" i="3" s="1"/>
  <c r="L61" i="3"/>
  <c r="BH61" i="3" s="1"/>
  <c r="U32" i="3"/>
  <c r="BQ32" i="3" s="1"/>
  <c r="AN11" i="3"/>
  <c r="CJ11" i="3" s="1"/>
  <c r="AK103" i="3"/>
  <c r="CG103" i="3" s="1"/>
  <c r="M38" i="3"/>
  <c r="BI38" i="3" s="1"/>
  <c r="AI51" i="3"/>
  <c r="CE51" i="3" s="1"/>
  <c r="AI42" i="3"/>
  <c r="CE42" i="3" s="1"/>
  <c r="J32" i="3"/>
  <c r="BF32" i="3" s="1"/>
  <c r="N67" i="3"/>
  <c r="BJ67" i="3" s="1"/>
  <c r="AN42" i="3"/>
  <c r="CJ42" i="3" s="1"/>
  <c r="AI76" i="3"/>
  <c r="CE76" i="3" s="1"/>
  <c r="AZ55" i="3"/>
  <c r="CV55" i="3" s="1"/>
  <c r="T51" i="3"/>
  <c r="BP51" i="3" s="1"/>
  <c r="AM67" i="3"/>
  <c r="CI67" i="3" s="1"/>
  <c r="M32" i="3"/>
  <c r="BI32" i="3" s="1"/>
  <c r="AG5" i="3"/>
  <c r="CC5" i="3" s="1"/>
  <c r="AN76" i="3"/>
  <c r="CJ76" i="3" s="1"/>
  <c r="Y17" i="3"/>
  <c r="BU17" i="3" s="1"/>
  <c r="N73" i="3"/>
  <c r="BJ73" i="3" s="1"/>
  <c r="S32" i="3"/>
  <c r="BO32" i="3" s="1"/>
  <c r="AE48" i="3"/>
  <c r="CA48" i="3" s="1"/>
  <c r="X73" i="3"/>
  <c r="BT73" i="3" s="1"/>
  <c r="AH88" i="3"/>
  <c r="CD88" i="3" s="1"/>
  <c r="AJ76" i="3"/>
  <c r="CF76" i="3" s="1"/>
  <c r="AR35" i="3"/>
  <c r="CN35" i="3" s="1"/>
  <c r="V35" i="3"/>
  <c r="BR35" i="3" s="1"/>
  <c r="U76" i="3"/>
  <c r="BQ76" i="3" s="1"/>
  <c r="AM42" i="3"/>
  <c r="CI42" i="3" s="1"/>
  <c r="AF42" i="3"/>
  <c r="CB42" i="3" s="1"/>
  <c r="AD5" i="3"/>
  <c r="BZ5" i="3" s="1"/>
  <c r="AO5" i="3"/>
  <c r="CK5" i="3" s="1"/>
  <c r="S35" i="3"/>
  <c r="BO35" i="3" s="1"/>
  <c r="AU26" i="3"/>
  <c r="CQ26" i="3" s="1"/>
  <c r="AA42" i="3"/>
  <c r="BW42" i="3" s="1"/>
  <c r="BA55" i="3"/>
  <c r="CW55" i="3" s="1"/>
  <c r="AH5" i="3"/>
  <c r="CD5" i="3" s="1"/>
  <c r="AC103" i="3"/>
  <c r="BY103" i="3" s="1"/>
  <c r="AG61" i="3"/>
  <c r="CC61" i="3" s="1"/>
  <c r="AJ82" i="3"/>
  <c r="CF82" i="3" s="1"/>
  <c r="AR94" i="3"/>
  <c r="CN94" i="3" s="1"/>
  <c r="I76" i="3"/>
  <c r="BE76" i="3" s="1"/>
  <c r="AI88" i="3"/>
  <c r="CE88" i="3" s="1"/>
  <c r="AQ48" i="3"/>
  <c r="CM48" i="3" s="1"/>
  <c r="J20" i="3"/>
  <c r="BF20" i="3" s="1"/>
  <c r="AJ17" i="3"/>
  <c r="CF17" i="3" s="1"/>
  <c r="AO32" i="3"/>
  <c r="CK32" i="3" s="1"/>
  <c r="AC35" i="3"/>
  <c r="BY35" i="3" s="1"/>
  <c r="AB103" i="3"/>
  <c r="BX103" i="3" s="1"/>
  <c r="M5" i="3"/>
  <c r="BI5" i="3" s="1"/>
  <c r="BA5" i="3"/>
  <c r="CW5" i="3" s="1"/>
  <c r="AN88" i="3"/>
  <c r="CJ88" i="3" s="1"/>
  <c r="AZ103" i="3"/>
  <c r="CV103" i="3" s="1"/>
  <c r="AG67" i="3"/>
  <c r="CC67" i="3" s="1"/>
  <c r="AN20" i="3"/>
  <c r="CJ20" i="3" s="1"/>
  <c r="J26" i="3"/>
  <c r="BF26" i="3" s="1"/>
  <c r="AD17" i="3"/>
  <c r="BZ17" i="3" s="1"/>
  <c r="AR20" i="3"/>
  <c r="CN20" i="3" s="1"/>
  <c r="V94" i="3"/>
  <c r="BR94" i="3" s="1"/>
  <c r="AQ11" i="3"/>
  <c r="CM11" i="3" s="1"/>
  <c r="AT42" i="3"/>
  <c r="CP42" i="3" s="1"/>
  <c r="M55" i="3"/>
  <c r="BI55" i="3" s="1"/>
  <c r="O11" i="3"/>
  <c r="BK11" i="3" s="1"/>
  <c r="AQ35" i="3"/>
  <c r="CM35" i="3" s="1"/>
  <c r="AF61" i="3"/>
  <c r="CB61" i="3" s="1"/>
  <c r="AP5" i="3"/>
  <c r="CL5" i="3" s="1"/>
  <c r="AX82" i="3"/>
  <c r="CT82" i="3" s="1"/>
  <c r="AT26" i="3"/>
  <c r="CP26" i="3" s="1"/>
  <c r="AT100" i="3"/>
  <c r="CP100" i="3" s="1"/>
  <c r="AS51" i="3"/>
  <c r="CO51" i="3" s="1"/>
  <c r="Y35" i="3"/>
  <c r="BU35" i="3" s="1"/>
  <c r="Y82" i="3"/>
  <c r="BU82" i="3" s="1"/>
  <c r="AJ48" i="3"/>
  <c r="CF48" i="3" s="1"/>
  <c r="R26" i="3"/>
  <c r="BN26" i="3" s="1"/>
  <c r="BA26" i="3"/>
  <c r="CW26" i="3" s="1"/>
  <c r="O26" i="3"/>
  <c r="BK26" i="3" s="1"/>
  <c r="AF67" i="3"/>
  <c r="CB67" i="3" s="1"/>
  <c r="O32" i="3"/>
  <c r="BK32" i="3" s="1"/>
  <c r="P76" i="3"/>
  <c r="BL76" i="3" s="1"/>
  <c r="AQ17" i="3"/>
  <c r="CM17" i="3" s="1"/>
  <c r="AK76" i="3"/>
  <c r="CG76" i="3" s="1"/>
  <c r="N11" i="3"/>
  <c r="BJ11" i="3" s="1"/>
  <c r="V17" i="3"/>
  <c r="BR17" i="3" s="1"/>
  <c r="K32" i="3"/>
  <c r="BG32" i="3" s="1"/>
  <c r="Q100" i="3"/>
  <c r="BM100" i="3" s="1"/>
  <c r="T5" i="3"/>
  <c r="BP5" i="3" s="1"/>
  <c r="R48" i="3"/>
  <c r="BN48" i="3" s="1"/>
  <c r="AL103" i="3"/>
  <c r="CH103" i="3" s="1"/>
  <c r="AZ17" i="3"/>
  <c r="CV17" i="3" s="1"/>
  <c r="AC5" i="3"/>
  <c r="BY5" i="3" s="1"/>
  <c r="AU38" i="3"/>
  <c r="CQ38" i="3" s="1"/>
  <c r="Q55" i="3"/>
  <c r="BM55" i="3" s="1"/>
  <c r="AP26" i="3"/>
  <c r="CL26" i="3" s="1"/>
  <c r="S55" i="3"/>
  <c r="BO55" i="3" s="1"/>
  <c r="N17" i="3"/>
  <c r="BJ17" i="3" s="1"/>
  <c r="M11" i="3"/>
  <c r="BI11" i="3" s="1"/>
  <c r="M88" i="3"/>
  <c r="BI88" i="3" s="1"/>
  <c r="AD67" i="3"/>
  <c r="BZ67" i="3" s="1"/>
  <c r="W103" i="3"/>
  <c r="BS103" i="3" s="1"/>
  <c r="M67" i="3"/>
  <c r="BI67" i="3" s="1"/>
  <c r="P103" i="3"/>
  <c r="BL103" i="3" s="1"/>
  <c r="AQ26" i="3"/>
  <c r="CM26" i="3" s="1"/>
  <c r="W26" i="3"/>
  <c r="BS26" i="3" s="1"/>
  <c r="AO42" i="3"/>
  <c r="CK42" i="3" s="1"/>
  <c r="U61" i="3"/>
  <c r="BQ61" i="3" s="1"/>
  <c r="U103" i="3"/>
  <c r="BQ103" i="3" s="1"/>
  <c r="R103" i="3"/>
  <c r="BN103" i="3" s="1"/>
  <c r="AA55" i="3"/>
  <c r="BW55" i="3" s="1"/>
  <c r="AS88" i="3"/>
  <c r="CO88" i="3" s="1"/>
  <c r="V11" i="3"/>
  <c r="BR11" i="3" s="1"/>
  <c r="AQ51" i="3"/>
  <c r="CM51" i="3" s="1"/>
  <c r="S17" i="3"/>
  <c r="BO17" i="3" s="1"/>
  <c r="X88" i="3"/>
  <c r="BT88" i="3" s="1"/>
  <c r="U5" i="3"/>
  <c r="BQ5" i="3" s="1"/>
  <c r="AZ20" i="3"/>
  <c r="CV20" i="3" s="1"/>
  <c r="AL67" i="3"/>
  <c r="CH67" i="3" s="1"/>
  <c r="AL76" i="3"/>
  <c r="CH76" i="3" s="1"/>
  <c r="AV17" i="3"/>
  <c r="CR17" i="3" s="1"/>
  <c r="AB55" i="3"/>
  <c r="BX55" i="3" s="1"/>
  <c r="AS100" i="3"/>
  <c r="CO100" i="3" s="1"/>
  <c r="AM103" i="3"/>
  <c r="CI103" i="3" s="1"/>
  <c r="AV26" i="3"/>
  <c r="CR26" i="3" s="1"/>
  <c r="AB5" i="3"/>
  <c r="BX5" i="3" s="1"/>
  <c r="AU55" i="3"/>
  <c r="CQ55" i="3" s="1"/>
  <c r="N61" i="3"/>
  <c r="BJ61" i="3" s="1"/>
  <c r="Q76" i="3"/>
  <c r="BM76" i="3" s="1"/>
  <c r="O5" i="3"/>
  <c r="BK5" i="3" s="1"/>
  <c r="AI94" i="3"/>
  <c r="CE94" i="3" s="1"/>
  <c r="U17" i="3"/>
  <c r="BQ17" i="3" s="1"/>
  <c r="W11" i="3"/>
  <c r="BS11" i="3" s="1"/>
  <c r="AP17" i="3"/>
  <c r="CL17" i="3" s="1"/>
  <c r="AU42" i="3"/>
  <c r="CQ42" i="3" s="1"/>
  <c r="AI82" i="3"/>
  <c r="CE82" i="3" s="1"/>
  <c r="O100" i="3"/>
  <c r="BK100" i="3" s="1"/>
  <c r="AG94" i="3"/>
  <c r="CC94" i="3" s="1"/>
  <c r="L51" i="3"/>
  <c r="BH51" i="3" s="1"/>
  <c r="AX51" i="3"/>
  <c r="CT51" i="3" s="1"/>
  <c r="AG100" i="3"/>
  <c r="CC100" i="3" s="1"/>
  <c r="I51" i="3"/>
  <c r="BE51" i="3" s="1"/>
  <c r="U20" i="3"/>
  <c r="BQ20" i="3" s="1"/>
  <c r="AT20" i="3"/>
  <c r="CP20" i="3" s="1"/>
  <c r="AI20" i="3"/>
  <c r="CE20" i="3" s="1"/>
  <c r="AO20" i="3"/>
  <c r="CK20" i="3" s="1"/>
  <c r="X94" i="3"/>
  <c r="BT94" i="3" s="1"/>
  <c r="AM88" i="3"/>
  <c r="CI88" i="3" s="1"/>
  <c r="R94" i="3"/>
  <c r="BN94" i="3" s="1"/>
  <c r="AZ26" i="3"/>
  <c r="CV26" i="3" s="1"/>
  <c r="AC38" i="3"/>
  <c r="BY38" i="3" s="1"/>
  <c r="T48" i="3"/>
  <c r="BP48" i="3" s="1"/>
  <c r="T103" i="3"/>
  <c r="BP103" i="3" s="1"/>
  <c r="AV103" i="3"/>
  <c r="CR103" i="3" s="1"/>
  <c r="AV100" i="3"/>
  <c r="CR100" i="3" s="1"/>
  <c r="Z11" i="3"/>
  <c r="BV11" i="3" s="1"/>
  <c r="AN26" i="3"/>
  <c r="CJ26" i="3" s="1"/>
  <c r="T73" i="3"/>
  <c r="BP73" i="3" s="1"/>
  <c r="AU35" i="3"/>
  <c r="CQ35" i="3" s="1"/>
  <c r="AS82" i="3"/>
  <c r="CO82" i="3" s="1"/>
  <c r="P61" i="3"/>
  <c r="BL61" i="3" s="1"/>
  <c r="V88" i="3"/>
  <c r="BR88" i="3" s="1"/>
  <c r="AD73" i="3"/>
  <c r="BZ73" i="3" s="1"/>
  <c r="J48" i="3"/>
  <c r="BF48" i="3" s="1"/>
  <c r="X32" i="3"/>
  <c r="BT32" i="3" s="1"/>
  <c r="X55" i="3"/>
  <c r="BT55" i="3" s="1"/>
  <c r="AQ82" i="3"/>
  <c r="CM82" i="3" s="1"/>
  <c r="AO35" i="3"/>
  <c r="CK35" i="3" s="1"/>
  <c r="AY94" i="3"/>
  <c r="CU94" i="3" s="1"/>
  <c r="T76" i="3"/>
  <c r="BP76" i="3" s="1"/>
  <c r="T88" i="3"/>
  <c r="BP88" i="3" s="1"/>
  <c r="AZ76" i="3"/>
  <c r="CV76" i="3" s="1"/>
  <c r="AE67" i="3"/>
  <c r="CA67" i="3" s="1"/>
  <c r="AV5" i="3"/>
  <c r="CR5" i="3" s="1"/>
  <c r="AT38" i="3"/>
  <c r="CP38" i="3" s="1"/>
  <c r="Y5" i="3"/>
  <c r="BU5" i="3" s="1"/>
  <c r="S103" i="3"/>
  <c r="BO103" i="3" s="1"/>
  <c r="R88" i="3"/>
  <c r="BN88" i="3" s="1"/>
  <c r="K17" i="3"/>
  <c r="BG17" i="3" s="1"/>
  <c r="Y11" i="3"/>
  <c r="BU11" i="3" s="1"/>
  <c r="S42" i="3"/>
  <c r="BO42" i="3" s="1"/>
  <c r="AD88" i="3"/>
  <c r="BZ88" i="3" s="1"/>
  <c r="N55" i="3"/>
  <c r="BJ55" i="3" s="1"/>
  <c r="M100" i="3"/>
  <c r="BI100" i="3" s="1"/>
  <c r="AJ11" i="3"/>
  <c r="CF11" i="3" s="1"/>
  <c r="AJ94" i="3"/>
  <c r="CF94" i="3" s="1"/>
  <c r="X61" i="3"/>
  <c r="BT61" i="3" s="1"/>
  <c r="Q26" i="3"/>
  <c r="BM26" i="3" s="1"/>
  <c r="Q88" i="3"/>
  <c r="BM88" i="3" s="1"/>
  <c r="S82" i="3"/>
  <c r="BO82" i="3" s="1"/>
  <c r="AZ48" i="3"/>
  <c r="CV48" i="3" s="1"/>
  <c r="AV51" i="3"/>
  <c r="CR51" i="3" s="1"/>
  <c r="AV94" i="3"/>
  <c r="CR94" i="3" s="1"/>
  <c r="AU100" i="3"/>
  <c r="CQ100" i="3" s="1"/>
  <c r="AO76" i="3"/>
  <c r="CK76" i="3" s="1"/>
  <c r="M73" i="3"/>
  <c r="BI73" i="3" s="1"/>
  <c r="N82" i="3"/>
  <c r="BJ82" i="3" s="1"/>
  <c r="J82" i="3"/>
  <c r="BF82" i="3" s="1"/>
  <c r="AQ38" i="3"/>
  <c r="CM38" i="3" s="1"/>
  <c r="I82" i="3"/>
  <c r="BE82" i="3" s="1"/>
  <c r="K100" i="3"/>
  <c r="BG100" i="3" s="1"/>
  <c r="K88" i="3"/>
  <c r="BG88" i="3" s="1"/>
  <c r="AM73" i="3"/>
  <c r="CI73" i="3" s="1"/>
  <c r="S11" i="3"/>
  <c r="BO11" i="3" s="1"/>
  <c r="AY51" i="3"/>
  <c r="CU51" i="3" s="1"/>
  <c r="AS103" i="3"/>
  <c r="CO103" i="3" s="1"/>
  <c r="M103" i="3"/>
  <c r="BI103" i="3" s="1"/>
  <c r="AD100" i="3"/>
  <c r="BZ100" i="3" s="1"/>
  <c r="AJ61" i="3"/>
  <c r="CF61" i="3" s="1"/>
  <c r="AO17" i="3"/>
  <c r="CK17" i="3" s="1"/>
  <c r="R38" i="3"/>
  <c r="BN38" i="3" s="1"/>
  <c r="AA103" i="3"/>
  <c r="BW103" i="3" s="1"/>
  <c r="Z73" i="3"/>
  <c r="BV73" i="3" s="1"/>
  <c r="AS35" i="3"/>
  <c r="CO35" i="3" s="1"/>
  <c r="V51" i="3"/>
  <c r="BR51" i="3" s="1"/>
  <c r="Q67" i="3"/>
  <c r="BM67" i="3" s="1"/>
  <c r="AK82" i="3"/>
  <c r="CG82" i="3" s="1"/>
  <c r="I67" i="3"/>
  <c r="BE67" i="3" s="1"/>
  <c r="AT32" i="3"/>
  <c r="CP32" i="3" s="1"/>
  <c r="K82" i="3"/>
  <c r="BG82" i="3" s="1"/>
  <c r="O76" i="3"/>
  <c r="BK76" i="3" s="1"/>
  <c r="AH82" i="3"/>
  <c r="CD82" i="3" s="1"/>
  <c r="N103" i="3"/>
  <c r="BJ103" i="3" s="1"/>
  <c r="AX26" i="3"/>
  <c r="CT26" i="3" s="1"/>
  <c r="P94" i="3"/>
  <c r="BL94" i="3" s="1"/>
  <c r="K73" i="3"/>
  <c r="BG73" i="3" s="1"/>
  <c r="AB88" i="3"/>
  <c r="BX88" i="3" s="1"/>
  <c r="N76" i="3"/>
  <c r="BJ76" i="3" s="1"/>
  <c r="AQ88" i="3"/>
  <c r="CM88" i="3" s="1"/>
  <c r="AO100" i="3"/>
  <c r="CK100" i="3" s="1"/>
  <c r="AP20" i="3"/>
  <c r="CL20" i="3" s="1"/>
  <c r="V67" i="3"/>
  <c r="BR67" i="3" s="1"/>
  <c r="U38" i="3"/>
  <c r="BQ38" i="3" s="1"/>
  <c r="AY55" i="3"/>
  <c r="CU55" i="3" s="1"/>
  <c r="Q42" i="3"/>
  <c r="BM42" i="3" s="1"/>
  <c r="AK94" i="3"/>
  <c r="CG94" i="3" s="1"/>
  <c r="K38" i="3"/>
  <c r="BG38" i="3" s="1"/>
  <c r="AF94" i="3"/>
  <c r="CB94" i="3" s="1"/>
  <c r="I32" i="3"/>
  <c r="BE32" i="3" s="1"/>
  <c r="AS38" i="3"/>
  <c r="CO38" i="3" s="1"/>
  <c r="AX61" i="3"/>
  <c r="CT61" i="3" s="1"/>
  <c r="AR88" i="3"/>
  <c r="CN88" i="3" s="1"/>
  <c r="AP73" i="3"/>
  <c r="CL73" i="3" s="1"/>
  <c r="V48" i="3"/>
  <c r="BR48" i="3" s="1"/>
  <c r="U51" i="3"/>
  <c r="BQ51" i="3" s="1"/>
  <c r="U82" i="3"/>
  <c r="BQ82" i="3" s="1"/>
  <c r="AN100" i="3"/>
  <c r="CJ100" i="3" s="1"/>
  <c r="I38" i="3"/>
  <c r="BE38" i="3" s="1"/>
  <c r="Q51" i="3"/>
  <c r="BM51" i="3" s="1"/>
  <c r="AK26" i="3"/>
  <c r="CG26" i="3" s="1"/>
  <c r="R17" i="3"/>
  <c r="BN17" i="3" s="1"/>
  <c r="I55" i="3"/>
  <c r="BE55" i="3" s="1"/>
  <c r="I35" i="3"/>
  <c r="BE35" i="3" s="1"/>
  <c r="I61" i="3"/>
  <c r="BE61" i="3" s="1"/>
  <c r="AV42" i="3"/>
  <c r="CR42" i="3" s="1"/>
  <c r="AB100" i="3"/>
  <c r="BX100" i="3" s="1"/>
  <c r="W67" i="3"/>
  <c r="BS67" i="3" s="1"/>
  <c r="AF32" i="3"/>
  <c r="CB32" i="3" s="1"/>
  <c r="AE20" i="3"/>
  <c r="CA20" i="3" s="1"/>
  <c r="Y67" i="3"/>
  <c r="BU67" i="3" s="1"/>
  <c r="AQ100" i="3"/>
  <c r="CM100" i="3" s="1"/>
  <c r="J17" i="3"/>
  <c r="BF17" i="3" s="1"/>
  <c r="J55" i="3"/>
  <c r="BF55" i="3" s="1"/>
  <c r="AO61" i="3"/>
  <c r="CK61" i="3" s="1"/>
  <c r="AW26" i="3"/>
  <c r="CS26" i="3" s="1"/>
  <c r="AP32" i="3"/>
  <c r="CL32" i="3" s="1"/>
  <c r="AT17" i="3"/>
  <c r="CP17" i="3" s="1"/>
  <c r="R76" i="3"/>
  <c r="BN76" i="3" s="1"/>
  <c r="AS32" i="3"/>
  <c r="CO32" i="3" s="1"/>
  <c r="J61" i="3"/>
  <c r="BF61" i="3" s="1"/>
  <c r="AG17" i="3"/>
  <c r="CC17" i="3" s="1"/>
  <c r="O17" i="3"/>
  <c r="BK17" i="3" s="1"/>
  <c r="M61" i="3"/>
  <c r="BI61" i="3" s="1"/>
  <c r="AJ100" i="3"/>
  <c r="CF100" i="3" s="1"/>
  <c r="AJ103" i="3"/>
  <c r="CF103" i="3" s="1"/>
  <c r="AR38" i="3"/>
  <c r="CN38" i="3" s="1"/>
  <c r="L82" i="3"/>
  <c r="BH82" i="3" s="1"/>
  <c r="AW5" i="3"/>
  <c r="CS5" i="3" s="1"/>
  <c r="AP61" i="3"/>
  <c r="CL61" i="3" s="1"/>
  <c r="AK17" i="3"/>
  <c r="CG17" i="3" s="1"/>
  <c r="X38" i="3"/>
  <c r="BT38" i="3" s="1"/>
  <c r="S26" i="3"/>
  <c r="BO26" i="3" s="1"/>
  <c r="AF20" i="3"/>
  <c r="CB20" i="3" s="1"/>
  <c r="AU32" i="3"/>
  <c r="CQ32" i="3" s="1"/>
  <c r="AU103" i="3"/>
  <c r="CQ103" i="3" s="1"/>
  <c r="AA11" i="3"/>
  <c r="BW11" i="3" s="1"/>
  <c r="Z42" i="3"/>
  <c r="BV42" i="3" s="1"/>
  <c r="J67" i="3"/>
  <c r="BF67" i="3" s="1"/>
  <c r="R11" i="3"/>
  <c r="BN11" i="3" s="1"/>
  <c r="AW100" i="3"/>
  <c r="CS100" i="3" s="1"/>
  <c r="AP48" i="3"/>
  <c r="CL48" i="3" s="1"/>
  <c r="AH17" i="3"/>
  <c r="CD17" i="3" s="1"/>
  <c r="N100" i="3"/>
  <c r="BJ100" i="3" s="1"/>
  <c r="AY5" i="3"/>
  <c r="CU5" i="3" s="1"/>
  <c r="L103" i="3"/>
  <c r="BH103" i="3" s="1"/>
  <c r="AN82" i="3"/>
  <c r="CJ82" i="3" s="1"/>
  <c r="K20" i="3"/>
  <c r="BG20" i="3" s="1"/>
  <c r="AC100" i="3"/>
  <c r="BY100" i="3" s="1"/>
  <c r="AW38" i="3"/>
  <c r="CS38" i="3" s="1"/>
  <c r="AA17" i="3"/>
  <c r="BW17" i="3" s="1"/>
  <c r="Z32" i="3"/>
  <c r="BV32" i="3" s="1"/>
  <c r="Z103" i="3"/>
  <c r="BV103" i="3" s="1"/>
  <c r="AC94" i="3"/>
  <c r="BY94" i="3" s="1"/>
  <c r="AJ67" i="3"/>
  <c r="CF67" i="3" s="1"/>
  <c r="AQ42" i="3"/>
  <c r="CM42" i="3" s="1"/>
  <c r="AO48" i="3"/>
  <c r="CK48" i="3" s="1"/>
  <c r="U67" i="3"/>
  <c r="BQ67" i="3" s="1"/>
  <c r="AN94" i="3"/>
  <c r="CJ94" i="3" s="1"/>
  <c r="K61" i="3"/>
  <c r="BG61" i="3" s="1"/>
  <c r="AW55" i="3"/>
  <c r="CS55" i="3" s="1"/>
  <c r="AK88" i="3"/>
  <c r="CG88" i="3" s="1"/>
  <c r="AF100" i="3"/>
  <c r="CB100" i="3" s="1"/>
  <c r="I73" i="3"/>
  <c r="BE73" i="3" s="1"/>
  <c r="AL17" i="3"/>
  <c r="CH17" i="3" s="1"/>
  <c r="Y20" i="3"/>
  <c r="BU20" i="3" s="1"/>
  <c r="AO82" i="3"/>
  <c r="CK82" i="3" s="1"/>
  <c r="AP42" i="3"/>
  <c r="CL42" i="3" s="1"/>
  <c r="AP100" i="3"/>
  <c r="CL100" i="3" s="1"/>
  <c r="AN55" i="3"/>
  <c r="CJ55" i="3" s="1"/>
  <c r="I103" i="3"/>
  <c r="BE103" i="3" s="1"/>
  <c r="AE17" i="3"/>
  <c r="CA17" i="3" s="1"/>
  <c r="AC26" i="3"/>
  <c r="BY26" i="3" s="1"/>
  <c r="AB26" i="3"/>
  <c r="BX26" i="3" s="1"/>
  <c r="AB11" i="3"/>
  <c r="BX11" i="3" s="1"/>
  <c r="Z35" i="3"/>
  <c r="BV35" i="3" s="1"/>
  <c r="Y26" i="3"/>
  <c r="BU26" i="3" s="1"/>
  <c r="AY42" i="3"/>
  <c r="CU42" i="3" s="1"/>
  <c r="AH73" i="3"/>
  <c r="CD73" i="3" s="1"/>
  <c r="AG88" i="3"/>
  <c r="CC88" i="3" s="1"/>
  <c r="X26" i="3"/>
  <c r="BT26" i="3" s="1"/>
  <c r="AQ32" i="3"/>
  <c r="CM32" i="3" s="1"/>
  <c r="L100" i="3"/>
  <c r="BH100" i="3" s="1"/>
  <c r="AW17" i="3"/>
  <c r="CS17" i="3" s="1"/>
  <c r="V82" i="3"/>
  <c r="BR82" i="3" s="1"/>
  <c r="T94" i="3"/>
  <c r="BP94" i="3" s="1"/>
  <c r="AE32" i="3"/>
  <c r="CA32" i="3" s="1"/>
  <c r="R82" i="3"/>
  <c r="BN82" i="3" s="1"/>
  <c r="K11" i="3"/>
  <c r="BG11" i="3" s="1"/>
  <c r="AC11" i="3"/>
  <c r="BY11" i="3" s="1"/>
  <c r="AV11" i="3"/>
  <c r="CR11" i="3" s="1"/>
  <c r="AB38" i="3"/>
  <c r="BX38" i="3" s="1"/>
  <c r="AU11" i="3"/>
  <c r="CQ11" i="3" s="1"/>
  <c r="AT48" i="3"/>
  <c r="CP48" i="3" s="1"/>
  <c r="AT88" i="3"/>
  <c r="CP88" i="3" s="1"/>
  <c r="AI67" i="3"/>
  <c r="CE67" i="3" s="1"/>
  <c r="AJ88" i="3"/>
  <c r="CF88" i="3" s="1"/>
  <c r="AR55" i="3"/>
  <c r="CN55" i="3" s="1"/>
  <c r="X100" i="3"/>
  <c r="BT100" i="3" s="1"/>
  <c r="AN17" i="3"/>
  <c r="CJ17" i="3" s="1"/>
  <c r="Q103" i="3"/>
  <c r="BM103" i="3" s="1"/>
  <c r="L17" i="3"/>
  <c r="BH17" i="3" s="1"/>
  <c r="AZ88" i="3"/>
  <c r="CV88" i="3" s="1"/>
  <c r="AB42" i="3"/>
  <c r="BX42" i="3" s="1"/>
  <c r="AU17" i="3"/>
  <c r="CQ17" i="3" s="1"/>
  <c r="AA82" i="3"/>
  <c r="BW82" i="3" s="1"/>
  <c r="Z26" i="3"/>
  <c r="BV26" i="3" s="1"/>
  <c r="Z100" i="3"/>
  <c r="BV100" i="3" s="1"/>
  <c r="Y73" i="3"/>
  <c r="BU73" i="3" s="1"/>
  <c r="AI73" i="3"/>
  <c r="CE73" i="3" s="1"/>
  <c r="P42" i="3"/>
  <c r="BL42" i="3" s="1"/>
  <c r="AO73" i="3"/>
  <c r="CK73" i="3" s="1"/>
  <c r="AW11" i="3"/>
  <c r="CS11" i="3" s="1"/>
  <c r="V61" i="3"/>
  <c r="BR61" i="3" s="1"/>
  <c r="AZ38" i="3"/>
  <c r="CV38" i="3" s="1"/>
  <c r="R51" i="3"/>
  <c r="BN51" i="3" s="1"/>
  <c r="AL32" i="3"/>
  <c r="CH32" i="3" s="1"/>
  <c r="AL88" i="3"/>
  <c r="CH88" i="3" s="1"/>
  <c r="AL82" i="3"/>
  <c r="CH82" i="3" s="1"/>
  <c r="AC51" i="3"/>
  <c r="BY51" i="3" s="1"/>
  <c r="AV32" i="3"/>
  <c r="CR32" i="3" s="1"/>
  <c r="AV82" i="3"/>
  <c r="CR82" i="3" s="1"/>
  <c r="Z82" i="3"/>
  <c r="BV82" i="3" s="1"/>
  <c r="AB51" i="3"/>
  <c r="BX51" i="3" s="1"/>
  <c r="AD26" i="3"/>
  <c r="BZ26" i="3" s="1"/>
  <c r="AH94" i="3"/>
  <c r="CD94" i="3" s="1"/>
  <c r="M82" i="3"/>
  <c r="BI82" i="3" s="1"/>
  <c r="W35" i="3"/>
  <c r="BS35" i="3" s="1"/>
  <c r="W88" i="3"/>
  <c r="BS88" i="3" s="1"/>
  <c r="V76" i="3"/>
  <c r="BR76" i="3" s="1"/>
  <c r="U42" i="3"/>
  <c r="BQ42" i="3" s="1"/>
  <c r="AN61" i="3"/>
  <c r="CJ61" i="3" s="1"/>
  <c r="O88" i="3"/>
  <c r="BK88" i="3" s="1"/>
  <c r="AH67" i="3"/>
  <c r="CD67" i="3" s="1"/>
  <c r="BA20" i="3"/>
  <c r="CW20" i="3" s="1"/>
  <c r="BA103" i="3"/>
  <c r="CW103" i="3" s="1"/>
  <c r="P51" i="3"/>
  <c r="BL51" i="3" s="1"/>
  <c r="AL48" i="3"/>
  <c r="CH48" i="3" s="1"/>
  <c r="AY88" i="3"/>
  <c r="CU88" i="3" s="1"/>
  <c r="AW94" i="3"/>
  <c r="CS94" i="3" s="1"/>
  <c r="AW51" i="3"/>
  <c r="CS51" i="3" s="1"/>
  <c r="AW88" i="3"/>
  <c r="CS88" i="3" s="1"/>
  <c r="AP67" i="3"/>
  <c r="CL67" i="3" s="1"/>
  <c r="AP76" i="3"/>
  <c r="CL76" i="3" s="1"/>
  <c r="K76" i="3"/>
  <c r="BG76" i="3" s="1"/>
  <c r="L35" i="3"/>
  <c r="BH35" i="3" s="1"/>
  <c r="Q82" i="3"/>
  <c r="BM82" i="3" s="1"/>
  <c r="AM100" i="3"/>
  <c r="CI100" i="3" s="1"/>
  <c r="AM76" i="3"/>
  <c r="CI76" i="3" s="1"/>
  <c r="R61" i="3"/>
  <c r="BN61" i="3" s="1"/>
  <c r="I20" i="3"/>
  <c r="BE20" i="3" s="1"/>
  <c r="I100" i="3"/>
  <c r="BE100" i="3" s="1"/>
  <c r="AE76" i="3"/>
  <c r="CA76" i="3" s="1"/>
  <c r="AC88" i="3"/>
  <c r="BY88" i="3" s="1"/>
  <c r="L38" i="3"/>
  <c r="BH38" i="3" s="1"/>
  <c r="AU88" i="3"/>
  <c r="CQ88" i="3" s="1"/>
  <c r="AT11" i="3"/>
  <c r="CP11" i="3" s="1"/>
  <c r="AT35" i="3"/>
  <c r="CP35" i="3" s="1"/>
  <c r="Z55" i="3"/>
  <c r="BV55" i="3" s="1"/>
  <c r="AS61" i="3"/>
  <c r="CO61" i="3" s="1"/>
  <c r="Y100" i="3"/>
  <c r="BU100" i="3" s="1"/>
  <c r="L55" i="3"/>
  <c r="BH55" i="3" s="1"/>
  <c r="M94" i="3"/>
  <c r="BI94" i="3" s="1"/>
  <c r="AD103" i="3"/>
  <c r="BZ103" i="3" s="1"/>
  <c r="AK32" i="3"/>
  <c r="CG32" i="3" s="1"/>
  <c r="W61" i="3"/>
  <c r="BS61" i="3" s="1"/>
  <c r="W100" i="3"/>
  <c r="BS100" i="3" s="1"/>
  <c r="AW32" i="3"/>
  <c r="CS32" i="3" s="1"/>
  <c r="AP88" i="3"/>
  <c r="CL88" i="3" s="1"/>
  <c r="V38" i="3"/>
  <c r="BR38" i="3" s="1"/>
  <c r="V100" i="3"/>
  <c r="BR100" i="3" s="1"/>
  <c r="Q73" i="3"/>
  <c r="BM73" i="3" s="1"/>
  <c r="AK48" i="3"/>
  <c r="CG48" i="3" s="1"/>
  <c r="AK67" i="3"/>
  <c r="CG67" i="3" s="1"/>
  <c r="S38" i="3"/>
  <c r="BO38" i="3" s="1"/>
  <c r="AF26" i="3"/>
  <c r="CB26" i="3" s="1"/>
  <c r="I88" i="3"/>
  <c r="BE88" i="3" s="1"/>
  <c r="AL94" i="3"/>
  <c r="CH94" i="3" s="1"/>
  <c r="AE103" i="3"/>
  <c r="CA103" i="3" s="1"/>
  <c r="AT103" i="3"/>
  <c r="CP103" i="3" s="1"/>
  <c r="Y42" i="3"/>
  <c r="BU42" i="3" s="1"/>
  <c r="AP103" i="3"/>
  <c r="CL103" i="3" s="1"/>
  <c r="Y32" i="3"/>
  <c r="BU32" i="3" s="1"/>
  <c r="Y103" i="3"/>
  <c r="BU103" i="3" s="1"/>
  <c r="AI17" i="3"/>
  <c r="CE17" i="3" s="1"/>
  <c r="AH61" i="3"/>
  <c r="CD61" i="3" s="1"/>
  <c r="AG73" i="3"/>
  <c r="CC73" i="3" s="1"/>
  <c r="W5" i="3"/>
  <c r="BS5" i="3" s="1"/>
  <c r="X82" i="3"/>
  <c r="BT82" i="3" s="1"/>
  <c r="AQ55" i="3"/>
  <c r="CM55" i="3" s="1"/>
  <c r="W38" i="3"/>
  <c r="BS38" i="3" s="1"/>
  <c r="AW48" i="3"/>
  <c r="CS48" i="3" s="1"/>
  <c r="AW82" i="3"/>
  <c r="CS82" i="3" s="1"/>
  <c r="AP55" i="3"/>
  <c r="CL55" i="3" s="1"/>
  <c r="AN73" i="3"/>
  <c r="CJ73" i="3" s="1"/>
  <c r="K51" i="3"/>
  <c r="BG51" i="3" s="1"/>
  <c r="K103" i="3"/>
  <c r="BG103" i="3" s="1"/>
  <c r="AF76" i="3"/>
  <c r="CB76" i="3" s="1"/>
  <c r="R55" i="3"/>
  <c r="BN55" i="3" s="1"/>
  <c r="R100" i="3"/>
  <c r="BN100" i="3" s="1"/>
  <c r="AF11" i="3"/>
  <c r="CB11" i="3" s="1"/>
  <c r="AF82" i="3"/>
  <c r="CB82" i="3" s="1"/>
  <c r="AV38" i="3"/>
  <c r="CR38" i="3" s="1"/>
  <c r="AB67" i="3"/>
  <c r="BX67" i="3" s="1"/>
  <c r="AA73" i="3"/>
  <c r="BW73" i="3" s="1"/>
  <c r="AA67" i="3"/>
  <c r="BW67" i="3" s="1"/>
  <c r="AF17" i="3"/>
  <c r="CB17" i="3" s="1"/>
  <c r="AU20" i="3"/>
  <c r="CQ20" i="3" s="1"/>
  <c r="AA88" i="3"/>
  <c r="BW88" i="3" s="1"/>
  <c r="S67" i="3"/>
  <c r="BO67" i="3" s="1"/>
  <c r="T82" i="3"/>
  <c r="BP82" i="3" s="1"/>
  <c r="AF88" i="3"/>
  <c r="CB88" i="3" s="1"/>
  <c r="AG103" i="3"/>
  <c r="CC103" i="3" s="1"/>
  <c r="W76" i="3"/>
  <c r="BS76" i="3" s="1"/>
  <c r="R73" i="3"/>
  <c r="BN73" i="3" s="1"/>
  <c r="I48" i="3"/>
  <c r="BE48" i="3" s="1"/>
  <c r="I11" i="3"/>
  <c r="BE11" i="3" s="1"/>
  <c r="AZ82" i="3"/>
  <c r="CV82" i="3" s="1"/>
  <c r="AC82" i="3"/>
  <c r="BY82" i="3" s="1"/>
  <c r="AV20" i="3"/>
  <c r="CR20" i="3" s="1"/>
  <c r="AB48" i="3"/>
  <c r="BX48" i="3" s="1"/>
  <c r="AB76" i="3"/>
  <c r="BX76" i="3" s="1"/>
  <c r="AU82" i="3"/>
  <c r="CQ82" i="3" s="1"/>
  <c r="AA26" i="3"/>
  <c r="BW26" i="3" s="1"/>
  <c r="AA32" i="3"/>
  <c r="BW32" i="3" s="1"/>
  <c r="AT94" i="3"/>
  <c r="CP94" i="3" s="1"/>
  <c r="Z48" i="3"/>
  <c r="BV48" i="3" s="1"/>
  <c r="Z67" i="3"/>
  <c r="BV67" i="3" s="1"/>
  <c r="Y88" i="3"/>
  <c r="BU88" i="3" s="1"/>
  <c r="AO26" i="3"/>
  <c r="CK26" i="3" s="1"/>
  <c r="P100" i="3"/>
  <c r="BL100" i="3" s="1"/>
  <c r="AR17" i="3"/>
  <c r="CN17" i="3" s="1"/>
  <c r="K48" i="3"/>
  <c r="BG48" i="3" s="1"/>
  <c r="BA82" i="3"/>
  <c r="CW82" i="3" s="1"/>
  <c r="J94" i="3"/>
  <c r="BF94" i="3" s="1"/>
  <c r="AQ94" i="3"/>
  <c r="CM94" i="3" s="1"/>
  <c r="J88" i="3"/>
  <c r="BF88" i="3" s="1"/>
  <c r="O94" i="3"/>
  <c r="BK94" i="3" s="1"/>
  <c r="AX11" i="3"/>
  <c r="CT11" i="3" s="1"/>
  <c r="AI61" i="3"/>
  <c r="CE61" i="3" s="1"/>
  <c r="O42" i="3"/>
  <c r="BK42" i="3" s="1"/>
  <c r="AD82" i="3"/>
  <c r="BZ82" i="3" s="1"/>
  <c r="BA94" i="3"/>
  <c r="CW94" i="3" s="1"/>
  <c r="X67" i="3"/>
  <c r="BT67" i="3" s="1"/>
  <c r="S20" i="3"/>
  <c r="BO20" i="3" s="1"/>
  <c r="W73" i="3"/>
  <c r="BS73" i="3" s="1"/>
  <c r="AY100" i="3"/>
  <c r="CU100" i="3" s="1"/>
  <c r="U73" i="3"/>
  <c r="BQ73" i="3" s="1"/>
  <c r="K26" i="3"/>
  <c r="BG26" i="3" s="1"/>
  <c r="AF48" i="3"/>
  <c r="CB48" i="3" s="1"/>
  <c r="Q32" i="3"/>
  <c r="BM32" i="3" s="1"/>
  <c r="T42" i="3"/>
  <c r="BP42" i="3" s="1"/>
  <c r="AZ51" i="3"/>
  <c r="CV51" i="3" s="1"/>
  <c r="AM26" i="3"/>
  <c r="CI26" i="3" s="1"/>
  <c r="R42" i="3"/>
  <c r="BN42" i="3" s="1"/>
  <c r="AL42" i="3"/>
  <c r="CH42" i="3" s="1"/>
  <c r="AZ94" i="3"/>
  <c r="CV94" i="3" s="1"/>
  <c r="AE100" i="3"/>
  <c r="CA100" i="3" s="1"/>
  <c r="K42" i="3"/>
  <c r="BG42" i="3" s="1"/>
  <c r="L11" i="3"/>
  <c r="BH11" i="3" s="1"/>
  <c r="AB73" i="3"/>
  <c r="BX73" i="3" s="1"/>
  <c r="AU94" i="3"/>
  <c r="CQ94" i="3" s="1"/>
  <c r="AA61" i="3"/>
  <c r="BW61" i="3" s="1"/>
  <c r="AA100" i="3"/>
  <c r="BW100" i="3" s="1"/>
  <c r="Z17" i="3"/>
  <c r="BV17" i="3" s="1"/>
  <c r="Z61" i="3"/>
  <c r="BV61" i="3" s="1"/>
  <c r="AS94" i="3"/>
  <c r="CO94" i="3" s="1"/>
  <c r="Y94" i="3"/>
  <c r="BU94" i="3" s="1"/>
  <c r="Y61" i="3"/>
  <c r="BU61" i="3" s="1"/>
  <c r="J73" i="3"/>
  <c r="BF73" i="3" s="1"/>
  <c r="P67" i="3"/>
  <c r="BL67" i="3" s="1"/>
  <c r="AD11" i="3"/>
  <c r="BZ11" i="3" s="1"/>
  <c r="AK61" i="3"/>
  <c r="CG61" i="3" s="1"/>
  <c r="S73" i="3"/>
  <c r="BO73" i="3" s="1"/>
  <c r="I94" i="3"/>
  <c r="BE94" i="3" s="1"/>
  <c r="AL100" i="3"/>
  <c r="CH100" i="3" s="1"/>
  <c r="AC17" i="3"/>
  <c r="BY17" i="3" s="1"/>
  <c r="AB32" i="3"/>
  <c r="BX32" i="3" s="1"/>
  <c r="AS42" i="3"/>
  <c r="CO42" i="3" s="1"/>
  <c r="Y76" i="3"/>
  <c r="BU76" i="3" s="1"/>
  <c r="P88" i="3"/>
  <c r="BL88" i="3" s="1"/>
  <c r="S88" i="3"/>
  <c r="BO88" i="3" s="1"/>
  <c r="L42" i="3"/>
  <c r="BH42" i="3" s="1"/>
  <c r="AL55" i="3"/>
  <c r="CH55" i="3" s="1"/>
  <c r="AL73" i="3"/>
  <c r="CH73" i="3" s="1"/>
  <c r="AE5" i="3"/>
  <c r="CA5" i="3" s="1"/>
  <c r="AE73" i="3"/>
  <c r="CA73" i="3" s="1"/>
  <c r="AF103" i="3"/>
  <c r="CB103" i="3" s="1"/>
  <c r="AU5" i="3"/>
  <c r="CQ5" i="3" s="1"/>
  <c r="AA76" i="3"/>
  <c r="BW76" i="3" s="1"/>
  <c r="Z88" i="3"/>
  <c r="BV88" i="3" s="1"/>
  <c r="AS5" i="3"/>
  <c r="CO5" i="3" s="1"/>
  <c r="AS26" i="3"/>
  <c r="CO26" i="3" s="1"/>
  <c r="Y51" i="3"/>
  <c r="BU51" i="3" s="1"/>
  <c r="Y48" i="3"/>
  <c r="BU48" i="3" s="1"/>
  <c r="AE11" i="3"/>
  <c r="CA11" i="3" s="1"/>
  <c r="R32" i="3"/>
  <c r="BN32" i="3" s="1"/>
  <c r="P82" i="3"/>
  <c r="BL82" i="3" s="1"/>
  <c r="T61" i="3"/>
  <c r="BP61" i="3" s="1"/>
  <c r="AZ100" i="3"/>
  <c r="CV100" i="3" s="1"/>
  <c r="Q61" i="3"/>
  <c r="BM61" i="3" s="1"/>
  <c r="I5" i="3"/>
  <c r="BE5" i="3" s="1"/>
  <c r="X48" i="3"/>
  <c r="BT48" i="3" s="1"/>
  <c r="AZ11" i="3"/>
  <c r="CV11" i="3" s="1"/>
  <c r="J11" i="3"/>
  <c r="BF11" i="3" s="1"/>
  <c r="O82" i="3"/>
  <c r="BK82" i="3" s="1"/>
  <c r="AX100" i="3"/>
  <c r="CT100" i="3" s="1"/>
  <c r="AY82" i="3"/>
  <c r="CU82" i="3" s="1"/>
  <c r="AW35" i="3"/>
  <c r="CS35" i="3" s="1"/>
  <c r="U48" i="3"/>
  <c r="BQ48" i="3" s="1"/>
  <c r="N94" i="3"/>
  <c r="BJ94" i="3" s="1"/>
  <c r="AG82" i="3"/>
  <c r="CC82" i="3" s="1"/>
  <c r="J100" i="3"/>
  <c r="BF100" i="3" s="1"/>
  <c r="X35" i="3"/>
  <c r="BT35" i="3" s="1"/>
  <c r="AY103" i="3"/>
  <c r="CU103" i="3" s="1"/>
  <c r="AW103" i="3"/>
  <c r="CS103" i="3" s="1"/>
  <c r="U94" i="3"/>
  <c r="BQ94" i="3" s="1"/>
  <c r="AP94" i="3"/>
  <c r="CL94" i="3" s="1"/>
  <c r="AZ42" i="3"/>
  <c r="CV42" i="3" s="1"/>
  <c r="AM82" i="3"/>
  <c r="CI82" i="3" s="1"/>
  <c r="AM51" i="3"/>
  <c r="CI51" i="3" s="1"/>
  <c r="R67" i="3"/>
  <c r="BN67" i="3" s="1"/>
  <c r="AY38" i="3"/>
  <c r="CU38" i="3" s="1"/>
  <c r="AF73" i="3"/>
  <c r="CB73" i="3" s="1"/>
  <c r="I26" i="3"/>
  <c r="BE26" i="3" s="1"/>
  <c r="AE82" i="3"/>
  <c r="CA82" i="3" s="1"/>
  <c r="AE88" i="3"/>
  <c r="CA88" i="3" s="1"/>
  <c r="AV88" i="3"/>
  <c r="CR88" i="3" s="1"/>
  <c r="AB17" i="3"/>
  <c r="BX17" i="3" s="1"/>
  <c r="AB94" i="3"/>
  <c r="BX94" i="3" s="1"/>
  <c r="AA51" i="3"/>
  <c r="BW51" i="3" s="1"/>
  <c r="AT82" i="3"/>
  <c r="CP82" i="3" s="1"/>
  <c r="Z51" i="3"/>
  <c r="BV51" i="3" s="1"/>
  <c r="AS11" i="3"/>
  <c r="CO11" i="3" s="1"/>
  <c r="AH48" i="3"/>
  <c r="CD48" i="3" s="1"/>
  <c r="Q94" i="3"/>
  <c r="BM94" i="3" s="1"/>
  <c r="O103" i="3"/>
  <c r="BK103" i="3" s="1"/>
  <c r="AR100" i="3"/>
  <c r="CN100" i="3" s="1"/>
  <c r="T67" i="3"/>
  <c r="BP67" i="3" s="1"/>
  <c r="K94" i="3"/>
  <c r="BG94" i="3" s="1"/>
  <c r="N48" i="3"/>
  <c r="BJ48" i="3" s="1"/>
  <c r="BA88" i="3"/>
  <c r="CW88" i="3" s="1"/>
  <c r="W55" i="3"/>
  <c r="BS55" i="3" s="1"/>
  <c r="AG76" i="3"/>
  <c r="CC76" i="3" s="1"/>
  <c r="AD94" i="3"/>
  <c r="BZ94" i="3" s="1"/>
  <c r="P55" i="3"/>
  <c r="BL55" i="3" s="1"/>
  <c r="W94" i="3"/>
  <c r="BS94" i="3" s="1"/>
  <c r="AR82" i="3"/>
  <c r="CN82" i="3" s="1"/>
  <c r="L88" i="3"/>
  <c r="BH88" i="3" s="1"/>
  <c r="T11" i="3"/>
  <c r="BP11" i="3" s="1"/>
  <c r="V103" i="3"/>
  <c r="BR103" i="3" s="1"/>
  <c r="U100" i="3"/>
  <c r="BQ100" i="3" s="1"/>
  <c r="O73" i="3"/>
  <c r="BK73" i="3" s="1"/>
  <c r="BA100" i="3"/>
  <c r="CW100" i="3" s="1"/>
  <c r="P73" i="3"/>
  <c r="BL73" i="3" s="1"/>
  <c r="AR32" i="3"/>
  <c r="CN32" i="3" s="1"/>
  <c r="Q17" i="3"/>
  <c r="BM17" i="3" s="1"/>
  <c r="W82" i="3"/>
  <c r="BS82" i="3" s="1"/>
  <c r="AO88" i="3"/>
  <c r="CK88" i="3" s="1"/>
  <c r="AY11" i="3"/>
  <c r="CU11" i="3" s="1"/>
  <c r="AY26" i="3"/>
  <c r="CU26" i="3" s="1"/>
  <c r="V32" i="3"/>
  <c r="BR32" i="3" s="1"/>
  <c r="K35" i="3"/>
  <c r="BG35" i="3" s="1"/>
  <c r="K67" i="3"/>
  <c r="BG67" i="3" s="1"/>
  <c r="T17" i="3"/>
  <c r="BP17" i="3" s="1"/>
  <c r="T100" i="3"/>
  <c r="BP100" i="3" s="1"/>
  <c r="S100" i="3"/>
  <c r="BO100" i="3" s="1"/>
  <c r="I17" i="3"/>
  <c r="BE17" i="3" s="1"/>
  <c r="AE26" i="3"/>
  <c r="CA26" i="3" s="1"/>
  <c r="AV35" i="3"/>
  <c r="CR35" i="3" s="1"/>
  <c r="AB61" i="3"/>
  <c r="BX61" i="3" s="1"/>
  <c r="AB20" i="3"/>
  <c r="BX20" i="3" s="1"/>
  <c r="AB82" i="3"/>
  <c r="BX82" i="3" s="1"/>
  <c r="AU51" i="3"/>
  <c r="CQ51" i="3" s="1"/>
  <c r="AA94" i="3"/>
  <c r="BW94" i="3" s="1"/>
  <c r="AT51" i="3"/>
  <c r="CP51" i="3" s="1"/>
  <c r="Z94" i="3"/>
  <c r="BV94" i="3" s="1"/>
  <c r="AS17" i="3"/>
  <c r="CO17" i="3" s="1"/>
  <c r="AG31" i="7"/>
  <c r="AG44" i="7"/>
  <c r="AH52" i="1" s="1"/>
  <c r="AL44" i="7"/>
  <c r="AM52" i="1" s="1"/>
  <c r="AW3" i="9"/>
  <c r="AV3" i="9"/>
  <c r="AU3" i="9"/>
  <c r="AT3" i="9"/>
  <c r="AS3" i="9"/>
  <c r="AR3" i="9"/>
  <c r="AQ3" i="9"/>
  <c r="AP3" i="9"/>
  <c r="AO3" i="9"/>
  <c r="AN3" i="9"/>
  <c r="AM3" i="9"/>
  <c r="AK3" i="9"/>
  <c r="AW34" i="14"/>
  <c r="AV34" i="14"/>
  <c r="AU34" i="14"/>
  <c r="AT34" i="14"/>
  <c r="AS34" i="14"/>
  <c r="AR34" i="14"/>
  <c r="AQ34" i="14"/>
  <c r="AP34" i="14"/>
  <c r="AO34" i="14"/>
  <c r="AN34" i="14"/>
  <c r="AM34" i="14"/>
  <c r="AK34" i="14"/>
  <c r="AW33" i="14"/>
  <c r="AV33" i="14"/>
  <c r="AU33" i="14"/>
  <c r="AT33" i="14"/>
  <c r="AS33" i="14"/>
  <c r="AR33" i="14"/>
  <c r="AQ33" i="14"/>
  <c r="AP33" i="14"/>
  <c r="AO33" i="14"/>
  <c r="AN33" i="14"/>
  <c r="AM33" i="14"/>
  <c r="AK33" i="14"/>
  <c r="AW32" i="14"/>
  <c r="AV32" i="14"/>
  <c r="AU32" i="14"/>
  <c r="AT32" i="14"/>
  <c r="AS32" i="14"/>
  <c r="AR32" i="14"/>
  <c r="AQ32" i="14"/>
  <c r="AP32" i="14"/>
  <c r="AO32" i="14"/>
  <c r="AN32" i="14"/>
  <c r="AM32" i="14"/>
  <c r="AK32" i="14"/>
  <c r="AW31" i="14"/>
  <c r="AV31" i="14"/>
  <c r="AU31" i="14"/>
  <c r="AT31" i="14"/>
  <c r="AS31" i="14"/>
  <c r="AR31" i="14"/>
  <c r="AQ31" i="14"/>
  <c r="AP31" i="14"/>
  <c r="AO31" i="14"/>
  <c r="AN31" i="14"/>
  <c r="AM31" i="14"/>
  <c r="AK31" i="14"/>
  <c r="AW30" i="14"/>
  <c r="AV30" i="14"/>
  <c r="AU30" i="14"/>
  <c r="AT30" i="14"/>
  <c r="AS30" i="14"/>
  <c r="AR30" i="14"/>
  <c r="AQ30" i="14"/>
  <c r="AP30" i="14"/>
  <c r="AO30" i="14"/>
  <c r="AN30" i="14"/>
  <c r="AM30" i="14"/>
  <c r="AK30" i="14"/>
  <c r="AW3" i="14"/>
  <c r="AW44" i="14" s="1"/>
  <c r="AV3" i="14"/>
  <c r="AV44" i="14" s="1"/>
  <c r="AU3" i="14"/>
  <c r="AU44" i="14" s="1"/>
  <c r="AT3" i="14"/>
  <c r="AT44" i="14" s="1"/>
  <c r="AS3" i="14"/>
  <c r="AS44" i="14" s="1"/>
  <c r="AR3" i="14"/>
  <c r="AR44" i="14" s="1"/>
  <c r="AQ3" i="14"/>
  <c r="AQ44" i="14" s="1"/>
  <c r="AP3" i="14"/>
  <c r="AP44" i="14" s="1"/>
  <c r="AO3" i="14"/>
  <c r="AO44" i="14" s="1"/>
  <c r="AN3" i="14"/>
  <c r="AN44" i="14" s="1"/>
  <c r="AM3" i="14"/>
  <c r="AM44" i="14" s="1"/>
  <c r="AK3" i="14"/>
  <c r="AK44" i="14" s="1"/>
  <c r="AW34" i="13"/>
  <c r="AV34" i="13"/>
  <c r="AU34" i="13"/>
  <c r="AT34" i="13"/>
  <c r="AS34" i="13"/>
  <c r="AR34" i="13"/>
  <c r="AQ34" i="13"/>
  <c r="AP34" i="13"/>
  <c r="AO34" i="13"/>
  <c r="AN34" i="13"/>
  <c r="AM34" i="13"/>
  <c r="AK34" i="13"/>
  <c r="AW33" i="13"/>
  <c r="AV33" i="13"/>
  <c r="AU33" i="13"/>
  <c r="AT33" i="13"/>
  <c r="AS33" i="13"/>
  <c r="AR33" i="13"/>
  <c r="AQ33" i="13"/>
  <c r="AP33" i="13"/>
  <c r="AO33" i="13"/>
  <c r="AN33" i="13"/>
  <c r="AM33" i="13"/>
  <c r="AK33" i="13"/>
  <c r="AW32" i="13"/>
  <c r="AV32" i="13"/>
  <c r="AU32" i="13"/>
  <c r="AT32" i="13"/>
  <c r="AS32" i="13"/>
  <c r="AR32" i="13"/>
  <c r="AQ32" i="13"/>
  <c r="AP32" i="13"/>
  <c r="AO32" i="13"/>
  <c r="AN32" i="13"/>
  <c r="AM32" i="13"/>
  <c r="AK32" i="13"/>
  <c r="AW30" i="13"/>
  <c r="AV30" i="13"/>
  <c r="AU30" i="13"/>
  <c r="AT30" i="13"/>
  <c r="AS30" i="13"/>
  <c r="AR30" i="13"/>
  <c r="AQ30" i="13"/>
  <c r="AP30" i="13"/>
  <c r="AO30" i="13"/>
  <c r="AN30" i="13"/>
  <c r="AM30" i="13"/>
  <c r="AK30" i="13"/>
  <c r="AW3" i="13"/>
  <c r="AW44" i="13" s="1"/>
  <c r="AV3" i="13"/>
  <c r="AV44" i="13" s="1"/>
  <c r="AU3" i="13"/>
  <c r="AU44" i="13" s="1"/>
  <c r="AT3" i="13"/>
  <c r="AT44" i="13" s="1"/>
  <c r="AS3" i="13"/>
  <c r="AS44" i="13" s="1"/>
  <c r="AR3" i="13"/>
  <c r="AR44" i="13" s="1"/>
  <c r="AQ3" i="13"/>
  <c r="AQ44" i="13" s="1"/>
  <c r="AP3" i="13"/>
  <c r="AP44" i="13" s="1"/>
  <c r="AO3" i="13"/>
  <c r="AO44" i="13" s="1"/>
  <c r="AN3" i="13"/>
  <c r="AN44" i="13" s="1"/>
  <c r="AM3" i="13"/>
  <c r="AM44" i="13" s="1"/>
  <c r="AK3" i="13"/>
  <c r="AK44" i="13" s="1"/>
  <c r="AW34" i="10"/>
  <c r="AV34" i="10"/>
  <c r="AU34" i="10"/>
  <c r="AT34" i="10"/>
  <c r="AS34" i="10"/>
  <c r="AR34" i="10"/>
  <c r="AQ34" i="10"/>
  <c r="AP34" i="10"/>
  <c r="AO34" i="10"/>
  <c r="AN34" i="10"/>
  <c r="AM34" i="10"/>
  <c r="AL34" i="10"/>
  <c r="AK34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W44" i="10"/>
  <c r="AV44" i="10"/>
  <c r="AU44" i="10"/>
  <c r="AT44" i="10"/>
  <c r="AS44" i="10"/>
  <c r="AR44" i="10"/>
  <c r="AQ44" i="10"/>
  <c r="AP44" i="10"/>
  <c r="AO44" i="10"/>
  <c r="AN44" i="10"/>
  <c r="AM44" i="10"/>
  <c r="AL44" i="10"/>
  <c r="AK44" i="10"/>
  <c r="AW34" i="7"/>
  <c r="AV34" i="7"/>
  <c r="AU34" i="7"/>
  <c r="AT34" i="7"/>
  <c r="AS34" i="7"/>
  <c r="AR34" i="7"/>
  <c r="AQ34" i="7"/>
  <c r="AP34" i="7"/>
  <c r="AO34" i="7"/>
  <c r="AN34" i="7"/>
  <c r="AM34" i="7"/>
  <c r="AK34" i="7"/>
  <c r="AW33" i="7"/>
  <c r="AV33" i="7"/>
  <c r="AU33" i="7"/>
  <c r="AT33" i="7"/>
  <c r="AS33" i="7"/>
  <c r="AR33" i="7"/>
  <c r="AQ33" i="7"/>
  <c r="AP33" i="7"/>
  <c r="AO33" i="7"/>
  <c r="AN33" i="7"/>
  <c r="AM33" i="7"/>
  <c r="AK33" i="7"/>
  <c r="AW32" i="7"/>
  <c r="AV32" i="7"/>
  <c r="AU32" i="7"/>
  <c r="AT32" i="7"/>
  <c r="AS32" i="7"/>
  <c r="AR32" i="7"/>
  <c r="AQ32" i="7"/>
  <c r="AP32" i="7"/>
  <c r="AO32" i="7"/>
  <c r="AN32" i="7"/>
  <c r="AM32" i="7"/>
  <c r="AK32" i="7"/>
  <c r="AW31" i="7"/>
  <c r="AV31" i="7"/>
  <c r="AU31" i="7"/>
  <c r="AT31" i="7"/>
  <c r="AS31" i="7"/>
  <c r="AR31" i="7"/>
  <c r="AQ31" i="7"/>
  <c r="AP31" i="7"/>
  <c r="AO31" i="7"/>
  <c r="AN31" i="7"/>
  <c r="AM31" i="7"/>
  <c r="AK31" i="7"/>
  <c r="AW30" i="7"/>
  <c r="AV30" i="7"/>
  <c r="AU30" i="7"/>
  <c r="AT30" i="7"/>
  <c r="AS30" i="7"/>
  <c r="AR30" i="7"/>
  <c r="AQ30" i="7"/>
  <c r="AP30" i="7"/>
  <c r="AO30" i="7"/>
  <c r="AN30" i="7"/>
  <c r="AM30" i="7"/>
  <c r="AK30" i="7"/>
  <c r="AR44" i="7"/>
  <c r="AS52" i="1" s="1"/>
  <c r="AQ44" i="7"/>
  <c r="AR52" i="1" s="1"/>
  <c r="AP44" i="7"/>
  <c r="AQ52" i="1" s="1"/>
  <c r="AO44" i="7"/>
  <c r="AP52" i="1" s="1"/>
  <c r="AN44" i="7"/>
  <c r="AO52" i="1" s="1"/>
  <c r="AM44" i="7"/>
  <c r="AN52" i="1" s="1"/>
  <c r="AK44" i="7"/>
  <c r="AL52" i="1" s="1"/>
  <c r="AW34" i="12"/>
  <c r="AV34" i="12"/>
  <c r="AU34" i="12"/>
  <c r="AT34" i="12"/>
  <c r="AS34" i="12"/>
  <c r="AR34" i="12"/>
  <c r="AQ34" i="12"/>
  <c r="AP34" i="12"/>
  <c r="AO34" i="12"/>
  <c r="AN34" i="12"/>
  <c r="AM34" i="12"/>
  <c r="AL34" i="12"/>
  <c r="AK34" i="12"/>
  <c r="AW33" i="12"/>
  <c r="AV33" i="12"/>
  <c r="AU33" i="12"/>
  <c r="AT33" i="12"/>
  <c r="AS33" i="12"/>
  <c r="AR33" i="12"/>
  <c r="AQ33" i="12"/>
  <c r="AP33" i="12"/>
  <c r="AO33" i="12"/>
  <c r="AN33" i="12"/>
  <c r="AM33" i="12"/>
  <c r="AL33" i="12"/>
  <c r="AK33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AK31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AW3" i="12"/>
  <c r="AW44" i="12" s="1"/>
  <c r="AV3" i="12"/>
  <c r="AV44" i="12" s="1"/>
  <c r="AU3" i="12"/>
  <c r="AU44" i="12" s="1"/>
  <c r="AT3" i="12"/>
  <c r="AT44" i="12" s="1"/>
  <c r="AS3" i="12"/>
  <c r="AS44" i="12" s="1"/>
  <c r="AR3" i="12"/>
  <c r="AR44" i="12" s="1"/>
  <c r="AQ3" i="12"/>
  <c r="AQ44" i="12" s="1"/>
  <c r="AP3" i="12"/>
  <c r="AP44" i="12" s="1"/>
  <c r="AO3" i="12"/>
  <c r="AO44" i="12" s="1"/>
  <c r="AN3" i="12"/>
  <c r="AN44" i="12" s="1"/>
  <c r="AM3" i="12"/>
  <c r="AM44" i="12" s="1"/>
  <c r="AL3" i="12"/>
  <c r="AL44" i="12" s="1"/>
  <c r="AK3" i="12"/>
  <c r="AK44" i="12" s="1"/>
  <c r="AW34" i="11"/>
  <c r="AV34" i="11"/>
  <c r="AU34" i="11"/>
  <c r="AT34" i="11"/>
  <c r="AS34" i="11"/>
  <c r="AR34" i="11"/>
  <c r="AQ34" i="11"/>
  <c r="AP34" i="11"/>
  <c r="AO34" i="11"/>
  <c r="AN34" i="11"/>
  <c r="AM34" i="11"/>
  <c r="AL34" i="11"/>
  <c r="AK34" i="11"/>
  <c r="AW33" i="11"/>
  <c r="AV33" i="11"/>
  <c r="AU33" i="11"/>
  <c r="AT33" i="11"/>
  <c r="AS33" i="11"/>
  <c r="AR33" i="11"/>
  <c r="AQ33" i="11"/>
  <c r="AP33" i="11"/>
  <c r="AO33" i="11"/>
  <c r="AN33" i="11"/>
  <c r="AM33" i="11"/>
  <c r="AL33" i="11"/>
  <c r="AK33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W3" i="11"/>
  <c r="AW44" i="11" s="1"/>
  <c r="AV3" i="11"/>
  <c r="AV44" i="11" s="1"/>
  <c r="AU3" i="11"/>
  <c r="AU44" i="11" s="1"/>
  <c r="AT3" i="11"/>
  <c r="AT44" i="11" s="1"/>
  <c r="AS3" i="11"/>
  <c r="AS44" i="11" s="1"/>
  <c r="AR3" i="11"/>
  <c r="AR44" i="11" s="1"/>
  <c r="AQ3" i="11"/>
  <c r="AQ44" i="11" s="1"/>
  <c r="AP3" i="11"/>
  <c r="AP44" i="11" s="1"/>
  <c r="AO3" i="11"/>
  <c r="AO44" i="11" s="1"/>
  <c r="AN3" i="11"/>
  <c r="AN44" i="11" s="1"/>
  <c r="AM3" i="11"/>
  <c r="AM44" i="11" s="1"/>
  <c r="AL3" i="11"/>
  <c r="AL44" i="11" s="1"/>
  <c r="AK3" i="11"/>
  <c r="AK44" i="11" s="1"/>
  <c r="BB45" i="14"/>
  <c r="BB44" i="14"/>
  <c r="BB43" i="14"/>
  <c r="BB35" i="14"/>
  <c r="BB27" i="14"/>
  <c r="BB26" i="14"/>
  <c r="BB18" i="14"/>
  <c r="BB17" i="14"/>
  <c r="BB16" i="14"/>
  <c r="BB15" i="14"/>
  <c r="BB14" i="14"/>
  <c r="BB13" i="14"/>
  <c r="BB12" i="14"/>
  <c r="BB11" i="14"/>
  <c r="BB10" i="14"/>
  <c r="BB9" i="14"/>
  <c r="BB8" i="14"/>
  <c r="BB7" i="14"/>
  <c r="BB6" i="14"/>
  <c r="BB5" i="14"/>
  <c r="BB4" i="14"/>
  <c r="BB45" i="13"/>
  <c r="BB44" i="13"/>
  <c r="BB43" i="13"/>
  <c r="BB35" i="13"/>
  <c r="BB27" i="13"/>
  <c r="BB26" i="13"/>
  <c r="BB18" i="13"/>
  <c r="BB17" i="13"/>
  <c r="BB16" i="13"/>
  <c r="BB15" i="13"/>
  <c r="BB14" i="13"/>
  <c r="BB13" i="13"/>
  <c r="BB12" i="13"/>
  <c r="BB11" i="13"/>
  <c r="BB10" i="13"/>
  <c r="BB9" i="13"/>
  <c r="BB8" i="13"/>
  <c r="BB7" i="13"/>
  <c r="BB6" i="13"/>
  <c r="BB5" i="13"/>
  <c r="BB4" i="13"/>
  <c r="BB45" i="10"/>
  <c r="BB44" i="10"/>
  <c r="BB43" i="10"/>
  <c r="BB35" i="10"/>
  <c r="BB27" i="10"/>
  <c r="BB26" i="10"/>
  <c r="BB18" i="10"/>
  <c r="BB17" i="10"/>
  <c r="BB16" i="10"/>
  <c r="BB15" i="10"/>
  <c r="BB14" i="10"/>
  <c r="BB13" i="10"/>
  <c r="BB12" i="10"/>
  <c r="BB11" i="10"/>
  <c r="BB10" i="10"/>
  <c r="BB9" i="10"/>
  <c r="BB8" i="10"/>
  <c r="BB7" i="10"/>
  <c r="BB6" i="10"/>
  <c r="BB5" i="10"/>
  <c r="BB4" i="10"/>
  <c r="BB45" i="7"/>
  <c r="BB44" i="7"/>
  <c r="BB43" i="7"/>
  <c r="BB35" i="7"/>
  <c r="BB27" i="7"/>
  <c r="BB26" i="7"/>
  <c r="BB18" i="7"/>
  <c r="BB17" i="7"/>
  <c r="BB16" i="7"/>
  <c r="BB15" i="7"/>
  <c r="BB14" i="7"/>
  <c r="BB13" i="7"/>
  <c r="BB12" i="7"/>
  <c r="BB11" i="7"/>
  <c r="BB10" i="7"/>
  <c r="BB9" i="7"/>
  <c r="BB8" i="7"/>
  <c r="BB7" i="7"/>
  <c r="BB6" i="7"/>
  <c r="BB5" i="7"/>
  <c r="BB4" i="7"/>
  <c r="BB45" i="12"/>
  <c r="BB44" i="12"/>
  <c r="BB43" i="12"/>
  <c r="BB35" i="12"/>
  <c r="BB27" i="12"/>
  <c r="BB26" i="12"/>
  <c r="BB18" i="12"/>
  <c r="BB17" i="12"/>
  <c r="BB16" i="12"/>
  <c r="BB15" i="12"/>
  <c r="BB14" i="12"/>
  <c r="BB13" i="12"/>
  <c r="BB12" i="12"/>
  <c r="BB11" i="12"/>
  <c r="BB10" i="12"/>
  <c r="BB9" i="12"/>
  <c r="BB8" i="12"/>
  <c r="BB7" i="12"/>
  <c r="BB6" i="12"/>
  <c r="BB5" i="12"/>
  <c r="BB4" i="12"/>
  <c r="BB45" i="11"/>
  <c r="BB44" i="11"/>
  <c r="BB43" i="11"/>
  <c r="BB35" i="11"/>
  <c r="BB27" i="11"/>
  <c r="BB26" i="11"/>
  <c r="BB18" i="11"/>
  <c r="BB17" i="11"/>
  <c r="BB16" i="11"/>
  <c r="BB15" i="11"/>
  <c r="BB14" i="11"/>
  <c r="BB13" i="11"/>
  <c r="BB12" i="11"/>
  <c r="BB11" i="11"/>
  <c r="BB10" i="11"/>
  <c r="BB9" i="11"/>
  <c r="BB8" i="11"/>
  <c r="BB7" i="11"/>
  <c r="BB6" i="11"/>
  <c r="BB5" i="11"/>
  <c r="BB4" i="11"/>
  <c r="G3" i="5"/>
  <c r="DB2" i="5" s="1"/>
  <c r="BE35" i="11"/>
  <c r="BD35" i="11"/>
  <c r="BA35" i="11"/>
  <c r="BE27" i="11"/>
  <c r="BD27" i="11"/>
  <c r="BA27" i="11"/>
  <c r="BE26" i="11"/>
  <c r="BD26" i="11"/>
  <c r="BA26" i="11"/>
  <c r="BE18" i="11"/>
  <c r="BD18" i="11"/>
  <c r="BA18" i="11"/>
  <c r="BE17" i="11"/>
  <c r="BD17" i="11"/>
  <c r="BA17" i="11"/>
  <c r="BE16" i="11"/>
  <c r="BD16" i="11"/>
  <c r="BA16" i="11"/>
  <c r="BE15" i="11"/>
  <c r="BD15" i="11"/>
  <c r="BA15" i="11"/>
  <c r="BE14" i="11"/>
  <c r="BD14" i="11"/>
  <c r="BA14" i="11"/>
  <c r="BE13" i="11"/>
  <c r="BD13" i="11"/>
  <c r="BA13" i="11"/>
  <c r="BE12" i="11"/>
  <c r="BD12" i="11"/>
  <c r="BA12" i="11"/>
  <c r="BE11" i="11"/>
  <c r="BD11" i="11"/>
  <c r="BA11" i="11"/>
  <c r="BE10" i="11"/>
  <c r="BD10" i="11"/>
  <c r="BA10" i="11"/>
  <c r="BE9" i="11"/>
  <c r="BD9" i="11"/>
  <c r="BA9" i="11"/>
  <c r="BE8" i="11"/>
  <c r="BD8" i="11"/>
  <c r="BA8" i="11"/>
  <c r="BE7" i="11"/>
  <c r="BD7" i="11"/>
  <c r="BA7" i="11"/>
  <c r="BE6" i="11"/>
  <c r="BD6" i="11"/>
  <c r="BA6" i="11"/>
  <c r="BE5" i="11"/>
  <c r="BD5" i="11"/>
  <c r="BA5" i="11"/>
  <c r="BE4" i="11"/>
  <c r="BD4" i="11"/>
  <c r="BA4" i="11"/>
  <c r="BE35" i="12"/>
  <c r="BD35" i="12"/>
  <c r="BA35" i="12"/>
  <c r="BE27" i="12"/>
  <c r="BD27" i="12"/>
  <c r="BA27" i="12"/>
  <c r="BE26" i="12"/>
  <c r="BD26" i="12"/>
  <c r="BA26" i="12"/>
  <c r="BE18" i="12"/>
  <c r="BD18" i="12"/>
  <c r="BA18" i="12"/>
  <c r="BE17" i="12"/>
  <c r="BD17" i="12"/>
  <c r="BA17" i="12"/>
  <c r="BE16" i="12"/>
  <c r="BD16" i="12"/>
  <c r="BA16" i="12"/>
  <c r="BE15" i="12"/>
  <c r="BD15" i="12"/>
  <c r="BA15" i="12"/>
  <c r="BE14" i="12"/>
  <c r="BD14" i="12"/>
  <c r="BA14" i="12"/>
  <c r="BE13" i="12"/>
  <c r="BD13" i="12"/>
  <c r="BA13" i="12"/>
  <c r="BE12" i="12"/>
  <c r="BD12" i="12"/>
  <c r="BA12" i="12"/>
  <c r="BE11" i="12"/>
  <c r="BD11" i="12"/>
  <c r="BA11" i="12"/>
  <c r="BE10" i="12"/>
  <c r="BD10" i="12"/>
  <c r="BA10" i="12"/>
  <c r="BE9" i="12"/>
  <c r="BD9" i="12"/>
  <c r="BA9" i="12"/>
  <c r="BE8" i="12"/>
  <c r="BD8" i="12"/>
  <c r="BA8" i="12"/>
  <c r="BE7" i="12"/>
  <c r="BD7" i="12"/>
  <c r="BA7" i="12"/>
  <c r="BE6" i="12"/>
  <c r="BD6" i="12"/>
  <c r="BA6" i="12"/>
  <c r="BE5" i="12"/>
  <c r="BD5" i="12"/>
  <c r="BA5" i="12"/>
  <c r="BE4" i="12"/>
  <c r="BD4" i="12"/>
  <c r="BA4" i="12"/>
  <c r="BA18" i="1"/>
  <c r="BD18" i="1" s="1"/>
  <c r="BJ18" i="1" s="1"/>
  <c r="BD19" i="1"/>
  <c r="BJ19" i="1" s="1"/>
  <c r="BE35" i="14"/>
  <c r="BD35" i="14"/>
  <c r="BA35" i="14"/>
  <c r="BE27" i="14"/>
  <c r="BD27" i="14"/>
  <c r="BA27" i="14"/>
  <c r="BE26" i="14"/>
  <c r="BD26" i="14"/>
  <c r="BA26" i="14"/>
  <c r="BE18" i="14"/>
  <c r="BD18" i="14"/>
  <c r="BA18" i="14"/>
  <c r="BE17" i="14"/>
  <c r="BD17" i="14"/>
  <c r="BA17" i="14"/>
  <c r="BE16" i="14"/>
  <c r="BD16" i="14"/>
  <c r="BA16" i="14"/>
  <c r="BE15" i="14"/>
  <c r="BD15" i="14"/>
  <c r="BA15" i="14"/>
  <c r="BE14" i="14"/>
  <c r="BD14" i="14"/>
  <c r="BA14" i="14"/>
  <c r="BE13" i="14"/>
  <c r="BD13" i="14"/>
  <c r="BA13" i="14"/>
  <c r="BE12" i="14"/>
  <c r="BD12" i="14"/>
  <c r="BA12" i="14"/>
  <c r="BE11" i="14"/>
  <c r="BD11" i="14"/>
  <c r="BA11" i="14"/>
  <c r="BE10" i="14"/>
  <c r="BD10" i="14"/>
  <c r="BA10" i="14"/>
  <c r="BE9" i="14"/>
  <c r="BD9" i="14"/>
  <c r="BA9" i="14"/>
  <c r="BE8" i="14"/>
  <c r="BD8" i="14"/>
  <c r="BA8" i="14"/>
  <c r="BE7" i="14"/>
  <c r="BD7" i="14"/>
  <c r="BA7" i="14"/>
  <c r="BE6" i="14"/>
  <c r="BD6" i="14"/>
  <c r="BA6" i="14"/>
  <c r="BE5" i="14"/>
  <c r="BD5" i="14"/>
  <c r="BA5" i="14"/>
  <c r="BE4" i="14"/>
  <c r="BD4" i="14"/>
  <c r="BA4" i="14"/>
  <c r="BE35" i="13"/>
  <c r="BD35" i="13"/>
  <c r="BA35" i="13"/>
  <c r="BE27" i="13"/>
  <c r="BD27" i="13"/>
  <c r="BA27" i="13"/>
  <c r="BE26" i="13"/>
  <c r="BD26" i="13"/>
  <c r="BA26" i="13"/>
  <c r="BE18" i="13"/>
  <c r="BD18" i="13"/>
  <c r="BA18" i="13"/>
  <c r="BE17" i="13"/>
  <c r="BD17" i="13"/>
  <c r="BA17" i="13"/>
  <c r="BE16" i="13"/>
  <c r="BD16" i="13"/>
  <c r="BA16" i="13"/>
  <c r="BE15" i="13"/>
  <c r="BD15" i="13"/>
  <c r="BA15" i="13"/>
  <c r="BE14" i="13"/>
  <c r="BD14" i="13"/>
  <c r="BA14" i="13"/>
  <c r="BE13" i="13"/>
  <c r="BD13" i="13"/>
  <c r="BA13" i="13"/>
  <c r="BE12" i="13"/>
  <c r="BD12" i="13"/>
  <c r="BA12" i="13"/>
  <c r="BE11" i="13"/>
  <c r="BD11" i="13"/>
  <c r="BA11" i="13"/>
  <c r="BE10" i="13"/>
  <c r="BD10" i="13"/>
  <c r="BA10" i="13"/>
  <c r="BE9" i="13"/>
  <c r="BD9" i="13"/>
  <c r="BA9" i="13"/>
  <c r="BE8" i="13"/>
  <c r="BD8" i="13"/>
  <c r="BA8" i="13"/>
  <c r="BE7" i="13"/>
  <c r="BD7" i="13"/>
  <c r="BA7" i="13"/>
  <c r="BE6" i="13"/>
  <c r="BD6" i="13"/>
  <c r="BA6" i="13"/>
  <c r="BE5" i="13"/>
  <c r="BD5" i="13"/>
  <c r="BA5" i="13"/>
  <c r="BE4" i="13"/>
  <c r="BD4" i="13"/>
  <c r="BA4" i="13"/>
  <c r="BE35" i="10"/>
  <c r="BD35" i="10"/>
  <c r="BA35" i="10"/>
  <c r="BE27" i="10"/>
  <c r="BD27" i="10"/>
  <c r="BA27" i="10"/>
  <c r="BE26" i="10"/>
  <c r="BD26" i="10"/>
  <c r="BA26" i="10"/>
  <c r="BE18" i="10"/>
  <c r="BD18" i="10"/>
  <c r="BA18" i="10"/>
  <c r="BE17" i="10"/>
  <c r="BD17" i="10"/>
  <c r="BA17" i="10"/>
  <c r="BE16" i="10"/>
  <c r="BD16" i="10"/>
  <c r="BA16" i="10"/>
  <c r="BE15" i="10"/>
  <c r="BD15" i="10"/>
  <c r="BA15" i="10"/>
  <c r="BE14" i="10"/>
  <c r="BD14" i="10"/>
  <c r="BA14" i="10"/>
  <c r="BE13" i="10"/>
  <c r="BD13" i="10"/>
  <c r="BA13" i="10"/>
  <c r="BE12" i="10"/>
  <c r="BD12" i="10"/>
  <c r="BA12" i="10"/>
  <c r="BE11" i="10"/>
  <c r="BD11" i="10"/>
  <c r="BA11" i="10"/>
  <c r="BE10" i="10"/>
  <c r="BD10" i="10"/>
  <c r="BA10" i="10"/>
  <c r="BE9" i="10"/>
  <c r="BD9" i="10"/>
  <c r="BA9" i="10"/>
  <c r="BE8" i="10"/>
  <c r="BD8" i="10"/>
  <c r="BA8" i="10"/>
  <c r="BE7" i="10"/>
  <c r="BD7" i="10"/>
  <c r="BA7" i="10"/>
  <c r="BE6" i="10"/>
  <c r="BD6" i="10"/>
  <c r="BA6" i="10"/>
  <c r="BE5" i="10"/>
  <c r="BD5" i="10"/>
  <c r="BA5" i="10"/>
  <c r="BE4" i="10"/>
  <c r="BD4" i="10"/>
  <c r="BA4" i="10"/>
  <c r="BA35" i="7"/>
  <c r="BA27" i="7"/>
  <c r="BA26" i="7"/>
  <c r="BA18" i="7"/>
  <c r="BA17" i="7"/>
  <c r="BA16" i="7"/>
  <c r="BA15" i="7"/>
  <c r="BA14" i="7"/>
  <c r="BA13" i="7"/>
  <c r="BA12" i="7"/>
  <c r="BA11" i="7"/>
  <c r="BA5" i="7"/>
  <c r="BA6" i="7"/>
  <c r="BA7" i="7"/>
  <c r="BA8" i="7"/>
  <c r="BA9" i="7"/>
  <c r="BA10" i="7"/>
  <c r="BA4" i="7"/>
  <c r="BD4" i="7"/>
  <c r="BE35" i="7"/>
  <c r="BD35" i="7"/>
  <c r="BE27" i="7"/>
  <c r="BD27" i="7"/>
  <c r="BE26" i="7"/>
  <c r="BD26" i="7"/>
  <c r="BE18" i="7"/>
  <c r="BD18" i="7"/>
  <c r="BE17" i="7"/>
  <c r="BD17" i="7"/>
  <c r="BE16" i="7"/>
  <c r="BD16" i="7"/>
  <c r="BE15" i="7"/>
  <c r="BD15" i="7"/>
  <c r="BE14" i="7"/>
  <c r="BD14" i="7"/>
  <c r="BE13" i="7"/>
  <c r="BD13" i="7"/>
  <c r="BE12" i="7"/>
  <c r="BD12" i="7"/>
  <c r="BE11" i="7"/>
  <c r="BD11" i="7"/>
  <c r="BE10" i="7"/>
  <c r="BD10" i="7"/>
  <c r="BE9" i="7"/>
  <c r="BD9" i="7"/>
  <c r="BE8" i="7"/>
  <c r="BD8" i="7"/>
  <c r="BE7" i="7"/>
  <c r="BD7" i="7"/>
  <c r="BE6" i="7"/>
  <c r="BD6" i="7"/>
  <c r="BE5" i="7"/>
  <c r="BD5" i="7"/>
  <c r="BE4" i="7"/>
  <c r="AX28" i="7"/>
  <c r="AX29" i="7"/>
  <c r="AX28" i="10"/>
  <c r="AP28" i="10" s="1"/>
  <c r="AX29" i="10"/>
  <c r="AO29" i="10" s="1"/>
  <c r="AX29" i="14"/>
  <c r="AN29" i="14" s="1"/>
  <c r="AX28" i="14"/>
  <c r="X28" i="14" s="1"/>
  <c r="AX28" i="13"/>
  <c r="AI28" i="13" s="1"/>
  <c r="AX29" i="13"/>
  <c r="AX31" i="13"/>
  <c r="A1" i="14"/>
  <c r="AJ34" i="14"/>
  <c r="AI34" i="14"/>
  <c r="AH34" i="14"/>
  <c r="AF34" i="14"/>
  <c r="AE34" i="14"/>
  <c r="AD34" i="14"/>
  <c r="AC34" i="14"/>
  <c r="AB34" i="14"/>
  <c r="AA34" i="14"/>
  <c r="Z34" i="14"/>
  <c r="Y34" i="14"/>
  <c r="X34" i="14"/>
  <c r="W34" i="14"/>
  <c r="V34" i="14"/>
  <c r="D34" i="14"/>
  <c r="AJ33" i="14"/>
  <c r="AI33" i="14"/>
  <c r="AH33" i="14"/>
  <c r="AF33" i="14"/>
  <c r="AE33" i="14"/>
  <c r="AD33" i="14"/>
  <c r="AC33" i="14"/>
  <c r="AB33" i="14"/>
  <c r="AA33" i="14"/>
  <c r="Z33" i="14"/>
  <c r="Y33" i="14"/>
  <c r="X33" i="14"/>
  <c r="W33" i="14"/>
  <c r="V33" i="14"/>
  <c r="D33" i="14"/>
  <c r="AJ32" i="14"/>
  <c r="AI32" i="14"/>
  <c r="AH32" i="14"/>
  <c r="AF32" i="14"/>
  <c r="AE32" i="14"/>
  <c r="AD32" i="14"/>
  <c r="AC32" i="14"/>
  <c r="AB32" i="14"/>
  <c r="AA32" i="14"/>
  <c r="Z32" i="14"/>
  <c r="Y32" i="14"/>
  <c r="X32" i="14"/>
  <c r="W32" i="14"/>
  <c r="V32" i="14"/>
  <c r="D32" i="14"/>
  <c r="AJ31" i="14"/>
  <c r="AI31" i="14"/>
  <c r="AH31" i="14"/>
  <c r="AF31" i="14"/>
  <c r="AE31" i="14"/>
  <c r="AD31" i="14"/>
  <c r="AC31" i="14"/>
  <c r="AB31" i="14"/>
  <c r="AA31" i="14"/>
  <c r="Z31" i="14"/>
  <c r="Y31" i="14"/>
  <c r="X31" i="14"/>
  <c r="W31" i="14"/>
  <c r="V31" i="14"/>
  <c r="D31" i="14"/>
  <c r="AJ30" i="14"/>
  <c r="AI30" i="14"/>
  <c r="AH30" i="14"/>
  <c r="AF30" i="14"/>
  <c r="AE30" i="14"/>
  <c r="AD30" i="14"/>
  <c r="AC30" i="14"/>
  <c r="AB30" i="14"/>
  <c r="AA30" i="14"/>
  <c r="Z30" i="14"/>
  <c r="Y30" i="14"/>
  <c r="X30" i="14"/>
  <c r="W30" i="14"/>
  <c r="V30" i="14"/>
  <c r="D30" i="14"/>
  <c r="C25" i="14"/>
  <c r="C34" i="14" s="1"/>
  <c r="C42" i="14" s="1"/>
  <c r="C24" i="14"/>
  <c r="C33" i="14" s="1"/>
  <c r="C41" i="14" s="1"/>
  <c r="C23" i="14"/>
  <c r="C32" i="14" s="1"/>
  <c r="C40" i="14" s="1"/>
  <c r="C22" i="14"/>
  <c r="C31" i="14" s="1"/>
  <c r="C39" i="14" s="1"/>
  <c r="C21" i="14"/>
  <c r="C30" i="14" s="1"/>
  <c r="C38" i="14" s="1"/>
  <c r="C20" i="14"/>
  <c r="C29" i="14" s="1"/>
  <c r="C37" i="14" s="1"/>
  <c r="C19" i="14"/>
  <c r="C28" i="14" s="1"/>
  <c r="C36" i="14" s="1"/>
  <c r="AJ3" i="14"/>
  <c r="AJ44" i="14" s="1"/>
  <c r="AI3" i="14"/>
  <c r="AI44" i="14" s="1"/>
  <c r="AH3" i="14"/>
  <c r="AH44" i="14" s="1"/>
  <c r="AF3" i="14"/>
  <c r="AF44" i="14" s="1"/>
  <c r="AE3" i="14"/>
  <c r="AE44" i="14" s="1"/>
  <c r="AD3" i="14"/>
  <c r="AD44" i="14" s="1"/>
  <c r="AC3" i="14"/>
  <c r="AC44" i="14" s="1"/>
  <c r="AB3" i="14"/>
  <c r="AB44" i="14" s="1"/>
  <c r="AA3" i="14"/>
  <c r="AA44" i="14" s="1"/>
  <c r="Z3" i="14"/>
  <c r="Z44" i="14" s="1"/>
  <c r="Y3" i="14"/>
  <c r="Y44" i="14" s="1"/>
  <c r="X3" i="14"/>
  <c r="X44" i="14" s="1"/>
  <c r="W3" i="14"/>
  <c r="W44" i="14" s="1"/>
  <c r="V3" i="14"/>
  <c r="V44" i="14" s="1"/>
  <c r="D3" i="14"/>
  <c r="D44" i="14" s="1"/>
  <c r="AJ34" i="13"/>
  <c r="AI34" i="13"/>
  <c r="AH34" i="13"/>
  <c r="AF34" i="13"/>
  <c r="AE34" i="13"/>
  <c r="AD34" i="13"/>
  <c r="AC34" i="13"/>
  <c r="AB34" i="13"/>
  <c r="AA34" i="13"/>
  <c r="Z34" i="13"/>
  <c r="Y34" i="13"/>
  <c r="X34" i="13"/>
  <c r="W34" i="13"/>
  <c r="V34" i="13"/>
  <c r="D34" i="13"/>
  <c r="AJ33" i="13"/>
  <c r="AI33" i="13"/>
  <c r="AH33" i="13"/>
  <c r="AF33" i="13"/>
  <c r="AE33" i="13"/>
  <c r="AD33" i="13"/>
  <c r="AC33" i="13"/>
  <c r="AB33" i="13"/>
  <c r="AA33" i="13"/>
  <c r="Z33" i="13"/>
  <c r="Y33" i="13"/>
  <c r="X33" i="13"/>
  <c r="W33" i="13"/>
  <c r="V33" i="13"/>
  <c r="D33" i="13"/>
  <c r="AJ32" i="13"/>
  <c r="AI32" i="13"/>
  <c r="AH32" i="13"/>
  <c r="AF32" i="13"/>
  <c r="AE32" i="13"/>
  <c r="AD32" i="13"/>
  <c r="AC32" i="13"/>
  <c r="AB32" i="13"/>
  <c r="AA32" i="13"/>
  <c r="Z32" i="13"/>
  <c r="Y32" i="13"/>
  <c r="X32" i="13"/>
  <c r="W32" i="13"/>
  <c r="V32" i="13"/>
  <c r="D32" i="13"/>
  <c r="AJ30" i="13"/>
  <c r="AI30" i="13"/>
  <c r="AH30" i="13"/>
  <c r="AF30" i="13"/>
  <c r="AE30" i="13"/>
  <c r="AD30" i="13"/>
  <c r="AC30" i="13"/>
  <c r="AB30" i="13"/>
  <c r="AA30" i="13"/>
  <c r="Z30" i="13"/>
  <c r="Y30" i="13"/>
  <c r="X30" i="13"/>
  <c r="W30" i="13"/>
  <c r="V30" i="13"/>
  <c r="D30" i="13"/>
  <c r="C25" i="13"/>
  <c r="C34" i="13" s="1"/>
  <c r="C42" i="13" s="1"/>
  <c r="C24" i="13"/>
  <c r="C33" i="13" s="1"/>
  <c r="C41" i="13" s="1"/>
  <c r="AJ3" i="13"/>
  <c r="AJ44" i="13" s="1"/>
  <c r="AI3" i="13"/>
  <c r="AI44" i="13" s="1"/>
  <c r="AH3" i="13"/>
  <c r="AH44" i="13" s="1"/>
  <c r="AF3" i="13"/>
  <c r="AF44" i="13" s="1"/>
  <c r="AE3" i="13"/>
  <c r="AE44" i="13" s="1"/>
  <c r="AD3" i="13"/>
  <c r="AD44" i="13" s="1"/>
  <c r="AC3" i="13"/>
  <c r="AC44" i="13" s="1"/>
  <c r="AB3" i="13"/>
  <c r="AB44" i="13" s="1"/>
  <c r="AA3" i="13"/>
  <c r="AA44" i="13" s="1"/>
  <c r="Z3" i="13"/>
  <c r="Z44" i="13" s="1"/>
  <c r="Y3" i="13"/>
  <c r="Y44" i="13" s="1"/>
  <c r="X3" i="13"/>
  <c r="X44" i="13" s="1"/>
  <c r="W3" i="13"/>
  <c r="W44" i="13" s="1"/>
  <c r="V3" i="13"/>
  <c r="V44" i="13" s="1"/>
  <c r="D3" i="13"/>
  <c r="D44" i="13" s="1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D34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D33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D32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D31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D30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D29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D28" i="12"/>
  <c r="C22" i="12"/>
  <c r="C31" i="12" s="1"/>
  <c r="C39" i="12" s="1"/>
  <c r="C20" i="12"/>
  <c r="C29" i="12" s="1"/>
  <c r="C37" i="12" s="1"/>
  <c r="C19" i="12"/>
  <c r="C28" i="12" s="1"/>
  <c r="C36" i="12" s="1"/>
  <c r="AJ3" i="12"/>
  <c r="AJ44" i="12" s="1"/>
  <c r="AI3" i="12"/>
  <c r="AI44" i="12" s="1"/>
  <c r="AH3" i="12"/>
  <c r="AH44" i="12" s="1"/>
  <c r="AG3" i="12"/>
  <c r="AG44" i="12" s="1"/>
  <c r="AF3" i="12"/>
  <c r="AF44" i="12" s="1"/>
  <c r="AE3" i="12"/>
  <c r="AE44" i="12" s="1"/>
  <c r="AD3" i="12"/>
  <c r="AD44" i="12" s="1"/>
  <c r="AC3" i="12"/>
  <c r="AC44" i="12" s="1"/>
  <c r="AB3" i="12"/>
  <c r="AB44" i="12" s="1"/>
  <c r="AA3" i="12"/>
  <c r="AA44" i="12" s="1"/>
  <c r="Z3" i="12"/>
  <c r="Z44" i="12" s="1"/>
  <c r="Y3" i="12"/>
  <c r="Y44" i="12" s="1"/>
  <c r="X3" i="12"/>
  <c r="X44" i="12" s="1"/>
  <c r="W3" i="12"/>
  <c r="W44" i="12" s="1"/>
  <c r="V3" i="12"/>
  <c r="V44" i="12" s="1"/>
  <c r="D3" i="12"/>
  <c r="D44" i="12" s="1"/>
  <c r="G54" i="8"/>
  <c r="G49" i="8"/>
  <c r="G38" i="8"/>
  <c r="G58" i="8"/>
  <c r="G35" i="8"/>
  <c r="G37" i="8"/>
  <c r="G41" i="8"/>
  <c r="G52" i="8"/>
  <c r="G36" i="8"/>
  <c r="G40" i="8"/>
  <c r="G50" i="8"/>
  <c r="G53" i="8"/>
  <c r="G56" i="8"/>
  <c r="G43" i="8"/>
  <c r="G57" i="8"/>
  <c r="G44" i="8"/>
  <c r="G42" i="8"/>
  <c r="G34" i="8"/>
  <c r="G39" i="8"/>
  <c r="G51" i="8"/>
  <c r="G48" i="8"/>
  <c r="AW68" i="3" l="1"/>
  <c r="CS68" i="3" s="1"/>
  <c r="EN66" i="3"/>
  <c r="CS66" i="3" s="1"/>
  <c r="AS4" i="11" s="1" a="1"/>
  <c r="AS4" i="11" s="1"/>
  <c r="CP63" i="3"/>
  <c r="BY63" i="3"/>
  <c r="AX4" i="5"/>
  <c r="BA67" i="3"/>
  <c r="CW67" i="3" s="1"/>
  <c r="AT9" i="5"/>
  <c r="AH11" i="5"/>
  <c r="AB7" i="5"/>
  <c r="K10" i="5"/>
  <c r="EQ3" i="5"/>
  <c r="EQ12" i="5" s="1"/>
  <c r="AZ4" i="5"/>
  <c r="AS10" i="5"/>
  <c r="AP10" i="5"/>
  <c r="AX9" i="5"/>
  <c r="AU4" i="5"/>
  <c r="DW4" i="5"/>
  <c r="DW13" i="5" s="1"/>
  <c r="AW8" i="5"/>
  <c r="AR6" i="5"/>
  <c r="AZ12" i="5"/>
  <c r="AW14" i="5"/>
  <c r="AQ10" i="5"/>
  <c r="AZ67" i="3"/>
  <c r="CV67" i="3" s="1"/>
  <c r="AR67" i="3"/>
  <c r="CN67" i="3" s="1"/>
  <c r="EH63" i="3"/>
  <c r="CM63" i="3" s="1"/>
  <c r="EH65" i="3"/>
  <c r="CM65" i="3" s="1"/>
  <c r="AM4" i="12" s="1" a="1"/>
  <c r="AM4" i="12" s="1"/>
  <c r="AU73" i="3"/>
  <c r="CQ73" i="3" s="1"/>
  <c r="AS73" i="3"/>
  <c r="CO73" i="3" s="1"/>
  <c r="AC67" i="3"/>
  <c r="BY67" i="3" s="1"/>
  <c r="EH64" i="3"/>
  <c r="CM64" i="3" s="1"/>
  <c r="AB8" i="5"/>
  <c r="AW9" i="5"/>
  <c r="AX76" i="3"/>
  <c r="CT76" i="3" s="1"/>
  <c r="AQ68" i="3"/>
  <c r="CM68" i="3" s="1"/>
  <c r="CQ63" i="3"/>
  <c r="AQ4" i="7" s="1" a="1"/>
  <c r="AQ4" i="7" s="1"/>
  <c r="AU67" i="3"/>
  <c r="CQ67" i="3" s="1"/>
  <c r="AP9" i="5"/>
  <c r="AV76" i="3"/>
  <c r="CR76" i="3" s="1"/>
  <c r="AU5" i="5"/>
  <c r="AU7" i="5"/>
  <c r="AU9" i="5"/>
  <c r="AU6" i="5"/>
  <c r="AR7" i="5"/>
  <c r="AZ73" i="3"/>
  <c r="CV73" i="3" s="1"/>
  <c r="AW13" i="5"/>
  <c r="AW6" i="5"/>
  <c r="AW11" i="5"/>
  <c r="AR9" i="5"/>
  <c r="K5" i="5"/>
  <c r="AU76" i="3"/>
  <c r="CQ76" i="3" s="1"/>
  <c r="CQ66" i="3"/>
  <c r="AQ4" i="11" s="1" a="1"/>
  <c r="AQ4" i="11" s="1"/>
  <c r="AY76" i="3"/>
  <c r="CU76" i="3" s="1"/>
  <c r="AR10" i="5"/>
  <c r="AR76" i="3"/>
  <c r="CN76" i="3" s="1"/>
  <c r="AP7" i="5"/>
  <c r="EK3" i="5"/>
  <c r="EK12" i="5" s="1"/>
  <c r="AQ76" i="3"/>
  <c r="CM76" i="3" s="1"/>
  <c r="AW67" i="3"/>
  <c r="CS67" i="3" s="1"/>
  <c r="AW7" i="5"/>
  <c r="AQ5" i="5"/>
  <c r="ER4" i="5"/>
  <c r="ER13" i="5" s="1"/>
  <c r="AS7" i="5"/>
  <c r="AY67" i="3"/>
  <c r="CU67" i="3" s="1"/>
  <c r="AW73" i="3"/>
  <c r="CS73" i="3" s="1"/>
  <c r="AC73" i="3"/>
  <c r="BY73" i="3" s="1"/>
  <c r="AT76" i="3"/>
  <c r="CP76" i="3" s="1"/>
  <c r="AX10" i="5"/>
  <c r="EN3" i="5"/>
  <c r="EN12" i="5" s="1"/>
  <c r="AT7" i="5"/>
  <c r="AT73" i="3"/>
  <c r="CP73" i="3" s="1"/>
  <c r="EU3" i="5"/>
  <c r="EU12" i="5" s="1"/>
  <c r="AB14" i="5"/>
  <c r="AP8" i="5"/>
  <c r="AQ4" i="5"/>
  <c r="AY73" i="3"/>
  <c r="CU73" i="3" s="1"/>
  <c r="AW10" i="5"/>
  <c r="AP5" i="5"/>
  <c r="AW16" i="5"/>
  <c r="AZ10" i="5"/>
  <c r="AZ8" i="5"/>
  <c r="AV67" i="3"/>
  <c r="CR67" i="3" s="1"/>
  <c r="AS8" i="5"/>
  <c r="AS4" i="5"/>
  <c r="AB16" i="5"/>
  <c r="AQ9" i="5"/>
  <c r="AQ6" i="5"/>
  <c r="AB13" i="5"/>
  <c r="AZ6" i="5"/>
  <c r="AT6" i="5"/>
  <c r="EN65" i="3"/>
  <c r="CS65" i="3" s="1"/>
  <c r="AS4" i="12" s="1" a="1"/>
  <c r="AS4" i="12" s="1"/>
  <c r="AZ5" i="5"/>
  <c r="AR73" i="3"/>
  <c r="CN73" i="3" s="1"/>
  <c r="EN63" i="3"/>
  <c r="CS63" i="3" s="1"/>
  <c r="AP6" i="5"/>
  <c r="AZ9" i="5"/>
  <c r="AQ73" i="3"/>
  <c r="CM73" i="3" s="1"/>
  <c r="EH66" i="3"/>
  <c r="CM66" i="3" s="1"/>
  <c r="AM4" i="11" s="1" a="1"/>
  <c r="AM4" i="11" s="1"/>
  <c r="EN64" i="3"/>
  <c r="CS64" i="3" s="1"/>
  <c r="AX8" i="5"/>
  <c r="AX7" i="5"/>
  <c r="AB11" i="5"/>
  <c r="AX6" i="5"/>
  <c r="EO3" i="5"/>
  <c r="EO12" i="5" s="1"/>
  <c r="AZ7" i="5"/>
  <c r="CU64" i="3"/>
  <c r="ES3" i="5"/>
  <c r="ES12" i="5" s="1"/>
  <c r="AP4" i="5"/>
  <c r="AQ7" i="5"/>
  <c r="AX5" i="5"/>
  <c r="AT8" i="5"/>
  <c r="EL3" i="5"/>
  <c r="EL12" i="5" s="1"/>
  <c r="ER3" i="5"/>
  <c r="ER12" i="5" s="1"/>
  <c r="AX73" i="3"/>
  <c r="CT73" i="3" s="1"/>
  <c r="AS67" i="3"/>
  <c r="CO67" i="3" s="1"/>
  <c r="K9" i="5"/>
  <c r="EM63" i="3"/>
  <c r="CR63" i="3" s="1"/>
  <c r="EM66" i="3"/>
  <c r="CR66" i="3" s="1"/>
  <c r="AR4" i="11" s="1" a="1"/>
  <c r="AR4" i="11" s="1"/>
  <c r="AR5" i="5"/>
  <c r="AU10" i="5"/>
  <c r="AB5" i="5"/>
  <c r="AB12" i="5"/>
  <c r="AB17" i="5"/>
  <c r="AQ8" i="5"/>
  <c r="AB15" i="5"/>
  <c r="AT10" i="5"/>
  <c r="BA73" i="3"/>
  <c r="CW73" i="3" s="1"/>
  <c r="K6" i="5"/>
  <c r="AV73" i="3"/>
  <c r="CR73" i="3" s="1"/>
  <c r="CU31" i="3"/>
  <c r="AU8" i="13" s="1" a="1"/>
  <c r="AU8" i="13" s="1"/>
  <c r="EP3" i="5"/>
  <c r="EP12" i="5" s="1"/>
  <c r="AS76" i="3"/>
  <c r="CO76" i="3" s="1"/>
  <c r="AR4" i="5"/>
  <c r="AR8" i="5"/>
  <c r="AS6" i="5"/>
  <c r="BY64" i="3"/>
  <c r="K8" i="5"/>
  <c r="AU8" i="5"/>
  <c r="AV5" i="5"/>
  <c r="EM64" i="3"/>
  <c r="CR64" i="3" s="1"/>
  <c r="AZ17" i="5"/>
  <c r="CO66" i="3"/>
  <c r="AO4" i="11" s="1" a="1"/>
  <c r="AO4" i="11" s="1"/>
  <c r="AW12" i="5"/>
  <c r="AC76" i="3"/>
  <c r="BY76" i="3" s="1"/>
  <c r="AR68" i="3"/>
  <c r="CN68" i="3" s="1"/>
  <c r="CO65" i="3"/>
  <c r="AO4" i="12" s="1" a="1"/>
  <c r="AO4" i="12" s="1"/>
  <c r="AZ16" i="5"/>
  <c r="AT4" i="5"/>
  <c r="AW17" i="5"/>
  <c r="AZ13" i="5"/>
  <c r="CK63" i="3"/>
  <c r="AK4" i="7" s="1" a="1"/>
  <c r="AK4" i="7" s="1"/>
  <c r="EO66" i="3"/>
  <c r="CT66" i="3" s="1"/>
  <c r="AT4" i="11" s="1" a="1"/>
  <c r="AT4" i="11" s="1"/>
  <c r="AV8" i="5"/>
  <c r="AB6" i="5"/>
  <c r="AW4" i="5"/>
  <c r="EM65" i="3"/>
  <c r="CR65" i="3" s="1"/>
  <c r="AR4" i="12" s="1" a="1"/>
  <c r="AR4" i="12" s="1"/>
  <c r="EO64" i="3"/>
  <c r="CT64" i="3" s="1"/>
  <c r="EM3" i="5"/>
  <c r="EM12" i="5" s="1"/>
  <c r="K7" i="5"/>
  <c r="BA76" i="3"/>
  <c r="CW76" i="3" s="1"/>
  <c r="EO63" i="3"/>
  <c r="CT63" i="3" s="1"/>
  <c r="BH65" i="3"/>
  <c r="H4" i="12" s="1" a="1"/>
  <c r="H4" i="12" s="1"/>
  <c r="AW5" i="5"/>
  <c r="EO65" i="3"/>
  <c r="CT65" i="3" s="1"/>
  <c r="AT4" i="12" s="1" a="1"/>
  <c r="AT4" i="12" s="1"/>
  <c r="AV7" i="5"/>
  <c r="AB9" i="5"/>
  <c r="K4" i="5"/>
  <c r="AZ11" i="5"/>
  <c r="AB10" i="5"/>
  <c r="EI63" i="3"/>
  <c r="CN63" i="3" s="1"/>
  <c r="AW76" i="3"/>
  <c r="CS76" i="3" s="1"/>
  <c r="EI66" i="3"/>
  <c r="CN66" i="3" s="1"/>
  <c r="AN4" i="11" s="1" a="1"/>
  <c r="AN4" i="11" s="1"/>
  <c r="CV64" i="3"/>
  <c r="ER64" i="3"/>
  <c r="CW64" i="3" s="1"/>
  <c r="AW15" i="5"/>
  <c r="AZ15" i="5"/>
  <c r="AS5" i="5"/>
  <c r="EU4" i="5"/>
  <c r="EU13" i="5" s="1"/>
  <c r="AZ14" i="5"/>
  <c r="DF3" i="5"/>
  <c r="DF12" i="5" s="1"/>
  <c r="L76" i="3"/>
  <c r="BH76" i="3" s="1"/>
  <c r="AX68" i="3"/>
  <c r="CT68" i="3" s="1"/>
  <c r="EI64" i="3"/>
  <c r="CN64" i="3" s="1"/>
  <c r="ER66" i="3"/>
  <c r="CW66" i="3" s="1"/>
  <c r="AW4" i="11" s="1" a="1"/>
  <c r="AW4" i="11" s="1"/>
  <c r="AB4" i="5"/>
  <c r="AV4" i="5"/>
  <c r="AV6" i="5"/>
  <c r="CQ65" i="3"/>
  <c r="AQ4" i="12" s="1" a="1"/>
  <c r="AQ4" i="12" s="1"/>
  <c r="CO63" i="3"/>
  <c r="AO4" i="7" s="1" a="1"/>
  <c r="AO4" i="7" s="1"/>
  <c r="BA68" i="3"/>
  <c r="CW68" i="3" s="1"/>
  <c r="ER65" i="3"/>
  <c r="CW65" i="3" s="1"/>
  <c r="AW4" i="12" s="1" a="1"/>
  <c r="AW4" i="12" s="1"/>
  <c r="DW3" i="5"/>
  <c r="DW12" i="5" s="1"/>
  <c r="AS9" i="5"/>
  <c r="AV10" i="5"/>
  <c r="AV9" i="5"/>
  <c r="CU63" i="3"/>
  <c r="EI65" i="3"/>
  <c r="CN65" i="3" s="1"/>
  <c r="AN4" i="12" s="1" a="1"/>
  <c r="AN4" i="12" s="1"/>
  <c r="AV68" i="3"/>
  <c r="CR68" i="3" s="1"/>
  <c r="CV63" i="3"/>
  <c r="ER63" i="3"/>
  <c r="CW63" i="3" s="1"/>
  <c r="AH7" i="7" a="1"/>
  <c r="AH7" i="7" s="1"/>
  <c r="AE6" i="7" a="1"/>
  <c r="AE6" i="7" s="1"/>
  <c r="E8" i="7" a="1"/>
  <c r="E8" i="7" s="1"/>
  <c r="AD6" i="7" a="1"/>
  <c r="AD6" i="7" s="1"/>
  <c r="X9" i="7" a="1"/>
  <c r="X9" i="7" s="1"/>
  <c r="AG9" i="7" a="1"/>
  <c r="AG9" i="7" s="1"/>
  <c r="O6" i="7" a="1"/>
  <c r="O6" i="7" s="1"/>
  <c r="M4" i="7" a="1"/>
  <c r="M4" i="7" s="1"/>
  <c r="W9" i="7" a="1"/>
  <c r="W9" i="7" s="1"/>
  <c r="AR9" i="7" a="1"/>
  <c r="AR9" i="7" s="1"/>
  <c r="AJ9" i="7" a="1"/>
  <c r="AJ9" i="7" s="1"/>
  <c r="AB9" i="7" a="1"/>
  <c r="AB9" i="7" s="1"/>
  <c r="AT8" i="7" a="1"/>
  <c r="AT8" i="7" s="1"/>
  <c r="AV6" i="7" a="1"/>
  <c r="AV6" i="7" s="1"/>
  <c r="Q6" i="7" a="1"/>
  <c r="Q6" i="7" s="1"/>
  <c r="F9" i="7" a="1"/>
  <c r="F9" i="7" s="1"/>
  <c r="M5" i="7" a="1"/>
  <c r="M5" i="7" s="1"/>
  <c r="AF8" i="7" a="1"/>
  <c r="AF8" i="7" s="1"/>
  <c r="AT10" i="7" a="1"/>
  <c r="AT10" i="7" s="1"/>
  <c r="AJ7" i="7" a="1"/>
  <c r="AJ7" i="7" s="1"/>
  <c r="AG8" i="7" a="1"/>
  <c r="AG8" i="7" s="1"/>
  <c r="AH16" i="5"/>
  <c r="AB6" i="7" a="1"/>
  <c r="AB6" i="7" s="1"/>
  <c r="H8" i="7" a="1"/>
  <c r="H8" i="7" s="1"/>
  <c r="AL4" i="7" a="1"/>
  <c r="AL4" i="7" s="1"/>
  <c r="AD4" i="7" a="1"/>
  <c r="AD4" i="7" s="1"/>
  <c r="U7" i="7" a="1"/>
  <c r="U7" i="7" s="1"/>
  <c r="AH12" i="5"/>
  <c r="AH15" i="5"/>
  <c r="F5" i="7" a="1"/>
  <c r="F5" i="7" s="1"/>
  <c r="J8" i="7" a="1"/>
  <c r="J8" i="7" s="1"/>
  <c r="F8" i="7" a="1"/>
  <c r="F8" i="7" s="1"/>
  <c r="AH17" i="5"/>
  <c r="AH14" i="5"/>
  <c r="AT9" i="7" a="1"/>
  <c r="AT9" i="7" s="1"/>
  <c r="AH13" i="5"/>
  <c r="EC4" i="5"/>
  <c r="EC13" i="5" s="1"/>
  <c r="AL5" i="7" a="1"/>
  <c r="AL5" i="7" s="1"/>
  <c r="AI7" i="7" a="1"/>
  <c r="AI7" i="7" s="1"/>
  <c r="I4" i="7" a="1"/>
  <c r="I4" i="7" s="1"/>
  <c r="AC4" i="7" a="1"/>
  <c r="AC4" i="7" s="1"/>
  <c r="N4" i="7" a="1"/>
  <c r="N4" i="7" s="1"/>
  <c r="AS6" i="7" a="1"/>
  <c r="AS6" i="7" s="1"/>
  <c r="O5" i="7" a="1"/>
  <c r="O5" i="7" s="1"/>
  <c r="L9" i="7" a="1"/>
  <c r="L9" i="7" s="1"/>
  <c r="Q5" i="7" a="1"/>
  <c r="Q5" i="7" s="1"/>
  <c r="AU7" i="7" a="1"/>
  <c r="AU7" i="7" s="1"/>
  <c r="AO5" i="7" a="1"/>
  <c r="AO5" i="7" s="1"/>
  <c r="AP10" i="7" a="1"/>
  <c r="AP10" i="7" s="1"/>
  <c r="AJ4" i="7" a="1"/>
  <c r="AJ4" i="7" s="1"/>
  <c r="AP7" i="7" a="1"/>
  <c r="AP7" i="7" s="1"/>
  <c r="AJ8" i="7" a="1"/>
  <c r="AJ8" i="7" s="1"/>
  <c r="V8" i="7" a="1"/>
  <c r="V8" i="7" s="1"/>
  <c r="Y8" i="7" a="1"/>
  <c r="Y8" i="7" s="1"/>
  <c r="Y7" i="7" a="1"/>
  <c r="Y7" i="7" s="1"/>
  <c r="X10" i="7" a="1"/>
  <c r="X10" i="7" s="1"/>
  <c r="U5" i="7" a="1"/>
  <c r="U5" i="7" s="1"/>
  <c r="AA4" i="7" a="1"/>
  <c r="AA4" i="7" s="1"/>
  <c r="AH4" i="7" a="1"/>
  <c r="AH4" i="7" s="1"/>
  <c r="AG7" i="7" a="1"/>
  <c r="AG7" i="7" s="1"/>
  <c r="N5" i="7" a="1"/>
  <c r="N5" i="7" s="1"/>
  <c r="AN7" i="7" a="1"/>
  <c r="AN7" i="7" s="1"/>
  <c r="AW6" i="7" a="1"/>
  <c r="AW6" i="7" s="1"/>
  <c r="V4" i="7" a="1"/>
  <c r="V4" i="7" s="1"/>
  <c r="AI8" i="7" a="1"/>
  <c r="AI8" i="7" s="1"/>
  <c r="E10" i="7" a="1"/>
  <c r="E10" i="7" s="1"/>
  <c r="AF5" i="7" a="1"/>
  <c r="AF5" i="7" s="1"/>
  <c r="AB4" i="7" a="1"/>
  <c r="AB4" i="7" s="1"/>
  <c r="G8" i="7" a="1"/>
  <c r="G8" i="7" s="1"/>
  <c r="AU8" i="7" a="1"/>
  <c r="AU8" i="7" s="1"/>
  <c r="K6" i="7" a="1"/>
  <c r="K6" i="7" s="1"/>
  <c r="AQ7" i="7" a="1"/>
  <c r="AQ7" i="7" s="1"/>
  <c r="AW9" i="7" a="1"/>
  <c r="AW9" i="7" s="1"/>
  <c r="L4" i="7" a="1"/>
  <c r="L4" i="7" s="1"/>
  <c r="E6" i="7" a="1"/>
  <c r="E6" i="7" s="1"/>
  <c r="AU10" i="7" a="1"/>
  <c r="AU10" i="7" s="1"/>
  <c r="K9" i="7" a="1"/>
  <c r="K9" i="7" s="1"/>
  <c r="T5" i="7" a="1"/>
  <c r="T5" i="7" s="1"/>
  <c r="AR6" i="7" a="1"/>
  <c r="AR6" i="7" s="1"/>
  <c r="G5" i="7" a="1"/>
  <c r="G5" i="7" s="1"/>
  <c r="G6" i="7" a="1"/>
  <c r="G6" i="7" s="1"/>
  <c r="AI4" i="7" a="1"/>
  <c r="AI4" i="7" s="1"/>
  <c r="L8" i="7" a="1"/>
  <c r="L8" i="7" s="1"/>
  <c r="AA8" i="7" a="1"/>
  <c r="AA8" i="7" s="1"/>
  <c r="I8" i="7" a="1"/>
  <c r="I8" i="7" s="1"/>
  <c r="N8" i="7" a="1"/>
  <c r="N8" i="7" s="1"/>
  <c r="E5" i="7" a="1"/>
  <c r="E5" i="7" s="1"/>
  <c r="Z4" i="7" a="1"/>
  <c r="Z4" i="7" s="1"/>
  <c r="AS9" i="7" a="1"/>
  <c r="AS9" i="7" s="1"/>
  <c r="AN10" i="7" a="1"/>
  <c r="AN10" i="7" s="1"/>
  <c r="AH9" i="7" a="1"/>
  <c r="AH9" i="7" s="1"/>
  <c r="AA5" i="7" a="1"/>
  <c r="AA5" i="7" s="1"/>
  <c r="Q8" i="7" a="1"/>
  <c r="Q8" i="7" s="1"/>
  <c r="AQ8" i="7" a="1"/>
  <c r="AQ8" i="7" s="1"/>
  <c r="AC10" i="7" a="1"/>
  <c r="AC10" i="7" s="1"/>
  <c r="AR10" i="7" a="1"/>
  <c r="AR10" i="7" s="1"/>
  <c r="F4" i="7" a="1"/>
  <c r="F4" i="7" s="1"/>
  <c r="AK6" i="7" a="1"/>
  <c r="AK6" i="7" s="1"/>
  <c r="AT6" i="7" a="1"/>
  <c r="AT6" i="7" s="1"/>
  <c r="AN9" i="7" a="1"/>
  <c r="AN9" i="7" s="1"/>
  <c r="AU5" i="7" a="1"/>
  <c r="AU5" i="7" s="1"/>
  <c r="AG10" i="7" a="1"/>
  <c r="AG10" i="7" s="1"/>
  <c r="AP5" i="7" a="1"/>
  <c r="AP5" i="7" s="1"/>
  <c r="AG6" i="7" a="1"/>
  <c r="AG6" i="7" s="1"/>
  <c r="T8" i="7" a="1"/>
  <c r="T8" i="7" s="1"/>
  <c r="AB5" i="7" a="1"/>
  <c r="AB5" i="7" s="1"/>
  <c r="I5" i="7" a="1"/>
  <c r="I5" i="7" s="1"/>
  <c r="AE7" i="7" a="1"/>
  <c r="AE7" i="7" s="1"/>
  <c r="I6" i="7" a="1"/>
  <c r="I6" i="7" s="1"/>
  <c r="Z9" i="7" a="1"/>
  <c r="Z9" i="7" s="1"/>
  <c r="AM5" i="7" a="1"/>
  <c r="AM5" i="7" s="1"/>
  <c r="J4" i="7" a="1"/>
  <c r="J4" i="7" s="1"/>
  <c r="O9" i="7" a="1"/>
  <c r="O9" i="7" s="1"/>
  <c r="AP8" i="7" a="1"/>
  <c r="AP8" i="7" s="1"/>
  <c r="I10" i="7" a="1"/>
  <c r="I10" i="7" s="1"/>
  <c r="AU6" i="7" a="1"/>
  <c r="AU6" i="7" s="1"/>
  <c r="J10" i="7" a="1"/>
  <c r="J10" i="7" s="1"/>
  <c r="AB10" i="7" a="1"/>
  <c r="AB10" i="7" s="1"/>
  <c r="H10" i="7" a="1"/>
  <c r="H10" i="7" s="1"/>
  <c r="E4" i="7" a="1"/>
  <c r="E4" i="7" s="1"/>
  <c r="Y10" i="7" a="1"/>
  <c r="Y10" i="7" s="1"/>
  <c r="AL8" i="7" a="1"/>
  <c r="AL8" i="7" s="1"/>
  <c r="L6" i="7" a="1"/>
  <c r="L6" i="7" s="1"/>
  <c r="F10" i="7" a="1"/>
  <c r="F10" i="7" s="1"/>
  <c r="AN5" i="7" a="1"/>
  <c r="AN5" i="7" s="1"/>
  <c r="G10" i="7" a="1"/>
  <c r="G10" i="7" s="1"/>
  <c r="AF9" i="7" a="1"/>
  <c r="AF9" i="7" s="1"/>
  <c r="AV5" i="7" a="1"/>
  <c r="AV5" i="7" s="1"/>
  <c r="T7" i="7" a="1"/>
  <c r="T7" i="7" s="1"/>
  <c r="F7" i="7" a="1"/>
  <c r="F7" i="7" s="1"/>
  <c r="K10" i="7" a="1"/>
  <c r="K10" i="7" s="1"/>
  <c r="AA9" i="7" a="1"/>
  <c r="AA9" i="7" s="1"/>
  <c r="AV8" i="7" a="1"/>
  <c r="AV8" i="7" s="1"/>
  <c r="Y6" i="7" a="1"/>
  <c r="Y6" i="7" s="1"/>
  <c r="Q10" i="7" a="1"/>
  <c r="Q10" i="7" s="1"/>
  <c r="AJ6" i="7" a="1"/>
  <c r="AJ6" i="7" s="1"/>
  <c r="Z7" i="7" a="1"/>
  <c r="Z7" i="7" s="1"/>
  <c r="V5" i="7" a="1"/>
  <c r="V5" i="7" s="1"/>
  <c r="AM8" i="7" a="1"/>
  <c r="AM8" i="7" s="1"/>
  <c r="R7" i="7" a="1"/>
  <c r="R7" i="7" s="1"/>
  <c r="V9" i="7" a="1"/>
  <c r="V9" i="7" s="1"/>
  <c r="H5" i="7" a="1"/>
  <c r="H5" i="7" s="1"/>
  <c r="AP9" i="7" a="1"/>
  <c r="AP9" i="7" s="1"/>
  <c r="X6" i="7" a="1"/>
  <c r="X6" i="7" s="1"/>
  <c r="AV9" i="7" a="1"/>
  <c r="AV9" i="7" s="1"/>
  <c r="U9" i="7" a="1"/>
  <c r="U9" i="7" s="1"/>
  <c r="I7" i="7" a="1"/>
  <c r="I7" i="7" s="1"/>
  <c r="S5" i="7" a="1"/>
  <c r="S5" i="7" s="1"/>
  <c r="F6" i="7" a="1"/>
  <c r="F6" i="7" s="1"/>
  <c r="Y5" i="7" a="1"/>
  <c r="Y5" i="7" s="1"/>
  <c r="AH6" i="7" a="1"/>
  <c r="AH6" i="7" s="1"/>
  <c r="J5" i="7" a="1"/>
  <c r="J5" i="7" s="1"/>
  <c r="AE10" i="7" a="1"/>
  <c r="AE10" i="7" s="1"/>
  <c r="AK9" i="7" a="1"/>
  <c r="AK9" i="7" s="1"/>
  <c r="AK5" i="7" a="1"/>
  <c r="AK5" i="7" s="1"/>
  <c r="O7" i="7" a="1"/>
  <c r="O7" i="7" s="1"/>
  <c r="AQ10" i="7" a="1"/>
  <c r="AQ10" i="7" s="1"/>
  <c r="L10" i="7" a="1"/>
  <c r="L10" i="7" s="1"/>
  <c r="K4" i="7" a="1"/>
  <c r="K4" i="7" s="1"/>
  <c r="AC8" i="7" a="1"/>
  <c r="AC8" i="7" s="1"/>
  <c r="P7" i="7" a="1"/>
  <c r="P7" i="7" s="1"/>
  <c r="AD10" i="7" a="1"/>
  <c r="AD10" i="7" s="1"/>
  <c r="L7" i="7" a="1"/>
  <c r="L7" i="7" s="1"/>
  <c r="R6" i="7" a="1"/>
  <c r="R6" i="7" s="1"/>
  <c r="AL7" i="7" a="1"/>
  <c r="AL7" i="7" s="1"/>
  <c r="V6" i="7" a="1"/>
  <c r="V6" i="7" s="1"/>
  <c r="Q9" i="7" a="1"/>
  <c r="Q9" i="7" s="1"/>
  <c r="I9" i="7" a="1"/>
  <c r="I9" i="7" s="1"/>
  <c r="AV10" i="7" a="1"/>
  <c r="AV10" i="7" s="1"/>
  <c r="T4" i="7" a="1"/>
  <c r="T4" i="7" s="1"/>
  <c r="AR8" i="7" a="1"/>
  <c r="AR8" i="7" s="1"/>
  <c r="AF7" i="7" a="1"/>
  <c r="AF7" i="7" s="1"/>
  <c r="W8" i="7" a="1"/>
  <c r="W8" i="7" s="1"/>
  <c r="AF6" i="7" a="1"/>
  <c r="AF6" i="7" s="1"/>
  <c r="J6" i="7" a="1"/>
  <c r="J6" i="7" s="1"/>
  <c r="X4" i="7" a="1"/>
  <c r="X4" i="7" s="1"/>
  <c r="AM9" i="7" a="1"/>
  <c r="AM9" i="7" s="1"/>
  <c r="AW8" i="7" a="1"/>
  <c r="AW8" i="7" s="1"/>
  <c r="AH8" i="7" a="1"/>
  <c r="AH8" i="7" s="1"/>
  <c r="K5" i="7" a="1"/>
  <c r="K5" i="7" s="1"/>
  <c r="R5" i="7" a="1"/>
  <c r="R5" i="7" s="1"/>
  <c r="T6" i="7" a="1"/>
  <c r="T6" i="7" s="1"/>
  <c r="AE4" i="7" a="1"/>
  <c r="AE4" i="7" s="1"/>
  <c r="AP6" i="7" a="1"/>
  <c r="AP6" i="7" s="1"/>
  <c r="AL10" i="7" a="1"/>
  <c r="AL10" i="7" s="1"/>
  <c r="R4" i="7" a="1"/>
  <c r="R4" i="7" s="1"/>
  <c r="W7" i="7" a="1"/>
  <c r="W7" i="7" s="1"/>
  <c r="N6" i="7" a="1"/>
  <c r="N6" i="7" s="1"/>
  <c r="AM7" i="7" a="1"/>
  <c r="AM7" i="7" s="1"/>
  <c r="U8" i="7" a="1"/>
  <c r="U8" i="7" s="1"/>
  <c r="AD7" i="7" a="1"/>
  <c r="AD7" i="7" s="1"/>
  <c r="P4" i="7" a="1"/>
  <c r="P4" i="7" s="1"/>
  <c r="AK8" i="7" a="1"/>
  <c r="AK8" i="7" s="1"/>
  <c r="AR5" i="7" a="1"/>
  <c r="AR5" i="7" s="1"/>
  <c r="AM6" i="7" a="1"/>
  <c r="AM6" i="7" s="1"/>
  <c r="AH5" i="7" a="1"/>
  <c r="AH5" i="7" s="1"/>
  <c r="AG5" i="7" a="1"/>
  <c r="AG5" i="7" s="1"/>
  <c r="M7" i="7" a="1"/>
  <c r="M7" i="7" s="1"/>
  <c r="G9" i="7" a="1"/>
  <c r="G9" i="7" s="1"/>
  <c r="H9" i="7" a="1"/>
  <c r="H9" i="7" s="1"/>
  <c r="AN6" i="7" a="1"/>
  <c r="AN6" i="7" s="1"/>
  <c r="AE8" i="7" a="1"/>
  <c r="AE8" i="7" s="1"/>
  <c r="X7" i="7" a="1"/>
  <c r="X7" i="7" s="1"/>
  <c r="R9" i="7" a="1"/>
  <c r="R9" i="7" s="1"/>
  <c r="AT5" i="7" a="1"/>
  <c r="AT5" i="7" s="1"/>
  <c r="AV7" i="7" a="1"/>
  <c r="AV7" i="7" s="1"/>
  <c r="R8" i="7" a="1"/>
  <c r="R8" i="7" s="1"/>
  <c r="W4" i="7" a="1"/>
  <c r="W4" i="7" s="1"/>
  <c r="T10" i="7" a="1"/>
  <c r="T10" i="7" s="1"/>
  <c r="AQ9" i="7" a="1"/>
  <c r="AQ9" i="7" s="1"/>
  <c r="J9" i="7" a="1"/>
  <c r="J9" i="7" s="1"/>
  <c r="AQ5" i="7" a="1"/>
  <c r="AQ5" i="7" s="1"/>
  <c r="AO6" i="7" a="1"/>
  <c r="AO6" i="7" s="1"/>
  <c r="Z5" i="7" a="1"/>
  <c r="Z5" i="7" s="1"/>
  <c r="S10" i="7" a="1"/>
  <c r="S10" i="7" s="1"/>
  <c r="P6" i="7" a="1"/>
  <c r="P6" i="7" s="1"/>
  <c r="X5" i="7" a="1"/>
  <c r="X5" i="7" s="1"/>
  <c r="AS5" i="7" a="1"/>
  <c r="AS5" i="7" s="1"/>
  <c r="K8" i="7" a="1"/>
  <c r="K8" i="7" s="1"/>
  <c r="G4" i="7" a="1"/>
  <c r="G4" i="7" s="1"/>
  <c r="O8" i="7" a="1"/>
  <c r="O8" i="7" s="1"/>
  <c r="P9" i="7" a="1"/>
  <c r="P9" i="7" s="1"/>
  <c r="M8" i="7" a="1"/>
  <c r="M8" i="7" s="1"/>
  <c r="AC7" i="7" a="1"/>
  <c r="AC7" i="7" s="1"/>
  <c r="M9" i="7" a="1"/>
  <c r="M9" i="7" s="1"/>
  <c r="AB7" i="7" a="1"/>
  <c r="AB7" i="7" s="1"/>
  <c r="U10" i="7" a="1"/>
  <c r="U10" i="7" s="1"/>
  <c r="AS10" i="7" a="1"/>
  <c r="AS10" i="7" s="1"/>
  <c r="O10" i="7" a="1"/>
  <c r="O10" i="7" s="1"/>
  <c r="N10" i="7" a="1"/>
  <c r="N10" i="7" s="1"/>
  <c r="AW7" i="7" a="1"/>
  <c r="AW7" i="7" s="1"/>
  <c r="S8" i="7" a="1"/>
  <c r="S8" i="7" s="1"/>
  <c r="AJ10" i="7" a="1"/>
  <c r="AJ10" i="7" s="1"/>
  <c r="G7" i="7" a="1"/>
  <c r="G7" i="7" s="1"/>
  <c r="AW5" i="7" a="1"/>
  <c r="AW5" i="7" s="1"/>
  <c r="W6" i="7" a="1"/>
  <c r="W6" i="7" s="1"/>
  <c r="N7" i="7" a="1"/>
  <c r="N7" i="7" s="1"/>
  <c r="Z6" i="7" a="1"/>
  <c r="Z6" i="7" s="1"/>
  <c r="V7" i="7" a="1"/>
  <c r="V7" i="7" s="1"/>
  <c r="O4" i="7" a="1"/>
  <c r="O4" i="7" s="1"/>
  <c r="P8" i="7" a="1"/>
  <c r="P8" i="7" s="1"/>
  <c r="AW10" i="7" a="1"/>
  <c r="AW10" i="7" s="1"/>
  <c r="AE9" i="7" a="1"/>
  <c r="AE9" i="7" s="1"/>
  <c r="AS8" i="7" a="1"/>
  <c r="AS8" i="7" s="1"/>
  <c r="V10" i="7" a="1"/>
  <c r="V10" i="7" s="1"/>
  <c r="AR7" i="7" a="1"/>
  <c r="AR7" i="7" s="1"/>
  <c r="AO8" i="7" a="1"/>
  <c r="AO8" i="7" s="1"/>
  <c r="J7" i="7" a="1"/>
  <c r="J7" i="7" s="1"/>
  <c r="AF10" i="7" a="1"/>
  <c r="AF10" i="7" s="1"/>
  <c r="X8" i="7" a="1"/>
  <c r="X8" i="7" s="1"/>
  <c r="W10" i="7" a="1"/>
  <c r="W10" i="7" s="1"/>
  <c r="U4" i="7" a="1"/>
  <c r="U4" i="7" s="1"/>
  <c r="AJ5" i="7" a="1"/>
  <c r="AJ5" i="7" s="1"/>
  <c r="AL6" i="7" a="1"/>
  <c r="AL6" i="7" s="1"/>
  <c r="U6" i="7" a="1"/>
  <c r="U6" i="7" s="1"/>
  <c r="AD9" i="7" a="1"/>
  <c r="AD9" i="7" s="1"/>
  <c r="Z8" i="7" a="1"/>
  <c r="Z8" i="7" s="1"/>
  <c r="R10" i="7" a="1"/>
  <c r="R10" i="7" s="1"/>
  <c r="AI5" i="7" a="1"/>
  <c r="AI5" i="7" s="1"/>
  <c r="H6" i="7" a="1"/>
  <c r="H6" i="7" s="1"/>
  <c r="Y9" i="7" a="1"/>
  <c r="Y9" i="7" s="1"/>
  <c r="K7" i="7" a="1"/>
  <c r="K7" i="7" s="1"/>
  <c r="L5" i="7" a="1"/>
  <c r="L5" i="7" s="1"/>
  <c r="AM10" i="7" a="1"/>
  <c r="AM10" i="7" s="1"/>
  <c r="AS7" i="7" a="1"/>
  <c r="AS7" i="7" s="1"/>
  <c r="Z10" i="7" a="1"/>
  <c r="Z10" i="7" s="1"/>
  <c r="E9" i="7" a="1"/>
  <c r="E9" i="7" s="1"/>
  <c r="AF4" i="7" a="1"/>
  <c r="AF4" i="7" s="1"/>
  <c r="AC9" i="7" a="1"/>
  <c r="AC9" i="7" s="1"/>
  <c r="AI9" i="7" a="1"/>
  <c r="AI9" i="7" s="1"/>
  <c r="AH10" i="7" a="1"/>
  <c r="AH10" i="7" s="1"/>
  <c r="P10" i="7" a="1"/>
  <c r="P10" i="7" s="1"/>
  <c r="AL9" i="7" a="1"/>
  <c r="AL9" i="7" s="1"/>
  <c r="AD5" i="7" a="1"/>
  <c r="AD5" i="7" s="1"/>
  <c r="Q7" i="7" a="1"/>
  <c r="Q7" i="7" s="1"/>
  <c r="S4" i="7" a="1"/>
  <c r="S4" i="7" s="1"/>
  <c r="AC6" i="7" a="1"/>
  <c r="AC6" i="7" s="1"/>
  <c r="AU9" i="7" a="1"/>
  <c r="AU9" i="7" s="1"/>
  <c r="Q4" i="7" a="1"/>
  <c r="Q4" i="7" s="1"/>
  <c r="AP4" i="7" a="1"/>
  <c r="AP4" i="7" s="1"/>
  <c r="E7" i="7" a="1"/>
  <c r="E7" i="7" s="1"/>
  <c r="P5" i="7" a="1"/>
  <c r="P5" i="7" s="1"/>
  <c r="S9" i="7" a="1"/>
  <c r="S9" i="7" s="1"/>
  <c r="AB8" i="7" a="1"/>
  <c r="AB8" i="7" s="1"/>
  <c r="AI6" i="7" a="1"/>
  <c r="AI6" i="7" s="1"/>
  <c r="AN8" i="7" a="1"/>
  <c r="AN8" i="7" s="1"/>
  <c r="S6" i="7" a="1"/>
  <c r="S6" i="7" s="1"/>
  <c r="M6" i="7" a="1"/>
  <c r="M6" i="7" s="1"/>
  <c r="AG4" i="7" a="1"/>
  <c r="AG4" i="7" s="1"/>
  <c r="AO7" i="7" a="1"/>
  <c r="AO7" i="7" s="1"/>
  <c r="T9" i="7" a="1"/>
  <c r="T9" i="7" s="1"/>
  <c r="AT7" i="7" a="1"/>
  <c r="AT7" i="7" s="1"/>
  <c r="AA6" i="7" a="1"/>
  <c r="AA6" i="7" s="1"/>
  <c r="AC5" i="7" a="1"/>
  <c r="AC5" i="7" s="1"/>
  <c r="AQ6" i="7" a="1"/>
  <c r="AQ6" i="7" s="1"/>
  <c r="N9" i="7" a="1"/>
  <c r="N9" i="7" s="1"/>
  <c r="AO10" i="7" a="1"/>
  <c r="AO10" i="7" s="1"/>
  <c r="AK10" i="7" a="1"/>
  <c r="AK10" i="7" s="1"/>
  <c r="W5" i="7" a="1"/>
  <c r="W5" i="7" s="1"/>
  <c r="S7" i="7" a="1"/>
  <c r="S7" i="7" s="1"/>
  <c r="AO9" i="7" a="1"/>
  <c r="AO9" i="7" s="1"/>
  <c r="AE5" i="7" a="1"/>
  <c r="AE5" i="7" s="1"/>
  <c r="AD8" i="7" a="1"/>
  <c r="AD8" i="7" s="1"/>
  <c r="M10" i="7" a="1"/>
  <c r="M10" i="7" s="1"/>
  <c r="H4" i="7" a="1"/>
  <c r="H4" i="7" s="1"/>
  <c r="AU8" i="14" a="1"/>
  <c r="AU8" i="14" s="1"/>
  <c r="E4" i="14" a="1"/>
  <c r="E4" i="14" s="1"/>
  <c r="N4" i="14" a="1"/>
  <c r="N4" i="14" s="1"/>
  <c r="F4" i="14" a="1"/>
  <c r="F4" i="14" s="1"/>
  <c r="E4" i="9" a="1"/>
  <c r="E4" i="9" s="1"/>
  <c r="N4" i="9" a="1"/>
  <c r="N4" i="9" s="1"/>
  <c r="F4" i="9" a="1"/>
  <c r="F4" i="9" s="1"/>
  <c r="DQ59" i="3"/>
  <c r="BV59" i="3" s="1"/>
  <c r="DQ60" i="3"/>
  <c r="BV60" i="3" s="1"/>
  <c r="V10" i="13" s="1" a="1"/>
  <c r="V10" i="13" s="1"/>
  <c r="DQ58" i="3"/>
  <c r="BV58" i="3" s="1"/>
  <c r="DQ57" i="3"/>
  <c r="BV57" i="3" s="1"/>
  <c r="V10" i="10" s="1" a="1"/>
  <c r="V10" i="10" s="1"/>
  <c r="EC30" i="3"/>
  <c r="CH30" i="3" s="1"/>
  <c r="EC28" i="3"/>
  <c r="CH28" i="3" s="1"/>
  <c r="AH8" i="10" s="1" a="1"/>
  <c r="AH8" i="10" s="1"/>
  <c r="EC29" i="3"/>
  <c r="CH29" i="3" s="1"/>
  <c r="EC31" i="3"/>
  <c r="CH31" i="3" s="1"/>
  <c r="AH8" i="13" s="1" a="1"/>
  <c r="AH8" i="13" s="1"/>
  <c r="DI46" i="3"/>
  <c r="BN46" i="3" s="1"/>
  <c r="DI44" i="3"/>
  <c r="BN44" i="3" s="1"/>
  <c r="N9" i="10" s="1" a="1"/>
  <c r="N9" i="10" s="1"/>
  <c r="DI47" i="3"/>
  <c r="BN47" i="3" s="1"/>
  <c r="N9" i="13" s="1" a="1"/>
  <c r="N9" i="13" s="1"/>
  <c r="DI45" i="3"/>
  <c r="BN45" i="3" s="1"/>
  <c r="DM31" i="3"/>
  <c r="BR31" i="3" s="1"/>
  <c r="R8" i="13" s="1" a="1"/>
  <c r="R8" i="13" s="1"/>
  <c r="DM29" i="3"/>
  <c r="BR29" i="3" s="1"/>
  <c r="DM30" i="3"/>
  <c r="BR30" i="3" s="1"/>
  <c r="DM28" i="3"/>
  <c r="BR28" i="3" s="1"/>
  <c r="R8" i="10" s="1" a="1"/>
  <c r="R8" i="10" s="1"/>
  <c r="EK84" i="3"/>
  <c r="CP84" i="3" s="1"/>
  <c r="AP5" i="10" s="1" a="1"/>
  <c r="AP5" i="10" s="1"/>
  <c r="EK87" i="3"/>
  <c r="CP87" i="3" s="1"/>
  <c r="AP5" i="13" s="1" a="1"/>
  <c r="AP5" i="13" s="1"/>
  <c r="EK86" i="3"/>
  <c r="CP86" i="3" s="1"/>
  <c r="EK85" i="3"/>
  <c r="CP85" i="3" s="1"/>
  <c r="DK97" i="3"/>
  <c r="BP97" i="3" s="1"/>
  <c r="DK96" i="3"/>
  <c r="BP96" i="3" s="1"/>
  <c r="P7" i="10" s="1" a="1"/>
  <c r="P7" i="10" s="1"/>
  <c r="DK98" i="3"/>
  <c r="BP98" i="3" s="1"/>
  <c r="DK99" i="3"/>
  <c r="BP99" i="3" s="1"/>
  <c r="P7" i="13" s="1" a="1"/>
  <c r="P7" i="13" s="1"/>
  <c r="DB31" i="3"/>
  <c r="BG31" i="3" s="1"/>
  <c r="G8" i="13" s="1" a="1"/>
  <c r="G8" i="13" s="1"/>
  <c r="DB29" i="3"/>
  <c r="BG29" i="3" s="1"/>
  <c r="DB28" i="3"/>
  <c r="BG28" i="3" s="1"/>
  <c r="G8" i="10" s="1" a="1"/>
  <c r="G8" i="10" s="1"/>
  <c r="DB30" i="3"/>
  <c r="BG30" i="3" s="1"/>
  <c r="DY57" i="3"/>
  <c r="CD57" i="3" s="1"/>
  <c r="AD10" i="10" s="1" a="1"/>
  <c r="AD10" i="10" s="1"/>
  <c r="DY60" i="3"/>
  <c r="CD60" i="3" s="1"/>
  <c r="AD10" i="13" s="1" a="1"/>
  <c r="AD10" i="13" s="1"/>
  <c r="DY58" i="3"/>
  <c r="CD58" i="3" s="1"/>
  <c r="DY59" i="3"/>
  <c r="CD59" i="3" s="1"/>
  <c r="EC86" i="3"/>
  <c r="CH86" i="3" s="1"/>
  <c r="EC85" i="3"/>
  <c r="CH85" i="3" s="1"/>
  <c r="EC87" i="3"/>
  <c r="CH87" i="3" s="1"/>
  <c r="AH5" i="13" s="1" a="1"/>
  <c r="AH5" i="13" s="1"/>
  <c r="EC84" i="3"/>
  <c r="CH84" i="3" s="1"/>
  <c r="AH5" i="10" s="1" a="1"/>
  <c r="AH5" i="10" s="1"/>
  <c r="EO87" i="3"/>
  <c r="CT87" i="3" s="1"/>
  <c r="AT5" i="13" s="1" a="1"/>
  <c r="AT5" i="13" s="1"/>
  <c r="EO86" i="3"/>
  <c r="CT86" i="3" s="1"/>
  <c r="EO84" i="3"/>
  <c r="CT84" i="3" s="1"/>
  <c r="AT5" i="10" s="1" a="1"/>
  <c r="AT5" i="10" s="1"/>
  <c r="EO85" i="3"/>
  <c r="CT85" i="3" s="1"/>
  <c r="EC46" i="3"/>
  <c r="CH46" i="3" s="1"/>
  <c r="EC44" i="3"/>
  <c r="CH44" i="3" s="1"/>
  <c r="AH9" i="10" s="1" a="1"/>
  <c r="AH9" i="10" s="1"/>
  <c r="EC45" i="3"/>
  <c r="CH45" i="3" s="1"/>
  <c r="EC47" i="3"/>
  <c r="CH47" i="3" s="1"/>
  <c r="AH9" i="13" s="1" a="1"/>
  <c r="AH9" i="13" s="1"/>
  <c r="DS14" i="3"/>
  <c r="BX14" i="3" s="1"/>
  <c r="DS15" i="3"/>
  <c r="BX15" i="3" s="1"/>
  <c r="DS16" i="3"/>
  <c r="BX16" i="3" s="1"/>
  <c r="X6" i="13" s="1" a="1"/>
  <c r="X6" i="13" s="1"/>
  <c r="DS13" i="3"/>
  <c r="BX13" i="3" s="1"/>
  <c r="X6" i="10" s="1" a="1"/>
  <c r="X6" i="10" s="1"/>
  <c r="DG45" i="3"/>
  <c r="BL45" i="3" s="1"/>
  <c r="DG46" i="3"/>
  <c r="BL46" i="3" s="1"/>
  <c r="DG44" i="3"/>
  <c r="BL44" i="3" s="1"/>
  <c r="L9" i="10" s="1" a="1"/>
  <c r="L9" i="10" s="1"/>
  <c r="DG47" i="3"/>
  <c r="BL47" i="3" s="1"/>
  <c r="L9" i="13" s="1" a="1"/>
  <c r="L9" i="13" s="1"/>
  <c r="DZ47" i="3"/>
  <c r="CE47" i="3" s="1"/>
  <c r="AE9" i="13" s="1" a="1"/>
  <c r="AE9" i="13" s="1"/>
  <c r="DZ44" i="3"/>
  <c r="CE44" i="3" s="1"/>
  <c r="AE9" i="10" s="1" a="1"/>
  <c r="AE9" i="10" s="1"/>
  <c r="DZ46" i="3"/>
  <c r="CE46" i="3" s="1"/>
  <c r="DZ45" i="3"/>
  <c r="CE45" i="3" s="1"/>
  <c r="DU72" i="3"/>
  <c r="BZ72" i="3" s="1"/>
  <c r="Z4" i="13" s="1" a="1"/>
  <c r="Z4" i="13" s="1"/>
  <c r="DU71" i="3"/>
  <c r="BZ71" i="3" s="1"/>
  <c r="DU70" i="3"/>
  <c r="BZ70" i="3" s="1"/>
  <c r="DU69" i="3"/>
  <c r="BZ69" i="3" s="1"/>
  <c r="Z4" i="10" s="1" a="1"/>
  <c r="Z4" i="10" s="1"/>
  <c r="DW99" i="3"/>
  <c r="CB99" i="3" s="1"/>
  <c r="AB7" i="13" s="1" a="1"/>
  <c r="AB7" i="13" s="1"/>
  <c r="DW98" i="3"/>
  <c r="CB98" i="3" s="1"/>
  <c r="DW96" i="3"/>
  <c r="CB96" i="3" s="1"/>
  <c r="AB7" i="10" s="1" a="1"/>
  <c r="AB7" i="10" s="1"/>
  <c r="DW97" i="3"/>
  <c r="CB97" i="3" s="1"/>
  <c r="DS31" i="3"/>
  <c r="BX31" i="3" s="1"/>
  <c r="X8" i="13" s="1" a="1"/>
  <c r="X8" i="13" s="1"/>
  <c r="DS28" i="3"/>
  <c r="BX28" i="3" s="1"/>
  <c r="X8" i="10" s="1" a="1"/>
  <c r="X8" i="10" s="1"/>
  <c r="DS29" i="3"/>
  <c r="BX29" i="3" s="1"/>
  <c r="DS30" i="3"/>
  <c r="BX30" i="3" s="1"/>
  <c r="DT44" i="3"/>
  <c r="BY44" i="3" s="1"/>
  <c r="Y9" i="10" s="1" a="1"/>
  <c r="Y9" i="10" s="1"/>
  <c r="DT45" i="3"/>
  <c r="BY45" i="3" s="1"/>
  <c r="DT46" i="3"/>
  <c r="BY46" i="3" s="1"/>
  <c r="DT47" i="3"/>
  <c r="BY47" i="3" s="1"/>
  <c r="Y9" i="13" s="1" a="1"/>
  <c r="Y9" i="13" s="1"/>
  <c r="EH85" i="3"/>
  <c r="CM85" i="3" s="1"/>
  <c r="EH84" i="3"/>
  <c r="CM84" i="3" s="1"/>
  <c r="AM5" i="10" s="1" a="1"/>
  <c r="AM5" i="10" s="1"/>
  <c r="EH87" i="3"/>
  <c r="CM87" i="3" s="1"/>
  <c r="AM5" i="13" s="1" a="1"/>
  <c r="AM5" i="13" s="1"/>
  <c r="EH86" i="3"/>
  <c r="CM86" i="3" s="1"/>
  <c r="DK28" i="3"/>
  <c r="BP28" i="3" s="1"/>
  <c r="P8" i="10" s="1" a="1"/>
  <c r="P8" i="10" s="1"/>
  <c r="DK30" i="3"/>
  <c r="BP30" i="3" s="1"/>
  <c r="DK31" i="3"/>
  <c r="BP31" i="3" s="1"/>
  <c r="P8" i="13" s="1" a="1"/>
  <c r="P8" i="13" s="1"/>
  <c r="DK29" i="3"/>
  <c r="BP29" i="3" s="1"/>
  <c r="EM31" i="3"/>
  <c r="CR31" i="3" s="1"/>
  <c r="AR8" i="13" s="1" a="1"/>
  <c r="AR8" i="13" s="1"/>
  <c r="EM29" i="3"/>
  <c r="CR29" i="3" s="1"/>
  <c r="EM28" i="3"/>
  <c r="CR28" i="3" s="1"/>
  <c r="AR8" i="10" s="1" a="1"/>
  <c r="AR8" i="10" s="1"/>
  <c r="EM30" i="3"/>
  <c r="CR30" i="3" s="1"/>
  <c r="EK59" i="3"/>
  <c r="CP59" i="3" s="1"/>
  <c r="EK57" i="3"/>
  <c r="CP57" i="3" s="1"/>
  <c r="AP10" i="10" s="1" a="1"/>
  <c r="AP10" i="10" s="1"/>
  <c r="EK58" i="3"/>
  <c r="CP58" i="3" s="1"/>
  <c r="EK60" i="3"/>
  <c r="CP60" i="3" s="1"/>
  <c r="AP10" i="13" s="1" a="1"/>
  <c r="AP10" i="13" s="1"/>
  <c r="DT16" i="3"/>
  <c r="BY16" i="3" s="1"/>
  <c r="Y6" i="13" s="1" a="1"/>
  <c r="Y6" i="13" s="1"/>
  <c r="DT15" i="3"/>
  <c r="BY15" i="3" s="1"/>
  <c r="DT14" i="3"/>
  <c r="BY14" i="3" s="1"/>
  <c r="DT13" i="3"/>
  <c r="BY13" i="3" s="1"/>
  <c r="Y6" i="10" s="1" a="1"/>
  <c r="Y6" i="10" s="1"/>
  <c r="EI30" i="3"/>
  <c r="CN30" i="3" s="1"/>
  <c r="EI28" i="3"/>
  <c r="CN28" i="3" s="1"/>
  <c r="AN8" i="10" s="1" a="1"/>
  <c r="AN8" i="10" s="1"/>
  <c r="EI29" i="3"/>
  <c r="CN29" i="3" s="1"/>
  <c r="EI31" i="3"/>
  <c r="CN31" i="3" s="1"/>
  <c r="AN8" i="13" s="1" a="1"/>
  <c r="AN8" i="13" s="1"/>
  <c r="EF13" i="3"/>
  <c r="CK13" i="3" s="1"/>
  <c r="AK6" i="10" s="1" a="1"/>
  <c r="AK6" i="10" s="1"/>
  <c r="EF14" i="3"/>
  <c r="CK14" i="3" s="1"/>
  <c r="EF15" i="3"/>
  <c r="CK15" i="3" s="1"/>
  <c r="EF16" i="3"/>
  <c r="CK16" i="3" s="1"/>
  <c r="AK6" i="13" s="1" a="1"/>
  <c r="AK6" i="13" s="1"/>
  <c r="DV16" i="3"/>
  <c r="CA16" i="3" s="1"/>
  <c r="AA6" i="13" s="1" a="1"/>
  <c r="AA6" i="13" s="1"/>
  <c r="DV15" i="3"/>
  <c r="CA15" i="3" s="1"/>
  <c r="DV14" i="3"/>
  <c r="CA14" i="3" s="1"/>
  <c r="DV13" i="3"/>
  <c r="CA13" i="3" s="1"/>
  <c r="AA6" i="10" s="1" a="1"/>
  <c r="AA6" i="10" s="1"/>
  <c r="EI86" i="3"/>
  <c r="CN86" i="3" s="1"/>
  <c r="EI85" i="3"/>
  <c r="CN85" i="3" s="1"/>
  <c r="EI87" i="3"/>
  <c r="CN87" i="3" s="1"/>
  <c r="AN5" i="13" s="1" a="1"/>
  <c r="AN5" i="13" s="1"/>
  <c r="EI84" i="3"/>
  <c r="CN84" i="3" s="1"/>
  <c r="AN5" i="10" s="1" a="1"/>
  <c r="AN5" i="10" s="1"/>
  <c r="EK15" i="3"/>
  <c r="CP15" i="3" s="1"/>
  <c r="EK13" i="3"/>
  <c r="CP13" i="3" s="1"/>
  <c r="AP6" i="10" s="1" a="1"/>
  <c r="AP6" i="10" s="1"/>
  <c r="EK16" i="3"/>
  <c r="CP16" i="3" s="1"/>
  <c r="AP6" i="13" s="1" a="1"/>
  <c r="AP6" i="13" s="1"/>
  <c r="EK14" i="3"/>
  <c r="CP14" i="3" s="1"/>
  <c r="DA87" i="3"/>
  <c r="BF87" i="3" s="1"/>
  <c r="F5" i="13" s="1" a="1"/>
  <c r="F5" i="13" s="1"/>
  <c r="DA85" i="3"/>
  <c r="BF85" i="3" s="1"/>
  <c r="DA84" i="3"/>
  <c r="BF84" i="3" s="1"/>
  <c r="F5" i="10" s="1" a="1"/>
  <c r="F5" i="10" s="1"/>
  <c r="DA86" i="3"/>
  <c r="BF86" i="3" s="1"/>
  <c r="EO44" i="3"/>
  <c r="CT44" i="3" s="1"/>
  <c r="AT9" i="10" s="1" a="1"/>
  <c r="AT9" i="10" s="1"/>
  <c r="EO47" i="3"/>
  <c r="CT47" i="3" s="1"/>
  <c r="AT9" i="13" s="1" a="1"/>
  <c r="AT9" i="13" s="1"/>
  <c r="EO45" i="3"/>
  <c r="CT45" i="3" s="1"/>
  <c r="EO46" i="3"/>
  <c r="CT46" i="3" s="1"/>
  <c r="DF59" i="3"/>
  <c r="BK59" i="3" s="1"/>
  <c r="DF57" i="3"/>
  <c r="BK57" i="3" s="1"/>
  <c r="K10" i="10" s="1" a="1"/>
  <c r="K10" i="10" s="1"/>
  <c r="DF60" i="3"/>
  <c r="BK60" i="3" s="1"/>
  <c r="K10" i="13" s="1" a="1"/>
  <c r="K10" i="13" s="1"/>
  <c r="DF58" i="3"/>
  <c r="BK58" i="3" s="1"/>
  <c r="DV58" i="3"/>
  <c r="CA58" i="3" s="1"/>
  <c r="DV60" i="3"/>
  <c r="DV57" i="3"/>
  <c r="DV59" i="3"/>
  <c r="CA59" i="3" s="1"/>
  <c r="DV87" i="3"/>
  <c r="CA87" i="3" s="1"/>
  <c r="AA5" i="13" s="1" a="1"/>
  <c r="AA5" i="13" s="1"/>
  <c r="DV86" i="3"/>
  <c r="CA86" i="3" s="1"/>
  <c r="DV84" i="3"/>
  <c r="CA84" i="3" s="1"/>
  <c r="AA5" i="10" s="1" a="1"/>
  <c r="AA5" i="10" s="1"/>
  <c r="DV85" i="3"/>
  <c r="CA85" i="3" s="1"/>
  <c r="EO59" i="3"/>
  <c r="CT59" i="3" s="1"/>
  <c r="EO60" i="3"/>
  <c r="CT60" i="3" s="1"/>
  <c r="AT10" i="13" s="1" a="1"/>
  <c r="AT10" i="13" s="1"/>
  <c r="EO58" i="3"/>
  <c r="CT58" i="3" s="1"/>
  <c r="EO57" i="3"/>
  <c r="CT57" i="3" s="1"/>
  <c r="AT10" i="10" s="1" a="1"/>
  <c r="AT10" i="10" s="1"/>
  <c r="DP87" i="3"/>
  <c r="BU87" i="3" s="1"/>
  <c r="U5" i="13" s="1" a="1"/>
  <c r="U5" i="13" s="1"/>
  <c r="DP85" i="3"/>
  <c r="BU85" i="3" s="1"/>
  <c r="DP84" i="3"/>
  <c r="BU84" i="3" s="1"/>
  <c r="U5" i="10" s="1" a="1"/>
  <c r="U5" i="10" s="1"/>
  <c r="DP86" i="3"/>
  <c r="BU86" i="3" s="1"/>
  <c r="EH97" i="3"/>
  <c r="CM97" i="3" s="1"/>
  <c r="EH96" i="3"/>
  <c r="CM96" i="3" s="1"/>
  <c r="AM7" i="10" s="1" a="1"/>
  <c r="AM7" i="10" s="1"/>
  <c r="EH99" i="3"/>
  <c r="CM99" i="3" s="1"/>
  <c r="AM7" i="13" s="1" a="1"/>
  <c r="AM7" i="13" s="1"/>
  <c r="EH98" i="3"/>
  <c r="CM98" i="3" s="1"/>
  <c r="DJ44" i="3"/>
  <c r="BO44" i="3" s="1"/>
  <c r="O9" i="10" s="1" a="1"/>
  <c r="O9" i="10" s="1"/>
  <c r="DJ46" i="3"/>
  <c r="BO46" i="3" s="1"/>
  <c r="DJ47" i="3"/>
  <c r="BO47" i="3" s="1"/>
  <c r="O9" i="13" s="1" a="1"/>
  <c r="O9" i="13" s="1"/>
  <c r="DJ45" i="3"/>
  <c r="BO45" i="3" s="1"/>
  <c r="EH15" i="3"/>
  <c r="CM15" i="3" s="1"/>
  <c r="EH13" i="3"/>
  <c r="CM13" i="3" s="1"/>
  <c r="AM6" i="10" s="1" a="1"/>
  <c r="AM6" i="10" s="1"/>
  <c r="EH16" i="3"/>
  <c r="CM16" i="3" s="1"/>
  <c r="AM6" i="13" s="1" a="1"/>
  <c r="AM6" i="13" s="1"/>
  <c r="EH14" i="3"/>
  <c r="CM14" i="3" s="1"/>
  <c r="DB58" i="3"/>
  <c r="BG58" i="3" s="1"/>
  <c r="DB59" i="3"/>
  <c r="BG59" i="3" s="1"/>
  <c r="DB57" i="3"/>
  <c r="BG57" i="3" s="1"/>
  <c r="G10" i="10" s="1" a="1"/>
  <c r="G10" i="10" s="1"/>
  <c r="DB60" i="3"/>
  <c r="BG60" i="3" s="1"/>
  <c r="G10" i="13" s="1" a="1"/>
  <c r="G10" i="13" s="1"/>
  <c r="EL60" i="3"/>
  <c r="CQ60" i="3" s="1"/>
  <c r="AQ10" i="13" s="1" a="1"/>
  <c r="AQ10" i="13" s="1"/>
  <c r="EL57" i="3"/>
  <c r="CQ57" i="3" s="1"/>
  <c r="AQ10" i="10" s="1" a="1"/>
  <c r="AQ10" i="10" s="1"/>
  <c r="EL58" i="3"/>
  <c r="CQ58" i="3" s="1"/>
  <c r="EL59" i="3"/>
  <c r="CQ59" i="3" s="1"/>
  <c r="DV30" i="3"/>
  <c r="CA30" i="3" s="1"/>
  <c r="DV28" i="3"/>
  <c r="CA28" i="3" s="1"/>
  <c r="AA8" i="10" s="1" a="1"/>
  <c r="AA8" i="10" s="1"/>
  <c r="DV29" i="3"/>
  <c r="CA29" i="3" s="1"/>
  <c r="DV31" i="3"/>
  <c r="CA31" i="3" s="1"/>
  <c r="AA8" i="13" s="1" a="1"/>
  <c r="AA8" i="13" s="1"/>
  <c r="DT71" i="3"/>
  <c r="BY71" i="3" s="1"/>
  <c r="DT70" i="3"/>
  <c r="BY70" i="3" s="1"/>
  <c r="DT69" i="3"/>
  <c r="BY69" i="3" s="1"/>
  <c r="Y4" i="10" s="1" a="1"/>
  <c r="Y4" i="10" s="1"/>
  <c r="DT72" i="3"/>
  <c r="BY72" i="3" s="1"/>
  <c r="Y4" i="13" s="1" a="1"/>
  <c r="Y4" i="13" s="1"/>
  <c r="DJ86" i="3"/>
  <c r="BO86" i="3" s="1"/>
  <c r="DJ84" i="3"/>
  <c r="BO84" i="3" s="1"/>
  <c r="O5" i="10" s="1" a="1"/>
  <c r="O5" i="10" s="1"/>
  <c r="DJ85" i="3"/>
  <c r="BO85" i="3" s="1"/>
  <c r="DJ87" i="3"/>
  <c r="BO87" i="3" s="1"/>
  <c r="O5" i="13" s="1" a="1"/>
  <c r="O5" i="13" s="1"/>
  <c r="DO86" i="3"/>
  <c r="BT86" i="3" s="1"/>
  <c r="DO84" i="3"/>
  <c r="BT84" i="3" s="1"/>
  <c r="T5" i="10" s="1" a="1"/>
  <c r="T5" i="10" s="1"/>
  <c r="DO87" i="3"/>
  <c r="BT87" i="3" s="1"/>
  <c r="T5" i="13" s="1" a="1"/>
  <c r="T5" i="13" s="1"/>
  <c r="DO85" i="3"/>
  <c r="BT85" i="3" s="1"/>
  <c r="DT98" i="3"/>
  <c r="BY98" i="3" s="1"/>
  <c r="DT96" i="3"/>
  <c r="BY96" i="3" s="1"/>
  <c r="Y7" i="10" s="1" a="1"/>
  <c r="Y7" i="10" s="1"/>
  <c r="DT97" i="3"/>
  <c r="BY97" i="3" s="1"/>
  <c r="DT99" i="3"/>
  <c r="BY99" i="3" s="1"/>
  <c r="Y7" i="13" s="1" a="1"/>
  <c r="Y7" i="13" s="1"/>
  <c r="DY47" i="3"/>
  <c r="CD47" i="3" s="1"/>
  <c r="AD9" i="13" s="1" a="1"/>
  <c r="AD9" i="13" s="1"/>
  <c r="DY45" i="3"/>
  <c r="CD45" i="3" s="1"/>
  <c r="DY44" i="3"/>
  <c r="CD44" i="3" s="1"/>
  <c r="AD9" i="10" s="1" a="1"/>
  <c r="AD9" i="10" s="1"/>
  <c r="DY46" i="3"/>
  <c r="CD46" i="3" s="1"/>
  <c r="DK47" i="3"/>
  <c r="BP47" i="3" s="1"/>
  <c r="P9" i="13" s="1" a="1"/>
  <c r="P9" i="13" s="1"/>
  <c r="DK45" i="3"/>
  <c r="BP45" i="3" s="1"/>
  <c r="DK46" i="3"/>
  <c r="BP46" i="3" s="1"/>
  <c r="DK44" i="3"/>
  <c r="BP44" i="3" s="1"/>
  <c r="P9" i="10" s="1" a="1"/>
  <c r="P9" i="10" s="1"/>
  <c r="DN85" i="3"/>
  <c r="BS85" i="3" s="1"/>
  <c r="DN84" i="3"/>
  <c r="BS84" i="3" s="1"/>
  <c r="S5" i="10" s="1" a="1"/>
  <c r="S5" i="10" s="1"/>
  <c r="DN86" i="3"/>
  <c r="BS86" i="3" s="1"/>
  <c r="DN87" i="3"/>
  <c r="BS87" i="3" s="1"/>
  <c r="S5" i="13" s="1" a="1"/>
  <c r="S5" i="13" s="1"/>
  <c r="DR96" i="3"/>
  <c r="BW96" i="3" s="1"/>
  <c r="W7" i="10" s="1" a="1"/>
  <c r="W7" i="10" s="1"/>
  <c r="DR99" i="3"/>
  <c r="BW99" i="3" s="1"/>
  <c r="W7" i="13" s="1" a="1"/>
  <c r="W7" i="13" s="1"/>
  <c r="DR98" i="3"/>
  <c r="BW98" i="3" s="1"/>
  <c r="DR97" i="3"/>
  <c r="BW97" i="3" s="1"/>
  <c r="DJ99" i="3"/>
  <c r="BO99" i="3" s="1"/>
  <c r="O7" i="13" s="1" a="1"/>
  <c r="O7" i="13" s="1"/>
  <c r="DJ96" i="3"/>
  <c r="BO96" i="3" s="1"/>
  <c r="O7" i="10" s="1" a="1"/>
  <c r="O7" i="10" s="1"/>
  <c r="DJ97" i="3"/>
  <c r="BO97" i="3" s="1"/>
  <c r="DJ98" i="3"/>
  <c r="BO98" i="3" s="1"/>
  <c r="DO15" i="3"/>
  <c r="BT15" i="3" s="1"/>
  <c r="DO16" i="3"/>
  <c r="BT16" i="3" s="1"/>
  <c r="T6" i="13" s="1" a="1"/>
  <c r="T6" i="13" s="1"/>
  <c r="DO13" i="3"/>
  <c r="BT13" i="3" s="1"/>
  <c r="T6" i="10" s="1" a="1"/>
  <c r="T6" i="10" s="1"/>
  <c r="DO14" i="3"/>
  <c r="BT14" i="3" s="1"/>
  <c r="EQ47" i="3"/>
  <c r="CV47" i="3" s="1"/>
  <c r="AV9" i="13" s="1" a="1"/>
  <c r="AV9" i="13" s="1"/>
  <c r="EQ44" i="3"/>
  <c r="CV44" i="3" s="1"/>
  <c r="AV9" i="10" s="1" a="1"/>
  <c r="AV9" i="10" s="1"/>
  <c r="EQ45" i="3"/>
  <c r="CV45" i="3" s="1"/>
  <c r="EQ46" i="3"/>
  <c r="CV46" i="3" s="1"/>
  <c r="ER47" i="3"/>
  <c r="CW47" i="3" s="1"/>
  <c r="AW9" i="13" s="1" a="1"/>
  <c r="AW9" i="13" s="1"/>
  <c r="ER45" i="3"/>
  <c r="CW45" i="3" s="1"/>
  <c r="ER46" i="3"/>
  <c r="CW46" i="3" s="1"/>
  <c r="ER44" i="3"/>
  <c r="CW44" i="3" s="1"/>
  <c r="AW9" i="10" s="1" a="1"/>
  <c r="AW9" i="10" s="1"/>
  <c r="DO31" i="3"/>
  <c r="BT31" i="3" s="1"/>
  <c r="T8" i="13" s="1" a="1"/>
  <c r="T8" i="13" s="1"/>
  <c r="DO30" i="3"/>
  <c r="BT30" i="3" s="1"/>
  <c r="DO28" i="3"/>
  <c r="BT28" i="3" s="1"/>
  <c r="T8" i="10" s="1" a="1"/>
  <c r="T8" i="10" s="1"/>
  <c r="DO29" i="3"/>
  <c r="BT29" i="3" s="1"/>
  <c r="EA98" i="3"/>
  <c r="CF98" i="3" s="1"/>
  <c r="EA97" i="3"/>
  <c r="CF97" i="3" s="1"/>
  <c r="EA99" i="3"/>
  <c r="CF99" i="3" s="1"/>
  <c r="AF7" i="13" s="1" a="1"/>
  <c r="AF7" i="13" s="1"/>
  <c r="EA96" i="3"/>
  <c r="CF96" i="3" s="1"/>
  <c r="AF7" i="10" s="1" a="1"/>
  <c r="AF7" i="10" s="1"/>
  <c r="EQ71" i="3"/>
  <c r="CV71" i="3" s="1"/>
  <c r="EQ72" i="3"/>
  <c r="CV72" i="3" s="1"/>
  <c r="AV4" i="13" s="1" a="1"/>
  <c r="AV4" i="13" s="1"/>
  <c r="EQ69" i="3"/>
  <c r="CV69" i="3" s="1"/>
  <c r="AV4" i="10" s="1" a="1"/>
  <c r="AV4" i="10" s="1"/>
  <c r="EQ70" i="3"/>
  <c r="CV70" i="3" s="1"/>
  <c r="EM84" i="3"/>
  <c r="CR84" i="3" s="1"/>
  <c r="AR5" i="10" s="1" a="1"/>
  <c r="AR5" i="10" s="1"/>
  <c r="EM87" i="3"/>
  <c r="CR87" i="3" s="1"/>
  <c r="AR5" i="13" s="1" a="1"/>
  <c r="AR5" i="13" s="1"/>
  <c r="EM86" i="3"/>
  <c r="CR86" i="3" s="1"/>
  <c r="EM85" i="3"/>
  <c r="CR85" i="3" s="1"/>
  <c r="EM44" i="3"/>
  <c r="CR44" i="3" s="1"/>
  <c r="AR9" i="10" s="1" a="1"/>
  <c r="AR9" i="10" s="1"/>
  <c r="EM47" i="3"/>
  <c r="CR47" i="3" s="1"/>
  <c r="AR9" i="13" s="1" a="1"/>
  <c r="AR9" i="13" s="1"/>
  <c r="EM45" i="3"/>
  <c r="CR45" i="3" s="1"/>
  <c r="EM46" i="3"/>
  <c r="CR46" i="3" s="1"/>
  <c r="DY69" i="3"/>
  <c r="CD69" i="3" s="1"/>
  <c r="AD4" i="10" s="1" a="1"/>
  <c r="AD4" i="10" s="1"/>
  <c r="DY71" i="3"/>
  <c r="CD71" i="3" s="1"/>
  <c r="DY70" i="3"/>
  <c r="CD70" i="3" s="1"/>
  <c r="DY72" i="3"/>
  <c r="CD72" i="3" s="1"/>
  <c r="AD4" i="13" s="1" a="1"/>
  <c r="AD4" i="13" s="1"/>
  <c r="EI44" i="3"/>
  <c r="CN44" i="3" s="1"/>
  <c r="AN9" i="10" s="1" a="1"/>
  <c r="AN9" i="10" s="1"/>
  <c r="EI46" i="3"/>
  <c r="CN46" i="3" s="1"/>
  <c r="EI45" i="3"/>
  <c r="CN45" i="3" s="1"/>
  <c r="EI47" i="3"/>
  <c r="CN47" i="3" s="1"/>
  <c r="AN9" i="13" s="1" a="1"/>
  <c r="AN9" i="13" s="1"/>
  <c r="EA45" i="3"/>
  <c r="CF45" i="3" s="1"/>
  <c r="EA46" i="3"/>
  <c r="CF46" i="3" s="1"/>
  <c r="EA44" i="3"/>
  <c r="CF44" i="3" s="1"/>
  <c r="AF9" i="10" s="1" a="1"/>
  <c r="AF9" i="10" s="1"/>
  <c r="EA47" i="3"/>
  <c r="CF47" i="3" s="1"/>
  <c r="AF9" i="13" s="1" a="1"/>
  <c r="AF9" i="13" s="1"/>
  <c r="EQ59" i="3"/>
  <c r="CV59" i="3" s="1"/>
  <c r="EQ60" i="3"/>
  <c r="CV60" i="3" s="1"/>
  <c r="AV10" i="13" s="1" a="1"/>
  <c r="AV10" i="13" s="1"/>
  <c r="EQ58" i="3"/>
  <c r="CV58" i="3" s="1"/>
  <c r="EQ57" i="3"/>
  <c r="CV57" i="3" s="1"/>
  <c r="AV10" i="10" s="1" a="1"/>
  <c r="AV10" i="10" s="1"/>
  <c r="DG86" i="3"/>
  <c r="BL86" i="3" s="1"/>
  <c r="DG85" i="3"/>
  <c r="BL85" i="3" s="1"/>
  <c r="DG87" i="3"/>
  <c r="BL87" i="3" s="1"/>
  <c r="L5" i="13" s="1" a="1"/>
  <c r="L5" i="13" s="1"/>
  <c r="DG84" i="3"/>
  <c r="BL84" i="3" s="1"/>
  <c r="L5" i="10" s="1" a="1"/>
  <c r="L5" i="10" s="1"/>
  <c r="EP99" i="3"/>
  <c r="CU99" i="3" s="1"/>
  <c r="AU7" i="13" s="1" a="1"/>
  <c r="AU7" i="13" s="1"/>
  <c r="EP98" i="3"/>
  <c r="CU98" i="3" s="1"/>
  <c r="EP96" i="3"/>
  <c r="CU96" i="3" s="1"/>
  <c r="AU7" i="10" s="1" a="1"/>
  <c r="AU7" i="10" s="1"/>
  <c r="EP97" i="3"/>
  <c r="CU97" i="3" s="1"/>
  <c r="DE97" i="3"/>
  <c r="BJ97" i="3" s="1"/>
  <c r="DE99" i="3"/>
  <c r="BJ99" i="3" s="1"/>
  <c r="J7" i="13" s="1" a="1"/>
  <c r="J7" i="13" s="1"/>
  <c r="DE96" i="3"/>
  <c r="BJ96" i="3" s="1"/>
  <c r="J7" i="10" s="1" a="1"/>
  <c r="J7" i="10" s="1"/>
  <c r="DE98" i="3"/>
  <c r="BJ98" i="3" s="1"/>
  <c r="EE59" i="3"/>
  <c r="CJ59" i="3" s="1"/>
  <c r="EE57" i="3"/>
  <c r="CJ57" i="3" s="1"/>
  <c r="AJ10" i="10" s="1" a="1"/>
  <c r="AJ10" i="10" s="1"/>
  <c r="EE60" i="3"/>
  <c r="CJ60" i="3" s="1"/>
  <c r="AJ10" i="13" s="1" a="1"/>
  <c r="AJ10" i="13" s="1"/>
  <c r="EE58" i="3"/>
  <c r="CJ58" i="3" s="1"/>
  <c r="DH58" i="3"/>
  <c r="BM58" i="3" s="1"/>
  <c r="DH57" i="3"/>
  <c r="BM57" i="3" s="1"/>
  <c r="M10" i="10" s="1" a="1"/>
  <c r="M10" i="10" s="1"/>
  <c r="DH60" i="3"/>
  <c r="BM60" i="3" s="1"/>
  <c r="M10" i="13" s="1" a="1"/>
  <c r="M10" i="13" s="1"/>
  <c r="DH59" i="3"/>
  <c r="BM59" i="3" s="1"/>
  <c r="EN59" i="3"/>
  <c r="CS59" i="3" s="1"/>
  <c r="EN57" i="3"/>
  <c r="CS57" i="3" s="1"/>
  <c r="AS10" i="10" s="1" a="1"/>
  <c r="AS10" i="10" s="1"/>
  <c r="EN60" i="3"/>
  <c r="CS60" i="3" s="1"/>
  <c r="AS10" i="13" s="1" a="1"/>
  <c r="AS10" i="13" s="1"/>
  <c r="EN58" i="3"/>
  <c r="CS58" i="3" s="1"/>
  <c r="EJ70" i="3"/>
  <c r="CO70" i="3" s="1"/>
  <c r="EJ71" i="3"/>
  <c r="CO71" i="3" s="1"/>
  <c r="EJ69" i="3"/>
  <c r="CO69" i="3" s="1"/>
  <c r="AO4" i="10" s="1" a="1"/>
  <c r="AO4" i="10" s="1"/>
  <c r="EJ72" i="3"/>
  <c r="CO72" i="3" s="1"/>
  <c r="AO4" i="13" s="1" a="1"/>
  <c r="AO4" i="13" s="1"/>
  <c r="DJ28" i="3"/>
  <c r="BO28" i="3" s="1"/>
  <c r="O8" i="10" s="1" a="1"/>
  <c r="O8" i="10" s="1"/>
  <c r="DJ30" i="3"/>
  <c r="BO30" i="3" s="1"/>
  <c r="DJ31" i="3"/>
  <c r="BO31" i="3" s="1"/>
  <c r="O8" i="13" s="1" a="1"/>
  <c r="O8" i="13" s="1"/>
  <c r="DJ29" i="3"/>
  <c r="BO29" i="3" s="1"/>
  <c r="EO31" i="3"/>
  <c r="CT31" i="3" s="1"/>
  <c r="AT8" i="13" s="1" a="1"/>
  <c r="AT8" i="13" s="1"/>
  <c r="EO29" i="3"/>
  <c r="CT29" i="3" s="1"/>
  <c r="EO30" i="3"/>
  <c r="CT30" i="3" s="1"/>
  <c r="EO28" i="3"/>
  <c r="CT28" i="3" s="1"/>
  <c r="AT8" i="10" s="1" a="1"/>
  <c r="AT8" i="10" s="1"/>
  <c r="EN86" i="3"/>
  <c r="CS86" i="3" s="1"/>
  <c r="EN87" i="3"/>
  <c r="CS87" i="3" s="1"/>
  <c r="AS5" i="13" s="1" a="1"/>
  <c r="AS5" i="13" s="1"/>
  <c r="EN85" i="3"/>
  <c r="CS85" i="3" s="1"/>
  <c r="EN84" i="3"/>
  <c r="CS84" i="3" s="1"/>
  <c r="AS5" i="10" s="1" a="1"/>
  <c r="AS5" i="10" s="1"/>
  <c r="EB70" i="3"/>
  <c r="CG70" i="3" s="1"/>
  <c r="EB72" i="3"/>
  <c r="CG72" i="3" s="1"/>
  <c r="AG4" i="13" s="1" a="1"/>
  <c r="AG4" i="13" s="1"/>
  <c r="EB71" i="3"/>
  <c r="CG71" i="3" s="1"/>
  <c r="EB69" i="3"/>
  <c r="CG69" i="3" s="1"/>
  <c r="AG4" i="10" s="1" a="1"/>
  <c r="AG4" i="10" s="1"/>
  <c r="DY29" i="3"/>
  <c r="CD29" i="3" s="1"/>
  <c r="DY31" i="3"/>
  <c r="CD31" i="3" s="1"/>
  <c r="AD8" i="13" s="1" a="1"/>
  <c r="AD8" i="13" s="1"/>
  <c r="DY28" i="3"/>
  <c r="CD28" i="3" s="1"/>
  <c r="AD8" i="10" s="1" a="1"/>
  <c r="AD8" i="10" s="1"/>
  <c r="DY30" i="3"/>
  <c r="CD30" i="3" s="1"/>
  <c r="EE69" i="3"/>
  <c r="CJ69" i="3" s="1"/>
  <c r="AJ4" i="10" s="1" a="1"/>
  <c r="AJ4" i="10" s="1"/>
  <c r="EE70" i="3"/>
  <c r="CJ70" i="3" s="1"/>
  <c r="EE71" i="3"/>
  <c r="CJ71" i="3" s="1"/>
  <c r="EE72" i="3"/>
  <c r="CJ72" i="3" s="1"/>
  <c r="AJ4" i="13" s="1" a="1"/>
  <c r="AJ4" i="13" s="1"/>
  <c r="DZ86" i="3"/>
  <c r="CE86" i="3" s="1"/>
  <c r="DZ85" i="3"/>
  <c r="CE85" i="3" s="1"/>
  <c r="DZ87" i="3"/>
  <c r="CE87" i="3" s="1"/>
  <c r="AE5" i="13" s="1" a="1"/>
  <c r="AE5" i="13" s="1"/>
  <c r="DZ84" i="3"/>
  <c r="CE84" i="3" s="1"/>
  <c r="AE5" i="10" s="1" a="1"/>
  <c r="AE5" i="10" s="1"/>
  <c r="DV46" i="3"/>
  <c r="CA46" i="3" s="1"/>
  <c r="DV47" i="3"/>
  <c r="CA47" i="3" s="1"/>
  <c r="AA9" i="13" s="1" a="1"/>
  <c r="AA9" i="13" s="1"/>
  <c r="DV45" i="3"/>
  <c r="CA45" i="3" s="1"/>
  <c r="DV44" i="3"/>
  <c r="CA44" i="3" s="1"/>
  <c r="AA9" i="10" s="1" a="1"/>
  <c r="AA9" i="10" s="1"/>
  <c r="DL72" i="3"/>
  <c r="BQ72" i="3" s="1"/>
  <c r="Q4" i="13" s="1" a="1"/>
  <c r="Q4" i="13" s="1"/>
  <c r="DL70" i="3"/>
  <c r="BQ70" i="3" s="1"/>
  <c r="DL71" i="3"/>
  <c r="BQ71" i="3" s="1"/>
  <c r="DL69" i="3"/>
  <c r="BQ69" i="3" s="1"/>
  <c r="Q4" i="10" s="1" a="1"/>
  <c r="Q4" i="10" s="1"/>
  <c r="EC16" i="3"/>
  <c r="CH16" i="3" s="1"/>
  <c r="AH6" i="13" s="1" a="1"/>
  <c r="AH6" i="13" s="1"/>
  <c r="EC14" i="3"/>
  <c r="CH14" i="3" s="1"/>
  <c r="EC15" i="3"/>
  <c r="CH15" i="3" s="1"/>
  <c r="EC13" i="3"/>
  <c r="CH13" i="3" s="1"/>
  <c r="AH6" i="10" s="1" a="1"/>
  <c r="AH6" i="10" s="1"/>
  <c r="DP44" i="3"/>
  <c r="BU44" i="3" s="1"/>
  <c r="U9" i="10" s="1" a="1"/>
  <c r="U9" i="10" s="1"/>
  <c r="DP47" i="3"/>
  <c r="BU47" i="3" s="1"/>
  <c r="U9" i="13" s="1" a="1"/>
  <c r="U9" i="13" s="1"/>
  <c r="DP45" i="3"/>
  <c r="BU45" i="3" s="1"/>
  <c r="DP46" i="3"/>
  <c r="BU46" i="3" s="1"/>
  <c r="CZ59" i="3"/>
  <c r="BE59" i="3" s="1"/>
  <c r="CZ57" i="3"/>
  <c r="BE57" i="3" s="1"/>
  <c r="E10" i="10" s="1" a="1"/>
  <c r="E10" i="10" s="1"/>
  <c r="CZ58" i="3"/>
  <c r="BE58" i="3" s="1"/>
  <c r="CZ60" i="3"/>
  <c r="BE60" i="3" s="1"/>
  <c r="E10" i="13" s="1" a="1"/>
  <c r="E10" i="13" s="1"/>
  <c r="DO96" i="3"/>
  <c r="BT96" i="3" s="1"/>
  <c r="T7" i="10" s="1" a="1"/>
  <c r="T7" i="10" s="1"/>
  <c r="DO98" i="3"/>
  <c r="BT98" i="3" s="1"/>
  <c r="DO97" i="3"/>
  <c r="BT97" i="3" s="1"/>
  <c r="DO99" i="3"/>
  <c r="BT99" i="3" s="1"/>
  <c r="T7" i="13" s="1" a="1"/>
  <c r="T7" i="13" s="1"/>
  <c r="DW15" i="3"/>
  <c r="CB15" i="3" s="1"/>
  <c r="DW16" i="3"/>
  <c r="CB16" i="3" s="1"/>
  <c r="AB6" i="13" s="1" a="1"/>
  <c r="AB6" i="13" s="1"/>
  <c r="DW14" i="3"/>
  <c r="CB14" i="3" s="1"/>
  <c r="DW13" i="3"/>
  <c r="CB13" i="3" s="1"/>
  <c r="AB6" i="10" s="1" a="1"/>
  <c r="AB6" i="10" s="1"/>
  <c r="EA70" i="3"/>
  <c r="CF70" i="3" s="1"/>
  <c r="EA69" i="3"/>
  <c r="CF69" i="3" s="1"/>
  <c r="AF4" i="10" s="1" a="1"/>
  <c r="AF4" i="10" s="1"/>
  <c r="EA72" i="3"/>
  <c r="CF72" i="3" s="1"/>
  <c r="AF4" i="13" s="1" a="1"/>
  <c r="AF4" i="13" s="1"/>
  <c r="EA71" i="3"/>
  <c r="CF71" i="3" s="1"/>
  <c r="CZ87" i="3"/>
  <c r="BE87" i="3" s="1"/>
  <c r="E5" i="13" s="1" a="1"/>
  <c r="E5" i="13" s="1"/>
  <c r="CZ85" i="3"/>
  <c r="BE85" i="3" s="1"/>
  <c r="CZ86" i="3"/>
  <c r="BE86" i="3" s="1"/>
  <c r="CZ84" i="3"/>
  <c r="BE84" i="3" s="1"/>
  <c r="E5" i="10" s="1" a="1"/>
  <c r="E5" i="10" s="1"/>
  <c r="ER13" i="3"/>
  <c r="CW13" i="3" s="1"/>
  <c r="AW6" i="10" s="1" a="1"/>
  <c r="AW6" i="10" s="1"/>
  <c r="ER14" i="3"/>
  <c r="CW14" i="3" s="1"/>
  <c r="ER16" i="3"/>
  <c r="CW16" i="3" s="1"/>
  <c r="AW6" i="13" s="1" a="1"/>
  <c r="AW6" i="13" s="1"/>
  <c r="ER15" i="3"/>
  <c r="CW15" i="3" s="1"/>
  <c r="DD71" i="3"/>
  <c r="BI71" i="3" s="1"/>
  <c r="DD70" i="3"/>
  <c r="BI70" i="3" s="1"/>
  <c r="DD69" i="3"/>
  <c r="BI69" i="3" s="1"/>
  <c r="I4" i="10" s="1" a="1"/>
  <c r="I4" i="10" s="1"/>
  <c r="DD72" i="3"/>
  <c r="BI72" i="3" s="1"/>
  <c r="I4" i="13" s="1" a="1"/>
  <c r="I4" i="13" s="1"/>
  <c r="DH70" i="3"/>
  <c r="BM70" i="3" s="1"/>
  <c r="DH69" i="3"/>
  <c r="BM69" i="3" s="1"/>
  <c r="M4" i="10" s="1" a="1"/>
  <c r="M4" i="10" s="1"/>
  <c r="DH72" i="3"/>
  <c r="BM72" i="3" s="1"/>
  <c r="M4" i="13" s="1" a="1"/>
  <c r="M4" i="13" s="1"/>
  <c r="DH71" i="3"/>
  <c r="BM71" i="3" s="1"/>
  <c r="DZ29" i="3"/>
  <c r="CE29" i="3" s="1"/>
  <c r="DZ31" i="3"/>
  <c r="CE31" i="3" s="1"/>
  <c r="AE8" i="13" s="1" a="1"/>
  <c r="AE8" i="13" s="1"/>
  <c r="DZ28" i="3"/>
  <c r="CE28" i="3" s="1"/>
  <c r="AE8" i="10" s="1" a="1"/>
  <c r="AE8" i="10" s="1"/>
  <c r="DZ30" i="3"/>
  <c r="CE30" i="3" s="1"/>
  <c r="DI16" i="3"/>
  <c r="BN16" i="3" s="1"/>
  <c r="N6" i="13" s="1" a="1"/>
  <c r="N6" i="13" s="1"/>
  <c r="DI15" i="3"/>
  <c r="BN15" i="3" s="1"/>
  <c r="DI14" i="3"/>
  <c r="BN14" i="3" s="1"/>
  <c r="DI13" i="3"/>
  <c r="BN13" i="3" s="1"/>
  <c r="N6" i="10" s="1" a="1"/>
  <c r="N6" i="10" s="1"/>
  <c r="DL97" i="3"/>
  <c r="BQ97" i="3" s="1"/>
  <c r="DL96" i="3"/>
  <c r="BQ96" i="3" s="1"/>
  <c r="Q7" i="10" s="1" a="1"/>
  <c r="Q7" i="10" s="1"/>
  <c r="DL98" i="3"/>
  <c r="BQ98" i="3" s="1"/>
  <c r="DL99" i="3"/>
  <c r="BQ99" i="3" s="1"/>
  <c r="Q7" i="13" s="1" a="1"/>
  <c r="Q7" i="13" s="1"/>
  <c r="DF15" i="3"/>
  <c r="BK15" i="3" s="1"/>
  <c r="DF16" i="3"/>
  <c r="BK16" i="3" s="1"/>
  <c r="K6" i="13" s="1" a="1"/>
  <c r="K6" i="13" s="1"/>
  <c r="DF14" i="3"/>
  <c r="BK14" i="3" s="1"/>
  <c r="DF13" i="3"/>
  <c r="BK13" i="3" s="1"/>
  <c r="K6" i="10" s="1" a="1"/>
  <c r="K6" i="10" s="1"/>
  <c r="EQ31" i="3"/>
  <c r="CV31" i="3" s="1"/>
  <c r="AV8" i="13" s="1" a="1"/>
  <c r="AV8" i="13" s="1"/>
  <c r="EQ28" i="3"/>
  <c r="CV28" i="3" s="1"/>
  <c r="AV8" i="10" s="1" a="1"/>
  <c r="AV8" i="10" s="1"/>
  <c r="EQ29" i="3"/>
  <c r="CV29" i="3" s="1"/>
  <c r="EQ30" i="3"/>
  <c r="CV30" i="3" s="1"/>
  <c r="EA31" i="3"/>
  <c r="CF31" i="3" s="1"/>
  <c r="AF8" i="13" s="1" a="1"/>
  <c r="AF8" i="13" s="1"/>
  <c r="EA28" i="3"/>
  <c r="CF28" i="3" s="1"/>
  <c r="AF8" i="10" s="1" a="1"/>
  <c r="AF8" i="10" s="1"/>
  <c r="EA29" i="3"/>
  <c r="CF29" i="3" s="1"/>
  <c r="EA30" i="3"/>
  <c r="CF30" i="3" s="1"/>
  <c r="DK57" i="3"/>
  <c r="BP57" i="3" s="1"/>
  <c r="P10" i="10" s="1" a="1"/>
  <c r="P10" i="10" s="1"/>
  <c r="DK60" i="3"/>
  <c r="BP60" i="3" s="1"/>
  <c r="P10" i="13" s="1" a="1"/>
  <c r="P10" i="13" s="1"/>
  <c r="DK58" i="3"/>
  <c r="BP58" i="3" s="1"/>
  <c r="DK59" i="3"/>
  <c r="BP59" i="3" s="1"/>
  <c r="EK72" i="3"/>
  <c r="CP72" i="3" s="1"/>
  <c r="AP4" i="13" s="1" a="1"/>
  <c r="AP4" i="13" s="1"/>
  <c r="EK71" i="3"/>
  <c r="CP71" i="3" s="1"/>
  <c r="EK70" i="3"/>
  <c r="CP70" i="3" s="1"/>
  <c r="EK69" i="3"/>
  <c r="CP69" i="3" s="1"/>
  <c r="AP4" i="10" s="1" a="1"/>
  <c r="AP4" i="10" s="1"/>
  <c r="DK86" i="3"/>
  <c r="BP86" i="3" s="1"/>
  <c r="DK84" i="3"/>
  <c r="BP84" i="3" s="1"/>
  <c r="P5" i="10" s="1" a="1"/>
  <c r="P5" i="10" s="1"/>
  <c r="DK87" i="3"/>
  <c r="BP87" i="3" s="1"/>
  <c r="P5" i="13" s="1" a="1"/>
  <c r="P5" i="13" s="1"/>
  <c r="DK85" i="3"/>
  <c r="BP85" i="3" s="1"/>
  <c r="DH86" i="3"/>
  <c r="BM86" i="3" s="1"/>
  <c r="DH85" i="3"/>
  <c r="BM85" i="3" s="1"/>
  <c r="DH87" i="3"/>
  <c r="BM87" i="3" s="1"/>
  <c r="M5" i="13" s="1" a="1"/>
  <c r="M5" i="13" s="1"/>
  <c r="DH84" i="3"/>
  <c r="BM84" i="3" s="1"/>
  <c r="M5" i="10" s="1" a="1"/>
  <c r="M5" i="10" s="1"/>
  <c r="ER99" i="3"/>
  <c r="CW99" i="3" s="1"/>
  <c r="AW7" i="13" s="1" a="1"/>
  <c r="AW7" i="13" s="1"/>
  <c r="ER98" i="3"/>
  <c r="CW98" i="3" s="1"/>
  <c r="ER96" i="3"/>
  <c r="CW96" i="3" s="1"/>
  <c r="AW7" i="10" s="1" a="1"/>
  <c r="AW7" i="10" s="1"/>
  <c r="ER97" i="3"/>
  <c r="CW97" i="3" s="1"/>
  <c r="EL16" i="3"/>
  <c r="CQ16" i="3" s="1"/>
  <c r="AQ6" i="13" s="1" a="1"/>
  <c r="AQ6" i="13" s="1"/>
  <c r="EL14" i="3"/>
  <c r="CQ14" i="3" s="1"/>
  <c r="EL15" i="3"/>
  <c r="CQ15" i="3" s="1"/>
  <c r="EL13" i="3"/>
  <c r="CQ13" i="3" s="1"/>
  <c r="AQ6" i="10" s="1" a="1"/>
  <c r="AQ6" i="10" s="1"/>
  <c r="ED44" i="3"/>
  <c r="CI44" i="3" s="1"/>
  <c r="AI9" i="10" s="1" a="1"/>
  <c r="AI9" i="10" s="1"/>
  <c r="ED46" i="3"/>
  <c r="CI46" i="3" s="1"/>
  <c r="ED45" i="3"/>
  <c r="CI45" i="3" s="1"/>
  <c r="ED47" i="3"/>
  <c r="CI47" i="3" s="1"/>
  <c r="AI9" i="13" s="1" a="1"/>
  <c r="AI9" i="13" s="1"/>
  <c r="DV71" i="3"/>
  <c r="CA71" i="3" s="1"/>
  <c r="DV70" i="3"/>
  <c r="CA70" i="3" s="1"/>
  <c r="DV72" i="3"/>
  <c r="CA72" i="3" s="1"/>
  <c r="AA4" i="13" s="1" a="1"/>
  <c r="AA4" i="13" s="1"/>
  <c r="DV69" i="3"/>
  <c r="CA69" i="3" s="1"/>
  <c r="AA4" i="10" s="1" a="1"/>
  <c r="AA4" i="10" s="1"/>
  <c r="DC59" i="3"/>
  <c r="BH59" i="3" s="1"/>
  <c r="DC57" i="3"/>
  <c r="BH57" i="3" s="1"/>
  <c r="H10" i="10" s="1" a="1"/>
  <c r="H10" i="10" s="1"/>
  <c r="DC58" i="3"/>
  <c r="BH58" i="3" s="1"/>
  <c r="DC60" i="3"/>
  <c r="BH60" i="3" s="1"/>
  <c r="H10" i="13" s="1" a="1"/>
  <c r="H10" i="13" s="1"/>
  <c r="EH30" i="3"/>
  <c r="CM30" i="3" s="1"/>
  <c r="EH31" i="3"/>
  <c r="CM31" i="3" s="1"/>
  <c r="AM8" i="13" s="1" a="1"/>
  <c r="AM8" i="13" s="1"/>
  <c r="EH29" i="3"/>
  <c r="CM29" i="3" s="1"/>
  <c r="EH28" i="3"/>
  <c r="CM28" i="3" s="1"/>
  <c r="AM8" i="10" s="1" a="1"/>
  <c r="AM8" i="10" s="1"/>
  <c r="EQ13" i="3"/>
  <c r="CV13" i="3" s="1"/>
  <c r="AV6" i="10" s="1" a="1"/>
  <c r="AV6" i="10" s="1"/>
  <c r="EQ14" i="3"/>
  <c r="CV14" i="3" s="1"/>
  <c r="EQ16" i="3"/>
  <c r="CV16" i="3" s="1"/>
  <c r="AV6" i="13" s="1" a="1"/>
  <c r="AV6" i="13" s="1"/>
  <c r="EQ15" i="3"/>
  <c r="CV15" i="3" s="1"/>
  <c r="EI99" i="3"/>
  <c r="CN99" i="3" s="1"/>
  <c r="AN7" i="13" s="1" a="1"/>
  <c r="AN7" i="13" s="1"/>
  <c r="EI97" i="3"/>
  <c r="CN97" i="3" s="1"/>
  <c r="EI96" i="3"/>
  <c r="CN96" i="3" s="1"/>
  <c r="AN7" i="10" s="1" a="1"/>
  <c r="AN7" i="10" s="1"/>
  <c r="EI98" i="3"/>
  <c r="CN98" i="3" s="1"/>
  <c r="DE69" i="3"/>
  <c r="BJ69" i="3" s="1"/>
  <c r="J4" i="10" s="1" a="1"/>
  <c r="J4" i="10" s="1"/>
  <c r="DE70" i="3"/>
  <c r="BJ70" i="3" s="1"/>
  <c r="DE71" i="3"/>
  <c r="BJ71" i="3" s="1"/>
  <c r="DE72" i="3"/>
  <c r="BJ72" i="3" s="1"/>
  <c r="J4" i="13" s="1" a="1"/>
  <c r="J4" i="13" s="1"/>
  <c r="DB71" i="3"/>
  <c r="BG71" i="3" s="1"/>
  <c r="DB70" i="3"/>
  <c r="BG70" i="3" s="1"/>
  <c r="DB72" i="3"/>
  <c r="BG72" i="3" s="1"/>
  <c r="G4" i="13" s="1" a="1"/>
  <c r="G4" i="13" s="1"/>
  <c r="DB69" i="3"/>
  <c r="BG69" i="3" s="1"/>
  <c r="G4" i="10" s="1" a="1"/>
  <c r="G4" i="10" s="1"/>
  <c r="EG97" i="3"/>
  <c r="CL97" i="3" s="1"/>
  <c r="EG96" i="3"/>
  <c r="CL96" i="3" s="1"/>
  <c r="AL7" i="10" s="1" a="1"/>
  <c r="AL7" i="10" s="1"/>
  <c r="EG99" i="3"/>
  <c r="CL99" i="3" s="1"/>
  <c r="AL7" i="13" s="1" a="1"/>
  <c r="AL7" i="13" s="1"/>
  <c r="EG98" i="3"/>
  <c r="CL98" i="3" s="1"/>
  <c r="EE44" i="3"/>
  <c r="CJ44" i="3" s="1"/>
  <c r="AJ9" i="10" s="1" a="1"/>
  <c r="AJ9" i="10" s="1"/>
  <c r="EE46" i="3"/>
  <c r="CJ46" i="3" s="1"/>
  <c r="EE45" i="3"/>
  <c r="CJ45" i="3" s="1"/>
  <c r="EE47" i="3"/>
  <c r="CJ47" i="3" s="1"/>
  <c r="AJ9" i="13" s="1" a="1"/>
  <c r="AJ9" i="13" s="1"/>
  <c r="EB58" i="3"/>
  <c r="CG58" i="3" s="1"/>
  <c r="EB59" i="3"/>
  <c r="CG59" i="3" s="1"/>
  <c r="EB57" i="3"/>
  <c r="CG57" i="3" s="1"/>
  <c r="AG10" i="10" s="1" a="1"/>
  <c r="AG10" i="10" s="1"/>
  <c r="EB60" i="3"/>
  <c r="CG60" i="3" s="1"/>
  <c r="AG10" i="13" s="1" a="1"/>
  <c r="AG10" i="13" s="1"/>
  <c r="DM85" i="3"/>
  <c r="BR85" i="3" s="1"/>
  <c r="DM86" i="3"/>
  <c r="BR86" i="3" s="1"/>
  <c r="DM84" i="3"/>
  <c r="BR84" i="3" s="1"/>
  <c r="R5" i="10" s="1" a="1"/>
  <c r="R5" i="10" s="1"/>
  <c r="DM87" i="3"/>
  <c r="BR87" i="3" s="1"/>
  <c r="R5" i="13" s="1" a="1"/>
  <c r="R5" i="13" s="1"/>
  <c r="DA30" i="3"/>
  <c r="BF30" i="3" s="1"/>
  <c r="DA31" i="3"/>
  <c r="BF31" i="3" s="1"/>
  <c r="F8" i="13" s="1" a="1"/>
  <c r="F8" i="13" s="1"/>
  <c r="DA28" i="3"/>
  <c r="BF28" i="3" s="1"/>
  <c r="F8" i="10" s="1" a="1"/>
  <c r="F8" i="10" s="1"/>
  <c r="DA29" i="3"/>
  <c r="BF29" i="3" s="1"/>
  <c r="EK96" i="3"/>
  <c r="CP96" i="3" s="1"/>
  <c r="AP7" i="10" s="1" a="1"/>
  <c r="AP7" i="10" s="1"/>
  <c r="EK99" i="3"/>
  <c r="CP99" i="3" s="1"/>
  <c r="AP7" i="13" s="1" a="1"/>
  <c r="AP7" i="13" s="1"/>
  <c r="EK97" i="3"/>
  <c r="CP97" i="3" s="1"/>
  <c r="EK98" i="3"/>
  <c r="CP98" i="3" s="1"/>
  <c r="DI86" i="3"/>
  <c r="BN86" i="3" s="1"/>
  <c r="DI85" i="3"/>
  <c r="BN85" i="3" s="1"/>
  <c r="DI87" i="3"/>
  <c r="BN87" i="3" s="1"/>
  <c r="N5" i="13" s="1" a="1"/>
  <c r="N5" i="13" s="1"/>
  <c r="DI84" i="3"/>
  <c r="BN84" i="3" s="1"/>
  <c r="N5" i="10" s="1" a="1"/>
  <c r="N5" i="10" s="1"/>
  <c r="DA99" i="3"/>
  <c r="BF99" i="3" s="1"/>
  <c r="F7" i="13" s="1" a="1"/>
  <c r="F7" i="13" s="1"/>
  <c r="DA97" i="3"/>
  <c r="BF97" i="3" s="1"/>
  <c r="DA96" i="3"/>
  <c r="BF96" i="3" s="1"/>
  <c r="F7" i="10" s="1" a="1"/>
  <c r="F7" i="10" s="1"/>
  <c r="DA98" i="3"/>
  <c r="BF98" i="3" s="1"/>
  <c r="DZ98" i="3"/>
  <c r="CE98" i="3" s="1"/>
  <c r="DZ97" i="3"/>
  <c r="CE97" i="3" s="1"/>
  <c r="DZ99" i="3"/>
  <c r="CE99" i="3" s="1"/>
  <c r="AE7" i="13" s="1" a="1"/>
  <c r="AE7" i="13" s="1"/>
  <c r="DZ96" i="3"/>
  <c r="CE96" i="3" s="1"/>
  <c r="AE7" i="10" s="1" a="1"/>
  <c r="AE7" i="10" s="1"/>
  <c r="EE97" i="3"/>
  <c r="CJ97" i="3" s="1"/>
  <c r="EE99" i="3"/>
  <c r="CJ99" i="3" s="1"/>
  <c r="AJ7" i="13" s="1" a="1"/>
  <c r="AJ7" i="13" s="1"/>
  <c r="EE98" i="3"/>
  <c r="CJ98" i="3" s="1"/>
  <c r="EE96" i="3"/>
  <c r="CJ96" i="3" s="1"/>
  <c r="AJ7" i="10" s="1" a="1"/>
  <c r="AJ7" i="10" s="1"/>
  <c r="DS84" i="3"/>
  <c r="BX84" i="3" s="1"/>
  <c r="X5" i="10" s="1" a="1"/>
  <c r="X5" i="10" s="1"/>
  <c r="DS87" i="3"/>
  <c r="BX87" i="3" s="1"/>
  <c r="X5" i="13" s="1" a="1"/>
  <c r="X5" i="13" s="1"/>
  <c r="DS85" i="3"/>
  <c r="BX85" i="3" s="1"/>
  <c r="DS86" i="3"/>
  <c r="BX86" i="3" s="1"/>
  <c r="DP31" i="3"/>
  <c r="BU31" i="3" s="1"/>
  <c r="U8" i="13" s="1" a="1"/>
  <c r="U8" i="13" s="1"/>
  <c r="DP29" i="3"/>
  <c r="BU29" i="3" s="1"/>
  <c r="DP30" i="3"/>
  <c r="BU30" i="3" s="1"/>
  <c r="DP28" i="3"/>
  <c r="BU28" i="3" s="1"/>
  <c r="U8" i="10" s="1" a="1"/>
  <c r="U8" i="10" s="1"/>
  <c r="DM13" i="3"/>
  <c r="BR13" i="3" s="1"/>
  <c r="R6" i="10" s="1" a="1"/>
  <c r="R6" i="10" s="1"/>
  <c r="DM16" i="3"/>
  <c r="BR16" i="3" s="1"/>
  <c r="R6" i="13" s="1" a="1"/>
  <c r="R6" i="13" s="1"/>
  <c r="DM15" i="3"/>
  <c r="BR15" i="3" s="1"/>
  <c r="DM14" i="3"/>
  <c r="BR14" i="3" s="1"/>
  <c r="EG57" i="3"/>
  <c r="CL57" i="3" s="1"/>
  <c r="AL10" i="10" s="1" a="1"/>
  <c r="AL10" i="10" s="1"/>
  <c r="EG59" i="3"/>
  <c r="CL59" i="3" s="1"/>
  <c r="EG60" i="3"/>
  <c r="CL60" i="3" s="1"/>
  <c r="AL10" i="13" s="1" a="1"/>
  <c r="AL10" i="13" s="1"/>
  <c r="EG58" i="3"/>
  <c r="CL58" i="3" s="1"/>
  <c r="DE57" i="3"/>
  <c r="BJ57" i="3" s="1"/>
  <c r="J10" i="10" s="1" a="1"/>
  <c r="J10" i="10" s="1"/>
  <c r="DE59" i="3"/>
  <c r="BJ59" i="3" s="1"/>
  <c r="DE58" i="3"/>
  <c r="BJ58" i="3" s="1"/>
  <c r="DE60" i="3"/>
  <c r="BJ60" i="3" s="1"/>
  <c r="J10" i="13" s="1" a="1"/>
  <c r="J10" i="13" s="1"/>
  <c r="EG85" i="3"/>
  <c r="CL85" i="3" s="1"/>
  <c r="EG86" i="3"/>
  <c r="CL86" i="3" s="1"/>
  <c r="EG87" i="3"/>
  <c r="CL87" i="3" s="1"/>
  <c r="AL5" i="13" s="1" a="1"/>
  <c r="AL5" i="13" s="1"/>
  <c r="EG84" i="3"/>
  <c r="CL84" i="3" s="1"/>
  <c r="AL5" i="10" s="1" a="1"/>
  <c r="AL5" i="10" s="1"/>
  <c r="EF97" i="3"/>
  <c r="CK97" i="3" s="1"/>
  <c r="EF96" i="3"/>
  <c r="CK96" i="3" s="1"/>
  <c r="AK7" i="10" s="1" a="1"/>
  <c r="AK7" i="10" s="1"/>
  <c r="EF99" i="3"/>
  <c r="CK99" i="3" s="1"/>
  <c r="AK7" i="13" s="1" a="1"/>
  <c r="AK7" i="13" s="1"/>
  <c r="EF98" i="3"/>
  <c r="CK98" i="3" s="1"/>
  <c r="EN99" i="3"/>
  <c r="CS99" i="3" s="1"/>
  <c r="AS7" i="13" s="1" a="1"/>
  <c r="AS7" i="13" s="1"/>
  <c r="EN98" i="3"/>
  <c r="CS98" i="3" s="1"/>
  <c r="EN96" i="3"/>
  <c r="CS96" i="3" s="1"/>
  <c r="AS7" i="10" s="1" a="1"/>
  <c r="AS7" i="10" s="1"/>
  <c r="EN97" i="3"/>
  <c r="CS97" i="3" s="1"/>
  <c r="EE16" i="3"/>
  <c r="CJ16" i="3" s="1"/>
  <c r="AJ6" i="13" s="1" a="1"/>
  <c r="AJ6" i="13" s="1"/>
  <c r="EE14" i="3"/>
  <c r="CJ14" i="3" s="1"/>
  <c r="EE15" i="3"/>
  <c r="CJ15" i="3" s="1"/>
  <c r="EE13" i="3"/>
  <c r="CJ13" i="3" s="1"/>
  <c r="AJ6" i="10" s="1" a="1"/>
  <c r="AJ6" i="10" s="1"/>
  <c r="DM57" i="3"/>
  <c r="BR57" i="3" s="1"/>
  <c r="R10" i="10" s="1" a="1"/>
  <c r="R10" i="10" s="1"/>
  <c r="DM60" i="3"/>
  <c r="BR60" i="3" s="1"/>
  <c r="R10" i="13" s="1" a="1"/>
  <c r="R10" i="13" s="1"/>
  <c r="DM58" i="3"/>
  <c r="BR58" i="3" s="1"/>
  <c r="DM59" i="3"/>
  <c r="BR59" i="3" s="1"/>
  <c r="DU16" i="3"/>
  <c r="BZ16" i="3" s="1"/>
  <c r="Z6" i="13" s="1" a="1"/>
  <c r="Z6" i="13" s="1"/>
  <c r="DU15" i="3"/>
  <c r="BZ15" i="3" s="1"/>
  <c r="DU14" i="3"/>
  <c r="BZ14" i="3" s="1"/>
  <c r="DU13" i="3"/>
  <c r="BZ13" i="3" s="1"/>
  <c r="Z6" i="10" s="1" a="1"/>
  <c r="Z6" i="10" s="1"/>
  <c r="EB86" i="3"/>
  <c r="CG86" i="3" s="1"/>
  <c r="EB85" i="3"/>
  <c r="CG85" i="3" s="1"/>
  <c r="EB87" i="3"/>
  <c r="CG87" i="3" s="1"/>
  <c r="AG5" i="13" s="1" a="1"/>
  <c r="AG5" i="13" s="1"/>
  <c r="EB84" i="3"/>
  <c r="CG84" i="3" s="1"/>
  <c r="AG5" i="10" s="1" a="1"/>
  <c r="AG5" i="10" s="1"/>
  <c r="DY15" i="3"/>
  <c r="CD15" i="3" s="1"/>
  <c r="DY16" i="3"/>
  <c r="CD16" i="3" s="1"/>
  <c r="AD6" i="13" s="1" a="1"/>
  <c r="AD6" i="13" s="1"/>
  <c r="DY14" i="3"/>
  <c r="CD14" i="3" s="1"/>
  <c r="DY13" i="3"/>
  <c r="CD13" i="3" s="1"/>
  <c r="AD6" i="10" s="1" a="1"/>
  <c r="AD6" i="10" s="1"/>
  <c r="DA47" i="3"/>
  <c r="BF47" i="3" s="1"/>
  <c r="F9" i="13" s="1" a="1"/>
  <c r="F9" i="13" s="1"/>
  <c r="DA46" i="3"/>
  <c r="BF46" i="3" s="1"/>
  <c r="DA44" i="3"/>
  <c r="BF44" i="3" s="1"/>
  <c r="F9" i="10" s="1" a="1"/>
  <c r="F9" i="10" s="1"/>
  <c r="DA45" i="3"/>
  <c r="BF45" i="3" s="1"/>
  <c r="DC87" i="3"/>
  <c r="BH87" i="3" s="1"/>
  <c r="H5" i="13" s="1" a="1"/>
  <c r="H5" i="13" s="1"/>
  <c r="DC86" i="3"/>
  <c r="BH86" i="3" s="1"/>
  <c r="DC85" i="3"/>
  <c r="BH85" i="3" s="1"/>
  <c r="DC84" i="3"/>
  <c r="BH84" i="3" s="1"/>
  <c r="H5" i="10" s="1" a="1"/>
  <c r="H5" i="10" s="1"/>
  <c r="DU87" i="3"/>
  <c r="BZ87" i="3" s="1"/>
  <c r="Z5" i="13" s="1" a="1"/>
  <c r="Z5" i="13" s="1"/>
  <c r="DU84" i="3"/>
  <c r="BZ84" i="3" s="1"/>
  <c r="Z5" i="10" s="1" a="1"/>
  <c r="Z5" i="10" s="1"/>
  <c r="DU85" i="3"/>
  <c r="BZ85" i="3" s="1"/>
  <c r="DU86" i="3"/>
  <c r="BZ86" i="3" s="1"/>
  <c r="DN31" i="3"/>
  <c r="BS31" i="3" s="1"/>
  <c r="S8" i="13" s="1" a="1"/>
  <c r="S8" i="13" s="1"/>
  <c r="DN29" i="3"/>
  <c r="BS29" i="3" s="1"/>
  <c r="DN30" i="3"/>
  <c r="BS30" i="3" s="1"/>
  <c r="DN28" i="3"/>
  <c r="BS28" i="3" s="1"/>
  <c r="S8" i="10" s="1" a="1"/>
  <c r="S8" i="10" s="1"/>
  <c r="EC58" i="3"/>
  <c r="CH58" i="3" s="1"/>
  <c r="EC57" i="3"/>
  <c r="CH57" i="3" s="1"/>
  <c r="AH10" i="10" s="1" a="1"/>
  <c r="AH10" i="10" s="1"/>
  <c r="EC59" i="3"/>
  <c r="CH59" i="3" s="1"/>
  <c r="EC60" i="3"/>
  <c r="CH60" i="3" s="1"/>
  <c r="AH10" i="13" s="1" a="1"/>
  <c r="AH10" i="13" s="1"/>
  <c r="DU60" i="3"/>
  <c r="BZ60" i="3" s="1"/>
  <c r="Z10" i="13" s="1" a="1"/>
  <c r="Z10" i="13" s="1"/>
  <c r="DU58" i="3"/>
  <c r="BZ58" i="3" s="1"/>
  <c r="DU57" i="3"/>
  <c r="BZ57" i="3" s="1"/>
  <c r="Z10" i="10" s="1" a="1"/>
  <c r="Z10" i="10" s="1"/>
  <c r="DU59" i="3"/>
  <c r="BZ59" i="3" s="1"/>
  <c r="DW47" i="3"/>
  <c r="CB47" i="3" s="1"/>
  <c r="AB9" i="13" s="1" a="1"/>
  <c r="AB9" i="13" s="1"/>
  <c r="DW46" i="3"/>
  <c r="CB46" i="3" s="1"/>
  <c r="DW45" i="3"/>
  <c r="CB45" i="3" s="1"/>
  <c r="DW44" i="3"/>
  <c r="CB44" i="3" s="1"/>
  <c r="AB9" i="10" s="1" a="1"/>
  <c r="AB9" i="10" s="1"/>
  <c r="EB30" i="3"/>
  <c r="CG30" i="3" s="1"/>
  <c r="EB28" i="3"/>
  <c r="CG28" i="3" s="1"/>
  <c r="AG8" i="10" s="1" a="1"/>
  <c r="AG8" i="10" s="1"/>
  <c r="EB29" i="3"/>
  <c r="CG29" i="3" s="1"/>
  <c r="EB31" i="3"/>
  <c r="CG31" i="3" s="1"/>
  <c r="AG8" i="13" s="1" a="1"/>
  <c r="AG8" i="13" s="1"/>
  <c r="DA59" i="3"/>
  <c r="BF59" i="3" s="1"/>
  <c r="DA57" i="3"/>
  <c r="BF57" i="3" s="1"/>
  <c r="F10" i="10" s="1" a="1"/>
  <c r="F10" i="10" s="1"/>
  <c r="DA58" i="3"/>
  <c r="BF58" i="3" s="1"/>
  <c r="DA60" i="3"/>
  <c r="BF60" i="3" s="1"/>
  <c r="F10" i="13" s="1" a="1"/>
  <c r="F10" i="13" s="1"/>
  <c r="DL85" i="3"/>
  <c r="BQ85" i="3" s="1"/>
  <c r="DL84" i="3"/>
  <c r="BQ84" i="3" s="1"/>
  <c r="Q5" i="10" s="1" a="1"/>
  <c r="Q5" i="10" s="1"/>
  <c r="DL86" i="3"/>
  <c r="BQ86" i="3" s="1"/>
  <c r="DL87" i="3"/>
  <c r="BQ87" i="3" s="1"/>
  <c r="Q5" i="13" s="1" a="1"/>
  <c r="Q5" i="13" s="1"/>
  <c r="DL14" i="3"/>
  <c r="BQ14" i="3" s="1"/>
  <c r="DL13" i="3"/>
  <c r="BQ13" i="3" s="1"/>
  <c r="Q6" i="10" s="1" a="1"/>
  <c r="Q6" i="10" s="1"/>
  <c r="DL16" i="3"/>
  <c r="BQ16" i="3" s="1"/>
  <c r="Q6" i="13" s="1" a="1"/>
  <c r="Q6" i="13" s="1"/>
  <c r="DL15" i="3"/>
  <c r="BQ15" i="3" s="1"/>
  <c r="EA14" i="3"/>
  <c r="CF14" i="3" s="1"/>
  <c r="EA16" i="3"/>
  <c r="CF16" i="3" s="1"/>
  <c r="AF6" i="13" s="1" a="1"/>
  <c r="AF6" i="13" s="1"/>
  <c r="EA15" i="3"/>
  <c r="CF15" i="3" s="1"/>
  <c r="EA13" i="3"/>
  <c r="CF13" i="3" s="1"/>
  <c r="AF6" i="10" s="1" a="1"/>
  <c r="AF6" i="10" s="1"/>
  <c r="EI15" i="3"/>
  <c r="CN15" i="3" s="1"/>
  <c r="EI16" i="3"/>
  <c r="CN16" i="3" s="1"/>
  <c r="AN6" i="13" s="1" a="1"/>
  <c r="AN6" i="13" s="1"/>
  <c r="EI13" i="3"/>
  <c r="CN13" i="3" s="1"/>
  <c r="AN6" i="10" s="1" a="1"/>
  <c r="AN6" i="10" s="1"/>
  <c r="EI14" i="3"/>
  <c r="CN14" i="3" s="1"/>
  <c r="EM14" i="3"/>
  <c r="CR14" i="3" s="1"/>
  <c r="EM15" i="3"/>
  <c r="CR15" i="3" s="1"/>
  <c r="EM13" i="3"/>
  <c r="CR13" i="3" s="1"/>
  <c r="AR6" i="10" s="1" a="1"/>
  <c r="AR6" i="10" s="1"/>
  <c r="EM16" i="3"/>
  <c r="CR16" i="3" s="1"/>
  <c r="AR6" i="13" s="1" a="1"/>
  <c r="AR6" i="13" s="1"/>
  <c r="DL44" i="3"/>
  <c r="BQ44" i="3" s="1"/>
  <c r="Q9" i="10" s="1" a="1"/>
  <c r="Q9" i="10" s="1"/>
  <c r="DL45" i="3"/>
  <c r="BQ45" i="3" s="1"/>
  <c r="DL47" i="3"/>
  <c r="BQ47" i="3" s="1"/>
  <c r="Q9" i="13" s="1" a="1"/>
  <c r="Q9" i="13" s="1"/>
  <c r="DL46" i="3"/>
  <c r="BQ46" i="3" s="1"/>
  <c r="DV99" i="3"/>
  <c r="CA99" i="3" s="1"/>
  <c r="AA7" i="13" s="1" a="1"/>
  <c r="AA7" i="13" s="1"/>
  <c r="DV98" i="3"/>
  <c r="CA98" i="3" s="1"/>
  <c r="DV96" i="3"/>
  <c r="CA96" i="3" s="1"/>
  <c r="AA7" i="10" s="1" a="1"/>
  <c r="AA7" i="10" s="1"/>
  <c r="DV97" i="3"/>
  <c r="CA97" i="3" s="1"/>
  <c r="ED16" i="3"/>
  <c r="CI16" i="3" s="1"/>
  <c r="AI6" i="13" s="1" a="1"/>
  <c r="AI6" i="13" s="1"/>
  <c r="ED14" i="3"/>
  <c r="CI14" i="3" s="1"/>
  <c r="ED15" i="3"/>
  <c r="CI15" i="3" s="1"/>
  <c r="ED13" i="3"/>
  <c r="CI13" i="3" s="1"/>
  <c r="AI6" i="10" s="1" a="1"/>
  <c r="AI6" i="10" s="1"/>
  <c r="EL30" i="3"/>
  <c r="CQ30" i="3" s="1"/>
  <c r="EL31" i="3"/>
  <c r="CQ31" i="3" s="1"/>
  <c r="AQ8" i="13" s="1" a="1"/>
  <c r="AQ8" i="13" s="1"/>
  <c r="EL28" i="3"/>
  <c r="CQ28" i="3" s="1"/>
  <c r="AQ8" i="10" s="1" a="1"/>
  <c r="AQ8" i="10" s="1"/>
  <c r="EL29" i="3"/>
  <c r="CQ29" i="3" s="1"/>
  <c r="DZ57" i="3"/>
  <c r="CE57" i="3" s="1"/>
  <c r="AE10" i="10" s="1" a="1"/>
  <c r="AE10" i="10" s="1"/>
  <c r="DZ59" i="3"/>
  <c r="CE59" i="3" s="1"/>
  <c r="DZ60" i="3"/>
  <c r="CE60" i="3" s="1"/>
  <c r="AE10" i="13" s="1" a="1"/>
  <c r="AE10" i="13" s="1"/>
  <c r="DZ58" i="3"/>
  <c r="CE58" i="3" s="1"/>
  <c r="DX59" i="3"/>
  <c r="CC59" i="3" s="1"/>
  <c r="DX60" i="3"/>
  <c r="CC60" i="3" s="1"/>
  <c r="AC10" i="13" s="1" a="1"/>
  <c r="AC10" i="13" s="1"/>
  <c r="DX57" i="3"/>
  <c r="CC57" i="3" s="1"/>
  <c r="AC10" i="10" s="1" a="1"/>
  <c r="AC10" i="10" s="1"/>
  <c r="DX58" i="3"/>
  <c r="CC58" i="3" s="1"/>
  <c r="DB99" i="3"/>
  <c r="BG99" i="3" s="1"/>
  <c r="G7" i="13" s="1" a="1"/>
  <c r="G7" i="13" s="1"/>
  <c r="DB98" i="3"/>
  <c r="BG98" i="3" s="1"/>
  <c r="DB97" i="3"/>
  <c r="BG97" i="3" s="1"/>
  <c r="DB96" i="3"/>
  <c r="BG96" i="3" s="1"/>
  <c r="G7" i="10" s="1" a="1"/>
  <c r="G7" i="10" s="1"/>
  <c r="DC13" i="3"/>
  <c r="BH13" i="3" s="1"/>
  <c r="H6" i="10" s="1" a="1"/>
  <c r="H6" i="10" s="1"/>
  <c r="DC16" i="3"/>
  <c r="BH16" i="3" s="1"/>
  <c r="H6" i="13" s="1" a="1"/>
  <c r="H6" i="13" s="1"/>
  <c r="DC15" i="3"/>
  <c r="BH15" i="3" s="1"/>
  <c r="DC14" i="3"/>
  <c r="BH14" i="3" s="1"/>
  <c r="EJ96" i="3"/>
  <c r="CO96" i="3" s="1"/>
  <c r="AO7" i="10" s="1" a="1"/>
  <c r="AO7" i="10" s="1"/>
  <c r="EJ99" i="3"/>
  <c r="CO99" i="3" s="1"/>
  <c r="AO7" i="13" s="1" a="1"/>
  <c r="AO7" i="13" s="1"/>
  <c r="EJ97" i="3"/>
  <c r="CO97" i="3" s="1"/>
  <c r="EJ98" i="3"/>
  <c r="CO98" i="3" s="1"/>
  <c r="DM45" i="3"/>
  <c r="BR45" i="3" s="1"/>
  <c r="DM47" i="3"/>
  <c r="BR47" i="3" s="1"/>
  <c r="R9" i="13" s="1" a="1"/>
  <c r="R9" i="13" s="1"/>
  <c r="DM44" i="3"/>
  <c r="BR44" i="3" s="1"/>
  <c r="R9" i="10" s="1" a="1"/>
  <c r="R9" i="10" s="1"/>
  <c r="DM46" i="3"/>
  <c r="BR46" i="3" s="1"/>
  <c r="EP46" i="3"/>
  <c r="CU46" i="3" s="1"/>
  <c r="EP44" i="3"/>
  <c r="CU44" i="3" s="1"/>
  <c r="AU9" i="10" s="1" a="1"/>
  <c r="AU9" i="10" s="1"/>
  <c r="EP45" i="3"/>
  <c r="CU45" i="3" s="1"/>
  <c r="EP47" i="3"/>
  <c r="CU47" i="3" s="1"/>
  <c r="AU9" i="13" s="1" a="1"/>
  <c r="AU9" i="13" s="1"/>
  <c r="EA57" i="3"/>
  <c r="CF57" i="3" s="1"/>
  <c r="AF10" i="10" s="1" a="1"/>
  <c r="AF10" i="10" s="1"/>
  <c r="EA59" i="3"/>
  <c r="CF59" i="3" s="1"/>
  <c r="EA60" i="3"/>
  <c r="CF60" i="3" s="1"/>
  <c r="AF10" i="13" s="1" a="1"/>
  <c r="AF10" i="13" s="1"/>
  <c r="EA58" i="3"/>
  <c r="CF58" i="3" s="1"/>
  <c r="EF29" i="3"/>
  <c r="CK29" i="3" s="1"/>
  <c r="EF30" i="3"/>
  <c r="CK30" i="3" s="1"/>
  <c r="EF31" i="3"/>
  <c r="CK31" i="3" s="1"/>
  <c r="AK8" i="13" s="1" a="1"/>
  <c r="AK8" i="13" s="1"/>
  <c r="EF28" i="3"/>
  <c r="CK28" i="3" s="1"/>
  <c r="AK8" i="10" s="1" a="1"/>
  <c r="AK8" i="10" s="1"/>
  <c r="DY97" i="3"/>
  <c r="CD97" i="3" s="1"/>
  <c r="DY98" i="3"/>
  <c r="CD98" i="3" s="1"/>
  <c r="DY99" i="3"/>
  <c r="CD99" i="3" s="1"/>
  <c r="AD7" i="13" s="1" a="1"/>
  <c r="AD7" i="13" s="1"/>
  <c r="DY96" i="3"/>
  <c r="CD96" i="3" s="1"/>
  <c r="AD7" i="10" s="1" a="1"/>
  <c r="AD7" i="10" s="1"/>
  <c r="DH98" i="3"/>
  <c r="BM98" i="3" s="1"/>
  <c r="DH97" i="3"/>
  <c r="BM97" i="3" s="1"/>
  <c r="DH99" i="3"/>
  <c r="BM99" i="3" s="1"/>
  <c r="M7" i="13" s="1" a="1"/>
  <c r="M7" i="13" s="1"/>
  <c r="DH96" i="3"/>
  <c r="BM96" i="3" s="1"/>
  <c r="M7" i="10" s="1" a="1"/>
  <c r="M7" i="10" s="1"/>
  <c r="EH45" i="3"/>
  <c r="CM45" i="3" s="1"/>
  <c r="EH44" i="3"/>
  <c r="CM44" i="3" s="1"/>
  <c r="AM9" i="10" s="1" a="1"/>
  <c r="AM9" i="10" s="1"/>
  <c r="EH46" i="3"/>
  <c r="CM46" i="3" s="1"/>
  <c r="EH47" i="3"/>
  <c r="CM47" i="3" s="1"/>
  <c r="AM9" i="13" s="1" a="1"/>
  <c r="AM9" i="13" s="1"/>
  <c r="EO99" i="3"/>
  <c r="CT99" i="3" s="1"/>
  <c r="AT7" i="13" s="1" a="1"/>
  <c r="AT7" i="13" s="1"/>
  <c r="EO98" i="3"/>
  <c r="CT98" i="3" s="1"/>
  <c r="EO96" i="3"/>
  <c r="CT96" i="3" s="1"/>
  <c r="AT7" i="10" s="1" a="1"/>
  <c r="AT7" i="10" s="1"/>
  <c r="EO97" i="3"/>
  <c r="CT97" i="3" s="1"/>
  <c r="DG69" i="3"/>
  <c r="BL69" i="3" s="1"/>
  <c r="L4" i="10" s="1" a="1"/>
  <c r="L4" i="10" s="1"/>
  <c r="DG72" i="3"/>
  <c r="BL72" i="3" s="1"/>
  <c r="L4" i="13" s="1" a="1"/>
  <c r="L4" i="13" s="1"/>
  <c r="DG70" i="3"/>
  <c r="BL70" i="3" s="1"/>
  <c r="DG71" i="3"/>
  <c r="BL71" i="3" s="1"/>
  <c r="DW31" i="3"/>
  <c r="CB31" i="3" s="1"/>
  <c r="AB8" i="13" s="1" a="1"/>
  <c r="AB8" i="13" s="1"/>
  <c r="DW30" i="3"/>
  <c r="CB30" i="3" s="1"/>
  <c r="DW28" i="3"/>
  <c r="CB28" i="3" s="1"/>
  <c r="AB8" i="10" s="1" a="1"/>
  <c r="AB8" i="10" s="1"/>
  <c r="DW29" i="3"/>
  <c r="CB29" i="3" s="1"/>
  <c r="DC99" i="3"/>
  <c r="BH99" i="3" s="1"/>
  <c r="H7" i="13" s="1" a="1"/>
  <c r="H7" i="13" s="1"/>
  <c r="DC98" i="3"/>
  <c r="BH98" i="3" s="1"/>
  <c r="DC97" i="3"/>
  <c r="BH97" i="3" s="1"/>
  <c r="DC96" i="3"/>
  <c r="BH96" i="3" s="1"/>
  <c r="H7" i="10" s="1" a="1"/>
  <c r="H7" i="10" s="1"/>
  <c r="EQ99" i="3"/>
  <c r="CV99" i="3" s="1"/>
  <c r="AV7" i="13" s="1" a="1"/>
  <c r="AV7" i="13" s="1"/>
  <c r="EQ98" i="3"/>
  <c r="CV98" i="3" s="1"/>
  <c r="EQ96" i="3"/>
  <c r="CV96" i="3" s="1"/>
  <c r="AV7" i="10" s="1" a="1"/>
  <c r="AV7" i="10" s="1"/>
  <c r="EQ97" i="3"/>
  <c r="CV97" i="3" s="1"/>
  <c r="EM96" i="3"/>
  <c r="CR96" i="3" s="1"/>
  <c r="AR7" i="10" s="1" a="1"/>
  <c r="AR7" i="10" s="1"/>
  <c r="EM99" i="3"/>
  <c r="CR99" i="3" s="1"/>
  <c r="AR7" i="13" s="1" a="1"/>
  <c r="AR7" i="13" s="1"/>
  <c r="EM97" i="3"/>
  <c r="CR97" i="3" s="1"/>
  <c r="EM98" i="3"/>
  <c r="CR98" i="3" s="1"/>
  <c r="DJ16" i="3"/>
  <c r="BO16" i="3" s="1"/>
  <c r="O6" i="13" s="1" a="1"/>
  <c r="O6" i="13" s="1"/>
  <c r="DJ15" i="3"/>
  <c r="BO15" i="3" s="1"/>
  <c r="DJ14" i="3"/>
  <c r="BO14" i="3" s="1"/>
  <c r="DJ13" i="3"/>
  <c r="BO13" i="3" s="1"/>
  <c r="O6" i="10" s="1" a="1"/>
  <c r="O6" i="10" s="1"/>
  <c r="EC98" i="3"/>
  <c r="CH98" i="3" s="1"/>
  <c r="EC97" i="3"/>
  <c r="CH97" i="3" s="1"/>
  <c r="EC99" i="3"/>
  <c r="CH99" i="3" s="1"/>
  <c r="AH7" i="13" s="1" a="1"/>
  <c r="AH7" i="13" s="1"/>
  <c r="EC96" i="3"/>
  <c r="CH96" i="3" s="1"/>
  <c r="AH7" i="10" s="1" a="1"/>
  <c r="AH7" i="10" s="1"/>
  <c r="DZ72" i="3"/>
  <c r="CE72" i="3" s="1"/>
  <c r="AE4" i="13" s="1" a="1"/>
  <c r="AE4" i="13" s="1"/>
  <c r="DZ71" i="3"/>
  <c r="CE71" i="3" s="1"/>
  <c r="DZ70" i="3"/>
  <c r="CE70" i="3" s="1"/>
  <c r="DZ69" i="3"/>
  <c r="CE69" i="3" s="1"/>
  <c r="AE4" i="10" s="1" a="1"/>
  <c r="AE4" i="10" s="1"/>
  <c r="DK16" i="3"/>
  <c r="BP16" i="3" s="1"/>
  <c r="P6" i="13" s="1" a="1"/>
  <c r="P6" i="13" s="1"/>
  <c r="DK15" i="3"/>
  <c r="BP15" i="3" s="1"/>
  <c r="DK14" i="3"/>
  <c r="BP14" i="3" s="1"/>
  <c r="DK13" i="3"/>
  <c r="BP13" i="3" s="1"/>
  <c r="P6" i="10" s="1" a="1"/>
  <c r="P6" i="10" s="1"/>
  <c r="EP71" i="3"/>
  <c r="CU71" i="3" s="1"/>
  <c r="EP70" i="3"/>
  <c r="CU70" i="3" s="1"/>
  <c r="EP72" i="3"/>
  <c r="CU72" i="3" s="1"/>
  <c r="AU4" i="13" s="1" a="1"/>
  <c r="AU4" i="13" s="1"/>
  <c r="EP69" i="3"/>
  <c r="CU69" i="3" s="1"/>
  <c r="AU4" i="10" s="1" a="1"/>
  <c r="AU4" i="10" s="1"/>
  <c r="DT60" i="3"/>
  <c r="BY60" i="3" s="1"/>
  <c r="Y10" i="13" s="1" a="1"/>
  <c r="Y10" i="13" s="1"/>
  <c r="DT58" i="3"/>
  <c r="BY58" i="3" s="1"/>
  <c r="DT59" i="3"/>
  <c r="BY59" i="3" s="1"/>
  <c r="DT57" i="3"/>
  <c r="BY57" i="3" s="1"/>
  <c r="Y10" i="10" s="1" a="1"/>
  <c r="Y10" i="10" s="1"/>
  <c r="DD15" i="3"/>
  <c r="BI15" i="3" s="1"/>
  <c r="DD16" i="3"/>
  <c r="BI16" i="3" s="1"/>
  <c r="I6" i="13" s="1" a="1"/>
  <c r="I6" i="13" s="1"/>
  <c r="DD13" i="3"/>
  <c r="BI13" i="3" s="1"/>
  <c r="I6" i="10" s="1" a="1"/>
  <c r="I6" i="10" s="1"/>
  <c r="DD14" i="3"/>
  <c r="BI14" i="3" s="1"/>
  <c r="DQ31" i="3"/>
  <c r="BV31" i="3" s="1"/>
  <c r="V8" i="13" s="1" a="1"/>
  <c r="V8" i="13" s="1"/>
  <c r="DQ29" i="3"/>
  <c r="BV29" i="3" s="1"/>
  <c r="DQ30" i="3"/>
  <c r="BV30" i="3" s="1"/>
  <c r="DQ28" i="3"/>
  <c r="BV28" i="3" s="1"/>
  <c r="V8" i="10" s="1" a="1"/>
  <c r="V8" i="10" s="1"/>
  <c r="DY85" i="3"/>
  <c r="CD85" i="3" s="1"/>
  <c r="DY87" i="3"/>
  <c r="CD87" i="3" s="1"/>
  <c r="AD5" i="13" s="1" a="1"/>
  <c r="AD5" i="13" s="1"/>
  <c r="DY86" i="3"/>
  <c r="CD86" i="3" s="1"/>
  <c r="DY84" i="3"/>
  <c r="CD84" i="3" s="1"/>
  <c r="AD5" i="10" s="1" a="1"/>
  <c r="AD5" i="10" s="1"/>
  <c r="EC70" i="3"/>
  <c r="CH70" i="3" s="1"/>
  <c r="EC69" i="3"/>
  <c r="CH69" i="3" s="1"/>
  <c r="AH4" i="10" s="1" a="1"/>
  <c r="AH4" i="10" s="1"/>
  <c r="EC71" i="3"/>
  <c r="CH71" i="3" s="1"/>
  <c r="EC72" i="3"/>
  <c r="CH72" i="3" s="1"/>
  <c r="AH4" i="13" s="1" a="1"/>
  <c r="AH4" i="13" s="1"/>
  <c r="DM69" i="3"/>
  <c r="BR69" i="3" s="1"/>
  <c r="R4" i="10" s="1" a="1"/>
  <c r="R4" i="10" s="1"/>
  <c r="DM70" i="3"/>
  <c r="BR70" i="3" s="1"/>
  <c r="DM71" i="3"/>
  <c r="BR71" i="3" s="1"/>
  <c r="DM72" i="3"/>
  <c r="BR72" i="3" s="1"/>
  <c r="R4" i="13" s="1" a="1"/>
  <c r="R4" i="13" s="1"/>
  <c r="EJ46" i="3"/>
  <c r="CO46" i="3" s="1"/>
  <c r="EJ44" i="3"/>
  <c r="CO44" i="3" s="1"/>
  <c r="AO9" i="10" s="1" a="1"/>
  <c r="AO9" i="10" s="1"/>
  <c r="EJ45" i="3"/>
  <c r="CO45" i="3" s="1"/>
  <c r="EJ47" i="3"/>
  <c r="CO47" i="3" s="1"/>
  <c r="AO9" i="13" s="1" a="1"/>
  <c r="AO9" i="13" s="1"/>
  <c r="DF86" i="3"/>
  <c r="BK86" i="3" s="1"/>
  <c r="DF85" i="3"/>
  <c r="BK85" i="3" s="1"/>
  <c r="DF84" i="3"/>
  <c r="BK84" i="3" s="1"/>
  <c r="K5" i="10" s="1" a="1"/>
  <c r="K5" i="10" s="1"/>
  <c r="DF87" i="3"/>
  <c r="BK87" i="3" s="1"/>
  <c r="K5" i="13" s="1" a="1"/>
  <c r="K5" i="13" s="1"/>
  <c r="EH57" i="3"/>
  <c r="CM57" i="3" s="1"/>
  <c r="AM10" i="10" s="1" a="1"/>
  <c r="AM10" i="10" s="1"/>
  <c r="EH59" i="3"/>
  <c r="CM59" i="3" s="1"/>
  <c r="EH58" i="3"/>
  <c r="CM58" i="3" s="1"/>
  <c r="EH60" i="3"/>
  <c r="CM60" i="3" s="1"/>
  <c r="AM10" i="13" s="1" a="1"/>
  <c r="AM10" i="13" s="1"/>
  <c r="DD87" i="3"/>
  <c r="BI87" i="3" s="1"/>
  <c r="I5" i="13" s="1" a="1"/>
  <c r="I5" i="13" s="1"/>
  <c r="DD86" i="3"/>
  <c r="BI86" i="3" s="1"/>
  <c r="DD85" i="3"/>
  <c r="BI85" i="3" s="1"/>
  <c r="DD84" i="3"/>
  <c r="BI84" i="3" s="1"/>
  <c r="I5" i="10" s="1" a="1"/>
  <c r="I5" i="10" s="1"/>
  <c r="ED69" i="3"/>
  <c r="CI69" i="3" s="1"/>
  <c r="AI4" i="10" s="1" a="1"/>
  <c r="AI4" i="10" s="1"/>
  <c r="ED70" i="3"/>
  <c r="CI70" i="3" s="1"/>
  <c r="ED71" i="3"/>
  <c r="CI71" i="3" s="1"/>
  <c r="ED72" i="3"/>
  <c r="CI72" i="3" s="1"/>
  <c r="AI4" i="13" s="1" a="1"/>
  <c r="AI4" i="13" s="1"/>
  <c r="EP87" i="3"/>
  <c r="CU87" i="3" s="1"/>
  <c r="AU5" i="13" s="1" a="1"/>
  <c r="AU5" i="13" s="1"/>
  <c r="EP86" i="3"/>
  <c r="CU86" i="3" s="1"/>
  <c r="EP84" i="3"/>
  <c r="CU84" i="3" s="1"/>
  <c r="AU5" i="10" s="1" a="1"/>
  <c r="AU5" i="10" s="1"/>
  <c r="EP85" i="3"/>
  <c r="CU85" i="3" s="1"/>
  <c r="CZ47" i="3"/>
  <c r="BE47" i="3" s="1"/>
  <c r="E9" i="13" s="1" a="1"/>
  <c r="E9" i="13" s="1"/>
  <c r="CZ46" i="3"/>
  <c r="BE46" i="3" s="1"/>
  <c r="CZ45" i="3"/>
  <c r="BE45" i="3" s="1"/>
  <c r="CZ44" i="3"/>
  <c r="BE44" i="3" s="1"/>
  <c r="E9" i="10" s="1" a="1"/>
  <c r="E9" i="10" s="1"/>
  <c r="DK70" i="3"/>
  <c r="BP70" i="3" s="1"/>
  <c r="DK71" i="3"/>
  <c r="BP71" i="3" s="1"/>
  <c r="DK72" i="3"/>
  <c r="BP72" i="3" s="1"/>
  <c r="P4" i="13" s="1" a="1"/>
  <c r="P4" i="13" s="1"/>
  <c r="DK69" i="3"/>
  <c r="BP69" i="3" s="1"/>
  <c r="P4" i="10" s="1" a="1"/>
  <c r="P4" i="10" s="1"/>
  <c r="ER87" i="3"/>
  <c r="CW87" i="3" s="1"/>
  <c r="AW5" i="13" s="1" a="1"/>
  <c r="AW5" i="13" s="1"/>
  <c r="ER86" i="3"/>
  <c r="CW86" i="3" s="1"/>
  <c r="ER84" i="3"/>
  <c r="CW84" i="3" s="1"/>
  <c r="AW5" i="10" s="1" a="1"/>
  <c r="AW5" i="10" s="1"/>
  <c r="ER85" i="3"/>
  <c r="CW85" i="3" s="1"/>
  <c r="DQ72" i="3"/>
  <c r="BV72" i="3" s="1"/>
  <c r="V4" i="13" s="1" a="1"/>
  <c r="V4" i="13" s="1"/>
  <c r="DQ71" i="3"/>
  <c r="BV71" i="3" s="1"/>
  <c r="DQ69" i="3"/>
  <c r="BV69" i="3" s="1"/>
  <c r="V4" i="10" s="1" a="1"/>
  <c r="V4" i="10" s="1"/>
  <c r="DQ70" i="3"/>
  <c r="BV70" i="3" s="1"/>
  <c r="DW59" i="3"/>
  <c r="CB59" i="3" s="1"/>
  <c r="DW60" i="3"/>
  <c r="CB60" i="3" s="1"/>
  <c r="AB10" i="13" s="1" a="1"/>
  <c r="AB10" i="13" s="1"/>
  <c r="DW58" i="3"/>
  <c r="CB58" i="3" s="1"/>
  <c r="DW57" i="3"/>
  <c r="CB57" i="3" s="1"/>
  <c r="AB10" i="10" s="1" a="1"/>
  <c r="AB10" i="10" s="1"/>
  <c r="EN31" i="3"/>
  <c r="CS31" i="3" s="1"/>
  <c r="AS8" i="13" s="1" a="1"/>
  <c r="AS8" i="13" s="1"/>
  <c r="EN29" i="3"/>
  <c r="CS29" i="3" s="1"/>
  <c r="EN28" i="3"/>
  <c r="CS28" i="3" s="1"/>
  <c r="AS8" i="10" s="1" a="1"/>
  <c r="AS8" i="10" s="1"/>
  <c r="EN30" i="3"/>
  <c r="CS30" i="3" s="1"/>
  <c r="DX31" i="3"/>
  <c r="CC31" i="3" s="1"/>
  <c r="AC8" i="13" s="1" a="1"/>
  <c r="AC8" i="13" s="1"/>
  <c r="DX30" i="3"/>
  <c r="CC30" i="3" s="1"/>
  <c r="DX29" i="3"/>
  <c r="CC29" i="3" s="1"/>
  <c r="DX28" i="3"/>
  <c r="CC28" i="3" s="1"/>
  <c r="AC8" i="10" s="1" a="1"/>
  <c r="AC8" i="10" s="1"/>
  <c r="EB98" i="3"/>
  <c r="CG98" i="3" s="1"/>
  <c r="EB97" i="3"/>
  <c r="CG97" i="3" s="1"/>
  <c r="EB99" i="3"/>
  <c r="CG99" i="3" s="1"/>
  <c r="AG7" i="13" s="1" a="1"/>
  <c r="AG7" i="13" s="1"/>
  <c r="EB96" i="3"/>
  <c r="CG96" i="3" s="1"/>
  <c r="AG7" i="10" s="1" a="1"/>
  <c r="AG7" i="10" s="1"/>
  <c r="EP13" i="3"/>
  <c r="CU13" i="3" s="1"/>
  <c r="AU6" i="10" s="1" a="1"/>
  <c r="AU6" i="10" s="1"/>
  <c r="EP14" i="3"/>
  <c r="CU14" i="3" s="1"/>
  <c r="EP16" i="3"/>
  <c r="CU16" i="3" s="1"/>
  <c r="AU6" i="13" s="1" a="1"/>
  <c r="AU6" i="13" s="1"/>
  <c r="EP15" i="3"/>
  <c r="CU15" i="3" s="1"/>
  <c r="EJ15" i="3"/>
  <c r="CO15" i="3" s="1"/>
  <c r="EJ13" i="3"/>
  <c r="CO13" i="3" s="1"/>
  <c r="AO6" i="10" s="1" a="1"/>
  <c r="AO6" i="10" s="1"/>
  <c r="EJ16" i="3"/>
  <c r="CO16" i="3" s="1"/>
  <c r="AO6" i="13" s="1" a="1"/>
  <c r="AO6" i="13" s="1"/>
  <c r="EJ14" i="3"/>
  <c r="CO14" i="3" s="1"/>
  <c r="ER59" i="3"/>
  <c r="CW59" i="3" s="1"/>
  <c r="ER60" i="3"/>
  <c r="CW60" i="3" s="1"/>
  <c r="AW10" i="13" s="1" a="1"/>
  <c r="AW10" i="13" s="1"/>
  <c r="ER58" i="3"/>
  <c r="CW58" i="3" s="1"/>
  <c r="ER57" i="3"/>
  <c r="CW57" i="3" s="1"/>
  <c r="AW10" i="10" s="1" a="1"/>
  <c r="AW10" i="10" s="1"/>
  <c r="DJ72" i="3"/>
  <c r="BO72" i="3" s="1"/>
  <c r="O4" i="13" s="1" a="1"/>
  <c r="O4" i="13" s="1"/>
  <c r="DJ71" i="3"/>
  <c r="BO71" i="3" s="1"/>
  <c r="DJ70" i="3"/>
  <c r="BO70" i="3" s="1"/>
  <c r="DJ69" i="3"/>
  <c r="BO69" i="3" s="1"/>
  <c r="O4" i="10" s="1" a="1"/>
  <c r="O4" i="10" s="1"/>
  <c r="DN97" i="3"/>
  <c r="BS97" i="3" s="1"/>
  <c r="DN96" i="3"/>
  <c r="BS96" i="3" s="1"/>
  <c r="S7" i="10" s="1" a="1"/>
  <c r="S7" i="10" s="1"/>
  <c r="DN98" i="3"/>
  <c r="BS98" i="3" s="1"/>
  <c r="DN99" i="3"/>
  <c r="BS99" i="3" s="1"/>
  <c r="S7" i="13" s="1" a="1"/>
  <c r="S7" i="13" s="1"/>
  <c r="DL60" i="3"/>
  <c r="BQ60" i="3" s="1"/>
  <c r="Q10" i="13" s="1" a="1"/>
  <c r="Q10" i="13" s="1"/>
  <c r="DL57" i="3"/>
  <c r="BQ57" i="3" s="1"/>
  <c r="Q10" i="10" s="1" a="1"/>
  <c r="Q10" i="10" s="1"/>
  <c r="DL58" i="3"/>
  <c r="BQ58" i="3" s="1"/>
  <c r="DL59" i="3"/>
  <c r="BQ59" i="3" s="1"/>
  <c r="EJ30" i="3"/>
  <c r="CO30" i="3" s="1"/>
  <c r="EJ29" i="3"/>
  <c r="CO29" i="3" s="1"/>
  <c r="EJ28" i="3"/>
  <c r="CO28" i="3" s="1"/>
  <c r="AO8" i="10" s="1" a="1"/>
  <c r="AO8" i="10" s="1"/>
  <c r="EJ31" i="3"/>
  <c r="CO31" i="3" s="1"/>
  <c r="AO8" i="13" s="1" a="1"/>
  <c r="AO8" i="13" s="1"/>
  <c r="DO57" i="3"/>
  <c r="BT57" i="3" s="1"/>
  <c r="T10" i="10" s="1" a="1"/>
  <c r="T10" i="10" s="1"/>
  <c r="DO58" i="3"/>
  <c r="BT58" i="3" s="1"/>
  <c r="DO59" i="3"/>
  <c r="BT59" i="3" s="1"/>
  <c r="DO60" i="3"/>
  <c r="BT60" i="3" s="1"/>
  <c r="T10" i="13" s="1" a="1"/>
  <c r="T10" i="13" s="1"/>
  <c r="EL96" i="3"/>
  <c r="CQ96" i="3" s="1"/>
  <c r="AQ7" i="10" s="1" a="1"/>
  <c r="AQ7" i="10" s="1"/>
  <c r="EL99" i="3"/>
  <c r="CQ99" i="3" s="1"/>
  <c r="AQ7" i="13" s="1" a="1"/>
  <c r="AQ7" i="13" s="1"/>
  <c r="EL97" i="3"/>
  <c r="CQ97" i="3" s="1"/>
  <c r="EL98" i="3"/>
  <c r="CQ98" i="3" s="1"/>
  <c r="DO72" i="3"/>
  <c r="BT72" i="3" s="1"/>
  <c r="T4" i="13" s="1" a="1"/>
  <c r="T4" i="13" s="1"/>
  <c r="DO71" i="3"/>
  <c r="BT71" i="3" s="1"/>
  <c r="DO69" i="3"/>
  <c r="BT69" i="3" s="1"/>
  <c r="T4" i="10" s="1" a="1"/>
  <c r="T4" i="10" s="1"/>
  <c r="DO70" i="3"/>
  <c r="BT70" i="3" s="1"/>
  <c r="EG30" i="3"/>
  <c r="CL30" i="3" s="1"/>
  <c r="EG28" i="3"/>
  <c r="CL28" i="3" s="1"/>
  <c r="AL8" i="10" s="1" a="1"/>
  <c r="AL8" i="10" s="1"/>
  <c r="EG31" i="3"/>
  <c r="CL31" i="3" s="1"/>
  <c r="AL8" i="13" s="1" a="1"/>
  <c r="AL8" i="13" s="1"/>
  <c r="EG29" i="3"/>
  <c r="CL29" i="3" s="1"/>
  <c r="DX71" i="3"/>
  <c r="CC71" i="3" s="1"/>
  <c r="DX70" i="3"/>
  <c r="CC70" i="3" s="1"/>
  <c r="DX69" i="3"/>
  <c r="CC69" i="3" s="1"/>
  <c r="AC4" i="10" s="1" a="1"/>
  <c r="AC4" i="10" s="1"/>
  <c r="DX72" i="3"/>
  <c r="CC72" i="3" s="1"/>
  <c r="AC4" i="13" s="1" a="1"/>
  <c r="AC4" i="13" s="1"/>
  <c r="EJ86" i="3"/>
  <c r="CO86" i="3" s="1"/>
  <c r="EJ85" i="3"/>
  <c r="CO85" i="3" s="1"/>
  <c r="EJ87" i="3"/>
  <c r="CO87" i="3" s="1"/>
  <c r="AO5" i="13" s="1" a="1"/>
  <c r="AO5" i="13" s="1"/>
  <c r="EJ84" i="3"/>
  <c r="CO84" i="3" s="1"/>
  <c r="AO5" i="10" s="1" a="1"/>
  <c r="AO5" i="10" s="1"/>
  <c r="CZ14" i="3"/>
  <c r="BE14" i="3" s="1"/>
  <c r="CZ13" i="3"/>
  <c r="BE13" i="3" s="1"/>
  <c r="E6" i="10" s="1" a="1"/>
  <c r="E6" i="10" s="1"/>
  <c r="CZ15" i="3"/>
  <c r="BE15" i="3" s="1"/>
  <c r="CZ16" i="3"/>
  <c r="BE16" i="3" s="1"/>
  <c r="E6" i="13" s="1" a="1"/>
  <c r="E6" i="13" s="1"/>
  <c r="DF98" i="3"/>
  <c r="BK98" i="3" s="1"/>
  <c r="DF99" i="3"/>
  <c r="BK99" i="3" s="1"/>
  <c r="K7" i="13" s="1" a="1"/>
  <c r="K7" i="13" s="1"/>
  <c r="DF96" i="3"/>
  <c r="BK96" i="3" s="1"/>
  <c r="K7" i="10" s="1" a="1"/>
  <c r="K7" i="10" s="1"/>
  <c r="DF97" i="3"/>
  <c r="BK97" i="3" s="1"/>
  <c r="DS96" i="3"/>
  <c r="BX96" i="3" s="1"/>
  <c r="X7" i="10" s="1" a="1"/>
  <c r="X7" i="10" s="1"/>
  <c r="DS99" i="3"/>
  <c r="BX99" i="3" s="1"/>
  <c r="X7" i="13" s="1" a="1"/>
  <c r="X7" i="13" s="1"/>
  <c r="DS98" i="3"/>
  <c r="BX98" i="3" s="1"/>
  <c r="DS97" i="3"/>
  <c r="BX97" i="3" s="1"/>
  <c r="DR13" i="3"/>
  <c r="BW13" i="3" s="1"/>
  <c r="W6" i="10" s="1" a="1"/>
  <c r="W6" i="10" s="1"/>
  <c r="DR16" i="3"/>
  <c r="BW16" i="3" s="1"/>
  <c r="W6" i="13" s="1" a="1"/>
  <c r="W6" i="13" s="1"/>
  <c r="DR15" i="3"/>
  <c r="BW15" i="3" s="1"/>
  <c r="DR14" i="3"/>
  <c r="BW14" i="3" s="1"/>
  <c r="DO46" i="3"/>
  <c r="BT46" i="3" s="1"/>
  <c r="DO47" i="3"/>
  <c r="BT47" i="3" s="1"/>
  <c r="T9" i="13" s="1" a="1"/>
  <c r="T9" i="13" s="1"/>
  <c r="DO45" i="3"/>
  <c r="BT45" i="3" s="1"/>
  <c r="DO44" i="3"/>
  <c r="BT44" i="3" s="1"/>
  <c r="T9" i="10" s="1" a="1"/>
  <c r="T9" i="10" s="1"/>
  <c r="DZ14" i="3"/>
  <c r="CE14" i="3" s="1"/>
  <c r="DZ15" i="3"/>
  <c r="CE15" i="3" s="1"/>
  <c r="DZ16" i="3"/>
  <c r="CE16" i="3" s="1"/>
  <c r="AE6" i="13" s="1" a="1"/>
  <c r="AE6" i="13" s="1"/>
  <c r="DZ13" i="3"/>
  <c r="CE13" i="3" s="1"/>
  <c r="AE6" i="10" s="1" a="1"/>
  <c r="AE6" i="10" s="1"/>
  <c r="EP58" i="3"/>
  <c r="CU58" i="3" s="1"/>
  <c r="EP60" i="3"/>
  <c r="CU60" i="3" s="1"/>
  <c r="AU10" i="13" s="1" a="1"/>
  <c r="AU10" i="13" s="1"/>
  <c r="EP57" i="3"/>
  <c r="CU57" i="3" s="1"/>
  <c r="AU10" i="10" s="1" a="1"/>
  <c r="AU10" i="10" s="1"/>
  <c r="EP59" i="3"/>
  <c r="CU59" i="3" s="1"/>
  <c r="EK47" i="3"/>
  <c r="CP47" i="3" s="1"/>
  <c r="AP9" i="13" s="1" a="1"/>
  <c r="AP9" i="13" s="1"/>
  <c r="EK45" i="3"/>
  <c r="CP45" i="3" s="1"/>
  <c r="EK46" i="3"/>
  <c r="CP46" i="3" s="1"/>
  <c r="EK44" i="3"/>
  <c r="CP44" i="3" s="1"/>
  <c r="AP9" i="10" s="1" a="1"/>
  <c r="AP9" i="10" s="1"/>
  <c r="DE44" i="3"/>
  <c r="BJ44" i="3" s="1"/>
  <c r="J9" i="10" s="1" a="1"/>
  <c r="J9" i="10" s="1"/>
  <c r="DE46" i="3"/>
  <c r="BJ46" i="3" s="1"/>
  <c r="DE47" i="3"/>
  <c r="BJ47" i="3" s="1"/>
  <c r="J9" i="13" s="1" a="1"/>
  <c r="J9" i="13" s="1"/>
  <c r="DE45" i="3"/>
  <c r="BJ45" i="3" s="1"/>
  <c r="DB87" i="3"/>
  <c r="BG87" i="3" s="1"/>
  <c r="G5" i="13" s="1" a="1"/>
  <c r="G5" i="13" s="1"/>
  <c r="DB86" i="3"/>
  <c r="BG86" i="3" s="1"/>
  <c r="DB85" i="3"/>
  <c r="BG85" i="3" s="1"/>
  <c r="DB84" i="3"/>
  <c r="BG84" i="3" s="1"/>
  <c r="G5" i="10" s="1" a="1"/>
  <c r="G5" i="10" s="1"/>
  <c r="ER31" i="3"/>
  <c r="CW31" i="3" s="1"/>
  <c r="AW8" i="13" s="1" a="1"/>
  <c r="AW8" i="13" s="1"/>
  <c r="ER29" i="3"/>
  <c r="CW29" i="3" s="1"/>
  <c r="ER28" i="3"/>
  <c r="CW28" i="3" s="1"/>
  <c r="AW8" i="10" s="1" a="1"/>
  <c r="AW8" i="10" s="1"/>
  <c r="ER30" i="3"/>
  <c r="CW30" i="3" s="1"/>
  <c r="EG14" i="3"/>
  <c r="CL14" i="3" s="1"/>
  <c r="EG15" i="3"/>
  <c r="CL15" i="3" s="1"/>
  <c r="EG13" i="3"/>
  <c r="CL13" i="3" s="1"/>
  <c r="AL6" i="10" s="1" a="1"/>
  <c r="AL6" i="10" s="1"/>
  <c r="EG16" i="3"/>
  <c r="CL16" i="3" s="1"/>
  <c r="AL6" i="13" s="1" a="1"/>
  <c r="AL6" i="13" s="1"/>
  <c r="DC71" i="3"/>
  <c r="BH71" i="3" s="1"/>
  <c r="DC72" i="3"/>
  <c r="BH72" i="3" s="1"/>
  <c r="H4" i="13" s="1" a="1"/>
  <c r="H4" i="13" s="1"/>
  <c r="DC70" i="3"/>
  <c r="BH70" i="3" s="1"/>
  <c r="DC69" i="3"/>
  <c r="BH69" i="3" s="1"/>
  <c r="H4" i="10" s="1" a="1"/>
  <c r="H4" i="10" s="1"/>
  <c r="DG30" i="3"/>
  <c r="BL30" i="3" s="1"/>
  <c r="DG29" i="3"/>
  <c r="BL29" i="3" s="1"/>
  <c r="DG28" i="3"/>
  <c r="BL28" i="3" s="1"/>
  <c r="L8" i="10" s="1" a="1"/>
  <c r="L8" i="10" s="1"/>
  <c r="DG31" i="3"/>
  <c r="BL31" i="3" s="1"/>
  <c r="L8" i="13" s="1" a="1"/>
  <c r="L8" i="13" s="1"/>
  <c r="EL44" i="3"/>
  <c r="CQ44" i="3" s="1"/>
  <c r="AQ9" i="10" s="1" a="1"/>
  <c r="AQ9" i="10" s="1"/>
  <c r="EL46" i="3"/>
  <c r="CQ46" i="3" s="1"/>
  <c r="EL45" i="3"/>
  <c r="CQ45" i="3" s="1"/>
  <c r="EL47" i="3"/>
  <c r="CQ47" i="3" s="1"/>
  <c r="AQ9" i="13" s="1" a="1"/>
  <c r="AQ9" i="13" s="1"/>
  <c r="DF46" i="3"/>
  <c r="BK46" i="3" s="1"/>
  <c r="DF44" i="3"/>
  <c r="BK44" i="3" s="1"/>
  <c r="K9" i="10" s="1" a="1"/>
  <c r="K9" i="10" s="1"/>
  <c r="DF47" i="3"/>
  <c r="BK47" i="3" s="1"/>
  <c r="K9" i="13" s="1" a="1"/>
  <c r="K9" i="13" s="1"/>
  <c r="DF45" i="3"/>
  <c r="BK45" i="3" s="1"/>
  <c r="EB46" i="3"/>
  <c r="CG46" i="3" s="1"/>
  <c r="EB44" i="3"/>
  <c r="CG44" i="3" s="1"/>
  <c r="AG9" i="10" s="1" a="1"/>
  <c r="AG9" i="10" s="1"/>
  <c r="EB45" i="3"/>
  <c r="CG45" i="3" s="1"/>
  <c r="EB47" i="3"/>
  <c r="CG47" i="3" s="1"/>
  <c r="AG9" i="13" s="1" a="1"/>
  <c r="AG9" i="13" s="1"/>
  <c r="DT31" i="3"/>
  <c r="BY31" i="3" s="1"/>
  <c r="Y8" i="13" s="1" a="1"/>
  <c r="Y8" i="13" s="1"/>
  <c r="DT28" i="3"/>
  <c r="BY28" i="3" s="1"/>
  <c r="Y8" i="10" s="1" a="1"/>
  <c r="Y8" i="10" s="1"/>
  <c r="DT29" i="3"/>
  <c r="BY29" i="3" s="1"/>
  <c r="DT30" i="3"/>
  <c r="BY30" i="3" s="1"/>
  <c r="DI58" i="3"/>
  <c r="BN58" i="3" s="1"/>
  <c r="DI60" i="3"/>
  <c r="BN60" i="3" s="1"/>
  <c r="N10" i="13" s="1" a="1"/>
  <c r="N10" i="13" s="1"/>
  <c r="DI59" i="3"/>
  <c r="BN59" i="3" s="1"/>
  <c r="DI57" i="3"/>
  <c r="BN57" i="3" s="1"/>
  <c r="N10" i="10" s="1" a="1"/>
  <c r="N10" i="10" s="1"/>
  <c r="ED28" i="3"/>
  <c r="CI28" i="3" s="1"/>
  <c r="AI8" i="10" s="1" a="1"/>
  <c r="AI8" i="10" s="1"/>
  <c r="ED29" i="3"/>
  <c r="CI29" i="3" s="1"/>
  <c r="ED30" i="3"/>
  <c r="CI30" i="3" s="1"/>
  <c r="ED31" i="3"/>
  <c r="CI31" i="3" s="1"/>
  <c r="AI8" i="13" s="1" a="1"/>
  <c r="AI8" i="13" s="1"/>
  <c r="EN47" i="3"/>
  <c r="CS47" i="3" s="1"/>
  <c r="AS9" i="13" s="1" a="1"/>
  <c r="AS9" i="13" s="1"/>
  <c r="EN44" i="3"/>
  <c r="CS44" i="3" s="1"/>
  <c r="AS9" i="10" s="1" a="1"/>
  <c r="AS9" i="10" s="1"/>
  <c r="EN45" i="3"/>
  <c r="CS45" i="3" s="1"/>
  <c r="EN46" i="3"/>
  <c r="CS46" i="3" s="1"/>
  <c r="DX16" i="3"/>
  <c r="CC16" i="3" s="1"/>
  <c r="AC6" i="13" s="1" a="1"/>
  <c r="AC6" i="13" s="1"/>
  <c r="DX15" i="3"/>
  <c r="CC15" i="3" s="1"/>
  <c r="DX14" i="3"/>
  <c r="CC14" i="3" s="1"/>
  <c r="DX13" i="3"/>
  <c r="CC13" i="3" s="1"/>
  <c r="AC6" i="10" s="1" a="1"/>
  <c r="AC6" i="10" s="1"/>
  <c r="DC31" i="3"/>
  <c r="BH31" i="3" s="1"/>
  <c r="H8" i="13" s="1" a="1"/>
  <c r="H8" i="13" s="1"/>
  <c r="DC28" i="3"/>
  <c r="BH28" i="3" s="1"/>
  <c r="H8" i="10" s="1" a="1"/>
  <c r="H8" i="10" s="1"/>
  <c r="DC29" i="3"/>
  <c r="BH29" i="3" s="1"/>
  <c r="DC30" i="3"/>
  <c r="BH30" i="3" s="1"/>
  <c r="DF29" i="3"/>
  <c r="BK29" i="3" s="1"/>
  <c r="DF30" i="3"/>
  <c r="BK30" i="3" s="1"/>
  <c r="DF28" i="3"/>
  <c r="BK28" i="3" s="1"/>
  <c r="K8" i="10" s="1" a="1"/>
  <c r="K8" i="10" s="1"/>
  <c r="DF31" i="3"/>
  <c r="BK31" i="3" s="1"/>
  <c r="K8" i="13" s="1" a="1"/>
  <c r="K8" i="13" s="1"/>
  <c r="EB14" i="3"/>
  <c r="CG14" i="3" s="1"/>
  <c r="EB15" i="3"/>
  <c r="CG15" i="3" s="1"/>
  <c r="EB16" i="3"/>
  <c r="CG16" i="3" s="1"/>
  <c r="AG6" i="13" s="1" a="1"/>
  <c r="AG6" i="13" s="1"/>
  <c r="EB13" i="3"/>
  <c r="CG13" i="3" s="1"/>
  <c r="AG6" i="10" s="1" a="1"/>
  <c r="AG6" i="10" s="1"/>
  <c r="DF69" i="3"/>
  <c r="BK69" i="3" s="1"/>
  <c r="K4" i="10" s="1" a="1"/>
  <c r="K4" i="10" s="1"/>
  <c r="DF70" i="3"/>
  <c r="BK70" i="3" s="1"/>
  <c r="DF72" i="3"/>
  <c r="BK72" i="3" s="1"/>
  <c r="K4" i="13" s="1" a="1"/>
  <c r="K4" i="13" s="1"/>
  <c r="DF71" i="3"/>
  <c r="BK71" i="3" s="1"/>
  <c r="DW71" i="3"/>
  <c r="CB71" i="3" s="1"/>
  <c r="DW72" i="3"/>
  <c r="CB72" i="3" s="1"/>
  <c r="AB4" i="13" s="1" a="1"/>
  <c r="AB4" i="13" s="1"/>
  <c r="DW69" i="3"/>
  <c r="CB69" i="3" s="1"/>
  <c r="AB4" i="10" s="1" a="1"/>
  <c r="AB4" i="10" s="1"/>
  <c r="DW70" i="3"/>
  <c r="CB70" i="3" s="1"/>
  <c r="DI30" i="3"/>
  <c r="BN30" i="3" s="1"/>
  <c r="DI28" i="3"/>
  <c r="BN28" i="3" s="1"/>
  <c r="N8" i="10" s="1" a="1"/>
  <c r="N8" i="10" s="1"/>
  <c r="DI29" i="3"/>
  <c r="BN29" i="3" s="1"/>
  <c r="DI31" i="3"/>
  <c r="BN31" i="3" s="1"/>
  <c r="N8" i="13" s="1" a="1"/>
  <c r="N8" i="13" s="1"/>
  <c r="DJ59" i="3"/>
  <c r="BO59" i="3" s="1"/>
  <c r="DJ60" i="3"/>
  <c r="BO60" i="3" s="1"/>
  <c r="O10" i="13" s="1" a="1"/>
  <c r="O10" i="13" s="1"/>
  <c r="DJ58" i="3"/>
  <c r="BO58" i="3" s="1"/>
  <c r="DJ57" i="3"/>
  <c r="BO57" i="3" s="1"/>
  <c r="O10" i="10" s="1" a="1"/>
  <c r="O10" i="10" s="1"/>
  <c r="DP15" i="3"/>
  <c r="BU15" i="3" s="1"/>
  <c r="DP13" i="3"/>
  <c r="BU13" i="3" s="1"/>
  <c r="U6" i="10" s="1" a="1"/>
  <c r="U6" i="10" s="1"/>
  <c r="DP16" i="3"/>
  <c r="BU16" i="3" s="1"/>
  <c r="U6" i="13" s="1" a="1"/>
  <c r="U6" i="13" s="1"/>
  <c r="DP14" i="3"/>
  <c r="BU14" i="3" s="1"/>
  <c r="EF72" i="3"/>
  <c r="CK72" i="3" s="1"/>
  <c r="AK4" i="13" s="1" a="1"/>
  <c r="AK4" i="13" s="1"/>
  <c r="EF69" i="3"/>
  <c r="CK69" i="3" s="1"/>
  <c r="AK4" i="10" s="1" a="1"/>
  <c r="AK4" i="10" s="1"/>
  <c r="EF70" i="3"/>
  <c r="CK70" i="3" s="1"/>
  <c r="EF71" i="3"/>
  <c r="CK71" i="3" s="1"/>
  <c r="DD99" i="3"/>
  <c r="BI99" i="3" s="1"/>
  <c r="I7" i="13" s="1" a="1"/>
  <c r="I7" i="13" s="1"/>
  <c r="DD98" i="3"/>
  <c r="BI98" i="3" s="1"/>
  <c r="DD97" i="3"/>
  <c r="BI97" i="3" s="1"/>
  <c r="DD96" i="3"/>
  <c r="BI96" i="3" s="1"/>
  <c r="I7" i="10" s="1" a="1"/>
  <c r="I7" i="10" s="1"/>
  <c r="DN69" i="3"/>
  <c r="BS69" i="3" s="1"/>
  <c r="S4" i="10" s="1" a="1"/>
  <c r="S4" i="10" s="1"/>
  <c r="DN72" i="3"/>
  <c r="BS72" i="3" s="1"/>
  <c r="S4" i="13" s="1" a="1"/>
  <c r="S4" i="13" s="1"/>
  <c r="DN71" i="3"/>
  <c r="BS71" i="3" s="1"/>
  <c r="DN70" i="3"/>
  <c r="BS70" i="3" s="1"/>
  <c r="EE87" i="3"/>
  <c r="CJ87" i="3" s="1"/>
  <c r="AJ5" i="13" s="1" a="1"/>
  <c r="AJ5" i="13" s="1"/>
  <c r="EE85" i="3"/>
  <c r="CJ85" i="3" s="1"/>
  <c r="EE86" i="3"/>
  <c r="CJ86" i="3" s="1"/>
  <c r="EE84" i="3"/>
  <c r="CJ84" i="3" s="1"/>
  <c r="AJ5" i="10" s="1" a="1"/>
  <c r="AJ5" i="10" s="1"/>
  <c r="DX47" i="3"/>
  <c r="CC47" i="3" s="1"/>
  <c r="AC9" i="13" s="1" a="1"/>
  <c r="AC9" i="13" s="1"/>
  <c r="DX45" i="3"/>
  <c r="CC45" i="3" s="1"/>
  <c r="DX44" i="3"/>
  <c r="CC44" i="3" s="1"/>
  <c r="AC9" i="10" s="1" a="1"/>
  <c r="AC9" i="10" s="1"/>
  <c r="DX46" i="3"/>
  <c r="CC46" i="3" s="1"/>
  <c r="DH30" i="3"/>
  <c r="BM30" i="3" s="1"/>
  <c r="DH29" i="3"/>
  <c r="BM29" i="3" s="1"/>
  <c r="DH31" i="3"/>
  <c r="BM31" i="3" s="1"/>
  <c r="M8" i="13" s="1" a="1"/>
  <c r="M8" i="13" s="1"/>
  <c r="DH28" i="3"/>
  <c r="BM28" i="3" s="1"/>
  <c r="M8" i="10" s="1" a="1"/>
  <c r="M8" i="10" s="1"/>
  <c r="EE28" i="3"/>
  <c r="CJ28" i="3" s="1"/>
  <c r="AJ8" i="10" s="1" a="1"/>
  <c r="AJ8" i="10" s="1"/>
  <c r="EE29" i="3"/>
  <c r="CJ29" i="3" s="1"/>
  <c r="EE30" i="3"/>
  <c r="CJ30" i="3" s="1"/>
  <c r="EE31" i="3"/>
  <c r="CJ31" i="3" s="1"/>
  <c r="AJ8" i="13" s="1" a="1"/>
  <c r="AJ8" i="13" s="1"/>
  <c r="EQ87" i="3"/>
  <c r="CV87" i="3" s="1"/>
  <c r="AV5" i="13" s="1" a="1"/>
  <c r="AV5" i="13" s="1"/>
  <c r="EQ86" i="3"/>
  <c r="CV86" i="3" s="1"/>
  <c r="EQ84" i="3"/>
  <c r="CV84" i="3" s="1"/>
  <c r="AV5" i="10" s="1" a="1"/>
  <c r="AV5" i="10" s="1"/>
  <c r="EQ85" i="3"/>
  <c r="CV85" i="3" s="1"/>
  <c r="EF44" i="3"/>
  <c r="CK44" i="3" s="1"/>
  <c r="AK9" i="10" s="1" a="1"/>
  <c r="AK9" i="10" s="1"/>
  <c r="EF46" i="3"/>
  <c r="CK46" i="3" s="1"/>
  <c r="EF45" i="3"/>
  <c r="CK45" i="3" s="1"/>
  <c r="EF47" i="3"/>
  <c r="CK47" i="3" s="1"/>
  <c r="AK9" i="13" s="1" a="1"/>
  <c r="AK9" i="13" s="1"/>
  <c r="EF85" i="3"/>
  <c r="CK85" i="3" s="1"/>
  <c r="EF84" i="3"/>
  <c r="CK84" i="3" s="1"/>
  <c r="AK5" i="10" s="1" a="1"/>
  <c r="AK5" i="10" s="1"/>
  <c r="EF86" i="3"/>
  <c r="CK86" i="3" s="1"/>
  <c r="EF87" i="3"/>
  <c r="CK87" i="3" s="1"/>
  <c r="AK5" i="13" s="1" a="1"/>
  <c r="AK5" i="13" s="1"/>
  <c r="DM97" i="3"/>
  <c r="BR97" i="3" s="1"/>
  <c r="DM96" i="3"/>
  <c r="BR96" i="3" s="1"/>
  <c r="R7" i="10" s="1" a="1"/>
  <c r="R7" i="10" s="1"/>
  <c r="DM98" i="3"/>
  <c r="BR98" i="3" s="1"/>
  <c r="DM99" i="3"/>
  <c r="BR99" i="3" s="1"/>
  <c r="R7" i="13" s="1" a="1"/>
  <c r="R7" i="13" s="1"/>
  <c r="DR31" i="3"/>
  <c r="BW31" i="3" s="1"/>
  <c r="W8" i="13" s="1" a="1"/>
  <c r="W8" i="13" s="1"/>
  <c r="DR29" i="3"/>
  <c r="BW29" i="3" s="1"/>
  <c r="DR30" i="3"/>
  <c r="BW30" i="3" s="1"/>
  <c r="DR28" i="3"/>
  <c r="BW28" i="3" s="1"/>
  <c r="W8" i="10" s="1" a="1"/>
  <c r="W8" i="10" s="1"/>
  <c r="DQ47" i="3"/>
  <c r="BV47" i="3" s="1"/>
  <c r="V9" i="13" s="1" a="1"/>
  <c r="V9" i="13" s="1"/>
  <c r="DQ44" i="3"/>
  <c r="BV44" i="3" s="1"/>
  <c r="V9" i="10" s="1" a="1"/>
  <c r="V9" i="10" s="1"/>
  <c r="DQ45" i="3"/>
  <c r="BV45" i="3" s="1"/>
  <c r="DQ46" i="3"/>
  <c r="BV46" i="3" s="1"/>
  <c r="EN14" i="3"/>
  <c r="CS14" i="3" s="1"/>
  <c r="EN13" i="3"/>
  <c r="CS13" i="3" s="1"/>
  <c r="AS6" i="10" s="1" a="1"/>
  <c r="AS6" i="10" s="1"/>
  <c r="EN15" i="3"/>
  <c r="CS15" i="3" s="1"/>
  <c r="EN16" i="3"/>
  <c r="CS16" i="3" s="1"/>
  <c r="AS6" i="13" s="1" a="1"/>
  <c r="AS6" i="13" s="1"/>
  <c r="EO14" i="3"/>
  <c r="CT14" i="3" s="1"/>
  <c r="EO13" i="3"/>
  <c r="CT13" i="3" s="1"/>
  <c r="AT6" i="10" s="1" a="1"/>
  <c r="AT6" i="10" s="1"/>
  <c r="EO15" i="3"/>
  <c r="CT15" i="3" s="1"/>
  <c r="EO16" i="3"/>
  <c r="CT16" i="3" s="1"/>
  <c r="AT6" i="13" s="1" a="1"/>
  <c r="AT6" i="13" s="1"/>
  <c r="DU45" i="3"/>
  <c r="BZ45" i="3" s="1"/>
  <c r="DU46" i="3"/>
  <c r="BZ46" i="3" s="1"/>
  <c r="DU47" i="3"/>
  <c r="BZ47" i="3" s="1"/>
  <c r="Z9" i="13" s="1" a="1"/>
  <c r="Z9" i="13" s="1"/>
  <c r="DU44" i="3"/>
  <c r="BZ44" i="3" s="1"/>
  <c r="Z9" i="10" s="1" a="1"/>
  <c r="Z9" i="10" s="1"/>
  <c r="DQ96" i="3"/>
  <c r="BV96" i="3" s="1"/>
  <c r="V7" i="10" s="1" a="1"/>
  <c r="V7" i="10" s="1"/>
  <c r="DQ99" i="3"/>
  <c r="BV99" i="3" s="1"/>
  <c r="V7" i="13" s="1" a="1"/>
  <c r="V7" i="13" s="1"/>
  <c r="DQ98" i="3"/>
  <c r="BV98" i="3" s="1"/>
  <c r="DQ97" i="3"/>
  <c r="BV97" i="3" s="1"/>
  <c r="DW87" i="3"/>
  <c r="CB87" i="3" s="1"/>
  <c r="AB5" i="13" s="1" a="1"/>
  <c r="AB5" i="13" s="1"/>
  <c r="DW86" i="3"/>
  <c r="CB86" i="3" s="1"/>
  <c r="DW84" i="3"/>
  <c r="CB84" i="3" s="1"/>
  <c r="AB5" i="10" s="1" a="1"/>
  <c r="AB5" i="10" s="1"/>
  <c r="DW85" i="3"/>
  <c r="CB85" i="3" s="1"/>
  <c r="DG98" i="3"/>
  <c r="BL98" i="3" s="1"/>
  <c r="DG97" i="3"/>
  <c r="BL97" i="3" s="1"/>
  <c r="DG99" i="3"/>
  <c r="BL99" i="3" s="1"/>
  <c r="L7" i="13" s="1" a="1"/>
  <c r="L7" i="13" s="1"/>
  <c r="DG96" i="3"/>
  <c r="BL96" i="3" s="1"/>
  <c r="L7" i="10" s="1" a="1"/>
  <c r="L7" i="10" s="1"/>
  <c r="DD31" i="3"/>
  <c r="BI31" i="3" s="1"/>
  <c r="I8" i="13" s="1" a="1"/>
  <c r="I8" i="13" s="1"/>
  <c r="DD29" i="3"/>
  <c r="BI29" i="3" s="1"/>
  <c r="DD28" i="3"/>
  <c r="BI28" i="3" s="1"/>
  <c r="I8" i="10" s="1" a="1"/>
  <c r="I8" i="10" s="1"/>
  <c r="DD30" i="3"/>
  <c r="BI30" i="3" s="1"/>
  <c r="DE86" i="3"/>
  <c r="BJ86" i="3" s="1"/>
  <c r="DE85" i="3"/>
  <c r="BJ85" i="3" s="1"/>
  <c r="DE87" i="3"/>
  <c r="BJ87" i="3" s="1"/>
  <c r="J5" i="13" s="1" a="1"/>
  <c r="J5" i="13" s="1"/>
  <c r="DE84" i="3"/>
  <c r="BJ84" i="3" s="1"/>
  <c r="J5" i="10" s="1" a="1"/>
  <c r="J5" i="10" s="1"/>
  <c r="DU30" i="3"/>
  <c r="BZ30" i="3" s="1"/>
  <c r="DU29" i="3"/>
  <c r="BZ29" i="3" s="1"/>
  <c r="DU28" i="3"/>
  <c r="BZ28" i="3" s="1"/>
  <c r="Z8" i="10" s="1" a="1"/>
  <c r="Z8" i="10" s="1"/>
  <c r="DU31" i="3"/>
  <c r="BZ31" i="3" s="1"/>
  <c r="Z8" i="13" s="1" a="1"/>
  <c r="Z8" i="13" s="1"/>
  <c r="DR72" i="3"/>
  <c r="BW72" i="3" s="1"/>
  <c r="W4" i="13" s="1" a="1"/>
  <c r="W4" i="13" s="1"/>
  <c r="DR71" i="3"/>
  <c r="BW71" i="3" s="1"/>
  <c r="DR70" i="3"/>
  <c r="BW70" i="3" s="1"/>
  <c r="DR69" i="3"/>
  <c r="BW69" i="3" s="1"/>
  <c r="W4" i="10" s="1" a="1"/>
  <c r="W4" i="10" s="1"/>
  <c r="DE15" i="3"/>
  <c r="BJ15" i="3" s="1"/>
  <c r="DE16" i="3"/>
  <c r="BJ16" i="3" s="1"/>
  <c r="J6" i="13" s="1" a="1"/>
  <c r="J6" i="13" s="1"/>
  <c r="DE14" i="3"/>
  <c r="BJ14" i="3" s="1"/>
  <c r="DE13" i="3"/>
  <c r="BJ13" i="3" s="1"/>
  <c r="J6" i="10" s="1" a="1"/>
  <c r="J6" i="10" s="1"/>
  <c r="DS44" i="3"/>
  <c r="BX44" i="3" s="1"/>
  <c r="X9" i="10" s="1" a="1"/>
  <c r="X9" i="10" s="1"/>
  <c r="DS45" i="3"/>
  <c r="BX45" i="3" s="1"/>
  <c r="DS47" i="3"/>
  <c r="BX47" i="3" s="1"/>
  <c r="X9" i="13" s="1" a="1"/>
  <c r="X9" i="13" s="1"/>
  <c r="DS46" i="3"/>
  <c r="BX46" i="3" s="1"/>
  <c r="DD59" i="3"/>
  <c r="BI59" i="3" s="1"/>
  <c r="DD57" i="3"/>
  <c r="BI57" i="3" s="1"/>
  <c r="I10" i="10" s="1" a="1"/>
  <c r="I10" i="10" s="1"/>
  <c r="DD60" i="3"/>
  <c r="BI60" i="3" s="1"/>
  <c r="I10" i="13" s="1" a="1"/>
  <c r="I10" i="13" s="1"/>
  <c r="DD58" i="3"/>
  <c r="BI58" i="3" s="1"/>
  <c r="CZ97" i="3"/>
  <c r="BE97" i="3" s="1"/>
  <c r="CZ99" i="3"/>
  <c r="BE99" i="3" s="1"/>
  <c r="E7" i="13" s="1" a="1"/>
  <c r="E7" i="13" s="1"/>
  <c r="CZ96" i="3"/>
  <c r="BE96" i="3" s="1"/>
  <c r="E7" i="10" s="1" a="1"/>
  <c r="E7" i="10" s="1"/>
  <c r="CZ98" i="3"/>
  <c r="BE98" i="3" s="1"/>
  <c r="DN45" i="3"/>
  <c r="BS45" i="3" s="1"/>
  <c r="DN47" i="3"/>
  <c r="BS47" i="3" s="1"/>
  <c r="S9" i="13" s="1" a="1"/>
  <c r="S9" i="13" s="1"/>
  <c r="DN44" i="3"/>
  <c r="BS44" i="3" s="1"/>
  <c r="S9" i="10" s="1" a="1"/>
  <c r="S9" i="10" s="1"/>
  <c r="DN46" i="3"/>
  <c r="BS46" i="3" s="1"/>
  <c r="EF60" i="3"/>
  <c r="CK60" i="3" s="1"/>
  <c r="AK10" i="13" s="1" a="1"/>
  <c r="AK10" i="13" s="1"/>
  <c r="EF58" i="3"/>
  <c r="CK58" i="3" s="1"/>
  <c r="EF59" i="3"/>
  <c r="CK59" i="3" s="1"/>
  <c r="EF57" i="3"/>
  <c r="CK57" i="3" s="1"/>
  <c r="AK10" i="10" s="1" a="1"/>
  <c r="AK10" i="10" s="1"/>
  <c r="ED97" i="3"/>
  <c r="CI97" i="3" s="1"/>
  <c r="ED99" i="3"/>
  <c r="CI99" i="3" s="1"/>
  <c r="AI7" i="13" s="1" a="1"/>
  <c r="AI7" i="13" s="1"/>
  <c r="ED98" i="3"/>
  <c r="CI98" i="3" s="1"/>
  <c r="ED96" i="3"/>
  <c r="CI96" i="3" s="1"/>
  <c r="AI7" i="10" s="1" a="1"/>
  <c r="AI7" i="10" s="1"/>
  <c r="DQ13" i="3"/>
  <c r="BV13" i="3" s="1"/>
  <c r="V6" i="10" s="1" a="1"/>
  <c r="V6" i="10" s="1"/>
  <c r="DQ16" i="3"/>
  <c r="BV16" i="3" s="1"/>
  <c r="V6" i="13" s="1" a="1"/>
  <c r="V6" i="13" s="1"/>
  <c r="DQ15" i="3"/>
  <c r="BV15" i="3" s="1"/>
  <c r="DQ14" i="3"/>
  <c r="BV14" i="3" s="1"/>
  <c r="EJ57" i="3"/>
  <c r="CO57" i="3" s="1"/>
  <c r="AO10" i="10" s="1" a="1"/>
  <c r="AO10" i="10" s="1"/>
  <c r="EJ58" i="3"/>
  <c r="CO58" i="3" s="1"/>
  <c r="EJ60" i="3"/>
  <c r="CO60" i="3" s="1"/>
  <c r="AO10" i="13" s="1" a="1"/>
  <c r="AO10" i="13" s="1"/>
  <c r="EJ59" i="3"/>
  <c r="CO59" i="3" s="1"/>
  <c r="DH14" i="3"/>
  <c r="BM14" i="3" s="1"/>
  <c r="DH15" i="3"/>
  <c r="BM15" i="3" s="1"/>
  <c r="DH16" i="3"/>
  <c r="BM16" i="3" s="1"/>
  <c r="M6" i="13" s="1" a="1"/>
  <c r="M6" i="13" s="1"/>
  <c r="DH13" i="3"/>
  <c r="BM13" i="3" s="1"/>
  <c r="M6" i="10" s="1" a="1"/>
  <c r="M6" i="10" s="1"/>
  <c r="EN71" i="3"/>
  <c r="CS71" i="3" s="1"/>
  <c r="EN69" i="3"/>
  <c r="CS69" i="3" s="1"/>
  <c r="AS4" i="10" s="1" a="1"/>
  <c r="AS4" i="10" s="1"/>
  <c r="EN72" i="3"/>
  <c r="CS72" i="3" s="1"/>
  <c r="AS4" i="13" s="1" a="1"/>
  <c r="AS4" i="13" s="1"/>
  <c r="EN70" i="3"/>
  <c r="CS70" i="3" s="1"/>
  <c r="EM60" i="3"/>
  <c r="CR60" i="3" s="1"/>
  <c r="AR10" i="13" s="1" a="1"/>
  <c r="AR10" i="13" s="1"/>
  <c r="EM58" i="3"/>
  <c r="CR58" i="3" s="1"/>
  <c r="EM59" i="3"/>
  <c r="CR59" i="3" s="1"/>
  <c r="EM57" i="3"/>
  <c r="CR57" i="3" s="1"/>
  <c r="AR10" i="10" s="1" a="1"/>
  <c r="AR10" i="10" s="1"/>
  <c r="ED87" i="3"/>
  <c r="CI87" i="3" s="1"/>
  <c r="AI5" i="13" s="1" a="1"/>
  <c r="AI5" i="13" s="1"/>
  <c r="ED85" i="3"/>
  <c r="CI85" i="3" s="1"/>
  <c r="ED84" i="3"/>
  <c r="CI84" i="3" s="1"/>
  <c r="AI5" i="10" s="1" a="1"/>
  <c r="AI5" i="10" s="1"/>
  <c r="ED86" i="3"/>
  <c r="CI86" i="3" s="1"/>
  <c r="EL84" i="3"/>
  <c r="CQ84" i="3" s="1"/>
  <c r="AQ5" i="10" s="1" a="1"/>
  <c r="AQ5" i="10" s="1"/>
  <c r="EL87" i="3"/>
  <c r="CQ87" i="3" s="1"/>
  <c r="AQ5" i="13" s="1" a="1"/>
  <c r="AQ5" i="13" s="1"/>
  <c r="EL86" i="3"/>
  <c r="CQ86" i="3" s="1"/>
  <c r="EL85" i="3"/>
  <c r="CQ85" i="3" s="1"/>
  <c r="CZ30" i="3"/>
  <c r="BE30" i="3" s="1"/>
  <c r="CZ31" i="3"/>
  <c r="BE31" i="3" s="1"/>
  <c r="E8" i="13" s="1" a="1"/>
  <c r="E8" i="13" s="1"/>
  <c r="CZ28" i="3"/>
  <c r="BE28" i="3" s="1"/>
  <c r="E8" i="10" s="1" a="1"/>
  <c r="E8" i="10" s="1"/>
  <c r="CZ29" i="3"/>
  <c r="BE29" i="3" s="1"/>
  <c r="DS60" i="3"/>
  <c r="BX60" i="3" s="1"/>
  <c r="X10" i="13" s="1" a="1"/>
  <c r="X10" i="13" s="1"/>
  <c r="DS58" i="3"/>
  <c r="BX58" i="3" s="1"/>
  <c r="DS59" i="3"/>
  <c r="BX59" i="3" s="1"/>
  <c r="DS57" i="3"/>
  <c r="BX57" i="3" s="1"/>
  <c r="X10" i="10" s="1" a="1"/>
  <c r="X10" i="10" s="1"/>
  <c r="DP96" i="3"/>
  <c r="BU96" i="3" s="1"/>
  <c r="U7" i="10" s="1" a="1"/>
  <c r="U7" i="10" s="1"/>
  <c r="DP98" i="3"/>
  <c r="BU98" i="3" s="1"/>
  <c r="DP97" i="3"/>
  <c r="BU97" i="3" s="1"/>
  <c r="DP99" i="3"/>
  <c r="BU99" i="3" s="1"/>
  <c r="U7" i="13" s="1" a="1"/>
  <c r="U7" i="13" s="1"/>
  <c r="DB46" i="3"/>
  <c r="BG46" i="3" s="1"/>
  <c r="DB44" i="3"/>
  <c r="BG44" i="3" s="1"/>
  <c r="G9" i="10" s="1" a="1"/>
  <c r="G9" i="10" s="1"/>
  <c r="DB47" i="3"/>
  <c r="BG47" i="3" s="1"/>
  <c r="G9" i="13" s="1" a="1"/>
  <c r="G9" i="13" s="1"/>
  <c r="DB45" i="3"/>
  <c r="BG45" i="3" s="1"/>
  <c r="DE29" i="3"/>
  <c r="BJ29" i="3" s="1"/>
  <c r="DE28" i="3"/>
  <c r="BJ28" i="3" s="1"/>
  <c r="J8" i="10" s="1" a="1"/>
  <c r="J8" i="10" s="1"/>
  <c r="DE30" i="3"/>
  <c r="BJ30" i="3" s="1"/>
  <c r="DE31" i="3"/>
  <c r="BJ31" i="3" s="1"/>
  <c r="J8" i="13" s="1" a="1"/>
  <c r="J8" i="13" s="1"/>
  <c r="DB13" i="3"/>
  <c r="BG13" i="3" s="1"/>
  <c r="G6" i="10" s="1" a="1"/>
  <c r="G6" i="10" s="1"/>
  <c r="DB15" i="3"/>
  <c r="BG15" i="3" s="1"/>
  <c r="DB14" i="3"/>
  <c r="BG14" i="3" s="1"/>
  <c r="DB16" i="3"/>
  <c r="BG16" i="3" s="1"/>
  <c r="G6" i="13" s="1" a="1"/>
  <c r="G6" i="13" s="1"/>
  <c r="DN15" i="3"/>
  <c r="BS15" i="3" s="1"/>
  <c r="DN13" i="3"/>
  <c r="BS13" i="3" s="1"/>
  <c r="S6" i="10" s="1" a="1"/>
  <c r="S6" i="10" s="1"/>
  <c r="DN16" i="3"/>
  <c r="BS16" i="3" s="1"/>
  <c r="S6" i="13" s="1" a="1"/>
  <c r="S6" i="13" s="1"/>
  <c r="DN14" i="3"/>
  <c r="BS14" i="3" s="1"/>
  <c r="DA14" i="3"/>
  <c r="BF14" i="3" s="1"/>
  <c r="DA13" i="3"/>
  <c r="BF13" i="3" s="1"/>
  <c r="F6" i="10" s="1" a="1"/>
  <c r="F6" i="10" s="1"/>
  <c r="DA15" i="3"/>
  <c r="BF15" i="3" s="1"/>
  <c r="DA16" i="3"/>
  <c r="BF16" i="3" s="1"/>
  <c r="F6" i="13" s="1" a="1"/>
  <c r="F6" i="13" s="1"/>
  <c r="DG16" i="3"/>
  <c r="BL16" i="3" s="1"/>
  <c r="L6" i="13" s="1" a="1"/>
  <c r="L6" i="13" s="1"/>
  <c r="DG14" i="3"/>
  <c r="BL14" i="3" s="1"/>
  <c r="DG15" i="3"/>
  <c r="BL15" i="3" s="1"/>
  <c r="DG13" i="3"/>
  <c r="BL13" i="3" s="1"/>
  <c r="L6" i="10" s="1" a="1"/>
  <c r="L6" i="10" s="1"/>
  <c r="EG69" i="3"/>
  <c r="CL69" i="3" s="1"/>
  <c r="AL4" i="10" s="1" a="1"/>
  <c r="AL4" i="10" s="1"/>
  <c r="EG70" i="3"/>
  <c r="CL70" i="3" s="1"/>
  <c r="EG71" i="3"/>
  <c r="CL71" i="3" s="1"/>
  <c r="EG72" i="3"/>
  <c r="CL72" i="3" s="1"/>
  <c r="AL4" i="13" s="1" a="1"/>
  <c r="AL4" i="13" s="1"/>
  <c r="DX99" i="3"/>
  <c r="CC99" i="3" s="1"/>
  <c r="AC7" i="13" s="1" a="1"/>
  <c r="AC7" i="13" s="1"/>
  <c r="DX98" i="3"/>
  <c r="CC98" i="3" s="1"/>
  <c r="DX96" i="3"/>
  <c r="CC96" i="3" s="1"/>
  <c r="AC7" i="10" s="1" a="1"/>
  <c r="AC7" i="10" s="1"/>
  <c r="DX97" i="3"/>
  <c r="CC97" i="3" s="1"/>
  <c r="EI60" i="3"/>
  <c r="CN60" i="3" s="1"/>
  <c r="AN10" i="13" s="1" a="1"/>
  <c r="AN10" i="13" s="1"/>
  <c r="EI59" i="3"/>
  <c r="CN59" i="3" s="1"/>
  <c r="EI57" i="3"/>
  <c r="CN57" i="3" s="1"/>
  <c r="AN10" i="10" s="1" a="1"/>
  <c r="AN10" i="10" s="1"/>
  <c r="EI58" i="3"/>
  <c r="CN58" i="3" s="1"/>
  <c r="DP58" i="3"/>
  <c r="BU58" i="3" s="1"/>
  <c r="DP59" i="3"/>
  <c r="BU59" i="3" s="1"/>
  <c r="DP60" i="3"/>
  <c r="BU60" i="3" s="1"/>
  <c r="U10" i="13" s="1" a="1"/>
  <c r="U10" i="13" s="1"/>
  <c r="DP57" i="3"/>
  <c r="BU57" i="3" s="1"/>
  <c r="U10" i="10" s="1" a="1"/>
  <c r="U10" i="10" s="1"/>
  <c r="DD47" i="3"/>
  <c r="BI47" i="3" s="1"/>
  <c r="I9" i="13" s="1" a="1"/>
  <c r="I9" i="13" s="1"/>
  <c r="DD46" i="3"/>
  <c r="BI46" i="3" s="1"/>
  <c r="DD44" i="3"/>
  <c r="BI44" i="3" s="1"/>
  <c r="I9" i="10" s="1" a="1"/>
  <c r="I9" i="10" s="1"/>
  <c r="DD45" i="3"/>
  <c r="BI45" i="3" s="1"/>
  <c r="EA86" i="3"/>
  <c r="CF86" i="3" s="1"/>
  <c r="EA85" i="3"/>
  <c r="CF85" i="3" s="1"/>
  <c r="EA87" i="3"/>
  <c r="CF87" i="3" s="1"/>
  <c r="AF5" i="13" s="1" a="1"/>
  <c r="AF5" i="13" s="1"/>
  <c r="EA84" i="3"/>
  <c r="CF84" i="3" s="1"/>
  <c r="AF5" i="10" s="1" a="1"/>
  <c r="AF5" i="10" s="1"/>
  <c r="DR44" i="3"/>
  <c r="BW44" i="3" s="1"/>
  <c r="W9" i="10" s="1" a="1"/>
  <c r="W9" i="10" s="1"/>
  <c r="DR45" i="3"/>
  <c r="BW45" i="3" s="1"/>
  <c r="DR47" i="3"/>
  <c r="BW47" i="3" s="1"/>
  <c r="W9" i="13" s="1" a="1"/>
  <c r="W9" i="13" s="1"/>
  <c r="DR46" i="3"/>
  <c r="BW46" i="3" s="1"/>
  <c r="DR60" i="3"/>
  <c r="BW60" i="3" s="1"/>
  <c r="W10" i="13" s="1" a="1"/>
  <c r="W10" i="13" s="1"/>
  <c r="DR59" i="3"/>
  <c r="BW59" i="3" s="1"/>
  <c r="DR58" i="3"/>
  <c r="BW58" i="3" s="1"/>
  <c r="DR57" i="3"/>
  <c r="BW57" i="3" s="1"/>
  <c r="W10" i="10" s="1" a="1"/>
  <c r="W10" i="10" s="1"/>
  <c r="DL30" i="3"/>
  <c r="BQ30" i="3" s="1"/>
  <c r="DL31" i="3"/>
  <c r="BQ31" i="3" s="1"/>
  <c r="Q8" i="13" s="1" a="1"/>
  <c r="Q8" i="13" s="1"/>
  <c r="DL29" i="3"/>
  <c r="BQ29" i="3" s="1"/>
  <c r="DL28" i="3"/>
  <c r="BQ28" i="3" s="1"/>
  <c r="Q8" i="10" s="1" a="1"/>
  <c r="Q8" i="10" s="1"/>
  <c r="DX87" i="3"/>
  <c r="CC87" i="3" s="1"/>
  <c r="AC5" i="13" s="1" a="1"/>
  <c r="AC5" i="13" s="1"/>
  <c r="DX86" i="3"/>
  <c r="CC86" i="3" s="1"/>
  <c r="DX85" i="3"/>
  <c r="CC85" i="3" s="1"/>
  <c r="DX84" i="3"/>
  <c r="CC84" i="3" s="1"/>
  <c r="AC5" i="10" s="1" a="1"/>
  <c r="AC5" i="10" s="1"/>
  <c r="DQ84" i="3"/>
  <c r="BV84" i="3" s="1"/>
  <c r="V5" i="10" s="1" a="1"/>
  <c r="V5" i="10" s="1"/>
  <c r="DQ87" i="3"/>
  <c r="BV87" i="3" s="1"/>
  <c r="V5" i="13" s="1" a="1"/>
  <c r="V5" i="13" s="1"/>
  <c r="DQ85" i="3"/>
  <c r="BV85" i="3" s="1"/>
  <c r="DQ86" i="3"/>
  <c r="BV86" i="3" s="1"/>
  <c r="DR84" i="3"/>
  <c r="BW84" i="3" s="1"/>
  <c r="W5" i="10" s="1" a="1"/>
  <c r="W5" i="10" s="1"/>
  <c r="DR87" i="3"/>
  <c r="BW87" i="3" s="1"/>
  <c r="W5" i="13" s="1" a="1"/>
  <c r="W5" i="13" s="1"/>
  <c r="DR85" i="3"/>
  <c r="BW85" i="3" s="1"/>
  <c r="DR86" i="3"/>
  <c r="BW86" i="3" s="1"/>
  <c r="DG57" i="3"/>
  <c r="BL57" i="3" s="1"/>
  <c r="L10" i="10" s="1" a="1"/>
  <c r="L10" i="10" s="1"/>
  <c r="DG58" i="3"/>
  <c r="BL58" i="3" s="1"/>
  <c r="DG59" i="3"/>
  <c r="BL59" i="3" s="1"/>
  <c r="DG60" i="3"/>
  <c r="BL60" i="3" s="1"/>
  <c r="L10" i="13" s="1" a="1"/>
  <c r="L10" i="13" s="1"/>
  <c r="DI98" i="3"/>
  <c r="BN98" i="3" s="1"/>
  <c r="DI97" i="3"/>
  <c r="BN97" i="3" s="1"/>
  <c r="DI99" i="3"/>
  <c r="BN99" i="3" s="1"/>
  <c r="N7" i="13" s="1" a="1"/>
  <c r="N7" i="13" s="1"/>
  <c r="DI96" i="3"/>
  <c r="BN96" i="3" s="1"/>
  <c r="N7" i="10" s="1" a="1"/>
  <c r="N7" i="10" s="1"/>
  <c r="DT84" i="3"/>
  <c r="BY84" i="3" s="1"/>
  <c r="Y5" i="10" s="1" a="1"/>
  <c r="Y5" i="10" s="1"/>
  <c r="DT87" i="3"/>
  <c r="BY87" i="3" s="1"/>
  <c r="Y5" i="13" s="1" a="1"/>
  <c r="Y5" i="13" s="1"/>
  <c r="DT85" i="3"/>
  <c r="BY85" i="3" s="1"/>
  <c r="DT86" i="3"/>
  <c r="BY86" i="3" s="1"/>
  <c r="DU99" i="3"/>
  <c r="BZ99" i="3" s="1"/>
  <c r="Z7" i="13" s="1" a="1"/>
  <c r="Z7" i="13" s="1"/>
  <c r="DU98" i="3"/>
  <c r="BZ98" i="3" s="1"/>
  <c r="DU96" i="3"/>
  <c r="BZ96" i="3" s="1"/>
  <c r="Z7" i="10" s="1" a="1"/>
  <c r="Z7" i="10" s="1"/>
  <c r="DU97" i="3"/>
  <c r="BZ97" i="3" s="1"/>
  <c r="EL72" i="3"/>
  <c r="CQ72" i="3" s="1"/>
  <c r="AQ4" i="13" s="1" a="1"/>
  <c r="AQ4" i="13" s="1"/>
  <c r="EL70" i="3"/>
  <c r="CQ70" i="3" s="1"/>
  <c r="EL71" i="3"/>
  <c r="CQ71" i="3" s="1"/>
  <c r="EL69" i="3"/>
  <c r="CQ69" i="3" s="1"/>
  <c r="AQ4" i="10" s="1" a="1"/>
  <c r="AQ4" i="10" s="1"/>
  <c r="DH46" i="3"/>
  <c r="BM46" i="3" s="1"/>
  <c r="DH44" i="3"/>
  <c r="BM44" i="3" s="1"/>
  <c r="M9" i="10" s="1" a="1"/>
  <c r="M9" i="10" s="1"/>
  <c r="DH47" i="3"/>
  <c r="BM47" i="3" s="1"/>
  <c r="M9" i="13" s="1" a="1"/>
  <c r="M9" i="13" s="1"/>
  <c r="DH45" i="3"/>
  <c r="BM45" i="3" s="1"/>
  <c r="DS72" i="3"/>
  <c r="BX72" i="3" s="1"/>
  <c r="X4" i="13" s="1" a="1"/>
  <c r="X4" i="13" s="1"/>
  <c r="DS71" i="3"/>
  <c r="BX71" i="3" s="1"/>
  <c r="DS70" i="3"/>
  <c r="BX70" i="3" s="1"/>
  <c r="DS69" i="3"/>
  <c r="BX69" i="3" s="1"/>
  <c r="X4" i="10" s="1" a="1"/>
  <c r="X4" i="10" s="1"/>
  <c r="DP71" i="3"/>
  <c r="BU71" i="3" s="1"/>
  <c r="DP72" i="3"/>
  <c r="BU72" i="3" s="1"/>
  <c r="U4" i="13" s="1" a="1"/>
  <c r="U4" i="13" s="1"/>
  <c r="DP69" i="3"/>
  <c r="BU69" i="3" s="1"/>
  <c r="U4" i="10" s="1" a="1"/>
  <c r="U4" i="10" s="1"/>
  <c r="DP70" i="3"/>
  <c r="BU70" i="3" s="1"/>
  <c r="DN57" i="3"/>
  <c r="BS57" i="3" s="1"/>
  <c r="S10" i="10" s="1" a="1"/>
  <c r="S10" i="10" s="1"/>
  <c r="DN58" i="3"/>
  <c r="BS58" i="3" s="1"/>
  <c r="DN60" i="3"/>
  <c r="BS60" i="3" s="1"/>
  <c r="S10" i="13" s="1" a="1"/>
  <c r="S10" i="13" s="1"/>
  <c r="DN59" i="3"/>
  <c r="BS59" i="3" s="1"/>
  <c r="DC47" i="3"/>
  <c r="BH47" i="3" s="1"/>
  <c r="H9" i="13" s="1" a="1"/>
  <c r="H9" i="13" s="1"/>
  <c r="DC46" i="3"/>
  <c r="BH46" i="3" s="1"/>
  <c r="DC44" i="3"/>
  <c r="BH44" i="3" s="1"/>
  <c r="H9" i="10" s="1" a="1"/>
  <c r="H9" i="10" s="1"/>
  <c r="DC45" i="3"/>
  <c r="BH45" i="3" s="1"/>
  <c r="EG45" i="3"/>
  <c r="CL45" i="3" s="1"/>
  <c r="EG46" i="3"/>
  <c r="CL46" i="3" s="1"/>
  <c r="EG44" i="3"/>
  <c r="CL44" i="3" s="1"/>
  <c r="AL9" i="10" s="1" a="1"/>
  <c r="AL9" i="10" s="1"/>
  <c r="EG47" i="3"/>
  <c r="CL47" i="3" s="1"/>
  <c r="AL9" i="13" s="1" a="1"/>
  <c r="AL9" i="13" s="1"/>
  <c r="EK31" i="3"/>
  <c r="CP31" i="3" s="1"/>
  <c r="AP8" i="13" s="1" a="1"/>
  <c r="AP8" i="13" s="1"/>
  <c r="EK30" i="3"/>
  <c r="CP30" i="3" s="1"/>
  <c r="EK29" i="3"/>
  <c r="CP29" i="3" s="1"/>
  <c r="EK28" i="3"/>
  <c r="CP28" i="3" s="1"/>
  <c r="AP8" i="10" s="1" a="1"/>
  <c r="AP8" i="10" s="1"/>
  <c r="AH28" i="13"/>
  <c r="D28" i="13"/>
  <c r="V28" i="13"/>
  <c r="W28" i="13"/>
  <c r="X28" i="13"/>
  <c r="AF28" i="13"/>
  <c r="AB31" i="13"/>
  <c r="AL31" i="13"/>
  <c r="AG31" i="13"/>
  <c r="AE29" i="13"/>
  <c r="AL29" i="13"/>
  <c r="AG29" i="13"/>
  <c r="AM29" i="14"/>
  <c r="AT28" i="13"/>
  <c r="AL28" i="13"/>
  <c r="AG28" i="13"/>
  <c r="Z28" i="14"/>
  <c r="AL28" i="14"/>
  <c r="AG28" i="14"/>
  <c r="AD29" i="14"/>
  <c r="AL29" i="14"/>
  <c r="AG29" i="14"/>
  <c r="AQ29" i="10"/>
  <c r="AR29" i="10"/>
  <c r="AL29" i="7"/>
  <c r="AG29" i="7"/>
  <c r="AM28" i="7"/>
  <c r="AL28" i="7"/>
  <c r="AG28" i="7"/>
  <c r="AJ28" i="13"/>
  <c r="W28" i="14"/>
  <c r="AA28" i="14"/>
  <c r="G45" i="8" a="1"/>
  <c r="G45" i="8" s="1"/>
  <c r="D12" i="7" s="1"/>
  <c r="AS29" i="10"/>
  <c r="AO29" i="14"/>
  <c r="AT29" i="10"/>
  <c r="AK28" i="13"/>
  <c r="AP29" i="14"/>
  <c r="AU29" i="10"/>
  <c r="AU28" i="13"/>
  <c r="AQ29" i="14"/>
  <c r="AK28" i="10"/>
  <c r="AV28" i="13"/>
  <c r="AN28" i="7"/>
  <c r="AL28" i="10"/>
  <c r="AW28" i="13"/>
  <c r="AR31" i="13"/>
  <c r="AO28" i="10"/>
  <c r="AT29" i="13"/>
  <c r="AS31" i="13"/>
  <c r="AQ28" i="10"/>
  <c r="AU29" i="13"/>
  <c r="AR28" i="10"/>
  <c r="AS28" i="10"/>
  <c r="AT28" i="10"/>
  <c r="AU28" i="10"/>
  <c r="AM28" i="14"/>
  <c r="AV28" i="10"/>
  <c r="AN28" i="14"/>
  <c r="AB28" i="14"/>
  <c r="AW28" i="10"/>
  <c r="AO28" i="14"/>
  <c r="AC28" i="14"/>
  <c r="AP29" i="10"/>
  <c r="AT44" i="7"/>
  <c r="AU52" i="1" s="1"/>
  <c r="AM29" i="7"/>
  <c r="AV44" i="7"/>
  <c r="AW52" i="1" s="1"/>
  <c r="AP28" i="7"/>
  <c r="AO29" i="7"/>
  <c r="AV29" i="13"/>
  <c r="AT31" i="13"/>
  <c r="AU44" i="7"/>
  <c r="AV52" i="1" s="1"/>
  <c r="AQ28" i="7"/>
  <c r="AP29" i="7"/>
  <c r="AK29" i="13"/>
  <c r="AW29" i="13"/>
  <c r="AU31" i="13"/>
  <c r="AP28" i="14"/>
  <c r="AR28" i="7"/>
  <c r="AQ29" i="7"/>
  <c r="AW44" i="7"/>
  <c r="AX52" i="1" s="1"/>
  <c r="AM28" i="13"/>
  <c r="AV31" i="13"/>
  <c r="AQ28" i="14"/>
  <c r="BJ24" i="1"/>
  <c r="BJ22" i="1"/>
  <c r="AN28" i="13"/>
  <c r="AR28" i="14"/>
  <c r="AN29" i="7"/>
  <c r="Y29" i="13"/>
  <c r="AT28" i="7"/>
  <c r="AS29" i="7"/>
  <c r="AV29" i="10"/>
  <c r="AO28" i="13"/>
  <c r="AN29" i="13"/>
  <c r="AS28" i="14"/>
  <c r="AR29" i="14"/>
  <c r="Y28" i="13"/>
  <c r="AM29" i="13"/>
  <c r="AK31" i="13"/>
  <c r="AW31" i="13"/>
  <c r="AC29" i="13"/>
  <c r="AD28" i="14"/>
  <c r="AU28" i="7"/>
  <c r="AT29" i="7"/>
  <c r="AK29" i="10"/>
  <c r="AW29" i="10"/>
  <c r="AP28" i="13"/>
  <c r="AO29" i="13"/>
  <c r="AM31" i="13"/>
  <c r="AT28" i="14"/>
  <c r="AS29" i="14"/>
  <c r="AS28" i="7"/>
  <c r="AR29" i="7"/>
  <c r="AF28" i="14"/>
  <c r="AV28" i="7"/>
  <c r="AU29" i="7"/>
  <c r="AM28" i="10"/>
  <c r="AL29" i="10"/>
  <c r="AQ28" i="13"/>
  <c r="AP29" i="13"/>
  <c r="AN31" i="13"/>
  <c r="AU28" i="14"/>
  <c r="AT29" i="14"/>
  <c r="Z28" i="13"/>
  <c r="AA28" i="13"/>
  <c r="AE28" i="14"/>
  <c r="AB28" i="13"/>
  <c r="AC28" i="13"/>
  <c r="AK28" i="7"/>
  <c r="AW28" i="7"/>
  <c r="AV29" i="7"/>
  <c r="AN28" i="10"/>
  <c r="AM29" i="10"/>
  <c r="AR28" i="13"/>
  <c r="AQ29" i="13"/>
  <c r="AO31" i="13"/>
  <c r="AV28" i="14"/>
  <c r="AU29" i="14"/>
  <c r="AK29" i="7"/>
  <c r="AW29" i="7"/>
  <c r="AN29" i="10"/>
  <c r="AS28" i="13"/>
  <c r="AR29" i="13"/>
  <c r="AP31" i="13"/>
  <c r="AK28" i="14"/>
  <c r="AW28" i="14"/>
  <c r="AV29" i="14"/>
  <c r="AO28" i="7"/>
  <c r="AD28" i="13"/>
  <c r="AI28" i="14"/>
  <c r="AE28" i="13"/>
  <c r="D28" i="14"/>
  <c r="AJ28" i="14"/>
  <c r="AS44" i="7"/>
  <c r="AT52" i="1" s="1"/>
  <c r="AS29" i="13"/>
  <c r="AQ31" i="13"/>
  <c r="AK29" i="14"/>
  <c r="AW29" i="14"/>
  <c r="AE29" i="14"/>
  <c r="AF29" i="13"/>
  <c r="AH29" i="13"/>
  <c r="AI29" i="13"/>
  <c r="D29" i="13"/>
  <c r="AJ29" i="13"/>
  <c r="V29" i="13"/>
  <c r="AD31" i="13"/>
  <c r="W29" i="13"/>
  <c r="AF31" i="13"/>
  <c r="X29" i="13"/>
  <c r="AI31" i="13"/>
  <c r="Z29" i="13"/>
  <c r="AA29" i="13"/>
  <c r="AB29" i="13"/>
  <c r="AD29" i="13"/>
  <c r="AH28" i="14"/>
  <c r="V28" i="14"/>
  <c r="Y28" i="14"/>
  <c r="AC31" i="13"/>
  <c r="AE31" i="13"/>
  <c r="AH31" i="13"/>
  <c r="D31" i="13"/>
  <c r="AJ31" i="13"/>
  <c r="V31" i="13"/>
  <c r="W31" i="13"/>
  <c r="X31" i="13"/>
  <c r="Y31" i="13"/>
  <c r="Z31" i="13"/>
  <c r="AA31" i="13"/>
  <c r="AF29" i="14"/>
  <c r="AH29" i="14"/>
  <c r="AI29" i="14"/>
  <c r="AJ29" i="14"/>
  <c r="D29" i="14"/>
  <c r="V29" i="14"/>
  <c r="X29" i="14"/>
  <c r="Y29" i="14"/>
  <c r="Z29" i="14"/>
  <c r="AA29" i="14"/>
  <c r="AB29" i="14"/>
  <c r="AC29" i="14"/>
  <c r="W29" i="14"/>
  <c r="C19" i="13"/>
  <c r="C20" i="13"/>
  <c r="C21" i="13"/>
  <c r="C22" i="13"/>
  <c r="C23" i="13"/>
  <c r="C23" i="12"/>
  <c r="C24" i="12"/>
  <c r="C25" i="12"/>
  <c r="C21" i="12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D34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D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D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D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D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D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D28" i="11"/>
  <c r="C23" i="11"/>
  <c r="C22" i="11"/>
  <c r="C21" i="11"/>
  <c r="C20" i="11"/>
  <c r="AJ3" i="11"/>
  <c r="AJ44" i="11" s="1"/>
  <c r="AI3" i="11"/>
  <c r="AI44" i="11" s="1"/>
  <c r="AH3" i="11"/>
  <c r="AH44" i="11" s="1"/>
  <c r="AG3" i="11"/>
  <c r="AG44" i="11" s="1"/>
  <c r="AF3" i="11"/>
  <c r="AF44" i="11" s="1"/>
  <c r="AE3" i="11"/>
  <c r="AE44" i="11" s="1"/>
  <c r="AD3" i="11"/>
  <c r="AD44" i="11" s="1"/>
  <c r="AC3" i="11"/>
  <c r="AC44" i="11" s="1"/>
  <c r="AB3" i="11"/>
  <c r="AB44" i="11" s="1"/>
  <c r="AA3" i="11"/>
  <c r="AA44" i="11" s="1"/>
  <c r="Z3" i="11"/>
  <c r="Z44" i="11" s="1"/>
  <c r="Y3" i="11"/>
  <c r="Y44" i="11" s="1"/>
  <c r="X3" i="11"/>
  <c r="X44" i="11" s="1"/>
  <c r="W3" i="11"/>
  <c r="W44" i="11" s="1"/>
  <c r="V3" i="11"/>
  <c r="V44" i="11" s="1"/>
  <c r="D3" i="11"/>
  <c r="D44" i="11" s="1"/>
  <c r="AJ34" i="10"/>
  <c r="AI34" i="10"/>
  <c r="AH34" i="10"/>
  <c r="AG34" i="10"/>
  <c r="AF34" i="10"/>
  <c r="AE34" i="10"/>
  <c r="AD34" i="10"/>
  <c r="AC34" i="10"/>
  <c r="AB34" i="10"/>
  <c r="AA34" i="10"/>
  <c r="Z34" i="10"/>
  <c r="Y34" i="10"/>
  <c r="X34" i="10"/>
  <c r="W34" i="10"/>
  <c r="V34" i="10"/>
  <c r="D34" i="10"/>
  <c r="AJ33" i="10"/>
  <c r="AI33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D33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D32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D31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D30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D29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D28" i="10"/>
  <c r="C25" i="10"/>
  <c r="AZ25" i="10" s="1"/>
  <c r="AZ34" i="10" s="1"/>
  <c r="AZ42" i="10" s="1"/>
  <c r="C24" i="10"/>
  <c r="AZ24" i="10" s="1"/>
  <c r="AZ33" i="10" s="1"/>
  <c r="AZ41" i="10" s="1"/>
  <c r="C23" i="10"/>
  <c r="AZ23" i="10" s="1"/>
  <c r="AZ32" i="10" s="1"/>
  <c r="AZ40" i="10" s="1"/>
  <c r="C22" i="10"/>
  <c r="AZ22" i="10" s="1"/>
  <c r="AZ31" i="10" s="1"/>
  <c r="AZ39" i="10" s="1"/>
  <c r="C21" i="10"/>
  <c r="AZ21" i="10" s="1"/>
  <c r="AZ30" i="10" s="1"/>
  <c r="AZ38" i="10" s="1"/>
  <c r="C20" i="10"/>
  <c r="AZ20" i="10" s="1"/>
  <c r="AZ29" i="10" s="1"/>
  <c r="AZ37" i="10" s="1"/>
  <c r="C19" i="10"/>
  <c r="AZ19" i="10" s="1"/>
  <c r="AZ28" i="10" s="1"/>
  <c r="AZ36" i="10" s="1"/>
  <c r="AJ44" i="10"/>
  <c r="AI44" i="10"/>
  <c r="AH44" i="10"/>
  <c r="AG44" i="10"/>
  <c r="AF44" i="10"/>
  <c r="AE44" i="10"/>
  <c r="AD44" i="10"/>
  <c r="AC44" i="10"/>
  <c r="AB44" i="10"/>
  <c r="AA44" i="10"/>
  <c r="Z44" i="10"/>
  <c r="Y44" i="10"/>
  <c r="X44" i="10"/>
  <c r="W44" i="10"/>
  <c r="V44" i="10"/>
  <c r="D3" i="10"/>
  <c r="D44" i="10" s="1"/>
  <c r="AJ34" i="7"/>
  <c r="AI34" i="7"/>
  <c r="AH34" i="7"/>
  <c r="AF34" i="7"/>
  <c r="AE34" i="7"/>
  <c r="AD34" i="7"/>
  <c r="AC34" i="7"/>
  <c r="AB34" i="7"/>
  <c r="AA34" i="7"/>
  <c r="Z34" i="7"/>
  <c r="Y34" i="7"/>
  <c r="X34" i="7"/>
  <c r="W34" i="7"/>
  <c r="V34" i="7"/>
  <c r="D34" i="7"/>
  <c r="AJ33" i="7"/>
  <c r="AI33" i="7"/>
  <c r="AH33" i="7"/>
  <c r="AF33" i="7"/>
  <c r="AE33" i="7"/>
  <c r="AD33" i="7"/>
  <c r="AC33" i="7"/>
  <c r="AB33" i="7"/>
  <c r="AA33" i="7"/>
  <c r="Z33" i="7"/>
  <c r="Y33" i="7"/>
  <c r="X33" i="7"/>
  <c r="W33" i="7"/>
  <c r="V33" i="7"/>
  <c r="D33" i="7"/>
  <c r="AJ32" i="7"/>
  <c r="AI32" i="7"/>
  <c r="AH32" i="7"/>
  <c r="AF32" i="7"/>
  <c r="AE32" i="7"/>
  <c r="AD32" i="7"/>
  <c r="AC32" i="7"/>
  <c r="AB32" i="7"/>
  <c r="AA32" i="7"/>
  <c r="Z32" i="7"/>
  <c r="Y32" i="7"/>
  <c r="X32" i="7"/>
  <c r="W32" i="7"/>
  <c r="V32" i="7"/>
  <c r="D32" i="7"/>
  <c r="AJ31" i="7"/>
  <c r="AI31" i="7"/>
  <c r="AH31" i="7"/>
  <c r="AF31" i="7"/>
  <c r="AE31" i="7"/>
  <c r="AD31" i="7"/>
  <c r="AC31" i="7"/>
  <c r="AB31" i="7"/>
  <c r="AA31" i="7"/>
  <c r="Z31" i="7"/>
  <c r="Y31" i="7"/>
  <c r="X31" i="7"/>
  <c r="W31" i="7"/>
  <c r="V31" i="7"/>
  <c r="D31" i="7"/>
  <c r="AJ30" i="7"/>
  <c r="AI30" i="7"/>
  <c r="AH30" i="7"/>
  <c r="AF30" i="7"/>
  <c r="AE30" i="7"/>
  <c r="AD30" i="7"/>
  <c r="AC30" i="7"/>
  <c r="AB30" i="7"/>
  <c r="AA30" i="7"/>
  <c r="Z30" i="7"/>
  <c r="Y30" i="7"/>
  <c r="X30" i="7"/>
  <c r="W30" i="7"/>
  <c r="V30" i="7"/>
  <c r="D30" i="7"/>
  <c r="AJ29" i="7"/>
  <c r="AI29" i="7"/>
  <c r="AH29" i="7"/>
  <c r="AF29" i="7"/>
  <c r="AE29" i="7"/>
  <c r="AD29" i="7"/>
  <c r="AC29" i="7"/>
  <c r="AB29" i="7"/>
  <c r="AA29" i="7"/>
  <c r="Z29" i="7"/>
  <c r="Y29" i="7"/>
  <c r="X29" i="7"/>
  <c r="W29" i="7"/>
  <c r="V29" i="7"/>
  <c r="D29" i="7"/>
  <c r="AJ28" i="7"/>
  <c r="AI28" i="7"/>
  <c r="AH28" i="7"/>
  <c r="AF28" i="7"/>
  <c r="AE28" i="7"/>
  <c r="AD28" i="7"/>
  <c r="AC28" i="7"/>
  <c r="AB28" i="7"/>
  <c r="AA28" i="7"/>
  <c r="Z28" i="7"/>
  <c r="Y28" i="7"/>
  <c r="X28" i="7"/>
  <c r="W28" i="7"/>
  <c r="V28" i="7"/>
  <c r="D28" i="7"/>
  <c r="AK13" i="9"/>
  <c r="AG13" i="9"/>
  <c r="U13" i="9"/>
  <c r="G59" i="8" a="1"/>
  <c r="G59" i="8" s="1"/>
  <c r="C24" i="9"/>
  <c r="C32" i="9" s="1"/>
  <c r="C40" i="9" s="1"/>
  <c r="C23" i="9"/>
  <c r="C31" i="9" s="1"/>
  <c r="C39" i="9" s="1"/>
  <c r="C22" i="9"/>
  <c r="C30" i="9" s="1"/>
  <c r="C38" i="9" s="1"/>
  <c r="C21" i="9"/>
  <c r="C29" i="9" s="1"/>
  <c r="C37" i="9" s="1"/>
  <c r="C20" i="9"/>
  <c r="C28" i="9" s="1"/>
  <c r="C36" i="9" s="1"/>
  <c r="C19" i="9"/>
  <c r="C27" i="9" s="1"/>
  <c r="C35" i="9" s="1"/>
  <c r="C18" i="9"/>
  <c r="C26" i="9" s="1"/>
  <c r="C34" i="9" s="1"/>
  <c r="AJ3" i="9"/>
  <c r="AI3" i="9"/>
  <c r="AH3" i="9"/>
  <c r="AF3" i="9"/>
  <c r="AE3" i="9"/>
  <c r="AD3" i="9"/>
  <c r="AC3" i="9"/>
  <c r="AB3" i="9"/>
  <c r="AA3" i="9"/>
  <c r="Z3" i="9"/>
  <c r="Y3" i="9"/>
  <c r="X3" i="9"/>
  <c r="W3" i="9"/>
  <c r="V3" i="9"/>
  <c r="D3" i="9"/>
  <c r="C25" i="7"/>
  <c r="AZ25" i="7" s="1"/>
  <c r="AZ34" i="7" s="1"/>
  <c r="AZ42" i="7" s="1"/>
  <c r="C24" i="7"/>
  <c r="AZ24" i="7" s="1"/>
  <c r="AZ33" i="7" s="1"/>
  <c r="AZ41" i="7" s="1"/>
  <c r="C23" i="7"/>
  <c r="AZ23" i="7" s="1"/>
  <c r="AZ32" i="7" s="1"/>
  <c r="AZ40" i="7" s="1"/>
  <c r="C22" i="7"/>
  <c r="AZ22" i="7" s="1"/>
  <c r="AZ31" i="7" s="1"/>
  <c r="AZ39" i="7" s="1"/>
  <c r="C21" i="7"/>
  <c r="AZ21" i="7" s="1"/>
  <c r="AZ30" i="7" s="1"/>
  <c r="AZ38" i="7" s="1"/>
  <c r="C20" i="7"/>
  <c r="AZ20" i="7" s="1"/>
  <c r="AZ29" i="7" s="1"/>
  <c r="AZ37" i="7" s="1"/>
  <c r="C19" i="7"/>
  <c r="AZ19" i="7" s="1"/>
  <c r="AZ28" i="7" s="1"/>
  <c r="AZ36" i="7" s="1"/>
  <c r="AJ44" i="7"/>
  <c r="AK52" i="1" s="1"/>
  <c r="AI44" i="7"/>
  <c r="AJ52" i="1" s="1"/>
  <c r="AH44" i="7"/>
  <c r="AI52" i="1" s="1"/>
  <c r="AF44" i="7"/>
  <c r="AG52" i="1" s="1"/>
  <c r="AE44" i="7"/>
  <c r="AF52" i="1" s="1"/>
  <c r="AD44" i="7"/>
  <c r="AE52" i="1" s="1"/>
  <c r="AC44" i="7"/>
  <c r="AD52" i="1" s="1"/>
  <c r="AB44" i="7"/>
  <c r="AC52" i="1" s="1"/>
  <c r="AA44" i="7"/>
  <c r="AB52" i="1" s="1"/>
  <c r="Z44" i="7"/>
  <c r="AA52" i="1" s="1"/>
  <c r="Y44" i="7"/>
  <c r="Z52" i="1" s="1"/>
  <c r="X44" i="7"/>
  <c r="Y52" i="1" s="1"/>
  <c r="W44" i="7"/>
  <c r="X52" i="1" s="1"/>
  <c r="V44" i="7"/>
  <c r="W52" i="1" s="1"/>
  <c r="D3" i="7"/>
  <c r="D44" i="7" s="1"/>
  <c r="E52" i="1" s="1"/>
  <c r="Y4" i="7" l="1" a="1"/>
  <c r="Y4" i="7" s="1"/>
  <c r="EH71" i="3"/>
  <c r="CM71" i="3" s="1"/>
  <c r="AM4" i="7" a="1"/>
  <c r="AM4" i="7" s="1"/>
  <c r="EH69" i="3"/>
  <c r="CM69" i="3" s="1"/>
  <c r="AM4" i="10" s="1" a="1"/>
  <c r="AM4" i="10" s="1"/>
  <c r="EH70" i="3"/>
  <c r="CM70" i="3" s="1"/>
  <c r="EH72" i="3"/>
  <c r="CM72" i="3" s="1"/>
  <c r="AM4" i="13" s="1" a="1"/>
  <c r="AM4" i="13" s="1"/>
  <c r="EO71" i="3"/>
  <c r="CT71" i="3" s="1"/>
  <c r="EO69" i="3"/>
  <c r="CT69" i="3" s="1"/>
  <c r="AT4" i="10" s="1" a="1"/>
  <c r="AT4" i="10" s="1"/>
  <c r="AT4" i="7" a="1"/>
  <c r="AT4" i="7" s="1"/>
  <c r="AU4" i="7" a="1"/>
  <c r="AU4" i="7" s="1"/>
  <c r="AR4" i="7" a="1"/>
  <c r="AR4" i="7" s="1"/>
  <c r="AS4" i="7" a="1"/>
  <c r="AS4" i="7" s="1"/>
  <c r="EM72" i="3"/>
  <c r="CR72" i="3" s="1"/>
  <c r="AR4" i="13" s="1" a="1"/>
  <c r="AR4" i="13" s="1"/>
  <c r="AN4" i="7" a="1"/>
  <c r="AN4" i="7" s="1"/>
  <c r="EM71" i="3"/>
  <c r="CR71" i="3" s="1"/>
  <c r="EI70" i="3"/>
  <c r="CN70" i="3" s="1"/>
  <c r="EI71" i="3"/>
  <c r="CN71" i="3" s="1"/>
  <c r="EI72" i="3"/>
  <c r="CN72" i="3" s="1"/>
  <c r="AN4" i="13" s="1" a="1"/>
  <c r="AN4" i="13" s="1"/>
  <c r="EI69" i="3"/>
  <c r="CN69" i="3" s="1"/>
  <c r="AN4" i="10" s="1" a="1"/>
  <c r="AN4" i="10" s="1"/>
  <c r="AW4" i="7" a="1"/>
  <c r="AW4" i="7" s="1"/>
  <c r="AU8" i="9" a="1"/>
  <c r="AU8" i="9" s="1"/>
  <c r="AV4" i="7" a="1"/>
  <c r="AV4" i="7" s="1"/>
  <c r="ER69" i="3"/>
  <c r="CW69" i="3" s="1"/>
  <c r="AW4" i="10" s="1" a="1"/>
  <c r="AW4" i="10" s="1"/>
  <c r="ER72" i="3"/>
  <c r="CW72" i="3" s="1"/>
  <c r="AW4" i="13" s="1" a="1"/>
  <c r="AW4" i="13" s="1"/>
  <c r="ER70" i="3"/>
  <c r="CW70" i="3" s="1"/>
  <c r="ER71" i="3"/>
  <c r="CW71" i="3" s="1"/>
  <c r="EO70" i="3"/>
  <c r="CT70" i="3" s="1"/>
  <c r="EM70" i="3"/>
  <c r="CR70" i="3" s="1"/>
  <c r="EO72" i="3"/>
  <c r="CT72" i="3" s="1"/>
  <c r="AT4" i="13" s="1" a="1"/>
  <c r="AT4" i="13" s="1"/>
  <c r="EM69" i="3"/>
  <c r="CR69" i="3" s="1"/>
  <c r="AR4" i="10" s="1" a="1"/>
  <c r="AR4" i="10" s="1"/>
  <c r="AF9" i="14" a="1"/>
  <c r="AF9" i="14" s="1"/>
  <c r="I9" i="14" a="1"/>
  <c r="I9" i="14" s="1"/>
  <c r="G9" i="14" a="1"/>
  <c r="G9" i="14" s="1"/>
  <c r="V6" i="14" a="1"/>
  <c r="V6" i="14" s="1"/>
  <c r="T4" i="14" a="1"/>
  <c r="T4" i="14" s="1"/>
  <c r="W7" i="14" a="1"/>
  <c r="W7" i="14" s="1"/>
  <c r="V9" i="14" a="1"/>
  <c r="V9" i="14" s="1"/>
  <c r="AP7" i="14" a="1"/>
  <c r="AP7" i="14" s="1"/>
  <c r="AS7" i="14" a="1"/>
  <c r="AS7" i="14" s="1"/>
  <c r="R6" i="14" a="1"/>
  <c r="R6" i="14" s="1"/>
  <c r="AE9" i="14" a="1"/>
  <c r="AE9" i="14" s="1"/>
  <c r="U9" i="14" a="1"/>
  <c r="U9" i="14" s="1"/>
  <c r="E6" i="14" a="1"/>
  <c r="E6" i="14" s="1"/>
  <c r="AD5" i="14" a="1"/>
  <c r="AD5" i="14" s="1"/>
  <c r="AM9" i="14" a="1"/>
  <c r="AM9" i="14" s="1"/>
  <c r="Q5" i="14" a="1"/>
  <c r="Q5" i="14" s="1"/>
  <c r="AH10" i="14" a="1"/>
  <c r="AH10" i="14" s="1"/>
  <c r="AO7" i="14" a="1"/>
  <c r="AO7" i="14" s="1"/>
  <c r="P10" i="14" a="1"/>
  <c r="P10" i="14" s="1"/>
  <c r="X5" i="14" a="1"/>
  <c r="X5" i="14" s="1"/>
  <c r="X8" i="14" a="1"/>
  <c r="X8" i="14" s="1"/>
  <c r="Z5" i="14" a="1"/>
  <c r="Z5" i="14" s="1"/>
  <c r="AI7" i="14" a="1"/>
  <c r="AI7" i="14" s="1"/>
  <c r="AT6" i="14" a="1"/>
  <c r="AT6" i="14" s="1"/>
  <c r="AK5" i="14" a="1"/>
  <c r="AK5" i="14" s="1"/>
  <c r="AS6" i="14" a="1"/>
  <c r="AS6" i="14" s="1"/>
  <c r="F6" i="14" a="1"/>
  <c r="F6" i="14" s="1"/>
  <c r="X6" i="14" a="1"/>
  <c r="X6" i="14" s="1"/>
  <c r="S7" i="14" a="1"/>
  <c r="S7" i="14" s="1"/>
  <c r="AH4" i="14" a="1"/>
  <c r="AH4" i="14" s="1"/>
  <c r="AG4" i="14" a="1"/>
  <c r="AG4" i="14" s="1"/>
  <c r="AQ4" i="14" a="1"/>
  <c r="AQ4" i="14" s="1"/>
  <c r="X10" i="14" a="1"/>
  <c r="X10" i="14" s="1"/>
  <c r="W9" i="14" a="1"/>
  <c r="W9" i="14" s="1"/>
  <c r="S9" i="14" a="1"/>
  <c r="S9" i="14" s="1"/>
  <c r="AL8" i="14" a="1"/>
  <c r="AL8" i="14" s="1"/>
  <c r="F8" i="14" a="1"/>
  <c r="F8" i="14" s="1"/>
  <c r="K10" i="14" a="1"/>
  <c r="K10" i="14" s="1"/>
  <c r="U4" i="14" a="1"/>
  <c r="U4" i="14" s="1"/>
  <c r="H4" i="14" a="1"/>
  <c r="H4" i="14" s="1"/>
  <c r="R10" i="14" a="1"/>
  <c r="R10" i="14" s="1"/>
  <c r="H10" i="14" a="1"/>
  <c r="H10" i="14" s="1"/>
  <c r="AF8" i="14" a="1"/>
  <c r="AF8" i="14" s="1"/>
  <c r="O7" i="14" a="1"/>
  <c r="O7" i="14" s="1"/>
  <c r="Y7" i="14" a="1"/>
  <c r="Y7" i="14" s="1"/>
  <c r="AH9" i="14" a="1"/>
  <c r="AH9" i="14" s="1"/>
  <c r="AH8" i="14" a="1"/>
  <c r="AH8" i="14" s="1"/>
  <c r="W5" i="14" a="1"/>
  <c r="W5" i="14" s="1"/>
  <c r="I10" i="14" a="1"/>
  <c r="I10" i="14" s="1"/>
  <c r="AB4" i="14" a="1"/>
  <c r="AB4" i="14" s="1"/>
  <c r="K7" i="14" a="1"/>
  <c r="K7" i="14" s="1"/>
  <c r="AW5" i="14" a="1"/>
  <c r="AW5" i="14" s="1"/>
  <c r="AT7" i="14" a="1"/>
  <c r="AT7" i="14" s="1"/>
  <c r="AF10" i="14" a="1"/>
  <c r="AF10" i="14" s="1"/>
  <c r="AA7" i="14" a="1"/>
  <c r="AA7" i="14" s="1"/>
  <c r="F9" i="14" a="1"/>
  <c r="F9" i="14" s="1"/>
  <c r="T5" i="14" a="1"/>
  <c r="T5" i="14" s="1"/>
  <c r="AI9" i="14" a="1"/>
  <c r="AI9" i="14" s="1"/>
  <c r="T7" i="14" a="1"/>
  <c r="T7" i="14" s="1"/>
  <c r="AK10" i="14" a="1"/>
  <c r="AK10" i="14" s="1"/>
  <c r="L7" i="14" a="1"/>
  <c r="L7" i="14" s="1"/>
  <c r="AI8" i="14" a="1"/>
  <c r="AI8" i="14" s="1"/>
  <c r="G6" i="14" a="1"/>
  <c r="G6" i="14" s="1"/>
  <c r="W4" i="14" a="1"/>
  <c r="W4" i="14" s="1"/>
  <c r="O10" i="14" a="1"/>
  <c r="O10" i="14" s="1"/>
  <c r="AB10" i="14" a="1"/>
  <c r="AB10" i="14" s="1"/>
  <c r="AO9" i="14" a="1"/>
  <c r="AO9" i="14" s="1"/>
  <c r="AG8" i="14" a="1"/>
  <c r="AG8" i="14" s="1"/>
  <c r="Z6" i="14" a="1"/>
  <c r="Z6" i="14" s="1"/>
  <c r="AD7" i="14" a="1"/>
  <c r="AD7" i="14" s="1"/>
  <c r="AL5" i="14" a="1"/>
  <c r="AL5" i="14" s="1"/>
  <c r="M6" i="14" a="1"/>
  <c r="M6" i="14" s="1"/>
  <c r="Y8" i="14" a="1"/>
  <c r="Y8" i="14" s="1"/>
  <c r="L4" i="14" a="1"/>
  <c r="L4" i="14" s="1"/>
  <c r="Q10" i="14" a="1"/>
  <c r="Q10" i="14" s="1"/>
  <c r="AF5" i="14" a="1"/>
  <c r="AF5" i="14" s="1"/>
  <c r="V5" i="14" a="1"/>
  <c r="V5" i="14" s="1"/>
  <c r="AL10" i="14" a="1"/>
  <c r="AL10" i="14" s="1"/>
  <c r="AU7" i="14" a="1"/>
  <c r="AU7" i="14" s="1"/>
  <c r="T8" i="14" a="1"/>
  <c r="T8" i="14" s="1"/>
  <c r="P8" i="14" a="1"/>
  <c r="P8" i="14" s="1"/>
  <c r="AT5" i="14" a="1"/>
  <c r="AT5" i="14" s="1"/>
  <c r="Z4" i="14" a="1"/>
  <c r="Z4" i="14" s="1"/>
  <c r="V10" i="14" a="1"/>
  <c r="V10" i="14" s="1"/>
  <c r="Z9" i="14" a="1"/>
  <c r="Z9" i="14" s="1"/>
  <c r="AL6" i="14" a="1"/>
  <c r="AL6" i="14" s="1"/>
  <c r="R5" i="14" a="1"/>
  <c r="R5" i="14" s="1"/>
  <c r="AO4" i="14" a="1"/>
  <c r="AO4" i="14" s="1"/>
  <c r="G10" i="14" a="1"/>
  <c r="G10" i="14" s="1"/>
  <c r="Y5" i="14" a="1"/>
  <c r="Y5" i="14" s="1"/>
  <c r="AC10" i="14" a="1"/>
  <c r="AC10" i="14" s="1"/>
  <c r="P5" i="14" a="1"/>
  <c r="P5" i="14" s="1"/>
  <c r="AS10" i="14" a="1"/>
  <c r="AS10" i="14" s="1"/>
  <c r="AM6" i="14" a="1"/>
  <c r="AM6" i="14" s="1"/>
  <c r="K8" i="14" a="1"/>
  <c r="K8" i="14" s="1"/>
  <c r="AC9" i="14" a="1"/>
  <c r="AC9" i="14" s="1"/>
  <c r="AO5" i="14" a="1"/>
  <c r="AO5" i="14" s="1"/>
  <c r="T10" i="14" a="1"/>
  <c r="T10" i="14" s="1"/>
  <c r="AS8" i="14" a="1"/>
  <c r="AS8" i="14" s="1"/>
  <c r="V8" i="14" a="1"/>
  <c r="V8" i="14" s="1"/>
  <c r="S8" i="14" a="1"/>
  <c r="S8" i="14" s="1"/>
  <c r="AV6" i="14" a="1"/>
  <c r="AV6" i="14" s="1"/>
  <c r="AW6" i="14" a="1"/>
  <c r="AW6" i="14" s="1"/>
  <c r="R9" i="14" a="1"/>
  <c r="R9" i="14" s="1"/>
  <c r="AK7" i="14" a="1"/>
  <c r="AK7" i="14" s="1"/>
  <c r="Q7" i="14" a="1"/>
  <c r="Q7" i="14" s="1"/>
  <c r="M10" i="14" a="1"/>
  <c r="M10" i="14" s="1"/>
  <c r="K5" i="14" a="1"/>
  <c r="K5" i="14" s="1"/>
  <c r="M7" i="14" a="1"/>
  <c r="M7" i="14" s="1"/>
  <c r="AG5" i="14" a="1"/>
  <c r="AG5" i="14" s="1"/>
  <c r="U8" i="14" a="1"/>
  <c r="U8" i="14" s="1"/>
  <c r="N5" i="14" a="1"/>
  <c r="N5" i="14" s="1"/>
  <c r="AQ6" i="14" a="1"/>
  <c r="AQ6" i="14" s="1"/>
  <c r="AE5" i="14" a="1"/>
  <c r="AE5" i="14" s="1"/>
  <c r="P9" i="14" a="1"/>
  <c r="P9" i="14" s="1"/>
  <c r="Y4" i="14" a="1"/>
  <c r="Y4" i="14" s="1"/>
  <c r="Y9" i="14" a="1"/>
  <c r="Y9" i="14" s="1"/>
  <c r="E5" i="14" a="1"/>
  <c r="E5" i="14" s="1"/>
  <c r="AJ4" i="14" a="1"/>
  <c r="AJ4" i="14" s="1"/>
  <c r="AT8" i="14" a="1"/>
  <c r="AT8" i="14" s="1"/>
  <c r="AD9" i="14" a="1"/>
  <c r="AD9" i="14" s="1"/>
  <c r="G8" i="14" a="1"/>
  <c r="G8" i="14" s="1"/>
  <c r="AL7" i="14" a="1"/>
  <c r="AL7" i="14" s="1"/>
  <c r="AA10" i="14" a="1"/>
  <c r="AA10" i="14" s="1"/>
  <c r="AQ10" i="14" a="1"/>
  <c r="AQ10" i="14" s="1"/>
  <c r="AO10" i="14" a="1"/>
  <c r="AO10" i="14" s="1"/>
  <c r="Z8" i="14" a="1"/>
  <c r="Z8" i="14" s="1"/>
  <c r="W8" i="14" a="1"/>
  <c r="W8" i="14" s="1"/>
  <c r="AP9" i="14" a="1"/>
  <c r="AP9" i="14" s="1"/>
  <c r="AU6" i="14" a="1"/>
  <c r="AU6" i="14" s="1"/>
  <c r="AI4" i="14" a="1"/>
  <c r="AI4" i="14" s="1"/>
  <c r="R4" i="14" a="1"/>
  <c r="R4" i="14" s="1"/>
  <c r="Y10" i="14" a="1"/>
  <c r="Y10" i="14" s="1"/>
  <c r="AI6" i="14" a="1"/>
  <c r="AI6" i="14" s="1"/>
  <c r="G4" i="14" a="1"/>
  <c r="G4" i="14" s="1"/>
  <c r="M5" i="14" a="1"/>
  <c r="M5" i="14" s="1"/>
  <c r="AH6" i="14" a="1"/>
  <c r="AH6" i="14" s="1"/>
  <c r="AF7" i="14" a="1"/>
  <c r="AF7" i="14" s="1"/>
  <c r="AR8" i="14" a="1"/>
  <c r="AR8" i="14" s="1"/>
  <c r="AP8" i="14" a="1"/>
  <c r="AP8" i="14" s="1"/>
  <c r="X4" i="14" a="1"/>
  <c r="X4" i="14" s="1"/>
  <c r="AC5" i="14" a="1"/>
  <c r="AC5" i="14" s="1"/>
  <c r="I7" i="14" a="1"/>
  <c r="I7" i="14" s="1"/>
  <c r="AC6" i="14" a="1"/>
  <c r="AC6" i="14" s="1"/>
  <c r="I5" i="14" a="1"/>
  <c r="I5" i="14" s="1"/>
  <c r="G7" i="14" a="1"/>
  <c r="G7" i="14" s="1"/>
  <c r="AB6" i="14" a="1"/>
  <c r="AB6" i="14" s="1"/>
  <c r="AD4" i="14" a="1"/>
  <c r="AD4" i="14" s="1"/>
  <c r="S10" i="14" a="1"/>
  <c r="S10" i="14" s="1"/>
  <c r="N7" i="14" a="1"/>
  <c r="N7" i="14" s="1"/>
  <c r="J5" i="14" a="1"/>
  <c r="J5" i="14" s="1"/>
  <c r="AV7" i="14" a="1"/>
  <c r="AV7" i="14" s="1"/>
  <c r="U7" i="14" a="1"/>
  <c r="U7" i="14" s="1"/>
  <c r="O4" i="14" a="1"/>
  <c r="O4" i="14" s="1"/>
  <c r="AC8" i="14" a="1"/>
  <c r="AC8" i="14" s="1"/>
  <c r="AM10" i="14" a="1"/>
  <c r="AM10" i="14" s="1"/>
  <c r="P6" i="14" a="1"/>
  <c r="P6" i="14" s="1"/>
  <c r="AW9" i="14" a="1"/>
  <c r="AW9" i="14" s="1"/>
  <c r="R8" i="14" a="1"/>
  <c r="R8" i="14" s="1"/>
  <c r="AE6" i="14" a="1"/>
  <c r="AE6" i="14" s="1"/>
  <c r="P4" i="14" a="1"/>
  <c r="P4" i="14" s="1"/>
  <c r="AG10" i="14" a="1"/>
  <c r="AG10" i="14" s="1"/>
  <c r="S5" i="14" a="1"/>
  <c r="S5" i="14" s="1"/>
  <c r="AL9" i="14" a="1"/>
  <c r="AL9" i="14" s="1"/>
  <c r="U10" i="14" a="1"/>
  <c r="U10" i="14" s="1"/>
  <c r="AR5" i="14" a="1"/>
  <c r="AR5" i="14" s="1"/>
  <c r="AR6" i="14" a="1"/>
  <c r="AR6" i="14" s="1"/>
  <c r="L9" i="14" a="1"/>
  <c r="L9" i="14" s="1"/>
  <c r="Z7" i="9" a="1"/>
  <c r="Z7" i="9" s="1"/>
  <c r="Z7" i="14" a="1"/>
  <c r="Z7" i="14" s="1"/>
  <c r="AC7" i="9" a="1"/>
  <c r="AC7" i="9" s="1"/>
  <c r="AC7" i="14" a="1"/>
  <c r="AC7" i="14" s="1"/>
  <c r="E8" i="14" a="1"/>
  <c r="E8" i="14" s="1"/>
  <c r="AB5" i="14" a="1"/>
  <c r="AB5" i="14" s="1"/>
  <c r="J9" i="14" a="1"/>
  <c r="J9" i="14" s="1"/>
  <c r="W6" i="14" a="1"/>
  <c r="W6" i="14" s="1"/>
  <c r="AO6" i="14" a="1"/>
  <c r="AO6" i="14" s="1"/>
  <c r="AU5" i="14" a="1"/>
  <c r="AU5" i="14" s="1"/>
  <c r="I6" i="14" a="1"/>
  <c r="I6" i="14" s="1"/>
  <c r="AB8" i="14" a="1"/>
  <c r="AB8" i="14" s="1"/>
  <c r="AQ8" i="14" a="1"/>
  <c r="AQ8" i="14" s="1"/>
  <c r="AN6" i="14" a="1"/>
  <c r="AN6" i="14" s="1"/>
  <c r="AW7" i="14" a="1"/>
  <c r="AW7" i="14" s="1"/>
  <c r="AJ10" i="14" a="1"/>
  <c r="AJ10" i="14" s="1"/>
  <c r="AV4" i="14" a="1"/>
  <c r="AV4" i="14" s="1"/>
  <c r="T6" i="14" a="1"/>
  <c r="T6" i="14" s="1"/>
  <c r="O9" i="14" a="1"/>
  <c r="O9" i="14" s="1"/>
  <c r="N9" i="14" a="1"/>
  <c r="N9" i="14" s="1"/>
  <c r="AM8" i="14" a="1"/>
  <c r="AM8" i="14" s="1"/>
  <c r="N6" i="14" a="1"/>
  <c r="N6" i="14" s="1"/>
  <c r="AA8" i="14" a="1"/>
  <c r="AA8" i="14" s="1"/>
  <c r="AP10" i="14" a="1"/>
  <c r="AP10" i="14" s="1"/>
  <c r="AJ5" i="14" a="1"/>
  <c r="AJ5" i="14" s="1"/>
  <c r="L8" i="14" a="1"/>
  <c r="L8" i="14" s="1"/>
  <c r="AC4" i="14" a="1"/>
  <c r="AC4" i="14" s="1"/>
  <c r="AO8" i="14" a="1"/>
  <c r="AO8" i="14" s="1"/>
  <c r="AH7" i="14" a="1"/>
  <c r="AH7" i="14" s="1"/>
  <c r="AN5" i="14" a="1"/>
  <c r="AN5" i="14" s="1"/>
  <c r="N10" i="14" a="1"/>
  <c r="N10" i="14" s="1"/>
  <c r="AQ5" i="14" a="1"/>
  <c r="AQ5" i="14" s="1"/>
  <c r="V7" i="14" a="1"/>
  <c r="V7" i="14" s="1"/>
  <c r="AV5" i="14" a="1"/>
  <c r="AV5" i="14" s="1"/>
  <c r="S4" i="14" a="1"/>
  <c r="S4" i="14" s="1"/>
  <c r="X7" i="14" a="1"/>
  <c r="X7" i="14" s="1"/>
  <c r="V4" i="14" a="1"/>
  <c r="V4" i="14" s="1"/>
  <c r="H6" i="14" a="1"/>
  <c r="H6" i="14" s="1"/>
  <c r="O8" i="14" a="1"/>
  <c r="O8" i="14" s="1"/>
  <c r="AB7" i="14" a="1"/>
  <c r="AB7" i="14" s="1"/>
  <c r="N8" i="9" a="1"/>
  <c r="N8" i="9" s="1"/>
  <c r="N8" i="14" a="1"/>
  <c r="N8" i="14" s="1"/>
  <c r="H8" i="9" a="1"/>
  <c r="H8" i="9" s="1"/>
  <c r="H8" i="14" a="1"/>
  <c r="H8" i="14" s="1"/>
  <c r="O6" i="14" a="1"/>
  <c r="O6" i="14" s="1"/>
  <c r="AB9" i="14" a="1"/>
  <c r="AB9" i="14" s="1"/>
  <c r="H5" i="14" a="1"/>
  <c r="H5" i="14" s="1"/>
  <c r="J10" i="14" a="1"/>
  <c r="J10" i="14" s="1"/>
  <c r="AN9" i="14" a="1"/>
  <c r="AN9" i="14" s="1"/>
  <c r="AA6" i="14" a="1"/>
  <c r="AA6" i="14" s="1"/>
  <c r="J8" i="14" a="1"/>
  <c r="J8" i="14" s="1"/>
  <c r="E7" i="14" a="1"/>
  <c r="E7" i="14" s="1"/>
  <c r="AK8" i="14" a="1"/>
  <c r="AK8" i="14" s="1"/>
  <c r="AF6" i="14" a="1"/>
  <c r="AF6" i="14" s="1"/>
  <c r="AJ7" i="14" a="1"/>
  <c r="AJ7" i="14" s="1"/>
  <c r="AE8" i="14" a="1"/>
  <c r="AE8" i="14" s="1"/>
  <c r="AF4" i="14" a="1"/>
  <c r="AF4" i="14" s="1"/>
  <c r="AD8" i="14" a="1"/>
  <c r="AD8" i="14" s="1"/>
  <c r="J7" i="14" a="1"/>
  <c r="J7" i="14" s="1"/>
  <c r="AM7" i="14" a="1"/>
  <c r="AM7" i="14" s="1"/>
  <c r="P7" i="14" a="1"/>
  <c r="P7" i="14" s="1"/>
  <c r="AL4" i="14" a="1"/>
  <c r="AL4" i="14" s="1"/>
  <c r="AP5" i="14" a="1"/>
  <c r="AP5" i="14" s="1"/>
  <c r="AG9" i="14" a="1"/>
  <c r="AG9" i="14" s="1"/>
  <c r="AR7" i="14" a="1"/>
  <c r="AR7" i="14" s="1"/>
  <c r="AV8" i="14" a="1"/>
  <c r="AV8" i="14" s="1"/>
  <c r="AT9" i="14" a="1"/>
  <c r="AT9" i="14" s="1"/>
  <c r="AJ8" i="14" a="1"/>
  <c r="AJ8" i="14" s="1"/>
  <c r="AG7" i="14" a="1"/>
  <c r="AG7" i="14" s="1"/>
  <c r="AU4" i="14" a="1"/>
  <c r="AU4" i="14" s="1"/>
  <c r="Z10" i="14" a="1"/>
  <c r="Z10" i="14" s="1"/>
  <c r="AJ6" i="14" a="1"/>
  <c r="AJ6" i="14" s="1"/>
  <c r="AE7" i="14" a="1"/>
  <c r="AE7" i="14" s="1"/>
  <c r="J4" i="14" a="1"/>
  <c r="J4" i="14" s="1"/>
  <c r="AA4" i="14" a="1"/>
  <c r="AA4" i="14" s="1"/>
  <c r="Q4" i="14" a="1"/>
  <c r="Q4" i="14" s="1"/>
  <c r="U5" i="14" a="1"/>
  <c r="U5" i="14" s="1"/>
  <c r="AK6" i="14" a="1"/>
  <c r="AK6" i="14" s="1"/>
  <c r="AI5" i="14" a="1"/>
  <c r="AI5" i="14" s="1"/>
  <c r="R7" i="14" a="1"/>
  <c r="R7" i="14" s="1"/>
  <c r="AU10" i="14" a="1"/>
  <c r="AU10" i="14" s="1"/>
  <c r="Q6" i="14" a="1"/>
  <c r="Q6" i="14" s="1"/>
  <c r="M4" i="14" a="1"/>
  <c r="M4" i="14" s="1"/>
  <c r="K9" i="14" a="1"/>
  <c r="K9" i="14" s="1"/>
  <c r="AG6" i="14" a="1"/>
  <c r="AG6" i="14" s="1"/>
  <c r="L6" i="14" a="1"/>
  <c r="L6" i="14" s="1"/>
  <c r="Q8" i="14" a="1"/>
  <c r="Q8" i="14" s="1"/>
  <c r="AK4" i="14" a="1"/>
  <c r="AK4" i="14" s="1"/>
  <c r="AS9" i="14" a="1"/>
  <c r="AS9" i="14" s="1"/>
  <c r="AQ7" i="14" a="1"/>
  <c r="AQ7" i="14" s="1"/>
  <c r="AU9" i="14" a="1"/>
  <c r="AU9" i="14" s="1"/>
  <c r="AD6" i="14" a="1"/>
  <c r="AD6" i="14" s="1"/>
  <c r="K6" i="14" a="1"/>
  <c r="K6" i="14" s="1"/>
  <c r="AA9" i="14" a="1"/>
  <c r="AA9" i="14" s="1"/>
  <c r="AS5" i="14" a="1"/>
  <c r="AS5" i="14" s="1"/>
  <c r="AR9" i="14" a="1"/>
  <c r="AR9" i="14" s="1"/>
  <c r="O5" i="14" a="1"/>
  <c r="O5" i="14" s="1"/>
  <c r="AT10" i="14" a="1"/>
  <c r="AT10" i="14" s="1"/>
  <c r="AN8" i="14" a="1"/>
  <c r="AN8" i="14" s="1"/>
  <c r="M9" i="14" a="1"/>
  <c r="M9" i="14" s="1"/>
  <c r="L10" i="14" a="1"/>
  <c r="L10" i="14" s="1"/>
  <c r="AR10" i="14" a="1"/>
  <c r="AR10" i="14" s="1"/>
  <c r="X9" i="14" a="1"/>
  <c r="X9" i="14" s="1"/>
  <c r="I8" i="14" a="1"/>
  <c r="I8" i="14" s="1"/>
  <c r="M8" i="14" a="1"/>
  <c r="M8" i="14" s="1"/>
  <c r="K4" i="14" a="1"/>
  <c r="K4" i="14" s="1"/>
  <c r="AW8" i="14" a="1"/>
  <c r="AW8" i="14" s="1"/>
  <c r="Q9" i="14" a="1"/>
  <c r="Q9" i="14" s="1"/>
  <c r="F7" i="14" a="1"/>
  <c r="F7" i="14" s="1"/>
  <c r="AN7" i="14" a="1"/>
  <c r="AN7" i="14" s="1"/>
  <c r="I4" i="14" a="1"/>
  <c r="I4" i="14" s="1"/>
  <c r="L5" i="14" a="1"/>
  <c r="L5" i="14" s="1"/>
  <c r="F5" i="14" a="1"/>
  <c r="F5" i="14" s="1"/>
  <c r="AH5" i="14" a="1"/>
  <c r="AH5" i="14" s="1"/>
  <c r="AM5" i="14" a="1"/>
  <c r="AM5" i="14" s="1"/>
  <c r="S6" i="14" a="1"/>
  <c r="S6" i="14" s="1"/>
  <c r="U6" i="14" a="1"/>
  <c r="U6" i="14" s="1"/>
  <c r="AE10" i="14" a="1"/>
  <c r="AE10" i="14" s="1"/>
  <c r="AA5" i="14" a="1"/>
  <c r="AA5" i="14" s="1"/>
  <c r="AP6" i="14" a="1"/>
  <c r="AP6" i="14" s="1"/>
  <c r="H9" i="14" a="1"/>
  <c r="H9" i="14" s="1"/>
  <c r="AN10" i="14" a="1"/>
  <c r="AN10" i="14" s="1"/>
  <c r="AS4" i="14" a="1"/>
  <c r="AS4" i="14" s="1"/>
  <c r="W10" i="14" a="1"/>
  <c r="W10" i="14" s="1"/>
  <c r="J6" i="14" a="1"/>
  <c r="J6" i="14" s="1"/>
  <c r="AK9" i="14" a="1"/>
  <c r="AK9" i="14" s="1"/>
  <c r="AQ9" i="14" a="1"/>
  <c r="AQ9" i="14" s="1"/>
  <c r="G5" i="14" a="1"/>
  <c r="G5" i="14" s="1"/>
  <c r="T9" i="14" a="1"/>
  <c r="T9" i="14" s="1"/>
  <c r="AW10" i="14" a="1"/>
  <c r="AW10" i="14" s="1"/>
  <c r="E9" i="14" a="1"/>
  <c r="E9" i="14" s="1"/>
  <c r="AE4" i="14" a="1"/>
  <c r="AE4" i="14" s="1"/>
  <c r="H7" i="14" a="1"/>
  <c r="H7" i="14" s="1"/>
  <c r="F10" i="14" a="1"/>
  <c r="F10" i="14" s="1"/>
  <c r="AJ9" i="14" a="1"/>
  <c r="AJ9" i="14" s="1"/>
  <c r="AP4" i="14" a="1"/>
  <c r="AP4" i="14" s="1"/>
  <c r="E10" i="14" a="1"/>
  <c r="E10" i="14" s="1"/>
  <c r="AV10" i="14" a="1"/>
  <c r="AV10" i="14" s="1"/>
  <c r="AV9" i="14" a="1"/>
  <c r="AV9" i="14" s="1"/>
  <c r="Y6" i="14" a="1"/>
  <c r="Y6" i="14" s="1"/>
  <c r="AD10" i="14" a="1"/>
  <c r="AD10" i="14" s="1"/>
  <c r="E8" i="9" a="1"/>
  <c r="E8" i="9" s="1"/>
  <c r="W4" i="9" a="1"/>
  <c r="W4" i="9" s="1"/>
  <c r="Y8" i="9" a="1"/>
  <c r="Y8" i="9" s="1"/>
  <c r="H4" i="9" a="1"/>
  <c r="H4" i="9" s="1"/>
  <c r="Q10" i="9" a="1"/>
  <c r="Q10" i="9" s="1"/>
  <c r="O7" i="9" a="1"/>
  <c r="O7" i="9" s="1"/>
  <c r="H9" i="9" a="1"/>
  <c r="H9" i="9" s="1"/>
  <c r="AR5" i="9" a="1"/>
  <c r="AR5" i="9" s="1"/>
  <c r="AA5" i="9" a="1"/>
  <c r="AA5" i="9" s="1"/>
  <c r="AP6" i="9" a="1"/>
  <c r="AP6" i="9" s="1"/>
  <c r="W10" i="9" a="1"/>
  <c r="W10" i="9" s="1"/>
  <c r="J6" i="9" a="1"/>
  <c r="J6" i="9" s="1"/>
  <c r="G5" i="9" a="1"/>
  <c r="G5" i="9" s="1"/>
  <c r="T9" i="9" a="1"/>
  <c r="T9" i="9" s="1"/>
  <c r="AW10" i="9" a="1"/>
  <c r="AW10" i="9" s="1"/>
  <c r="E9" i="9" a="1"/>
  <c r="E9" i="9" s="1"/>
  <c r="AE4" i="9" a="1"/>
  <c r="AE4" i="9" s="1"/>
  <c r="H7" i="9" a="1"/>
  <c r="H7" i="9" s="1"/>
  <c r="AP4" i="9" a="1"/>
  <c r="AP4" i="9" s="1"/>
  <c r="AV10" i="9" a="1"/>
  <c r="AV10" i="9" s="1"/>
  <c r="AB5" i="9" a="1"/>
  <c r="AB5" i="9" s="1"/>
  <c r="J9" i="9" a="1"/>
  <c r="J9" i="9" s="1"/>
  <c r="W6" i="9" a="1"/>
  <c r="W6" i="9" s="1"/>
  <c r="AU5" i="9" a="1"/>
  <c r="AU5" i="9" s="1"/>
  <c r="I6" i="9" a="1"/>
  <c r="I6" i="9" s="1"/>
  <c r="AB8" i="9" a="1"/>
  <c r="AB8" i="9" s="1"/>
  <c r="O6" i="9" a="1"/>
  <c r="O6" i="9" s="1"/>
  <c r="L4" i="9" a="1"/>
  <c r="L4" i="9" s="1"/>
  <c r="AB9" i="9" a="1"/>
  <c r="AB9" i="9" s="1"/>
  <c r="H5" i="9" a="1"/>
  <c r="H5" i="9" s="1"/>
  <c r="R10" i="9" a="1"/>
  <c r="R10" i="9" s="1"/>
  <c r="J10" i="9" a="1"/>
  <c r="J10" i="9" s="1"/>
  <c r="AN9" i="9" a="1"/>
  <c r="AN9" i="9" s="1"/>
  <c r="AE8" i="9" a="1"/>
  <c r="AE8" i="9" s="1"/>
  <c r="AD8" i="9" a="1"/>
  <c r="AD8" i="9" s="1"/>
  <c r="J7" i="9" a="1"/>
  <c r="J7" i="9" s="1"/>
  <c r="I9" i="9" a="1"/>
  <c r="I9" i="9" s="1"/>
  <c r="I10" i="9" a="1"/>
  <c r="I10" i="9" s="1"/>
  <c r="AB4" i="9" a="1"/>
  <c r="AB4" i="9" s="1"/>
  <c r="K7" i="9" a="1"/>
  <c r="K7" i="9" s="1"/>
  <c r="T4" i="9" a="1"/>
  <c r="T4" i="9" s="1"/>
  <c r="AW5" i="9" a="1"/>
  <c r="AW5" i="9" s="1"/>
  <c r="AT7" i="9" a="1"/>
  <c r="AT7" i="9" s="1"/>
  <c r="AF10" i="9" a="1"/>
  <c r="AF10" i="9" s="1"/>
  <c r="AA7" i="9" a="1"/>
  <c r="AA7" i="9" s="1"/>
  <c r="F9" i="9" a="1"/>
  <c r="F9" i="9" s="1"/>
  <c r="AU7" i="9" a="1"/>
  <c r="AU7" i="9" s="1"/>
  <c r="T8" i="9" a="1"/>
  <c r="T8" i="9" s="1"/>
  <c r="AT5" i="9" a="1"/>
  <c r="AT5" i="9" s="1"/>
  <c r="G9" i="9" a="1"/>
  <c r="G9" i="9" s="1"/>
  <c r="V6" i="9" a="1"/>
  <c r="V6" i="9" s="1"/>
  <c r="AP8" i="9" a="1"/>
  <c r="AP8" i="9" s="1"/>
  <c r="X4" i="9" a="1"/>
  <c r="X4" i="9" s="1"/>
  <c r="AC5" i="9" a="1"/>
  <c r="AC5" i="9" s="1"/>
  <c r="I7" i="9" a="1"/>
  <c r="I7" i="9" s="1"/>
  <c r="AC6" i="9" a="1"/>
  <c r="AC6" i="9" s="1"/>
  <c r="I5" i="9" a="1"/>
  <c r="I5" i="9" s="1"/>
  <c r="G7" i="9" a="1"/>
  <c r="G7" i="9" s="1"/>
  <c r="AB6" i="9" a="1"/>
  <c r="AB6" i="9" s="1"/>
  <c r="Z4" i="9" a="1"/>
  <c r="Z4" i="9" s="1"/>
  <c r="V10" i="9" a="1"/>
  <c r="V10" i="9" s="1"/>
  <c r="AL9" i="9" a="1"/>
  <c r="AL9" i="9" s="1"/>
  <c r="U10" i="9" a="1"/>
  <c r="U10" i="9" s="1"/>
  <c r="F6" i="9" a="1"/>
  <c r="F6" i="9" s="1"/>
  <c r="AI7" i="9" a="1"/>
  <c r="AI7" i="9" s="1"/>
  <c r="Y6" i="9" a="1"/>
  <c r="Y6" i="9" s="1"/>
  <c r="AQ8" i="9" a="1"/>
  <c r="AQ8" i="9" s="1"/>
  <c r="AN6" i="9" a="1"/>
  <c r="AN6" i="9" s="1"/>
  <c r="AW7" i="9" a="1"/>
  <c r="AW7" i="9" s="1"/>
  <c r="AV4" i="9" a="1"/>
  <c r="AV4" i="9" s="1"/>
  <c r="O10" i="9" a="1"/>
  <c r="O10" i="9" s="1"/>
  <c r="AB10" i="9" a="1"/>
  <c r="AB10" i="9" s="1"/>
  <c r="H10" i="9" a="1"/>
  <c r="H10" i="9" s="1"/>
  <c r="AF8" i="9" a="1"/>
  <c r="AF8" i="9" s="1"/>
  <c r="Y7" i="9" a="1"/>
  <c r="Y7" i="9" s="1"/>
  <c r="AQ10" i="9" a="1"/>
  <c r="AQ10" i="9" s="1"/>
  <c r="AA6" i="9" a="1"/>
  <c r="AA6" i="9" s="1"/>
  <c r="AH9" i="9" a="1"/>
  <c r="AH9" i="9" s="1"/>
  <c r="AH8" i="9" a="1"/>
  <c r="AH8" i="9" s="1"/>
  <c r="AL10" i="9" a="1"/>
  <c r="AL10" i="9" s="1"/>
  <c r="AC9" i="9" a="1"/>
  <c r="AC9" i="9" s="1"/>
  <c r="AS8" i="9" a="1"/>
  <c r="AS8" i="9" s="1"/>
  <c r="K5" i="9" a="1"/>
  <c r="K5" i="9" s="1"/>
  <c r="AO6" i="9" a="1"/>
  <c r="AO6" i="9" s="1"/>
  <c r="AJ10" i="9" a="1"/>
  <c r="AJ10" i="9" s="1"/>
  <c r="T6" i="9" a="1"/>
  <c r="T6" i="9" s="1"/>
  <c r="O9" i="9" a="1"/>
  <c r="O9" i="9" s="1"/>
  <c r="N9" i="9" a="1"/>
  <c r="N9" i="9" s="1"/>
  <c r="E5" i="9" a="1"/>
  <c r="E5" i="9" s="1"/>
  <c r="AT8" i="9" a="1"/>
  <c r="AT8" i="9" s="1"/>
  <c r="AN5" i="9" a="1"/>
  <c r="AN5" i="9" s="1"/>
  <c r="AK9" i="9" a="1"/>
  <c r="AK9" i="9" s="1"/>
  <c r="AJ9" i="9" a="1"/>
  <c r="AJ9" i="9" s="1"/>
  <c r="E10" i="9" a="1"/>
  <c r="E10" i="9" s="1"/>
  <c r="V5" i="9" a="1"/>
  <c r="V5" i="9" s="1"/>
  <c r="E7" i="9" a="1"/>
  <c r="E7" i="9" s="1"/>
  <c r="W7" i="9" a="1"/>
  <c r="W7" i="9" s="1"/>
  <c r="T5" i="9" a="1"/>
  <c r="T5" i="9" s="1"/>
  <c r="P8" i="9" a="1"/>
  <c r="P8" i="9" s="1"/>
  <c r="F10" i="9" a="1"/>
  <c r="F10" i="9" s="1"/>
  <c r="Y5" i="9" a="1"/>
  <c r="Y5" i="9" s="1"/>
  <c r="U7" i="9" a="1"/>
  <c r="U7" i="9" s="1"/>
  <c r="AQ7" i="9" a="1"/>
  <c r="AQ7" i="9" s="1"/>
  <c r="AM10" i="9" a="1"/>
  <c r="AM10" i="9" s="1"/>
  <c r="AI9" i="9" a="1"/>
  <c r="AI9" i="9" s="1"/>
  <c r="T7" i="9" a="1"/>
  <c r="T7" i="9" s="1"/>
  <c r="AR9" i="9" a="1"/>
  <c r="AR9" i="9" s="1"/>
  <c r="AQ9" i="9" a="1"/>
  <c r="AQ9" i="9" s="1"/>
  <c r="AT6" i="9" a="1"/>
  <c r="AT6" i="9" s="1"/>
  <c r="AK5" i="9" a="1"/>
  <c r="AK5" i="9" s="1"/>
  <c r="AE6" i="9" a="1"/>
  <c r="AE6" i="9" s="1"/>
  <c r="E6" i="9" a="1"/>
  <c r="E6" i="9" s="1"/>
  <c r="P4" i="9" a="1"/>
  <c r="P4" i="9" s="1"/>
  <c r="AD5" i="9" a="1"/>
  <c r="AD5" i="9" s="1"/>
  <c r="AM9" i="9" a="1"/>
  <c r="AM9" i="9" s="1"/>
  <c r="Q5" i="9" a="1"/>
  <c r="Q5" i="9" s="1"/>
  <c r="AH10" i="9" a="1"/>
  <c r="AH10" i="9" s="1"/>
  <c r="AG10" i="9" a="1"/>
  <c r="AG10" i="9" s="1"/>
  <c r="S5" i="9" a="1"/>
  <c r="S5" i="9" s="1"/>
  <c r="AM5" i="9" a="1"/>
  <c r="AM5" i="9" s="1"/>
  <c r="AN10" i="9" a="1"/>
  <c r="AN10" i="9" s="1"/>
  <c r="S6" i="9" a="1"/>
  <c r="S6" i="9" s="1"/>
  <c r="AS4" i="9" a="1"/>
  <c r="AS4" i="9" s="1"/>
  <c r="U6" i="9" a="1"/>
  <c r="U6" i="9" s="1"/>
  <c r="AE10" i="9" a="1"/>
  <c r="AE10" i="9" s="1"/>
  <c r="AV9" i="9" a="1"/>
  <c r="AV9" i="9" s="1"/>
  <c r="AD10" i="9" a="1"/>
  <c r="AD10" i="9" s="1"/>
  <c r="L7" i="9" a="1"/>
  <c r="L7" i="9" s="1"/>
  <c r="AI8" i="9" a="1"/>
  <c r="AI8" i="9" s="1"/>
  <c r="AO5" i="9" a="1"/>
  <c r="AO5" i="9" s="1"/>
  <c r="T10" i="9" a="1"/>
  <c r="T10" i="9" s="1"/>
  <c r="V8" i="9" a="1"/>
  <c r="V8" i="9" s="1"/>
  <c r="M7" i="9" a="1"/>
  <c r="M7" i="9" s="1"/>
  <c r="S8" i="9" a="1"/>
  <c r="S8" i="9" s="1"/>
  <c r="AG5" i="9" a="1"/>
  <c r="AG5" i="9" s="1"/>
  <c r="U8" i="9" a="1"/>
  <c r="U8" i="9" s="1"/>
  <c r="N5" i="9" a="1"/>
  <c r="N5" i="9" s="1"/>
  <c r="AV6" i="9" a="1"/>
  <c r="AV6" i="9" s="1"/>
  <c r="AQ6" i="9" a="1"/>
  <c r="AQ6" i="9" s="1"/>
  <c r="AW6" i="9" a="1"/>
  <c r="AW6" i="9" s="1"/>
  <c r="AE5" i="9" a="1"/>
  <c r="AE5" i="9" s="1"/>
  <c r="P9" i="9" a="1"/>
  <c r="P9" i="9" s="1"/>
  <c r="Y4" i="9" a="1"/>
  <c r="Y4" i="9" s="1"/>
  <c r="Y9" i="9" a="1"/>
  <c r="Y9" i="9" s="1"/>
  <c r="AK10" i="9" a="1"/>
  <c r="AK10" i="9" s="1"/>
  <c r="AS6" i="9" a="1"/>
  <c r="AS6" i="9" s="1"/>
  <c r="AG6" i="9" a="1"/>
  <c r="AG6" i="9" s="1"/>
  <c r="R9" i="9" a="1"/>
  <c r="R9" i="9" s="1"/>
  <c r="AR6" i="9" a="1"/>
  <c r="AR6" i="9" s="1"/>
  <c r="AK7" i="9" a="1"/>
  <c r="AK7" i="9" s="1"/>
  <c r="Q7" i="9" a="1"/>
  <c r="Q7" i="9" s="1"/>
  <c r="M10" i="9" a="1"/>
  <c r="M10" i="9" s="1"/>
  <c r="L9" i="9" a="1"/>
  <c r="L9" i="9" s="1"/>
  <c r="X10" i="9" a="1"/>
  <c r="X10" i="9" s="1"/>
  <c r="G6" i="9" a="1"/>
  <c r="G6" i="9" s="1"/>
  <c r="V9" i="9" a="1"/>
  <c r="V9" i="9" s="1"/>
  <c r="AO9" i="9" a="1"/>
  <c r="AO9" i="9" s="1"/>
  <c r="AO7" i="9" a="1"/>
  <c r="AO7" i="9" s="1"/>
  <c r="AG8" i="9" a="1"/>
  <c r="AG8" i="9" s="1"/>
  <c r="Z5" i="9" a="1"/>
  <c r="Z5" i="9" s="1"/>
  <c r="Z6" i="9" a="1"/>
  <c r="Z6" i="9" s="1"/>
  <c r="X5" i="9" a="1"/>
  <c r="X5" i="9" s="1"/>
  <c r="AP7" i="9" a="1"/>
  <c r="AP7" i="9" s="1"/>
  <c r="AM8" i="9" a="1"/>
  <c r="AM8" i="9" s="1"/>
  <c r="P10" i="9" a="1"/>
  <c r="P10" i="9" s="1"/>
  <c r="N6" i="9" a="1"/>
  <c r="N6" i="9" s="1"/>
  <c r="U9" i="9" a="1"/>
  <c r="U9" i="9" s="1"/>
  <c r="AA8" i="9" a="1"/>
  <c r="AA8" i="9" s="1"/>
  <c r="AP10" i="9" a="1"/>
  <c r="AP10" i="9" s="1"/>
  <c r="X8" i="9" a="1"/>
  <c r="X8" i="9" s="1"/>
  <c r="W5" i="9" a="1"/>
  <c r="W5" i="9" s="1"/>
  <c r="AJ5" i="9" a="1"/>
  <c r="AJ5" i="9" s="1"/>
  <c r="L8" i="9" a="1"/>
  <c r="L8" i="9" s="1"/>
  <c r="AC4" i="9" a="1"/>
  <c r="AC4" i="9" s="1"/>
  <c r="AO8" i="9" a="1"/>
  <c r="AO8" i="9" s="1"/>
  <c r="AH7" i="9" a="1"/>
  <c r="AH7" i="9" s="1"/>
  <c r="AJ4" i="9" a="1"/>
  <c r="AJ4" i="9" s="1"/>
  <c r="AD9" i="9" a="1"/>
  <c r="AD9" i="9" s="1"/>
  <c r="G8" i="9" a="1"/>
  <c r="G8" i="9" s="1"/>
  <c r="AQ4" i="9" a="1"/>
  <c r="AQ4" i="9" s="1"/>
  <c r="S10" i="9" a="1"/>
  <c r="S10" i="9" s="1"/>
  <c r="W9" i="9" a="1"/>
  <c r="W9" i="9" s="1"/>
  <c r="M6" i="9" a="1"/>
  <c r="M6" i="9" s="1"/>
  <c r="S9" i="9" a="1"/>
  <c r="S9" i="9" s="1"/>
  <c r="K8" i="9" a="1"/>
  <c r="K8" i="9" s="1"/>
  <c r="N10" i="9" a="1"/>
  <c r="N10" i="9" s="1"/>
  <c r="AD7" i="9" a="1"/>
  <c r="AD7" i="9" s="1"/>
  <c r="AL5" i="9" a="1"/>
  <c r="AL5" i="9" s="1"/>
  <c r="AL7" i="9" a="1"/>
  <c r="AL7" i="9" s="1"/>
  <c r="AF9" i="9" a="1"/>
  <c r="AF9" i="9" s="1"/>
  <c r="X6" i="9" a="1"/>
  <c r="X6" i="9" s="1"/>
  <c r="U4" i="9" a="1"/>
  <c r="U4" i="9" s="1"/>
  <c r="AQ5" i="9" a="1"/>
  <c r="AQ5" i="9" s="1"/>
  <c r="V7" i="9" a="1"/>
  <c r="V7" i="9" s="1"/>
  <c r="AV5" i="9" a="1"/>
  <c r="AV5" i="9" s="1"/>
  <c r="S4" i="9" a="1"/>
  <c r="S4" i="9" s="1"/>
  <c r="X7" i="9" a="1"/>
  <c r="X7" i="9" s="1"/>
  <c r="AL8" i="9" a="1"/>
  <c r="AL8" i="9" s="1"/>
  <c r="V4" i="9" a="1"/>
  <c r="V4" i="9" s="1"/>
  <c r="H6" i="9" a="1"/>
  <c r="H6" i="9" s="1"/>
  <c r="F8" i="9" a="1"/>
  <c r="F8" i="9" s="1"/>
  <c r="O8" i="9" a="1"/>
  <c r="O8" i="9" s="1"/>
  <c r="K10" i="9" a="1"/>
  <c r="K10" i="9" s="1"/>
  <c r="AB7" i="9" a="1"/>
  <c r="AB7" i="9" s="1"/>
  <c r="AF5" i="9" a="1"/>
  <c r="AF5" i="9" s="1"/>
  <c r="AL4" i="9" a="1"/>
  <c r="AL4" i="9" s="1"/>
  <c r="AO10" i="9" a="1"/>
  <c r="AO10" i="9" s="1"/>
  <c r="Z8" i="9" a="1"/>
  <c r="Z8" i="9" s="1"/>
  <c r="W8" i="9" a="1"/>
  <c r="W8" i="9" s="1"/>
  <c r="AP9" i="9" a="1"/>
  <c r="AP9" i="9" s="1"/>
  <c r="AU6" i="9" a="1"/>
  <c r="AU6" i="9" s="1"/>
  <c r="AI4" i="9" a="1"/>
  <c r="AI4" i="9" s="1"/>
  <c r="R4" i="9" a="1"/>
  <c r="R4" i="9" s="1"/>
  <c r="Y10" i="9" a="1"/>
  <c r="Y10" i="9" s="1"/>
  <c r="AI6" i="9" a="1"/>
  <c r="AI6" i="9" s="1"/>
  <c r="G4" i="9" a="1"/>
  <c r="G4" i="9" s="1"/>
  <c r="M5" i="9" a="1"/>
  <c r="M5" i="9" s="1"/>
  <c r="AH6" i="9" a="1"/>
  <c r="AH6" i="9" s="1"/>
  <c r="AF7" i="9" a="1"/>
  <c r="AF7" i="9" s="1"/>
  <c r="AR8" i="9" a="1"/>
  <c r="AR8" i="9" s="1"/>
  <c r="J8" i="9" a="1"/>
  <c r="J8" i="9" s="1"/>
  <c r="AK8" i="9" a="1"/>
  <c r="AK8" i="9" s="1"/>
  <c r="AF6" i="9" a="1"/>
  <c r="AF6" i="9" s="1"/>
  <c r="AJ7" i="9" a="1"/>
  <c r="AJ7" i="9" s="1"/>
  <c r="AF4" i="9" a="1"/>
  <c r="AF4" i="9" s="1"/>
  <c r="AM7" i="9" a="1"/>
  <c r="AM7" i="9" s="1"/>
  <c r="P7" i="9" a="1"/>
  <c r="P7" i="9" s="1"/>
  <c r="AP5" i="9" a="1"/>
  <c r="AP5" i="9" s="1"/>
  <c r="AG9" i="9" a="1"/>
  <c r="AG9" i="9" s="1"/>
  <c r="AR7" i="9" a="1"/>
  <c r="AR7" i="9" s="1"/>
  <c r="AV8" i="9" a="1"/>
  <c r="AV8" i="9" s="1"/>
  <c r="AD4" i="9" a="1"/>
  <c r="AD4" i="9" s="1"/>
  <c r="AT9" i="9" a="1"/>
  <c r="AT9" i="9" s="1"/>
  <c r="L6" i="9" a="1"/>
  <c r="L6" i="9" s="1"/>
  <c r="AI5" i="9" a="1"/>
  <c r="AI5" i="9" s="1"/>
  <c r="J5" i="9" a="1"/>
  <c r="J5" i="9" s="1"/>
  <c r="AJ8" i="9" a="1"/>
  <c r="AJ8" i="9" s="1"/>
  <c r="AG7" i="9" a="1"/>
  <c r="AG7" i="9" s="1"/>
  <c r="AU4" i="9" a="1"/>
  <c r="AU4" i="9" s="1"/>
  <c r="Z10" i="9" a="1"/>
  <c r="Z10" i="9" s="1"/>
  <c r="AJ6" i="9" a="1"/>
  <c r="AJ6" i="9" s="1"/>
  <c r="AE7" i="9" a="1"/>
  <c r="AE7" i="9" s="1"/>
  <c r="J4" i="9" a="1"/>
  <c r="J4" i="9" s="1"/>
  <c r="AA4" i="9" a="1"/>
  <c r="AA4" i="9" s="1"/>
  <c r="Q4" i="9" a="1"/>
  <c r="Q4" i="9" s="1"/>
  <c r="U5" i="9" a="1"/>
  <c r="U5" i="9" s="1"/>
  <c r="AK6" i="9" a="1"/>
  <c r="AK6" i="9" s="1"/>
  <c r="N7" i="9" a="1"/>
  <c r="N7" i="9" s="1"/>
  <c r="Z9" i="9" a="1"/>
  <c r="Z9" i="9" s="1"/>
  <c r="R7" i="9" a="1"/>
  <c r="R7" i="9" s="1"/>
  <c r="AL6" i="9" a="1"/>
  <c r="AL6" i="9" s="1"/>
  <c r="AU10" i="9" a="1"/>
  <c r="AU10" i="9" s="1"/>
  <c r="S7" i="9" a="1"/>
  <c r="S7" i="9" s="1"/>
  <c r="AH4" i="9" a="1"/>
  <c r="AH4" i="9" s="1"/>
  <c r="Q6" i="9" a="1"/>
  <c r="Q6" i="9" s="1"/>
  <c r="R5" i="9" a="1"/>
  <c r="R5" i="9" s="1"/>
  <c r="M4" i="9" a="1"/>
  <c r="M4" i="9" s="1"/>
  <c r="AG4" i="9" a="1"/>
  <c r="AG4" i="9" s="1"/>
  <c r="AO4" i="9" a="1"/>
  <c r="AO4" i="9" s="1"/>
  <c r="G10" i="9" a="1"/>
  <c r="G10" i="9" s="1"/>
  <c r="M9" i="9" a="1"/>
  <c r="M9" i="9" s="1"/>
  <c r="K9" i="9" a="1"/>
  <c r="K9" i="9" s="1"/>
  <c r="AV7" i="9" a="1"/>
  <c r="AV7" i="9" s="1"/>
  <c r="AC10" i="9" a="1"/>
  <c r="AC10" i="9" s="1"/>
  <c r="AS7" i="9" a="1"/>
  <c r="AS7" i="9" s="1"/>
  <c r="R6" i="9" a="1"/>
  <c r="R6" i="9" s="1"/>
  <c r="P5" i="9" a="1"/>
  <c r="P5" i="9" s="1"/>
  <c r="AS10" i="9" a="1"/>
  <c r="AS10" i="9" s="1"/>
  <c r="AM6" i="9" a="1"/>
  <c r="AM6" i="9" s="1"/>
  <c r="AE9" i="9" a="1"/>
  <c r="AE9" i="9" s="1"/>
  <c r="AS9" i="9" a="1"/>
  <c r="AS9" i="9" s="1"/>
  <c r="O4" i="9" a="1"/>
  <c r="O4" i="9" s="1"/>
  <c r="AC8" i="9" a="1"/>
  <c r="AC8" i="9" s="1"/>
  <c r="P6" i="9" a="1"/>
  <c r="P6" i="9" s="1"/>
  <c r="AU9" i="9" a="1"/>
  <c r="AU9" i="9" s="1"/>
  <c r="AD6" i="9" a="1"/>
  <c r="AD6" i="9" s="1"/>
  <c r="K6" i="9" a="1"/>
  <c r="K6" i="9" s="1"/>
  <c r="AA9" i="9" a="1"/>
  <c r="AA9" i="9" s="1"/>
  <c r="AS5" i="9" a="1"/>
  <c r="AS5" i="9" s="1"/>
  <c r="O5" i="9" a="1"/>
  <c r="O5" i="9" s="1"/>
  <c r="AT10" i="9" a="1"/>
  <c r="AT10" i="9" s="1"/>
  <c r="AN8" i="9" a="1"/>
  <c r="AN8" i="9" s="1"/>
  <c r="Q8" i="9" a="1"/>
  <c r="Q8" i="9" s="1"/>
  <c r="AK4" i="9" a="1"/>
  <c r="AK4" i="9" s="1"/>
  <c r="L10" i="9" a="1"/>
  <c r="L10" i="9" s="1"/>
  <c r="AR10" i="9" a="1"/>
  <c r="AR10" i="9" s="1"/>
  <c r="X9" i="9" a="1"/>
  <c r="X9" i="9" s="1"/>
  <c r="I8" i="9" a="1"/>
  <c r="I8" i="9" s="1"/>
  <c r="M8" i="9" a="1"/>
  <c r="M8" i="9" s="1"/>
  <c r="K4" i="9" a="1"/>
  <c r="K4" i="9" s="1"/>
  <c r="AW8" i="9" a="1"/>
  <c r="AW8" i="9" s="1"/>
  <c r="Q9" i="9" a="1"/>
  <c r="Q9" i="9" s="1"/>
  <c r="F7" i="9" a="1"/>
  <c r="F7" i="9" s="1"/>
  <c r="AN7" i="9" a="1"/>
  <c r="AN7" i="9" s="1"/>
  <c r="I4" i="9" a="1"/>
  <c r="I4" i="9" s="1"/>
  <c r="L5" i="9" a="1"/>
  <c r="L5" i="9" s="1"/>
  <c r="AW9" i="9" a="1"/>
  <c r="AW9" i="9" s="1"/>
  <c r="F5" i="9" a="1"/>
  <c r="F5" i="9" s="1"/>
  <c r="AH5" i="9" a="1"/>
  <c r="AH5" i="9" s="1"/>
  <c r="R8" i="9" a="1"/>
  <c r="R8" i="9" s="1"/>
  <c r="AU13" i="9"/>
  <c r="BA40" i="10"/>
  <c r="BD40" i="10"/>
  <c r="BB40" i="10"/>
  <c r="BE40" i="10"/>
  <c r="BD40" i="7"/>
  <c r="BB40" i="7"/>
  <c r="BA40" i="7"/>
  <c r="BE40" i="7"/>
  <c r="AT13" i="9"/>
  <c r="AW13" i="9"/>
  <c r="AO13" i="9"/>
  <c r="AN13" i="9"/>
  <c r="AM13" i="9"/>
  <c r="AP13" i="9"/>
  <c r="AQ13" i="9"/>
  <c r="AR13" i="9"/>
  <c r="AL13" i="9"/>
  <c r="AV13" i="9"/>
  <c r="AS13" i="9"/>
  <c r="AI13" i="9"/>
  <c r="D13" i="9"/>
  <c r="AE13" i="9"/>
  <c r="AD13" i="9"/>
  <c r="V13" i="9"/>
  <c r="AA13" i="9"/>
  <c r="AF13" i="9"/>
  <c r="X13" i="9"/>
  <c r="AC13" i="9"/>
  <c r="AJ13" i="9"/>
  <c r="W13" i="9"/>
  <c r="Z13" i="9"/>
  <c r="AB13" i="9"/>
  <c r="AH13" i="9"/>
  <c r="Y13" i="9"/>
  <c r="C31" i="11"/>
  <c r="C30" i="12"/>
  <c r="C34" i="12"/>
  <c r="C33" i="12"/>
  <c r="C32" i="11"/>
  <c r="C32" i="12"/>
  <c r="C30" i="11"/>
  <c r="C29" i="11"/>
  <c r="C28" i="13"/>
  <c r="C31" i="10"/>
  <c r="BB22" i="10"/>
  <c r="C30" i="10"/>
  <c r="BB21" i="10"/>
  <c r="C32" i="10"/>
  <c r="BB23" i="10"/>
  <c r="C29" i="13"/>
  <c r="C33" i="10"/>
  <c r="BB24" i="10"/>
  <c r="C34" i="10"/>
  <c r="BB25" i="10"/>
  <c r="C28" i="10"/>
  <c r="BB19" i="10"/>
  <c r="C32" i="13"/>
  <c r="C31" i="13"/>
  <c r="C29" i="10"/>
  <c r="BB20" i="10"/>
  <c r="C30" i="13"/>
  <c r="C30" i="7"/>
  <c r="BB21" i="7"/>
  <c r="C32" i="7"/>
  <c r="BB23" i="7"/>
  <c r="C31" i="7"/>
  <c r="BB22" i="7"/>
  <c r="C33" i="7"/>
  <c r="BB24" i="7"/>
  <c r="C34" i="7"/>
  <c r="BB25" i="7"/>
  <c r="C28" i="7"/>
  <c r="BB19" i="7"/>
  <c r="C29" i="7"/>
  <c r="BB20" i="7"/>
  <c r="C24" i="11"/>
  <c r="C25" i="11"/>
  <c r="C19" i="11"/>
  <c r="AY43" i="1"/>
  <c r="H2" i="3"/>
  <c r="V103" i="6"/>
  <c r="U103" i="6"/>
  <c r="T103" i="6"/>
  <c r="S103" i="6"/>
  <c r="R103" i="6"/>
  <c r="Q103" i="6"/>
  <c r="P103" i="6"/>
  <c r="O103" i="6"/>
  <c r="N103" i="6"/>
  <c r="M103" i="6"/>
  <c r="L103" i="6"/>
  <c r="K103" i="6"/>
  <c r="J103" i="6"/>
  <c r="I103" i="6"/>
  <c r="H103" i="6"/>
  <c r="C102" i="6"/>
  <c r="C101" i="6"/>
  <c r="V100" i="6"/>
  <c r="U100" i="6"/>
  <c r="T100" i="6"/>
  <c r="S100" i="6"/>
  <c r="R100" i="6"/>
  <c r="Q100" i="6"/>
  <c r="P100" i="6"/>
  <c r="O100" i="6"/>
  <c r="N100" i="6"/>
  <c r="M100" i="6"/>
  <c r="L100" i="6"/>
  <c r="K100" i="6"/>
  <c r="J100" i="6"/>
  <c r="I100" i="6"/>
  <c r="H100" i="6"/>
  <c r="C100" i="6"/>
  <c r="C99" i="6"/>
  <c r="C98" i="6"/>
  <c r="C97" i="6"/>
  <c r="C96" i="6"/>
  <c r="V95" i="6"/>
  <c r="U95" i="6"/>
  <c r="T95" i="6"/>
  <c r="S95" i="6"/>
  <c r="R95" i="6"/>
  <c r="Q95" i="6"/>
  <c r="P95" i="6"/>
  <c r="O95" i="6"/>
  <c r="N95" i="6"/>
  <c r="M95" i="6"/>
  <c r="L95" i="6"/>
  <c r="K95" i="6"/>
  <c r="J95" i="6"/>
  <c r="I95" i="6"/>
  <c r="H95" i="6"/>
  <c r="V94" i="6"/>
  <c r="U94" i="6"/>
  <c r="T94" i="6"/>
  <c r="S94" i="6"/>
  <c r="R94" i="6"/>
  <c r="Q94" i="6"/>
  <c r="P94" i="6"/>
  <c r="O94" i="6"/>
  <c r="L94" i="6"/>
  <c r="K94" i="6"/>
  <c r="J94" i="6"/>
  <c r="I94" i="6"/>
  <c r="C94" i="6"/>
  <c r="N93" i="6"/>
  <c r="M93" i="6"/>
  <c r="AE93" i="3" s="1"/>
  <c r="CA93" i="3" s="1"/>
  <c r="AA7" i="11" s="1" a="1"/>
  <c r="AA7" i="11" s="1"/>
  <c r="H93" i="6"/>
  <c r="C93" i="6"/>
  <c r="N92" i="6"/>
  <c r="M92" i="6"/>
  <c r="AE92" i="3" s="1"/>
  <c r="CA92" i="3" s="1"/>
  <c r="AA7" i="12" s="1" a="1"/>
  <c r="AA7" i="12" s="1"/>
  <c r="H92" i="6"/>
  <c r="C92" i="6"/>
  <c r="N91" i="6"/>
  <c r="M91" i="6"/>
  <c r="AE91" i="3" s="1"/>
  <c r="CA91" i="3" s="1"/>
  <c r="H91" i="6"/>
  <c r="C91" i="6"/>
  <c r="N90" i="6"/>
  <c r="M90" i="6"/>
  <c r="AE90" i="3" s="1"/>
  <c r="H90" i="6"/>
  <c r="F90" i="6"/>
  <c r="B90" i="6" s="1"/>
  <c r="C90" i="6"/>
  <c r="B89" i="6"/>
  <c r="V88" i="6"/>
  <c r="U88" i="6"/>
  <c r="T88" i="6"/>
  <c r="S88" i="6"/>
  <c r="R88" i="6"/>
  <c r="Q88" i="6"/>
  <c r="P88" i="6"/>
  <c r="O88" i="6"/>
  <c r="N88" i="6"/>
  <c r="M88" i="6"/>
  <c r="L88" i="6"/>
  <c r="K88" i="6"/>
  <c r="J88" i="6"/>
  <c r="I88" i="6"/>
  <c r="H88" i="6"/>
  <c r="C88" i="6"/>
  <c r="C87" i="6"/>
  <c r="C86" i="6"/>
  <c r="C85" i="6"/>
  <c r="C84" i="6"/>
  <c r="V83" i="6"/>
  <c r="U83" i="6"/>
  <c r="T83" i="6"/>
  <c r="S83" i="6"/>
  <c r="R83" i="6"/>
  <c r="Q83" i="6"/>
  <c r="P83" i="6"/>
  <c r="O83" i="6"/>
  <c r="N83" i="6"/>
  <c r="L83" i="6"/>
  <c r="K83" i="6"/>
  <c r="J83" i="6"/>
  <c r="I83" i="6"/>
  <c r="H83" i="6"/>
  <c r="V82" i="6"/>
  <c r="U82" i="6"/>
  <c r="T82" i="6"/>
  <c r="S82" i="6"/>
  <c r="R82" i="6"/>
  <c r="Q82" i="6"/>
  <c r="P82" i="6"/>
  <c r="O82" i="6"/>
  <c r="N82" i="6"/>
  <c r="L82" i="6"/>
  <c r="K82" i="6"/>
  <c r="J82" i="6"/>
  <c r="I82" i="6"/>
  <c r="H82" i="6"/>
  <c r="C82" i="6"/>
  <c r="C81" i="6"/>
  <c r="C80" i="6"/>
  <c r="C79" i="6"/>
  <c r="F78" i="6"/>
  <c r="F79" i="6" s="1"/>
  <c r="F80" i="6" s="1"/>
  <c r="C78" i="6"/>
  <c r="M83" i="6"/>
  <c r="B77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C75" i="6"/>
  <c r="C74" i="6"/>
  <c r="V73" i="6"/>
  <c r="U73" i="6"/>
  <c r="T73" i="6"/>
  <c r="S73" i="6"/>
  <c r="R73" i="6"/>
  <c r="Q73" i="6"/>
  <c r="P73" i="6"/>
  <c r="O73" i="6"/>
  <c r="N73" i="6"/>
  <c r="L73" i="6"/>
  <c r="K73" i="6"/>
  <c r="J73" i="6"/>
  <c r="I73" i="6"/>
  <c r="H73" i="6"/>
  <c r="C73" i="6"/>
  <c r="C72" i="6"/>
  <c r="C71" i="6"/>
  <c r="C70" i="6"/>
  <c r="C69" i="6"/>
  <c r="V68" i="6"/>
  <c r="U68" i="6"/>
  <c r="T68" i="6"/>
  <c r="S68" i="6"/>
  <c r="R68" i="6"/>
  <c r="Q68" i="6"/>
  <c r="P68" i="6"/>
  <c r="O68" i="6"/>
  <c r="N68" i="6"/>
  <c r="L68" i="6"/>
  <c r="K68" i="6"/>
  <c r="J68" i="6"/>
  <c r="I68" i="6"/>
  <c r="H68" i="6"/>
  <c r="V67" i="6"/>
  <c r="U67" i="6"/>
  <c r="T67" i="6"/>
  <c r="S67" i="6"/>
  <c r="R67" i="6"/>
  <c r="Q67" i="6"/>
  <c r="P67" i="6"/>
  <c r="O67" i="6"/>
  <c r="N67" i="6"/>
  <c r="L67" i="6"/>
  <c r="K67" i="6"/>
  <c r="J67" i="6"/>
  <c r="I67" i="6"/>
  <c r="H67" i="6"/>
  <c r="C67" i="6"/>
  <c r="C66" i="6"/>
  <c r="C65" i="6"/>
  <c r="C64" i="6"/>
  <c r="F63" i="6"/>
  <c r="F64" i="6" s="1"/>
  <c r="C63" i="6"/>
  <c r="M68" i="6"/>
  <c r="B62" i="6"/>
  <c r="C61" i="6"/>
  <c r="C60" i="6"/>
  <c r="C59" i="6"/>
  <c r="C58" i="6"/>
  <c r="Q57" i="6"/>
  <c r="AM57" i="3" s="1"/>
  <c r="M57" i="6"/>
  <c r="C57" i="6"/>
  <c r="V56" i="6"/>
  <c r="U56" i="6"/>
  <c r="T56" i="6"/>
  <c r="S56" i="6"/>
  <c r="R56" i="6"/>
  <c r="P56" i="6"/>
  <c r="O56" i="6"/>
  <c r="N56" i="6"/>
  <c r="M56" i="6"/>
  <c r="L56" i="6"/>
  <c r="K56" i="6"/>
  <c r="J56" i="6"/>
  <c r="I56" i="6"/>
  <c r="H56" i="6"/>
  <c r="V55" i="6"/>
  <c r="U55" i="6"/>
  <c r="T55" i="6"/>
  <c r="S55" i="6"/>
  <c r="R55" i="6"/>
  <c r="P55" i="6"/>
  <c r="O55" i="6"/>
  <c r="N55" i="6"/>
  <c r="L55" i="6"/>
  <c r="K55" i="6"/>
  <c r="J55" i="6"/>
  <c r="I55" i="6"/>
  <c r="H55" i="6"/>
  <c r="C55" i="6"/>
  <c r="Q54" i="6"/>
  <c r="AM54" i="3" s="1"/>
  <c r="M54" i="6"/>
  <c r="AE54" i="3" s="1"/>
  <c r="CA54" i="3" s="1"/>
  <c r="C54" i="6"/>
  <c r="Q53" i="6"/>
  <c r="AM53" i="3" s="1"/>
  <c r="M53" i="6"/>
  <c r="AE53" i="3" s="1"/>
  <c r="F53" i="6"/>
  <c r="F54" i="6" s="1"/>
  <c r="C53" i="6"/>
  <c r="Q52" i="6"/>
  <c r="AM52" i="3" s="1"/>
  <c r="B52" i="6"/>
  <c r="V51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C50" i="6"/>
  <c r="C49" i="6"/>
  <c r="C48" i="6"/>
  <c r="C47" i="6"/>
  <c r="C46" i="6"/>
  <c r="C45" i="6"/>
  <c r="C44" i="6"/>
  <c r="V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C42" i="6"/>
  <c r="C41" i="6"/>
  <c r="F40" i="6"/>
  <c r="B39" i="6"/>
  <c r="U38" i="6"/>
  <c r="T38" i="6"/>
  <c r="S38" i="6"/>
  <c r="R38" i="6"/>
  <c r="P38" i="6"/>
  <c r="O38" i="6"/>
  <c r="N38" i="6"/>
  <c r="L38" i="6"/>
  <c r="K38" i="6"/>
  <c r="I38" i="6"/>
  <c r="V37" i="6"/>
  <c r="AL37" i="3" s="1"/>
  <c r="CH37" i="3" s="1"/>
  <c r="Q37" i="6"/>
  <c r="AM37" i="3" s="1"/>
  <c r="CI37" i="3" s="1"/>
  <c r="M37" i="6"/>
  <c r="AE37" i="3" s="1"/>
  <c r="CA37" i="3" s="1"/>
  <c r="J37" i="6"/>
  <c r="H37" i="6"/>
  <c r="F37" i="6"/>
  <c r="F38" i="6" s="1"/>
  <c r="B38" i="6" s="1"/>
  <c r="C37" i="6"/>
  <c r="V36" i="6"/>
  <c r="AL36" i="3" s="1"/>
  <c r="Q36" i="6"/>
  <c r="AM36" i="3" s="1"/>
  <c r="M36" i="6"/>
  <c r="AE36" i="3" s="1"/>
  <c r="J36" i="6"/>
  <c r="H36" i="6"/>
  <c r="C36" i="6"/>
  <c r="B36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C34" i="6"/>
  <c r="C33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C32" i="6"/>
  <c r="C31" i="6"/>
  <c r="C30" i="6"/>
  <c r="C29" i="6"/>
  <c r="C28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C26" i="6"/>
  <c r="C25" i="6"/>
  <c r="C24" i="6"/>
  <c r="C23" i="6"/>
  <c r="F22" i="6"/>
  <c r="B22" i="6" s="1"/>
  <c r="C22" i="6"/>
  <c r="B21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C19" i="6"/>
  <c r="C18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C17" i="6"/>
  <c r="C16" i="6"/>
  <c r="C15" i="6"/>
  <c r="C14" i="6"/>
  <c r="C13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C11" i="6"/>
  <c r="C10" i="6"/>
  <c r="C9" i="6"/>
  <c r="C8" i="6"/>
  <c r="F7" i="6"/>
  <c r="B7" i="6" s="1"/>
  <c r="C7" i="6"/>
  <c r="B6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F4" i="6"/>
  <c r="B4" i="6" s="1"/>
  <c r="C4" i="6"/>
  <c r="C3" i="6"/>
  <c r="B3" i="6"/>
  <c r="AM4" i="9" l="1" a="1"/>
  <c r="AM4" i="9" s="1"/>
  <c r="AM4" i="14" a="1"/>
  <c r="AM4" i="14" s="1"/>
  <c r="AT4" i="14" a="1"/>
  <c r="AT4" i="14" s="1"/>
  <c r="AR4" i="14" a="1"/>
  <c r="AR4" i="14" s="1"/>
  <c r="AW4" i="14" a="1"/>
  <c r="AW4" i="14" s="1"/>
  <c r="AM55" i="3"/>
  <c r="CI55" i="3" s="1"/>
  <c r="AW4" i="9" a="1"/>
  <c r="AW4" i="9" s="1"/>
  <c r="AN4" i="14" a="1"/>
  <c r="AN4" i="14" s="1"/>
  <c r="AR4" i="9" a="1"/>
  <c r="AR4" i="9" s="1"/>
  <c r="AT4" i="9" a="1"/>
  <c r="AT4" i="9" s="1"/>
  <c r="AN4" i="9" a="1"/>
  <c r="AN4" i="9" s="1"/>
  <c r="AD13" i="5"/>
  <c r="AD12" i="5"/>
  <c r="AD15" i="5"/>
  <c r="AD17" i="5"/>
  <c r="AD16" i="5"/>
  <c r="AD14" i="5"/>
  <c r="AD11" i="5"/>
  <c r="DY4" i="5"/>
  <c r="DY13" i="5" s="1"/>
  <c r="AL16" i="5"/>
  <c r="AL12" i="5"/>
  <c r="AL17" i="5"/>
  <c r="AL14" i="5"/>
  <c r="AL13" i="5"/>
  <c r="AL11" i="5"/>
  <c r="AL15" i="5"/>
  <c r="EG4" i="5"/>
  <c r="EG13" i="5" s="1"/>
  <c r="EF4" i="5"/>
  <c r="EF13" i="5" s="1"/>
  <c r="AK12" i="5"/>
  <c r="AK13" i="5"/>
  <c r="AK17" i="5"/>
  <c r="AK16" i="5"/>
  <c r="AK15" i="5"/>
  <c r="AK14" i="5"/>
  <c r="AK11" i="5"/>
  <c r="AE94" i="3"/>
  <c r="CA94" i="3" s="1"/>
  <c r="CA90" i="3"/>
  <c r="AA7" i="7" s="1" a="1"/>
  <c r="AA7" i="7" s="1"/>
  <c r="AO90" i="3"/>
  <c r="L90" i="3"/>
  <c r="M60" i="6"/>
  <c r="AE57" i="3"/>
  <c r="AO92" i="3"/>
  <c r="CK92" i="3" s="1"/>
  <c r="AK7" i="12" s="1" a="1"/>
  <c r="AK7" i="12" s="1"/>
  <c r="L92" i="3"/>
  <c r="BH92" i="3" s="1"/>
  <c r="H7" i="12" s="1" a="1"/>
  <c r="H7" i="12" s="1"/>
  <c r="L93" i="3"/>
  <c r="BH93" i="3" s="1"/>
  <c r="H7" i="11" s="1" a="1"/>
  <c r="H7" i="11" s="1"/>
  <c r="AO93" i="3"/>
  <c r="CK93" i="3" s="1"/>
  <c r="AK7" i="11" s="1" a="1"/>
  <c r="AK7" i="11" s="1"/>
  <c r="L91" i="3"/>
  <c r="BH91" i="3" s="1"/>
  <c r="AO91" i="3"/>
  <c r="CK91" i="3" s="1"/>
  <c r="CH36" i="3"/>
  <c r="AL38" i="3"/>
  <c r="CH38" i="3" s="1"/>
  <c r="AE55" i="3"/>
  <c r="CA55" i="3" s="1"/>
  <c r="CA53" i="3"/>
  <c r="AA10" i="7" s="1" a="1"/>
  <c r="AA10" i="7" s="1"/>
  <c r="CA36" i="3"/>
  <c r="AE38" i="3"/>
  <c r="CA38" i="3" s="1"/>
  <c r="CI36" i="3"/>
  <c r="AM38" i="3"/>
  <c r="CI38" i="3" s="1"/>
  <c r="CI52" i="3"/>
  <c r="ED53" i="3"/>
  <c r="CI53" i="3" s="1"/>
  <c r="ED54" i="3"/>
  <c r="CI54" i="3" s="1"/>
  <c r="AM56" i="3"/>
  <c r="C12" i="7"/>
  <c r="AR14" i="9"/>
  <c r="AB14" i="9"/>
  <c r="AQ14" i="9"/>
  <c r="Y14" i="9"/>
  <c r="W14" i="9"/>
  <c r="X14" i="9"/>
  <c r="AI14" i="9"/>
  <c r="AH14" i="9"/>
  <c r="AO14" i="9"/>
  <c r="AT14" i="9"/>
  <c r="AF14" i="9"/>
  <c r="AE14" i="9"/>
  <c r="AS14" i="9"/>
  <c r="AU14" i="9"/>
  <c r="AP14" i="9"/>
  <c r="AN14" i="9"/>
  <c r="AW14" i="9"/>
  <c r="AJ14" i="9"/>
  <c r="AA14" i="9"/>
  <c r="AD14" i="9"/>
  <c r="T14" i="9"/>
  <c r="P14" i="9"/>
  <c r="M14" i="9"/>
  <c r="K14" i="9"/>
  <c r="O14" i="9"/>
  <c r="L14" i="9"/>
  <c r="N14" i="9"/>
  <c r="J14" i="9"/>
  <c r="I14" i="9"/>
  <c r="E14" i="9"/>
  <c r="Q14" i="9"/>
  <c r="F14" i="9"/>
  <c r="R14" i="9"/>
  <c r="S14" i="9"/>
  <c r="H14" i="9"/>
  <c r="G14" i="9"/>
  <c r="U14" i="9"/>
  <c r="AV14" i="9"/>
  <c r="AG14" i="9"/>
  <c r="AM14" i="9"/>
  <c r="Z14" i="9"/>
  <c r="AC14" i="9"/>
  <c r="V14" i="9"/>
  <c r="AL14" i="9"/>
  <c r="AK14" i="9"/>
  <c r="D14" i="9"/>
  <c r="H29" i="3"/>
  <c r="H40" i="3"/>
  <c r="F41" i="6"/>
  <c r="B41" i="6" s="1"/>
  <c r="B40" i="6"/>
  <c r="C13" i="9"/>
  <c r="Q60" i="6"/>
  <c r="F23" i="6"/>
  <c r="F24" i="6" s="1"/>
  <c r="B24" i="6" s="1"/>
  <c r="H38" i="6"/>
  <c r="B53" i="6"/>
  <c r="B63" i="6"/>
  <c r="F91" i="6"/>
  <c r="F92" i="6" s="1"/>
  <c r="Q56" i="6"/>
  <c r="M67" i="6"/>
  <c r="M38" i="6"/>
  <c r="J38" i="6"/>
  <c r="M94" i="6"/>
  <c r="B78" i="6"/>
  <c r="N94" i="6"/>
  <c r="M55" i="6"/>
  <c r="H3" i="3"/>
  <c r="C40" i="12"/>
  <c r="BD2" i="3"/>
  <c r="CY2" i="3" s="1"/>
  <c r="C38" i="11"/>
  <c r="C40" i="11"/>
  <c r="H65" i="3"/>
  <c r="C41" i="12"/>
  <c r="C42" i="12"/>
  <c r="C28" i="11"/>
  <c r="C34" i="11"/>
  <c r="H4" i="3"/>
  <c r="C33" i="11"/>
  <c r="H41" i="3"/>
  <c r="H23" i="3"/>
  <c r="H44" i="3"/>
  <c r="H24" i="3"/>
  <c r="H90" i="3"/>
  <c r="C37" i="11"/>
  <c r="C38" i="12"/>
  <c r="C39" i="11"/>
  <c r="H22" i="3"/>
  <c r="BE24" i="10"/>
  <c r="BA24" i="10"/>
  <c r="BD24" i="10"/>
  <c r="C39" i="13"/>
  <c r="H86" i="3"/>
  <c r="H64" i="3"/>
  <c r="H19" i="3"/>
  <c r="H85" i="3"/>
  <c r="H63" i="3"/>
  <c r="H39" i="3"/>
  <c r="H18" i="3"/>
  <c r="H84" i="3"/>
  <c r="H60" i="3"/>
  <c r="H21" i="3"/>
  <c r="H16" i="3"/>
  <c r="H62" i="3"/>
  <c r="H81" i="3"/>
  <c r="H59" i="3"/>
  <c r="H6" i="3"/>
  <c r="H15" i="3"/>
  <c r="H102" i="3"/>
  <c r="H80" i="3"/>
  <c r="H58" i="3"/>
  <c r="H37" i="3"/>
  <c r="H14" i="3"/>
  <c r="H101" i="3"/>
  <c r="H79" i="3"/>
  <c r="H57" i="3"/>
  <c r="H36" i="3"/>
  <c r="H13" i="3"/>
  <c r="H99" i="3"/>
  <c r="H78" i="3"/>
  <c r="H54" i="3"/>
  <c r="H34" i="3"/>
  <c r="H10" i="3"/>
  <c r="H98" i="3"/>
  <c r="H77" i="3"/>
  <c r="H53" i="3"/>
  <c r="H33" i="3"/>
  <c r="H9" i="3"/>
  <c r="H97" i="3"/>
  <c r="H75" i="3"/>
  <c r="H52" i="3"/>
  <c r="H31" i="3"/>
  <c r="H8" i="3"/>
  <c r="H96" i="3"/>
  <c r="H74" i="3"/>
  <c r="H50" i="3"/>
  <c r="H30" i="3"/>
  <c r="H7" i="3"/>
  <c r="H89" i="3"/>
  <c r="H72" i="3"/>
  <c r="H49" i="3"/>
  <c r="H93" i="3"/>
  <c r="H71" i="3"/>
  <c r="H47" i="3"/>
  <c r="H92" i="3"/>
  <c r="H70" i="3"/>
  <c r="H46" i="3"/>
  <c r="H91" i="3"/>
  <c r="H69" i="3"/>
  <c r="H45" i="3"/>
  <c r="H25" i="3"/>
  <c r="H87" i="3"/>
  <c r="H28" i="3"/>
  <c r="H66" i="3"/>
  <c r="C41" i="10"/>
  <c r="BB41" i="10" s="1"/>
  <c r="BB33" i="10"/>
  <c r="C40" i="13"/>
  <c r="C37" i="13"/>
  <c r="BE19" i="10"/>
  <c r="BA19" i="10"/>
  <c r="BD19" i="10"/>
  <c r="C36" i="10"/>
  <c r="BB36" i="10" s="1"/>
  <c r="BB28" i="10"/>
  <c r="BD23" i="10"/>
  <c r="BA23" i="10"/>
  <c r="BE23" i="10"/>
  <c r="C40" i="10"/>
  <c r="BB32" i="10"/>
  <c r="BE21" i="10"/>
  <c r="BA21" i="10"/>
  <c r="BD21" i="10"/>
  <c r="C38" i="13"/>
  <c r="C38" i="10"/>
  <c r="BB38" i="10" s="1"/>
  <c r="BB30" i="10"/>
  <c r="BE20" i="10"/>
  <c r="BD20" i="10"/>
  <c r="BA20" i="10"/>
  <c r="BA25" i="10"/>
  <c r="BE25" i="10"/>
  <c r="BD25" i="10"/>
  <c r="BE22" i="10"/>
  <c r="BA22" i="10"/>
  <c r="BD22" i="10"/>
  <c r="C37" i="10"/>
  <c r="BB37" i="10" s="1"/>
  <c r="BB29" i="10"/>
  <c r="C42" i="10"/>
  <c r="BB42" i="10" s="1"/>
  <c r="BB34" i="10"/>
  <c r="C39" i="10"/>
  <c r="BB39" i="10" s="1"/>
  <c r="BB31" i="10"/>
  <c r="C36" i="13"/>
  <c r="BA20" i="7"/>
  <c r="BA19" i="7"/>
  <c r="BA25" i="7"/>
  <c r="BA24" i="7"/>
  <c r="BA22" i="7"/>
  <c r="BA23" i="7"/>
  <c r="BA21" i="7"/>
  <c r="BD20" i="7"/>
  <c r="BE20" i="7"/>
  <c r="BE19" i="7"/>
  <c r="BD19" i="7"/>
  <c r="BE25" i="7"/>
  <c r="BD25" i="7"/>
  <c r="BE24" i="7"/>
  <c r="BD24" i="7"/>
  <c r="BE22" i="7"/>
  <c r="BD22" i="7"/>
  <c r="BE23" i="7"/>
  <c r="BD23" i="7"/>
  <c r="BE21" i="7"/>
  <c r="BD21" i="7"/>
  <c r="C37" i="7"/>
  <c r="BB37" i="7" s="1"/>
  <c r="BB29" i="7"/>
  <c r="C36" i="7"/>
  <c r="BB36" i="7" s="1"/>
  <c r="BB28" i="7"/>
  <c r="C42" i="7"/>
  <c r="BB42" i="7" s="1"/>
  <c r="BB34" i="7"/>
  <c r="C41" i="7"/>
  <c r="BB41" i="7" s="1"/>
  <c r="BB33" i="7"/>
  <c r="C39" i="7"/>
  <c r="BB39" i="7" s="1"/>
  <c r="BB31" i="7"/>
  <c r="C40" i="7"/>
  <c r="BB32" i="7"/>
  <c r="C38" i="7"/>
  <c r="BB38" i="7" s="1"/>
  <c r="BB30" i="7"/>
  <c r="B91" i="6"/>
  <c r="F42" i="6"/>
  <c r="Q38" i="6"/>
  <c r="V38" i="6"/>
  <c r="B37" i="6"/>
  <c r="M82" i="6"/>
  <c r="M73" i="6"/>
  <c r="Q55" i="6"/>
  <c r="F8" i="6"/>
  <c r="B8" i="6" s="1"/>
  <c r="H94" i="6"/>
  <c r="F25" i="6"/>
  <c r="F5" i="6"/>
  <c r="B5" i="6" s="1"/>
  <c r="F55" i="6"/>
  <c r="B54" i="6"/>
  <c r="F81" i="6"/>
  <c r="B80" i="6"/>
  <c r="F65" i="6"/>
  <c r="B64" i="6"/>
  <c r="F93" i="6"/>
  <c r="B92" i="6"/>
  <c r="B79" i="6"/>
  <c r="AI10" i="7" l="1" a="1"/>
  <c r="AI10" i="7" s="1"/>
  <c r="CA57" i="3"/>
  <c r="AA10" i="10" s="1" a="1"/>
  <c r="AA10" i="10" s="1"/>
  <c r="M61" i="6"/>
  <c r="AE60" i="3"/>
  <c r="CA60" i="3" s="1"/>
  <c r="L94" i="3"/>
  <c r="BH94" i="3" s="1"/>
  <c r="BH90" i="3"/>
  <c r="H7" i="7" s="1" a="1"/>
  <c r="H7" i="7" s="1"/>
  <c r="CI56" i="3"/>
  <c r="ED59" i="3"/>
  <c r="CI59" i="3" s="1"/>
  <c r="ED57" i="3"/>
  <c r="CI57" i="3" s="1"/>
  <c r="AI10" i="10" s="1" a="1"/>
  <c r="AI10" i="10" s="1"/>
  <c r="ED60" i="3"/>
  <c r="ED58" i="3"/>
  <c r="CI58" i="3" s="1"/>
  <c r="B23" i="6"/>
  <c r="AO94" i="3"/>
  <c r="CK94" i="3" s="1"/>
  <c r="CK90" i="3"/>
  <c r="AK7" i="7" s="1" a="1"/>
  <c r="AK7" i="7" s="1"/>
  <c r="AK10" i="5"/>
  <c r="AK8" i="5"/>
  <c r="EF3" i="5"/>
  <c r="EF12" i="5" s="1"/>
  <c r="AK4" i="5"/>
  <c r="AK6" i="5"/>
  <c r="AK5" i="5"/>
  <c r="AK9" i="5"/>
  <c r="AK7" i="5"/>
  <c r="AL7" i="5"/>
  <c r="AL6" i="5"/>
  <c r="AL5" i="5"/>
  <c r="EG3" i="5"/>
  <c r="EG12" i="5" s="1"/>
  <c r="AL4" i="5"/>
  <c r="AL9" i="5"/>
  <c r="AL10" i="5"/>
  <c r="AL8" i="5"/>
  <c r="Q61" i="6"/>
  <c r="AM60" i="3"/>
  <c r="AM61" i="3" s="1"/>
  <c r="CI61" i="3" s="1"/>
  <c r="DY3" i="5"/>
  <c r="DY12" i="5" s="1"/>
  <c r="AD5" i="5"/>
  <c r="AD10" i="5"/>
  <c r="AD7" i="5"/>
  <c r="AD4" i="5"/>
  <c r="AD9" i="5"/>
  <c r="AD6" i="5"/>
  <c r="AD8" i="5"/>
  <c r="H42" i="3"/>
  <c r="F9" i="6"/>
  <c r="F10" i="6" s="1"/>
  <c r="C42" i="11"/>
  <c r="C36" i="11"/>
  <c r="C41" i="11"/>
  <c r="BE42" i="10"/>
  <c r="BD42" i="10"/>
  <c r="BA42" i="10"/>
  <c r="BE29" i="10"/>
  <c r="BA29" i="10"/>
  <c r="BD29" i="10"/>
  <c r="BD38" i="10"/>
  <c r="BA38" i="10"/>
  <c r="BE38" i="10"/>
  <c r="BD37" i="10"/>
  <c r="BE37" i="10"/>
  <c r="BA37" i="10"/>
  <c r="BE28" i="10"/>
  <c r="BD28" i="10"/>
  <c r="BA28" i="10"/>
  <c r="BE30" i="10"/>
  <c r="BA30" i="10"/>
  <c r="BD30" i="10"/>
  <c r="BE36" i="10"/>
  <c r="BD36" i="10"/>
  <c r="BA36" i="10"/>
  <c r="BE34" i="10"/>
  <c r="BA34" i="10"/>
  <c r="BD34" i="10"/>
  <c r="BD33" i="10"/>
  <c r="BE33" i="10"/>
  <c r="BA33" i="10"/>
  <c r="BE31" i="10"/>
  <c r="BD31" i="10"/>
  <c r="BA31" i="10"/>
  <c r="BE32" i="10"/>
  <c r="BA32" i="10"/>
  <c r="BD32" i="10"/>
  <c r="BE41" i="10"/>
  <c r="BD41" i="10"/>
  <c r="BA41" i="10"/>
  <c r="BE39" i="10"/>
  <c r="BD39" i="10"/>
  <c r="BA39" i="10"/>
  <c r="BA28" i="7"/>
  <c r="BA36" i="7"/>
  <c r="BA29" i="7"/>
  <c r="BA37" i="7"/>
  <c r="BA30" i="7"/>
  <c r="BA38" i="7"/>
  <c r="BA32" i="7"/>
  <c r="BA31" i="7"/>
  <c r="BA39" i="7"/>
  <c r="BA33" i="7"/>
  <c r="BA41" i="7"/>
  <c r="BA34" i="7"/>
  <c r="BA42" i="7"/>
  <c r="BE29" i="7"/>
  <c r="BD29" i="7"/>
  <c r="BE37" i="7"/>
  <c r="BD37" i="7"/>
  <c r="BE30" i="7"/>
  <c r="BD30" i="7"/>
  <c r="BE38" i="7"/>
  <c r="BD38" i="7"/>
  <c r="BE32" i="7"/>
  <c r="BD32" i="7"/>
  <c r="BE31" i="7"/>
  <c r="BD31" i="7"/>
  <c r="BE39" i="7"/>
  <c r="BD39" i="7"/>
  <c r="BE33" i="7"/>
  <c r="BD33" i="7"/>
  <c r="BE41" i="7"/>
  <c r="BD41" i="7"/>
  <c r="BE34" i="7"/>
  <c r="BD34" i="7"/>
  <c r="BE42" i="7"/>
  <c r="BD42" i="7"/>
  <c r="BD28" i="7"/>
  <c r="BE28" i="7"/>
  <c r="BE36" i="7"/>
  <c r="BD36" i="7"/>
  <c r="B42" i="6"/>
  <c r="F43" i="6"/>
  <c r="F82" i="6"/>
  <c r="B81" i="6"/>
  <c r="B93" i="6"/>
  <c r="F94" i="6"/>
  <c r="F56" i="6"/>
  <c r="B55" i="6"/>
  <c r="F66" i="6"/>
  <c r="B65" i="6"/>
  <c r="B25" i="6"/>
  <c r="F26" i="6"/>
  <c r="CI60" i="3" l="1"/>
  <c r="AI10" i="13" s="1" a="1"/>
  <c r="AI10" i="13" s="1"/>
  <c r="AI10" i="14" a="1"/>
  <c r="AI10" i="14" s="1"/>
  <c r="AA10" i="13" a="1"/>
  <c r="AA10" i="13" s="1"/>
  <c r="AA10" i="9" a="1"/>
  <c r="AA10" i="9" s="1"/>
  <c r="AE61" i="3"/>
  <c r="CA61" i="3" s="1"/>
  <c r="B9" i="6"/>
  <c r="B43" i="6"/>
  <c r="F44" i="6"/>
  <c r="F11" i="6"/>
  <c r="B10" i="6"/>
  <c r="F57" i="6"/>
  <c r="B56" i="6"/>
  <c r="F95" i="6"/>
  <c r="B94" i="6"/>
  <c r="F83" i="6"/>
  <c r="B82" i="6"/>
  <c r="B26" i="6"/>
  <c r="F27" i="6"/>
  <c r="F67" i="6"/>
  <c r="B66" i="6"/>
  <c r="AI10" i="9" l="1" a="1"/>
  <c r="AI10" i="9" s="1"/>
  <c r="B44" i="6"/>
  <c r="F45" i="6"/>
  <c r="F68" i="6"/>
  <c r="B67" i="6"/>
  <c r="F96" i="6"/>
  <c r="B95" i="6"/>
  <c r="F84" i="6"/>
  <c r="B83" i="6"/>
  <c r="F58" i="6"/>
  <c r="B57" i="6"/>
  <c r="F28" i="6"/>
  <c r="B27" i="6"/>
  <c r="F12" i="6"/>
  <c r="B11" i="6"/>
  <c r="B45" i="6" l="1"/>
  <c r="F46" i="6"/>
  <c r="B28" i="6"/>
  <c r="F29" i="6"/>
  <c r="B58" i="6"/>
  <c r="F59" i="6"/>
  <c r="F69" i="6"/>
  <c r="B68" i="6"/>
  <c r="F85" i="6"/>
  <c r="B84" i="6"/>
  <c r="F13" i="6"/>
  <c r="B12" i="6"/>
  <c r="B96" i="6"/>
  <c r="F97" i="6"/>
  <c r="B46" i="6" l="1"/>
  <c r="F47" i="6"/>
  <c r="B97" i="6"/>
  <c r="F98" i="6"/>
  <c r="F86" i="6"/>
  <c r="B85" i="6"/>
  <c r="B59" i="6"/>
  <c r="F60" i="6"/>
  <c r="F70" i="6"/>
  <c r="B69" i="6"/>
  <c r="B29" i="6"/>
  <c r="F30" i="6"/>
  <c r="F14" i="6"/>
  <c r="B13" i="6"/>
  <c r="F48" i="6" l="1"/>
  <c r="B47" i="6"/>
  <c r="F15" i="6"/>
  <c r="B14" i="6"/>
  <c r="B70" i="6"/>
  <c r="F71" i="6"/>
  <c r="F31" i="6"/>
  <c r="B30" i="6"/>
  <c r="B86" i="6"/>
  <c r="F87" i="6"/>
  <c r="B98" i="6"/>
  <c r="F99" i="6"/>
  <c r="F61" i="6"/>
  <c r="B61" i="6" s="1"/>
  <c r="B60" i="6"/>
  <c r="F49" i="6" l="1"/>
  <c r="B48" i="6"/>
  <c r="F32" i="6"/>
  <c r="B31" i="6"/>
  <c r="F100" i="6"/>
  <c r="B99" i="6"/>
  <c r="F72" i="6"/>
  <c r="B71" i="6"/>
  <c r="F16" i="6"/>
  <c r="B15" i="6"/>
  <c r="B87" i="6"/>
  <c r="F88" i="6"/>
  <c r="B88" i="6" s="1"/>
  <c r="F50" i="6" l="1"/>
  <c r="B49" i="6"/>
  <c r="F33" i="6"/>
  <c r="B32" i="6"/>
  <c r="F17" i="6"/>
  <c r="B16" i="6"/>
  <c r="F73" i="6"/>
  <c r="B72" i="6"/>
  <c r="F101" i="6"/>
  <c r="B100" i="6"/>
  <c r="F51" i="6" l="1"/>
  <c r="B51" i="6" s="1"/>
  <c r="B50" i="6"/>
  <c r="F102" i="6"/>
  <c r="B101" i="6"/>
  <c r="F74" i="6"/>
  <c r="B73" i="6"/>
  <c r="F18" i="6"/>
  <c r="B17" i="6"/>
  <c r="F34" i="6"/>
  <c r="B33" i="6"/>
  <c r="F103" i="6" l="1"/>
  <c r="B103" i="6" s="1"/>
  <c r="B102" i="6"/>
  <c r="F35" i="6"/>
  <c r="B35" i="6" s="1"/>
  <c r="B34" i="6"/>
  <c r="F75" i="6"/>
  <c r="B74" i="6"/>
  <c r="F19" i="6"/>
  <c r="B18" i="6"/>
  <c r="F76" i="6" l="1"/>
  <c r="B76" i="6" s="1"/>
  <c r="B75" i="6"/>
  <c r="F20" i="6"/>
  <c r="B20" i="6" s="1"/>
  <c r="B19" i="6"/>
  <c r="C108" i="3" l="1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C116" i="3"/>
  <c r="D116" i="3"/>
  <c r="C117" i="3"/>
  <c r="D117" i="3"/>
  <c r="C118" i="3"/>
  <c r="D118" i="3"/>
  <c r="C119" i="3"/>
  <c r="D119" i="3"/>
  <c r="C120" i="3"/>
  <c r="D120" i="3"/>
  <c r="C121" i="3"/>
  <c r="D121" i="3"/>
  <c r="C122" i="3"/>
  <c r="D122" i="3"/>
  <c r="C123" i="3"/>
  <c r="D123" i="3"/>
  <c r="C124" i="3"/>
  <c r="D124" i="3"/>
  <c r="C125" i="3"/>
  <c r="D125" i="3"/>
  <c r="C126" i="3"/>
  <c r="D126" i="3"/>
  <c r="C127" i="3"/>
  <c r="D127" i="3"/>
  <c r="C128" i="3"/>
  <c r="D128" i="3"/>
  <c r="C129" i="3"/>
  <c r="D129" i="3"/>
  <c r="C130" i="3"/>
  <c r="D130" i="3"/>
  <c r="C131" i="3"/>
  <c r="D131" i="3"/>
  <c r="C132" i="3"/>
  <c r="D132" i="3"/>
  <c r="C133" i="3"/>
  <c r="D133" i="3"/>
  <c r="C134" i="3"/>
  <c r="D134" i="3"/>
  <c r="C135" i="3"/>
  <c r="D135" i="3"/>
  <c r="C136" i="3"/>
  <c r="D136" i="3"/>
  <c r="C137" i="3"/>
  <c r="D137" i="3"/>
  <c r="C138" i="3"/>
  <c r="D138" i="3"/>
  <c r="C139" i="3"/>
  <c r="D139" i="3"/>
  <c r="C141" i="3"/>
  <c r="D141" i="3"/>
  <c r="C142" i="3"/>
  <c r="D142" i="3"/>
  <c r="C143" i="3"/>
  <c r="D143" i="3"/>
  <c r="C144" i="3"/>
  <c r="D144" i="3"/>
  <c r="C145" i="3"/>
  <c r="D145" i="3"/>
  <c r="C146" i="3"/>
  <c r="D146" i="3"/>
  <c r="C147" i="3"/>
  <c r="D147" i="3"/>
  <c r="C148" i="3"/>
  <c r="D148" i="3"/>
  <c r="D149" i="3"/>
  <c r="C150" i="3"/>
  <c r="D150" i="3"/>
  <c r="E152" i="3"/>
  <c r="E153" i="3"/>
  <c r="E154" i="3"/>
  <c r="E155" i="3"/>
  <c r="E156" i="3"/>
  <c r="E157" i="3"/>
  <c r="C162" i="3"/>
  <c r="D162" i="3"/>
  <c r="C163" i="3"/>
  <c r="D163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C174" i="3"/>
  <c r="D174" i="3"/>
  <c r="C175" i="3"/>
  <c r="D175" i="3"/>
  <c r="C176" i="3"/>
  <c r="D176" i="3"/>
  <c r="C177" i="3"/>
  <c r="D177" i="3"/>
  <c r="C178" i="3"/>
  <c r="D178" i="3"/>
  <c r="C179" i="3"/>
  <c r="D179" i="3"/>
  <c r="C180" i="3"/>
  <c r="D180" i="3"/>
  <c r="C181" i="3"/>
  <c r="D181" i="3"/>
  <c r="C182" i="3"/>
  <c r="D182" i="3"/>
  <c r="C183" i="3"/>
  <c r="D183" i="3"/>
  <c r="C184" i="3"/>
  <c r="D184" i="3"/>
  <c r="C185" i="3"/>
  <c r="D185" i="3"/>
  <c r="C186" i="3"/>
  <c r="D186" i="3"/>
  <c r="C187" i="3"/>
  <c r="D187" i="3"/>
  <c r="C188" i="3"/>
  <c r="D188" i="3"/>
  <c r="C189" i="3"/>
  <c r="D189" i="3"/>
  <c r="D190" i="3"/>
  <c r="C191" i="3"/>
  <c r="D191" i="3"/>
  <c r="C192" i="3"/>
  <c r="D192" i="3"/>
  <c r="C193" i="3"/>
  <c r="D193" i="3"/>
  <c r="C194" i="3"/>
  <c r="D194" i="3"/>
  <c r="C195" i="3"/>
  <c r="D195" i="3"/>
  <c r="C196" i="3"/>
  <c r="D196" i="3"/>
  <c r="C197" i="3"/>
  <c r="D197" i="3"/>
  <c r="C198" i="3"/>
  <c r="D198" i="3"/>
  <c r="C199" i="3"/>
  <c r="D199" i="3"/>
  <c r="C200" i="3"/>
  <c r="D200" i="3"/>
  <c r="C201" i="3"/>
  <c r="D201" i="3"/>
  <c r="C202" i="3"/>
  <c r="D202" i="3"/>
  <c r="C203" i="3"/>
  <c r="D203" i="3"/>
  <c r="C204" i="3"/>
  <c r="D204" i="3"/>
  <c r="C205" i="3"/>
  <c r="D205" i="3"/>
  <c r="C206" i="3"/>
  <c r="D206" i="3"/>
  <c r="C207" i="3"/>
  <c r="D207" i="3"/>
  <c r="C208" i="3"/>
  <c r="D208" i="3"/>
  <c r="C209" i="3"/>
  <c r="D209" i="3"/>
  <c r="C210" i="3"/>
  <c r="D210" i="3"/>
  <c r="C211" i="3"/>
  <c r="D211" i="3"/>
  <c r="C212" i="3"/>
  <c r="D212" i="3"/>
  <c r="C213" i="3"/>
  <c r="D213" i="3"/>
  <c r="C214" i="3"/>
  <c r="D214" i="3"/>
  <c r="C215" i="3"/>
  <c r="D215" i="3"/>
  <c r="C216" i="3"/>
  <c r="D216" i="3"/>
  <c r="C217" i="3"/>
  <c r="D217" i="3"/>
  <c r="C218" i="3"/>
  <c r="D218" i="3"/>
  <c r="C219" i="3"/>
  <c r="D219" i="3"/>
  <c r="C220" i="3"/>
  <c r="D220" i="3"/>
  <c r="C221" i="3"/>
  <c r="D221" i="3"/>
  <c r="C222" i="3"/>
  <c r="D222" i="3"/>
  <c r="C223" i="3"/>
  <c r="D223" i="3"/>
  <c r="C224" i="3"/>
  <c r="D224" i="3"/>
  <c r="C225" i="3"/>
  <c r="D225" i="3"/>
  <c r="C226" i="3"/>
  <c r="D226" i="3"/>
  <c r="C227" i="3"/>
  <c r="D227" i="3"/>
  <c r="C228" i="3"/>
  <c r="D228" i="3"/>
  <c r="C229" i="3"/>
  <c r="D229" i="3"/>
  <c r="C230" i="3"/>
  <c r="D230" i="3"/>
  <c r="C231" i="3"/>
  <c r="D231" i="3"/>
  <c r="C232" i="3"/>
  <c r="D232" i="3"/>
  <c r="C233" i="3"/>
  <c r="D233" i="3"/>
  <c r="BD138" i="3"/>
  <c r="BD139" i="3"/>
  <c r="BD141" i="3"/>
  <c r="BD142" i="3"/>
  <c r="BD143" i="3"/>
  <c r="BD144" i="3"/>
  <c r="BD145" i="3"/>
  <c r="BD146" i="3"/>
  <c r="BD147" i="3"/>
  <c r="BD148" i="3"/>
  <c r="BD149" i="3"/>
  <c r="BD150" i="3"/>
  <c r="BD151" i="3"/>
  <c r="BD152" i="3"/>
  <c r="BD153" i="3"/>
  <c r="BD154" i="3"/>
  <c r="BD155" i="3"/>
  <c r="BD156" i="3"/>
  <c r="BD157" i="3"/>
  <c r="BD158" i="3"/>
  <c r="BD159" i="3"/>
  <c r="BD160" i="3"/>
  <c r="BD161" i="3"/>
  <c r="BD162" i="3"/>
  <c r="BD163" i="3"/>
  <c r="BD164" i="3"/>
  <c r="BD165" i="3"/>
  <c r="BD166" i="3"/>
  <c r="BD167" i="3"/>
  <c r="BD168" i="3"/>
  <c r="BD169" i="3"/>
  <c r="BD170" i="3"/>
  <c r="BD171" i="3"/>
  <c r="BD172" i="3"/>
  <c r="BD173" i="3"/>
  <c r="BD174" i="3"/>
  <c r="BD175" i="3"/>
  <c r="BD176" i="3"/>
  <c r="BD177" i="3"/>
  <c r="BD178" i="3"/>
  <c r="BD179" i="3"/>
  <c r="BD180" i="3"/>
  <c r="BD181" i="3"/>
  <c r="BD182" i="3"/>
  <c r="BD183" i="3"/>
  <c r="BD184" i="3"/>
  <c r="BD185" i="3"/>
  <c r="BD186" i="3"/>
  <c r="BD187" i="3"/>
  <c r="BD188" i="3"/>
  <c r="BD189" i="3"/>
  <c r="BD190" i="3"/>
  <c r="BD191" i="3"/>
  <c r="BD192" i="3"/>
  <c r="BD193" i="3"/>
  <c r="BD194" i="3"/>
  <c r="BD195" i="3"/>
  <c r="BD196" i="3"/>
  <c r="BD197" i="3"/>
  <c r="BD198" i="3"/>
  <c r="BD199" i="3"/>
  <c r="BD200" i="3"/>
  <c r="BD201" i="3"/>
  <c r="BD202" i="3"/>
  <c r="BD203" i="3"/>
  <c r="BD137" i="3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M42" i="1" l="1"/>
  <c r="S42" i="1"/>
  <c r="AL42" i="1"/>
  <c r="R42" i="1"/>
  <c r="AK42" i="1"/>
  <c r="Q42" i="1"/>
  <c r="AD42" i="1"/>
  <c r="G42" i="1"/>
  <c r="AC42" i="1"/>
  <c r="F42" i="1"/>
  <c r="AB42" i="1"/>
  <c r="AX42" i="1"/>
  <c r="AA42" i="1"/>
  <c r="AR42" i="1"/>
  <c r="U42" i="1"/>
  <c r="AG42" i="1"/>
  <c r="Z42" i="1"/>
  <c r="AF42" i="1"/>
  <c r="AE42" i="1"/>
  <c r="Y42" i="1"/>
  <c r="X42" i="1"/>
  <c r="W42" i="1"/>
  <c r="V42" i="1"/>
  <c r="AW42" i="1"/>
  <c r="T42" i="1"/>
  <c r="AV42" i="1"/>
  <c r="P42" i="1"/>
  <c r="AU42" i="1"/>
  <c r="O42" i="1"/>
  <c r="AT42" i="1"/>
  <c r="N42" i="1"/>
  <c r="AH42" i="1"/>
  <c r="M42" i="1"/>
  <c r="L42" i="1"/>
  <c r="K42" i="1"/>
  <c r="J42" i="1"/>
  <c r="I42" i="1"/>
  <c r="H42" i="1"/>
  <c r="AN42" i="1"/>
  <c r="AO42" i="1"/>
  <c r="AI42" i="1"/>
  <c r="AS42" i="1"/>
  <c r="AQ42" i="1"/>
  <c r="AP42" i="1"/>
  <c r="AJ42" i="1"/>
  <c r="AY42" i="1"/>
  <c r="E42" i="1"/>
  <c r="BE25" i="5"/>
  <c r="BE40" i="5"/>
  <c r="BE24" i="5"/>
  <c r="BE39" i="5"/>
  <c r="BE23" i="5"/>
  <c r="BE38" i="5"/>
  <c r="BE22" i="5"/>
  <c r="BE37" i="5"/>
  <c r="BE21" i="5"/>
  <c r="BE13" i="5"/>
  <c r="BE36" i="5"/>
  <c r="BE20" i="5"/>
  <c r="BE35" i="5"/>
  <c r="BE19" i="5"/>
  <c r="BE34" i="5"/>
  <c r="BE18" i="5"/>
  <c r="BE33" i="5"/>
  <c r="BE17" i="5"/>
  <c r="BE27" i="5"/>
  <c r="BE32" i="5"/>
  <c r="BE16" i="5"/>
  <c r="BE15" i="5"/>
  <c r="BE31" i="5"/>
  <c r="BE11" i="5"/>
  <c r="BE30" i="5"/>
  <c r="BE14" i="5"/>
  <c r="BE29" i="5"/>
  <c r="BE4" i="5"/>
  <c r="BE28" i="5"/>
  <c r="BE12" i="5"/>
  <c r="BE26" i="5"/>
  <c r="DA17" i="5" l="1"/>
  <c r="DA16" i="5"/>
  <c r="DA15" i="5"/>
  <c r="DA14" i="5"/>
  <c r="C12" i="5"/>
  <c r="BD12" i="5" s="1"/>
  <c r="C13" i="5"/>
  <c r="BD13" i="5" s="1"/>
  <c r="C14" i="5"/>
  <c r="BD14" i="5" s="1"/>
  <c r="C15" i="5"/>
  <c r="BD15" i="5" s="1"/>
  <c r="C16" i="5"/>
  <c r="BD16" i="5" s="1"/>
  <c r="C17" i="5"/>
  <c r="BD17" i="5" s="1"/>
  <c r="C18" i="5"/>
  <c r="EX17" i="5" s="1"/>
  <c r="EW17" i="5" s="1"/>
  <c r="C19" i="5"/>
  <c r="EX18" i="5" s="1"/>
  <c r="EW18" i="5" s="1"/>
  <c r="C20" i="5"/>
  <c r="EX19" i="5" s="1"/>
  <c r="EW19" i="5" s="1"/>
  <c r="C21" i="5"/>
  <c r="EX20" i="5" s="1"/>
  <c r="EW20" i="5" s="1"/>
  <c r="C22" i="5"/>
  <c r="EX21" i="5" s="1"/>
  <c r="EW21" i="5" s="1"/>
  <c r="C23" i="5"/>
  <c r="EX22" i="5" s="1"/>
  <c r="EW22" i="5" s="1"/>
  <c r="C24" i="5"/>
  <c r="EX23" i="5" s="1"/>
  <c r="EW23" i="5" s="1"/>
  <c r="C25" i="5"/>
  <c r="C26" i="5"/>
  <c r="EX25" i="5" s="1"/>
  <c r="EW25" i="5" s="1"/>
  <c r="C27" i="5"/>
  <c r="EX26" i="5" s="1"/>
  <c r="EW26" i="5" s="1"/>
  <c r="C28" i="5"/>
  <c r="EX27" i="5" s="1"/>
  <c r="EW27" i="5" s="1"/>
  <c r="C29" i="5"/>
  <c r="EX28" i="5" s="1"/>
  <c r="EW28" i="5" s="1"/>
  <c r="C30" i="5"/>
  <c r="EX29" i="5" s="1"/>
  <c r="EW29" i="5" s="1"/>
  <c r="C31" i="5"/>
  <c r="EX30" i="5" s="1"/>
  <c r="EW30" i="5" s="1"/>
  <c r="C32" i="5"/>
  <c r="EX31" i="5" s="1"/>
  <c r="EW31" i="5" s="1"/>
  <c r="C33" i="5"/>
  <c r="C34" i="5"/>
  <c r="EX33" i="5" s="1"/>
  <c r="EW33" i="5" s="1"/>
  <c r="C35" i="5"/>
  <c r="EX34" i="5" s="1"/>
  <c r="EW34" i="5" s="1"/>
  <c r="C36" i="5"/>
  <c r="EX35" i="5" s="1"/>
  <c r="EW35" i="5" s="1"/>
  <c r="C37" i="5"/>
  <c r="EX36" i="5" s="1"/>
  <c r="EW36" i="5" s="1"/>
  <c r="C38" i="5"/>
  <c r="EX37" i="5" s="1"/>
  <c r="EW37" i="5" s="1"/>
  <c r="C39" i="5"/>
  <c r="EX38" i="5" s="1"/>
  <c r="EW38" i="5" s="1"/>
  <c r="C40" i="5"/>
  <c r="EX39" i="5" s="1"/>
  <c r="EW39" i="5" s="1"/>
  <c r="C41" i="5"/>
  <c r="C11" i="5"/>
  <c r="BD11" i="5" s="1"/>
  <c r="C5" i="5"/>
  <c r="BD5" i="5" s="1"/>
  <c r="C6" i="5"/>
  <c r="BD6" i="5" s="1"/>
  <c r="C7" i="5"/>
  <c r="BD7" i="5" s="1"/>
  <c r="C8" i="5"/>
  <c r="BD8" i="5" s="1"/>
  <c r="C9" i="5"/>
  <c r="BD9" i="5" s="1"/>
  <c r="C10" i="5"/>
  <c r="BD10" i="5" s="1"/>
  <c r="C4" i="5"/>
  <c r="BD4" i="5" s="1"/>
  <c r="DA13" i="5"/>
  <c r="DA12" i="5"/>
  <c r="DB11" i="5"/>
  <c r="BD18" i="5" l="1"/>
  <c r="BD19" i="5"/>
  <c r="BD20" i="5"/>
  <c r="BD21" i="5"/>
  <c r="BD22" i="5"/>
  <c r="BD23" i="5"/>
  <c r="BD24" i="5"/>
  <c r="BD25" i="5"/>
  <c r="BD26" i="5"/>
  <c r="BD27" i="5"/>
  <c r="BD28" i="5"/>
  <c r="BD29" i="5"/>
  <c r="BD30" i="5"/>
  <c r="BD31" i="5"/>
  <c r="BD32" i="5"/>
  <c r="BD33" i="5"/>
  <c r="BD34" i="5"/>
  <c r="BD35" i="5"/>
  <c r="BD36" i="5"/>
  <c r="BD37" i="5"/>
  <c r="BD38" i="5"/>
  <c r="BD39" i="5"/>
  <c r="BD40" i="5"/>
  <c r="BD41" i="5"/>
  <c r="EX24" i="5"/>
  <c r="EW24" i="5" s="1"/>
  <c r="EX32" i="5"/>
  <c r="EW32" i="5" s="1"/>
  <c r="EX40" i="5"/>
  <c r="EW40" i="5" s="1"/>
  <c r="H55" i="3"/>
  <c r="H100" i="3"/>
  <c r="H88" i="3"/>
  <c r="H82" i="3"/>
  <c r="H73" i="3"/>
  <c r="H67" i="3"/>
  <c r="H61" i="3"/>
  <c r="H48" i="3"/>
  <c r="H32" i="3"/>
  <c r="H26" i="3"/>
  <c r="H17" i="3"/>
  <c r="H11" i="3"/>
  <c r="H103" i="3"/>
  <c r="H76" i="3"/>
  <c r="H51" i="3"/>
  <c r="H35" i="3"/>
  <c r="H20" i="3"/>
  <c r="H5" i="3"/>
  <c r="H27" i="3"/>
  <c r="H43" i="3"/>
  <c r="H56" i="3"/>
  <c r="H68" i="3"/>
  <c r="H83" i="3"/>
  <c r="H95" i="3"/>
  <c r="CY103" i="3"/>
  <c r="CY95" i="3"/>
  <c r="CY89" i="3"/>
  <c r="CY83" i="3"/>
  <c r="CY77" i="3"/>
  <c r="CY76" i="3"/>
  <c r="CY68" i="3"/>
  <c r="CY62" i="3"/>
  <c r="CY56" i="3"/>
  <c r="CY52" i="3"/>
  <c r="CY51" i="3"/>
  <c r="CY43" i="3"/>
  <c r="CY39" i="3"/>
  <c r="CY38" i="3"/>
  <c r="CY35" i="3"/>
  <c r="CY27" i="3"/>
  <c r="CY21" i="3"/>
  <c r="CY20" i="3"/>
  <c r="CY5" i="3"/>
  <c r="CY6" i="3"/>
  <c r="CY12" i="3"/>
  <c r="BE3" i="5" l="1"/>
  <c r="EX11" i="5"/>
  <c r="EW11" i="5" s="1"/>
  <c r="EX12" i="5"/>
  <c r="EW12" i="5" s="1"/>
  <c r="EX7" i="5"/>
  <c r="EW7" i="5" s="1"/>
  <c r="EX16" i="5"/>
  <c r="EW16" i="5" s="1"/>
  <c r="H38" i="3"/>
  <c r="H94" i="3"/>
  <c r="B6" i="3"/>
  <c r="B21" i="3"/>
  <c r="B36" i="3"/>
  <c r="B39" i="3"/>
  <c r="B52" i="3"/>
  <c r="B62" i="3"/>
  <c r="B77" i="3"/>
  <c r="B89" i="3"/>
  <c r="B3" i="3"/>
  <c r="C102" i="3"/>
  <c r="C101" i="3"/>
  <c r="C100" i="3"/>
  <c r="C99" i="3"/>
  <c r="C98" i="3"/>
  <c r="C97" i="3"/>
  <c r="C96" i="3"/>
  <c r="C94" i="3"/>
  <c r="C93" i="3"/>
  <c r="C92" i="3"/>
  <c r="C91" i="3"/>
  <c r="C90" i="3"/>
  <c r="C88" i="3"/>
  <c r="C87" i="3"/>
  <c r="C86" i="3"/>
  <c r="C85" i="3"/>
  <c r="C84" i="3"/>
  <c r="C82" i="3"/>
  <c r="C81" i="3"/>
  <c r="C80" i="3"/>
  <c r="C79" i="3"/>
  <c r="C78" i="3"/>
  <c r="C75" i="3"/>
  <c r="C74" i="3"/>
  <c r="C73" i="3"/>
  <c r="C72" i="3"/>
  <c r="C71" i="3"/>
  <c r="C70" i="3"/>
  <c r="C69" i="3"/>
  <c r="C67" i="3"/>
  <c r="C66" i="3"/>
  <c r="C65" i="3"/>
  <c r="C64" i="3"/>
  <c r="C63" i="3"/>
  <c r="C61" i="3"/>
  <c r="C60" i="3"/>
  <c r="C59" i="3"/>
  <c r="C58" i="3"/>
  <c r="C57" i="3"/>
  <c r="C55" i="3"/>
  <c r="C54" i="3"/>
  <c r="C53" i="3"/>
  <c r="C50" i="3"/>
  <c r="C49" i="3"/>
  <c r="C48" i="3"/>
  <c r="C47" i="3"/>
  <c r="C46" i="3"/>
  <c r="C45" i="3"/>
  <c r="C44" i="3"/>
  <c r="C42" i="3"/>
  <c r="C41" i="3"/>
  <c r="C37" i="3"/>
  <c r="C36" i="3"/>
  <c r="C34" i="3"/>
  <c r="C33" i="3"/>
  <c r="C32" i="3"/>
  <c r="C31" i="3"/>
  <c r="C30" i="3"/>
  <c r="C29" i="3"/>
  <c r="C28" i="3"/>
  <c r="C26" i="3"/>
  <c r="C25" i="3"/>
  <c r="C24" i="3"/>
  <c r="C23" i="3"/>
  <c r="C22" i="3"/>
  <c r="C19" i="3"/>
  <c r="C18" i="3"/>
  <c r="C17" i="3"/>
  <c r="C16" i="3"/>
  <c r="C15" i="3"/>
  <c r="C14" i="3"/>
  <c r="C13" i="3"/>
  <c r="C11" i="3"/>
  <c r="C10" i="3"/>
  <c r="C9" i="3"/>
  <c r="C8" i="3"/>
  <c r="C7" i="3"/>
  <c r="C4" i="3"/>
  <c r="C3" i="3"/>
  <c r="F90" i="3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B103" i="3" s="1"/>
  <c r="F78" i="3"/>
  <c r="B78" i="3" s="1"/>
  <c r="F63" i="3"/>
  <c r="B63" i="3" s="1"/>
  <c r="F53" i="3"/>
  <c r="F54" i="3" s="1"/>
  <c r="F55" i="3" s="1"/>
  <c r="F56" i="3" s="1"/>
  <c r="F57" i="3" s="1"/>
  <c r="F58" i="3" s="1"/>
  <c r="F59" i="3" s="1"/>
  <c r="F60" i="3" s="1"/>
  <c r="F61" i="3" s="1"/>
  <c r="B61" i="3" s="1"/>
  <c r="F40" i="3"/>
  <c r="F37" i="3"/>
  <c r="F38" i="3" s="1"/>
  <c r="B38" i="3" s="1"/>
  <c r="F22" i="3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B35" i="3" s="1"/>
  <c r="H12" i="3"/>
  <c r="F7" i="3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B20" i="3" s="1"/>
  <c r="F4" i="3"/>
  <c r="F5" i="3" s="1"/>
  <c r="B5" i="3" s="1"/>
  <c r="BD6" i="3" l="1"/>
  <c r="BD35" i="3"/>
  <c r="BD52" i="3"/>
  <c r="BD39" i="3"/>
  <c r="BD77" i="3"/>
  <c r="BD21" i="3"/>
  <c r="BD62" i="3"/>
  <c r="BD89" i="3"/>
  <c r="BD103" i="3"/>
  <c r="BD5" i="3"/>
  <c r="BD20" i="3"/>
  <c r="BD38" i="3"/>
  <c r="B40" i="3"/>
  <c r="F41" i="3"/>
  <c r="F42" i="3" s="1"/>
  <c r="EX9" i="5"/>
  <c r="EW9" i="5" s="1"/>
  <c r="EX14" i="5"/>
  <c r="EW14" i="5" s="1"/>
  <c r="EX5" i="5"/>
  <c r="EW5" i="5" s="1"/>
  <c r="EX15" i="5"/>
  <c r="EW15" i="5" s="1"/>
  <c r="EX8" i="5"/>
  <c r="EW8" i="5" s="1"/>
  <c r="EX4" i="5"/>
  <c r="EW4" i="5" s="1"/>
  <c r="EX6" i="5"/>
  <c r="EW6" i="5" s="1"/>
  <c r="EX10" i="5"/>
  <c r="EW10" i="5" s="1"/>
  <c r="EX13" i="5"/>
  <c r="EW13" i="5" s="1"/>
  <c r="EX3" i="5"/>
  <c r="EW3" i="5" s="1"/>
  <c r="CY49" i="3"/>
  <c r="CY88" i="3"/>
  <c r="CY50" i="3"/>
  <c r="CY11" i="3"/>
  <c r="CY32" i="3"/>
  <c r="CY73" i="3"/>
  <c r="CY48" i="3"/>
  <c r="CY33" i="3"/>
  <c r="CY55" i="3"/>
  <c r="CY74" i="3"/>
  <c r="CY94" i="3"/>
  <c r="CY34" i="3"/>
  <c r="CY75" i="3"/>
  <c r="CY36" i="3"/>
  <c r="BD36" i="3" s="1"/>
  <c r="CY37" i="3"/>
  <c r="CY17" i="3"/>
  <c r="CY18" i="3"/>
  <c r="CY67" i="3"/>
  <c r="CY19" i="3"/>
  <c r="CY100" i="3"/>
  <c r="CY42" i="3"/>
  <c r="CY82" i="3"/>
  <c r="CY101" i="3"/>
  <c r="CY102" i="3"/>
  <c r="CY26" i="3"/>
  <c r="CY3" i="3"/>
  <c r="BD3" i="3" s="1"/>
  <c r="CY61" i="3"/>
  <c r="BD61" i="3" s="1"/>
  <c r="CY4" i="3"/>
  <c r="B101" i="3"/>
  <c r="B53" i="3"/>
  <c r="F64" i="3"/>
  <c r="F65" i="3" s="1"/>
  <c r="F66" i="3" s="1"/>
  <c r="F67" i="3" s="1"/>
  <c r="F68" i="3" s="1"/>
  <c r="F69" i="3" s="1"/>
  <c r="B37" i="3"/>
  <c r="B100" i="3"/>
  <c r="B4" i="3"/>
  <c r="F79" i="3"/>
  <c r="B99" i="3"/>
  <c r="B19" i="3"/>
  <c r="B98" i="3"/>
  <c r="B34" i="3"/>
  <c r="B18" i="3"/>
  <c r="B97" i="3"/>
  <c r="B33" i="3"/>
  <c r="B17" i="3"/>
  <c r="B96" i="3"/>
  <c r="B32" i="3"/>
  <c r="B16" i="3"/>
  <c r="B95" i="3"/>
  <c r="B31" i="3"/>
  <c r="B15" i="3"/>
  <c r="B94" i="3"/>
  <c r="B30" i="3"/>
  <c r="B14" i="3"/>
  <c r="B93" i="3"/>
  <c r="B29" i="3"/>
  <c r="B13" i="3"/>
  <c r="B92" i="3"/>
  <c r="B60" i="3"/>
  <c r="B28" i="3"/>
  <c r="B12" i="3"/>
  <c r="B91" i="3"/>
  <c r="B59" i="3"/>
  <c r="B27" i="3"/>
  <c r="B11" i="3"/>
  <c r="B90" i="3"/>
  <c r="B58" i="3"/>
  <c r="B26" i="3"/>
  <c r="B10" i="3"/>
  <c r="B57" i="3"/>
  <c r="B25" i="3"/>
  <c r="B9" i="3"/>
  <c r="B56" i="3"/>
  <c r="B24" i="3"/>
  <c r="B8" i="3"/>
  <c r="B55" i="3"/>
  <c r="B23" i="3"/>
  <c r="B7" i="3"/>
  <c r="B102" i="3"/>
  <c r="B54" i="3"/>
  <c r="B22" i="3"/>
  <c r="BD12" i="3" l="1"/>
  <c r="B41" i="3"/>
  <c r="BD4" i="3"/>
  <c r="F43" i="3"/>
  <c r="B42" i="3"/>
  <c r="BD94" i="3"/>
  <c r="BD95" i="3"/>
  <c r="BD11" i="3"/>
  <c r="BD101" i="3"/>
  <c r="BD100" i="3"/>
  <c r="BD26" i="3"/>
  <c r="BD102" i="3"/>
  <c r="BD18" i="3"/>
  <c r="BD55" i="3"/>
  <c r="BD27" i="3"/>
  <c r="BD17" i="3"/>
  <c r="BD37" i="3"/>
  <c r="BD33" i="3"/>
  <c r="BD56" i="3"/>
  <c r="BD19" i="3"/>
  <c r="BD34" i="3"/>
  <c r="BD32" i="3"/>
  <c r="B66" i="3"/>
  <c r="B67" i="3"/>
  <c r="B65" i="3"/>
  <c r="B68" i="3"/>
  <c r="B64" i="3"/>
  <c r="F70" i="3"/>
  <c r="B69" i="3"/>
  <c r="F80" i="3"/>
  <c r="B79" i="3"/>
  <c r="BD42" i="3" l="1"/>
  <c r="BD68" i="3"/>
  <c r="BD67" i="3"/>
  <c r="F44" i="3"/>
  <c r="B43" i="3"/>
  <c r="F71" i="3"/>
  <c r="B70" i="3"/>
  <c r="F81" i="3"/>
  <c r="B80" i="3"/>
  <c r="F45" i="3" l="1"/>
  <c r="B44" i="3"/>
  <c r="BD43" i="3"/>
  <c r="G45" i="5"/>
  <c r="G41" i="5"/>
  <c r="G42" i="5"/>
  <c r="G47" i="5"/>
  <c r="G43" i="5"/>
  <c r="G48" i="5"/>
  <c r="G44" i="5"/>
  <c r="G46" i="5"/>
  <c r="F72" i="3"/>
  <c r="B71" i="3"/>
  <c r="F82" i="3"/>
  <c r="B81" i="3"/>
  <c r="F46" i="3" l="1"/>
  <c r="B45" i="3"/>
  <c r="F73" i="3"/>
  <c r="B72" i="3"/>
  <c r="F83" i="3"/>
  <c r="B82" i="3"/>
  <c r="BD82" i="3" l="1"/>
  <c r="F47" i="3"/>
  <c r="B46" i="3"/>
  <c r="F74" i="3"/>
  <c r="B73" i="3"/>
  <c r="F84" i="3"/>
  <c r="B83" i="3"/>
  <c r="BD83" i="3" l="1"/>
  <c r="BD73" i="3"/>
  <c r="F48" i="3"/>
  <c r="B47" i="3"/>
  <c r="F75" i="3"/>
  <c r="B74" i="3"/>
  <c r="F85" i="3"/>
  <c r="B84" i="3"/>
  <c r="BD74" i="3" l="1"/>
  <c r="F49" i="3"/>
  <c r="B48" i="3"/>
  <c r="F76" i="3"/>
  <c r="B76" i="3" s="1"/>
  <c r="B75" i="3"/>
  <c r="F86" i="3"/>
  <c r="B85" i="3"/>
  <c r="F50" i="3" l="1"/>
  <c r="B49" i="3"/>
  <c r="BD76" i="3"/>
  <c r="BD48" i="3"/>
  <c r="BD75" i="3"/>
  <c r="F87" i="3"/>
  <c r="B86" i="3"/>
  <c r="BD49" i="3" l="1"/>
  <c r="F51" i="3"/>
  <c r="B51" i="3" s="1"/>
  <c r="B50" i="3"/>
  <c r="G40" i="5"/>
  <c r="G24" i="5"/>
  <c r="G33" i="5"/>
  <c r="G37" i="5"/>
  <c r="G20" i="5"/>
  <c r="G36" i="5"/>
  <c r="DB6" i="5"/>
  <c r="DB15" i="5" s="1"/>
  <c r="G22" i="5"/>
  <c r="G32" i="5"/>
  <c r="G34" i="5"/>
  <c r="G39" i="5"/>
  <c r="G19" i="5"/>
  <c r="DB8" i="5"/>
  <c r="DB17" i="5" s="1"/>
  <c r="G35" i="5"/>
  <c r="G26" i="5"/>
  <c r="G30" i="5"/>
  <c r="G23" i="5"/>
  <c r="G28" i="5"/>
  <c r="G27" i="5"/>
  <c r="DB7" i="5"/>
  <c r="DB16" i="5" s="1"/>
  <c r="G21" i="5"/>
  <c r="G31" i="5"/>
  <c r="G25" i="5"/>
  <c r="G38" i="5"/>
  <c r="DB5" i="5"/>
  <c r="DB14" i="5" s="1"/>
  <c r="G18" i="5"/>
  <c r="G29" i="5"/>
  <c r="F88" i="3"/>
  <c r="B88" i="3" s="1"/>
  <c r="B87" i="3"/>
  <c r="L25" i="12" l="1"/>
  <c r="S24" i="11"/>
  <c r="E25" i="12"/>
  <c r="P25" i="12"/>
  <c r="U24" i="12"/>
  <c r="T24" i="12"/>
  <c r="G24" i="11"/>
  <c r="F24" i="11"/>
  <c r="K24" i="11"/>
  <c r="U24" i="11"/>
  <c r="N25" i="12"/>
  <c r="N24" i="11"/>
  <c r="Q25" i="12"/>
  <c r="P25" i="11"/>
  <c r="F25" i="12"/>
  <c r="M24" i="11"/>
  <c r="H24" i="11"/>
  <c r="H25" i="12"/>
  <c r="U25" i="12"/>
  <c r="J25" i="12"/>
  <c r="S25" i="11"/>
  <c r="G24" i="12"/>
  <c r="O24" i="11"/>
  <c r="K25" i="11"/>
  <c r="O24" i="12"/>
  <c r="I25" i="11"/>
  <c r="R24" i="11"/>
  <c r="E24" i="12"/>
  <c r="M24" i="12"/>
  <c r="N24" i="12"/>
  <c r="I25" i="12"/>
  <c r="E24" i="11"/>
  <c r="G25" i="11"/>
  <c r="T24" i="11"/>
  <c r="K25" i="12"/>
  <c r="O25" i="11"/>
  <c r="J24" i="12"/>
  <c r="M25" i="11"/>
  <c r="J24" i="11"/>
  <c r="P24" i="11"/>
  <c r="S25" i="12"/>
  <c r="U25" i="11"/>
  <c r="K24" i="12"/>
  <c r="T25" i="11"/>
  <c r="R24" i="12"/>
  <c r="L24" i="12"/>
  <c r="Q25" i="11"/>
  <c r="G25" i="12"/>
  <c r="P24" i="12"/>
  <c r="F25" i="11"/>
  <c r="F24" i="12"/>
  <c r="M25" i="12"/>
  <c r="T25" i="12"/>
  <c r="I24" i="12"/>
  <c r="L25" i="11"/>
  <c r="Q24" i="12"/>
  <c r="H25" i="11"/>
  <c r="J25" i="11"/>
  <c r="Q24" i="11"/>
  <c r="R25" i="12"/>
  <c r="R25" i="11"/>
  <c r="N25" i="11"/>
  <c r="I24" i="11"/>
  <c r="S24" i="12"/>
  <c r="O25" i="12"/>
  <c r="E25" i="11"/>
  <c r="H24" i="12"/>
  <c r="L24" i="11"/>
  <c r="BD88" i="3"/>
  <c r="CY40" i="3"/>
  <c r="BD40" i="3" s="1"/>
  <c r="BD50" i="3"/>
  <c r="BD51" i="3"/>
  <c r="AP24" i="12"/>
  <c r="AO24" i="12"/>
  <c r="AK24" i="12"/>
  <c r="AN24" i="12"/>
  <c r="AU24" i="11"/>
  <c r="AQ24" i="11"/>
  <c r="AM24" i="11"/>
  <c r="AT24" i="12"/>
  <c r="AL24" i="12"/>
  <c r="AV24" i="12"/>
  <c r="AV24" i="11"/>
  <c r="AK24" i="11"/>
  <c r="AW24" i="12"/>
  <c r="AS24" i="11"/>
  <c r="AR24" i="11"/>
  <c r="AN24" i="11"/>
  <c r="AQ24" i="12"/>
  <c r="AW24" i="11"/>
  <c r="AM24" i="12"/>
  <c r="AL24" i="11"/>
  <c r="AT24" i="11"/>
  <c r="AU24" i="12"/>
  <c r="AO24" i="11"/>
  <c r="AP24" i="11"/>
  <c r="AR24" i="12"/>
  <c r="AS24" i="12"/>
  <c r="AJ24" i="11"/>
  <c r="AC24" i="11"/>
  <c r="AF24" i="12"/>
  <c r="AH24" i="11"/>
  <c r="AB24" i="11"/>
  <c r="AG24" i="12"/>
  <c r="D9" i="12" a="1"/>
  <c r="D9" i="12" s="1"/>
  <c r="D24" i="12" s="1"/>
  <c r="W24" i="12"/>
  <c r="AJ24" i="12"/>
  <c r="AD24" i="11"/>
  <c r="AE24" i="11"/>
  <c r="AI24" i="12"/>
  <c r="AE24" i="12"/>
  <c r="Y24" i="11"/>
  <c r="Y24" i="12"/>
  <c r="AH24" i="12"/>
  <c r="AC24" i="12"/>
  <c r="AA24" i="12"/>
  <c r="V24" i="12"/>
  <c r="X24" i="11"/>
  <c r="Z24" i="12"/>
  <c r="W24" i="11"/>
  <c r="AB24" i="12"/>
  <c r="Z24" i="11"/>
  <c r="D9" i="11" a="1"/>
  <c r="D9" i="11" s="1"/>
  <c r="D24" i="11" s="1"/>
  <c r="AD24" i="12"/>
  <c r="AA24" i="11"/>
  <c r="AF24" i="11"/>
  <c r="AI24" i="11"/>
  <c r="AG24" i="11"/>
  <c r="X24" i="12"/>
  <c r="V24" i="11"/>
  <c r="CY13" i="3"/>
  <c r="BD13" i="3" s="1"/>
  <c r="CY8" i="3"/>
  <c r="BD8" i="3" s="1"/>
  <c r="CY30" i="3"/>
  <c r="BD30" i="3" s="1"/>
  <c r="CY29" i="3"/>
  <c r="BD29" i="3" s="1"/>
  <c r="CY10" i="3"/>
  <c r="BD10" i="3" s="1"/>
  <c r="CY16" i="3"/>
  <c r="BD16" i="3" s="1"/>
  <c r="CY28" i="3"/>
  <c r="BD28" i="3" s="1"/>
  <c r="CY14" i="3"/>
  <c r="BD14" i="3" s="1"/>
  <c r="CY41" i="3"/>
  <c r="BD41" i="3" s="1"/>
  <c r="CY15" i="3"/>
  <c r="BD15" i="3" s="1"/>
  <c r="CY7" i="3"/>
  <c r="CY31" i="3"/>
  <c r="BD31" i="3" s="1"/>
  <c r="CY9" i="3"/>
  <c r="BD9" i="3" s="1"/>
  <c r="CY22" i="3"/>
  <c r="BD22" i="3" s="1"/>
  <c r="CY24" i="3"/>
  <c r="BD24" i="3" s="1"/>
  <c r="CY25" i="3"/>
  <c r="BD25" i="3" s="1"/>
  <c r="CY23" i="3"/>
  <c r="BD23" i="3" s="1"/>
  <c r="G23" i="7" l="1"/>
  <c r="AG21" i="7"/>
  <c r="U24" i="7"/>
  <c r="P21" i="7"/>
  <c r="S23" i="7"/>
  <c r="Q24" i="7"/>
  <c r="M21" i="7"/>
  <c r="I21" i="7"/>
  <c r="U23" i="7"/>
  <c r="S25" i="7"/>
  <c r="U20" i="7"/>
  <c r="S24" i="7"/>
  <c r="F21" i="7"/>
  <c r="K21" i="7"/>
  <c r="P23" i="7"/>
  <c r="M21" i="11"/>
  <c r="F23" i="13"/>
  <c r="N21" i="11"/>
  <c r="H23" i="11"/>
  <c r="T21" i="12"/>
  <c r="N24" i="7"/>
  <c r="G21" i="10"/>
  <c r="K23" i="11"/>
  <c r="S20" i="13"/>
  <c r="S21" i="13"/>
  <c r="U19" i="12"/>
  <c r="R21" i="11"/>
  <c r="K23" i="7"/>
  <c r="F21" i="13"/>
  <c r="T20" i="12"/>
  <c r="S19" i="11"/>
  <c r="S21" i="10"/>
  <c r="F21" i="11"/>
  <c r="K21" i="11"/>
  <c r="G21" i="11"/>
  <c r="N23" i="10"/>
  <c r="P21" i="10"/>
  <c r="S19" i="10"/>
  <c r="S19" i="12"/>
  <c r="S22" i="10"/>
  <c r="T22" i="12"/>
  <c r="U20" i="13"/>
  <c r="P24" i="7"/>
  <c r="T23" i="13"/>
  <c r="S22" i="11"/>
  <c r="S23" i="10"/>
  <c r="U20" i="12"/>
  <c r="U23" i="13"/>
  <c r="E23" i="13"/>
  <c r="U25" i="10"/>
  <c r="U19" i="10"/>
  <c r="U24" i="10"/>
  <c r="U21" i="11"/>
  <c r="E21" i="11"/>
  <c r="L23" i="11"/>
  <c r="J23" i="11"/>
  <c r="P21" i="12"/>
  <c r="S23" i="11"/>
  <c r="U22" i="11"/>
  <c r="I21" i="11"/>
  <c r="S23" i="13"/>
  <c r="U23" i="11"/>
  <c r="E23" i="11"/>
  <c r="T22" i="13"/>
  <c r="J21" i="13"/>
  <c r="L21" i="11"/>
  <c r="I21" i="13"/>
  <c r="E24" i="7"/>
  <c r="T23" i="11"/>
  <c r="N23" i="11"/>
  <c r="S25" i="10"/>
  <c r="O21" i="13"/>
  <c r="U24" i="13"/>
  <c r="I21" i="10"/>
  <c r="I21" i="12"/>
  <c r="R21" i="10"/>
  <c r="F23" i="12"/>
  <c r="M24" i="10"/>
  <c r="S20" i="10"/>
  <c r="U22" i="12"/>
  <c r="N21" i="12"/>
  <c r="J23" i="12"/>
  <c r="T22" i="11"/>
  <c r="G21" i="13"/>
  <c r="H23" i="12"/>
  <c r="J21" i="10"/>
  <c r="U21" i="13"/>
  <c r="T19" i="11"/>
  <c r="R23" i="12"/>
  <c r="M23" i="11"/>
  <c r="L21" i="13"/>
  <c r="L23" i="13"/>
  <c r="S20" i="12"/>
  <c r="T20" i="10"/>
  <c r="T25" i="13"/>
  <c r="S19" i="13"/>
  <c r="M23" i="13"/>
  <c r="R23" i="13"/>
  <c r="T21" i="13"/>
  <c r="M21" i="10"/>
  <c r="N21" i="13"/>
  <c r="T21" i="7"/>
  <c r="H21" i="12"/>
  <c r="Q21" i="10"/>
  <c r="T19" i="13"/>
  <c r="U20" i="11"/>
  <c r="G21" i="12"/>
  <c r="M21" i="13"/>
  <c r="Q21" i="13"/>
  <c r="G23" i="11"/>
  <c r="L21" i="10"/>
  <c r="O23" i="10"/>
  <c r="T23" i="12"/>
  <c r="S22" i="13"/>
  <c r="P23" i="11"/>
  <c r="I23" i="12"/>
  <c r="O21" i="11"/>
  <c r="M23" i="12"/>
  <c r="F21" i="10"/>
  <c r="O21" i="10"/>
  <c r="F23" i="11"/>
  <c r="K21" i="10"/>
  <c r="P23" i="12"/>
  <c r="S20" i="11"/>
  <c r="K23" i="10"/>
  <c r="S22" i="12"/>
  <c r="P21" i="13"/>
  <c r="K21" i="13"/>
  <c r="I23" i="11"/>
  <c r="O21" i="12"/>
  <c r="R21" i="12"/>
  <c r="Q21" i="11"/>
  <c r="Q23" i="12"/>
  <c r="H21" i="13"/>
  <c r="S20" i="7"/>
  <c r="T24" i="13"/>
  <c r="S21" i="12"/>
  <c r="I23" i="10"/>
  <c r="K21" i="12"/>
  <c r="U25" i="13"/>
  <c r="N23" i="13"/>
  <c r="T21" i="11"/>
  <c r="U19" i="7"/>
  <c r="Q23" i="10"/>
  <c r="J23" i="10"/>
  <c r="R23" i="10"/>
  <c r="S23" i="12"/>
  <c r="T25" i="10"/>
  <c r="L23" i="10"/>
  <c r="M24" i="13"/>
  <c r="T20" i="11"/>
  <c r="G23" i="10"/>
  <c r="S21" i="11"/>
  <c r="K23" i="13"/>
  <c r="L23" i="12"/>
  <c r="H21" i="10"/>
  <c r="K23" i="12"/>
  <c r="S25" i="13"/>
  <c r="U21" i="12"/>
  <c r="E21" i="12"/>
  <c r="J23" i="13"/>
  <c r="G23" i="13"/>
  <c r="E21" i="13"/>
  <c r="U20" i="10"/>
  <c r="T20" i="13"/>
  <c r="M21" i="12"/>
  <c r="Q23" i="13"/>
  <c r="J21" i="12"/>
  <c r="T19" i="10"/>
  <c r="T23" i="10"/>
  <c r="U19" i="13"/>
  <c r="N21" i="10"/>
  <c r="R23" i="11"/>
  <c r="T22" i="10"/>
  <c r="P23" i="13"/>
  <c r="N23" i="12"/>
  <c r="T21" i="10"/>
  <c r="P21" i="11"/>
  <c r="F21" i="12"/>
  <c r="G23" i="12"/>
  <c r="Q23" i="11"/>
  <c r="I23" i="13"/>
  <c r="F23" i="10"/>
  <c r="P23" i="10"/>
  <c r="S24" i="13"/>
  <c r="T22" i="7"/>
  <c r="S24" i="10"/>
  <c r="U19" i="11"/>
  <c r="U23" i="12"/>
  <c r="E23" i="12"/>
  <c r="M23" i="10"/>
  <c r="T19" i="12"/>
  <c r="R21" i="13"/>
  <c r="J21" i="11"/>
  <c r="U22" i="10"/>
  <c r="O23" i="11"/>
  <c r="O23" i="12"/>
  <c r="Q21" i="12"/>
  <c r="H21" i="11"/>
  <c r="H23" i="13"/>
  <c r="O23" i="13"/>
  <c r="H23" i="10"/>
  <c r="L21" i="12"/>
  <c r="T24" i="10"/>
  <c r="U21" i="7"/>
  <c r="U22" i="13"/>
  <c r="T20" i="7"/>
  <c r="T23" i="7"/>
  <c r="T19" i="7"/>
  <c r="E23" i="7"/>
  <c r="M23" i="7"/>
  <c r="G24" i="7"/>
  <c r="O24" i="7"/>
  <c r="P23" i="14"/>
  <c r="W43" i="1"/>
  <c r="P21" i="14"/>
  <c r="I24" i="7"/>
  <c r="J24" i="7"/>
  <c r="U22" i="14"/>
  <c r="M24" i="14"/>
  <c r="Q21" i="14"/>
  <c r="S20" i="14"/>
  <c r="G23" i="14"/>
  <c r="F23" i="14"/>
  <c r="K23" i="14"/>
  <c r="T23" i="14"/>
  <c r="K21" i="14"/>
  <c r="F21" i="14"/>
  <c r="M21" i="14"/>
  <c r="U20" i="14"/>
  <c r="O21" i="14"/>
  <c r="T21" i="14"/>
  <c r="I21" i="14"/>
  <c r="T22" i="14"/>
  <c r="E23" i="14"/>
  <c r="T24" i="14"/>
  <c r="S19" i="14"/>
  <c r="I23" i="14"/>
  <c r="S25" i="14"/>
  <c r="J21" i="14"/>
  <c r="S23" i="14"/>
  <c r="M24" i="7"/>
  <c r="H23" i="14"/>
  <c r="E21" i="14"/>
  <c r="R23" i="14"/>
  <c r="O23" i="14"/>
  <c r="S21" i="14"/>
  <c r="G21" i="14"/>
  <c r="U24" i="14"/>
  <c r="T20" i="14"/>
  <c r="U25" i="14"/>
  <c r="M23" i="14"/>
  <c r="N23" i="14"/>
  <c r="L23" i="7"/>
  <c r="Q23" i="7"/>
  <c r="T25" i="14"/>
  <c r="Q23" i="14"/>
  <c r="L23" i="14"/>
  <c r="U21" i="14"/>
  <c r="H21" i="14"/>
  <c r="U23" i="14"/>
  <c r="J23" i="14"/>
  <c r="R21" i="14"/>
  <c r="L21" i="14"/>
  <c r="N21" i="14"/>
  <c r="S22" i="14"/>
  <c r="S24" i="14"/>
  <c r="S22" i="7"/>
  <c r="S19" i="7"/>
  <c r="U22" i="7"/>
  <c r="T24" i="7"/>
  <c r="R23" i="7"/>
  <c r="H23" i="7"/>
  <c r="O23" i="7"/>
  <c r="I23" i="7"/>
  <c r="N23" i="7"/>
  <c r="J23" i="7"/>
  <c r="F23" i="7"/>
  <c r="U25" i="7"/>
  <c r="S21" i="7"/>
  <c r="T25" i="7"/>
  <c r="AA43" i="1"/>
  <c r="AG43" i="1"/>
  <c r="AD43" i="1"/>
  <c r="AE43" i="1"/>
  <c r="AE21" i="7"/>
  <c r="AB43" i="1"/>
  <c r="G21" i="7"/>
  <c r="Z21" i="7"/>
  <c r="R21" i="7"/>
  <c r="AB21" i="7"/>
  <c r="AC43" i="1"/>
  <c r="X43" i="1"/>
  <c r="AH43" i="1"/>
  <c r="BD7" i="3"/>
  <c r="Y43" i="1"/>
  <c r="E21" i="7"/>
  <c r="Z43" i="1"/>
  <c r="U43" i="1"/>
  <c r="X21" i="7"/>
  <c r="V43" i="1"/>
  <c r="AF43" i="1"/>
  <c r="AD21" i="7"/>
  <c r="T43" i="1"/>
  <c r="AU19" i="13"/>
  <c r="AQ20" i="12"/>
  <c r="AL20" i="10"/>
  <c r="AT20" i="11"/>
  <c r="AP20" i="11"/>
  <c r="AM21" i="10"/>
  <c r="AQ21" i="11"/>
  <c r="AS21" i="10"/>
  <c r="AV21" i="13"/>
  <c r="AV22" i="13"/>
  <c r="AU25" i="13"/>
  <c r="AU24" i="10"/>
  <c r="AU23" i="10"/>
  <c r="AM20" i="14"/>
  <c r="AW19" i="13"/>
  <c r="AW20" i="12"/>
  <c r="AP20" i="12"/>
  <c r="AW22" i="13"/>
  <c r="AN21" i="14"/>
  <c r="AV20" i="10"/>
  <c r="AK20" i="11"/>
  <c r="AN20" i="11"/>
  <c r="AK19" i="11"/>
  <c r="AT19" i="11"/>
  <c r="AR21" i="14"/>
  <c r="AO21" i="12"/>
  <c r="AR20" i="11"/>
  <c r="AO20" i="12"/>
  <c r="AN19" i="11"/>
  <c r="AS22" i="14"/>
  <c r="AU21" i="13"/>
  <c r="AQ21" i="12"/>
  <c r="AO20" i="11"/>
  <c r="AK20" i="12"/>
  <c r="AP19" i="12"/>
  <c r="AU23" i="13"/>
  <c r="AS20" i="10"/>
  <c r="AV19" i="13"/>
  <c r="AV20" i="12"/>
  <c r="AM19" i="11"/>
  <c r="AK24" i="10"/>
  <c r="AN21" i="11"/>
  <c r="AJ25" i="12"/>
  <c r="AV20" i="14"/>
  <c r="AN20" i="10"/>
  <c r="AT20" i="12"/>
  <c r="AU19" i="11"/>
  <c r="AW25" i="13"/>
  <c r="AV24" i="10"/>
  <c r="AL20" i="12"/>
  <c r="AR19" i="7"/>
  <c r="AU19" i="12"/>
  <c r="AS19" i="11"/>
  <c r="AV24" i="13"/>
  <c r="AV20" i="11"/>
  <c r="AU24" i="13"/>
  <c r="AJ23" i="7"/>
  <c r="AJ23" i="11"/>
  <c r="AR20" i="10"/>
  <c r="AS20" i="11"/>
  <c r="AM20" i="12"/>
  <c r="AL19" i="10"/>
  <c r="AQ19" i="10"/>
  <c r="AW24" i="10"/>
  <c r="AM21" i="11"/>
  <c r="AJ25" i="11"/>
  <c r="AU20" i="10"/>
  <c r="AU20" i="14"/>
  <c r="AU20" i="12"/>
  <c r="AS20" i="12"/>
  <c r="AK19" i="10"/>
  <c r="AO19" i="12"/>
  <c r="AV23" i="13"/>
  <c r="AW21" i="13"/>
  <c r="AK21" i="11"/>
  <c r="AM19" i="12"/>
  <c r="AM20" i="11"/>
  <c r="AV19" i="11"/>
  <c r="AO19" i="10"/>
  <c r="AP19" i="10"/>
  <c r="AU22" i="13"/>
  <c r="AR21" i="10"/>
  <c r="AW24" i="13"/>
  <c r="AV20" i="13"/>
  <c r="AR20" i="12"/>
  <c r="AW20" i="10"/>
  <c r="AO20" i="10"/>
  <c r="AL19" i="14"/>
  <c r="AS19" i="10"/>
  <c r="AT19" i="12"/>
  <c r="AW21" i="10"/>
  <c r="AL24" i="10"/>
  <c r="AR24" i="10"/>
  <c r="AU20" i="13"/>
  <c r="AI25" i="11"/>
  <c r="AQ20" i="11"/>
  <c r="AV19" i="12"/>
  <c r="AL19" i="12"/>
  <c r="AQ24" i="10"/>
  <c r="AK21" i="10"/>
  <c r="AP21" i="12"/>
  <c r="AW23" i="13"/>
  <c r="AI25" i="12"/>
  <c r="AR19" i="11"/>
  <c r="AP25" i="11"/>
  <c r="AR21" i="11"/>
  <c r="AM24" i="10"/>
  <c r="AS24" i="14"/>
  <c r="AW20" i="13"/>
  <c r="AX9" i="12"/>
  <c r="AZ24" i="12" s="1"/>
  <c r="AW21" i="14"/>
  <c r="AM24" i="14"/>
  <c r="AW23" i="14"/>
  <c r="AT21" i="14"/>
  <c r="AO25" i="14"/>
  <c r="Z21" i="14"/>
  <c r="AK22" i="14"/>
  <c r="AU21" i="14"/>
  <c r="AW24" i="14"/>
  <c r="AN23" i="14"/>
  <c r="AM25" i="14"/>
  <c r="AQ24" i="14"/>
  <c r="AU22" i="14"/>
  <c r="AK24" i="14"/>
  <c r="AT24" i="14"/>
  <c r="AV21" i="14"/>
  <c r="AT25" i="14"/>
  <c r="AT19" i="14"/>
  <c r="AQ19" i="14"/>
  <c r="AO22" i="14"/>
  <c r="AJ25" i="14"/>
  <c r="AP21" i="14"/>
  <c r="AJ21" i="14"/>
  <c r="AW19" i="14"/>
  <c r="AS23" i="14"/>
  <c r="AQ21" i="14"/>
  <c r="AC21" i="14"/>
  <c r="AE21" i="14"/>
  <c r="V21" i="14"/>
  <c r="AR20" i="14"/>
  <c r="AW20" i="14"/>
  <c r="AO19" i="14"/>
  <c r="AI22" i="14"/>
  <c r="AT20" i="14"/>
  <c r="AL22" i="14"/>
  <c r="AR19" i="14"/>
  <c r="AM19" i="14"/>
  <c r="AN19" i="14"/>
  <c r="AP22" i="14"/>
  <c r="AD21" i="14"/>
  <c r="AJ23" i="14"/>
  <c r="AJ24" i="14"/>
  <c r="AL20" i="14"/>
  <c r="AQ23" i="14"/>
  <c r="AK23" i="14"/>
  <c r="AC23" i="14"/>
  <c r="AQ20" i="14"/>
  <c r="AI19" i="14"/>
  <c r="AM21" i="14"/>
  <c r="AS19" i="14"/>
  <c r="AR25" i="14"/>
  <c r="AU25" i="14"/>
  <c r="AI24" i="14"/>
  <c r="AR23" i="14"/>
  <c r="AN22" i="14"/>
  <c r="AP19" i="14"/>
  <c r="Y21" i="14"/>
  <c r="AR24" i="14"/>
  <c r="AL21" i="14"/>
  <c r="AH21" i="14"/>
  <c r="AU19" i="14"/>
  <c r="AO23" i="14"/>
  <c r="AV19" i="14"/>
  <c r="AO24" i="14"/>
  <c r="AN24" i="14"/>
  <c r="AT22" i="14"/>
  <c r="AS21" i="14"/>
  <c r="D6" i="14" a="1"/>
  <c r="D6" i="14" s="1"/>
  <c r="D21" i="14" s="1"/>
  <c r="AJ20" i="14"/>
  <c r="AM23" i="14"/>
  <c r="AN20" i="14"/>
  <c r="AK21" i="14"/>
  <c r="AK25" i="14"/>
  <c r="AT23" i="14"/>
  <c r="W21" i="14"/>
  <c r="AI25" i="14"/>
  <c r="AI21" i="14"/>
  <c r="AR22" i="14"/>
  <c r="AM22" i="14"/>
  <c r="AN25" i="14"/>
  <c r="AS25" i="14"/>
  <c r="AO20" i="14"/>
  <c r="AK20" i="14"/>
  <c r="AW25" i="14"/>
  <c r="AV23" i="14"/>
  <c r="AI23" i="14"/>
  <c r="AJ22" i="14"/>
  <c r="AL24" i="14"/>
  <c r="AP24" i="14"/>
  <c r="AL25" i="14"/>
  <c r="AO21" i="14"/>
  <c r="X21" i="14"/>
  <c r="AS20" i="14"/>
  <c r="AK19" i="14"/>
  <c r="AW22" i="14"/>
  <c r="AP23" i="14"/>
  <c r="AV24" i="14"/>
  <c r="AP25" i="14"/>
  <c r="AI20" i="14"/>
  <c r="AV25" i="14"/>
  <c r="AG21" i="14"/>
  <c r="AQ25" i="14"/>
  <c r="AV22" i="14"/>
  <c r="AU24" i="14"/>
  <c r="AB21" i="14"/>
  <c r="AF21" i="14"/>
  <c r="AA21" i="14"/>
  <c r="AJ19" i="14"/>
  <c r="AL23" i="14"/>
  <c r="AQ22" i="14"/>
  <c r="AU23" i="14"/>
  <c r="AP20" i="14"/>
  <c r="AC23" i="13"/>
  <c r="AI25" i="13"/>
  <c r="AJ21" i="13"/>
  <c r="AQ21" i="13"/>
  <c r="AR23" i="13"/>
  <c r="AS22" i="13"/>
  <c r="AM22" i="13"/>
  <c r="AN20" i="13"/>
  <c r="AC21" i="13"/>
  <c r="Y21" i="13"/>
  <c r="AT24" i="13"/>
  <c r="AP23" i="13"/>
  <c r="AK22" i="13"/>
  <c r="AT23" i="13"/>
  <c r="AO25" i="13"/>
  <c r="AO20" i="13"/>
  <c r="AA21" i="13"/>
  <c r="AJ23" i="13"/>
  <c r="AJ22" i="13"/>
  <c r="AJ19" i="13"/>
  <c r="AR24" i="13"/>
  <c r="AT25" i="13"/>
  <c r="AS25" i="13"/>
  <c r="AP24" i="13"/>
  <c r="AL23" i="13"/>
  <c r="AT22" i="13"/>
  <c r="AP20" i="13"/>
  <c r="AD21" i="13"/>
  <c r="AI22" i="13"/>
  <c r="AL19" i="13"/>
  <c r="AM23" i="13"/>
  <c r="AL20" i="13"/>
  <c r="V21" i="13"/>
  <c r="AJ24" i="13"/>
  <c r="AS19" i="13"/>
  <c r="AR25" i="13"/>
  <c r="AN21" i="13"/>
  <c r="AT21" i="13"/>
  <c r="AS20" i="13"/>
  <c r="AI23" i="13"/>
  <c r="AR19" i="13"/>
  <c r="AN24" i="13"/>
  <c r="AK25" i="13"/>
  <c r="AQ22" i="13"/>
  <c r="AK24" i="13"/>
  <c r="AQ20" i="13"/>
  <c r="AE21" i="13"/>
  <c r="AL24" i="13"/>
  <c r="AR20" i="13"/>
  <c r="AQ25" i="13"/>
  <c r="AL21" i="13"/>
  <c r="AF21" i="13"/>
  <c r="AI24" i="13"/>
  <c r="AK19" i="13"/>
  <c r="AQ24" i="13"/>
  <c r="AN25" i="13"/>
  <c r="AR21" i="13"/>
  <c r="AN23" i="13"/>
  <c r="AB21" i="13"/>
  <c r="W21" i="13"/>
  <c r="AN22" i="13"/>
  <c r="AO24" i="13"/>
  <c r="AK23" i="13"/>
  <c r="AQ19" i="13"/>
  <c r="AJ20" i="13"/>
  <c r="AO23" i="13"/>
  <c r="AP21" i="13"/>
  <c r="AS21" i="13"/>
  <c r="AQ23" i="13"/>
  <c r="AK20" i="13"/>
  <c r="AP19" i="13"/>
  <c r="Z21" i="13"/>
  <c r="AG21" i="13"/>
  <c r="D6" i="13" a="1"/>
  <c r="D6" i="13" s="1"/>
  <c r="D21" i="13" s="1"/>
  <c r="AI20" i="13"/>
  <c r="AT19" i="13"/>
  <c r="AM25" i="13"/>
  <c r="AS23" i="13"/>
  <c r="AP25" i="13"/>
  <c r="AS24" i="13"/>
  <c r="AM21" i="13"/>
  <c r="AM20" i="13"/>
  <c r="AM19" i="13"/>
  <c r="AO19" i="13"/>
  <c r="AN19" i="13"/>
  <c r="AI21" i="13"/>
  <c r="AP22" i="13"/>
  <c r="AH21" i="13"/>
  <c r="X21" i="13"/>
  <c r="AK21" i="13"/>
  <c r="AT20" i="13"/>
  <c r="AJ25" i="13"/>
  <c r="AI19" i="13"/>
  <c r="AO22" i="13"/>
  <c r="AL25" i="13"/>
  <c r="AM24" i="13"/>
  <c r="AR22" i="13"/>
  <c r="AL22" i="13"/>
  <c r="AO21" i="13"/>
  <c r="D6" i="9" a="1"/>
  <c r="D6" i="9" s="1"/>
  <c r="AW19" i="10"/>
  <c r="AV19" i="10"/>
  <c r="AQ21" i="10"/>
  <c r="AR21" i="12"/>
  <c r="AU21" i="11"/>
  <c r="AT20" i="10"/>
  <c r="AN21" i="10"/>
  <c r="AU21" i="12"/>
  <c r="AL21" i="10"/>
  <c r="AU21" i="10"/>
  <c r="AN23" i="12"/>
  <c r="AS21" i="12"/>
  <c r="AT21" i="10"/>
  <c r="AV21" i="10"/>
  <c r="AO21" i="11"/>
  <c r="AL21" i="12"/>
  <c r="AL19" i="7"/>
  <c r="AW21" i="11"/>
  <c r="AT23" i="11"/>
  <c r="AN21" i="12"/>
  <c r="AT21" i="11"/>
  <c r="AM21" i="12"/>
  <c r="AO23" i="10"/>
  <c r="AT21" i="12"/>
  <c r="AP23" i="11"/>
  <c r="AV21" i="12"/>
  <c r="AT23" i="12"/>
  <c r="AL21" i="11"/>
  <c r="AV23" i="12"/>
  <c r="AP21" i="11"/>
  <c r="AV21" i="11"/>
  <c r="AL23" i="12"/>
  <c r="AS23" i="11"/>
  <c r="AP21" i="10"/>
  <c r="AO23" i="11"/>
  <c r="AO21" i="10"/>
  <c r="AS21" i="11"/>
  <c r="AM23" i="12"/>
  <c r="AQ19" i="12"/>
  <c r="AN20" i="12"/>
  <c r="AS23" i="12"/>
  <c r="AN19" i="10"/>
  <c r="AR19" i="12"/>
  <c r="AL19" i="11"/>
  <c r="AT23" i="10"/>
  <c r="AW19" i="11"/>
  <c r="AV23" i="10"/>
  <c r="AK19" i="12"/>
  <c r="AP24" i="7"/>
  <c r="AW20" i="11"/>
  <c r="AS24" i="10"/>
  <c r="AV23" i="11"/>
  <c r="AN19" i="12"/>
  <c r="AM19" i="10"/>
  <c r="AQ19" i="11"/>
  <c r="AW19" i="12"/>
  <c r="AU23" i="12"/>
  <c r="AL23" i="10"/>
  <c r="AP23" i="10"/>
  <c r="AL23" i="11"/>
  <c r="AK23" i="10"/>
  <c r="AP22" i="11"/>
  <c r="AU20" i="11"/>
  <c r="AT19" i="10"/>
  <c r="AP22" i="10"/>
  <c r="AN23" i="10"/>
  <c r="AK23" i="11"/>
  <c r="AU22" i="10"/>
  <c r="AN25" i="10"/>
  <c r="AR19" i="10"/>
  <c r="AU23" i="7"/>
  <c r="AL20" i="11"/>
  <c r="AT25" i="10"/>
  <c r="AW25" i="11"/>
  <c r="AV25" i="11"/>
  <c r="AL22" i="12"/>
  <c r="AN23" i="11"/>
  <c r="AM23" i="11"/>
  <c r="AL25" i="11"/>
  <c r="AQ23" i="10"/>
  <c r="AN22" i="11"/>
  <c r="AM22" i="11"/>
  <c r="AV24" i="7"/>
  <c r="AT22" i="12"/>
  <c r="AO25" i="11"/>
  <c r="AL22" i="10"/>
  <c r="AO22" i="10"/>
  <c r="AV22" i="10"/>
  <c r="AS22" i="12"/>
  <c r="AV25" i="10"/>
  <c r="AU22" i="11"/>
  <c r="AQ22" i="10"/>
  <c r="AK23" i="12"/>
  <c r="AO23" i="12"/>
  <c r="AU25" i="11"/>
  <c r="AW25" i="12"/>
  <c r="AU19" i="10"/>
  <c r="AU22" i="12"/>
  <c r="AS25" i="10"/>
  <c r="AU25" i="12"/>
  <c r="AM20" i="10"/>
  <c r="AM22" i="10"/>
  <c r="AN22" i="12"/>
  <c r="AQ22" i="11"/>
  <c r="AW22" i="12"/>
  <c r="AK22" i="10"/>
  <c r="AR22" i="10"/>
  <c r="AU23" i="11"/>
  <c r="AU25" i="10"/>
  <c r="AV22" i="12"/>
  <c r="AN22" i="10"/>
  <c r="AQ22" i="12"/>
  <c r="AR25" i="12"/>
  <c r="AO22" i="12"/>
  <c r="AN25" i="12"/>
  <c r="AO25" i="12"/>
  <c r="AW23" i="11"/>
  <c r="AK22" i="12"/>
  <c r="AR22" i="12"/>
  <c r="AT22" i="10"/>
  <c r="AV25" i="12"/>
  <c r="AN25" i="11"/>
  <c r="AK20" i="10"/>
  <c r="AW22" i="11"/>
  <c r="AP22" i="12"/>
  <c r="AW22" i="10"/>
  <c r="AK22" i="11"/>
  <c r="AL22" i="11"/>
  <c r="AQ25" i="12"/>
  <c r="AP19" i="11"/>
  <c r="AR22" i="11"/>
  <c r="AK25" i="10"/>
  <c r="AR23" i="10"/>
  <c r="AP25" i="10"/>
  <c r="AS23" i="10"/>
  <c r="AN24" i="10"/>
  <c r="AK25" i="12"/>
  <c r="AL25" i="12"/>
  <c r="AR25" i="10"/>
  <c r="AW25" i="10"/>
  <c r="AW23" i="10"/>
  <c r="AT22" i="11"/>
  <c r="AR25" i="11"/>
  <c r="AQ25" i="11"/>
  <c r="AS22" i="11"/>
  <c r="AR23" i="12"/>
  <c r="AQ23" i="11"/>
  <c r="AL25" i="10"/>
  <c r="AM22" i="12"/>
  <c r="AK25" i="11"/>
  <c r="AT25" i="11"/>
  <c r="AP20" i="10"/>
  <c r="AO22" i="11"/>
  <c r="AQ23" i="12"/>
  <c r="AM23" i="10"/>
  <c r="AR23" i="11"/>
  <c r="AT25" i="12"/>
  <c r="AM25" i="12"/>
  <c r="AM25" i="10"/>
  <c r="AS25" i="12"/>
  <c r="AS25" i="11"/>
  <c r="AP23" i="12"/>
  <c r="AP24" i="10"/>
  <c r="AT24" i="10"/>
  <c r="AO25" i="10"/>
  <c r="AS22" i="10"/>
  <c r="AQ25" i="7"/>
  <c r="AW23" i="12"/>
  <c r="AQ25" i="10"/>
  <c r="AO24" i="10"/>
  <c r="AV22" i="11"/>
  <c r="AP25" i="12"/>
  <c r="AM25" i="11"/>
  <c r="AQ20" i="10"/>
  <c r="AV20" i="7"/>
  <c r="AL24" i="7"/>
  <c r="AQ20" i="7"/>
  <c r="AL21" i="7"/>
  <c r="AR22" i="7"/>
  <c r="AL20" i="7"/>
  <c r="AV19" i="7"/>
  <c r="AL23" i="7"/>
  <c r="AU25" i="7"/>
  <c r="AM20" i="7"/>
  <c r="AU24" i="7"/>
  <c r="AK25" i="7"/>
  <c r="AR20" i="7"/>
  <c r="AL25" i="7"/>
  <c r="AL22" i="7"/>
  <c r="AO22" i="7"/>
  <c r="AX9" i="11"/>
  <c r="AZ24" i="11" s="1"/>
  <c r="AK19" i="7"/>
  <c r="AT22" i="7"/>
  <c r="AT19" i="7"/>
  <c r="AS21" i="7"/>
  <c r="AN22" i="7"/>
  <c r="AO24" i="7"/>
  <c r="AK22" i="7"/>
  <c r="AW19" i="7"/>
  <c r="AN25" i="7"/>
  <c r="AO25" i="7"/>
  <c r="AT23" i="7"/>
  <c r="AT20" i="7"/>
  <c r="AS23" i="7"/>
  <c r="AV21" i="7"/>
  <c r="AT24" i="7"/>
  <c r="AV22" i="7"/>
  <c r="AP22" i="7"/>
  <c r="AM19" i="7"/>
  <c r="AN20" i="7"/>
  <c r="AT25" i="7"/>
  <c r="AP19" i="7"/>
  <c r="AQ19" i="7"/>
  <c r="AR23" i="7"/>
  <c r="AW24" i="7"/>
  <c r="AS19" i="7"/>
  <c r="AN19" i="7"/>
  <c r="AU22" i="7"/>
  <c r="AO20" i="7"/>
  <c r="AW20" i="7"/>
  <c r="AK20" i="7"/>
  <c r="AK21" i="7"/>
  <c r="AM24" i="7"/>
  <c r="AM22" i="7"/>
  <c r="AQ23" i="7"/>
  <c r="AS22" i="7"/>
  <c r="AW21" i="7"/>
  <c r="AW22" i="7"/>
  <c r="AW23" i="7"/>
  <c r="AK23" i="7"/>
  <c r="AU20" i="7"/>
  <c r="AQ22" i="7"/>
  <c r="AW25" i="7"/>
  <c r="AS24" i="7"/>
  <c r="AP20" i="7"/>
  <c r="AR24" i="7"/>
  <c r="AK24" i="7"/>
  <c r="AT21" i="7"/>
  <c r="AP23" i="7"/>
  <c r="AU21" i="7"/>
  <c r="AQ21" i="7"/>
  <c r="AS20" i="7"/>
  <c r="AR21" i="7"/>
  <c r="AM25" i="7"/>
  <c r="AP25" i="7"/>
  <c r="AR25" i="7"/>
  <c r="AP21" i="7"/>
  <c r="AQ24" i="7"/>
  <c r="AN24" i="7"/>
  <c r="AO19" i="7"/>
  <c r="AN21" i="7"/>
  <c r="AU19" i="7"/>
  <c r="AM23" i="7"/>
  <c r="AS25" i="7"/>
  <c r="AO23" i="7"/>
  <c r="AV25" i="7"/>
  <c r="AV23" i="7"/>
  <c r="AO21" i="7"/>
  <c r="AN23" i="7"/>
  <c r="AM21" i="7"/>
  <c r="AJ22" i="10"/>
  <c r="AJ22" i="12"/>
  <c r="AJ22" i="11"/>
  <c r="AJ20" i="11"/>
  <c r="AJ21" i="7"/>
  <c r="AJ24" i="10"/>
  <c r="AI23" i="10"/>
  <c r="AJ20" i="10"/>
  <c r="AJ20" i="7"/>
  <c r="AJ19" i="10"/>
  <c r="AI21" i="12"/>
  <c r="AI21" i="11"/>
  <c r="AJ23" i="12"/>
  <c r="AJ19" i="7"/>
  <c r="AI24" i="7"/>
  <c r="AI23" i="12"/>
  <c r="AI20" i="10"/>
  <c r="AI20" i="7"/>
  <c r="AI22" i="12"/>
  <c r="AI20" i="11"/>
  <c r="AJ21" i="10"/>
  <c r="AI24" i="10"/>
  <c r="AJ25" i="10"/>
  <c r="AI25" i="7"/>
  <c r="AI22" i="11"/>
  <c r="AI19" i="12"/>
  <c r="AJ19" i="12"/>
  <c r="AJ23" i="10"/>
  <c r="AI21" i="10"/>
  <c r="AI25" i="10"/>
  <c r="AJ22" i="7"/>
  <c r="AI19" i="7"/>
  <c r="AJ20" i="12"/>
  <c r="AI19" i="10"/>
  <c r="AJ19" i="11"/>
  <c r="AJ24" i="7"/>
  <c r="AJ21" i="11"/>
  <c r="AI23" i="7"/>
  <c r="AI23" i="11"/>
  <c r="AJ21" i="12"/>
  <c r="AJ25" i="7"/>
  <c r="AI21" i="7"/>
  <c r="AI22" i="10"/>
  <c r="AI20" i="12"/>
  <c r="AI19" i="11"/>
  <c r="AI22" i="7"/>
  <c r="X21" i="12"/>
  <c r="AC21" i="12"/>
  <c r="AB21" i="12"/>
  <c r="D6" i="12" a="1"/>
  <c r="D6" i="12" s="1"/>
  <c r="D21" i="12" s="1"/>
  <c r="V21" i="12"/>
  <c r="AA21" i="12"/>
  <c r="Y21" i="12"/>
  <c r="AE21" i="12"/>
  <c r="AD21" i="12"/>
  <c r="AG21" i="12"/>
  <c r="AH21" i="12"/>
  <c r="AF21" i="12"/>
  <c r="W21" i="12"/>
  <c r="Z21" i="12"/>
  <c r="Z21" i="11"/>
  <c r="V21" i="11"/>
  <c r="AD21" i="11"/>
  <c r="AH21" i="11"/>
  <c r="AE21" i="11"/>
  <c r="D6" i="11" a="1"/>
  <c r="D6" i="11" s="1"/>
  <c r="D21" i="11" s="1"/>
  <c r="AA21" i="11"/>
  <c r="AC21" i="11"/>
  <c r="AB21" i="11"/>
  <c r="W21" i="11"/>
  <c r="X21" i="11"/>
  <c r="Y21" i="11"/>
  <c r="AG21" i="11"/>
  <c r="AF21" i="11"/>
  <c r="AA21" i="10"/>
  <c r="AG21" i="10"/>
  <c r="W21" i="10"/>
  <c r="AD21" i="10"/>
  <c r="D6" i="10" a="1"/>
  <c r="D6" i="10" s="1"/>
  <c r="D21" i="10" s="1"/>
  <c r="AE21" i="10"/>
  <c r="AC21" i="10"/>
  <c r="V21" i="10"/>
  <c r="Z21" i="10"/>
  <c r="Y21" i="10"/>
  <c r="AF21" i="10"/>
  <c r="X21" i="10"/>
  <c r="AH21" i="10"/>
  <c r="AB21" i="10"/>
  <c r="AA21" i="7"/>
  <c r="AF21" i="7"/>
  <c r="S13" i="13" l="1"/>
  <c r="AJ13" i="13"/>
  <c r="U13" i="13"/>
  <c r="T13" i="13"/>
  <c r="AK13" i="13"/>
  <c r="AL13" i="13"/>
  <c r="AI13" i="13"/>
  <c r="E21" i="10"/>
  <c r="U21" i="10"/>
  <c r="E23" i="10"/>
  <c r="U23" i="10"/>
  <c r="H24" i="7"/>
  <c r="F24" i="7"/>
  <c r="E24" i="10"/>
  <c r="AC21" i="7"/>
  <c r="Y21" i="7"/>
  <c r="U23" i="9"/>
  <c r="U39" i="9" s="1"/>
  <c r="U24" i="9"/>
  <c r="U40" i="9" s="1"/>
  <c r="T18" i="9"/>
  <c r="T34" i="9" s="1"/>
  <c r="S20" i="9"/>
  <c r="S36" i="9" s="1"/>
  <c r="S18" i="9"/>
  <c r="S34" i="9" s="1"/>
  <c r="U19" i="9"/>
  <c r="U35" i="9" s="1"/>
  <c r="T24" i="9"/>
  <c r="T40" i="9" s="1"/>
  <c r="T20" i="9"/>
  <c r="T36" i="9" s="1"/>
  <c r="T23" i="9"/>
  <c r="T39" i="9" s="1"/>
  <c r="S22" i="9"/>
  <c r="S38" i="9" s="1"/>
  <c r="T22" i="9"/>
  <c r="T38" i="9" s="1"/>
  <c r="S23" i="9"/>
  <c r="S39" i="9" s="1"/>
  <c r="S21" i="9"/>
  <c r="S37" i="9" s="1"/>
  <c r="T19" i="9"/>
  <c r="T35" i="9" s="1"/>
  <c r="U18" i="9"/>
  <c r="U34" i="9" s="1"/>
  <c r="U22" i="9"/>
  <c r="U38" i="9" s="1"/>
  <c r="S24" i="9"/>
  <c r="S40" i="9" s="1"/>
  <c r="S19" i="9"/>
  <c r="S35" i="9" s="1"/>
  <c r="T21" i="9"/>
  <c r="T37" i="9" s="1"/>
  <c r="U21" i="9"/>
  <c r="U37" i="9" s="1"/>
  <c r="U20" i="9"/>
  <c r="U36" i="9" s="1"/>
  <c r="S13" i="14"/>
  <c r="S45" i="14"/>
  <c r="T54" i="1" s="1"/>
  <c r="U19" i="14"/>
  <c r="T19" i="14"/>
  <c r="V21" i="7"/>
  <c r="W21" i="7"/>
  <c r="U45" i="13"/>
  <c r="S45" i="13"/>
  <c r="T45" i="13"/>
  <c r="N21" i="7"/>
  <c r="S13" i="10"/>
  <c r="S45" i="10"/>
  <c r="T45" i="10"/>
  <c r="T13" i="10"/>
  <c r="L21" i="7"/>
  <c r="H21" i="7"/>
  <c r="T45" i="7"/>
  <c r="U53" i="1" s="1"/>
  <c r="T13" i="7"/>
  <c r="O21" i="7"/>
  <c r="J21" i="7"/>
  <c r="S45" i="7"/>
  <c r="T53" i="1" s="1"/>
  <c r="S13" i="7"/>
  <c r="Q21" i="7"/>
  <c r="U45" i="7"/>
  <c r="U13" i="7"/>
  <c r="S13" i="12"/>
  <c r="S45" i="12"/>
  <c r="S46" i="12" s="1"/>
  <c r="U13" i="12"/>
  <c r="U45" i="12"/>
  <c r="U46" i="12" s="1"/>
  <c r="T13" i="12"/>
  <c r="T45" i="12"/>
  <c r="T46" i="12" s="1"/>
  <c r="S13" i="11"/>
  <c r="S45" i="11"/>
  <c r="S46" i="11" s="1"/>
  <c r="T13" i="11"/>
  <c r="T45" i="11"/>
  <c r="T46" i="11" s="1"/>
  <c r="U13" i="11"/>
  <c r="U45" i="11"/>
  <c r="U46" i="11" s="1"/>
  <c r="AH21" i="7"/>
  <c r="E24" i="13"/>
  <c r="AW13" i="11"/>
  <c r="AV25" i="13"/>
  <c r="AV18" i="9"/>
  <c r="AV34" i="9" s="1"/>
  <c r="AK13" i="10"/>
  <c r="AR13" i="7"/>
  <c r="AZ33" i="11"/>
  <c r="BE24" i="11"/>
  <c r="BB24" i="11"/>
  <c r="BA24" i="11"/>
  <c r="BD24" i="11"/>
  <c r="AZ33" i="12"/>
  <c r="BE24" i="12"/>
  <c r="BB24" i="12"/>
  <c r="BD24" i="12"/>
  <c r="BA24" i="12"/>
  <c r="AX6" i="14"/>
  <c r="AX6" i="13"/>
  <c r="AM45" i="12"/>
  <c r="AM46" i="12" s="1"/>
  <c r="AR45" i="11"/>
  <c r="AR46" i="11" s="1"/>
  <c r="AS13" i="11"/>
  <c r="AN13" i="12"/>
  <c r="AW45" i="10"/>
  <c r="AR13" i="11"/>
  <c r="AW13" i="10"/>
  <c r="AU45" i="11"/>
  <c r="AU46" i="11" s="1"/>
  <c r="AU13" i="11"/>
  <c r="AL13" i="12"/>
  <c r="AM13" i="12"/>
  <c r="AV13" i="11"/>
  <c r="AV45" i="11"/>
  <c r="AV46" i="11" s="1"/>
  <c r="AV45" i="12"/>
  <c r="AV46" i="12" s="1"/>
  <c r="AP13" i="11"/>
  <c r="AS45" i="11"/>
  <c r="AS46" i="11" s="1"/>
  <c r="AT45" i="11"/>
  <c r="AT46" i="11" s="1"/>
  <c r="AT13" i="11"/>
  <c r="AT45" i="12"/>
  <c r="AT46" i="12" s="1"/>
  <c r="AN45" i="12"/>
  <c r="AN46" i="12" s="1"/>
  <c r="AT13" i="12"/>
  <c r="AO45" i="10"/>
  <c r="AS13" i="10"/>
  <c r="AK45" i="11"/>
  <c r="AK46" i="11" s="1"/>
  <c r="AR45" i="12"/>
  <c r="AR46" i="12" s="1"/>
  <c r="AN13" i="11"/>
  <c r="AQ45" i="12"/>
  <c r="AQ46" i="12" s="1"/>
  <c r="AL13" i="11"/>
  <c r="AL45" i="11"/>
  <c r="AL46" i="11" s="1"/>
  <c r="AV45" i="10"/>
  <c r="AM13" i="10"/>
  <c r="AL45" i="10"/>
  <c r="AR45" i="10"/>
  <c r="AU13" i="10"/>
  <c r="AL13" i="10"/>
  <c r="AU45" i="10"/>
  <c r="AR13" i="10"/>
  <c r="AM45" i="10"/>
  <c r="AS45" i="10"/>
  <c r="AK13" i="11"/>
  <c r="AP45" i="12"/>
  <c r="AP46" i="12" s="1"/>
  <c r="AO45" i="12"/>
  <c r="AO46" i="12" s="1"/>
  <c r="AU45" i="12"/>
  <c r="AU46" i="12" s="1"/>
  <c r="AM13" i="11"/>
  <c r="AP45" i="11"/>
  <c r="AP46" i="11" s="1"/>
  <c r="AM45" i="11"/>
  <c r="AM46" i="11" s="1"/>
  <c r="AU13" i="12"/>
  <c r="AO13" i="12"/>
  <c r="AR13" i="12"/>
  <c r="AQ13" i="10"/>
  <c r="AV13" i="12"/>
  <c r="AN45" i="10"/>
  <c r="AP13" i="12"/>
  <c r="AL45" i="12"/>
  <c r="AL46" i="12" s="1"/>
  <c r="AT45" i="10"/>
  <c r="AN45" i="11"/>
  <c r="AN46" i="11" s="1"/>
  <c r="AQ13" i="12"/>
  <c r="AO13" i="10"/>
  <c r="AK45" i="10"/>
  <c r="AQ45" i="10"/>
  <c r="AV13" i="10"/>
  <c r="AP45" i="10"/>
  <c r="AT13" i="10"/>
  <c r="AQ13" i="11"/>
  <c r="AQ45" i="11"/>
  <c r="AQ46" i="11" s="1"/>
  <c r="AN13" i="10"/>
  <c r="AP13" i="10"/>
  <c r="D6" i="7" a="1"/>
  <c r="D6" i="7" s="1"/>
  <c r="D21" i="7" s="1"/>
  <c r="AL13" i="7"/>
  <c r="AO13" i="7"/>
  <c r="AQ13" i="7"/>
  <c r="AP13" i="7"/>
  <c r="AW13" i="7"/>
  <c r="AV13" i="7"/>
  <c r="AU13" i="7"/>
  <c r="AM13" i="7"/>
  <c r="AJ13" i="7"/>
  <c r="AT13" i="7"/>
  <c r="AI13" i="7"/>
  <c r="AN13" i="7"/>
  <c r="AS13" i="7"/>
  <c r="AK13" i="7"/>
  <c r="AL19" i="9"/>
  <c r="AL35" i="9" s="1"/>
  <c r="AL18" i="9"/>
  <c r="AL34" i="9" s="1"/>
  <c r="AL20" i="9"/>
  <c r="AL36" i="9" s="1"/>
  <c r="AL22" i="9"/>
  <c r="AL38" i="9" s="1"/>
  <c r="AL24" i="9"/>
  <c r="AL40" i="9" s="1"/>
  <c r="AL21" i="9"/>
  <c r="AL37" i="9" s="1"/>
  <c r="AL23" i="9"/>
  <c r="AL39" i="9" s="1"/>
  <c r="AX6" i="11"/>
  <c r="AZ21" i="11" s="1"/>
  <c r="AM19" i="9"/>
  <c r="AM35" i="9" s="1"/>
  <c r="AM23" i="9"/>
  <c r="AM39" i="9" s="1"/>
  <c r="AM20" i="9"/>
  <c r="AM36" i="9" s="1"/>
  <c r="AU21" i="9"/>
  <c r="AU37" i="9" s="1"/>
  <c r="AW22" i="9"/>
  <c r="AW38" i="9" s="1"/>
  <c r="AO22" i="9"/>
  <c r="AO38" i="9" s="1"/>
  <c r="AR23" i="9"/>
  <c r="AR39" i="9" s="1"/>
  <c r="AR18" i="9"/>
  <c r="AR34" i="9" s="1"/>
  <c r="AQ20" i="9"/>
  <c r="AQ36" i="9" s="1"/>
  <c r="AU24" i="9"/>
  <c r="AU40" i="9" s="1"/>
  <c r="AO23" i="9"/>
  <c r="AO39" i="9" s="1"/>
  <c r="AT23" i="9"/>
  <c r="AT39" i="9" s="1"/>
  <c r="AM21" i="9"/>
  <c r="AM37" i="9" s="1"/>
  <c r="AU20" i="9"/>
  <c r="AU36" i="9" s="1"/>
  <c r="AK18" i="9"/>
  <c r="AK34" i="9" s="1"/>
  <c r="AQ23" i="9"/>
  <c r="AQ39" i="9" s="1"/>
  <c r="AT18" i="9"/>
  <c r="AT34" i="9" s="1"/>
  <c r="AK19" i="9"/>
  <c r="AK35" i="9" s="1"/>
  <c r="AW20" i="9"/>
  <c r="AW36" i="9" s="1"/>
  <c r="AT20" i="9"/>
  <c r="AT36" i="9" s="1"/>
  <c r="AN24" i="9"/>
  <c r="AN40" i="9" s="1"/>
  <c r="AN18" i="9"/>
  <c r="AN34" i="9" s="1"/>
  <c r="AT24" i="9"/>
  <c r="AT40" i="9" s="1"/>
  <c r="AO21" i="9"/>
  <c r="AO37" i="9" s="1"/>
  <c r="AW19" i="9"/>
  <c r="AW35" i="9" s="1"/>
  <c r="AK22" i="9"/>
  <c r="AK38" i="9" s="1"/>
  <c r="AM24" i="9"/>
  <c r="AM40" i="9" s="1"/>
  <c r="AK23" i="9"/>
  <c r="AK39" i="9" s="1"/>
  <c r="AM18" i="9"/>
  <c r="AM34" i="9" s="1"/>
  <c r="AN22" i="9"/>
  <c r="AN38" i="9" s="1"/>
  <c r="AS24" i="9"/>
  <c r="AS40" i="9" s="1"/>
  <c r="AP20" i="9"/>
  <c r="AP36" i="9" s="1"/>
  <c r="AR22" i="9"/>
  <c r="AR38" i="9" s="1"/>
  <c r="AR24" i="9"/>
  <c r="AR40" i="9" s="1"/>
  <c r="AK21" i="9"/>
  <c r="AK37" i="9" s="1"/>
  <c r="AT19" i="9"/>
  <c r="AT35" i="9" s="1"/>
  <c r="AT21" i="9"/>
  <c r="AT37" i="9" s="1"/>
  <c r="AP24" i="9"/>
  <c r="AP40" i="9" s="1"/>
  <c r="AR20" i="9"/>
  <c r="AR36" i="9" s="1"/>
  <c r="AT22" i="9"/>
  <c r="AT38" i="9" s="1"/>
  <c r="AK24" i="9"/>
  <c r="AK40" i="9" s="1"/>
  <c r="AP22" i="9"/>
  <c r="AP38" i="9" s="1"/>
  <c r="AN23" i="9"/>
  <c r="AN39" i="9" s="1"/>
  <c r="AQ24" i="9"/>
  <c r="AQ40" i="9" s="1"/>
  <c r="AS18" i="9"/>
  <c r="AS34" i="9" s="1"/>
  <c r="AQ19" i="9"/>
  <c r="AQ35" i="9" s="1"/>
  <c r="AW23" i="9"/>
  <c r="AW39" i="9" s="1"/>
  <c r="AU23" i="9"/>
  <c r="AU39" i="9" s="1"/>
  <c r="AK20" i="9"/>
  <c r="AK36" i="9" s="1"/>
  <c r="AP23" i="9"/>
  <c r="AP39" i="9" s="1"/>
  <c r="AR21" i="9"/>
  <c r="AR37" i="9" s="1"/>
  <c r="AS23" i="9"/>
  <c r="AS39" i="9" s="1"/>
  <c r="AO18" i="9"/>
  <c r="AO34" i="9" s="1"/>
  <c r="AS21" i="9"/>
  <c r="AS37" i="9" s="1"/>
  <c r="AU19" i="9"/>
  <c r="AU35" i="9" s="1"/>
  <c r="AM22" i="9"/>
  <c r="AM38" i="9" s="1"/>
  <c r="AN19" i="9"/>
  <c r="AN35" i="9" s="1"/>
  <c r="AU18" i="9"/>
  <c r="AU34" i="9" s="1"/>
  <c r="AP21" i="9"/>
  <c r="AP37" i="9" s="1"/>
  <c r="AN20" i="9"/>
  <c r="AN36" i="9" s="1"/>
  <c r="AP18" i="9"/>
  <c r="AP34" i="9" s="1"/>
  <c r="AS20" i="9"/>
  <c r="AS36" i="9" s="1"/>
  <c r="AP19" i="9"/>
  <c r="AP35" i="9" s="1"/>
  <c r="AW18" i="9"/>
  <c r="AW34" i="9" s="1"/>
  <c r="AO19" i="9"/>
  <c r="AO35" i="9" s="1"/>
  <c r="AQ22" i="9"/>
  <c r="AQ38" i="9" s="1"/>
  <c r="AQ18" i="9"/>
  <c r="AQ34" i="9" s="1"/>
  <c r="AS22" i="9"/>
  <c r="AS38" i="9" s="1"/>
  <c r="AQ21" i="9"/>
  <c r="AQ37" i="9" s="1"/>
  <c r="AU22" i="9"/>
  <c r="AU38" i="9" s="1"/>
  <c r="AW24" i="9"/>
  <c r="AW40" i="9" s="1"/>
  <c r="AO20" i="9"/>
  <c r="AO36" i="9" s="1"/>
  <c r="AR19" i="9"/>
  <c r="AR35" i="9" s="1"/>
  <c r="AN21" i="9"/>
  <c r="AN37" i="9" s="1"/>
  <c r="AO24" i="9"/>
  <c r="AO40" i="9" s="1"/>
  <c r="AS19" i="9"/>
  <c r="AS35" i="9" s="1"/>
  <c r="AW21" i="9"/>
  <c r="AW37" i="9" s="1"/>
  <c r="AI22" i="9"/>
  <c r="AI38" i="9" s="1"/>
  <c r="AJ23" i="9"/>
  <c r="AJ39" i="9" s="1"/>
  <c r="AI18" i="9"/>
  <c r="AI34" i="9" s="1"/>
  <c r="AI24" i="9"/>
  <c r="AI40" i="9" s="1"/>
  <c r="AJ21" i="9"/>
  <c r="AJ37" i="9" s="1"/>
  <c r="AI19" i="9"/>
  <c r="AI35" i="9" s="1"/>
  <c r="AJ18" i="9"/>
  <c r="AJ34" i="9" s="1"/>
  <c r="AJ45" i="12"/>
  <c r="AJ46" i="12" s="1"/>
  <c r="AJ13" i="12"/>
  <c r="AJ20" i="9"/>
  <c r="AJ36" i="9" s="1"/>
  <c r="AI23" i="9"/>
  <c r="AI39" i="9" s="1"/>
  <c r="AJ45" i="11"/>
  <c r="AJ46" i="11" s="1"/>
  <c r="AJ13" i="11"/>
  <c r="AI45" i="12"/>
  <c r="AI46" i="12" s="1"/>
  <c r="AI13" i="12"/>
  <c r="AJ22" i="9"/>
  <c r="AJ38" i="9" s="1"/>
  <c r="AJ24" i="9"/>
  <c r="AJ40" i="9" s="1"/>
  <c r="AJ19" i="9"/>
  <c r="AJ35" i="9" s="1"/>
  <c r="AI21" i="9"/>
  <c r="AI37" i="9" s="1"/>
  <c r="AI13" i="10"/>
  <c r="AI45" i="10"/>
  <c r="AJ13" i="10"/>
  <c r="AJ45" i="10"/>
  <c r="AI45" i="11"/>
  <c r="AI46" i="11" s="1"/>
  <c r="AI13" i="11"/>
  <c r="AI20" i="9"/>
  <c r="AI36" i="9" s="1"/>
  <c r="AL15" i="7" l="1"/>
  <c r="AM15" i="7"/>
  <c r="AK15" i="7"/>
  <c r="AS15" i="7"/>
  <c r="AN15" i="7"/>
  <c r="AI15" i="7"/>
  <c r="AT15" i="7"/>
  <c r="AJ15" i="7"/>
  <c r="AU15" i="7"/>
  <c r="AV15" i="7"/>
  <c r="AW15" i="7"/>
  <c r="AP15" i="7"/>
  <c r="AQ15" i="7"/>
  <c r="AO15" i="7"/>
  <c r="AR15" i="7"/>
  <c r="U13" i="10"/>
  <c r="U45" i="10"/>
  <c r="S12" i="9"/>
  <c r="O24" i="10"/>
  <c r="L24" i="7"/>
  <c r="R24" i="7"/>
  <c r="E24" i="14"/>
  <c r="T13" i="14"/>
  <c r="T12" i="9" s="1"/>
  <c r="T45" i="14"/>
  <c r="U54" i="1" s="1"/>
  <c r="O24" i="14"/>
  <c r="U45" i="14"/>
  <c r="U13" i="14"/>
  <c r="U12" i="9" s="1"/>
  <c r="S15" i="14"/>
  <c r="T15" i="13"/>
  <c r="S15" i="13"/>
  <c r="U15" i="13"/>
  <c r="U15" i="7"/>
  <c r="S15" i="7"/>
  <c r="T15" i="7"/>
  <c r="AK21" i="12"/>
  <c r="AK13" i="12" s="1"/>
  <c r="AS19" i="12"/>
  <c r="AS45" i="12" s="1"/>
  <c r="AS46" i="12" s="1"/>
  <c r="AW21" i="12"/>
  <c r="AW45" i="12" s="1"/>
  <c r="AW46" i="12" s="1"/>
  <c r="AO19" i="11"/>
  <c r="AO45" i="11" s="1"/>
  <c r="AO46" i="11" s="1"/>
  <c r="AV20" i="9"/>
  <c r="AV36" i="9" s="1"/>
  <c r="AF23" i="14"/>
  <c r="AF23" i="13"/>
  <c r="P24" i="13"/>
  <c r="AE23" i="13"/>
  <c r="O24" i="13"/>
  <c r="AV19" i="9"/>
  <c r="AV35" i="9" s="1"/>
  <c r="AV23" i="9"/>
  <c r="AV39" i="9" s="1"/>
  <c r="AV21" i="9"/>
  <c r="AV37" i="9" s="1"/>
  <c r="AV24" i="9"/>
  <c r="AV40" i="9" s="1"/>
  <c r="AW45" i="11"/>
  <c r="AW46" i="11" s="1"/>
  <c r="AX6" i="12"/>
  <c r="AZ21" i="12" s="1"/>
  <c r="AZ30" i="12" s="1"/>
  <c r="AV22" i="9"/>
  <c r="AV38" i="9" s="1"/>
  <c r="AE23" i="14"/>
  <c r="AZ41" i="12"/>
  <c r="BD33" i="12"/>
  <c r="BB33" i="12"/>
  <c r="BA33" i="12"/>
  <c r="BE33" i="12"/>
  <c r="AZ41" i="11"/>
  <c r="BD33" i="11"/>
  <c r="BB33" i="11"/>
  <c r="BA33" i="11"/>
  <c r="BE33" i="11"/>
  <c r="AC24" i="14"/>
  <c r="AZ30" i="11"/>
  <c r="BE21" i="11"/>
  <c r="BB21" i="11"/>
  <c r="BA21" i="11"/>
  <c r="BD21" i="11"/>
  <c r="AQ13" i="14"/>
  <c r="AR13" i="14"/>
  <c r="AP13" i="14"/>
  <c r="AK13" i="14"/>
  <c r="AL13" i="14"/>
  <c r="AW13" i="14"/>
  <c r="AO13" i="14"/>
  <c r="AS13" i="14"/>
  <c r="AU13" i="14"/>
  <c r="AN13" i="14"/>
  <c r="AT13" i="14"/>
  <c r="AI13" i="14"/>
  <c r="AM13" i="14"/>
  <c r="AJ13" i="14"/>
  <c r="AV13" i="14"/>
  <c r="AL45" i="13"/>
  <c r="AL45" i="7"/>
  <c r="AM53" i="1" s="1"/>
  <c r="AW45" i="7"/>
  <c r="AX53" i="1" s="1"/>
  <c r="AK45" i="7"/>
  <c r="AL53" i="1" s="1"/>
  <c r="AP45" i="13"/>
  <c r="AR45" i="7"/>
  <c r="AS53" i="1" s="1"/>
  <c r="AM45" i="13"/>
  <c r="AT45" i="7"/>
  <c r="AU53" i="1" s="1"/>
  <c r="AV45" i="7"/>
  <c r="AW53" i="1" s="1"/>
  <c r="AQ45" i="7"/>
  <c r="AR53" i="1" s="1"/>
  <c r="AP13" i="13"/>
  <c r="AU45" i="7"/>
  <c r="AV53" i="1" s="1"/>
  <c r="AQ13" i="13"/>
  <c r="AQ45" i="13"/>
  <c r="AW13" i="13"/>
  <c r="AW45" i="13"/>
  <c r="AN13" i="13"/>
  <c r="AN45" i="13"/>
  <c r="AM13" i="13"/>
  <c r="AS45" i="7"/>
  <c r="AT53" i="1" s="1"/>
  <c r="AT13" i="13"/>
  <c r="AT45" i="13"/>
  <c r="AV13" i="13"/>
  <c r="AV45" i="13"/>
  <c r="AS13" i="13"/>
  <c r="AS45" i="13"/>
  <c r="AP45" i="7"/>
  <c r="AQ53" i="1" s="1"/>
  <c r="AR45" i="13"/>
  <c r="AR13" i="13"/>
  <c r="AO45" i="13"/>
  <c r="AO13" i="13"/>
  <c r="AU13" i="13"/>
  <c r="AU45" i="13"/>
  <c r="AM45" i="7"/>
  <c r="AN53" i="1" s="1"/>
  <c r="AN45" i="7"/>
  <c r="AO53" i="1" s="1"/>
  <c r="AO45" i="7"/>
  <c r="AP53" i="1" s="1"/>
  <c r="AK45" i="13"/>
  <c r="AI45" i="7"/>
  <c r="AJ53" i="1" s="1"/>
  <c r="AJ45" i="7"/>
  <c r="AK53" i="1" s="1"/>
  <c r="AI45" i="13"/>
  <c r="AJ45" i="13"/>
  <c r="AZ21" i="14"/>
  <c r="AZ30" i="14" s="1"/>
  <c r="AZ38" i="14" s="1"/>
  <c r="AZ21" i="13"/>
  <c r="AE24" i="14"/>
  <c r="CY46" i="3"/>
  <c r="BD46" i="3" s="1"/>
  <c r="CY44" i="3"/>
  <c r="CY45" i="3"/>
  <c r="CY47" i="3"/>
  <c r="AF24" i="14" l="1"/>
  <c r="P24" i="14"/>
  <c r="P24" i="10"/>
  <c r="I24" i="10"/>
  <c r="BD44" i="3"/>
  <c r="J24" i="10"/>
  <c r="G24" i="10"/>
  <c r="J24" i="14"/>
  <c r="U15" i="14"/>
  <c r="T15" i="14"/>
  <c r="AK45" i="12"/>
  <c r="AK46" i="12" s="1"/>
  <c r="K24" i="7"/>
  <c r="AN12" i="9"/>
  <c r="AO13" i="11"/>
  <c r="AW13" i="12"/>
  <c r="AS13" i="12"/>
  <c r="AU12" i="9"/>
  <c r="Z23" i="13"/>
  <c r="J24" i="13"/>
  <c r="AO12" i="9"/>
  <c r="AL12" i="9"/>
  <c r="Y23" i="13"/>
  <c r="I24" i="13"/>
  <c r="D8" i="14" a="1"/>
  <c r="D8" i="14" s="1"/>
  <c r="D23" i="14" s="1"/>
  <c r="BD45" i="3"/>
  <c r="Y23" i="14"/>
  <c r="AR12" i="9"/>
  <c r="AQ12" i="9"/>
  <c r="W23" i="13"/>
  <c r="G24" i="13"/>
  <c r="W23" i="14"/>
  <c r="D8" i="13" a="1"/>
  <c r="D8" i="13" s="1"/>
  <c r="D23" i="13" s="1"/>
  <c r="BD47" i="3"/>
  <c r="Z23" i="14"/>
  <c r="BA21" i="12"/>
  <c r="BD21" i="12"/>
  <c r="BB21" i="12"/>
  <c r="BE21" i="12"/>
  <c r="AW12" i="9"/>
  <c r="AP12" i="9"/>
  <c r="AS12" i="9"/>
  <c r="AK12" i="9"/>
  <c r="AV12" i="9"/>
  <c r="AJ12" i="9"/>
  <c r="AM12" i="9"/>
  <c r="AI12" i="9"/>
  <c r="AT12" i="9"/>
  <c r="BE41" i="11"/>
  <c r="BA41" i="11"/>
  <c r="BD41" i="11"/>
  <c r="BB41" i="11"/>
  <c r="BD41" i="12"/>
  <c r="BE41" i="12"/>
  <c r="BB41" i="12"/>
  <c r="BA41" i="12"/>
  <c r="AE24" i="13"/>
  <c r="AC24" i="13"/>
  <c r="AZ38" i="11"/>
  <c r="BB30" i="11"/>
  <c r="BE30" i="11"/>
  <c r="BD30" i="11"/>
  <c r="BA30" i="11"/>
  <c r="AZ38" i="12"/>
  <c r="BD30" i="12"/>
  <c r="BB30" i="12"/>
  <c r="BE30" i="12"/>
  <c r="BA30" i="12"/>
  <c r="AZ30" i="13"/>
  <c r="BB21" i="13"/>
  <c r="BA21" i="13"/>
  <c r="BD21" i="13"/>
  <c r="BE21" i="13"/>
  <c r="BE38" i="14"/>
  <c r="BA38" i="14"/>
  <c r="BD38" i="14"/>
  <c r="BB38" i="14"/>
  <c r="BB30" i="14"/>
  <c r="BD30" i="14"/>
  <c r="BA30" i="14"/>
  <c r="BE30" i="14"/>
  <c r="BE21" i="14"/>
  <c r="BB21" i="14"/>
  <c r="BA21" i="14"/>
  <c r="BD21" i="14"/>
  <c r="AL15" i="14"/>
  <c r="AL15" i="13"/>
  <c r="AP15" i="14"/>
  <c r="AP15" i="13"/>
  <c r="AM15" i="13"/>
  <c r="AS15" i="13"/>
  <c r="AT15" i="13"/>
  <c r="AN15" i="13"/>
  <c r="AV15" i="13"/>
  <c r="AU15" i="13"/>
  <c r="AR15" i="13"/>
  <c r="AW15" i="13"/>
  <c r="AQ15" i="13"/>
  <c r="AK15" i="13"/>
  <c r="AO15" i="13"/>
  <c r="AJ15" i="13"/>
  <c r="AI15" i="13"/>
  <c r="Q24" i="10" l="1"/>
  <c r="N24" i="10"/>
  <c r="L24" i="10"/>
  <c r="G24" i="14"/>
  <c r="L24" i="14"/>
  <c r="Y24" i="14"/>
  <c r="I24" i="14"/>
  <c r="AG23" i="13"/>
  <c r="Q24" i="13"/>
  <c r="AB23" i="13"/>
  <c r="L24" i="13"/>
  <c r="AG23" i="14"/>
  <c r="AD23" i="13"/>
  <c r="N24" i="13"/>
  <c r="AD23" i="14"/>
  <c r="AB23" i="14"/>
  <c r="Z24" i="14"/>
  <c r="AF24" i="13"/>
  <c r="BB38" i="11"/>
  <c r="BD38" i="11"/>
  <c r="BA38" i="11"/>
  <c r="BE38" i="11"/>
  <c r="BE38" i="12"/>
  <c r="BB38" i="12"/>
  <c r="BA38" i="12"/>
  <c r="BD38" i="12"/>
  <c r="AZ38" i="13"/>
  <c r="BB30" i="13"/>
  <c r="BA30" i="13"/>
  <c r="BD30" i="13"/>
  <c r="BE30" i="13"/>
  <c r="AL45" i="14"/>
  <c r="AM54" i="1" s="1"/>
  <c r="AP45" i="14"/>
  <c r="AQ54" i="1" s="1"/>
  <c r="AK15" i="14"/>
  <c r="AV15" i="14"/>
  <c r="AN15" i="14"/>
  <c r="AQ15" i="14"/>
  <c r="AT15" i="14"/>
  <c r="AS15" i="14"/>
  <c r="AW15" i="14"/>
  <c r="AR15" i="14"/>
  <c r="AU15" i="14"/>
  <c r="AM15" i="14"/>
  <c r="AO15" i="14"/>
  <c r="AI15" i="14"/>
  <c r="AJ15" i="14"/>
  <c r="H24" i="10" l="1"/>
  <c r="F24" i="10"/>
  <c r="R24" i="10"/>
  <c r="Q24" i="14"/>
  <c r="AD24" i="14"/>
  <c r="N24" i="14"/>
  <c r="K24" i="10"/>
  <c r="V23" i="14"/>
  <c r="AA23" i="14"/>
  <c r="AA23" i="13"/>
  <c r="K24" i="13"/>
  <c r="AH23" i="14"/>
  <c r="AH23" i="13"/>
  <c r="R24" i="13"/>
  <c r="X23" i="14"/>
  <c r="V23" i="13"/>
  <c r="F24" i="13"/>
  <c r="X23" i="13"/>
  <c r="H24" i="13"/>
  <c r="D9" i="9" a="1"/>
  <c r="D9" i="9" s="1"/>
  <c r="D9" i="14" a="1"/>
  <c r="D9" i="14" s="1"/>
  <c r="D24" i="14" s="1"/>
  <c r="AD24" i="13"/>
  <c r="D9" i="13" a="1"/>
  <c r="D9" i="13" s="1"/>
  <c r="D24" i="13" s="1"/>
  <c r="Z24" i="13"/>
  <c r="BB38" i="13"/>
  <c r="BE38" i="13"/>
  <c r="BD38" i="13"/>
  <c r="BA38" i="13"/>
  <c r="AK45" i="14"/>
  <c r="AL54" i="1" s="1"/>
  <c r="AW45" i="14"/>
  <c r="AX54" i="1" s="1"/>
  <c r="AO45" i="14"/>
  <c r="AP54" i="1" s="1"/>
  <c r="AV45" i="14"/>
  <c r="AW54" i="1" s="1"/>
  <c r="AS45" i="14"/>
  <c r="AT54" i="1" s="1"/>
  <c r="AU45" i="14"/>
  <c r="AV54" i="1" s="1"/>
  <c r="AN45" i="14"/>
  <c r="AO54" i="1" s="1"/>
  <c r="AM45" i="14"/>
  <c r="AN54" i="1" s="1"/>
  <c r="AR45" i="14"/>
  <c r="AS54" i="1" s="1"/>
  <c r="AT45" i="14"/>
  <c r="AU54" i="1" s="1"/>
  <c r="AQ45" i="14"/>
  <c r="AR54" i="1" s="1"/>
  <c r="W24" i="14"/>
  <c r="AB24" i="14"/>
  <c r="H24" i="14" l="1"/>
  <c r="AH24" i="14"/>
  <c r="R24" i="14"/>
  <c r="AA24" i="14"/>
  <c r="K24" i="14"/>
  <c r="V24" i="14"/>
  <c r="F24" i="14"/>
  <c r="M25" i="7"/>
  <c r="AX8" i="13"/>
  <c r="AX8" i="14"/>
  <c r="AC24" i="7"/>
  <c r="AB24" i="13"/>
  <c r="Y24" i="13"/>
  <c r="AG24" i="14"/>
  <c r="O25" i="7" l="1"/>
  <c r="E25" i="7"/>
  <c r="AE24" i="7"/>
  <c r="W24" i="13"/>
  <c r="AG24" i="13"/>
  <c r="CY54" i="3"/>
  <c r="BD54" i="3" s="1"/>
  <c r="CY53" i="3"/>
  <c r="X24" i="14"/>
  <c r="P25" i="7" l="1"/>
  <c r="M25" i="13"/>
  <c r="M25" i="10"/>
  <c r="BD53" i="3"/>
  <c r="J25" i="7"/>
  <c r="M25" i="14"/>
  <c r="AX9" i="14"/>
  <c r="AC24" i="10"/>
  <c r="V24" i="13"/>
  <c r="AH24" i="13"/>
  <c r="AA24" i="13"/>
  <c r="AF24" i="7"/>
  <c r="AC25" i="14"/>
  <c r="D9" i="7" a="1"/>
  <c r="D9" i="7" s="1"/>
  <c r="D24" i="7" s="1"/>
  <c r="Z24" i="7"/>
  <c r="O25" i="13" l="1"/>
  <c r="O25" i="10"/>
  <c r="N25" i="7"/>
  <c r="O25" i="14"/>
  <c r="I25" i="7"/>
  <c r="L25" i="7"/>
  <c r="AC25" i="13"/>
  <c r="AD24" i="7"/>
  <c r="Y24" i="7"/>
  <c r="AE24" i="10"/>
  <c r="Q25" i="7" l="1"/>
  <c r="E25" i="13"/>
  <c r="P25" i="13"/>
  <c r="P25" i="10"/>
  <c r="P25" i="14"/>
  <c r="R25" i="7"/>
  <c r="E25" i="10"/>
  <c r="E25" i="14"/>
  <c r="AX9" i="13"/>
  <c r="X24" i="13"/>
  <c r="AZ24" i="14"/>
  <c r="AB24" i="7"/>
  <c r="AF24" i="10"/>
  <c r="CY58" i="3"/>
  <c r="BD58" i="3" s="1"/>
  <c r="CY57" i="3"/>
  <c r="CY59" i="3"/>
  <c r="BD59" i="3" s="1"/>
  <c r="CY60" i="3"/>
  <c r="BD60" i="3" s="1"/>
  <c r="M19" i="12" l="1"/>
  <c r="J25" i="13"/>
  <c r="M19" i="11"/>
  <c r="N25" i="13"/>
  <c r="BD57" i="3"/>
  <c r="F25" i="7"/>
  <c r="N25" i="10"/>
  <c r="J25" i="10"/>
  <c r="M19" i="7"/>
  <c r="N25" i="14"/>
  <c r="J25" i="14"/>
  <c r="K25" i="7"/>
  <c r="Z24" i="10"/>
  <c r="AZ33" i="14"/>
  <c r="BD24" i="14"/>
  <c r="BB24" i="14"/>
  <c r="BE24" i="14"/>
  <c r="BA24" i="14"/>
  <c r="AG24" i="7"/>
  <c r="D9" i="10" a="1"/>
  <c r="D9" i="10" s="1"/>
  <c r="D24" i="10" s="1"/>
  <c r="AH24" i="7"/>
  <c r="V24" i="7"/>
  <c r="AD24" i="10"/>
  <c r="H25" i="7" l="1"/>
  <c r="G25" i="7"/>
  <c r="L25" i="13"/>
  <c r="R25" i="13"/>
  <c r="I25" i="13"/>
  <c r="I25" i="10"/>
  <c r="R25" i="10"/>
  <c r="L25" i="10"/>
  <c r="I25" i="14"/>
  <c r="R25" i="14"/>
  <c r="L25" i="14"/>
  <c r="Y24" i="10"/>
  <c r="AB24" i="10"/>
  <c r="AD25" i="14"/>
  <c r="Z25" i="14"/>
  <c r="AE25" i="14"/>
  <c r="AE25" i="13"/>
  <c r="D10" i="13" a="1"/>
  <c r="D10" i="13" s="1"/>
  <c r="D25" i="13" s="1"/>
  <c r="AZ41" i="14"/>
  <c r="BB33" i="14"/>
  <c r="BA33" i="14"/>
  <c r="BE33" i="14"/>
  <c r="BD33" i="14"/>
  <c r="W24" i="7"/>
  <c r="AH24" i="10"/>
  <c r="D10" i="14" a="1"/>
  <c r="D10" i="14" s="1"/>
  <c r="D25" i="14" s="1"/>
  <c r="AA24" i="7"/>
  <c r="X24" i="7"/>
  <c r="Q25" i="13" l="1"/>
  <c r="Q25" i="10"/>
  <c r="Q25" i="14"/>
  <c r="AF25" i="14"/>
  <c r="Y25" i="14"/>
  <c r="Y25" i="13"/>
  <c r="AF25" i="13"/>
  <c r="BE41" i="14"/>
  <c r="BB41" i="14"/>
  <c r="BA41" i="14"/>
  <c r="BD41" i="14"/>
  <c r="D10" i="9" a="1"/>
  <c r="D10" i="9" s="1"/>
  <c r="AC25" i="7"/>
  <c r="AC23" i="7"/>
  <c r="AC25" i="12"/>
  <c r="AC23" i="12"/>
  <c r="AG24" i="10"/>
  <c r="AH25" i="14"/>
  <c r="CY63" i="3"/>
  <c r="CY66" i="3"/>
  <c r="BD66" i="3" s="1"/>
  <c r="CY65" i="3"/>
  <c r="BD65" i="3" s="1"/>
  <c r="CY64" i="3"/>
  <c r="BD64" i="3" s="1"/>
  <c r="AG25" i="14"/>
  <c r="K25" i="13" l="1"/>
  <c r="F25" i="13"/>
  <c r="G25" i="13"/>
  <c r="O19" i="12"/>
  <c r="P19" i="12"/>
  <c r="P19" i="11"/>
  <c r="O19" i="11"/>
  <c r="P19" i="7"/>
  <c r="F25" i="10"/>
  <c r="G25" i="10"/>
  <c r="BD63" i="3"/>
  <c r="F25" i="14"/>
  <c r="K25" i="14"/>
  <c r="G25" i="14"/>
  <c r="O19" i="7"/>
  <c r="K25" i="10"/>
  <c r="V24" i="10"/>
  <c r="AD25" i="13"/>
  <c r="Z25" i="13"/>
  <c r="AE25" i="7"/>
  <c r="AE23" i="7"/>
  <c r="AC25" i="11"/>
  <c r="AC23" i="11"/>
  <c r="W24" i="10"/>
  <c r="AB25" i="14"/>
  <c r="AA24" i="10"/>
  <c r="I19" i="12" l="1"/>
  <c r="H25" i="13"/>
  <c r="E19" i="12"/>
  <c r="E19" i="11"/>
  <c r="I19" i="11"/>
  <c r="H25" i="10"/>
  <c r="E19" i="7"/>
  <c r="H25" i="14"/>
  <c r="I19" i="7"/>
  <c r="V25" i="14"/>
  <c r="AA25" i="14"/>
  <c r="W25" i="13"/>
  <c r="AH25" i="13"/>
  <c r="AG25" i="13"/>
  <c r="D8" i="7" a="1"/>
  <c r="D8" i="7" s="1"/>
  <c r="D23" i="7" s="1"/>
  <c r="AF25" i="7"/>
  <c r="AF23" i="7"/>
  <c r="AE25" i="12"/>
  <c r="AE23" i="12"/>
  <c r="D10" i="12" a="1"/>
  <c r="D10" i="12" s="1"/>
  <c r="D25" i="12" s="1"/>
  <c r="D8" i="12" a="1"/>
  <c r="D8" i="12" s="1"/>
  <c r="D23" i="12" s="1"/>
  <c r="AF25" i="12"/>
  <c r="AF23" i="12"/>
  <c r="D10" i="7" a="1"/>
  <c r="D10" i="7" s="1"/>
  <c r="D25" i="7" s="1"/>
  <c r="W25" i="14"/>
  <c r="X24" i="10"/>
  <c r="J19" i="11" l="1"/>
  <c r="R19" i="11"/>
  <c r="R19" i="12"/>
  <c r="N19" i="11"/>
  <c r="N19" i="12"/>
  <c r="Q19" i="12"/>
  <c r="M19" i="13"/>
  <c r="J19" i="7"/>
  <c r="M19" i="10"/>
  <c r="R19" i="7"/>
  <c r="M19" i="14"/>
  <c r="N19" i="7"/>
  <c r="Q19" i="7"/>
  <c r="J19" i="12"/>
  <c r="Q19" i="11"/>
  <c r="X25" i="14"/>
  <c r="V25" i="13"/>
  <c r="AB25" i="13"/>
  <c r="AC25" i="10"/>
  <c r="AC23" i="10"/>
  <c r="Z25" i="7"/>
  <c r="Z23" i="7"/>
  <c r="AE25" i="11"/>
  <c r="AE23" i="11"/>
  <c r="AC19" i="14"/>
  <c r="AG23" i="7"/>
  <c r="AD23" i="7"/>
  <c r="L19" i="11" l="1"/>
  <c r="F19" i="11"/>
  <c r="L19" i="12"/>
  <c r="G19" i="11"/>
  <c r="G19" i="12"/>
  <c r="F19" i="12"/>
  <c r="L19" i="7"/>
  <c r="F19" i="7"/>
  <c r="G19" i="7"/>
  <c r="AX10" i="14"/>
  <c r="AC19" i="13"/>
  <c r="AA25" i="13"/>
  <c r="AB25" i="7"/>
  <c r="AB23" i="7"/>
  <c r="AH25" i="7"/>
  <c r="AH23" i="7"/>
  <c r="Y25" i="12"/>
  <c r="Y23" i="12"/>
  <c r="AD25" i="12"/>
  <c r="AD23" i="12"/>
  <c r="AF25" i="11"/>
  <c r="AF23" i="11"/>
  <c r="D10" i="11" a="1"/>
  <c r="D10" i="11" s="1"/>
  <c r="D25" i="11" s="1"/>
  <c r="D8" i="11" a="1"/>
  <c r="D8" i="11" s="1"/>
  <c r="D23" i="11" s="1"/>
  <c r="Y25" i="7"/>
  <c r="Y23" i="7"/>
  <c r="AD25" i="7"/>
  <c r="AG25" i="7"/>
  <c r="CY69" i="3"/>
  <c r="CY72" i="3"/>
  <c r="BD72" i="3" s="1"/>
  <c r="CY70" i="3"/>
  <c r="BD70" i="3" s="1"/>
  <c r="CY71" i="3"/>
  <c r="BD71" i="3" s="1"/>
  <c r="O19" i="13" l="1"/>
  <c r="P19" i="13"/>
  <c r="P19" i="10"/>
  <c r="P19" i="14"/>
  <c r="O19" i="10"/>
  <c r="BD69" i="3"/>
  <c r="O19" i="14"/>
  <c r="AZ25" i="14"/>
  <c r="AE25" i="10"/>
  <c r="AE23" i="10"/>
  <c r="AG25" i="11"/>
  <c r="AG23" i="11"/>
  <c r="Z25" i="12"/>
  <c r="Z23" i="12"/>
  <c r="Z25" i="11"/>
  <c r="Z23" i="11"/>
  <c r="AG25" i="12"/>
  <c r="AG23" i="12"/>
  <c r="AH25" i="12"/>
  <c r="AH23" i="12"/>
  <c r="V25" i="12"/>
  <c r="V23" i="12"/>
  <c r="AB25" i="12"/>
  <c r="AB23" i="12"/>
  <c r="D10" i="10" a="1"/>
  <c r="D10" i="10" s="1"/>
  <c r="D25" i="10" s="1"/>
  <c r="D8" i="10" a="1"/>
  <c r="D8" i="10" s="1"/>
  <c r="D23" i="10" s="1"/>
  <c r="V25" i="7"/>
  <c r="V23" i="7"/>
  <c r="Y25" i="11"/>
  <c r="Y23" i="11"/>
  <c r="W25" i="7"/>
  <c r="W23" i="7"/>
  <c r="AF25" i="10"/>
  <c r="AF23" i="10"/>
  <c r="AZ24" i="13"/>
  <c r="AF19" i="14"/>
  <c r="K19" i="12" l="1"/>
  <c r="I19" i="13"/>
  <c r="H19" i="11"/>
  <c r="K19" i="11"/>
  <c r="K19" i="7"/>
  <c r="I19" i="10"/>
  <c r="I19" i="14"/>
  <c r="H19" i="7"/>
  <c r="H19" i="12"/>
  <c r="AX10" i="13"/>
  <c r="X25" i="13"/>
  <c r="AE19" i="14"/>
  <c r="AZ34" i="14"/>
  <c r="BE25" i="14"/>
  <c r="BA25" i="14"/>
  <c r="BD25" i="14"/>
  <c r="BB25" i="14"/>
  <c r="AE19" i="13"/>
  <c r="AZ33" i="13"/>
  <c r="BE24" i="13"/>
  <c r="BA24" i="13"/>
  <c r="BB24" i="13"/>
  <c r="BD24" i="13"/>
  <c r="AH25" i="11"/>
  <c r="AH23" i="11"/>
  <c r="AD25" i="11"/>
  <c r="AD23" i="11"/>
  <c r="AA25" i="7"/>
  <c r="AA23" i="7"/>
  <c r="Y25" i="10"/>
  <c r="Y23" i="10"/>
  <c r="W25" i="12"/>
  <c r="W23" i="12"/>
  <c r="N19" i="13" l="1"/>
  <c r="R19" i="10"/>
  <c r="J19" i="13"/>
  <c r="R19" i="13"/>
  <c r="E19" i="13"/>
  <c r="Q19" i="13"/>
  <c r="E19" i="10"/>
  <c r="J19" i="10"/>
  <c r="Q19" i="10"/>
  <c r="N19" i="10"/>
  <c r="E19" i="14"/>
  <c r="Q19" i="14"/>
  <c r="J19" i="14"/>
  <c r="R19" i="14"/>
  <c r="AZ42" i="14"/>
  <c r="BD34" i="14"/>
  <c r="BE34" i="14"/>
  <c r="BA34" i="14"/>
  <c r="BB34" i="14"/>
  <c r="AZ41" i="13"/>
  <c r="BB33" i="13"/>
  <c r="BE33" i="13"/>
  <c r="BA33" i="13"/>
  <c r="BD33" i="13"/>
  <c r="X25" i="12"/>
  <c r="X23" i="12"/>
  <c r="AB25" i="11"/>
  <c r="AB23" i="11"/>
  <c r="Z25" i="10"/>
  <c r="Z23" i="10"/>
  <c r="X25" i="11"/>
  <c r="X23" i="11"/>
  <c r="W25" i="11"/>
  <c r="W23" i="11"/>
  <c r="V25" i="11"/>
  <c r="V23" i="11"/>
  <c r="X25" i="7"/>
  <c r="X23" i="7"/>
  <c r="AA25" i="11"/>
  <c r="AA23" i="11"/>
  <c r="AH25" i="10"/>
  <c r="AH23" i="10"/>
  <c r="D4" i="14" a="1"/>
  <c r="D4" i="14" s="1"/>
  <c r="Y19" i="14"/>
  <c r="Z19" i="14"/>
  <c r="M20" i="7" l="1"/>
  <c r="M20" i="12"/>
  <c r="M20" i="11"/>
  <c r="L19" i="10"/>
  <c r="L19" i="13"/>
  <c r="F19" i="13"/>
  <c r="F19" i="10"/>
  <c r="G19" i="13"/>
  <c r="G19" i="10"/>
  <c r="L19" i="14"/>
  <c r="F19" i="14"/>
  <c r="G19" i="14"/>
  <c r="D19" i="14"/>
  <c r="N19" i="14"/>
  <c r="AH19" i="14"/>
  <c r="AH19" i="13"/>
  <c r="AF19" i="13"/>
  <c r="BD42" i="14"/>
  <c r="BB42" i="14"/>
  <c r="BA42" i="14"/>
  <c r="BE42" i="14"/>
  <c r="D4" i="13" a="1"/>
  <c r="D4" i="13" s="1"/>
  <c r="BE41" i="13"/>
  <c r="BA41" i="13"/>
  <c r="BD41" i="13"/>
  <c r="BB41" i="13"/>
  <c r="D8" i="9" a="1"/>
  <c r="D8" i="9" s="1"/>
  <c r="D4" i="9" a="1"/>
  <c r="D4" i="9" s="1"/>
  <c r="AA25" i="12"/>
  <c r="AA23" i="12"/>
  <c r="AX8" i="11"/>
  <c r="AZ23" i="11" s="1"/>
  <c r="AX10" i="11"/>
  <c r="AZ25" i="11" s="1"/>
  <c r="AB25" i="10"/>
  <c r="AB23" i="10"/>
  <c r="AG25" i="10"/>
  <c r="AG23" i="10"/>
  <c r="AD25" i="10"/>
  <c r="AD23" i="10"/>
  <c r="W25" i="10"/>
  <c r="W23" i="10"/>
  <c r="W19" i="14"/>
  <c r="AG19" i="14"/>
  <c r="AD19" i="14"/>
  <c r="AB19" i="14"/>
  <c r="K19" i="13" l="1"/>
  <c r="K19" i="10"/>
  <c r="H19" i="10"/>
  <c r="H19" i="13"/>
  <c r="K19" i="14"/>
  <c r="H19" i="14"/>
  <c r="D19" i="13"/>
  <c r="AZ34" i="11"/>
  <c r="BA25" i="11"/>
  <c r="BB25" i="11"/>
  <c r="BD25" i="11"/>
  <c r="BE25" i="11"/>
  <c r="AX10" i="12"/>
  <c r="AZ25" i="12" s="1"/>
  <c r="V19" i="14"/>
  <c r="AX8" i="12"/>
  <c r="AZ23" i="12" s="1"/>
  <c r="Y19" i="13"/>
  <c r="Z19" i="13"/>
  <c r="AZ32" i="11"/>
  <c r="BD23" i="11"/>
  <c r="BB23" i="11"/>
  <c r="BE23" i="11"/>
  <c r="BA23" i="11"/>
  <c r="V25" i="10"/>
  <c r="V23" i="10"/>
  <c r="X25" i="10"/>
  <c r="X23" i="10"/>
  <c r="AA25" i="10"/>
  <c r="AA23" i="10"/>
  <c r="O20" i="12" l="1"/>
  <c r="O20" i="11"/>
  <c r="O20" i="7"/>
  <c r="AZ34" i="12"/>
  <c r="BA25" i="12"/>
  <c r="BD25" i="12"/>
  <c r="BE25" i="12"/>
  <c r="BB25" i="12"/>
  <c r="AZ42" i="11"/>
  <c r="BE34" i="11"/>
  <c r="BB34" i="11"/>
  <c r="BA34" i="11"/>
  <c r="BD34" i="11"/>
  <c r="X19" i="14"/>
  <c r="AB19" i="13"/>
  <c r="AD19" i="13"/>
  <c r="W19" i="13"/>
  <c r="AG19" i="13"/>
  <c r="AZ40" i="11"/>
  <c r="BA32" i="11"/>
  <c r="BB32" i="11"/>
  <c r="BD32" i="11"/>
  <c r="BE32" i="11"/>
  <c r="AZ32" i="12"/>
  <c r="BD23" i="12"/>
  <c r="BB23" i="12"/>
  <c r="BE23" i="12"/>
  <c r="BA23" i="12"/>
  <c r="P20" i="7" l="1"/>
  <c r="P20" i="11"/>
  <c r="P20" i="12"/>
  <c r="BD40" i="11"/>
  <c r="BA40" i="11"/>
  <c r="BE40" i="11"/>
  <c r="BB40" i="11"/>
  <c r="BB42" i="11"/>
  <c r="BA42" i="11"/>
  <c r="BE42" i="11"/>
  <c r="BD42" i="11"/>
  <c r="AZ42" i="12"/>
  <c r="BE34" i="12"/>
  <c r="BB34" i="12"/>
  <c r="BA34" i="12"/>
  <c r="BD34" i="12"/>
  <c r="X19" i="13"/>
  <c r="AZ40" i="12"/>
  <c r="BE32" i="12"/>
  <c r="BD32" i="12"/>
  <c r="BB32" i="12"/>
  <c r="BA32" i="12"/>
  <c r="CY80" i="3"/>
  <c r="BD80" i="3" s="1"/>
  <c r="CY78" i="3"/>
  <c r="BD78" i="3" s="1"/>
  <c r="CY79" i="3"/>
  <c r="BD79" i="3" s="1"/>
  <c r="CY81" i="3"/>
  <c r="BD81" i="3" s="1"/>
  <c r="R20" i="12" l="1"/>
  <c r="I20" i="11"/>
  <c r="J20" i="12"/>
  <c r="Q20" i="12"/>
  <c r="Q20" i="11"/>
  <c r="M20" i="10"/>
  <c r="E20" i="11"/>
  <c r="I20" i="12"/>
  <c r="R20" i="11"/>
  <c r="J20" i="11"/>
  <c r="M20" i="13"/>
  <c r="V19" i="13"/>
  <c r="I20" i="7"/>
  <c r="Q20" i="7"/>
  <c r="E20" i="12"/>
  <c r="BD40" i="12"/>
  <c r="BB40" i="12"/>
  <c r="BA40" i="12"/>
  <c r="BE40" i="12"/>
  <c r="BA42" i="12"/>
  <c r="BB42" i="12"/>
  <c r="BD42" i="12"/>
  <c r="BE42" i="12"/>
  <c r="AA19" i="14"/>
  <c r="J20" i="7" l="1"/>
  <c r="G20" i="7"/>
  <c r="G20" i="11"/>
  <c r="G20" i="12"/>
  <c r="M20" i="14"/>
  <c r="R20" i="7"/>
  <c r="E20" i="7"/>
  <c r="AX4" i="14"/>
  <c r="AX4" i="13"/>
  <c r="AA19" i="13"/>
  <c r="AZ23" i="13"/>
  <c r="AC20" i="14"/>
  <c r="H20" i="11" l="1"/>
  <c r="N20" i="12"/>
  <c r="F20" i="11"/>
  <c r="L20" i="11"/>
  <c r="H20" i="12"/>
  <c r="O20" i="10"/>
  <c r="N20" i="11"/>
  <c r="L20" i="12"/>
  <c r="O20" i="13"/>
  <c r="F20" i="12"/>
  <c r="N20" i="7"/>
  <c r="O20" i="14"/>
  <c r="F20" i="7"/>
  <c r="H20" i="7"/>
  <c r="AZ32" i="13"/>
  <c r="BB23" i="13"/>
  <c r="BD23" i="13"/>
  <c r="BA23" i="13"/>
  <c r="BE23" i="13"/>
  <c r="AZ23" i="14"/>
  <c r="AZ32" i="14" s="1"/>
  <c r="AZ40" i="14" s="1"/>
  <c r="P20" i="10" l="1"/>
  <c r="R20" i="10"/>
  <c r="P20" i="13"/>
  <c r="P20" i="14"/>
  <c r="R20" i="14"/>
  <c r="R20" i="13"/>
  <c r="L20" i="7"/>
  <c r="BD40" i="14"/>
  <c r="BB40" i="14"/>
  <c r="BA40" i="14"/>
  <c r="BE40" i="14"/>
  <c r="AC20" i="13"/>
  <c r="AZ40" i="13"/>
  <c r="BB32" i="13"/>
  <c r="BD32" i="13"/>
  <c r="BE32" i="13"/>
  <c r="BA32" i="13"/>
  <c r="BD32" i="14"/>
  <c r="BA32" i="14"/>
  <c r="BE32" i="14"/>
  <c r="BB32" i="14"/>
  <c r="BD23" i="14"/>
  <c r="BA23" i="14"/>
  <c r="BB23" i="14"/>
  <c r="BE23" i="14"/>
  <c r="CY84" i="3"/>
  <c r="BD84" i="3" s="1"/>
  <c r="CY86" i="3"/>
  <c r="BD86" i="3" s="1"/>
  <c r="CY87" i="3"/>
  <c r="BD87" i="3" s="1"/>
  <c r="CY85" i="3"/>
  <c r="BD85" i="3" s="1"/>
  <c r="I20" i="13" l="1"/>
  <c r="E20" i="10"/>
  <c r="J20" i="10"/>
  <c r="I20" i="10"/>
  <c r="K20" i="11"/>
  <c r="M22" i="12"/>
  <c r="K20" i="12"/>
  <c r="M22" i="11"/>
  <c r="J20" i="13"/>
  <c r="M22" i="7"/>
  <c r="K20" i="7"/>
  <c r="J20" i="14"/>
  <c r="I20" i="14"/>
  <c r="E20" i="13"/>
  <c r="BE40" i="13"/>
  <c r="BD40" i="13"/>
  <c r="BB40" i="13"/>
  <c r="BA40" i="13"/>
  <c r="AF20" i="14"/>
  <c r="AH20" i="14"/>
  <c r="AE20" i="14"/>
  <c r="D5" i="14" a="1"/>
  <c r="D5" i="14" s="1"/>
  <c r="D20" i="14" s="1"/>
  <c r="Y20" i="14"/>
  <c r="Z20" i="14"/>
  <c r="G20" i="13" l="1"/>
  <c r="F20" i="10"/>
  <c r="Q20" i="13"/>
  <c r="Q20" i="10"/>
  <c r="G20" i="10"/>
  <c r="F20" i="13"/>
  <c r="Q20" i="14"/>
  <c r="E20" i="14"/>
  <c r="M45" i="7"/>
  <c r="N53" i="1" s="1"/>
  <c r="M13" i="7"/>
  <c r="M45" i="12"/>
  <c r="M46" i="12" s="1"/>
  <c r="M13" i="12"/>
  <c r="M45" i="11"/>
  <c r="M46" i="11" s="1"/>
  <c r="M13" i="11"/>
  <c r="AE20" i="13"/>
  <c r="AF20" i="13"/>
  <c r="AH20" i="13"/>
  <c r="Z20" i="13"/>
  <c r="AC19" i="12"/>
  <c r="AC20" i="12"/>
  <c r="AC19" i="7"/>
  <c r="AC20" i="7"/>
  <c r="AC22" i="12"/>
  <c r="AC22" i="7"/>
  <c r="W20" i="14"/>
  <c r="V20" i="14"/>
  <c r="H20" i="10" l="1"/>
  <c r="L20" i="10"/>
  <c r="L20" i="13"/>
  <c r="H20" i="13"/>
  <c r="P22" i="12"/>
  <c r="P45" i="12" s="1"/>
  <c r="P46" i="12" s="1"/>
  <c r="O22" i="11"/>
  <c r="O22" i="12"/>
  <c r="P22" i="11"/>
  <c r="P13" i="11" s="1"/>
  <c r="H20" i="14"/>
  <c r="L20" i="14"/>
  <c r="G20" i="14"/>
  <c r="F20" i="14"/>
  <c r="O22" i="7"/>
  <c r="M15" i="7"/>
  <c r="D5" i="13" a="1"/>
  <c r="D5" i="13" s="1"/>
  <c r="AC13" i="7"/>
  <c r="X20" i="14"/>
  <c r="AC15" i="7" l="1"/>
  <c r="P22" i="7"/>
  <c r="P13" i="7" s="1"/>
  <c r="N20" i="10"/>
  <c r="R22" i="12"/>
  <c r="J22" i="11"/>
  <c r="J22" i="12"/>
  <c r="P13" i="12"/>
  <c r="E22" i="12"/>
  <c r="R22" i="11"/>
  <c r="E22" i="11"/>
  <c r="P45" i="11"/>
  <c r="P46" i="11" s="1"/>
  <c r="R22" i="7"/>
  <c r="D20" i="13"/>
  <c r="N20" i="13"/>
  <c r="E22" i="7"/>
  <c r="O13" i="7"/>
  <c r="O45" i="7"/>
  <c r="P53" i="1" s="1"/>
  <c r="O45" i="12"/>
  <c r="O46" i="12" s="1"/>
  <c r="O13" i="12"/>
  <c r="O45" i="11"/>
  <c r="O46" i="11" s="1"/>
  <c r="O13" i="11"/>
  <c r="Y20" i="13"/>
  <c r="W20" i="13"/>
  <c r="X20" i="13"/>
  <c r="AC19" i="11"/>
  <c r="AC20" i="11"/>
  <c r="AE19" i="7"/>
  <c r="AE20" i="7"/>
  <c r="AC22" i="11"/>
  <c r="AC45" i="7"/>
  <c r="AD53" i="1" s="1"/>
  <c r="AE22" i="7"/>
  <c r="AB20" i="14"/>
  <c r="AG20" i="14"/>
  <c r="CY91" i="3"/>
  <c r="BD91" i="3" s="1"/>
  <c r="CY93" i="3"/>
  <c r="BD93" i="3" s="1"/>
  <c r="CY90" i="3"/>
  <c r="BD90" i="3" s="1"/>
  <c r="CY92" i="3"/>
  <c r="BD92" i="3" s="1"/>
  <c r="AD20" i="14"/>
  <c r="P45" i="7" l="1"/>
  <c r="Q53" i="1" s="1"/>
  <c r="P15" i="7"/>
  <c r="J22" i="7"/>
  <c r="J45" i="7" s="1"/>
  <c r="K53" i="1" s="1"/>
  <c r="M22" i="10"/>
  <c r="I22" i="12"/>
  <c r="I22" i="11"/>
  <c r="I22" i="7"/>
  <c r="M22" i="13"/>
  <c r="M13" i="13" s="1"/>
  <c r="AS43" i="1"/>
  <c r="M22" i="14"/>
  <c r="N20" i="14"/>
  <c r="O15" i="7"/>
  <c r="R45" i="7"/>
  <c r="S53" i="1" s="1"/>
  <c r="R13" i="7"/>
  <c r="E13" i="7"/>
  <c r="E45" i="7"/>
  <c r="F53" i="1" s="1"/>
  <c r="E45" i="12"/>
  <c r="E46" i="12" s="1"/>
  <c r="E13" i="12"/>
  <c r="R13" i="12"/>
  <c r="R45" i="12"/>
  <c r="R46" i="12" s="1"/>
  <c r="J45" i="12"/>
  <c r="J46" i="12" s="1"/>
  <c r="J13" i="12"/>
  <c r="E13" i="11"/>
  <c r="E45" i="11"/>
  <c r="E46" i="11" s="1"/>
  <c r="J45" i="11"/>
  <c r="J46" i="11" s="1"/>
  <c r="J13" i="11"/>
  <c r="R13" i="11"/>
  <c r="R45" i="11"/>
  <c r="R46" i="11" s="1"/>
  <c r="N43" i="1"/>
  <c r="D5" i="7" a="1"/>
  <c r="D5" i="7" s="1"/>
  <c r="D20" i="7" s="1"/>
  <c r="AB20" i="13"/>
  <c r="V20" i="13"/>
  <c r="AE13" i="7"/>
  <c r="Z19" i="7"/>
  <c r="Z20" i="7"/>
  <c r="AF19" i="7"/>
  <c r="AF20" i="7"/>
  <c r="Z19" i="12"/>
  <c r="Z20" i="12"/>
  <c r="D4" i="12" a="1"/>
  <c r="D4" i="12" s="1"/>
  <c r="D5" i="12" a="1"/>
  <c r="D5" i="12" s="1"/>
  <c r="D20" i="12" s="1"/>
  <c r="D4" i="7" a="1"/>
  <c r="D4" i="7" s="1"/>
  <c r="D7" i="12" a="1"/>
  <c r="D7" i="12" s="1"/>
  <c r="D22" i="12" s="1"/>
  <c r="Z22" i="12"/>
  <c r="AC13" i="12"/>
  <c r="AC45" i="12"/>
  <c r="AC46" i="12" s="1"/>
  <c r="AF22" i="7"/>
  <c r="Z22" i="7"/>
  <c r="D7" i="7" a="1"/>
  <c r="D7" i="7" s="1"/>
  <c r="D22" i="7" s="1"/>
  <c r="J13" i="7" l="1"/>
  <c r="J15" i="7" s="1"/>
  <c r="AE15" i="7"/>
  <c r="F22" i="12"/>
  <c r="F22" i="11"/>
  <c r="L22" i="12"/>
  <c r="L22" i="11"/>
  <c r="K20" i="10"/>
  <c r="G22" i="11"/>
  <c r="K20" i="13"/>
  <c r="G22" i="12"/>
  <c r="H22" i="11"/>
  <c r="H22" i="12"/>
  <c r="G22" i="7"/>
  <c r="M21" i="9"/>
  <c r="M37" i="9" s="1"/>
  <c r="M19" i="9"/>
  <c r="M35" i="9" s="1"/>
  <c r="M23" i="9"/>
  <c r="M39" i="9" s="1"/>
  <c r="M24" i="9"/>
  <c r="M40" i="9" s="1"/>
  <c r="M18" i="9"/>
  <c r="M34" i="9" s="1"/>
  <c r="M20" i="9"/>
  <c r="M36" i="9" s="1"/>
  <c r="M22" i="9"/>
  <c r="M38" i="9" s="1"/>
  <c r="M45" i="14"/>
  <c r="N54" i="1" s="1"/>
  <c r="M13" i="14"/>
  <c r="L22" i="7"/>
  <c r="M45" i="13"/>
  <c r="M45" i="10"/>
  <c r="M13" i="10"/>
  <c r="D19" i="7"/>
  <c r="D13" i="7" s="1"/>
  <c r="E15" i="7"/>
  <c r="R15" i="7"/>
  <c r="I13" i="7"/>
  <c r="I45" i="7"/>
  <c r="J53" i="1" s="1"/>
  <c r="I13" i="12"/>
  <c r="I45" i="12"/>
  <c r="I46" i="12" s="1"/>
  <c r="D19" i="12"/>
  <c r="I13" i="11"/>
  <c r="I45" i="11"/>
  <c r="I46" i="11" s="1"/>
  <c r="AA20" i="14"/>
  <c r="AG20" i="13"/>
  <c r="Z13" i="7"/>
  <c r="AF13" i="7"/>
  <c r="AH19" i="12"/>
  <c r="AH20" i="12"/>
  <c r="Y19" i="12"/>
  <c r="Y20" i="12"/>
  <c r="Y19" i="7"/>
  <c r="Y20" i="7"/>
  <c r="AF19" i="12"/>
  <c r="AF20" i="12"/>
  <c r="AH19" i="7"/>
  <c r="AH20" i="7"/>
  <c r="AE19" i="12"/>
  <c r="AE20" i="12"/>
  <c r="V19" i="7"/>
  <c r="V20" i="7"/>
  <c r="AC19" i="10"/>
  <c r="AC20" i="10"/>
  <c r="AF22" i="12"/>
  <c r="AE22" i="12"/>
  <c r="AH22" i="12"/>
  <c r="Y22" i="12"/>
  <c r="AC22" i="10"/>
  <c r="AE45" i="7"/>
  <c r="AF53" i="1" s="1"/>
  <c r="Y22" i="7"/>
  <c r="AH22" i="7"/>
  <c r="V22" i="7"/>
  <c r="AC22" i="14"/>
  <c r="AF15" i="7" l="1"/>
  <c r="Z15" i="7"/>
  <c r="F22" i="7"/>
  <c r="F13" i="7" s="1"/>
  <c r="Q22" i="12"/>
  <c r="Q22" i="11"/>
  <c r="M12" i="9"/>
  <c r="M15" i="14"/>
  <c r="K20" i="14"/>
  <c r="M15" i="13"/>
  <c r="H22" i="7"/>
  <c r="I15" i="7"/>
  <c r="L13" i="7"/>
  <c r="L45" i="7"/>
  <c r="M53" i="1" s="1"/>
  <c r="D15" i="7"/>
  <c r="G45" i="7"/>
  <c r="H53" i="1" s="1"/>
  <c r="G13" i="7"/>
  <c r="G45" i="12"/>
  <c r="G46" i="12" s="1"/>
  <c r="G13" i="12"/>
  <c r="F13" i="12"/>
  <c r="F45" i="12"/>
  <c r="F46" i="12" s="1"/>
  <c r="L13" i="12"/>
  <c r="L45" i="12"/>
  <c r="L46" i="12" s="1"/>
  <c r="H13" i="12"/>
  <c r="H45" i="12"/>
  <c r="H46" i="12" s="1"/>
  <c r="H45" i="11"/>
  <c r="H46" i="11" s="1"/>
  <c r="H13" i="11"/>
  <c r="F45" i="11"/>
  <c r="F46" i="11" s="1"/>
  <c r="F13" i="11"/>
  <c r="G45" i="11"/>
  <c r="G46" i="11" s="1"/>
  <c r="G13" i="11"/>
  <c r="L13" i="11"/>
  <c r="L45" i="11"/>
  <c r="L46" i="11" s="1"/>
  <c r="AX5" i="14"/>
  <c r="AC13" i="10"/>
  <c r="AD20" i="13"/>
  <c r="Y13" i="7"/>
  <c r="AH13" i="7"/>
  <c r="X19" i="12"/>
  <c r="X20" i="12"/>
  <c r="D4" i="11" a="1"/>
  <c r="D4" i="11" s="1"/>
  <c r="D5" i="11" a="1"/>
  <c r="D5" i="11" s="1"/>
  <c r="D20" i="11" s="1"/>
  <c r="AF19" i="11"/>
  <c r="AF20" i="11"/>
  <c r="Z19" i="11"/>
  <c r="Z20" i="11"/>
  <c r="AE19" i="11"/>
  <c r="AE20" i="11"/>
  <c r="X19" i="7"/>
  <c r="X20" i="7"/>
  <c r="AH19" i="11"/>
  <c r="AH20" i="11"/>
  <c r="V20" i="12"/>
  <c r="AB19" i="7"/>
  <c r="AB20" i="7"/>
  <c r="V13" i="7"/>
  <c r="V22" i="12"/>
  <c r="X22" i="12"/>
  <c r="AF22" i="11"/>
  <c r="D7" i="11" a="1"/>
  <c r="D7" i="11" s="1"/>
  <c r="D22" i="11" s="1"/>
  <c r="Z22" i="11"/>
  <c r="AE22" i="11"/>
  <c r="AH22" i="11"/>
  <c r="AC45" i="11"/>
  <c r="AC46" i="11" s="1"/>
  <c r="AC13" i="11"/>
  <c r="D45" i="7"/>
  <c r="E53" i="1" s="1"/>
  <c r="Z45" i="7"/>
  <c r="AA53" i="1" s="1"/>
  <c r="V53" i="1"/>
  <c r="AF45" i="7"/>
  <c r="AG53" i="1" s="1"/>
  <c r="AB22" i="7"/>
  <c r="X22" i="7"/>
  <c r="CY99" i="3"/>
  <c r="CY96" i="3"/>
  <c r="BD96" i="3" s="1"/>
  <c r="CY98" i="3"/>
  <c r="BD98" i="3" s="1"/>
  <c r="CY97" i="3"/>
  <c r="BD97" i="3" s="1"/>
  <c r="AG20" i="7"/>
  <c r="V15" i="7" l="1"/>
  <c r="F45" i="7"/>
  <c r="G53" i="1" s="1"/>
  <c r="AH15" i="7"/>
  <c r="Y15" i="7"/>
  <c r="Q22" i="7"/>
  <c r="Q13" i="7" s="1"/>
  <c r="O22" i="10"/>
  <c r="E22" i="10"/>
  <c r="N22" i="12"/>
  <c r="J22" i="10"/>
  <c r="R22" i="10"/>
  <c r="N22" i="11"/>
  <c r="J22" i="13"/>
  <c r="J13" i="13" s="1"/>
  <c r="AP43" i="1"/>
  <c r="J22" i="9"/>
  <c r="J38" i="9" s="1"/>
  <c r="O22" i="13"/>
  <c r="O13" i="13" s="1"/>
  <c r="AU43" i="1"/>
  <c r="E22" i="13"/>
  <c r="E13" i="13" s="1"/>
  <c r="AK43" i="1"/>
  <c r="N22" i="7"/>
  <c r="BD99" i="3"/>
  <c r="AJ43" i="1"/>
  <c r="R22" i="13"/>
  <c r="R13" i="13" s="1"/>
  <c r="AX43" i="1"/>
  <c r="O22" i="14"/>
  <c r="E22" i="14"/>
  <c r="AA20" i="13"/>
  <c r="L15" i="7"/>
  <c r="F15" i="7"/>
  <c r="G15" i="7"/>
  <c r="H13" i="7"/>
  <c r="H45" i="7"/>
  <c r="I53" i="1" s="1"/>
  <c r="Q45" i="12"/>
  <c r="Q46" i="12" s="1"/>
  <c r="Q13" i="12"/>
  <c r="V19" i="12"/>
  <c r="P43" i="1"/>
  <c r="Q13" i="11"/>
  <c r="Q45" i="11"/>
  <c r="Q46" i="11" s="1"/>
  <c r="D19" i="11"/>
  <c r="K43" i="1"/>
  <c r="AX5" i="13"/>
  <c r="AC22" i="13"/>
  <c r="AC13" i="13" s="1"/>
  <c r="X13" i="7"/>
  <c r="AB13" i="7"/>
  <c r="AH19" i="10"/>
  <c r="AH20" i="10"/>
  <c r="V19" i="11"/>
  <c r="V20" i="11"/>
  <c r="AE19" i="10"/>
  <c r="AE20" i="10"/>
  <c r="X19" i="11"/>
  <c r="X20" i="11"/>
  <c r="W20" i="7"/>
  <c r="W20" i="12"/>
  <c r="AB19" i="12"/>
  <c r="AB20" i="12"/>
  <c r="Y19" i="11"/>
  <c r="Y20" i="11"/>
  <c r="D4" i="10" a="1"/>
  <c r="D4" i="10" s="1"/>
  <c r="D5" i="10" a="1"/>
  <c r="D5" i="10" s="1"/>
  <c r="D20" i="10" s="1"/>
  <c r="Z19" i="10"/>
  <c r="Z20" i="10"/>
  <c r="AG19" i="7"/>
  <c r="W22" i="12"/>
  <c r="AB22" i="12"/>
  <c r="AE45" i="12"/>
  <c r="AE46" i="12" s="1"/>
  <c r="AE13" i="12"/>
  <c r="AH45" i="12"/>
  <c r="AH46" i="12" s="1"/>
  <c r="AH13" i="12"/>
  <c r="Z13" i="12"/>
  <c r="Z45" i="12"/>
  <c r="Z46" i="12" s="1"/>
  <c r="D45" i="12"/>
  <c r="D46" i="12" s="1"/>
  <c r="D13" i="12"/>
  <c r="AF45" i="12"/>
  <c r="AF46" i="12" s="1"/>
  <c r="AF13" i="12"/>
  <c r="V22" i="11"/>
  <c r="X22" i="11"/>
  <c r="Y22" i="11"/>
  <c r="AC45" i="10"/>
  <c r="AE22" i="10"/>
  <c r="D7" i="10" a="1"/>
  <c r="D7" i="10" s="1"/>
  <c r="D22" i="10" s="1"/>
  <c r="Z22" i="10"/>
  <c r="AH22" i="10"/>
  <c r="AH45" i="7"/>
  <c r="AI53" i="1" s="1"/>
  <c r="Y45" i="7"/>
  <c r="Z53" i="1" s="1"/>
  <c r="V45" i="7"/>
  <c r="W53" i="1" s="1"/>
  <c r="W22" i="7"/>
  <c r="D5" i="9" a="1"/>
  <c r="D5" i="9" s="1"/>
  <c r="Q45" i="7" l="1"/>
  <c r="R53" i="1" s="1"/>
  <c r="AB15" i="7"/>
  <c r="X15" i="7"/>
  <c r="P22" i="10"/>
  <c r="I22" i="10"/>
  <c r="J19" i="9"/>
  <c r="J35" i="9" s="1"/>
  <c r="J24" i="9"/>
  <c r="J40" i="9" s="1"/>
  <c r="J20" i="9"/>
  <c r="J36" i="9" s="1"/>
  <c r="J18" i="9"/>
  <c r="J34" i="9" s="1"/>
  <c r="J21" i="9"/>
  <c r="J37" i="9" s="1"/>
  <c r="H22" i="10"/>
  <c r="K22" i="11"/>
  <c r="K22" i="12"/>
  <c r="AV43" i="1"/>
  <c r="P22" i="14"/>
  <c r="S43" i="1"/>
  <c r="H22" i="13"/>
  <c r="H13" i="13" s="1"/>
  <c r="AN43" i="1"/>
  <c r="I22" i="13"/>
  <c r="I13" i="13" s="1"/>
  <c r="AO43" i="1"/>
  <c r="E21" i="9"/>
  <c r="J23" i="9"/>
  <c r="J39" i="9" s="1"/>
  <c r="F43" i="1"/>
  <c r="I22" i="14"/>
  <c r="R21" i="9"/>
  <c r="R37" i="9" s="1"/>
  <c r="R19" i="9"/>
  <c r="R35" i="9" s="1"/>
  <c r="R22" i="9"/>
  <c r="R38" i="9" s="1"/>
  <c r="R23" i="9"/>
  <c r="R39" i="9" s="1"/>
  <c r="R18" i="9"/>
  <c r="R34" i="9" s="1"/>
  <c r="R24" i="9"/>
  <c r="R40" i="9" s="1"/>
  <c r="R20" i="9"/>
  <c r="R36" i="9" s="1"/>
  <c r="H22" i="14"/>
  <c r="O21" i="9"/>
  <c r="O37" i="9" s="1"/>
  <c r="O19" i="9"/>
  <c r="O35" i="9" s="1"/>
  <c r="O20" i="9"/>
  <c r="O36" i="9" s="1"/>
  <c r="O24" i="9"/>
  <c r="O40" i="9" s="1"/>
  <c r="O22" i="9"/>
  <c r="O38" i="9" s="1"/>
  <c r="O18" i="9"/>
  <c r="O34" i="9" s="1"/>
  <c r="O23" i="9"/>
  <c r="O39" i="9" s="1"/>
  <c r="J22" i="14"/>
  <c r="R22" i="14"/>
  <c r="O13" i="14"/>
  <c r="O45" i="14"/>
  <c r="P54" i="1" s="1"/>
  <c r="E13" i="14"/>
  <c r="E45" i="14"/>
  <c r="F54" i="1" s="1"/>
  <c r="O45" i="13"/>
  <c r="R45" i="13"/>
  <c r="J45" i="13"/>
  <c r="E45" i="13"/>
  <c r="E13" i="10"/>
  <c r="E45" i="10"/>
  <c r="O13" i="10"/>
  <c r="O45" i="10"/>
  <c r="D19" i="10"/>
  <c r="D13" i="10" s="1"/>
  <c r="J45" i="10"/>
  <c r="J13" i="10"/>
  <c r="R45" i="10"/>
  <c r="R13" i="10"/>
  <c r="AG22" i="7"/>
  <c r="AG45" i="7" s="1"/>
  <c r="AH53" i="1" s="1"/>
  <c r="Q15" i="7"/>
  <c r="H15" i="7"/>
  <c r="W19" i="7"/>
  <c r="W13" i="7" s="1"/>
  <c r="N45" i="7"/>
  <c r="O53" i="1" s="1"/>
  <c r="N13" i="7"/>
  <c r="W19" i="12"/>
  <c r="N45" i="12"/>
  <c r="N46" i="12" s="1"/>
  <c r="N13" i="12"/>
  <c r="N13" i="11"/>
  <c r="N45" i="11"/>
  <c r="N46" i="11" s="1"/>
  <c r="J43" i="1"/>
  <c r="I43" i="1"/>
  <c r="AE13" i="10"/>
  <c r="Z22" i="14"/>
  <c r="D7" i="14" a="1"/>
  <c r="D7" i="14" s="1"/>
  <c r="Z22" i="13"/>
  <c r="Z13" i="13" s="1"/>
  <c r="D7" i="13" a="1"/>
  <c r="D7" i="13" s="1"/>
  <c r="D7" i="9" a="1"/>
  <c r="D7" i="9" s="1"/>
  <c r="AB19" i="11"/>
  <c r="AB20" i="11"/>
  <c r="AD19" i="7"/>
  <c r="AD20" i="7"/>
  <c r="W20" i="11"/>
  <c r="Z13" i="10"/>
  <c r="AH13" i="10"/>
  <c r="Y13" i="12"/>
  <c r="Y45" i="12"/>
  <c r="Y46" i="12" s="1"/>
  <c r="V13" i="12"/>
  <c r="V45" i="12"/>
  <c r="V46" i="12" s="1"/>
  <c r="X13" i="12"/>
  <c r="X45" i="12"/>
  <c r="X46" i="12" s="1"/>
  <c r="AB22" i="11"/>
  <c r="W22" i="11"/>
  <c r="D45" i="11"/>
  <c r="D46" i="11" s="1"/>
  <c r="D13" i="11"/>
  <c r="Z13" i="11"/>
  <c r="Z45" i="11"/>
  <c r="Z46" i="11" s="1"/>
  <c r="AE45" i="11"/>
  <c r="AE46" i="11" s="1"/>
  <c r="AE13" i="11"/>
  <c r="AH45" i="11"/>
  <c r="AH46" i="11" s="1"/>
  <c r="AH13" i="11"/>
  <c r="X45" i="7"/>
  <c r="Y53" i="1" s="1"/>
  <c r="AB45" i="7"/>
  <c r="AC53" i="1" s="1"/>
  <c r="AC21" i="9"/>
  <c r="AC37" i="9" s="1"/>
  <c r="AC19" i="9"/>
  <c r="AC35" i="9" s="1"/>
  <c r="AC18" i="9"/>
  <c r="AC34" i="9" s="1"/>
  <c r="AC22" i="9"/>
  <c r="AC38" i="9" s="1"/>
  <c r="AC20" i="9"/>
  <c r="AC36" i="9" s="1"/>
  <c r="AC23" i="9"/>
  <c r="AC39" i="9" s="1"/>
  <c r="AC24" i="9"/>
  <c r="AC40" i="9" s="1"/>
  <c r="AD22" i="7"/>
  <c r="AA20" i="7"/>
  <c r="W15" i="7" l="1"/>
  <c r="P13" i="10"/>
  <c r="P45" i="10"/>
  <c r="K11" i="7"/>
  <c r="U11" i="7"/>
  <c r="AL11" i="7"/>
  <c r="X11" i="7"/>
  <c r="AN11" i="7"/>
  <c r="AG11" i="7"/>
  <c r="AA11" i="7"/>
  <c r="AS11" i="7"/>
  <c r="AK11" i="7"/>
  <c r="AQ11" i="7"/>
  <c r="AV11" i="7"/>
  <c r="AP11" i="7"/>
  <c r="AJ11" i="7"/>
  <c r="W11" i="7"/>
  <c r="AT11" i="7"/>
  <c r="AO11" i="7"/>
  <c r="AW11" i="7"/>
  <c r="AD11" i="7"/>
  <c r="AE11" i="7"/>
  <c r="AI11" i="7"/>
  <c r="AB11" i="7"/>
  <c r="AU11" i="7"/>
  <c r="AR11" i="7"/>
  <c r="O11" i="7"/>
  <c r="M11" i="7"/>
  <c r="AH11" i="7"/>
  <c r="Q11" i="7"/>
  <c r="N11" i="7"/>
  <c r="P11" i="7"/>
  <c r="Y11" i="7"/>
  <c r="G11" i="7"/>
  <c r="V11" i="7"/>
  <c r="R11" i="7"/>
  <c r="I11" i="7"/>
  <c r="J11" i="7"/>
  <c r="AM11" i="7"/>
  <c r="E11" i="7"/>
  <c r="H11" i="7"/>
  <c r="Z11" i="7"/>
  <c r="AF11" i="7"/>
  <c r="L11" i="7"/>
  <c r="T11" i="7"/>
  <c r="F11" i="7"/>
  <c r="AC11" i="7"/>
  <c r="S11" i="7"/>
  <c r="L22" i="10"/>
  <c r="F22" i="10"/>
  <c r="G22" i="10"/>
  <c r="E22" i="9"/>
  <c r="E38" i="9" s="1"/>
  <c r="E24" i="9"/>
  <c r="E40" i="9" s="1"/>
  <c r="P45" i="14"/>
  <c r="Q54" i="1" s="1"/>
  <c r="P13" i="14"/>
  <c r="P21" i="9"/>
  <c r="P37" i="9" s="1"/>
  <c r="P19" i="9"/>
  <c r="P35" i="9" s="1"/>
  <c r="P24" i="9"/>
  <c r="P40" i="9" s="1"/>
  <c r="P23" i="9"/>
  <c r="P39" i="9" s="1"/>
  <c r="P18" i="9"/>
  <c r="P34" i="9" s="1"/>
  <c r="P22" i="9"/>
  <c r="P38" i="9" s="1"/>
  <c r="P20" i="9"/>
  <c r="P36" i="9" s="1"/>
  <c r="P22" i="13"/>
  <c r="P13" i="13" s="1"/>
  <c r="Q43" i="1"/>
  <c r="E18" i="9"/>
  <c r="E34" i="9" s="1"/>
  <c r="E20" i="9"/>
  <c r="E36" i="9" s="1"/>
  <c r="E23" i="9"/>
  <c r="E39" i="9" s="1"/>
  <c r="E19" i="9"/>
  <c r="E35" i="9" s="1"/>
  <c r="E37" i="9"/>
  <c r="F22" i="13"/>
  <c r="F13" i="13" s="1"/>
  <c r="AL43" i="1"/>
  <c r="G22" i="13"/>
  <c r="G13" i="13" s="1"/>
  <c r="AM43" i="1"/>
  <c r="L22" i="13"/>
  <c r="L13" i="13" s="1"/>
  <c r="AR43" i="1"/>
  <c r="E12" i="9"/>
  <c r="O12" i="9"/>
  <c r="F22" i="14"/>
  <c r="G22" i="14"/>
  <c r="H21" i="9"/>
  <c r="H37" i="9" s="1"/>
  <c r="H23" i="9"/>
  <c r="H39" i="9" s="1"/>
  <c r="H22" i="9"/>
  <c r="H38" i="9" s="1"/>
  <c r="H24" i="9"/>
  <c r="H40" i="9" s="1"/>
  <c r="H19" i="9"/>
  <c r="H35" i="9" s="1"/>
  <c r="H20" i="9"/>
  <c r="H36" i="9" s="1"/>
  <c r="H18" i="9"/>
  <c r="H34" i="9" s="1"/>
  <c r="I21" i="9"/>
  <c r="I37" i="9" s="1"/>
  <c r="I20" i="9"/>
  <c r="I36" i="9" s="1"/>
  <c r="I23" i="9"/>
  <c r="I39" i="9" s="1"/>
  <c r="I22" i="9"/>
  <c r="I38" i="9" s="1"/>
  <c r="I18" i="9"/>
  <c r="I34" i="9" s="1"/>
  <c r="I24" i="9"/>
  <c r="I40" i="9" s="1"/>
  <c r="I19" i="9"/>
  <c r="I35" i="9" s="1"/>
  <c r="L22" i="14"/>
  <c r="E15" i="14"/>
  <c r="AG13" i="7"/>
  <c r="O15" i="14"/>
  <c r="I45" i="14"/>
  <c r="J54" i="1" s="1"/>
  <c r="I13" i="14"/>
  <c r="H45" i="14"/>
  <c r="I54" i="1" s="1"/>
  <c r="H13" i="14"/>
  <c r="R45" i="14"/>
  <c r="S54" i="1" s="1"/>
  <c r="R13" i="14"/>
  <c r="R12" i="9" s="1"/>
  <c r="D22" i="14"/>
  <c r="J13" i="14"/>
  <c r="J12" i="9" s="1"/>
  <c r="J45" i="14"/>
  <c r="K54" i="1" s="1"/>
  <c r="J15" i="13"/>
  <c r="I45" i="13"/>
  <c r="D22" i="13"/>
  <c r="R15" i="13"/>
  <c r="H45" i="13"/>
  <c r="O15" i="13"/>
  <c r="E15" i="13"/>
  <c r="H45" i="10"/>
  <c r="H13" i="10"/>
  <c r="I45" i="10"/>
  <c r="I13" i="10"/>
  <c r="N15" i="7"/>
  <c r="K22" i="7"/>
  <c r="K13" i="12"/>
  <c r="K45" i="12"/>
  <c r="K46" i="12" s="1"/>
  <c r="W19" i="11"/>
  <c r="K13" i="11"/>
  <c r="K45" i="11"/>
  <c r="K46" i="11" s="1"/>
  <c r="H43" i="1"/>
  <c r="AE22" i="14"/>
  <c r="AC13" i="14"/>
  <c r="AD13" i="7"/>
  <c r="AB19" i="10"/>
  <c r="AB20" i="10"/>
  <c r="AC15" i="13"/>
  <c r="V20" i="10"/>
  <c r="Z13" i="14"/>
  <c r="Y19" i="10"/>
  <c r="Y20" i="10"/>
  <c r="AF19" i="10"/>
  <c r="AF20" i="10"/>
  <c r="X19" i="10"/>
  <c r="X20" i="10"/>
  <c r="AG19" i="12"/>
  <c r="AG20" i="12"/>
  <c r="AG19" i="11"/>
  <c r="AG20" i="11"/>
  <c r="W19" i="10"/>
  <c r="W20" i="10"/>
  <c r="AG49" i="7"/>
  <c r="AC45" i="13"/>
  <c r="AB13" i="12"/>
  <c r="AB45" i="12"/>
  <c r="AB46" i="12" s="1"/>
  <c r="W45" i="12"/>
  <c r="W46" i="12" s="1"/>
  <c r="W13" i="12"/>
  <c r="AE45" i="10"/>
  <c r="AF22" i="10"/>
  <c r="X22" i="10"/>
  <c r="Z45" i="10"/>
  <c r="Y22" i="10"/>
  <c r="AB22" i="10"/>
  <c r="D45" i="10"/>
  <c r="AH45" i="10"/>
  <c r="V22" i="10"/>
  <c r="W22" i="10"/>
  <c r="W45" i="7"/>
  <c r="X53" i="1" s="1"/>
  <c r="Z21" i="9"/>
  <c r="Z37" i="9" s="1"/>
  <c r="Z19" i="9"/>
  <c r="Z35" i="9" s="1"/>
  <c r="Z18" i="9"/>
  <c r="Z34" i="9" s="1"/>
  <c r="Z20" i="9"/>
  <c r="Z36" i="9" s="1"/>
  <c r="Z22" i="9"/>
  <c r="Z38" i="9" s="1"/>
  <c r="Z24" i="9"/>
  <c r="Z40" i="9" s="1"/>
  <c r="Z23" i="9"/>
  <c r="Z39" i="9" s="1"/>
  <c r="D21" i="9"/>
  <c r="D37" i="9" s="1"/>
  <c r="D19" i="9"/>
  <c r="D35" i="9" s="1"/>
  <c r="D18" i="9"/>
  <c r="D34" i="9" s="1"/>
  <c r="D22" i="9"/>
  <c r="D38" i="9" s="1"/>
  <c r="D20" i="9"/>
  <c r="D36" i="9" s="1"/>
  <c r="D23" i="9"/>
  <c r="D39" i="9" s="1"/>
  <c r="D24" i="9"/>
  <c r="D40" i="9" s="1"/>
  <c r="AA22" i="7"/>
  <c r="W22" i="14"/>
  <c r="AD15" i="7" l="1"/>
  <c r="AG15" i="7"/>
  <c r="Q22" i="10"/>
  <c r="M43" i="1"/>
  <c r="P45" i="13"/>
  <c r="P15" i="13"/>
  <c r="F21" i="9"/>
  <c r="F37" i="9" s="1"/>
  <c r="G43" i="1"/>
  <c r="P15" i="14"/>
  <c r="H12" i="9"/>
  <c r="Q22" i="13"/>
  <c r="Q13" i="13" s="1"/>
  <c r="AW43" i="1"/>
  <c r="I12" i="9"/>
  <c r="Q22" i="14"/>
  <c r="L21" i="9"/>
  <c r="L37" i="9" s="1"/>
  <c r="L19" i="9"/>
  <c r="L35" i="9" s="1"/>
  <c r="L22" i="9"/>
  <c r="L38" i="9" s="1"/>
  <c r="L18" i="9"/>
  <c r="L34" i="9" s="1"/>
  <c r="L23" i="9"/>
  <c r="L39" i="9" s="1"/>
  <c r="L24" i="9"/>
  <c r="L40" i="9" s="1"/>
  <c r="L20" i="9"/>
  <c r="L36" i="9" s="1"/>
  <c r="G21" i="9"/>
  <c r="G37" i="9" s="1"/>
  <c r="G24" i="9"/>
  <c r="G40" i="9" s="1"/>
  <c r="G23" i="9"/>
  <c r="G39" i="9" s="1"/>
  <c r="G18" i="9"/>
  <c r="G34" i="9" s="1"/>
  <c r="G20" i="9"/>
  <c r="G36" i="9" s="1"/>
  <c r="G19" i="9"/>
  <c r="G35" i="9" s="1"/>
  <c r="G22" i="9"/>
  <c r="G38" i="9" s="1"/>
  <c r="I15" i="14"/>
  <c r="R15" i="14"/>
  <c r="G45" i="14"/>
  <c r="H54" i="1" s="1"/>
  <c r="G13" i="14"/>
  <c r="J15" i="14"/>
  <c r="AH22" i="14"/>
  <c r="F45" i="14"/>
  <c r="G54" i="1" s="1"/>
  <c r="F13" i="14"/>
  <c r="H15" i="14"/>
  <c r="L13" i="14"/>
  <c r="L45" i="14"/>
  <c r="M54" i="1" s="1"/>
  <c r="G45" i="13"/>
  <c r="F45" i="13"/>
  <c r="I15" i="13"/>
  <c r="L45" i="13"/>
  <c r="H15" i="13"/>
  <c r="G45" i="10"/>
  <c r="G13" i="10"/>
  <c r="L45" i="10"/>
  <c r="L13" i="10"/>
  <c r="F45" i="10"/>
  <c r="F13" i="10"/>
  <c r="V19" i="10"/>
  <c r="V13" i="10" s="1"/>
  <c r="AA19" i="7"/>
  <c r="AA13" i="7" s="1"/>
  <c r="K45" i="7"/>
  <c r="L53" i="1" s="1"/>
  <c r="K13" i="7"/>
  <c r="AG22" i="12"/>
  <c r="AG45" i="12" s="1"/>
  <c r="AG46" i="12" s="1"/>
  <c r="AG22" i="11"/>
  <c r="AC15" i="14"/>
  <c r="AC12" i="9"/>
  <c r="AB22" i="14"/>
  <c r="AB13" i="10"/>
  <c r="Z15" i="13"/>
  <c r="Y13" i="10"/>
  <c r="V22" i="14"/>
  <c r="AE22" i="13"/>
  <c r="AE13" i="13" s="1"/>
  <c r="V22" i="13"/>
  <c r="V13" i="13" s="1"/>
  <c r="X13" i="10"/>
  <c r="AD19" i="12"/>
  <c r="AD20" i="12"/>
  <c r="AA20" i="12"/>
  <c r="W13" i="10"/>
  <c r="AG19" i="10"/>
  <c r="AG20" i="10"/>
  <c r="AD19" i="11"/>
  <c r="AD20" i="11"/>
  <c r="D13" i="14"/>
  <c r="AF13" i="10"/>
  <c r="AA20" i="11"/>
  <c r="Z15" i="14"/>
  <c r="AD22" i="12"/>
  <c r="AA22" i="12"/>
  <c r="AA22" i="11"/>
  <c r="AB13" i="11"/>
  <c r="AB45" i="11"/>
  <c r="AB46" i="11" s="1"/>
  <c r="Y13" i="11"/>
  <c r="Y45" i="11"/>
  <c r="Y46" i="11" s="1"/>
  <c r="X13" i="11"/>
  <c r="X45" i="11"/>
  <c r="X46" i="11" s="1"/>
  <c r="V13" i="11"/>
  <c r="V45" i="11"/>
  <c r="V46" i="11" s="1"/>
  <c r="AF13" i="11"/>
  <c r="AF45" i="11"/>
  <c r="AF46" i="11" s="1"/>
  <c r="W13" i="11"/>
  <c r="W45" i="11"/>
  <c r="W46" i="11" s="1"/>
  <c r="AD45" i="7"/>
  <c r="AE53" i="1" s="1"/>
  <c r="D11" i="7"/>
  <c r="G17" i="5"/>
  <c r="G11" i="5"/>
  <c r="DB4" i="5"/>
  <c r="DB13" i="5" s="1"/>
  <c r="G15" i="5"/>
  <c r="G14" i="5"/>
  <c r="G16" i="5"/>
  <c r="X22" i="14"/>
  <c r="AF22" i="14"/>
  <c r="U14" i="7" l="1"/>
  <c r="U17" i="7" s="1"/>
  <c r="AE14" i="7"/>
  <c r="AE17" i="7" s="1"/>
  <c r="D14" i="7"/>
  <c r="D17" i="7" s="1"/>
  <c r="K14" i="7"/>
  <c r="K17" i="7" s="1"/>
  <c r="J14" i="7"/>
  <c r="J17" i="7" s="1"/>
  <c r="S14" i="7"/>
  <c r="S17" i="7" s="1"/>
  <c r="L14" i="7"/>
  <c r="L17" i="7" s="1"/>
  <c r="AM14" i="7"/>
  <c r="AM17" i="7" s="1"/>
  <c r="Z14" i="7"/>
  <c r="Z17" i="7" s="1"/>
  <c r="Y14" i="7"/>
  <c r="Y17" i="7" s="1"/>
  <c r="AN14" i="7"/>
  <c r="AN17" i="7" s="1"/>
  <c r="Q14" i="7"/>
  <c r="Q17" i="7" s="1"/>
  <c r="AC14" i="7"/>
  <c r="AC17" i="7" s="1"/>
  <c r="AH14" i="7"/>
  <c r="AH17" i="7" s="1"/>
  <c r="AB14" i="7"/>
  <c r="AB17" i="7" s="1"/>
  <c r="AP14" i="7"/>
  <c r="AP17" i="7" s="1"/>
  <c r="AV14" i="7"/>
  <c r="AV17" i="7" s="1"/>
  <c r="X14" i="7"/>
  <c r="X17" i="7" s="1"/>
  <c r="P14" i="7"/>
  <c r="P17" i="7" s="1"/>
  <c r="AO14" i="7"/>
  <c r="AO17" i="7" s="1"/>
  <c r="G14" i="7"/>
  <c r="G17" i="7" s="1"/>
  <c r="I14" i="7"/>
  <c r="I17" i="7" s="1"/>
  <c r="AL14" i="7"/>
  <c r="AL17" i="7" s="1"/>
  <c r="AU14" i="7"/>
  <c r="AU17" i="7" s="1"/>
  <c r="AS14" i="7"/>
  <c r="AS17" i="7" s="1"/>
  <c r="V14" i="7"/>
  <c r="V17" i="7" s="1"/>
  <c r="H14" i="7"/>
  <c r="H17" i="7" s="1"/>
  <c r="AK14" i="7"/>
  <c r="AK17" i="7" s="1"/>
  <c r="AT14" i="7"/>
  <c r="AT17" i="7" s="1"/>
  <c r="AI14" i="7"/>
  <c r="AI17" i="7" s="1"/>
  <c r="AQ14" i="7"/>
  <c r="AQ17" i="7" s="1"/>
  <c r="AW14" i="7"/>
  <c r="AW17" i="7" s="1"/>
  <c r="F14" i="7"/>
  <c r="F17" i="7" s="1"/>
  <c r="AJ14" i="7"/>
  <c r="AJ17" i="7" s="1"/>
  <c r="AF14" i="7"/>
  <c r="AF17" i="7" s="1"/>
  <c r="AR14" i="7"/>
  <c r="AR17" i="7" s="1"/>
  <c r="N14" i="7"/>
  <c r="N17" i="7" s="1"/>
  <c r="W14" i="7"/>
  <c r="W17" i="7" s="1"/>
  <c r="E14" i="7"/>
  <c r="E17" i="7" s="1"/>
  <c r="M14" i="7"/>
  <c r="M17" i="7" s="1"/>
  <c r="AA15" i="7"/>
  <c r="AA14" i="7"/>
  <c r="AA17" i="7" s="1"/>
  <c r="O14" i="7"/>
  <c r="O17" i="7" s="1"/>
  <c r="R14" i="7"/>
  <c r="R17" i="7" s="1"/>
  <c r="T14" i="7"/>
  <c r="T17" i="7" s="1"/>
  <c r="AG14" i="7"/>
  <c r="AG17" i="7" s="1"/>
  <c r="AD14" i="7"/>
  <c r="AD17" i="7" s="1"/>
  <c r="P12" i="9"/>
  <c r="N22" i="10"/>
  <c r="F20" i="9"/>
  <c r="F36" i="9" s="1"/>
  <c r="F23" i="9"/>
  <c r="F39" i="9" s="1"/>
  <c r="F18" i="9"/>
  <c r="F34" i="9" s="1"/>
  <c r="F22" i="9"/>
  <c r="F38" i="9" s="1"/>
  <c r="F19" i="9"/>
  <c r="F35" i="9" s="1"/>
  <c r="R43" i="1"/>
  <c r="F24" i="9"/>
  <c r="F40" i="9" s="1"/>
  <c r="L12" i="9"/>
  <c r="F12" i="9"/>
  <c r="N22" i="13"/>
  <c r="N13" i="13" s="1"/>
  <c r="AT43" i="1"/>
  <c r="G12" i="9"/>
  <c r="N22" i="14"/>
  <c r="Q21" i="9"/>
  <c r="Q37" i="9" s="1"/>
  <c r="Q19" i="9"/>
  <c r="Q35" i="9" s="1"/>
  <c r="Q18" i="9"/>
  <c r="Q34" i="9" s="1"/>
  <c r="Q20" i="9"/>
  <c r="Q36" i="9" s="1"/>
  <c r="Q24" i="9"/>
  <c r="Q40" i="9" s="1"/>
  <c r="Q22" i="9"/>
  <c r="Q38" i="9" s="1"/>
  <c r="Q23" i="9"/>
  <c r="Q39" i="9" s="1"/>
  <c r="F15" i="14"/>
  <c r="G15" i="14"/>
  <c r="L15" i="14"/>
  <c r="Q13" i="14"/>
  <c r="Q45" i="14"/>
  <c r="R54" i="1" s="1"/>
  <c r="L15" i="13"/>
  <c r="F15" i="13"/>
  <c r="Q45" i="13"/>
  <c r="G15" i="13"/>
  <c r="AG22" i="10"/>
  <c r="AG13" i="10" s="1"/>
  <c r="E11" i="12"/>
  <c r="Q13" i="10"/>
  <c r="Q45" i="10"/>
  <c r="J11" i="11"/>
  <c r="K15" i="7"/>
  <c r="F11" i="12"/>
  <c r="U11" i="12"/>
  <c r="R11" i="12"/>
  <c r="E11" i="11"/>
  <c r="AA19" i="12"/>
  <c r="T11" i="12"/>
  <c r="S11" i="12"/>
  <c r="G11" i="12"/>
  <c r="P11" i="12"/>
  <c r="L11" i="12"/>
  <c r="H11" i="12"/>
  <c r="I11" i="12"/>
  <c r="K11" i="12"/>
  <c r="N11" i="12"/>
  <c r="M11" i="12"/>
  <c r="J11" i="12"/>
  <c r="O11" i="12"/>
  <c r="Q11" i="12"/>
  <c r="O11" i="11"/>
  <c r="M11" i="11"/>
  <c r="H11" i="11"/>
  <c r="AA19" i="11"/>
  <c r="U11" i="11"/>
  <c r="S11" i="11"/>
  <c r="T11" i="11"/>
  <c r="K11" i="11"/>
  <c r="Q11" i="11"/>
  <c r="G11" i="11"/>
  <c r="R11" i="11"/>
  <c r="AD22" i="11"/>
  <c r="P11" i="11"/>
  <c r="N11" i="11"/>
  <c r="I11" i="11"/>
  <c r="F11" i="11"/>
  <c r="L11" i="11"/>
  <c r="Z12" i="9"/>
  <c r="AX7" i="12"/>
  <c r="AZ22" i="12" s="1"/>
  <c r="AX5" i="12"/>
  <c r="AZ20" i="12" s="1"/>
  <c r="AX4" i="12"/>
  <c r="AZ19" i="12" s="1"/>
  <c r="Y22" i="14"/>
  <c r="AF22" i="13"/>
  <c r="AF13" i="13" s="1"/>
  <c r="X22" i="13"/>
  <c r="X13" i="13" s="1"/>
  <c r="Y22" i="13"/>
  <c r="Y13" i="13" s="1"/>
  <c r="D13" i="13"/>
  <c r="C13" i="7"/>
  <c r="AD19" i="10"/>
  <c r="AD20" i="10"/>
  <c r="AX4" i="11"/>
  <c r="AZ19" i="11" s="1"/>
  <c r="AX5" i="11"/>
  <c r="AZ20" i="11" s="1"/>
  <c r="AE13" i="14"/>
  <c r="AX7" i="11"/>
  <c r="AZ22" i="11" s="1"/>
  <c r="AM11" i="12"/>
  <c r="AK11" i="12"/>
  <c r="AR11" i="12"/>
  <c r="AN11" i="12"/>
  <c r="AS11" i="12"/>
  <c r="AO11" i="12"/>
  <c r="AL11" i="12"/>
  <c r="AV11" i="12"/>
  <c r="AT11" i="12"/>
  <c r="AP11" i="12"/>
  <c r="AQ11" i="12"/>
  <c r="AW11" i="12"/>
  <c r="AU11" i="12"/>
  <c r="AS11" i="11"/>
  <c r="AR11" i="11"/>
  <c r="AK11" i="11"/>
  <c r="AN11" i="11"/>
  <c r="AQ11" i="11"/>
  <c r="AW11" i="11"/>
  <c r="AP11" i="11"/>
  <c r="AO11" i="11"/>
  <c r="AV11" i="11"/>
  <c r="AU11" i="11"/>
  <c r="AT11" i="11"/>
  <c r="AL11" i="11"/>
  <c r="AM11" i="11"/>
  <c r="AG13" i="12"/>
  <c r="D45" i="13"/>
  <c r="Z45" i="13"/>
  <c r="AH11" i="12"/>
  <c r="AG11" i="12"/>
  <c r="V11" i="12"/>
  <c r="AI11" i="12"/>
  <c r="X11" i="12"/>
  <c r="AJ11" i="12"/>
  <c r="Y11" i="12"/>
  <c r="AB11" i="12"/>
  <c r="W11" i="12"/>
  <c r="AA11" i="12"/>
  <c r="AF11" i="12"/>
  <c r="AD11" i="12"/>
  <c r="AE11" i="12"/>
  <c r="Z11" i="12"/>
  <c r="AC11" i="12"/>
  <c r="D11" i="12"/>
  <c r="AD13" i="12"/>
  <c r="AD45" i="12"/>
  <c r="AD46" i="12" s="1"/>
  <c r="AG45" i="11"/>
  <c r="AG46" i="11" s="1"/>
  <c r="AG13" i="11"/>
  <c r="AB45" i="10"/>
  <c r="AF45" i="10"/>
  <c r="X45" i="10"/>
  <c r="Y45" i="10"/>
  <c r="V45" i="10"/>
  <c r="W45" i="10"/>
  <c r="AA45" i="7"/>
  <c r="AB53" i="1" s="1"/>
  <c r="V21" i="9"/>
  <c r="V37" i="9" s="1"/>
  <c r="V19" i="9"/>
  <c r="V35" i="9" s="1"/>
  <c r="V18" i="9"/>
  <c r="V34" i="9" s="1"/>
  <c r="V22" i="9"/>
  <c r="V38" i="9" s="1"/>
  <c r="V20" i="9"/>
  <c r="V36" i="9" s="1"/>
  <c r="V23" i="9"/>
  <c r="V39" i="9" s="1"/>
  <c r="V24" i="9"/>
  <c r="V40" i="9" s="1"/>
  <c r="AE21" i="9"/>
  <c r="AE37" i="9" s="1"/>
  <c r="AE19" i="9"/>
  <c r="AE35" i="9" s="1"/>
  <c r="AE18" i="9"/>
  <c r="AE34" i="9" s="1"/>
  <c r="AE20" i="9"/>
  <c r="AE36" i="9" s="1"/>
  <c r="AE22" i="9"/>
  <c r="AE38" i="9" s="1"/>
  <c r="AE23" i="9"/>
  <c r="AE39" i="9" s="1"/>
  <c r="AE24" i="9"/>
  <c r="AE40" i="9" s="1"/>
  <c r="E43" i="1"/>
  <c r="G6" i="5"/>
  <c r="G13" i="5"/>
  <c r="G12" i="5"/>
  <c r="G10" i="5"/>
  <c r="G4" i="5"/>
  <c r="G9" i="5"/>
  <c r="G5" i="5"/>
  <c r="G8" i="5"/>
  <c r="G7" i="5"/>
  <c r="DB3" i="5"/>
  <c r="DB12" i="5" s="1"/>
  <c r="N21" i="9" l="1"/>
  <c r="N37" i="9" s="1"/>
  <c r="O43" i="1"/>
  <c r="Q12" i="9"/>
  <c r="K22" i="14"/>
  <c r="Q15" i="14"/>
  <c r="N45" i="14"/>
  <c r="O54" i="1" s="1"/>
  <c r="N13" i="14"/>
  <c r="Q15" i="13"/>
  <c r="N45" i="13"/>
  <c r="AH22" i="13"/>
  <c r="AH13" i="13" s="1"/>
  <c r="D15" i="13"/>
  <c r="K22" i="10"/>
  <c r="N13" i="10"/>
  <c r="N45" i="10"/>
  <c r="AD22" i="10"/>
  <c r="AD13" i="10" s="1"/>
  <c r="AQ43" i="1"/>
  <c r="AA20" i="10"/>
  <c r="D12" i="9"/>
  <c r="V13" i="14"/>
  <c r="AD22" i="14"/>
  <c r="AG22" i="14"/>
  <c r="AB22" i="13"/>
  <c r="AB13" i="13" s="1"/>
  <c r="AG22" i="13"/>
  <c r="AG13" i="13" s="1"/>
  <c r="W22" i="13"/>
  <c r="W13" i="13" s="1"/>
  <c r="AZ28" i="11"/>
  <c r="BE19" i="11"/>
  <c r="BD19" i="11"/>
  <c r="BB19" i="11"/>
  <c r="BA19" i="11"/>
  <c r="AZ29" i="11"/>
  <c r="BB20" i="11"/>
  <c r="BD20" i="11"/>
  <c r="BA20" i="11"/>
  <c r="BE20" i="11"/>
  <c r="AZ31" i="11"/>
  <c r="BE22" i="11"/>
  <c r="BB22" i="11"/>
  <c r="BA22" i="11"/>
  <c r="BD22" i="11"/>
  <c r="AZ29" i="12"/>
  <c r="BB20" i="12"/>
  <c r="BA20" i="12"/>
  <c r="BE20" i="12"/>
  <c r="BD20" i="12"/>
  <c r="AZ31" i="12"/>
  <c r="BA22" i="12"/>
  <c r="BD22" i="12"/>
  <c r="BB22" i="12"/>
  <c r="BE22" i="12"/>
  <c r="AZ28" i="12"/>
  <c r="BE19" i="12"/>
  <c r="BB19" i="12"/>
  <c r="BA19" i="12"/>
  <c r="BD19" i="12"/>
  <c r="AA13" i="12"/>
  <c r="AE15" i="13"/>
  <c r="AF13" i="14"/>
  <c r="AH13" i="14"/>
  <c r="Y13" i="14"/>
  <c r="AZ25" i="13"/>
  <c r="AD11" i="11"/>
  <c r="D15" i="14"/>
  <c r="AE45" i="13"/>
  <c r="AA45" i="12"/>
  <c r="AA46" i="12" s="1"/>
  <c r="AD45" i="11"/>
  <c r="AD46" i="11" s="1"/>
  <c r="AD13" i="11"/>
  <c r="AA11" i="11"/>
  <c r="W11" i="11"/>
  <c r="AF11" i="11"/>
  <c r="V11" i="11"/>
  <c r="AH11" i="11"/>
  <c r="X11" i="11"/>
  <c r="AJ11" i="11"/>
  <c r="AI11" i="11"/>
  <c r="AE11" i="11"/>
  <c r="Y11" i="11"/>
  <c r="Z11" i="11"/>
  <c r="D11" i="11"/>
  <c r="AB11" i="11"/>
  <c r="AC11" i="11"/>
  <c r="AG11" i="11"/>
  <c r="AA22" i="10"/>
  <c r="AG45" i="10"/>
  <c r="AH21" i="9"/>
  <c r="AH37" i="9" s="1"/>
  <c r="AH19" i="9"/>
  <c r="AH35" i="9" s="1"/>
  <c r="AH23" i="9"/>
  <c r="AH39" i="9" s="1"/>
  <c r="AH20" i="9"/>
  <c r="AH36" i="9" s="1"/>
  <c r="AH24" i="9"/>
  <c r="AH40" i="9" s="1"/>
  <c r="AH22" i="9"/>
  <c r="AH38" i="9" s="1"/>
  <c r="AH18" i="9"/>
  <c r="AH34" i="9" s="1"/>
  <c r="X21" i="9"/>
  <c r="X37" i="9" s="1"/>
  <c r="X19" i="9"/>
  <c r="X35" i="9" s="1"/>
  <c r="X18" i="9"/>
  <c r="X34" i="9" s="1"/>
  <c r="X22" i="9"/>
  <c r="X38" i="9" s="1"/>
  <c r="X20" i="9"/>
  <c r="X36" i="9" s="1"/>
  <c r="X23" i="9"/>
  <c r="X39" i="9" s="1"/>
  <c r="X24" i="9"/>
  <c r="X40" i="9" s="1"/>
  <c r="Y21" i="9"/>
  <c r="Y37" i="9" s="1"/>
  <c r="Y23" i="9"/>
  <c r="Y39" i="9" s="1"/>
  <c r="Y24" i="9"/>
  <c r="Y40" i="9" s="1"/>
  <c r="Y18" i="9"/>
  <c r="Y34" i="9" s="1"/>
  <c r="Y22" i="9"/>
  <c r="Y38" i="9" s="1"/>
  <c r="Y20" i="9"/>
  <c r="Y36" i="9" s="1"/>
  <c r="Y19" i="9"/>
  <c r="Y35" i="9" s="1"/>
  <c r="AF21" i="9"/>
  <c r="AF37" i="9" s="1"/>
  <c r="AF18" i="9"/>
  <c r="AF34" i="9" s="1"/>
  <c r="AF22" i="9"/>
  <c r="AF38" i="9" s="1"/>
  <c r="AF20" i="9"/>
  <c r="AF36" i="9" s="1"/>
  <c r="AF23" i="9"/>
  <c r="AF39" i="9" s="1"/>
  <c r="AF24" i="9"/>
  <c r="AF40" i="9" s="1"/>
  <c r="AF19" i="9"/>
  <c r="AF35" i="9" s="1"/>
  <c r="N24" i="9" l="1"/>
  <c r="N40" i="9" s="1"/>
  <c r="N23" i="9"/>
  <c r="N39" i="9" s="1"/>
  <c r="N18" i="9"/>
  <c r="N34" i="9" s="1"/>
  <c r="N20" i="9"/>
  <c r="N36" i="9" s="1"/>
  <c r="N22" i="9"/>
  <c r="N38" i="9" s="1"/>
  <c r="N19" i="9"/>
  <c r="N35" i="9" s="1"/>
  <c r="N12" i="9"/>
  <c r="K21" i="9"/>
  <c r="K37" i="9" s="1"/>
  <c r="K19" i="9"/>
  <c r="K35" i="9" s="1"/>
  <c r="K18" i="9"/>
  <c r="K34" i="9" s="1"/>
  <c r="K22" i="9"/>
  <c r="K38" i="9" s="1"/>
  <c r="K24" i="9"/>
  <c r="K40" i="9" s="1"/>
  <c r="K23" i="9"/>
  <c r="K39" i="9" s="1"/>
  <c r="K20" i="9"/>
  <c r="K36" i="9" s="1"/>
  <c r="K13" i="14"/>
  <c r="K45" i="14"/>
  <c r="L54" i="1" s="1"/>
  <c r="N15" i="14"/>
  <c r="L43" i="1"/>
  <c r="N15" i="13"/>
  <c r="M11" i="10"/>
  <c r="E11" i="10"/>
  <c r="J11" i="10"/>
  <c r="AA19" i="10"/>
  <c r="AA13" i="10" s="1"/>
  <c r="L11" i="10"/>
  <c r="Q11" i="10"/>
  <c r="G11" i="10"/>
  <c r="I11" i="10"/>
  <c r="H11" i="10"/>
  <c r="P11" i="10"/>
  <c r="U11" i="10"/>
  <c r="T11" i="10"/>
  <c r="S11" i="10"/>
  <c r="R11" i="10"/>
  <c r="O11" i="10"/>
  <c r="F11" i="10"/>
  <c r="N11" i="10"/>
  <c r="K11" i="10"/>
  <c r="K45" i="10"/>
  <c r="K13" i="10"/>
  <c r="AO14" i="12"/>
  <c r="AO17" i="12" s="1"/>
  <c r="O14" i="12"/>
  <c r="O17" i="12" s="1"/>
  <c r="M14" i="12"/>
  <c r="M17" i="12" s="1"/>
  <c r="J14" i="12"/>
  <c r="J17" i="12" s="1"/>
  <c r="E14" i="12"/>
  <c r="E17" i="12" s="1"/>
  <c r="I14" i="12"/>
  <c r="I17" i="12" s="1"/>
  <c r="Q14" i="12"/>
  <c r="Q17" i="12" s="1"/>
  <c r="N14" i="12"/>
  <c r="N17" i="12" s="1"/>
  <c r="P14" i="12"/>
  <c r="P17" i="12" s="1"/>
  <c r="R14" i="12"/>
  <c r="R17" i="12" s="1"/>
  <c r="S14" i="12"/>
  <c r="S17" i="12" s="1"/>
  <c r="L14" i="12"/>
  <c r="L17" i="12" s="1"/>
  <c r="U14" i="12"/>
  <c r="U17" i="12" s="1"/>
  <c r="K14" i="12"/>
  <c r="K17" i="12" s="1"/>
  <c r="H14" i="12"/>
  <c r="H17" i="12" s="1"/>
  <c r="F14" i="12"/>
  <c r="F17" i="12" s="1"/>
  <c r="G14" i="12"/>
  <c r="G17" i="12" s="1"/>
  <c r="T14" i="12"/>
  <c r="T17" i="12" s="1"/>
  <c r="AD14" i="12"/>
  <c r="AD17" i="12" s="1"/>
  <c r="V12" i="9"/>
  <c r="AE12" i="9"/>
  <c r="AK14" i="12"/>
  <c r="AK17" i="12" s="1"/>
  <c r="Y14" i="12"/>
  <c r="Y17" i="12" s="1"/>
  <c r="D14" i="12"/>
  <c r="D17" i="12" s="1"/>
  <c r="W14" i="12"/>
  <c r="W17" i="12" s="1"/>
  <c r="AJ14" i="12"/>
  <c r="AJ17" i="12" s="1"/>
  <c r="X14" i="12"/>
  <c r="X17" i="12" s="1"/>
  <c r="AN14" i="12"/>
  <c r="AN17" i="12" s="1"/>
  <c r="AI14" i="12"/>
  <c r="AI17" i="12" s="1"/>
  <c r="AC14" i="12"/>
  <c r="AC17" i="12" s="1"/>
  <c r="AA14" i="12"/>
  <c r="AA17" i="12" s="1"/>
  <c r="AG14" i="12"/>
  <c r="AG17" i="12" s="1"/>
  <c r="AE14" i="12"/>
  <c r="AE17" i="12" s="1"/>
  <c r="AB14" i="12"/>
  <c r="AB17" i="12" s="1"/>
  <c r="AQ14" i="12"/>
  <c r="AQ17" i="12" s="1"/>
  <c r="C13" i="12"/>
  <c r="AF14" i="12"/>
  <c r="AF17" i="12" s="1"/>
  <c r="AU14" i="12"/>
  <c r="AU17" i="12" s="1"/>
  <c r="AF12" i="9"/>
  <c r="V14" i="12"/>
  <c r="V17" i="12" s="1"/>
  <c r="AL14" i="12"/>
  <c r="AL17" i="12" s="1"/>
  <c r="AS14" i="12"/>
  <c r="AS17" i="12" s="1"/>
  <c r="AM14" i="12"/>
  <c r="AM17" i="12" s="1"/>
  <c r="Z14" i="12"/>
  <c r="Z17" i="12" s="1"/>
  <c r="AW14" i="12"/>
  <c r="AW17" i="12" s="1"/>
  <c r="AV14" i="12"/>
  <c r="AV17" i="12" s="1"/>
  <c r="AH14" i="12"/>
  <c r="AH17" i="12" s="1"/>
  <c r="AR14" i="12"/>
  <c r="AR17" i="12" s="1"/>
  <c r="AP14" i="12"/>
  <c r="AP17" i="12" s="1"/>
  <c r="AT14" i="12"/>
  <c r="AT17" i="12" s="1"/>
  <c r="AA22" i="13"/>
  <c r="AA13" i="13" s="1"/>
  <c r="X13" i="14"/>
  <c r="AZ39" i="11"/>
  <c r="BE31" i="11"/>
  <c r="BB31" i="11"/>
  <c r="BA31" i="11"/>
  <c r="BD31" i="11"/>
  <c r="AZ37" i="11"/>
  <c r="BD29" i="11"/>
  <c r="BE29" i="11"/>
  <c r="BB29" i="11"/>
  <c r="BA29" i="11"/>
  <c r="AZ36" i="11"/>
  <c r="BE28" i="11"/>
  <c r="BA28" i="11"/>
  <c r="BB28" i="11"/>
  <c r="BD28" i="11"/>
  <c r="AZ36" i="12"/>
  <c r="BE28" i="12"/>
  <c r="BA28" i="12"/>
  <c r="BB28" i="12"/>
  <c r="BD28" i="12"/>
  <c r="AZ39" i="12"/>
  <c r="BD31" i="12"/>
  <c r="BA31" i="12"/>
  <c r="BE31" i="12"/>
  <c r="BB31" i="12"/>
  <c r="AZ37" i="12"/>
  <c r="BE29" i="12"/>
  <c r="BB29" i="12"/>
  <c r="BA29" i="12"/>
  <c r="BD29" i="12"/>
  <c r="AZ34" i="13"/>
  <c r="BB25" i="13"/>
  <c r="BA25" i="13"/>
  <c r="BD25" i="13"/>
  <c r="BE25" i="13"/>
  <c r="AG21" i="9"/>
  <c r="AG37" i="9" s="1"/>
  <c r="AB13" i="14"/>
  <c r="Y15" i="13"/>
  <c r="X15" i="13"/>
  <c r="AG24" i="9"/>
  <c r="AG40" i="9" s="1"/>
  <c r="AG23" i="9"/>
  <c r="AG39" i="9" s="1"/>
  <c r="AG20" i="9"/>
  <c r="AG36" i="9" s="1"/>
  <c r="AG22" i="9"/>
  <c r="AG38" i="9" s="1"/>
  <c r="AG18" i="9"/>
  <c r="AG34" i="9" s="1"/>
  <c r="AG19" i="9"/>
  <c r="AG35" i="9" s="1"/>
  <c r="AH15" i="13"/>
  <c r="V15" i="13"/>
  <c r="AK11" i="10"/>
  <c r="AS11" i="10"/>
  <c r="AR11" i="10"/>
  <c r="AN11" i="10"/>
  <c r="AT11" i="10"/>
  <c r="AM11" i="10"/>
  <c r="AU11" i="10"/>
  <c r="AO11" i="10"/>
  <c r="AV11" i="10"/>
  <c r="AP11" i="10"/>
  <c r="AL11" i="10"/>
  <c r="AQ11" i="10"/>
  <c r="AW11" i="10"/>
  <c r="V45" i="13"/>
  <c r="AE15" i="14"/>
  <c r="AF45" i="13"/>
  <c r="X45" i="13"/>
  <c r="Y45" i="13"/>
  <c r="AA13" i="11"/>
  <c r="AA45" i="11"/>
  <c r="AA46" i="11" s="1"/>
  <c r="AD45" i="10"/>
  <c r="AA11" i="10"/>
  <c r="AE11" i="10"/>
  <c r="AH11" i="10"/>
  <c r="AB11" i="10"/>
  <c r="AI11" i="10"/>
  <c r="X11" i="10"/>
  <c r="V11" i="10"/>
  <c r="D11" i="10"/>
  <c r="W11" i="10"/>
  <c r="Z11" i="10"/>
  <c r="AC11" i="10"/>
  <c r="Y11" i="10"/>
  <c r="AJ11" i="10"/>
  <c r="AF11" i="10"/>
  <c r="AG11" i="10"/>
  <c r="AD11" i="10"/>
  <c r="W21" i="9"/>
  <c r="W37" i="9" s="1"/>
  <c r="W19" i="9"/>
  <c r="W35" i="9" s="1"/>
  <c r="W18" i="9"/>
  <c r="W34" i="9" s="1"/>
  <c r="W20" i="9"/>
  <c r="W36" i="9" s="1"/>
  <c r="W22" i="9"/>
  <c r="W38" i="9" s="1"/>
  <c r="W23" i="9"/>
  <c r="W39" i="9" s="1"/>
  <c r="W24" i="9"/>
  <c r="W40" i="9" s="1"/>
  <c r="AB21" i="9"/>
  <c r="AB37" i="9" s="1"/>
  <c r="AB19" i="9"/>
  <c r="AB35" i="9" s="1"/>
  <c r="AB18" i="9"/>
  <c r="AB34" i="9" s="1"/>
  <c r="AB22" i="9"/>
  <c r="AB38" i="9" s="1"/>
  <c r="AB20" i="9"/>
  <c r="AB36" i="9" s="1"/>
  <c r="AB23" i="9"/>
  <c r="AB39" i="9" s="1"/>
  <c r="AB24" i="9"/>
  <c r="AB40" i="9" s="1"/>
  <c r="AA14" i="10" l="1"/>
  <c r="AA17" i="10" s="1"/>
  <c r="D14" i="10"/>
  <c r="D17" i="10" s="1"/>
  <c r="K14" i="10"/>
  <c r="K17" i="10" s="1"/>
  <c r="H14" i="10"/>
  <c r="H17" i="10" s="1"/>
  <c r="AS14" i="10"/>
  <c r="AS17" i="10" s="1"/>
  <c r="I14" i="10"/>
  <c r="I17" i="10" s="1"/>
  <c r="W14" i="10"/>
  <c r="W17" i="10" s="1"/>
  <c r="J14" i="10"/>
  <c r="J17" i="10" s="1"/>
  <c r="X14" i="10"/>
  <c r="X17" i="10" s="1"/>
  <c r="AO14" i="10"/>
  <c r="AO17" i="10" s="1"/>
  <c r="L14" i="10"/>
  <c r="L17" i="10" s="1"/>
  <c r="AJ14" i="10"/>
  <c r="AJ17" i="10" s="1"/>
  <c r="G14" i="10"/>
  <c r="G17" i="10" s="1"/>
  <c r="AC14" i="10"/>
  <c r="AC17" i="10" s="1"/>
  <c r="Y14" i="10"/>
  <c r="Y17" i="10" s="1"/>
  <c r="AT14" i="10"/>
  <c r="AT17" i="10" s="1"/>
  <c r="AF14" i="10"/>
  <c r="AF17" i="10" s="1"/>
  <c r="AM14" i="10"/>
  <c r="AM17" i="10" s="1"/>
  <c r="F14" i="10"/>
  <c r="F17" i="10" s="1"/>
  <c r="AN14" i="10"/>
  <c r="AN17" i="10" s="1"/>
  <c r="U14" i="10"/>
  <c r="U17" i="10" s="1"/>
  <c r="AQ14" i="10"/>
  <c r="AQ17" i="10" s="1"/>
  <c r="AE14" i="10"/>
  <c r="AE17" i="10" s="1"/>
  <c r="AI14" i="10"/>
  <c r="AI17" i="10" s="1"/>
  <c r="AV14" i="10"/>
  <c r="AV17" i="10" s="1"/>
  <c r="S14" i="10"/>
  <c r="S17" i="10" s="1"/>
  <c r="O14" i="10"/>
  <c r="O17" i="10" s="1"/>
  <c r="AP14" i="10"/>
  <c r="AP17" i="10" s="1"/>
  <c r="T14" i="10"/>
  <c r="T17" i="10" s="1"/>
  <c r="AL14" i="10"/>
  <c r="AL17" i="10" s="1"/>
  <c r="AW14" i="10"/>
  <c r="AW17" i="10" s="1"/>
  <c r="E14" i="10"/>
  <c r="E17" i="10" s="1"/>
  <c r="AK14" i="10"/>
  <c r="AK17" i="10" s="1"/>
  <c r="AH14" i="10"/>
  <c r="AH17" i="10" s="1"/>
  <c r="AU14" i="10"/>
  <c r="AU17" i="10" s="1"/>
  <c r="M14" i="10"/>
  <c r="M17" i="10" s="1"/>
  <c r="Z14" i="10"/>
  <c r="Z17" i="10" s="1"/>
  <c r="AB14" i="10"/>
  <c r="AB17" i="10" s="1"/>
  <c r="AR14" i="10"/>
  <c r="AR17" i="10" s="1"/>
  <c r="P14" i="10"/>
  <c r="P17" i="10" s="1"/>
  <c r="R14" i="10"/>
  <c r="R17" i="10" s="1"/>
  <c r="V14" i="10"/>
  <c r="V17" i="10" s="1"/>
  <c r="AG14" i="10"/>
  <c r="AG17" i="10" s="1"/>
  <c r="Q14" i="10"/>
  <c r="Q17" i="10" s="1"/>
  <c r="N14" i="10"/>
  <c r="N17" i="10" s="1"/>
  <c r="AD14" i="10"/>
  <c r="AD17" i="10" s="1"/>
  <c r="AA22" i="14"/>
  <c r="N11" i="14"/>
  <c r="Q11" i="14"/>
  <c r="K11" i="14"/>
  <c r="U11" i="14"/>
  <c r="L11" i="14"/>
  <c r="M11" i="14"/>
  <c r="T11" i="14"/>
  <c r="G11" i="14"/>
  <c r="P11" i="14"/>
  <c r="F11" i="14"/>
  <c r="R11" i="14"/>
  <c r="S11" i="14"/>
  <c r="E11" i="14"/>
  <c r="O11" i="14"/>
  <c r="I11" i="14"/>
  <c r="K15" i="14"/>
  <c r="J11" i="14"/>
  <c r="H11" i="14"/>
  <c r="K22" i="13"/>
  <c r="K13" i="13" s="1"/>
  <c r="O14" i="11"/>
  <c r="O17" i="11" s="1"/>
  <c r="R14" i="11"/>
  <c r="R17" i="11" s="1"/>
  <c r="L14" i="11"/>
  <c r="L17" i="11" s="1"/>
  <c r="U14" i="11"/>
  <c r="U17" i="11" s="1"/>
  <c r="H14" i="11"/>
  <c r="H17" i="11" s="1"/>
  <c r="N14" i="11"/>
  <c r="N17" i="11" s="1"/>
  <c r="M14" i="11"/>
  <c r="M17" i="11" s="1"/>
  <c r="P14" i="11"/>
  <c r="P17" i="11" s="1"/>
  <c r="T14" i="11"/>
  <c r="T17" i="11" s="1"/>
  <c r="S14" i="11"/>
  <c r="S17" i="11" s="1"/>
  <c r="K14" i="11"/>
  <c r="K17" i="11" s="1"/>
  <c r="I14" i="11"/>
  <c r="I17" i="11" s="1"/>
  <c r="Q14" i="11"/>
  <c r="Q17" i="11" s="1"/>
  <c r="G14" i="11"/>
  <c r="G17" i="11" s="1"/>
  <c r="J14" i="11"/>
  <c r="J17" i="11" s="1"/>
  <c r="E14" i="11"/>
  <c r="E17" i="11" s="1"/>
  <c r="F14" i="11"/>
  <c r="F17" i="11" s="1"/>
  <c r="AF15" i="13"/>
  <c r="X12" i="9"/>
  <c r="AH12" i="9"/>
  <c r="Y12" i="9"/>
  <c r="AX7" i="14"/>
  <c r="K11" i="13"/>
  <c r="BB36" i="11"/>
  <c r="BE36" i="11"/>
  <c r="BD36" i="11"/>
  <c r="BA36" i="11"/>
  <c r="BD37" i="11"/>
  <c r="BB37" i="11"/>
  <c r="BA37" i="11"/>
  <c r="BE37" i="11"/>
  <c r="BE39" i="11"/>
  <c r="BB39" i="11"/>
  <c r="BD39" i="11"/>
  <c r="BA39" i="11"/>
  <c r="BA37" i="12"/>
  <c r="BE37" i="12"/>
  <c r="BD37" i="12"/>
  <c r="BB37" i="12"/>
  <c r="BE39" i="12"/>
  <c r="BB39" i="12"/>
  <c r="BA39" i="12"/>
  <c r="BD39" i="12"/>
  <c r="BB36" i="12"/>
  <c r="BD36" i="12"/>
  <c r="BA36" i="12"/>
  <c r="BE36" i="12"/>
  <c r="AG13" i="14"/>
  <c r="AB15" i="13"/>
  <c r="AZ42" i="13"/>
  <c r="BB34" i="13"/>
  <c r="BD34" i="13"/>
  <c r="BA34" i="13"/>
  <c r="BE34" i="13"/>
  <c r="AZ19" i="14"/>
  <c r="AZ28" i="14" s="1"/>
  <c r="AZ36" i="14" s="1"/>
  <c r="W13" i="14"/>
  <c r="AG45" i="13"/>
  <c r="C13" i="10"/>
  <c r="AW14" i="11"/>
  <c r="AW17" i="11" s="1"/>
  <c r="AN14" i="11"/>
  <c r="AN17" i="11" s="1"/>
  <c r="AQ14" i="11"/>
  <c r="AQ17" i="11" s="1"/>
  <c r="AU14" i="11"/>
  <c r="AU17" i="11" s="1"/>
  <c r="AR14" i="11"/>
  <c r="AR17" i="11" s="1"/>
  <c r="AM14" i="11"/>
  <c r="AM17" i="11" s="1"/>
  <c r="AP14" i="11"/>
  <c r="AP17" i="11" s="1"/>
  <c r="AO14" i="11"/>
  <c r="AO17" i="11" s="1"/>
  <c r="AL14" i="11"/>
  <c r="AL17" i="11" s="1"/>
  <c r="AV14" i="11"/>
  <c r="AV17" i="11" s="1"/>
  <c r="AK14" i="11"/>
  <c r="AK17" i="11" s="1"/>
  <c r="AT14" i="11"/>
  <c r="AT17" i="11" s="1"/>
  <c r="AS14" i="11"/>
  <c r="AS17" i="11" s="1"/>
  <c r="V15" i="14"/>
  <c r="AF15" i="14"/>
  <c r="Y15" i="14"/>
  <c r="X15" i="14"/>
  <c r="AH45" i="13"/>
  <c r="AA14" i="11"/>
  <c r="AA17" i="11" s="1"/>
  <c r="AF14" i="11"/>
  <c r="AF17" i="11" s="1"/>
  <c r="V14" i="11"/>
  <c r="V17" i="11" s="1"/>
  <c r="AI14" i="11"/>
  <c r="AI17" i="11" s="1"/>
  <c r="AB14" i="11"/>
  <c r="AB17" i="11" s="1"/>
  <c r="C13" i="11"/>
  <c r="Y14" i="11"/>
  <c r="Y17" i="11" s="1"/>
  <c r="AJ14" i="11"/>
  <c r="AJ17" i="11" s="1"/>
  <c r="AC14" i="11"/>
  <c r="AC17" i="11" s="1"/>
  <c r="AH14" i="11"/>
  <c r="AH17" i="11" s="1"/>
  <c r="AE14" i="11"/>
  <c r="AE17" i="11" s="1"/>
  <c r="D14" i="11"/>
  <c r="D17" i="11" s="1"/>
  <c r="Z14" i="11"/>
  <c r="Z17" i="11" s="1"/>
  <c r="X14" i="11"/>
  <c r="X17" i="11" s="1"/>
  <c r="W14" i="11"/>
  <c r="W17" i="11" s="1"/>
  <c r="AG14" i="11"/>
  <c r="AG17" i="11" s="1"/>
  <c r="AD14" i="11"/>
  <c r="AD17" i="11" s="1"/>
  <c r="AA45" i="10"/>
  <c r="AA21" i="9"/>
  <c r="AA37" i="9" s="1"/>
  <c r="AA19" i="9"/>
  <c r="AA35" i="9" s="1"/>
  <c r="AA18" i="9"/>
  <c r="AA34" i="9" s="1"/>
  <c r="AA20" i="9"/>
  <c r="AA36" i="9" s="1"/>
  <c r="AA22" i="9"/>
  <c r="AA38" i="9" s="1"/>
  <c r="AA23" i="9"/>
  <c r="AA39" i="9" s="1"/>
  <c r="AA24" i="9"/>
  <c r="AA40" i="9" s="1"/>
  <c r="K11" i="9" l="1"/>
  <c r="K16" i="9" s="1"/>
  <c r="R11" i="13"/>
  <c r="S11" i="9"/>
  <c r="S16" i="9" s="1"/>
  <c r="R11" i="9"/>
  <c r="R16" i="9" s="1"/>
  <c r="I11" i="9"/>
  <c r="I16" i="9" s="1"/>
  <c r="T11" i="9"/>
  <c r="T16" i="9" s="1"/>
  <c r="H11" i="9"/>
  <c r="H16" i="9" s="1"/>
  <c r="U11" i="9"/>
  <c r="U16" i="9" s="1"/>
  <c r="E11" i="9"/>
  <c r="E16" i="9" s="1"/>
  <c r="L11" i="9"/>
  <c r="L16" i="9" s="1"/>
  <c r="M11" i="9"/>
  <c r="M16" i="9" s="1"/>
  <c r="P11" i="9"/>
  <c r="P16" i="9" s="1"/>
  <c r="J11" i="9"/>
  <c r="J16" i="9" s="1"/>
  <c r="F11" i="9"/>
  <c r="F16" i="9" s="1"/>
  <c r="O11" i="9"/>
  <c r="O16" i="9" s="1"/>
  <c r="H11" i="13"/>
  <c r="G11" i="13"/>
  <c r="G11" i="9"/>
  <c r="G16" i="9" s="1"/>
  <c r="N11" i="9"/>
  <c r="N16" i="9" s="1"/>
  <c r="I11" i="13"/>
  <c r="Q11" i="9"/>
  <c r="Q16" i="9" s="1"/>
  <c r="M11" i="13"/>
  <c r="T11" i="13"/>
  <c r="U11" i="13"/>
  <c r="S11" i="13"/>
  <c r="P11" i="13"/>
  <c r="N11" i="13"/>
  <c r="Q11" i="13"/>
  <c r="J11" i="13"/>
  <c r="E11" i="13"/>
  <c r="F11" i="13"/>
  <c r="O11" i="13"/>
  <c r="L11" i="13"/>
  <c r="K45" i="13"/>
  <c r="K12" i="9"/>
  <c r="AX7" i="13"/>
  <c r="AD22" i="13"/>
  <c r="AD13" i="13" s="1"/>
  <c r="AG12" i="9"/>
  <c r="AB12" i="9"/>
  <c r="AA13" i="14"/>
  <c r="W12" i="9"/>
  <c r="AZ22" i="14"/>
  <c r="BE42" i="13"/>
  <c r="BB42" i="13"/>
  <c r="BA42" i="13"/>
  <c r="BD42" i="13"/>
  <c r="BE36" i="14"/>
  <c r="BA36" i="14"/>
  <c r="BB36" i="14"/>
  <c r="BD36" i="14"/>
  <c r="BD28" i="14"/>
  <c r="BA28" i="14"/>
  <c r="BE28" i="14"/>
  <c r="BB28" i="14"/>
  <c r="BA19" i="14"/>
  <c r="BE19" i="14"/>
  <c r="BB19" i="14"/>
  <c r="BD19" i="14"/>
  <c r="AL11" i="9"/>
  <c r="AL16" i="9" s="1"/>
  <c r="AQ11" i="9"/>
  <c r="AQ16" i="9" s="1"/>
  <c r="AG11" i="9"/>
  <c r="AG16" i="9" s="1"/>
  <c r="AG15" i="14"/>
  <c r="AG15" i="13"/>
  <c r="AH15" i="14"/>
  <c r="AT11" i="9"/>
  <c r="AT16" i="9" s="1"/>
  <c r="AU11" i="9"/>
  <c r="AU16" i="9" s="1"/>
  <c r="AM11" i="9"/>
  <c r="AM16" i="9" s="1"/>
  <c r="AR11" i="9"/>
  <c r="AR16" i="9" s="1"/>
  <c r="AO11" i="9"/>
  <c r="AO16" i="9" s="1"/>
  <c r="AV11" i="9"/>
  <c r="AV16" i="9" s="1"/>
  <c r="AN11" i="9"/>
  <c r="AN16" i="9" s="1"/>
  <c r="AK11" i="9"/>
  <c r="AK16" i="9" s="1"/>
  <c r="AP11" i="9"/>
  <c r="AP16" i="9" s="1"/>
  <c r="AS11" i="9"/>
  <c r="AS16" i="9" s="1"/>
  <c r="AW11" i="9"/>
  <c r="AW16" i="9" s="1"/>
  <c r="W45" i="13"/>
  <c r="AB15" i="14"/>
  <c r="AB45" i="13"/>
  <c r="AA11" i="14"/>
  <c r="AH11" i="14"/>
  <c r="AI11" i="14"/>
  <c r="X11" i="14"/>
  <c r="AJ11" i="14"/>
  <c r="Y11" i="14"/>
  <c r="AL11" i="13"/>
  <c r="D11" i="9"/>
  <c r="D16" i="9" s="1"/>
  <c r="AD21" i="9"/>
  <c r="AD37" i="9" s="1"/>
  <c r="AD19" i="9"/>
  <c r="AD35" i="9" s="1"/>
  <c r="AD23" i="9"/>
  <c r="AD39" i="9" s="1"/>
  <c r="AD24" i="9"/>
  <c r="AD40" i="9" s="1"/>
  <c r="AD22" i="9"/>
  <c r="AD38" i="9" s="1"/>
  <c r="AD20" i="9"/>
  <c r="AD36" i="9" s="1"/>
  <c r="AD18" i="9"/>
  <c r="AD34" i="9" s="1"/>
  <c r="W11" i="9"/>
  <c r="W16" i="9" s="1"/>
  <c r="AH11" i="9"/>
  <c r="AH16" i="9" s="1"/>
  <c r="AI11" i="9"/>
  <c r="AI16" i="9" s="1"/>
  <c r="AC11" i="9"/>
  <c r="AC16" i="9" s="1"/>
  <c r="Z11" i="9"/>
  <c r="Z16" i="9" s="1"/>
  <c r="AD11" i="9"/>
  <c r="AD16" i="9" s="1"/>
  <c r="AB11" i="9"/>
  <c r="AB16" i="9" s="1"/>
  <c r="X11" i="9"/>
  <c r="X16" i="9" s="1"/>
  <c r="AJ11" i="9"/>
  <c r="AJ16" i="9" s="1"/>
  <c r="V11" i="9"/>
  <c r="V16" i="9" s="1"/>
  <c r="AE11" i="9"/>
  <c r="AE16" i="9" s="1"/>
  <c r="AA11" i="9"/>
  <c r="AA16" i="9" s="1"/>
  <c r="AF11" i="9"/>
  <c r="AF16" i="9" s="1"/>
  <c r="Y11" i="9"/>
  <c r="Y16" i="9" s="1"/>
  <c r="K15" i="13" l="1"/>
  <c r="W15" i="13"/>
  <c r="AA12" i="9"/>
  <c r="AZ31" i="14"/>
  <c r="BE22" i="14"/>
  <c r="BD22" i="14"/>
  <c r="BA22" i="14"/>
  <c r="BB22" i="14"/>
  <c r="AG11" i="14"/>
  <c r="AT11" i="14"/>
  <c r="AO11" i="14"/>
  <c r="AD13" i="14"/>
  <c r="N14" i="14" s="1"/>
  <c r="N17" i="14" s="1"/>
  <c r="AW11" i="14"/>
  <c r="AP11" i="14"/>
  <c r="AR11" i="14"/>
  <c r="AQ11" i="14"/>
  <c r="AL11" i="14"/>
  <c r="AM11" i="14"/>
  <c r="AV11" i="14"/>
  <c r="AK11" i="14"/>
  <c r="AN11" i="14"/>
  <c r="AZ19" i="13"/>
  <c r="AZ20" i="13"/>
  <c r="AS11" i="14"/>
  <c r="AZ20" i="14"/>
  <c r="AZ29" i="14" s="1"/>
  <c r="AZ37" i="14" s="1"/>
  <c r="AU11" i="14"/>
  <c r="W15" i="14"/>
  <c r="AG45" i="14"/>
  <c r="AH54" i="1" s="1"/>
  <c r="AT14" i="13"/>
  <c r="AG11" i="13"/>
  <c r="AA15" i="13"/>
  <c r="AA45" i="13"/>
  <c r="AQ11" i="13"/>
  <c r="AP11" i="13"/>
  <c r="AK11" i="13"/>
  <c r="AO11" i="13"/>
  <c r="AW11" i="13"/>
  <c r="AV11" i="13"/>
  <c r="AT11" i="13"/>
  <c r="AU11" i="13"/>
  <c r="AN11" i="13"/>
  <c r="AM11" i="13"/>
  <c r="AS11" i="13"/>
  <c r="AR11" i="13"/>
  <c r="AZ22" i="13"/>
  <c r="AA15" i="14"/>
  <c r="AH45" i="14"/>
  <c r="AI54" i="1" s="1"/>
  <c r="AI45" i="14"/>
  <c r="AJ54" i="1" s="1"/>
  <c r="X45" i="14"/>
  <c r="Y54" i="1" s="1"/>
  <c r="Y45" i="14"/>
  <c r="Z54" i="1" s="1"/>
  <c r="AJ45" i="14"/>
  <c r="AK54" i="1" s="1"/>
  <c r="AI11" i="13"/>
  <c r="AC11" i="13"/>
  <c r="V11" i="13"/>
  <c r="AD11" i="13"/>
  <c r="AJ11" i="13"/>
  <c r="AA11" i="13"/>
  <c r="X11" i="13"/>
  <c r="AB11" i="13"/>
  <c r="D11" i="13"/>
  <c r="AE11" i="13"/>
  <c r="W11" i="13"/>
  <c r="Y11" i="13"/>
  <c r="Z11" i="13"/>
  <c r="AH11" i="13"/>
  <c r="AF11" i="13"/>
  <c r="AD11" i="14"/>
  <c r="AF11" i="14"/>
  <c r="AE11" i="14"/>
  <c r="V11" i="14"/>
  <c r="W11" i="14"/>
  <c r="AC11" i="14"/>
  <c r="D11" i="14"/>
  <c r="AB11" i="14"/>
  <c r="Z11" i="14"/>
  <c r="L14" i="13" l="1"/>
  <c r="L17" i="13" s="1"/>
  <c r="J14" i="13"/>
  <c r="J17" i="13" s="1"/>
  <c r="H14" i="13"/>
  <c r="H17" i="13" s="1"/>
  <c r="Q14" i="14"/>
  <c r="Q17" i="14" s="1"/>
  <c r="E14" i="14"/>
  <c r="E17" i="14" s="1"/>
  <c r="G14" i="14"/>
  <c r="G17" i="14" s="1"/>
  <c r="R14" i="14"/>
  <c r="R17" i="14" s="1"/>
  <c r="M14" i="14"/>
  <c r="M17" i="14" s="1"/>
  <c r="S14" i="13"/>
  <c r="S17" i="13" s="1"/>
  <c r="U14" i="14"/>
  <c r="U17" i="14" s="1"/>
  <c r="U14" i="13"/>
  <c r="U17" i="13" s="1"/>
  <c r="I14" i="14"/>
  <c r="I17" i="14" s="1"/>
  <c r="T14" i="14"/>
  <c r="T17" i="14" s="1"/>
  <c r="T14" i="13"/>
  <c r="T17" i="13" s="1"/>
  <c r="L14" i="14"/>
  <c r="L17" i="14" s="1"/>
  <c r="K14" i="14"/>
  <c r="K17" i="14" s="1"/>
  <c r="H14" i="14"/>
  <c r="H17" i="14" s="1"/>
  <c r="P14" i="13"/>
  <c r="P17" i="13" s="1"/>
  <c r="F14" i="14"/>
  <c r="F17" i="14" s="1"/>
  <c r="S14" i="14"/>
  <c r="S17" i="14" s="1"/>
  <c r="O14" i="14"/>
  <c r="O17" i="14" s="1"/>
  <c r="J14" i="14"/>
  <c r="J17" i="14" s="1"/>
  <c r="O14" i="13"/>
  <c r="O17" i="13" s="1"/>
  <c r="P14" i="14"/>
  <c r="P17" i="14" s="1"/>
  <c r="I14" i="13"/>
  <c r="I17" i="13" s="1"/>
  <c r="M14" i="13"/>
  <c r="M17" i="13" s="1"/>
  <c r="E14" i="13"/>
  <c r="E17" i="13" s="1"/>
  <c r="Q14" i="13"/>
  <c r="Q17" i="13" s="1"/>
  <c r="R14" i="13"/>
  <c r="R17" i="13" s="1"/>
  <c r="F14" i="13"/>
  <c r="F17" i="13" s="1"/>
  <c r="G14" i="13"/>
  <c r="G17" i="13" s="1"/>
  <c r="K14" i="13"/>
  <c r="K17" i="13" s="1"/>
  <c r="N14" i="13"/>
  <c r="N17" i="13" s="1"/>
  <c r="AD12" i="9"/>
  <c r="C12" i="9" s="1"/>
  <c r="AX11" i="13"/>
  <c r="AZ39" i="14"/>
  <c r="BD31" i="14"/>
  <c r="BB31" i="14"/>
  <c r="BA31" i="14"/>
  <c r="BE31" i="14"/>
  <c r="AZ29" i="13"/>
  <c r="BB20" i="13"/>
  <c r="BE20" i="13"/>
  <c r="BA20" i="13"/>
  <c r="BD20" i="13"/>
  <c r="AZ28" i="13"/>
  <c r="BB19" i="13"/>
  <c r="BA19" i="13"/>
  <c r="BE19" i="13"/>
  <c r="BD19" i="13"/>
  <c r="AZ31" i="13"/>
  <c r="BB22" i="13"/>
  <c r="BE22" i="13"/>
  <c r="BD22" i="13"/>
  <c r="BA22" i="13"/>
  <c r="BA37" i="14"/>
  <c r="BE37" i="14"/>
  <c r="BD37" i="14"/>
  <c r="BB37" i="14"/>
  <c r="BD29" i="14"/>
  <c r="BA29" i="14"/>
  <c r="BE29" i="14"/>
  <c r="BB29" i="14"/>
  <c r="BD20" i="14"/>
  <c r="BA20" i="14"/>
  <c r="BB20" i="14"/>
  <c r="BE20" i="14"/>
  <c r="AN14" i="13"/>
  <c r="AN17" i="13" s="1"/>
  <c r="C13" i="13"/>
  <c r="AD14" i="13"/>
  <c r="AD17" i="13" s="1"/>
  <c r="AM14" i="13"/>
  <c r="AM17" i="13" s="1"/>
  <c r="AA14" i="13"/>
  <c r="AA17" i="13" s="1"/>
  <c r="AF14" i="13"/>
  <c r="AF17" i="13" s="1"/>
  <c r="AE14" i="13"/>
  <c r="AE17" i="13" s="1"/>
  <c r="Z14" i="13"/>
  <c r="Z17" i="13" s="1"/>
  <c r="AP14" i="13"/>
  <c r="AP17" i="13" s="1"/>
  <c r="AI14" i="13"/>
  <c r="AI17" i="13" s="1"/>
  <c r="AR14" i="13"/>
  <c r="AR17" i="13" s="1"/>
  <c r="X14" i="13"/>
  <c r="X17" i="13" s="1"/>
  <c r="AJ14" i="13"/>
  <c r="AJ17" i="13" s="1"/>
  <c r="W14" i="13"/>
  <c r="W17" i="13" s="1"/>
  <c r="V14" i="13"/>
  <c r="V17" i="13" s="1"/>
  <c r="Y14" i="13"/>
  <c r="Y17" i="13" s="1"/>
  <c r="AC14" i="13"/>
  <c r="AC17" i="13" s="1"/>
  <c r="C13" i="14"/>
  <c r="AB14" i="13"/>
  <c r="AB17" i="13" s="1"/>
  <c r="AD15" i="13"/>
  <c r="AQ14" i="13"/>
  <c r="AQ17" i="13" s="1"/>
  <c r="AG14" i="13"/>
  <c r="AG17" i="13" s="1"/>
  <c r="AV14" i="13"/>
  <c r="AV17" i="13" s="1"/>
  <c r="AH14" i="13"/>
  <c r="AH17" i="13" s="1"/>
  <c r="AW14" i="13"/>
  <c r="AW17" i="13" s="1"/>
  <c r="AS14" i="13"/>
  <c r="AS17" i="13" s="1"/>
  <c r="D14" i="13"/>
  <c r="D17" i="13" s="1"/>
  <c r="AK14" i="13"/>
  <c r="AK17" i="13" s="1"/>
  <c r="AU14" i="13"/>
  <c r="AU17" i="13" s="1"/>
  <c r="AO14" i="13"/>
  <c r="AO17" i="13" s="1"/>
  <c r="AL14" i="13"/>
  <c r="AL17" i="13" s="1"/>
  <c r="AT17" i="13"/>
  <c r="AA45" i="14"/>
  <c r="AB54" i="1" s="1"/>
  <c r="AF45" i="14"/>
  <c r="AG54" i="1" s="1"/>
  <c r="AD45" i="13"/>
  <c r="V45" i="14"/>
  <c r="W54" i="1" s="1"/>
  <c r="AE45" i="14"/>
  <c r="AF54" i="1" s="1"/>
  <c r="Z45" i="14"/>
  <c r="AA54" i="1" s="1"/>
  <c r="V54" i="1"/>
  <c r="AB45" i="14"/>
  <c r="AC54" i="1" s="1"/>
  <c r="AC45" i="14"/>
  <c r="AD54" i="1" s="1"/>
  <c r="W45" i="14"/>
  <c r="X54" i="1" s="1"/>
  <c r="D45" i="14"/>
  <c r="E54" i="1" s="1"/>
  <c r="BA39" i="14" l="1"/>
  <c r="BD39" i="14"/>
  <c r="BB39" i="14"/>
  <c r="BE39" i="14"/>
  <c r="AZ39" i="13"/>
  <c r="BB31" i="13"/>
  <c r="BD31" i="13"/>
  <c r="BA31" i="13"/>
  <c r="BE31" i="13"/>
  <c r="AZ36" i="13"/>
  <c r="BB28" i="13"/>
  <c r="BE28" i="13"/>
  <c r="BD28" i="13"/>
  <c r="BA28" i="13"/>
  <c r="AZ37" i="13"/>
  <c r="BB29" i="13"/>
  <c r="BA29" i="13"/>
  <c r="BD29" i="13"/>
  <c r="BE29" i="13"/>
  <c r="AS14" i="14"/>
  <c r="AS17" i="14" s="1"/>
  <c r="AJ14" i="14"/>
  <c r="AJ17" i="14" s="1"/>
  <c r="AA14" i="14"/>
  <c r="AA17" i="14" s="1"/>
  <c r="AD14" i="14"/>
  <c r="AD17" i="14" s="1"/>
  <c r="Y14" i="14"/>
  <c r="Y17" i="14" s="1"/>
  <c r="AD15" i="14"/>
  <c r="AM14" i="14"/>
  <c r="AM17" i="14" s="1"/>
  <c r="AI14" i="14"/>
  <c r="AI17" i="14" s="1"/>
  <c r="AE14" i="14"/>
  <c r="AE17" i="14" s="1"/>
  <c r="AP14" i="14"/>
  <c r="AP17" i="14" s="1"/>
  <c r="AN14" i="14"/>
  <c r="AN17" i="14" s="1"/>
  <c r="AG14" i="14"/>
  <c r="AG17" i="14" s="1"/>
  <c r="X14" i="14"/>
  <c r="X17" i="14" s="1"/>
  <c r="AQ14" i="14"/>
  <c r="AQ17" i="14" s="1"/>
  <c r="AC14" i="14"/>
  <c r="AC17" i="14" s="1"/>
  <c r="AV14" i="14"/>
  <c r="AV17" i="14" s="1"/>
  <c r="AW14" i="14"/>
  <c r="AW17" i="14" s="1"/>
  <c r="AL14" i="14"/>
  <c r="AL17" i="14" s="1"/>
  <c r="V14" i="14"/>
  <c r="V17" i="14" s="1"/>
  <c r="AO14" i="14"/>
  <c r="AO17" i="14" s="1"/>
  <c r="AB14" i="14"/>
  <c r="AB17" i="14" s="1"/>
  <c r="AT14" i="14"/>
  <c r="AT17" i="14" s="1"/>
  <c r="AF14" i="14"/>
  <c r="AF17" i="14" s="1"/>
  <c r="AU14" i="14"/>
  <c r="AU17" i="14" s="1"/>
  <c r="AH14" i="14"/>
  <c r="AH17" i="14" s="1"/>
  <c r="W14" i="14"/>
  <c r="W17" i="14" s="1"/>
  <c r="D14" i="14"/>
  <c r="D17" i="14" s="1"/>
  <c r="AK14" i="14"/>
  <c r="AK17" i="14" s="1"/>
  <c r="AR14" i="14"/>
  <c r="AR17" i="14" s="1"/>
  <c r="Z14" i="14"/>
  <c r="Z17" i="14" s="1"/>
  <c r="BD37" i="13" l="1"/>
  <c r="BE37" i="13"/>
  <c r="BA37" i="13"/>
  <c r="BB37" i="13"/>
  <c r="BB36" i="13"/>
  <c r="BE36" i="13"/>
  <c r="BD36" i="13"/>
  <c r="BA36" i="13"/>
  <c r="BE39" i="13"/>
  <c r="BA39" i="13"/>
  <c r="BB39" i="13"/>
  <c r="BD39" i="13"/>
  <c r="AD45" i="14"/>
  <c r="AE5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BD5E5493-7C2F-4571-A0E4-1424C1612943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76C2B37B-552E-47D4-9835-D826AC242A75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7EFC0228-2BEF-490D-861B-ABBA8CF70705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37045253-8CC6-494F-9BDC-76968C91911C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EEE21E8D-E618-4C27-801D-C924384A4AB4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980D7C3E-A79C-4018-B4F1-516B913E1043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12" authorId="0" shapeId="0" xr:uid="{58CE03C3-A7D3-4FC7-A790-B9119C38FD05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K21" authorId="0" shapeId="0" xr:uid="{9BAC3CAA-5BE1-403E-9E2D-24CBD88843E1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31-07-2021
was .25
</t>
        </r>
      </text>
    </comment>
    <comment ref="H62" authorId="0" shapeId="0" xr:uid="{125EAB37-8C02-44AE-835E-0182EAEE4CFF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04-04-2022
same as Diesel
</t>
        </r>
      </text>
    </comment>
    <comment ref="H77" authorId="0" shapeId="0" xr:uid="{9018CF48-15A0-494D-B1E1-8560393ACFBA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04-04-2022
same as Gasoline
</t>
        </r>
      </text>
    </comment>
    <comment ref="H78" authorId="0" shapeId="0" xr:uid="{E707E588-96D1-4F57-8F70-739530A4533C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27-12-2023
to avoid tiny capacities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<sst xmlns="http://schemas.openxmlformats.org/spreadsheetml/2006/main" count="4713" uniqueCount="576">
  <si>
    <t>MEX</t>
  </si>
  <si>
    <t>WEU</t>
  </si>
  <si>
    <t>JPN</t>
  </si>
  <si>
    <t>SKO</t>
  </si>
  <si>
    <t>EEU</t>
  </si>
  <si>
    <t>USA</t>
  </si>
  <si>
    <t>CSA</t>
  </si>
  <si>
    <t>IND</t>
  </si>
  <si>
    <t>CAN</t>
  </si>
  <si>
    <t>AFR</t>
  </si>
  <si>
    <t>LPG</t>
  </si>
  <si>
    <t>MEA</t>
  </si>
  <si>
    <t>ODA</t>
  </si>
  <si>
    <t>FSU</t>
  </si>
  <si>
    <t>CHI</t>
  </si>
  <si>
    <t>AUS</t>
  </si>
  <si>
    <t>ROAD</t>
  </si>
  <si>
    <t>RAIL</t>
  </si>
  <si>
    <t>TAI</t>
  </si>
  <si>
    <t>TRA</t>
  </si>
  <si>
    <t>TAD</t>
  </si>
  <si>
    <t>TWD</t>
  </si>
  <si>
    <t>TWI</t>
  </si>
  <si>
    <t>NEU</t>
  </si>
  <si>
    <t>TT</t>
  </si>
  <si>
    <t>TR</t>
  </si>
  <si>
    <t>ktoe to PJ</t>
  </si>
  <si>
    <t>ELC</t>
  </si>
  <si>
    <t>COA</t>
  </si>
  <si>
    <t>TRACOA</t>
  </si>
  <si>
    <t>DST</t>
  </si>
  <si>
    <t>TRAAVG</t>
  </si>
  <si>
    <t>TRABDS</t>
  </si>
  <si>
    <t>TRABGS</t>
  </si>
  <si>
    <t>OILASP</t>
  </si>
  <si>
    <t>OILCRD</t>
  </si>
  <si>
    <t>HFO</t>
  </si>
  <si>
    <t>TRAELC</t>
  </si>
  <si>
    <t>TRANGA</t>
  </si>
  <si>
    <t>TRALPG</t>
  </si>
  <si>
    <t>OILLUB</t>
  </si>
  <si>
    <t>TRADST</t>
  </si>
  <si>
    <t>TRAGSL</t>
  </si>
  <si>
    <t>TRAJTK</t>
  </si>
  <si>
    <t>OILNSP</t>
  </si>
  <si>
    <t>TRAHFO</t>
  </si>
  <si>
    <t>OILKER</t>
  </si>
  <si>
    <t>OILPTC</t>
  </si>
  <si>
    <t>Fuel</t>
  </si>
  <si>
    <t>SubSector</t>
  </si>
  <si>
    <t>Mode</t>
  </si>
  <si>
    <t>Description</t>
  </si>
  <si>
    <t>Service</t>
  </si>
  <si>
    <t>Freight</t>
  </si>
  <si>
    <t>Coal</t>
  </si>
  <si>
    <t>TTF</t>
  </si>
  <si>
    <t>Passengers</t>
  </si>
  <si>
    <t>TTP</t>
  </si>
  <si>
    <t>Check Rail</t>
  </si>
  <si>
    <t>Light Duty Vehicles Share</t>
  </si>
  <si>
    <t>Diesel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</si>
  <si>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</si>
  <si>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</si>
  <si>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</si>
  <si>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</si>
  <si>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</si>
  <si>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</si>
  <si>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</si>
  <si>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</si>
  <si>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</si>
  <si>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</si>
  <si>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</si>
  <si>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</si>
  <si>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</si>
  <si>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</si>
  <si>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</si>
  <si>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</si>
  <si>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</si>
  <si>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</si>
  <si>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</si>
  <si>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Gasoline</t>
  </si>
  <si>
    <t>Heavy Fuel Oil</t>
  </si>
  <si>
    <t>Liquified Petroleum Gases</t>
  </si>
  <si>
    <t>Natural Gas</t>
  </si>
  <si>
    <t>Bio Diesel</t>
  </si>
  <si>
    <t>Bio Gasoline</t>
  </si>
  <si>
    <t>Electricity</t>
  </si>
  <si>
    <t>Biogas</t>
  </si>
  <si>
    <t>TRTDST000</t>
  </si>
  <si>
    <t>TRTELC000</t>
  </si>
  <si>
    <t>TRTETH000</t>
  </si>
  <si>
    <t>TRTGAS000</t>
  </si>
  <si>
    <t>TRTLPG000</t>
  </si>
  <si>
    <t>TRTMET000</t>
  </si>
  <si>
    <t>TRTNGA000</t>
  </si>
  <si>
    <t>TRLDST000</t>
  </si>
  <si>
    <t>TRLELC000</t>
  </si>
  <si>
    <t>TRLETH000</t>
  </si>
  <si>
    <t>TRLGAS000</t>
  </si>
  <si>
    <t>TRLLPG000</t>
  </si>
  <si>
    <t>TRLMET000</t>
  </si>
  <si>
    <t>TRLNGA000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</si>
  <si>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</si>
  <si>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</si>
  <si>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</si>
  <si>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</si>
  <si>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</si>
  <si>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</si>
  <si>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</si>
  <si>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TRHDST000</t>
  </si>
  <si>
    <t>TRHETH000</t>
  </si>
  <si>
    <t>TRHGAS000</t>
  </si>
  <si>
    <t>TRHLPG000</t>
  </si>
  <si>
    <t>TRHMET000</t>
  </si>
  <si>
    <t>TRHNGA000</t>
  </si>
  <si>
    <t>TRMDST000</t>
  </si>
  <si>
    <t>TRMETH000</t>
  </si>
  <si>
    <t>TRMGAS000</t>
  </si>
  <si>
    <t>TRMLPG000</t>
  </si>
  <si>
    <t>TRMMET000</t>
  </si>
  <si>
    <t>TRMNGA000</t>
  </si>
  <si>
    <t>TRCDST000</t>
  </si>
  <si>
    <t>TRCETH000</t>
  </si>
  <si>
    <t>TRCGAS000</t>
  </si>
  <si>
    <t>TRCLPG000</t>
  </si>
  <si>
    <t>TRCMET000</t>
  </si>
  <si>
    <t>TRCNGA000</t>
  </si>
  <si>
    <t>TRWMCG000</t>
  </si>
  <si>
    <t>TRWMPG000</t>
  </si>
  <si>
    <t>TREDST000</t>
  </si>
  <si>
    <t>TREGSL000</t>
  </si>
  <si>
    <t>TAI000</t>
  </si>
  <si>
    <t>TAD000</t>
  </si>
  <si>
    <t>TWD000</t>
  </si>
  <si>
    <t>TWI000</t>
  </si>
  <si>
    <t>1/2</t>
  </si>
  <si>
    <t>process</t>
  </si>
  <si>
    <t>TTF000</t>
  </si>
  <si>
    <t>TTP000</t>
  </si>
  <si>
    <t>TechName</t>
  </si>
  <si>
    <t>Comm-IN</t>
  </si>
  <si>
    <t>Comm-OUT</t>
  </si>
  <si>
    <t>~FI_T: EFF</t>
  </si>
  <si>
    <t>\I:</t>
  </si>
  <si>
    <t>GAS</t>
  </si>
  <si>
    <t>Techname</t>
  </si>
  <si>
    <t>CommName</t>
  </si>
  <si>
    <t>~FI_T: Demand</t>
  </si>
  <si>
    <t>~FI_Process</t>
  </si>
  <si>
    <t>Sets</t>
  </si>
  <si>
    <t>TechDesc</t>
  </si>
  <si>
    <t>Tact</t>
  </si>
  <si>
    <t>Tcap</t>
  </si>
  <si>
    <t>Tslvl</t>
  </si>
  <si>
    <t>PrimaryCG</t>
  </si>
  <si>
    <t>Vintage</t>
  </si>
  <si>
    <t>Bvkm</t>
  </si>
  <si>
    <t>NCAP_TLIFE</t>
  </si>
  <si>
    <t>LIFE</t>
  </si>
  <si>
    <t>first level shares of road transport</t>
  </si>
  <si>
    <t>PJ</t>
  </si>
  <si>
    <t>PJ_a</t>
  </si>
  <si>
    <t>Non Energy Uses</t>
  </si>
  <si>
    <t>Generic Domestic Aircraft-Existing</t>
  </si>
  <si>
    <t>Generic International Aircraft-Existing</t>
  </si>
  <si>
    <t>Generic Freight Train-Existing</t>
  </si>
  <si>
    <t>Generic Passengers Train-Existing</t>
  </si>
  <si>
    <t>Generic Domestic Navigation Ship Existing</t>
  </si>
  <si>
    <t>Generic International Boat-Existing</t>
  </si>
  <si>
    <t>*</t>
  </si>
  <si>
    <t>COATAR</t>
  </si>
  <si>
    <t>COACOK</t>
  </si>
  <si>
    <t>Sum of val_field</t>
  </si>
  <si>
    <t>region</t>
  </si>
  <si>
    <t>attribute</t>
  </si>
  <si>
    <t>TRBDST005</t>
  </si>
  <si>
    <t>TRBELC005</t>
  </si>
  <si>
    <t>TRBETH005</t>
  </si>
  <si>
    <t>TRBGAS005</t>
  </si>
  <si>
    <t>TRBHYB005</t>
  </si>
  <si>
    <t>TRBLPG005</t>
  </si>
  <si>
    <t>TRBMET005</t>
  </si>
  <si>
    <t>TRBNGA005</t>
  </si>
  <si>
    <t>TRCDSA005</t>
  </si>
  <si>
    <t>TRCDSB005</t>
  </si>
  <si>
    <t>TRCDST005</t>
  </si>
  <si>
    <t>TRCETA005</t>
  </si>
  <si>
    <t>TRCETB005</t>
  </si>
  <si>
    <t>TRCETH005</t>
  </si>
  <si>
    <t>TRCGAS005</t>
  </si>
  <si>
    <t>TRCLPG005</t>
  </si>
  <si>
    <t>TRCMET005</t>
  </si>
  <si>
    <t>TRCNGA005</t>
  </si>
  <si>
    <t>TREDST005</t>
  </si>
  <si>
    <t>TREGSL005</t>
  </si>
  <si>
    <t>TRHDSA005</t>
  </si>
  <si>
    <t>TRHDSB005</t>
  </si>
  <si>
    <t>TRHDST005</t>
  </si>
  <si>
    <t>TRHETH005</t>
  </si>
  <si>
    <t>TRHGAS005</t>
  </si>
  <si>
    <t>TRHLPG005</t>
  </si>
  <si>
    <t>TRHMET005</t>
  </si>
  <si>
    <t>TRHNGA005</t>
  </si>
  <si>
    <t>TRLDCA005</t>
  </si>
  <si>
    <t>TRLDCB005</t>
  </si>
  <si>
    <t>TRLDCC005</t>
  </si>
  <si>
    <t>TRLDEG005</t>
  </si>
  <si>
    <t>TRLDMG005</t>
  </si>
  <si>
    <t>TRLELC005</t>
  </si>
  <si>
    <t>TRLGCA005</t>
  </si>
  <si>
    <t>TRLGCB005</t>
  </si>
  <si>
    <t>TRLGCC005</t>
  </si>
  <si>
    <t>TRLHYB005</t>
  </si>
  <si>
    <t>TRLLPG005</t>
  </si>
  <si>
    <t>TRLNGA005</t>
  </si>
  <si>
    <t>TRMDSA005</t>
  </si>
  <si>
    <t>TRMDSB005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</si>
  <si>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</si>
  <si>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</si>
  <si>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</si>
  <si>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</si>
  <si>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</si>
  <si>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</si>
  <si>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</si>
  <si>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</si>
  <si>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</si>
  <si>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</si>
  <si>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</si>
  <si>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</si>
  <si>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</si>
  <si>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</si>
  <si>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</si>
  <si>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</si>
  <si>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</si>
  <si>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</si>
  <si>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</si>
  <si>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</si>
  <si>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</si>
  <si>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</si>
  <si>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</si>
  <si>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</si>
  <si>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</si>
  <si>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</si>
  <si>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</si>
  <si>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</si>
  <si>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</si>
  <si>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</si>
  <si>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DSA</t>
  </si>
  <si>
    <t>TRBDST</t>
  </si>
  <si>
    <t>TRBELC</t>
  </si>
  <si>
    <t>TRBETH</t>
  </si>
  <si>
    <t>TRBFUE</t>
  </si>
  <si>
    <t>TRBGAS</t>
  </si>
  <si>
    <t>TRBHYB</t>
  </si>
  <si>
    <t>TRBLPG</t>
  </si>
  <si>
    <t>TRBMET</t>
  </si>
  <si>
    <t>TRBNGA</t>
  </si>
  <si>
    <t>TRCDSA</t>
  </si>
  <si>
    <t>TRCDSB</t>
  </si>
  <si>
    <t>TRCDST</t>
  </si>
  <si>
    <t>TRCETA</t>
  </si>
  <si>
    <t>TRCETB</t>
  </si>
  <si>
    <t>TRCETH</t>
  </si>
  <si>
    <t>TRCGAS</t>
  </si>
  <si>
    <t>TRCLPG</t>
  </si>
  <si>
    <t>TRCMET</t>
  </si>
  <si>
    <t>TRCNGA</t>
  </si>
  <si>
    <t>TREDST</t>
  </si>
  <si>
    <t>TREGSL</t>
  </si>
  <si>
    <t>TRHDSA</t>
  </si>
  <si>
    <t>TRHDSB</t>
  </si>
  <si>
    <t>TRHDST</t>
  </si>
  <si>
    <t>TRHETH</t>
  </si>
  <si>
    <t>TRHGAS</t>
  </si>
  <si>
    <t>TRHLPG</t>
  </si>
  <si>
    <t>TRHMET</t>
  </si>
  <si>
    <t>TRHNGA</t>
  </si>
  <si>
    <t>TRLDCA</t>
  </si>
  <si>
    <t>TRLDCB</t>
  </si>
  <si>
    <t>TRLDCC</t>
  </si>
  <si>
    <t>TRLDEG</t>
  </si>
  <si>
    <t>TRLDMG</t>
  </si>
  <si>
    <t>TRLELC</t>
  </si>
  <si>
    <t>TRLETH</t>
  </si>
  <si>
    <t>TRLGCA</t>
  </si>
  <si>
    <t>TRLGCB</t>
  </si>
  <si>
    <t>TRLGCC</t>
  </si>
  <si>
    <t>TRLLPG</t>
  </si>
  <si>
    <t>TRLMET</t>
  </si>
  <si>
    <t>TRLNGA</t>
  </si>
  <si>
    <t>TRMDSA</t>
  </si>
  <si>
    <t>TRMDSB</t>
  </si>
  <si>
    <t>TRMDST</t>
  </si>
  <si>
    <t>TRMETA</t>
  </si>
  <si>
    <t>TRMETB</t>
  </si>
  <si>
    <t>TRMETH</t>
  </si>
  <si>
    <t>TRMGAS</t>
  </si>
  <si>
    <t>TRMLPG</t>
  </si>
  <si>
    <t>TRMMET</t>
  </si>
  <si>
    <t>TRMNGA</t>
  </si>
  <si>
    <t>TRTDCA</t>
  </si>
  <si>
    <t>TRTDCB</t>
  </si>
  <si>
    <t>TRTDCC</t>
  </si>
  <si>
    <t>TRTELC</t>
  </si>
  <si>
    <t>TRTETA</t>
  </si>
  <si>
    <t>TRTETB</t>
  </si>
  <si>
    <t>TRTETH</t>
  </si>
  <si>
    <t>TRTGCA</t>
  </si>
  <si>
    <t>TRTGCB</t>
  </si>
  <si>
    <t>TRTGCC</t>
  </si>
  <si>
    <t>TRTLPG</t>
  </si>
  <si>
    <t>TRTMET</t>
  </si>
  <si>
    <t>TRTNGA</t>
  </si>
  <si>
    <t>TRWMCG</t>
  </si>
  <si>
    <t>TRWMPG</t>
  </si>
  <si>
    <t>Russia</t>
  </si>
  <si>
    <t>veh_type</t>
  </si>
  <si>
    <t>ActiveReg</t>
  </si>
  <si>
    <t>mVeh</t>
  </si>
  <si>
    <t>cars</t>
  </si>
  <si>
    <t>trucks</t>
  </si>
  <si>
    <t>Row Labels</t>
  </si>
  <si>
    <t>Sum of mVeh</t>
  </si>
  <si>
    <t>Column Labels</t>
  </si>
  <si>
    <t>year</t>
  </si>
  <si>
    <t>Share of PJ</t>
  </si>
  <si>
    <t>m Vehicles</t>
  </si>
  <si>
    <t>Share of Veh</t>
  </si>
  <si>
    <t>PJ share/Veh share</t>
  </si>
  <si>
    <t>Efficiency</t>
  </si>
  <si>
    <t>000km/veh</t>
  </si>
  <si>
    <t>Dem Bvkm</t>
  </si>
  <si>
    <t>GJ/lt Gasoline</t>
  </si>
  <si>
    <t>GJ/lt Diesel</t>
  </si>
  <si>
    <t>km/l</t>
  </si>
  <si>
    <t>equivalent to Bvkm/PJ = 1</t>
  </si>
  <si>
    <t>bdl</t>
  </si>
  <si>
    <t>dsl</t>
  </si>
  <si>
    <t>eth</t>
  </si>
  <si>
    <t>nga</t>
  </si>
  <si>
    <t>coa</t>
  </si>
  <si>
    <t>elc</t>
  </si>
  <si>
    <t>gsl</t>
  </si>
  <si>
    <t>hfo</t>
  </si>
  <si>
    <t>lpg</t>
  </si>
  <si>
    <t>comm-in</t>
  </si>
  <si>
    <t>Trd_car</t>
  </si>
  <si>
    <t>comm-out</t>
  </si>
  <si>
    <t>EFF</t>
  </si>
  <si>
    <t>AF</t>
  </si>
  <si>
    <t>Demand</t>
  </si>
  <si>
    <t>~FI_T</t>
  </si>
  <si>
    <t>million Vehicles</t>
  </si>
  <si>
    <t>Trd_bus</t>
  </si>
  <si>
    <t>Trd_hdt</t>
  </si>
  <si>
    <t>Trd_lcv</t>
  </si>
  <si>
    <t>Trd_2w</t>
  </si>
  <si>
    <t>Trd_3w</t>
  </si>
  <si>
    <t>PASTI</t>
  </si>
  <si>
    <t>yes</t>
  </si>
  <si>
    <t>l/100km</t>
  </si>
  <si>
    <t>mtoe</t>
  </si>
  <si>
    <t>LatAm</t>
  </si>
  <si>
    <t>Road</t>
  </si>
  <si>
    <t>BGS/GSL</t>
  </si>
  <si>
    <t>BDS/DST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</si>
  <si>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</si>
  <si>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</si>
  <si>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</si>
  <si>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</si>
  <si>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</si>
  <si>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</si>
  <si>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</si>
  <si>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</si>
  <si>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</si>
  <si>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</si>
  <si>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</si>
  <si>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</si>
  <si>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</si>
  <si>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</si>
  <si>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</si>
  <si>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</si>
  <si>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</si>
  <si>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</si>
  <si>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</si>
  <si>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</si>
  <si>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</si>
  <si>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</si>
  <si>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</si>
  <si>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</si>
  <si>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</si>
  <si>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</si>
  <si>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</si>
  <si>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</si>
  <si>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</si>
  <si>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</si>
  <si>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LimType</t>
  </si>
  <si>
    <t>~FI_T: SHARE-I~UP</t>
  </si>
  <si>
    <t>LO</t>
  </si>
  <si>
    <t>TIAMReg</t>
  </si>
  <si>
    <t>Sector</t>
  </si>
  <si>
    <t>Sub-Sector</t>
  </si>
  <si>
    <t>sectfuel</t>
  </si>
  <si>
    <t>Cars</t>
  </si>
  <si>
    <t>H Trucks</t>
  </si>
  <si>
    <t>Year</t>
  </si>
  <si>
    <t>Drvr</t>
  </si>
  <si>
    <t>GDP</t>
  </si>
  <si>
    <t>POP</t>
  </si>
  <si>
    <t>Bvkm/POP</t>
  </si>
  <si>
    <t>Bvkm/GDP</t>
  </si>
  <si>
    <t>NorthAm</t>
  </si>
  <si>
    <t>PRT</t>
  </si>
  <si>
    <t>ROM</t>
  </si>
  <si>
    <t>ROW</t>
  </si>
  <si>
    <t>SRB</t>
  </si>
  <si>
    <t>SVK</t>
  </si>
  <si>
    <t>SVN</t>
  </si>
  <si>
    <t>SWE</t>
  </si>
  <si>
    <t>TUR</t>
  </si>
  <si>
    <t>UKR</t>
  </si>
  <si>
    <t>XXK</t>
  </si>
  <si>
    <t>NULL</t>
  </si>
  <si>
    <t>Baltics</t>
  </si>
  <si>
    <t>China_d</t>
  </si>
  <si>
    <t>India_d</t>
  </si>
  <si>
    <t>Poland_d</t>
  </si>
  <si>
    <t>Switzerland_d</t>
  </si>
  <si>
    <t>Turkey_d</t>
  </si>
  <si>
    <t>Ukraine_d</t>
  </si>
  <si>
    <t>~FI_Comm</t>
  </si>
  <si>
    <t>CSet</t>
  </si>
  <si>
    <t>CommDesc</t>
  </si>
  <si>
    <t>Unit</t>
  </si>
  <si>
    <t>DEM</t>
  </si>
  <si>
    <t>Africa_North</t>
  </si>
  <si>
    <t>Africa_Other</t>
  </si>
  <si>
    <t>Australia_d</t>
  </si>
  <si>
    <t>Austria_d</t>
  </si>
  <si>
    <t>BeNeLux</t>
  </si>
  <si>
    <t>Brazil_d</t>
  </si>
  <si>
    <t>CroSloven</t>
  </si>
  <si>
    <t>CzechSlovak</t>
  </si>
  <si>
    <t>France_d</t>
  </si>
  <si>
    <t>Germany_d</t>
  </si>
  <si>
    <t>GreeceCyp</t>
  </si>
  <si>
    <t>HunRomBul</t>
  </si>
  <si>
    <t>Iceland_d</t>
  </si>
  <si>
    <t>Ireland_d</t>
  </si>
  <si>
    <t>ItalyMal</t>
  </si>
  <si>
    <t>Japan_d</t>
  </si>
  <si>
    <t>MidEast</t>
  </si>
  <si>
    <t>Norway_d</t>
  </si>
  <si>
    <t>Russia_d</t>
  </si>
  <si>
    <t>SaudiArabia_d</t>
  </si>
  <si>
    <t>SouthAfrica_d</t>
  </si>
  <si>
    <t>SpainPor</t>
  </si>
  <si>
    <t>SweFinDen</t>
  </si>
  <si>
    <t>UK_d</t>
  </si>
  <si>
    <t>WestBalkans</t>
  </si>
  <si>
    <t>Region</t>
  </si>
  <si>
    <t>Process</t>
  </si>
  <si>
    <t>Techdesc</t>
  </si>
  <si>
    <t>BIOBSL</t>
  </si>
  <si>
    <t>PRE</t>
  </si>
  <si>
    <t>PJ-a</t>
  </si>
  <si>
    <t>COAHCO</t>
  </si>
  <si>
    <t>DAYNITE</t>
  </si>
  <si>
    <t>SEASON</t>
  </si>
  <si>
    <t>OILLPG</t>
  </si>
  <si>
    <t>GASNGA</t>
  </si>
  <si>
    <t>OILDST</t>
  </si>
  <si>
    <t>FT_TRABDS</t>
  </si>
  <si>
    <t>BIODST</t>
  </si>
  <si>
    <t>Sector fuel tech for TRABDS</t>
  </si>
  <si>
    <t>FT_TRABGS</t>
  </si>
  <si>
    <t>BIOGSL</t>
  </si>
  <si>
    <t>Sector fuel tech for TRABGS</t>
  </si>
  <si>
    <t>FT_TRABSL</t>
  </si>
  <si>
    <t>TRABSL</t>
  </si>
  <si>
    <t>Sector fuel tech for TRABSL</t>
  </si>
  <si>
    <t>FT_TRACOA</t>
  </si>
  <si>
    <t>Sector fuel tech for TRACOA</t>
  </si>
  <si>
    <t>FT_TRADST</t>
  </si>
  <si>
    <t>Sector fuel tech for TRADST</t>
  </si>
  <si>
    <t>FT_TRAELC</t>
  </si>
  <si>
    <t>Sector fuel tech for TRAELC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</si>
  <si>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</si>
  <si>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</si>
  <si>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</si>
  <si>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</si>
  <si>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</si>
  <si>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</si>
  <si>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</si>
  <si>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</si>
  <si>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</si>
  <si>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</si>
  <si>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Sector fuel tech for TRALPG</t>
  </si>
  <si>
    <t>FT_TRANGA</t>
  </si>
  <si>
    <t>Sector fuel tech for TRANGA</t>
  </si>
  <si>
    <t>MIN</t>
  </si>
  <si>
    <t>Transport fuel supply</t>
  </si>
  <si>
    <t>TraSupply</t>
  </si>
  <si>
    <t>DMD</t>
  </si>
  <si>
    <t>ElecDemand</t>
  </si>
  <si>
    <t>Non-transport electricity</t>
  </si>
  <si>
    <t>ELCDem</t>
  </si>
  <si>
    <t>Australia</t>
  </si>
  <si>
    <t>Austria</t>
  </si>
  <si>
    <t>Brazil</t>
  </si>
  <si>
    <t>China</t>
  </si>
  <si>
    <t>France</t>
  </si>
  <si>
    <t>Germany</t>
  </si>
  <si>
    <t>Iceland</t>
  </si>
  <si>
    <t>India</t>
  </si>
  <si>
    <t>Ireland</t>
  </si>
  <si>
    <t>Japan</t>
  </si>
  <si>
    <t>Norway</t>
  </si>
  <si>
    <t>Poland</t>
  </si>
  <si>
    <t>SaudiArabia</t>
  </si>
  <si>
    <t>SouthAfrica</t>
  </si>
  <si>
    <t>Switzerland</t>
  </si>
  <si>
    <t>Turkey</t>
  </si>
  <si>
    <t>UK</t>
  </si>
  <si>
    <t>Ukraine</t>
  </si>
  <si>
    <t>FT_ELCBSL</t>
  </si>
  <si>
    <t>ELCBSL</t>
  </si>
  <si>
    <t>FT_ELCCOA</t>
  </si>
  <si>
    <t>ELCCOA</t>
  </si>
  <si>
    <t>FT_ELCCOB</t>
  </si>
  <si>
    <t>COABCO</t>
  </si>
  <si>
    <t>ELCCOB</t>
  </si>
  <si>
    <t>FT_ELCGEO</t>
  </si>
  <si>
    <t>GEO</t>
  </si>
  <si>
    <t>ELCGEO</t>
  </si>
  <si>
    <t>FT_ELCHYD</t>
  </si>
  <si>
    <t>HYD</t>
  </si>
  <si>
    <t>ELCHYD</t>
  </si>
  <si>
    <t>FT_ELCNGA</t>
  </si>
  <si>
    <t>ELCNGA</t>
  </si>
  <si>
    <t>FT_ELCNUC</t>
  </si>
  <si>
    <t>NUC</t>
  </si>
  <si>
    <t>ELCNUC</t>
  </si>
  <si>
    <t>FT_ELCOIL</t>
  </si>
  <si>
    <t>ELCOIL</t>
  </si>
  <si>
    <t>FT_ELCOIL_CRD</t>
  </si>
  <si>
    <t>ELCOIL_CRD</t>
  </si>
  <si>
    <t>FT_ELCOIL_DST</t>
  </si>
  <si>
    <t>ELCOIL_DST</t>
  </si>
  <si>
    <t>FT_ELCSPV</t>
  </si>
  <si>
    <t>SPV</t>
  </si>
  <si>
    <t>ELCSPV</t>
  </si>
  <si>
    <t>FT_ELCSTH</t>
  </si>
  <si>
    <t>STH</t>
  </si>
  <si>
    <t>ELCSTH</t>
  </si>
  <si>
    <t>FT_ELCTDL</t>
  </si>
  <si>
    <t>TID</t>
  </si>
  <si>
    <t>ELCTDL</t>
  </si>
  <si>
    <t>FT_ELCWIN</t>
  </si>
  <si>
    <t>WIN</t>
  </si>
  <si>
    <t>ELCWIN</t>
  </si>
  <si>
    <t>Sector fuel tech for ELCBSL</t>
  </si>
  <si>
    <t>Sector fuel tech for ELCCOA</t>
  </si>
  <si>
    <t>Sector fuel tech for ELCCOB</t>
  </si>
  <si>
    <t>Sector fuel tech for ELCGEO</t>
  </si>
  <si>
    <t>Sector fuel tech for ELCHYD</t>
  </si>
  <si>
    <t>Sector fuel tech for ELCNGA</t>
  </si>
  <si>
    <t>Sector fuel tech for ELCNUC</t>
  </si>
  <si>
    <t>Sector fuel tech for ELCOIL</t>
  </si>
  <si>
    <t>Sector fuel tech for ELCOIL_CRD</t>
  </si>
  <si>
    <t>Sector fuel tech for ELCOIL_DST</t>
  </si>
  <si>
    <t>Sector fuel tech for ELCSPV</t>
  </si>
  <si>
    <t>Sector fuel tech for ELCSTH</t>
  </si>
  <si>
    <t>Sector fuel tech for ELCTDL</t>
  </si>
  <si>
    <t>Sector fuel tech for ELCWIN</t>
  </si>
  <si>
    <t>~FI_T: FLO_COST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</si>
</sst>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41" formatCode="_ * #,##0_ ;_ * \-#,##0_ ;_ * &quot;-&quot;_ ;_ @_ "/>
    <numFmt numFmtId="43" formatCode="_ * #,##0.00_ ;_ * \-#,##0.00_ ;_ * &quot;-&quot;??_ ;_ @_ "/>
    <numFmt numFmtId="164" formatCode="0.0"/>
    <numFmt numFmtId="165" formatCode="#,##0.000"/>
    <numFmt numFmtId="166" formatCode="_(* #,##0.00_);_(* \(#,##0.00\);_(* &quot;-&quot;??_);_(@_)"/>
    <numFmt numFmtId="167" formatCode="_(* #,##0_);_(* \(#,##0\);_(* &quot;-&quot;??_);_(@_)"/>
    <numFmt numFmtId="168" formatCode="_ * #,##0_ ;_ * \-#,##0_ ;_ * &quot;-&quot;??_ ;_ @_ "/>
    <numFmt numFmtId="169" formatCode="&quot;$&quot;#,##0_);\(&quot;$&quot;#,##0\)"/>
    <numFmt numFmtId="170" formatCode="0.0%"/>
    <numFmt numFmtId="171" formatCode="_-* #,##0.00_-;\-* #,##0.00_-;_-* &quot;-&quot;??_-;_-@_-"/>
    <numFmt numFmtId="172" formatCode="_([$€]* #,##0.00_);_([$€]* \(#,##0.00\);_([$€]* &quot;-&quot;??_);_(@_)"/>
    <numFmt numFmtId="173" formatCode="_ &quot;kr&quot;\ * #,##0_ ;_ &quot;kr&quot;\ * \-#,##0_ ;_ &quot;kr&quot;\ * &quot;-&quot;_ ;_ @_ "/>
    <numFmt numFmtId="174" formatCode="_ &quot;kr&quot;\ * #,##0.00_ ;_ &quot;kr&quot;\ * \-#,##0.00_ ;_ &quot;kr&quot;\ * &quot;-&quot;??_ ;_ @_ "/>
    <numFmt numFmtId="175" formatCode="_([$€-2]* #,##0.00_);_([$€-2]* \(#,##0.00\);_([$€-2]* &quot;-&quot;??_)"/>
    <numFmt numFmtId="176" formatCode="_-[$€]* #,##0.00_-;\-[$€]* #,##0.00_-;_-[$€]* &quot;-&quot;??_-;_-@_-"/>
    <numFmt numFmtId="177" formatCode="_-* #,##0_-;\-* #,##0_-;_-* &quot;-&quot;_-;_-@_-"/>
    <numFmt numFmtId="178" formatCode="_-&quot;$&quot;* #,##0.00_-;\-&quot;$&quot;* #,##0.00_-;_-&quot;$&quot;* &quot;-&quot;??_-;_-@_-"/>
    <numFmt numFmtId="179" formatCode="_-* #,##0.00\ _€_-;\-* #,##0.00\ _€_-;_-* &quot;-&quot;??\ _€_-;_-@_-"/>
    <numFmt numFmtId="180" formatCode="\(##\);\(##\)"/>
    <numFmt numFmtId="181" formatCode="#,##0.0"/>
    <numFmt numFmtId="182" formatCode="_-[$€-2]\ * #,##0.00_-;\-[$€-2]\ * #,##0.00_-;_-[$€-2]\ * &quot;-&quot;??_-"/>
    <numFmt numFmtId="183" formatCode="#,##0;\-\ #,##0;_-\ &quot;- &quot;"/>
    <numFmt numFmtId="184" formatCode="_-&quot;€&quot;\ * #,##0.00_-;\-&quot;€&quot;\ * #,##0.00_-;_-&quot;€&quot;\ * &quot;-&quot;??_-;_-@_-"/>
    <numFmt numFmtId="185" formatCode="General_)"/>
    <numFmt numFmtId="186" formatCode="m\o\n\th\ d\,\ yyyy"/>
    <numFmt numFmtId="187" formatCode="#.00"/>
    <numFmt numFmtId="188" formatCode="#."/>
    <numFmt numFmtId="189" formatCode="yyyy"/>
  </numFmts>
  <fonts count="80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Arial"/>
      <family val="2"/>
    </font>
    <font>
      <i/>
      <sz val="1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A7D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11"/>
      <color indexed="60"/>
      <name val="Calibri"/>
      <family val="2"/>
      <charset val="161"/>
    </font>
    <font>
      <sz val="10"/>
      <name val="Helvetica"/>
      <family val="2"/>
    </font>
    <font>
      <sz val="8"/>
      <color indexed="9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/>
      <sz val="10"/>
      <color indexed="12"/>
      <name val="Arial"/>
      <family val="2"/>
    </font>
    <font>
      <b/>
      <sz val="11"/>
      <color indexed="10"/>
      <name val="Calibri"/>
      <family val="2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</fonts>
  <fills count="5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indexed="26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theme="0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6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</fills>
  <borders count="3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391">
    <xf numFmtId="0" fontId="0" fillId="0" borderId="0"/>
    <xf numFmtId="0" fontId="1" fillId="2" borderId="1" applyNumberFormat="0" applyAlignment="0" applyProtection="0"/>
    <xf numFmtId="0" fontId="3" fillId="3" borderId="1" applyNumberFormat="0" applyAlignment="0" applyProtection="0"/>
    <xf numFmtId="0" fontId="7" fillId="0" borderId="0"/>
    <xf numFmtId="0" fontId="15" fillId="12" borderId="0" applyNumberFormat="0" applyBorder="0" applyAlignment="0" applyProtection="0"/>
    <xf numFmtId="0" fontId="14" fillId="13" borderId="0" applyNumberFormat="0" applyBorder="0" applyAlignment="0" applyProtection="0"/>
    <xf numFmtId="9" fontId="14" fillId="0" borderId="0" applyFont="0" applyFill="0" applyBorder="0" applyAlignment="0" applyProtection="0"/>
    <xf numFmtId="0" fontId="20" fillId="0" borderId="4" applyNumberFormat="0" applyFill="0" applyAlignment="0" applyProtection="0"/>
    <xf numFmtId="0" fontId="22" fillId="16" borderId="0" applyNumberFormat="0" applyBorder="0" applyAlignment="0" applyProtection="0"/>
    <xf numFmtId="0" fontId="23" fillId="0" borderId="5" applyNumberFormat="0" applyFill="0" applyAlignment="0" applyProtection="0"/>
    <xf numFmtId="0" fontId="24" fillId="17" borderId="0" applyNumberFormat="0" applyBorder="0" applyAlignment="0" applyProtection="0"/>
    <xf numFmtId="0" fontId="25" fillId="0" borderId="0"/>
    <xf numFmtId="166" fontId="7" fillId="0" borderId="0" applyFont="0" applyFill="0" applyBorder="0" applyAlignment="0" applyProtection="0"/>
    <xf numFmtId="166" fontId="25" fillId="0" borderId="0" applyFont="0" applyFill="0" applyBorder="0" applyAlignment="0" applyProtection="0"/>
    <xf numFmtId="0" fontId="31" fillId="18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7" fillId="21" borderId="0" applyNumberFormat="0" applyBorder="0" applyAlignment="0" applyProtection="0"/>
    <xf numFmtId="0" fontId="37" fillId="21" borderId="0" applyNumberFormat="0" applyBorder="0" applyAlignment="0" applyProtection="0"/>
    <xf numFmtId="0" fontId="38" fillId="38" borderId="19" applyNumberFormat="0" applyAlignment="0" applyProtection="0"/>
    <xf numFmtId="0" fontId="38" fillId="38" borderId="19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2" fillId="0" borderId="21" applyNumberFormat="0" applyFill="0" applyAlignment="0" applyProtection="0"/>
    <xf numFmtId="0" fontId="42" fillId="0" borderId="21" applyNumberFormat="0" applyFill="0" applyAlignment="0" applyProtection="0"/>
    <xf numFmtId="0" fontId="43" fillId="0" borderId="22" applyNumberFormat="0" applyFill="0" applyAlignment="0" applyProtection="0"/>
    <xf numFmtId="0" fontId="43" fillId="0" borderId="22" applyNumberFormat="0" applyFill="0" applyAlignment="0" applyProtection="0"/>
    <xf numFmtId="0" fontId="44" fillId="0" borderId="23" applyNumberFormat="0" applyFill="0" applyAlignment="0" applyProtection="0"/>
    <xf numFmtId="0" fontId="44" fillId="0" borderId="23" applyNumberFormat="0" applyFill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5" fillId="25" borderId="19" applyNumberFormat="0" applyAlignment="0" applyProtection="0"/>
    <xf numFmtId="0" fontId="45" fillId="25" borderId="19" applyNumberFormat="0" applyAlignment="0" applyProtection="0"/>
    <xf numFmtId="0" fontId="46" fillId="0" borderId="24" applyNumberFormat="0" applyFill="0" applyAlignment="0" applyProtection="0"/>
    <xf numFmtId="0" fontId="46" fillId="0" borderId="24" applyNumberFormat="0" applyFill="0" applyAlignment="0" applyProtection="0"/>
    <xf numFmtId="0" fontId="47" fillId="40" borderId="0" applyNumberFormat="0" applyBorder="0" applyAlignment="0" applyProtection="0"/>
    <xf numFmtId="0" fontId="54" fillId="40" borderId="0" applyNumberFormat="0" applyBorder="0" applyAlignment="0" applyProtection="0"/>
    <xf numFmtId="0" fontId="7" fillId="0" borderId="0"/>
    <xf numFmtId="0" fontId="14" fillId="0" borderId="0"/>
    <xf numFmtId="0" fontId="7" fillId="0" borderId="0"/>
    <xf numFmtId="0" fontId="7" fillId="0" borderId="0"/>
    <xf numFmtId="0" fontId="22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22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2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2" fillId="0" borderId="0"/>
    <xf numFmtId="0" fontId="14" fillId="0" borderId="0"/>
    <xf numFmtId="0" fontId="22" fillId="0" borderId="0"/>
    <xf numFmtId="0" fontId="14" fillId="0" borderId="0"/>
    <xf numFmtId="0" fontId="22" fillId="0" borderId="0"/>
    <xf numFmtId="0" fontId="14" fillId="0" borderId="0"/>
    <xf numFmtId="0" fontId="7" fillId="0" borderId="0"/>
    <xf numFmtId="0" fontId="2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 applyNumberFormat="0" applyFont="0" applyFill="0" applyBorder="0" applyAlignment="0" applyProtection="0"/>
    <xf numFmtId="0" fontId="52" fillId="0" borderId="0"/>
    <xf numFmtId="0" fontId="22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48" fillId="38" borderId="26" applyNumberFormat="0" applyAlignment="0" applyProtection="0"/>
    <xf numFmtId="0" fontId="48" fillId="38" borderId="26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55" fillId="0" borderId="0" applyFont="0" applyFill="0" applyBorder="0" applyAlignment="0" applyProtection="0"/>
    <xf numFmtId="41" fontId="55" fillId="0" borderId="0" applyFont="0" applyFill="0" applyBorder="0" applyAlignment="0" applyProtection="0"/>
    <xf numFmtId="173" fontId="55" fillId="0" borderId="0" applyFont="0" applyFill="0" applyBorder="0" applyAlignment="0" applyProtection="0"/>
    <xf numFmtId="0" fontId="7" fillId="0" borderId="0"/>
    <xf numFmtId="0" fontId="7" fillId="0" borderId="27" applyNumberFormat="0" applyFill="0" applyProtection="0">
      <alignment horizontal="right"/>
    </xf>
    <xf numFmtId="0" fontId="7" fillId="0" borderId="27" applyNumberFormat="0" applyFill="0" applyProtection="0">
      <alignment horizontal="right"/>
    </xf>
    <xf numFmtId="0" fontId="35" fillId="41" borderId="27" applyNumberFormat="0" applyProtection="0">
      <alignment horizontal="right"/>
    </xf>
    <xf numFmtId="0" fontId="53" fillId="41" borderId="0" applyNumberFormat="0" applyBorder="0" applyProtection="0">
      <alignment horizontal="left"/>
    </xf>
    <xf numFmtId="0" fontId="35" fillId="41" borderId="27" applyNumberFormat="0" applyProtection="0">
      <alignment horizontal="left"/>
    </xf>
    <xf numFmtId="0" fontId="7" fillId="0" borderId="27" applyNumberFormat="0" applyFill="0" applyProtection="0">
      <alignment horizontal="right"/>
    </xf>
    <xf numFmtId="0" fontId="7" fillId="0" borderId="27" applyNumberFormat="0" applyFill="0" applyProtection="0">
      <alignment horizontal="right"/>
    </xf>
    <xf numFmtId="0" fontId="56" fillId="42" borderId="0" applyNumberFormat="0" applyBorder="0" applyProtection="0">
      <alignment horizontal="left"/>
    </xf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174" fontId="55" fillId="0" borderId="0" applyFon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14" fillId="0" borderId="0"/>
    <xf numFmtId="0" fontId="14" fillId="0" borderId="0"/>
    <xf numFmtId="0" fontId="7" fillId="0" borderId="0"/>
    <xf numFmtId="0" fontId="7" fillId="0" borderId="0" applyNumberFormat="0" applyFont="0" applyFill="0" applyBorder="0" applyProtection="0">
      <alignment horizontal="left" vertical="center" indent="5"/>
    </xf>
    <xf numFmtId="4" fontId="57" fillId="43" borderId="27">
      <alignment horizontal="right" vertical="center"/>
    </xf>
    <xf numFmtId="4" fontId="57" fillId="43" borderId="27">
      <alignment horizontal="right" vertical="center"/>
    </xf>
    <xf numFmtId="0" fontId="58" fillId="0" borderId="30">
      <alignment horizontal="left" vertical="center" wrapText="1" indent="2"/>
    </xf>
    <xf numFmtId="172" fontId="7" fillId="0" borderId="0" applyFont="0" applyFill="0" applyBorder="0" applyAlignment="0" applyProtection="0"/>
    <xf numFmtId="4" fontId="58" fillId="0" borderId="0" applyBorder="0">
      <alignment horizontal="right" vertical="center"/>
    </xf>
    <xf numFmtId="0" fontId="7" fillId="0" borderId="0"/>
    <xf numFmtId="0" fontId="14" fillId="0" borderId="0"/>
    <xf numFmtId="4" fontId="58" fillId="0" borderId="27" applyFill="0" applyBorder="0" applyProtection="0">
      <alignment horizontal="right" vertical="center"/>
    </xf>
    <xf numFmtId="0" fontId="59" fillId="0" borderId="0" applyNumberFormat="0" applyFill="0" applyBorder="0" applyProtection="0">
      <alignment horizontal="left" vertical="center"/>
    </xf>
    <xf numFmtId="0" fontId="7" fillId="44" borderId="0" applyNumberFormat="0" applyFont="0" applyBorder="0" applyAlignment="0" applyProtection="0"/>
    <xf numFmtId="4" fontId="58" fillId="0" borderId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5"/>
    </xf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49" fontId="7" fillId="48" borderId="31">
      <alignment vertical="top" wrapText="1"/>
    </xf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0" fontId="71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0" fontId="7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8" fontId="7" fillId="0" borderId="0" applyFont="0" applyFill="0" applyBorder="0" applyAlignment="0" applyProtection="0"/>
    <xf numFmtId="186" fontId="78" fillId="0" borderId="0">
      <protection locked="0"/>
    </xf>
    <xf numFmtId="186" fontId="78" fillId="0" borderId="0">
      <protection locked="0"/>
    </xf>
    <xf numFmtId="3" fontId="63" fillId="0" borderId="31">
      <alignment horizontal="right" vertical="top"/>
    </xf>
    <xf numFmtId="0" fontId="35" fillId="49" borderId="27">
      <alignment horizontal="centerContinuous" vertical="top" wrapText="1"/>
    </xf>
    <xf numFmtId="0" fontId="64" fillId="0" borderId="0">
      <alignment vertical="top" wrapText="1"/>
    </xf>
    <xf numFmtId="182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84" fontId="7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87" fontId="78" fillId="0" borderId="0">
      <protection locked="0"/>
    </xf>
    <xf numFmtId="187" fontId="78" fillId="0" borderId="0">
      <protection locked="0"/>
    </xf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188" fontId="79" fillId="0" borderId="0">
      <protection locked="0"/>
    </xf>
    <xf numFmtId="188" fontId="79" fillId="0" borderId="0">
      <protection locked="0"/>
    </xf>
    <xf numFmtId="188" fontId="79" fillId="0" borderId="0">
      <protection locked="0"/>
    </xf>
    <xf numFmtId="188" fontId="79" fillId="0" borderId="0">
      <protection locked="0"/>
    </xf>
    <xf numFmtId="0" fontId="60" fillId="0" borderId="0" applyNumberFormat="0" applyFill="0" applyBorder="0" applyAlignment="0" applyProtection="0">
      <alignment vertical="top"/>
      <protection locked="0"/>
    </xf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65" fillId="0" borderId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179" fontId="7" fillId="0" borderId="0" applyFont="0" applyFill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47" fillId="40" borderId="0" applyNumberFormat="0" applyBorder="0" applyAlignment="0" applyProtection="0"/>
    <xf numFmtId="0" fontId="75" fillId="40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169" fontId="76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0" fontId="14" fillId="0" borderId="0"/>
    <xf numFmtId="170" fontId="76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185" fontId="76" fillId="0" borderId="0">
      <alignment vertical="center"/>
    </xf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44" borderId="0" applyNumberFormat="0" applyFont="0" applyBorder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22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22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180" fontId="66" fillId="0" borderId="0">
      <alignment horizontal="right"/>
    </xf>
    <xf numFmtId="183" fontId="7" fillId="0" borderId="0" applyFont="0" applyFill="0" applyBorder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64" fillId="0" borderId="0">
      <alignment vertical="top" wrapText="1"/>
    </xf>
    <xf numFmtId="189" fontId="7" fillId="0" borderId="0" applyFill="0" applyBorder="0" applyAlignment="0" applyProtection="0">
      <alignment wrapText="1"/>
    </xf>
    <xf numFmtId="189" fontId="7" fillId="0" borderId="0" applyFill="0" applyBorder="0" applyAlignment="0" applyProtection="0">
      <alignment wrapText="1"/>
    </xf>
    <xf numFmtId="0" fontId="35" fillId="0" borderId="0" applyNumberFormat="0" applyFill="0" applyBorder="0">
      <alignment horizontal="center" wrapText="1"/>
    </xf>
    <xf numFmtId="0" fontId="35" fillId="0" borderId="0" applyNumberFormat="0" applyFill="0" applyBorder="0">
      <alignment horizontal="center" wrapText="1"/>
    </xf>
    <xf numFmtId="0" fontId="35" fillId="0" borderId="0" applyNumberFormat="0" applyFill="0" applyBorder="0">
      <alignment horizontal="center" wrapText="1"/>
    </xf>
    <xf numFmtId="0" fontId="35" fillId="0" borderId="0" applyNumberFormat="0" applyFill="0" applyBorder="0">
      <alignment horizontal="center" wrapText="1"/>
    </xf>
    <xf numFmtId="181" fontId="67" fillId="50" borderId="36">
      <alignment vertical="center"/>
    </xf>
    <xf numFmtId="170" fontId="68" fillId="50" borderId="36">
      <alignment vertical="center"/>
    </xf>
    <xf numFmtId="181" fontId="69" fillId="51" borderId="36">
      <alignment vertical="center"/>
    </xf>
    <xf numFmtId="0" fontId="7" fillId="52" borderId="37" applyBorder="0">
      <alignment horizontal="left" vertical="center"/>
    </xf>
    <xf numFmtId="49" fontId="7" fillId="53" borderId="27">
      <alignment vertical="center" wrapText="1"/>
    </xf>
    <xf numFmtId="0" fontId="7" fillId="54" borderId="29">
      <alignment horizontal="left" vertical="center" wrapText="1"/>
    </xf>
    <xf numFmtId="0" fontId="70" fillId="55" borderId="27">
      <alignment horizontal="left" vertical="center" wrapText="1"/>
    </xf>
    <xf numFmtId="0" fontId="7" fillId="56" borderId="27">
      <alignment horizontal="left" vertical="center" wrapText="1"/>
    </xf>
    <xf numFmtId="0" fontId="7" fillId="57" borderId="27">
      <alignment horizontal="left" vertical="center" wrapText="1"/>
    </xf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62" fillId="0" borderId="0" applyNumberFormat="0" applyFill="0" applyBorder="0" applyAlignment="0" applyProtection="0">
      <alignment vertical="center"/>
    </xf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49" fontId="7" fillId="48" borderId="31">
      <alignment vertical="top" wrapText="1"/>
    </xf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8" fontId="7" fillId="0" borderId="0" applyFont="0" applyFill="0" applyBorder="0" applyAlignment="0" applyProtection="0"/>
    <xf numFmtId="182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8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44" borderId="0" applyNumberFormat="0" applyFont="0" applyBorder="0" applyAlignment="0" applyProtection="0"/>
    <xf numFmtId="0" fontId="7" fillId="44" borderId="0" applyNumberFormat="0" applyFont="0" applyBorder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18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89" fontId="7" fillId="0" borderId="0" applyFill="0" applyBorder="0" applyAlignment="0" applyProtection="0">
      <alignment wrapText="1"/>
    </xf>
    <xf numFmtId="189" fontId="7" fillId="0" borderId="0" applyFill="0" applyBorder="0" applyAlignment="0" applyProtection="0">
      <alignment wrapText="1"/>
    </xf>
    <xf numFmtId="0" fontId="7" fillId="52" borderId="37" applyBorder="0">
      <alignment horizontal="left" vertical="center"/>
    </xf>
    <xf numFmtId="49" fontId="7" fillId="53" borderId="27">
      <alignment vertical="center" wrapText="1"/>
    </xf>
    <xf numFmtId="0" fontId="7" fillId="54" borderId="29">
      <alignment horizontal="left" vertical="center" wrapText="1"/>
    </xf>
    <xf numFmtId="0" fontId="7" fillId="56" borderId="27">
      <alignment horizontal="left" vertical="center" wrapText="1"/>
    </xf>
    <xf numFmtId="0" fontId="7" fillId="57" borderId="27">
      <alignment horizontal="left" vertical="center" wrapText="1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</cellStyleXfs>
  <cellXfs count="109">
    <xf numFmtId="0" fontId="0" fillId="0" borderId="0" xfId="0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2" fontId="1" fillId="2" borderId="1" xfId="1" applyNumberFormat="1"/>
    <xf numFmtId="0" fontId="4" fillId="4" borderId="0" xfId="0" applyFont="1" applyFill="1"/>
    <xf numFmtId="0" fontId="5" fillId="4" borderId="0" xfId="0" applyFont="1" applyFill="1"/>
    <xf numFmtId="0" fontId="6" fillId="5" borderId="0" xfId="0" applyFont="1" applyFill="1"/>
    <xf numFmtId="0" fontId="8" fillId="6" borderId="0" xfId="3" applyFont="1" applyFill="1"/>
    <xf numFmtId="2" fontId="5" fillId="4" borderId="0" xfId="0" applyNumberFormat="1" applyFont="1" applyFill="1" applyAlignment="1">
      <alignment horizontal="right"/>
    </xf>
    <xf numFmtId="0" fontId="5" fillId="4" borderId="0" xfId="0" applyFont="1" applyFill="1" applyAlignment="1">
      <alignment horizontal="right"/>
    </xf>
    <xf numFmtId="0" fontId="5" fillId="4" borderId="2" xfId="0" applyFont="1" applyFill="1" applyBorder="1"/>
    <xf numFmtId="2" fontId="9" fillId="4" borderId="2" xfId="2" applyNumberFormat="1" applyFont="1" applyFill="1" applyBorder="1" applyAlignment="1">
      <alignment horizontal="right"/>
    </xf>
    <xf numFmtId="0" fontId="8" fillId="6" borderId="2" xfId="3" applyFont="1" applyFill="1" applyBorder="1"/>
    <xf numFmtId="0" fontId="5" fillId="7" borderId="0" xfId="0" applyFont="1" applyFill="1"/>
    <xf numFmtId="0" fontId="6" fillId="8" borderId="0" xfId="0" applyFont="1" applyFill="1"/>
    <xf numFmtId="0" fontId="10" fillId="8" borderId="0" xfId="0" applyFont="1" applyFill="1"/>
    <xf numFmtId="2" fontId="6" fillId="9" borderId="0" xfId="2" applyNumberFormat="1" applyFont="1" applyFill="1" applyBorder="1" applyAlignment="1">
      <alignment horizontal="left"/>
    </xf>
    <xf numFmtId="0" fontId="11" fillId="5" borderId="0" xfId="0" applyFont="1" applyFill="1"/>
    <xf numFmtId="2" fontId="9" fillId="4" borderId="0" xfId="2" applyNumberFormat="1" applyFont="1" applyFill="1" applyBorder="1" applyAlignment="1">
      <alignment horizontal="right"/>
    </xf>
    <xf numFmtId="2" fontId="9" fillId="10" borderId="0" xfId="2" applyNumberFormat="1" applyFont="1" applyFill="1" applyBorder="1" applyAlignment="1">
      <alignment horizontal="right"/>
    </xf>
    <xf numFmtId="2" fontId="9" fillId="9" borderId="0" xfId="2" applyNumberFormat="1" applyFont="1" applyFill="1" applyBorder="1" applyAlignment="1">
      <alignment horizontal="left"/>
    </xf>
    <xf numFmtId="2" fontId="9" fillId="10" borderId="0" xfId="2" applyNumberFormat="1" applyFont="1" applyFill="1" applyBorder="1"/>
    <xf numFmtId="2" fontId="5" fillId="11" borderId="0" xfId="0" applyNumberFormat="1" applyFont="1" applyFill="1" applyAlignment="1">
      <alignment horizontal="right"/>
    </xf>
    <xf numFmtId="2" fontId="6" fillId="11" borderId="0" xfId="2" applyNumberFormat="1" applyFont="1" applyFill="1" applyBorder="1" applyAlignment="1">
      <alignment horizontal="left"/>
    </xf>
    <xf numFmtId="0" fontId="6" fillId="5" borderId="2" xfId="0" applyFont="1" applyFill="1" applyBorder="1"/>
    <xf numFmtId="2" fontId="9" fillId="10" borderId="2" xfId="2" applyNumberFormat="1" applyFont="1" applyFill="1" applyBorder="1"/>
    <xf numFmtId="0" fontId="5" fillId="0" borderId="0" xfId="0" applyFont="1"/>
    <xf numFmtId="2" fontId="9" fillId="0" borderId="0" xfId="2" applyNumberFormat="1" applyFont="1" applyFill="1" applyBorder="1" applyAlignment="1">
      <alignment horizontal="right"/>
    </xf>
    <xf numFmtId="0" fontId="8" fillId="0" borderId="0" xfId="3" applyFont="1"/>
    <xf numFmtId="16" fontId="0" fillId="0" borderId="0" xfId="0" quotePrefix="1" applyNumberFormat="1"/>
    <xf numFmtId="2" fontId="12" fillId="4" borderId="2" xfId="2" applyNumberFormat="1" applyFont="1" applyFill="1" applyBorder="1" applyAlignment="1">
      <alignment horizontal="right"/>
    </xf>
    <xf numFmtId="2" fontId="13" fillId="4" borderId="2" xfId="2" applyNumberFormat="1" applyFont="1" applyFill="1" applyBorder="1" applyAlignment="1">
      <alignment horizontal="right"/>
    </xf>
    <xf numFmtId="2" fontId="5" fillId="0" borderId="0" xfId="0" applyNumberFormat="1" applyFont="1"/>
    <xf numFmtId="1" fontId="5" fillId="0" borderId="0" xfId="0" applyNumberFormat="1" applyFont="1"/>
    <xf numFmtId="164" fontId="5" fillId="0" borderId="0" xfId="0" applyNumberFormat="1" applyFont="1"/>
    <xf numFmtId="0" fontId="4" fillId="13" borderId="0" xfId="5" applyFont="1"/>
    <xf numFmtId="0" fontId="4" fillId="0" borderId="0" xfId="0" applyFont="1" applyAlignment="1">
      <alignment horizontal="right"/>
    </xf>
    <xf numFmtId="0" fontId="16" fillId="0" borderId="0" xfId="0" applyFont="1"/>
    <xf numFmtId="2" fontId="5" fillId="14" borderId="0" xfId="0" applyNumberFormat="1" applyFont="1" applyFill="1" applyAlignment="1">
      <alignment horizontal="right"/>
    </xf>
    <xf numFmtId="164" fontId="0" fillId="0" borderId="0" xfId="0" applyNumberFormat="1"/>
    <xf numFmtId="2" fontId="6" fillId="15" borderId="0" xfId="2" applyNumberFormat="1" applyFont="1" applyFill="1" applyBorder="1" applyAlignment="1">
      <alignment horizontal="left"/>
    </xf>
    <xf numFmtId="9" fontId="0" fillId="0" borderId="0" xfId="6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7" fillId="0" borderId="3" xfId="0" applyFont="1" applyBorder="1" applyAlignment="1">
      <alignment horizontal="left"/>
    </xf>
    <xf numFmtId="0" fontId="17" fillId="0" borderId="0" xfId="0" applyFont="1" applyAlignment="1">
      <alignment horizontal="left" indent="1"/>
    </xf>
    <xf numFmtId="0" fontId="1" fillId="2" borderId="1" xfId="1"/>
    <xf numFmtId="0" fontId="20" fillId="0" borderId="4" xfId="7"/>
    <xf numFmtId="165" fontId="15" fillId="12" borderId="0" xfId="4" applyNumberFormat="1"/>
    <xf numFmtId="0" fontId="15" fillId="12" borderId="0" xfId="4"/>
    <xf numFmtId="2" fontId="17" fillId="0" borderId="0" xfId="0" applyNumberFormat="1" applyFont="1"/>
    <xf numFmtId="1" fontId="21" fillId="0" borderId="0" xfId="0" applyNumberFormat="1" applyFont="1" applyAlignment="1">
      <alignment horizontal="right"/>
    </xf>
    <xf numFmtId="2" fontId="17" fillId="0" borderId="3" xfId="0" applyNumberFormat="1" applyFont="1" applyBorder="1" applyAlignment="1">
      <alignment horizontal="left"/>
    </xf>
    <xf numFmtId="2" fontId="17" fillId="0" borderId="3" xfId="0" applyNumberFormat="1" applyFont="1" applyBorder="1"/>
    <xf numFmtId="0" fontId="17" fillId="0" borderId="0" xfId="0" applyFont="1"/>
    <xf numFmtId="0" fontId="0" fillId="0" borderId="0" xfId="0" applyAlignment="1">
      <alignment horizontal="right"/>
    </xf>
    <xf numFmtId="0" fontId="23" fillId="0" borderId="5" xfId="9"/>
    <xf numFmtId="0" fontId="23" fillId="4" borderId="5" xfId="9" applyFill="1"/>
    <xf numFmtId="1" fontId="0" fillId="0" borderId="0" xfId="0" applyNumberFormat="1" applyAlignment="1">
      <alignment horizontal="left" indent="1"/>
    </xf>
    <xf numFmtId="0" fontId="24" fillId="17" borderId="0" xfId="10"/>
    <xf numFmtId="1" fontId="17" fillId="0" borderId="0" xfId="0" applyNumberFormat="1" applyFont="1"/>
    <xf numFmtId="1" fontId="17" fillId="0" borderId="3" xfId="0" applyNumberFormat="1" applyFont="1" applyBorder="1"/>
    <xf numFmtId="2" fontId="23" fillId="0" borderId="5" xfId="9" applyNumberFormat="1" applyFill="1"/>
    <xf numFmtId="2" fontId="12" fillId="9" borderId="0" xfId="2" applyNumberFormat="1" applyFont="1" applyFill="1" applyBorder="1" applyAlignment="1">
      <alignment horizontal="left"/>
    </xf>
    <xf numFmtId="0" fontId="0" fillId="11" borderId="0" xfId="0" applyFill="1"/>
    <xf numFmtId="0" fontId="25" fillId="0" borderId="0" xfId="11"/>
    <xf numFmtId="0" fontId="25" fillId="0" borderId="9" xfId="11" applyBorder="1"/>
    <xf numFmtId="0" fontId="25" fillId="0" borderId="10" xfId="11" applyBorder="1"/>
    <xf numFmtId="0" fontId="25" fillId="0" borderId="11" xfId="11" applyBorder="1"/>
    <xf numFmtId="0" fontId="25" fillId="0" borderId="12" xfId="11" applyBorder="1"/>
    <xf numFmtId="167" fontId="27" fillId="0" borderId="13" xfId="12" applyNumberFormat="1" applyFont="1" applyFill="1" applyBorder="1" applyAlignment="1" applyProtection="1">
      <alignment horizontal="right" vertical="top" wrapText="1"/>
    </xf>
    <xf numFmtId="0" fontId="25" fillId="0" borderId="14" xfId="11" applyBorder="1" applyAlignment="1">
      <alignment horizontal="center"/>
    </xf>
    <xf numFmtId="3" fontId="25" fillId="0" borderId="13" xfId="13" applyNumberFormat="1" applyFont="1" applyFill="1" applyBorder="1" applyAlignment="1">
      <alignment horizontal="right" wrapText="1"/>
    </xf>
    <xf numFmtId="3" fontId="7" fillId="0" borderId="13" xfId="13" applyNumberFormat="1" applyFont="1" applyFill="1" applyBorder="1" applyAlignment="1">
      <alignment horizontal="right" wrapText="1"/>
    </xf>
    <xf numFmtId="0" fontId="25" fillId="0" borderId="0" xfId="11" applyAlignment="1">
      <alignment horizontal="left" wrapText="1"/>
    </xf>
    <xf numFmtId="0" fontId="25" fillId="0" borderId="15" xfId="11" applyBorder="1"/>
    <xf numFmtId="167" fontId="27" fillId="0" borderId="16" xfId="12" applyNumberFormat="1" applyFont="1" applyFill="1" applyBorder="1" applyAlignment="1" applyProtection="1">
      <alignment horizontal="right" vertical="top" wrapText="1"/>
    </xf>
    <xf numFmtId="0" fontId="25" fillId="0" borderId="17" xfId="11" applyBorder="1" applyAlignment="1">
      <alignment horizontal="center"/>
    </xf>
    <xf numFmtId="0" fontId="25" fillId="0" borderId="18" xfId="11" applyBorder="1"/>
    <xf numFmtId="0" fontId="25" fillId="0" borderId="0" xfId="11" applyAlignment="1">
      <alignment horizontal="center" vertical="center"/>
    </xf>
    <xf numFmtId="0" fontId="28" fillId="0" borderId="0" xfId="11" applyFont="1"/>
    <xf numFmtId="3" fontId="7" fillId="0" borderId="0" xfId="13" applyNumberFormat="1" applyFont="1" applyFill="1" applyBorder="1" applyAlignment="1">
      <alignment horizontal="right" wrapText="1"/>
    </xf>
    <xf numFmtId="0" fontId="25" fillId="0" borderId="0" xfId="11" applyAlignment="1">
      <alignment horizontal="center"/>
    </xf>
    <xf numFmtId="0" fontId="7" fillId="0" borderId="0" xfId="3"/>
    <xf numFmtId="0" fontId="7" fillId="0" borderId="0" xfId="3" applyAlignment="1">
      <alignment horizontal="left"/>
    </xf>
    <xf numFmtId="2" fontId="25" fillId="0" borderId="0" xfId="11" applyNumberFormat="1"/>
    <xf numFmtId="0" fontId="29" fillId="0" borderId="0" xfId="11" applyFont="1"/>
    <xf numFmtId="0" fontId="30" fillId="0" borderId="0" xfId="11" applyFont="1"/>
    <xf numFmtId="168" fontId="25" fillId="0" borderId="0" xfId="11" applyNumberFormat="1"/>
    <xf numFmtId="0" fontId="31" fillId="18" borderId="0" xfId="14"/>
    <xf numFmtId="2" fontId="0" fillId="11" borderId="0" xfId="6" applyNumberFormat="1" applyFont="1" applyFill="1"/>
    <xf numFmtId="2" fontId="6" fillId="19" borderId="0" xfId="2" applyNumberFormat="1" applyFont="1" applyFill="1" applyBorder="1" applyAlignment="1">
      <alignment horizontal="left"/>
    </xf>
    <xf numFmtId="1" fontId="20" fillId="0" borderId="4" xfId="7" applyNumberFormat="1"/>
    <xf numFmtId="2" fontId="32" fillId="12" borderId="0" xfId="4" applyNumberFormat="1" applyFont="1"/>
    <xf numFmtId="2" fontId="4" fillId="4" borderId="0" xfId="0" applyNumberFormat="1" applyFont="1" applyFill="1" applyAlignment="1">
      <alignment horizontal="right"/>
    </xf>
    <xf numFmtId="2" fontId="15" fillId="12" borderId="0" xfId="4" applyNumberFormat="1"/>
    <xf numFmtId="1" fontId="15" fillId="12" borderId="0" xfId="4" applyNumberFormat="1"/>
    <xf numFmtId="2" fontId="24" fillId="17" borderId="0" xfId="10" applyNumberFormat="1"/>
    <xf numFmtId="0" fontId="7" fillId="0" borderId="0" xfId="3" applyAlignment="1">
      <alignment horizontal="left"/>
    </xf>
    <xf numFmtId="0" fontId="26" fillId="0" borderId="6" xfId="11" applyFont="1" applyBorder="1" applyAlignment="1">
      <alignment horizontal="center" vertical="center" wrapText="1"/>
    </xf>
    <xf numFmtId="0" fontId="26" fillId="0" borderId="7" xfId="11" applyFont="1" applyBorder="1" applyAlignment="1">
      <alignment horizontal="center" vertical="center" wrapText="1"/>
    </xf>
    <xf numFmtId="0" fontId="26" fillId="0" borderId="8" xfId="11" applyFont="1" applyBorder="1" applyAlignment="1">
      <alignment horizontal="center" vertical="center" wrapText="1"/>
    </xf>
    <xf numFmtId="0" fontId="28" fillId="0" borderId="0" xfId="11" applyFont="1" applyAlignment="1">
      <alignment horizontal="left" wrapText="1"/>
    </xf>
    <xf numFmtId="0" fontId="25" fillId="0" borderId="0" xfId="11" applyAlignment="1">
      <alignment wrapText="1"/>
    </xf>
    <xf numFmtId="0" fontId="25" fillId="0" borderId="0" xfId="11" applyAlignment="1">
      <alignment horizontal="left" wrapText="1"/>
    </xf>
    <xf numFmtId="0" fontId="28" fillId="0" borderId="0" xfId="11" applyFont="1" applyAlignment="1">
      <alignment horizontal="left" vertical="top" wrapText="1"/>
    </xf>
    <xf numFmtId="0" fontId="25" fillId="0" borderId="0" xfId="11" applyAlignment="1">
      <alignment horizontal="left" vertical="top"/>
    </xf>
  </cellXfs>
  <cellStyles count="3391">
    <cellStyle name="20% - Accent1" xfId="5" builtinId="30"/>
    <cellStyle name="20% - Accent1 2" xfId="15" xr:uid="{283E4959-400C-43A0-A840-E809982A60E7}"/>
    <cellStyle name="20% - Accent1 2 10" xfId="204" xr:uid="{63400979-842A-4E29-BEC2-7187730237CC}"/>
    <cellStyle name="20% - Accent1 2 11" xfId="205" xr:uid="{7673FF7F-C808-4D4C-9BC5-7EACDBA84FB2}"/>
    <cellStyle name="20% - Accent1 2 12" xfId="206" xr:uid="{12612DA6-5FB5-411D-B4DD-803D5BE7FBDA}"/>
    <cellStyle name="20% - Accent1 2 13" xfId="207" xr:uid="{D5F8A009-E301-4F51-8E16-3A12CEA9F064}"/>
    <cellStyle name="20% - Accent1 2 14" xfId="208" xr:uid="{33C23A4B-ACCE-4109-8469-F139DB266051}"/>
    <cellStyle name="20% - Accent1 2 15" xfId="209" xr:uid="{6AEA4092-7F63-4B02-9175-FE3E49000030}"/>
    <cellStyle name="20% - Accent1 2 2" xfId="210" xr:uid="{88159BA5-3A16-4894-B03A-91D304C5BE30}"/>
    <cellStyle name="20% - Accent1 2 3" xfId="211" xr:uid="{4048ACCA-8749-43EB-928E-7414808FC45B}"/>
    <cellStyle name="20% - Accent1 2 4" xfId="212" xr:uid="{0460A52C-E917-4DD4-9734-6F0F9D497045}"/>
    <cellStyle name="20% - Accent1 2 5" xfId="213" xr:uid="{327DA9B5-74DC-4D81-91A3-11594961718E}"/>
    <cellStyle name="20% - Accent1 2 6" xfId="214" xr:uid="{DDC9A72F-57B8-43D9-888C-CADC26C62DA7}"/>
    <cellStyle name="20% - Accent1 2 7" xfId="215" xr:uid="{4115CE33-D534-409F-8F31-3DDDF94EA72F}"/>
    <cellStyle name="20% - Accent1 2 8" xfId="216" xr:uid="{756842BE-EA88-4075-9E85-2241F7AE4D5F}"/>
    <cellStyle name="20% - Accent1 2 9" xfId="217" xr:uid="{58D1BE68-38D0-4281-A95C-8BB4E8DC9888}"/>
    <cellStyle name="20% - Accent1 3" xfId="16" xr:uid="{DFB6FAC8-7B01-4898-AE84-E82E9813B315}"/>
    <cellStyle name="20% - Accent1 3 2" xfId="218" xr:uid="{0DA92BE6-1D10-4719-87A4-59ED9968D21A}"/>
    <cellStyle name="20% - Accent1 4" xfId="219" xr:uid="{2CF60300-DE41-4B5B-8BA1-6E74BDFE52DB}"/>
    <cellStyle name="20% - Accent1 5" xfId="220" xr:uid="{996E7CFE-5012-4EA1-A21B-20FE9148F9AA}"/>
    <cellStyle name="20% - Accent1 6" xfId="221" xr:uid="{53FC3FB9-4763-4C53-A8E4-8C66FABA9D23}"/>
    <cellStyle name="20% - Accent1 7" xfId="222" xr:uid="{BFCD6CC1-A9C4-4ED9-A061-5023D9D2052E}"/>
    <cellStyle name="20% - Accent1 8" xfId="223" xr:uid="{2499E999-77A0-43A5-9C8B-008FA1AD8D4C}"/>
    <cellStyle name="20% - Accent2 2" xfId="17" xr:uid="{70651C58-2B91-4311-A9B7-033CE3C35A4B}"/>
    <cellStyle name="20% - Accent2 2 10" xfId="224" xr:uid="{F074A24C-7D82-478C-9AC3-7E2F926AD3C2}"/>
    <cellStyle name="20% - Accent2 2 11" xfId="225" xr:uid="{6186513B-8AF1-4A63-84F1-BE2870F2B753}"/>
    <cellStyle name="20% - Accent2 2 12" xfId="226" xr:uid="{BA407117-BDC1-42C4-8D8C-4C6F672688F1}"/>
    <cellStyle name="20% - Accent2 2 13" xfId="227" xr:uid="{6D24B2AE-4E79-4286-B856-E47920CDFD85}"/>
    <cellStyle name="20% - Accent2 2 14" xfId="228" xr:uid="{F2039461-4DA6-4679-A8D2-1F180F39DFB6}"/>
    <cellStyle name="20% - Accent2 2 15" xfId="229" xr:uid="{0644B21F-CD8E-4A4E-BE04-B4C7B1238721}"/>
    <cellStyle name="20% - Accent2 2 2" xfId="230" xr:uid="{48085868-7DE4-473E-8BEC-9B8563511182}"/>
    <cellStyle name="20% - Accent2 2 3" xfId="231" xr:uid="{3A493A74-79B4-43E1-AB7D-062BDB416F8F}"/>
    <cellStyle name="20% - Accent2 2 4" xfId="232" xr:uid="{30E27399-5827-49E1-B544-BFEA1DE294B1}"/>
    <cellStyle name="20% - Accent2 2 5" xfId="233" xr:uid="{30C74A16-8409-408F-8B76-37999E661D3A}"/>
    <cellStyle name="20% - Accent2 2 6" xfId="234" xr:uid="{D1EB8E15-53FA-4C93-9C60-CE9962519BFB}"/>
    <cellStyle name="20% - Accent2 2 7" xfId="235" xr:uid="{A8424779-1B01-45A8-9960-A46CDA2ABC3B}"/>
    <cellStyle name="20% - Accent2 2 8" xfId="236" xr:uid="{87FDD666-8D1E-4C0C-B42C-7579ED4140FF}"/>
    <cellStyle name="20% - Accent2 2 9" xfId="237" xr:uid="{A2F29136-7EEF-4296-8C22-0ACFC5329ACE}"/>
    <cellStyle name="20% - Accent2 3" xfId="18" xr:uid="{66AE6446-3F88-4468-ACD5-4445187F59ED}"/>
    <cellStyle name="20% - Accent2 3 2" xfId="238" xr:uid="{0E9CF426-6120-42F9-8BD8-CFFAB1EC5439}"/>
    <cellStyle name="20% - Accent2 4" xfId="239" xr:uid="{2EBB0EDB-7CD6-4B7A-AABA-D2C27E610DB7}"/>
    <cellStyle name="20% - Accent2 5" xfId="240" xr:uid="{45532042-4D9F-437A-9568-A488DB2CAD6A}"/>
    <cellStyle name="20% - Accent2 6" xfId="241" xr:uid="{5155B4DB-3DD1-4A1A-8C3D-2FD14BFEE276}"/>
    <cellStyle name="20% - Accent2 7" xfId="242" xr:uid="{7FBA5B4A-F2E0-4E0F-A1D4-5EC944691237}"/>
    <cellStyle name="20% - Accent2 8" xfId="243" xr:uid="{DC53270E-F027-41E8-B529-423D589087D1}"/>
    <cellStyle name="20% - Accent3 2" xfId="19" xr:uid="{1863A746-5F65-407B-AF4B-470FF379B467}"/>
    <cellStyle name="20% - Accent3 2 10" xfId="244" xr:uid="{260A6D2B-5937-44C9-A302-92DB17FF0A63}"/>
    <cellStyle name="20% - Accent3 2 11" xfId="245" xr:uid="{15747C9C-12B3-45D9-859A-2B23A3B571A5}"/>
    <cellStyle name="20% - Accent3 2 12" xfId="246" xr:uid="{911A0934-5E70-4B29-BCFA-4CC3B05C82F2}"/>
    <cellStyle name="20% - Accent3 2 13" xfId="247" xr:uid="{107A4579-23A0-4DF7-AC5D-B2E0F3BE0074}"/>
    <cellStyle name="20% - Accent3 2 14" xfId="248" xr:uid="{8F0D94A1-0AF6-4741-A984-A975F952A078}"/>
    <cellStyle name="20% - Accent3 2 15" xfId="249" xr:uid="{CEDC370C-4F01-4CAD-A66D-D175E61DD2C1}"/>
    <cellStyle name="20% - Accent3 2 2" xfId="250" xr:uid="{D5AE7F6C-9920-4283-97B0-8B769EA41699}"/>
    <cellStyle name="20% - Accent3 2 3" xfId="251" xr:uid="{59B4D292-86B4-4E72-B00C-85F2E31AAB02}"/>
    <cellStyle name="20% - Accent3 2 4" xfId="252" xr:uid="{34F94D09-FD4C-488F-9977-03F3A0BD6EC3}"/>
    <cellStyle name="20% - Accent3 2 5" xfId="253" xr:uid="{0DE23B51-1736-4F22-874F-F5ABC8C4FCED}"/>
    <cellStyle name="20% - Accent3 2 6" xfId="254" xr:uid="{B9F3E03E-DF45-4AF4-9974-709D4C5ACCE8}"/>
    <cellStyle name="20% - Accent3 2 7" xfId="255" xr:uid="{58AAD5B9-8F43-4398-ABB8-2F9B6928E303}"/>
    <cellStyle name="20% - Accent3 2 8" xfId="256" xr:uid="{8DE4180C-2877-4C42-BBE7-D7A7D202507C}"/>
    <cellStyle name="20% - Accent3 2 9" xfId="257" xr:uid="{32ED9425-6CC1-4963-84F5-2153C163785D}"/>
    <cellStyle name="20% - Accent3 3" xfId="20" xr:uid="{269A2879-4E49-494D-9954-E36456280CC6}"/>
    <cellStyle name="20% - Accent3 3 2" xfId="8" xr:uid="{2CE039FF-C60E-4F1F-A581-70B47029867C}"/>
    <cellStyle name="20% - Accent3 4" xfId="258" xr:uid="{1E51B7F7-D0DC-4B6B-8E48-DE6AC783048A}"/>
    <cellStyle name="20% - Accent3 5" xfId="259" xr:uid="{AC7BA122-ED4B-4A5B-B4E4-9A0C7B8FEE1C}"/>
    <cellStyle name="20% - Accent3 6" xfId="260" xr:uid="{6F3DB144-48E7-46FF-9A06-6387E4C1C75E}"/>
    <cellStyle name="20% - Accent3 7" xfId="261" xr:uid="{09D2B3A9-C13A-4158-9159-16572FBA511D}"/>
    <cellStyle name="20% - Accent3 8" xfId="262" xr:uid="{3A7C78DF-7B78-490C-918D-12521D0A1D69}"/>
    <cellStyle name="20% - Accent4 2" xfId="21" xr:uid="{616BE04D-B0FA-445A-B06D-143C4BC6D4A8}"/>
    <cellStyle name="20% - Accent4 2 10" xfId="263" xr:uid="{F64F26F5-3ED3-4CB2-B2D3-7698FAAA9660}"/>
    <cellStyle name="20% - Accent4 2 11" xfId="264" xr:uid="{BE723D96-9C23-46FA-B1A0-B83C05378198}"/>
    <cellStyle name="20% - Accent4 2 12" xfId="265" xr:uid="{055BAA77-B164-41F4-8015-D6AE151B7544}"/>
    <cellStyle name="20% - Accent4 2 13" xfId="266" xr:uid="{6A84A958-BEE8-42E8-9C70-5DFBBA1DE514}"/>
    <cellStyle name="20% - Accent4 2 14" xfId="267" xr:uid="{6A5E0674-D7EC-406A-A8C3-D41644540B96}"/>
    <cellStyle name="20% - Accent4 2 15" xfId="268" xr:uid="{1FA258BE-338A-4B28-BB7B-4D55A5128ACE}"/>
    <cellStyle name="20% - Accent4 2 2" xfId="269" xr:uid="{2C0A75B3-D9AF-4397-8D72-D39FA89CFBD6}"/>
    <cellStyle name="20% - Accent4 2 3" xfId="270" xr:uid="{2CE28948-8F2A-4374-985F-BFBC031C33B1}"/>
    <cellStyle name="20% - Accent4 2 4" xfId="271" xr:uid="{2F630FF2-BD92-4ABC-A1F1-0D442514E7EC}"/>
    <cellStyle name="20% - Accent4 2 5" xfId="272" xr:uid="{B0602105-02C7-4553-B8DA-4DC9DAE1E4A8}"/>
    <cellStyle name="20% - Accent4 2 6" xfId="273" xr:uid="{DF51E825-9B93-4C13-B61D-EF2260DCF602}"/>
    <cellStyle name="20% - Accent4 2 7" xfId="274" xr:uid="{1EC9FAB0-F050-42C5-B51C-B68A1AC48611}"/>
    <cellStyle name="20% - Accent4 2 8" xfId="275" xr:uid="{04A88D74-BAA5-4E37-B254-274A2D8B10FF}"/>
    <cellStyle name="20% - Accent4 2 9" xfId="276" xr:uid="{34A38D36-C79E-458E-BC83-AE316AFE8022}"/>
    <cellStyle name="20% - Accent4 3" xfId="22" xr:uid="{A2A5B482-AF3A-4416-AA01-4E532760AA7C}"/>
    <cellStyle name="20% - Accent4 3 2" xfId="277" xr:uid="{F31354B7-0E22-4948-AC05-D4975A970FB7}"/>
    <cellStyle name="20% - Accent4 4" xfId="278" xr:uid="{D084EC2E-5AD8-40B9-8ADD-251E14EC2174}"/>
    <cellStyle name="20% - Accent4 5" xfId="279" xr:uid="{3587D5BA-F139-4313-A32E-7FAD6E2090EB}"/>
    <cellStyle name="20% - Accent4 6" xfId="280" xr:uid="{6F2DE0D9-7508-4C58-AAEB-038F4C351064}"/>
    <cellStyle name="20% - Accent4 7" xfId="281" xr:uid="{414335E2-1AF1-4798-BD38-B5662A0C79D9}"/>
    <cellStyle name="20% - Accent4 8" xfId="282" xr:uid="{1F9BBABD-6B24-4B5F-A745-D2BE44EB4AE1}"/>
    <cellStyle name="20% - Accent5 2" xfId="23" xr:uid="{2EF454F7-D1C3-4FEB-AE09-521F86C0EB65}"/>
    <cellStyle name="20% - Accent5 2 10" xfId="283" xr:uid="{72250BE9-EC50-460E-BEB2-92C7609702D1}"/>
    <cellStyle name="20% - Accent5 2 11" xfId="284" xr:uid="{A817FC9E-2629-4119-809B-508E89AC85DC}"/>
    <cellStyle name="20% - Accent5 2 12" xfId="285" xr:uid="{837C6EE5-37DC-4AFB-A9EC-2CA5AA8851C1}"/>
    <cellStyle name="20% - Accent5 2 13" xfId="286" xr:uid="{8E3D695A-E533-46F7-8F28-F68AB5769B0F}"/>
    <cellStyle name="20% - Accent5 2 14" xfId="287" xr:uid="{512F024D-A5BD-480D-BE0C-0A4458A3FA25}"/>
    <cellStyle name="20% - Accent5 2 15" xfId="288" xr:uid="{C85DACED-7D53-43F0-98BB-92CE22381259}"/>
    <cellStyle name="20% - Accent5 2 2" xfId="289" xr:uid="{B5905AFD-8FE1-46F2-BB22-224264E88378}"/>
    <cellStyle name="20% - Accent5 2 3" xfId="290" xr:uid="{8AF0CE38-FF30-46BE-B4C5-1A76DE34B11D}"/>
    <cellStyle name="20% - Accent5 2 4" xfId="291" xr:uid="{49F3B57B-260A-47F0-8AC3-8A8EBC8999C1}"/>
    <cellStyle name="20% - Accent5 2 5" xfId="292" xr:uid="{30B71125-35E2-44F2-AB42-74145D4FC35C}"/>
    <cellStyle name="20% - Accent5 2 6" xfId="293" xr:uid="{C346ADDB-992E-4719-AE97-748DC77CCD59}"/>
    <cellStyle name="20% - Accent5 2 7" xfId="294" xr:uid="{75EC5AFF-88DB-41FD-909D-35AD6DC4034D}"/>
    <cellStyle name="20% - Accent5 2 8" xfId="295" xr:uid="{4F18A19B-8F29-4807-B5A5-E6A7712E1C2F}"/>
    <cellStyle name="20% - Accent5 2 9" xfId="296" xr:uid="{F362EAC1-40A7-4CA4-83C4-4F510D5BE15D}"/>
    <cellStyle name="20% - Accent5 3" xfId="24" xr:uid="{164A7756-88E0-4879-A951-06ED8CDACE8C}"/>
    <cellStyle name="20% - Accent5 4" xfId="297" xr:uid="{7522B907-4BDA-497E-A02F-989FC8F3F846}"/>
    <cellStyle name="20% - Accent5 5" xfId="298" xr:uid="{5C09BE8C-2E19-40FF-8920-86EA2D8C4F07}"/>
    <cellStyle name="20% - Accent5 6" xfId="299" xr:uid="{07A30665-5E24-4A53-96C6-EB93F94BEF7E}"/>
    <cellStyle name="20% - Accent5 7" xfId="300" xr:uid="{15B4C198-E16E-4946-9CF6-696007CF7247}"/>
    <cellStyle name="20% - Accent5 8" xfId="301" xr:uid="{BE99A697-1CE1-4280-9B3E-C43102AFA126}"/>
    <cellStyle name="20% - Accent6 2" xfId="25" xr:uid="{B037BA79-9CFA-4EE5-B673-1D684600D550}"/>
    <cellStyle name="20% - Accent6 2 10" xfId="302" xr:uid="{230F4349-1A3D-4E4D-911B-F2B17D526A34}"/>
    <cellStyle name="20% - Accent6 2 11" xfId="303" xr:uid="{D94AF803-E4F8-4362-9D9D-3107586F59C1}"/>
    <cellStyle name="20% - Accent6 2 12" xfId="304" xr:uid="{A965CA9E-A7DC-4F87-AC5A-E1CD1D145B79}"/>
    <cellStyle name="20% - Accent6 2 13" xfId="305" xr:uid="{E77A0B51-8954-40B3-9C66-32FB5EC332F7}"/>
    <cellStyle name="20% - Accent6 2 14" xfId="306" xr:uid="{D91B3508-C71F-41E5-A0E2-10C5B5E86348}"/>
    <cellStyle name="20% - Accent6 2 15" xfId="307" xr:uid="{12DF9764-20A2-4DA4-AC1D-FECA10010482}"/>
    <cellStyle name="20% - Accent6 2 2" xfId="308" xr:uid="{839B104B-086B-45F7-AEF5-ECCBB3871065}"/>
    <cellStyle name="20% - Accent6 2 3" xfId="309" xr:uid="{920429DE-7392-4F1C-B3D1-A68DEF7BAC6A}"/>
    <cellStyle name="20% - Accent6 2 4" xfId="310" xr:uid="{92015D49-E67D-4270-AA08-334901528F15}"/>
    <cellStyle name="20% - Accent6 2 5" xfId="311" xr:uid="{E3B6E8F8-B8A5-4E03-87EC-302A12CBB679}"/>
    <cellStyle name="20% - Accent6 2 6" xfId="312" xr:uid="{41B3A2CC-D456-4004-9B7E-BFED89905171}"/>
    <cellStyle name="20% - Accent6 2 7" xfId="313" xr:uid="{1A4612BE-D457-43A6-A261-ACF4BF4DFFEF}"/>
    <cellStyle name="20% - Accent6 2 8" xfId="314" xr:uid="{706F1E27-3374-483F-824C-9A036A407B85}"/>
    <cellStyle name="20% - Accent6 2 9" xfId="315" xr:uid="{2A19E1F6-0144-4DC3-9BBD-EC41D812799E}"/>
    <cellStyle name="20% - Accent6 3" xfId="26" xr:uid="{B7078A90-640F-478F-9FE0-B5B05AF4975F}"/>
    <cellStyle name="20% - Accent6 3 2" xfId="316" xr:uid="{7611B622-D5CD-433D-B010-DEEA49194C0E}"/>
    <cellStyle name="20% - Accent6 4" xfId="317" xr:uid="{FD1A15EB-C01E-4A09-8B65-8B59357F1F0B}"/>
    <cellStyle name="20% - Accent6 5" xfId="318" xr:uid="{3CD8A0FD-CDCC-46EC-B335-DF300107A05F}"/>
    <cellStyle name="20% - Accent6 6" xfId="319" xr:uid="{EE0F4055-B6BB-4B2A-96EE-71D885608A09}"/>
    <cellStyle name="20% - Accent6 7" xfId="320" xr:uid="{A5AB1098-93FB-4C25-B62D-F150D8E7BFE2}"/>
    <cellStyle name="20% - Accent6 8" xfId="321" xr:uid="{B8C948BC-D39B-4548-B42A-9991346FF74A}"/>
    <cellStyle name="40% - Accent1 2" xfId="27" xr:uid="{72205A81-9410-4705-9582-67A15CFBA3FE}"/>
    <cellStyle name="40% - Accent1 2 10" xfId="322" xr:uid="{D373FD0A-EE8C-4EAC-8A71-1819F0BD3BE8}"/>
    <cellStyle name="40% - Accent1 2 11" xfId="323" xr:uid="{E44A8AA5-36FF-4685-8377-8C64C4C0B6E6}"/>
    <cellStyle name="40% - Accent1 2 12" xfId="324" xr:uid="{4BAFD93C-16AD-4E35-AD2D-E3D2D8868B1B}"/>
    <cellStyle name="40% - Accent1 2 13" xfId="325" xr:uid="{FF4530B2-670A-43F7-82C1-E513DBF12739}"/>
    <cellStyle name="40% - Accent1 2 14" xfId="326" xr:uid="{6C2345DE-B802-453D-97D8-55E382DC638A}"/>
    <cellStyle name="40% - Accent1 2 15" xfId="327" xr:uid="{6D9D1CAA-FDA6-4B7D-AE1E-65361E86C25B}"/>
    <cellStyle name="40% - Accent1 2 2" xfId="328" xr:uid="{DE4AAD23-D6D6-4B81-991E-48BEE58E3874}"/>
    <cellStyle name="40% - Accent1 2 3" xfId="329" xr:uid="{CD0E3801-4384-45B7-AE4B-54CEE37DC812}"/>
    <cellStyle name="40% - Accent1 2 4" xfId="330" xr:uid="{58A745BA-D7BB-4F78-B0D0-EB84DA97BD0C}"/>
    <cellStyle name="40% - Accent1 2 5" xfId="331" xr:uid="{A31269B2-C4FA-45EC-9C98-57D872DEE05F}"/>
    <cellStyle name="40% - Accent1 2 6" xfId="332" xr:uid="{9CE5DFE6-4227-4F31-99D4-7181EC8E6D21}"/>
    <cellStyle name="40% - Accent1 2 7" xfId="333" xr:uid="{EBB170CC-F033-4D0E-B34B-83A2008F7F00}"/>
    <cellStyle name="40% - Accent1 2 8" xfId="334" xr:uid="{85D34EC9-9033-4B05-8CCA-6880161F2E2B}"/>
    <cellStyle name="40% - Accent1 2 9" xfId="335" xr:uid="{CA926A67-D866-42EA-8BEC-55867C25270E}"/>
    <cellStyle name="40% - Accent1 3" xfId="28" xr:uid="{9F5AE131-A479-4400-A271-C05C6C29A721}"/>
    <cellStyle name="40% - Accent1 3 2" xfId="336" xr:uid="{FC1E5B8F-7BAE-43EC-95A5-495B724E647C}"/>
    <cellStyle name="40% - Accent1 4" xfId="337" xr:uid="{5A97A7DA-84CC-4375-9DBF-6DA720DFEFB6}"/>
    <cellStyle name="40% - Accent1 5" xfId="338" xr:uid="{64978811-6965-4114-9C13-AA70351B9C23}"/>
    <cellStyle name="40% - Accent1 6" xfId="339" xr:uid="{A6AF01E4-3D5C-43D6-A8BD-5F7EAB4861F6}"/>
    <cellStyle name="40% - Accent1 7" xfId="340" xr:uid="{C8B665FD-ACA0-414B-A6C9-DC587DEC3DF2}"/>
    <cellStyle name="40% - Accent1 8" xfId="341" xr:uid="{D554C2F5-1C9A-426F-B37C-62CFC02D2D89}"/>
    <cellStyle name="40% - Accent2 2" xfId="29" xr:uid="{C2828ABE-5348-4188-B753-C1F02CA9F615}"/>
    <cellStyle name="40% - Accent2 2 10" xfId="342" xr:uid="{77C74BC3-5605-4FC2-9446-78341284784C}"/>
    <cellStyle name="40% - Accent2 2 11" xfId="343" xr:uid="{DECBD162-70DD-424B-A4D0-B710B5B77848}"/>
    <cellStyle name="40% - Accent2 2 12" xfId="344" xr:uid="{BB8FE9C9-D3D9-4015-BFA3-3E49876288C1}"/>
    <cellStyle name="40% - Accent2 2 13" xfId="345" xr:uid="{C4BB8ADD-FCE3-41A2-8044-148C9914A719}"/>
    <cellStyle name="40% - Accent2 2 14" xfId="346" xr:uid="{D56A0CFC-004C-4ED5-A399-D3DE301B1FC6}"/>
    <cellStyle name="40% - Accent2 2 15" xfId="347" xr:uid="{5A0B6766-010B-4FD4-9AE1-361FBBA72A4D}"/>
    <cellStyle name="40% - Accent2 2 2" xfId="348" xr:uid="{72CB4F05-63A5-4A2D-8260-9D999B35FC6B}"/>
    <cellStyle name="40% - Accent2 2 3" xfId="349" xr:uid="{25FA51AD-1659-4DA1-B8AB-7A4565BCDFB1}"/>
    <cellStyle name="40% - Accent2 2 4" xfId="350" xr:uid="{4A8F602D-475A-4489-A332-2F1BD7DCF102}"/>
    <cellStyle name="40% - Accent2 2 5" xfId="351" xr:uid="{ADA06EB7-D8FD-4FED-A0D0-959B974A5FC7}"/>
    <cellStyle name="40% - Accent2 2 6" xfId="352" xr:uid="{49C0AE02-145F-4387-B92E-3A9CF37A2133}"/>
    <cellStyle name="40% - Accent2 2 7" xfId="353" xr:uid="{DEAC39E3-5673-4EDD-BA38-F03D5386210D}"/>
    <cellStyle name="40% - Accent2 2 8" xfId="354" xr:uid="{AF86CA3F-B15F-4BD6-BF57-9B48D9114139}"/>
    <cellStyle name="40% - Accent2 2 9" xfId="355" xr:uid="{737F9268-91EB-486E-8007-D7C3CEAEAE13}"/>
    <cellStyle name="40% - Accent2 3" xfId="30" xr:uid="{4EAAF39A-A69F-4768-B6DE-131C6D07C104}"/>
    <cellStyle name="40% - Accent2 4" xfId="356" xr:uid="{5FA4641C-2A71-4462-8F26-7C44B7EADA9D}"/>
    <cellStyle name="40% - Accent2 5" xfId="357" xr:uid="{6289D0F2-C456-40DB-AB94-79F2E68B57F3}"/>
    <cellStyle name="40% - Accent2 6" xfId="358" xr:uid="{9DA81C79-0250-43FD-AC81-CBFD7CBAFCBC}"/>
    <cellStyle name="40% - Accent2 7" xfId="359" xr:uid="{677FCE61-8027-4244-9ED1-4B7EB56235CD}"/>
    <cellStyle name="40% - Accent2 8" xfId="360" xr:uid="{43340437-F776-4A1C-AACF-C8148168E076}"/>
    <cellStyle name="40% - Accent3 2" xfId="31" xr:uid="{50C1683B-D793-4C28-8889-58C82121B72B}"/>
    <cellStyle name="40% - Accent3 2 10" xfId="361" xr:uid="{DF335114-2D27-41CC-8BDE-78965D4659DA}"/>
    <cellStyle name="40% - Accent3 2 11" xfId="362" xr:uid="{06F83026-7723-42AC-8D55-8B33FA6293BC}"/>
    <cellStyle name="40% - Accent3 2 12" xfId="363" xr:uid="{3C3A5ABC-188D-4EA6-AA55-25F41275C951}"/>
    <cellStyle name="40% - Accent3 2 13" xfId="364" xr:uid="{97C084A2-5548-4EE4-8901-B5DDAE87C4E7}"/>
    <cellStyle name="40% - Accent3 2 14" xfId="365" xr:uid="{2D821AB9-7371-45F3-9D77-ECF23076BE0B}"/>
    <cellStyle name="40% - Accent3 2 15" xfId="366" xr:uid="{39F229DD-7C90-4EDA-A9D0-F20C64BE5E19}"/>
    <cellStyle name="40% - Accent3 2 2" xfId="367" xr:uid="{ABC71A21-B50A-4E0A-8763-3D2DD8AFE72D}"/>
    <cellStyle name="40% - Accent3 2 3" xfId="368" xr:uid="{82A18BC7-C5ED-46A2-AED6-00E148DB26BB}"/>
    <cellStyle name="40% - Accent3 2 4" xfId="369" xr:uid="{9EBE7D1D-05B0-4327-955E-0084F525B11E}"/>
    <cellStyle name="40% - Accent3 2 5" xfId="370" xr:uid="{8BDEE5D5-D8B4-45BA-BD0C-1BF00EBF9F91}"/>
    <cellStyle name="40% - Accent3 2 6" xfId="371" xr:uid="{F8EAD325-6E61-4330-A0B0-3D102912F48D}"/>
    <cellStyle name="40% - Accent3 2 7" xfId="372" xr:uid="{9883560E-0CCE-46DB-96E4-A2586E07B21C}"/>
    <cellStyle name="40% - Accent3 2 8" xfId="373" xr:uid="{4EEDD2EE-06C0-4E26-B795-0C2284F6AB64}"/>
    <cellStyle name="40% - Accent3 2 9" xfId="374" xr:uid="{AA185528-24CA-48C8-99B3-9D798AAFE285}"/>
    <cellStyle name="40% - Accent3 3" xfId="32" xr:uid="{8C00E1BB-E516-47BB-9AB3-BC92A3567B0C}"/>
    <cellStyle name="40% - Accent3 3 2" xfId="375" xr:uid="{F46F8D50-61DE-4453-8A92-92380233B16A}"/>
    <cellStyle name="40% - Accent3 4" xfId="376" xr:uid="{D33DED07-C613-4FDD-B052-22F6EF488A65}"/>
    <cellStyle name="40% - Accent3 5" xfId="377" xr:uid="{B24A3C4F-1FCE-46E0-ACAC-5C9F983D6766}"/>
    <cellStyle name="40% - Accent3 6" xfId="378" xr:uid="{DC9A6982-77F7-4B45-9443-D1051230CF6C}"/>
    <cellStyle name="40% - Accent3 7" xfId="379" xr:uid="{CE19830E-6B51-4916-830A-BA8C0B282609}"/>
    <cellStyle name="40% - Accent3 8" xfId="380" xr:uid="{BA076917-F20C-42D0-8C55-72F8F2909456}"/>
    <cellStyle name="40% - Accent4 2" xfId="33" xr:uid="{873ED0C8-95D6-40AE-91CE-816D4F4BA144}"/>
    <cellStyle name="40% - Accent4 2 10" xfId="381" xr:uid="{B4A2C322-8FD3-4CE4-AAD9-60A89C3DC4A1}"/>
    <cellStyle name="40% - Accent4 2 11" xfId="382" xr:uid="{09DD50ED-E1F1-4831-8BEB-23862FB07974}"/>
    <cellStyle name="40% - Accent4 2 12" xfId="383" xr:uid="{0CD091A0-B3F1-427F-AC12-7B2CEFE86102}"/>
    <cellStyle name="40% - Accent4 2 13" xfId="384" xr:uid="{DF4AEC93-EE7B-47EB-A8C1-512E19AE0D6F}"/>
    <cellStyle name="40% - Accent4 2 14" xfId="385" xr:uid="{07B8BDA3-6D1B-4D06-B596-D4E3EB0065F4}"/>
    <cellStyle name="40% - Accent4 2 15" xfId="386" xr:uid="{8C3CEC8D-B559-4B94-A2EB-6A9E8E00C899}"/>
    <cellStyle name="40% - Accent4 2 2" xfId="387" xr:uid="{10AC235C-FF97-456D-A34A-09E5E573DA88}"/>
    <cellStyle name="40% - Accent4 2 3" xfId="388" xr:uid="{AF732ECF-BB15-430A-AC38-5F545704D36E}"/>
    <cellStyle name="40% - Accent4 2 4" xfId="389" xr:uid="{CD8B99DC-A8DC-449D-801F-3D69814AC5E9}"/>
    <cellStyle name="40% - Accent4 2 5" xfId="390" xr:uid="{DECF4044-9375-42E5-A66D-9A3BDDDE6B80}"/>
    <cellStyle name="40% - Accent4 2 6" xfId="391" xr:uid="{70D01F0E-F5B1-47C2-AD59-649670DC45B0}"/>
    <cellStyle name="40% - Accent4 2 7" xfId="392" xr:uid="{E9C1D0AE-6580-4C3B-9E1C-217F5B83E99A}"/>
    <cellStyle name="40% - Accent4 2 8" xfId="393" xr:uid="{8780AB83-3058-44F9-9718-3283E1B5D763}"/>
    <cellStyle name="40% - Accent4 2 9" xfId="394" xr:uid="{F716E0EA-0410-4A5A-BCAE-99B0349F2F2E}"/>
    <cellStyle name="40% - Accent4 3" xfId="34" xr:uid="{5627BD1A-BB33-40C3-8EB5-A8DC52C38BF0}"/>
    <cellStyle name="40% - Accent4 3 2" xfId="395" xr:uid="{5DA1C624-09EB-4CDD-B968-D33DC2CFB952}"/>
    <cellStyle name="40% - Accent4 4" xfId="396" xr:uid="{19BEA624-A8E5-4A9F-B940-E0507C315E54}"/>
    <cellStyle name="40% - Accent4 5" xfId="397" xr:uid="{03102476-D0A6-47EF-A144-37F5F2AD2A9C}"/>
    <cellStyle name="40% - Accent4 6" xfId="398" xr:uid="{793F2DB6-1086-41C0-BBFB-A5035F4F84C6}"/>
    <cellStyle name="40% - Accent4 7" xfId="399" xr:uid="{4BF0E5B7-66E2-4524-AA12-E1AD6B7AAE73}"/>
    <cellStyle name="40% - Accent4 8" xfId="400" xr:uid="{7ABFA4F6-259B-49DE-BD28-C3C3EB6357C3}"/>
    <cellStyle name="40% - Accent5 2" xfId="35" xr:uid="{E2B4DCE9-7FEA-4C76-8775-49B63EEB5A1F}"/>
    <cellStyle name="40% - Accent5 2 10" xfId="401" xr:uid="{6E40146E-01A6-4AAD-8ED3-0DB9AF5D8DBB}"/>
    <cellStyle name="40% - Accent5 2 11" xfId="402" xr:uid="{BF949939-E61B-4972-9ACA-83FF065B11B8}"/>
    <cellStyle name="40% - Accent5 2 12" xfId="403" xr:uid="{63742051-D067-4D70-A5E0-7D929D0885B2}"/>
    <cellStyle name="40% - Accent5 2 13" xfId="404" xr:uid="{6E0D34C3-38A3-41FF-B207-D3975ECAED64}"/>
    <cellStyle name="40% - Accent5 2 14" xfId="405" xr:uid="{6BC8D85A-033F-47F2-B187-087CA0C436F5}"/>
    <cellStyle name="40% - Accent5 2 15" xfId="406" xr:uid="{D88D107B-E0D2-4BA0-9355-37CE5D72554A}"/>
    <cellStyle name="40% - Accent5 2 2" xfId="407" xr:uid="{B49F9659-F3E3-4BF2-997D-F80F976B5314}"/>
    <cellStyle name="40% - Accent5 2 3" xfId="408" xr:uid="{6A11556D-3367-4C64-8947-D041BFE43EC1}"/>
    <cellStyle name="40% - Accent5 2 4" xfId="409" xr:uid="{287A59F1-7926-447D-949C-1BF6E98EFE0F}"/>
    <cellStyle name="40% - Accent5 2 5" xfId="410" xr:uid="{ABE55C46-CF4D-4951-BA58-70192919E544}"/>
    <cellStyle name="40% - Accent5 2 6" xfId="411" xr:uid="{A87ABC66-151C-4268-8B63-28AA97DDF8B6}"/>
    <cellStyle name="40% - Accent5 2 7" xfId="412" xr:uid="{F52076FD-9173-48F0-B926-32B275395ECB}"/>
    <cellStyle name="40% - Accent5 2 8" xfId="413" xr:uid="{D0CFB3E7-C591-4931-A707-59905B151AFC}"/>
    <cellStyle name="40% - Accent5 2 9" xfId="414" xr:uid="{BF59EA8A-BDC7-4D0A-8E9B-6FE6A5FAA8E0}"/>
    <cellStyle name="40% - Accent5 3" xfId="36" xr:uid="{78246D53-936F-4B43-8A7D-78C94400B939}"/>
    <cellStyle name="40% - Accent5 3 2" xfId="415" xr:uid="{2F65AC10-1B4E-446C-BA86-975F393A1799}"/>
    <cellStyle name="40% - Accent5 4" xfId="416" xr:uid="{D96FB2F9-F635-496C-9A05-6E25009E0CC5}"/>
    <cellStyle name="40% - Accent5 5" xfId="417" xr:uid="{99448F0F-13FA-4929-AAD2-62A81EECCC56}"/>
    <cellStyle name="40% - Accent5 6" xfId="418" xr:uid="{E93851D8-211F-437F-956F-1EA300A158A0}"/>
    <cellStyle name="40% - Accent5 7" xfId="419" xr:uid="{70B7CD2A-D035-4E69-A17E-B192D4E778DE}"/>
    <cellStyle name="40% - Accent5 8" xfId="420" xr:uid="{3D4902BD-2AAD-4BC3-972C-785ECC73FE70}"/>
    <cellStyle name="40% - Accent6 2" xfId="37" xr:uid="{2F789280-17CD-43F8-8C3B-B771355F7AA0}"/>
    <cellStyle name="40% - Accent6 2 10" xfId="421" xr:uid="{2AC30EC4-C029-4461-BF94-6F93BAD14ECA}"/>
    <cellStyle name="40% - Accent6 2 11" xfId="422" xr:uid="{068335FF-5ABB-42B2-B922-B0480DB6310F}"/>
    <cellStyle name="40% - Accent6 2 12" xfId="423" xr:uid="{16C100DB-F9FC-4BF2-8E1A-B8665BBA282A}"/>
    <cellStyle name="40% - Accent6 2 13" xfId="424" xr:uid="{57D6619B-97AE-426D-8502-92E94A4932EF}"/>
    <cellStyle name="40% - Accent6 2 14" xfId="425" xr:uid="{A4625A38-4828-44B9-A7CA-EE93CCC596FB}"/>
    <cellStyle name="40% - Accent6 2 15" xfId="426" xr:uid="{5C461443-AB6E-4CE6-81B7-12016A158D25}"/>
    <cellStyle name="40% - Accent6 2 2" xfId="427" xr:uid="{939BF64E-707A-41E2-8CC4-9DC0EB24E110}"/>
    <cellStyle name="40% - Accent6 2 3" xfId="428" xr:uid="{F1B896AC-6C3F-4633-B7DD-8A8ADE5A9B00}"/>
    <cellStyle name="40% - Accent6 2 4" xfId="429" xr:uid="{39344711-160F-4CA6-BDF1-A3EB892F280C}"/>
    <cellStyle name="40% - Accent6 2 5" xfId="430" xr:uid="{FEFB2D7A-9291-4D28-962C-88790819BC61}"/>
    <cellStyle name="40% - Accent6 2 6" xfId="431" xr:uid="{A40A8571-4B43-41D0-A4F2-D83D3D3B531A}"/>
    <cellStyle name="40% - Accent6 2 7" xfId="432" xr:uid="{6BB833C8-69E9-4FA8-AF85-A98F50A98012}"/>
    <cellStyle name="40% - Accent6 2 8" xfId="433" xr:uid="{608FF8A3-CB12-459B-AF48-36C575342726}"/>
    <cellStyle name="40% - Accent6 2 9" xfId="434" xr:uid="{7EDB1D58-8E04-4A52-B789-E8471BF17633}"/>
    <cellStyle name="40% - Accent6 3" xfId="38" xr:uid="{B400D67D-EE0F-4FC2-9D07-A173153C1AB8}"/>
    <cellStyle name="40% - Accent6 3 2" xfId="435" xr:uid="{0F6B8AEE-091C-4150-8D7D-A085C0B0DE56}"/>
    <cellStyle name="40% - Accent6 4" xfId="436" xr:uid="{A66AB176-A347-4060-A8B2-910E3771F5BD}"/>
    <cellStyle name="40% - Accent6 5" xfId="437" xr:uid="{0B727B73-5BDD-4BD6-96B1-6A780F624CED}"/>
    <cellStyle name="40% - Accent6 6" xfId="438" xr:uid="{0D997B95-E2B8-4A2F-BBD8-8955679FF66A}"/>
    <cellStyle name="40% - Accent6 7" xfId="439" xr:uid="{FBF32755-39EC-4912-864C-A828E1F81616}"/>
    <cellStyle name="40% - Accent6 8" xfId="440" xr:uid="{7A524291-4513-4379-8589-78579B0A581E}"/>
    <cellStyle name="5x indented GHG Textfiels" xfId="192" xr:uid="{A711979D-162E-4D06-AECE-646141D36EA4}"/>
    <cellStyle name="5x indented GHG Textfiels 2" xfId="441" xr:uid="{643799D8-C788-4BD2-8116-D7F1440E07BE}"/>
    <cellStyle name="5x indented GHG Textfiels 2 2" xfId="1859" xr:uid="{0F594A49-279D-4793-B109-753B31F152CE}"/>
    <cellStyle name="5x indented GHG Textfiels 3" xfId="1858" xr:uid="{7830402A-F42E-45F3-887B-E5A482F4414C}"/>
    <cellStyle name="60% - Accent1 2" xfId="39" xr:uid="{77153FD2-C7D9-43A7-894D-50A6EF46CB9D}"/>
    <cellStyle name="60% - Accent1 2 10" xfId="442" xr:uid="{BD11D3D6-AF7C-4244-A0D9-90C17FA40706}"/>
    <cellStyle name="60% - Accent1 2 2" xfId="443" xr:uid="{6C1CCD29-48A8-42EC-AC3A-9EFF9EB7C59A}"/>
    <cellStyle name="60% - Accent1 2 3" xfId="444" xr:uid="{B9B42644-8F83-423D-8812-78EAB4FD5018}"/>
    <cellStyle name="60% - Accent1 2 4" xfId="445" xr:uid="{BF26E61A-D9E7-43CF-8FC1-90536829F2E4}"/>
    <cellStyle name="60% - Accent1 2 5" xfId="446" xr:uid="{C060D3D9-674D-41DC-BEE3-81BC694CB052}"/>
    <cellStyle name="60% - Accent1 2 6" xfId="447" xr:uid="{B18CCF68-C585-4920-BEB6-84FFEC28C046}"/>
    <cellStyle name="60% - Accent1 2 7" xfId="448" xr:uid="{20B7CFAB-809A-4A39-B0DD-B8B32FDDD38B}"/>
    <cellStyle name="60% - Accent1 2 8" xfId="449" xr:uid="{C0D351F4-0247-4915-B27E-90AB0B5DD15D}"/>
    <cellStyle name="60% - Accent1 2 9" xfId="450" xr:uid="{72B33F90-A689-43FF-91BF-283BE1BEAF84}"/>
    <cellStyle name="60% - Accent1 3" xfId="40" xr:uid="{BCFD267B-80FB-4035-B11F-BFFC51FABE91}"/>
    <cellStyle name="60% - Accent1 3 2" xfId="451" xr:uid="{89BFA54F-88F5-49BE-B2FB-D6CA8102C159}"/>
    <cellStyle name="60% - Accent2 2" xfId="41" xr:uid="{A3BCE235-1142-4D56-A5C4-1549E052B97F}"/>
    <cellStyle name="60% - Accent2 2 10" xfId="452" xr:uid="{58E96963-EFD2-4B3B-A0D3-E260D81C4ABB}"/>
    <cellStyle name="60% - Accent2 2 2" xfId="453" xr:uid="{320DA5D2-48D6-43DE-B0F7-0DD468EF64F7}"/>
    <cellStyle name="60% - Accent2 2 3" xfId="454" xr:uid="{577CCF67-8F70-4964-8522-86DE4EE4194B}"/>
    <cellStyle name="60% - Accent2 2 4" xfId="455" xr:uid="{0194CF82-4607-425C-82AF-43B36BDC037A}"/>
    <cellStyle name="60% - Accent2 2 5" xfId="456" xr:uid="{B74CD721-E563-409D-A814-082F336079BC}"/>
    <cellStyle name="60% - Accent2 2 6" xfId="457" xr:uid="{3863329C-9C0B-4714-B16D-655C5685FC2C}"/>
    <cellStyle name="60% - Accent2 2 7" xfId="458" xr:uid="{EA838B7B-0E89-43D5-9C7B-058A369C19FC}"/>
    <cellStyle name="60% - Accent2 2 8" xfId="459" xr:uid="{5DCD433A-21C0-4DCC-8242-A8A99BFE7E75}"/>
    <cellStyle name="60% - Accent2 2 9" xfId="460" xr:uid="{C1350015-A938-42C9-933E-C7B6F70F1EDA}"/>
    <cellStyle name="60% - Accent2 3" xfId="42" xr:uid="{25077876-59E4-47FB-9874-37658DE23CA1}"/>
    <cellStyle name="60% - Accent2 3 2" xfId="461" xr:uid="{A7E8DD96-013E-48F0-86B4-B9C843D29CFC}"/>
    <cellStyle name="60% - Accent3 2" xfId="43" xr:uid="{D734DD8C-F2F9-4645-B344-C0349C31CEDD}"/>
    <cellStyle name="60% - Accent3 2 10" xfId="462" xr:uid="{7FE179BE-C9C7-484D-901F-A05B79BD2136}"/>
    <cellStyle name="60% - Accent3 2 2" xfId="463" xr:uid="{8679B388-4855-4853-97DF-C03B6A95EC19}"/>
    <cellStyle name="60% - Accent3 2 3" xfId="464" xr:uid="{8685B7EA-A895-44E3-8250-6D9FCA8F2B49}"/>
    <cellStyle name="60% - Accent3 2 4" xfId="465" xr:uid="{F54AD03F-4B1C-48A0-8079-905BEEB08E45}"/>
    <cellStyle name="60% - Accent3 2 5" xfId="466" xr:uid="{54A80861-9059-4473-96CF-F2EC2EEEE3BD}"/>
    <cellStyle name="60% - Accent3 2 6" xfId="467" xr:uid="{CF64405F-701F-444F-A294-7150E57E31D8}"/>
    <cellStyle name="60% - Accent3 2 7" xfId="468" xr:uid="{A64324F8-796E-4B65-8A53-8E5A9FF082E3}"/>
    <cellStyle name="60% - Accent3 2 8" xfId="469" xr:uid="{FD9A77AC-71AC-4266-AA48-271741CB94B5}"/>
    <cellStyle name="60% - Accent3 2 9" xfId="470" xr:uid="{8FF923DE-CDBA-4E05-A840-824A44862D27}"/>
    <cellStyle name="60% - Accent3 3" xfId="44" xr:uid="{F50FD7BD-8D63-4873-8C4A-8555E0D240FA}"/>
    <cellStyle name="60% - Accent3 3 2" xfId="471" xr:uid="{778CB548-DFF8-4A9D-A886-7FF0E6FA1008}"/>
    <cellStyle name="60% - Accent4 2" xfId="45" xr:uid="{78D4F26D-EF2E-418B-9FB1-4A6F842B990A}"/>
    <cellStyle name="60% - Accent4 2 10" xfId="472" xr:uid="{C5226E22-09D0-4807-B8B4-24C6EED51263}"/>
    <cellStyle name="60% - Accent4 2 2" xfId="473" xr:uid="{4B3C24F5-1B17-4D11-957A-800A2AAA8683}"/>
    <cellStyle name="60% - Accent4 2 3" xfId="474" xr:uid="{B3363519-7805-47F7-BBA2-0786714A7298}"/>
    <cellStyle name="60% - Accent4 2 4" xfId="475" xr:uid="{FE187D31-E751-4DF2-8BFC-42E209E4EC07}"/>
    <cellStyle name="60% - Accent4 2 5" xfId="476" xr:uid="{445ED3C6-35A8-45D5-8267-68ECEF715CB5}"/>
    <cellStyle name="60% - Accent4 2 6" xfId="477" xr:uid="{A5692C17-F8B6-477E-B704-28E712AB2E61}"/>
    <cellStyle name="60% - Accent4 2 7" xfId="478" xr:uid="{575B966D-397A-45F0-AB1F-12C4E8C35D58}"/>
    <cellStyle name="60% - Accent4 2 8" xfId="479" xr:uid="{274F201B-7F61-4231-A2AE-ABD80720E519}"/>
    <cellStyle name="60% - Accent4 2 9" xfId="480" xr:uid="{A99AE878-5CC0-4823-B111-BA4F99BCD447}"/>
    <cellStyle name="60% - Accent4 3" xfId="46" xr:uid="{9CEE0027-18E0-408A-8BE9-E879CACFA2D4}"/>
    <cellStyle name="60% - Accent4 3 2" xfId="481" xr:uid="{746CC6B7-1C4E-451C-A71D-B412AB1CC043}"/>
    <cellStyle name="60% - Accent5 2" xfId="47" xr:uid="{55D7F987-14DF-4869-8754-73440AAC26A3}"/>
    <cellStyle name="60% - Accent5 2 10" xfId="482" xr:uid="{D49CCA41-1C20-44A8-8CB4-4EBD02FD9F8D}"/>
    <cellStyle name="60% - Accent5 2 2" xfId="483" xr:uid="{C435742C-D956-42C4-AF2D-57C0A768006C}"/>
    <cellStyle name="60% - Accent5 2 3" xfId="484" xr:uid="{6F5716F1-E189-42D3-B21B-0777822FAB56}"/>
    <cellStyle name="60% - Accent5 2 4" xfId="485" xr:uid="{8AE5F18A-5049-45A6-ACB1-0F6BD0B7B060}"/>
    <cellStyle name="60% - Accent5 2 5" xfId="486" xr:uid="{1B477477-EBD5-4EA0-BA95-CCD1CB8BF27F}"/>
    <cellStyle name="60% - Accent5 2 6" xfId="487" xr:uid="{194538A7-4FB8-4999-937D-C6BC8AC62984}"/>
    <cellStyle name="60% - Accent5 2 7" xfId="488" xr:uid="{0C025FFE-4B96-443A-B02B-092B12D32EC9}"/>
    <cellStyle name="60% - Accent5 2 8" xfId="489" xr:uid="{C29F87CC-5B9E-4AB9-A44F-B7A61E2F1110}"/>
    <cellStyle name="60% - Accent5 2 9" xfId="490" xr:uid="{353BFE14-F191-4903-AE35-5486180579A5}"/>
    <cellStyle name="60% - Accent5 3" xfId="48" xr:uid="{00F088B7-2D28-4645-BF41-F00AA5191238}"/>
    <cellStyle name="60% - Accent5 3 2" xfId="491" xr:uid="{AD68290A-78C4-4F0A-B638-9CD29C8B08DC}"/>
    <cellStyle name="60% - Accent6 2" xfId="49" xr:uid="{598095E9-9E85-4A23-BA9E-DD553AC35695}"/>
    <cellStyle name="60% - Accent6 2 10" xfId="492" xr:uid="{88F4007E-1BB7-48C4-A73A-0BDBA2184D9E}"/>
    <cellStyle name="60% - Accent6 2 2" xfId="493" xr:uid="{DBB92557-A9FD-4231-8B22-34B1C16A2CFD}"/>
    <cellStyle name="60% - Accent6 2 3" xfId="494" xr:uid="{6613A998-6999-468F-9FB3-6ADE46E02056}"/>
    <cellStyle name="60% - Accent6 2 4" xfId="495" xr:uid="{6D6B2416-D410-4002-A5BE-AD8BC68E1BE0}"/>
    <cellStyle name="60% - Accent6 2 5" xfId="496" xr:uid="{AE21529B-9E1B-453C-9032-A1B8CF149AC7}"/>
    <cellStyle name="60% - Accent6 2 6" xfId="497" xr:uid="{90E5923E-F538-491F-BF24-2AADFE9302FC}"/>
    <cellStyle name="60% - Accent6 2 7" xfId="498" xr:uid="{C8D2AACD-2510-4481-8941-7BC6235FF185}"/>
    <cellStyle name="60% - Accent6 2 8" xfId="499" xr:uid="{5E86D3CE-B1F0-4E52-B782-B2F58AD1562F}"/>
    <cellStyle name="60% - Accent6 2 9" xfId="500" xr:uid="{B6A37040-FEEA-42C1-A5BA-50490BA3D0C1}"/>
    <cellStyle name="60% - Accent6 3" xfId="50" xr:uid="{B3DCE515-12D3-453A-87F0-9FD6300AE76E}"/>
    <cellStyle name="60% - Accent6 3 2" xfId="501" xr:uid="{202049C1-0E64-453F-8592-EDC9729EBD1F}"/>
    <cellStyle name="Accent1 2" xfId="51" xr:uid="{54AA4F91-80E8-480D-A080-64F007896860}"/>
    <cellStyle name="Accent1 2 10" xfId="502" xr:uid="{FC4687D3-1720-41D5-87E4-03627FEAF60C}"/>
    <cellStyle name="Accent1 2 2" xfId="503" xr:uid="{854DB892-779C-4BA1-8AF5-84614ED08BB7}"/>
    <cellStyle name="Accent1 2 3" xfId="504" xr:uid="{7C3AEB42-22FF-48F1-BC7B-14ADBF1B6DBA}"/>
    <cellStyle name="Accent1 2 4" xfId="505" xr:uid="{E2FFF41C-9E56-4448-9704-FA44BD2A8E2C}"/>
    <cellStyle name="Accent1 2 5" xfId="506" xr:uid="{A304BD75-B7A1-4F6D-8A08-FDC3FB20C287}"/>
    <cellStyle name="Accent1 2 6" xfId="507" xr:uid="{9161E12A-BA12-4BE5-A1E3-222ED83C888F}"/>
    <cellStyle name="Accent1 2 7" xfId="508" xr:uid="{0FC491E3-23DB-44F6-A79F-7FA71335ADD0}"/>
    <cellStyle name="Accent1 2 8" xfId="509" xr:uid="{10C1A797-E438-42F2-BF65-218F0B68C86A}"/>
    <cellStyle name="Accent1 2 9" xfId="510" xr:uid="{6F42F7F2-5EAD-4584-8155-CA817E8D6376}"/>
    <cellStyle name="Accent1 3" xfId="52" xr:uid="{8A300098-8346-427B-8F45-19B3BD4E071F}"/>
    <cellStyle name="Accent1 3 2" xfId="511" xr:uid="{5AE6192D-D54E-4030-8962-AA3642FA37A6}"/>
    <cellStyle name="Accent2 2" xfId="53" xr:uid="{CDF689B8-E744-4CD6-8716-706CDA1A93AA}"/>
    <cellStyle name="Accent2 2 10" xfId="512" xr:uid="{A84D5B18-C7C8-433A-BA36-B57DD0246865}"/>
    <cellStyle name="Accent2 2 2" xfId="513" xr:uid="{AAEBBE18-2155-4DB6-B2C6-A1BA23567029}"/>
    <cellStyle name="Accent2 2 3" xfId="514" xr:uid="{A783D38D-0F58-4310-B7FF-1FE2FC96751A}"/>
    <cellStyle name="Accent2 2 4" xfId="515" xr:uid="{2CE1C1D9-DA3C-49FB-8B88-D3128FF1E733}"/>
    <cellStyle name="Accent2 2 5" xfId="516" xr:uid="{4A2D25B1-C9AA-4226-BDB1-E757CB1D6092}"/>
    <cellStyle name="Accent2 2 6" xfId="517" xr:uid="{3A3E4FA6-C05E-492B-8C77-9CC332D1B33D}"/>
    <cellStyle name="Accent2 2 7" xfId="518" xr:uid="{B421E79B-7149-4C88-BDE0-418595AAFC49}"/>
    <cellStyle name="Accent2 2 8" xfId="519" xr:uid="{EA35E779-0E08-4662-8B6F-75CEF85D80D0}"/>
    <cellStyle name="Accent2 2 9" xfId="520" xr:uid="{7786E463-720D-4945-8799-9004AC301194}"/>
    <cellStyle name="Accent2 3" xfId="54" xr:uid="{8C38DDD6-CD2B-46B2-8961-18C4C339ACFD}"/>
    <cellStyle name="Accent2 3 2" xfId="521" xr:uid="{9B2AA5C9-D070-42DE-AF81-7FF15AFA75CE}"/>
    <cellStyle name="Accent3 2" xfId="55" xr:uid="{33F0F1FA-6A7F-4A7B-A094-096D0D7BFE95}"/>
    <cellStyle name="Accent3 2 10" xfId="522" xr:uid="{93C1FE8A-8E1C-4332-A4CB-96B0965D7107}"/>
    <cellStyle name="Accent3 2 2" xfId="523" xr:uid="{434ABF65-B972-46DE-A4A5-1BCBFE35BAA7}"/>
    <cellStyle name="Accent3 2 3" xfId="524" xr:uid="{4443C393-CED8-4A88-99FE-3E5B8E1EA494}"/>
    <cellStyle name="Accent3 2 4" xfId="525" xr:uid="{39FA56F0-7C37-41F3-8B74-34737427D22A}"/>
    <cellStyle name="Accent3 2 5" xfId="526" xr:uid="{D234A429-346A-4B53-B153-9284F421E8E8}"/>
    <cellStyle name="Accent3 2 6" xfId="527" xr:uid="{E38618F4-9CFB-43E6-ABC5-2D568B8BE270}"/>
    <cellStyle name="Accent3 2 7" xfId="528" xr:uid="{98A055C0-31D2-4AF4-AF4A-601B1417D98C}"/>
    <cellStyle name="Accent3 2 8" xfId="529" xr:uid="{5D942967-F11F-44DD-8A24-E23FC928803E}"/>
    <cellStyle name="Accent3 2 9" xfId="530" xr:uid="{58DACCE2-3FB5-4595-BF2A-0CA8673ABC06}"/>
    <cellStyle name="Accent3 3" xfId="56" xr:uid="{C2695372-6807-4186-93D1-4038E75CE3AC}"/>
    <cellStyle name="Accent3 3 2" xfId="531" xr:uid="{6DCEB9B8-F563-436A-B22C-F5BD5B22C9F1}"/>
    <cellStyle name="Accent4 2" xfId="57" xr:uid="{1E828696-649B-4BDE-92BE-1E1BE78EF052}"/>
    <cellStyle name="Accent4 2 10" xfId="532" xr:uid="{A6C7702C-AC5B-4A3E-82F6-92B12BB30B6E}"/>
    <cellStyle name="Accent4 2 2" xfId="533" xr:uid="{DB9CC9CC-E49D-4C85-99EB-F2098EE1F68B}"/>
    <cellStyle name="Accent4 2 3" xfId="534" xr:uid="{5B9B07DD-85B4-4C2B-AB29-53A9F2E47BEC}"/>
    <cellStyle name="Accent4 2 4" xfId="535" xr:uid="{79557DEF-B489-4E1E-9A22-E74FA55BC15E}"/>
    <cellStyle name="Accent4 2 5" xfId="536" xr:uid="{973FC518-E71C-425C-AD24-FA0364D6F931}"/>
    <cellStyle name="Accent4 2 6" xfId="537" xr:uid="{89E944F6-A359-49BA-A966-62A275C07B12}"/>
    <cellStyle name="Accent4 2 7" xfId="538" xr:uid="{C21A197C-3DBD-4F1B-82E7-ABCE219E80DC}"/>
    <cellStyle name="Accent4 2 8" xfId="539" xr:uid="{B7344885-510F-43D6-A7D1-F2E0286197BF}"/>
    <cellStyle name="Accent4 2 9" xfId="540" xr:uid="{730709AF-BC42-4BE8-BFC1-D5D7F6E62241}"/>
    <cellStyle name="Accent4 3" xfId="58" xr:uid="{81018982-82C1-43E8-A17F-8330BC7080CE}"/>
    <cellStyle name="Accent4 3 2" xfId="541" xr:uid="{F51581E1-465F-4857-84BF-C07909BA6754}"/>
    <cellStyle name="Accent5 2" xfId="59" xr:uid="{DED574CF-627D-404D-97E8-AE23AA756B78}"/>
    <cellStyle name="Accent5 2 10" xfId="542" xr:uid="{83FBC2A5-3593-4671-96D3-AD8B382E17A3}"/>
    <cellStyle name="Accent5 2 2" xfId="543" xr:uid="{F90AD78E-6433-473A-B8CD-1711FBD3EB7D}"/>
    <cellStyle name="Accent5 2 3" xfId="544" xr:uid="{43126EED-ACF1-4126-A3F6-A02A1D23FB0D}"/>
    <cellStyle name="Accent5 2 4" xfId="545" xr:uid="{508A34C0-5343-425E-BE9D-B57AAEF76939}"/>
    <cellStyle name="Accent5 2 5" xfId="546" xr:uid="{4D18AA65-19F9-464E-A125-0A2D7F9356B2}"/>
    <cellStyle name="Accent5 2 6" xfId="547" xr:uid="{F0F8210E-1F22-4E8E-8941-01A3A599054A}"/>
    <cellStyle name="Accent5 2 7" xfId="548" xr:uid="{82CE0055-2FD0-4E66-AA8A-179D7873AB8C}"/>
    <cellStyle name="Accent5 2 8" xfId="549" xr:uid="{65EEC681-32DE-4DF0-AA64-5EBD86A10525}"/>
    <cellStyle name="Accent5 2 9" xfId="550" xr:uid="{85EE635B-184D-4C19-A634-8CFC347A111C}"/>
    <cellStyle name="Accent5 3" xfId="60" xr:uid="{C78E20E4-3E6D-4BA6-BAB5-66CAF313F753}"/>
    <cellStyle name="Accent6 2" xfId="61" xr:uid="{0E1A4ED7-5FD3-4E8F-9BD9-BFD962F5D370}"/>
    <cellStyle name="Accent6 2 10" xfId="551" xr:uid="{B1DC056B-869E-4F0D-9DF2-2DE63978F1B1}"/>
    <cellStyle name="Accent6 2 2" xfId="552" xr:uid="{9AEFAC51-5C28-4743-9D52-5E67A142FA06}"/>
    <cellStyle name="Accent6 2 3" xfId="553" xr:uid="{2FA80B98-DF13-47E7-A545-3899BA9D2E22}"/>
    <cellStyle name="Accent6 2 4" xfId="554" xr:uid="{5AE25A30-6DD9-4403-8542-0CAE961957AF}"/>
    <cellStyle name="Accent6 2 5" xfId="555" xr:uid="{4C1BBE5F-7AD9-4B2D-BB24-44FC773E1104}"/>
    <cellStyle name="Accent6 2 6" xfId="556" xr:uid="{BE28B06E-292E-4728-8E95-4C3218661132}"/>
    <cellStyle name="Accent6 2 7" xfId="557" xr:uid="{50A79A13-2731-4278-8ECA-9BD41BD8DBFA}"/>
    <cellStyle name="Accent6 2 8" xfId="558" xr:uid="{C4F5B002-34F4-4C67-A354-B9878978EFAF}"/>
    <cellStyle name="Accent6 2 9" xfId="559" xr:uid="{75FD8111-9E96-415F-8D27-F8F368456C5E}"/>
    <cellStyle name="Accent6 3" xfId="62" xr:uid="{613772D6-5CD8-48C8-A126-B4F394C2AA08}"/>
    <cellStyle name="Accent6 3 2" xfId="560" xr:uid="{60BE2306-9140-4CD7-B32B-837CEECE4691}"/>
    <cellStyle name="AggOrange_CRFReport-template" xfId="193" xr:uid="{8198D35F-EAC6-4657-8D77-758DAA6979EA}"/>
    <cellStyle name="AggOrange9_CRFReport-template" xfId="194" xr:uid="{6B50CFDE-4A16-47E9-A04D-D942620A8550}"/>
    <cellStyle name="Bad" xfId="10" builtinId="27"/>
    <cellStyle name="Bad 2" xfId="63" xr:uid="{3C58412E-7138-49D4-891E-9E4504E0029D}"/>
    <cellStyle name="Bad 2 10" xfId="561" xr:uid="{950AF0E4-9531-43A1-ABF4-D15666BF3842}"/>
    <cellStyle name="Bad 2 2" xfId="562" xr:uid="{E44535E3-A930-4DD4-8137-0B601B983D71}"/>
    <cellStyle name="Bad 2 3" xfId="563" xr:uid="{6103C752-E94D-4536-BD68-08C280A206FB}"/>
    <cellStyle name="Bad 2 4" xfId="564" xr:uid="{30DFE5B6-C7E8-413A-B345-AA833F8F026C}"/>
    <cellStyle name="Bad 2 5" xfId="565" xr:uid="{BA5BAE48-BB4E-48AC-821A-F23808907311}"/>
    <cellStyle name="Bad 2 6" xfId="566" xr:uid="{865279E7-BEC0-4EB2-8BFC-8A681D949C48}"/>
    <cellStyle name="Bad 2 7" xfId="567" xr:uid="{814D3D00-DC7E-4F38-A99E-6113D1841B7C}"/>
    <cellStyle name="Bad 2 8" xfId="568" xr:uid="{75D6A082-C399-48D8-9E89-4EBA983A74F1}"/>
    <cellStyle name="Bad 2 9" xfId="569" xr:uid="{9E2E5452-5ED9-4A96-AE02-D5671FDDD729}"/>
    <cellStyle name="Bad 3" xfId="64" xr:uid="{9DDCD45F-AC93-4900-BDF5-44FA0701EFD2}"/>
    <cellStyle name="Bad 3 2" xfId="570" xr:uid="{913A6329-DB31-4759-8D1B-A0E755B4A639}"/>
    <cellStyle name="Calculation" xfId="2" builtinId="22"/>
    <cellStyle name="Calculation 2" xfId="65" xr:uid="{AEF7BAB5-B545-457B-9BC3-39FBA2B65BA2}"/>
    <cellStyle name="Calculation 2 10" xfId="571" xr:uid="{EBC50AA8-23A4-46EF-B762-ECC2880FEA35}"/>
    <cellStyle name="Calculation 2 2" xfId="572" xr:uid="{0B3D23EA-04A5-4BC8-A3E6-89AFBD6195AF}"/>
    <cellStyle name="Calculation 2 3" xfId="573" xr:uid="{5CFB6CD0-9992-44AB-9E4E-E25F11989D3D}"/>
    <cellStyle name="Calculation 2 4" xfId="574" xr:uid="{F76F0842-34E2-4CF8-A0F5-021FB509D7DC}"/>
    <cellStyle name="Calculation 2 5" xfId="575" xr:uid="{435ED84C-6C96-4A55-810D-7950FCC7BCD0}"/>
    <cellStyle name="Calculation 2 6" xfId="576" xr:uid="{8C842034-2D74-4961-A2ED-846DF0BB42DE}"/>
    <cellStyle name="Calculation 2 7" xfId="577" xr:uid="{04F24DE1-A3B9-4445-996C-90E52CFFB830}"/>
    <cellStyle name="Calculation 2 8" xfId="578" xr:uid="{99380918-F152-4095-940F-2D028118C67D}"/>
    <cellStyle name="Calculation 2 9" xfId="579" xr:uid="{19AD1638-8DF3-476E-B88C-F046999EF807}"/>
    <cellStyle name="Calculation 3" xfId="66" xr:uid="{68743ADB-3867-4D6A-B689-09D5C027FD00}"/>
    <cellStyle name="Calculation 3 2" xfId="580" xr:uid="{2B081BB1-C071-48FB-80A0-793944AD4F53}"/>
    <cellStyle name="Check Cell 2" xfId="67" xr:uid="{74BCEAC5-C3D6-41C4-886D-8FC06E787A9C}"/>
    <cellStyle name="Check Cell 2 10" xfId="581" xr:uid="{CE4459AC-F719-419B-B3D0-45828BB84DB8}"/>
    <cellStyle name="Check Cell 2 2" xfId="582" xr:uid="{5CEEEA4F-EB5E-4424-8B0A-BA6651997F5E}"/>
    <cellStyle name="Check Cell 2 3" xfId="583" xr:uid="{48FD6EBC-43F8-41ED-8777-14A4A00F456D}"/>
    <cellStyle name="Check Cell 2 4" xfId="584" xr:uid="{EADAA327-01F1-4915-86EB-F385963FF7B5}"/>
    <cellStyle name="Check Cell 2 5" xfId="585" xr:uid="{E9D85683-64B4-44C7-8A54-ABAEAC99F2D2}"/>
    <cellStyle name="Check Cell 2 6" xfId="586" xr:uid="{09452DE2-C9E4-43AE-A19D-B9AE851873B7}"/>
    <cellStyle name="Check Cell 2 7" xfId="587" xr:uid="{208453AF-5AD2-4D38-80F3-C2D4CB1210C4}"/>
    <cellStyle name="Check Cell 2 8" xfId="588" xr:uid="{C6AFEE19-2C04-4D11-A74D-ED60F3BF9BE9}"/>
    <cellStyle name="Check Cell 2 9" xfId="589" xr:uid="{DBF3ADEC-3199-498C-ABE7-43C55D42564A}"/>
    <cellStyle name="Check Cell 3" xfId="68" xr:uid="{4B21D766-82E7-4E8C-9B2E-63BA92E5E2F8}"/>
    <cellStyle name="coin" xfId="590" xr:uid="{1BF94A34-A504-459E-83DB-2B359F5B6990}"/>
    <cellStyle name="coin 2" xfId="1860" xr:uid="{B2BA2A9C-9CB0-44F4-8EAC-0EBEBC1596D8}"/>
    <cellStyle name="Comma [0] 2 10" xfId="591" xr:uid="{9B63D9B9-2A28-4F73-AEBB-ED7F25EDE200}"/>
    <cellStyle name="Comma [0] 2 10 2" xfId="1861" xr:uid="{6A13C1A1-9554-4585-8306-10DE9BFD2501}"/>
    <cellStyle name="Comma [0] 2 2" xfId="592" xr:uid="{2949CF3E-B594-49FA-AFC9-7C947C57F1E9}"/>
    <cellStyle name="Comma [0] 2 2 2" xfId="1862" xr:uid="{95990252-D04C-4D84-ABD7-82FB67A59836}"/>
    <cellStyle name="Comma [0] 2 3" xfId="593" xr:uid="{6F427E13-1B81-447F-9FA4-0E0F8019B8CF}"/>
    <cellStyle name="Comma [0] 2 3 2" xfId="1863" xr:uid="{67843F26-AD98-467F-A027-BC4C9DB478E8}"/>
    <cellStyle name="Comma [0] 2 4" xfId="594" xr:uid="{DBE8C099-CCE8-4728-AFFC-D40093837E9D}"/>
    <cellStyle name="Comma [0] 2 4 2" xfId="1864" xr:uid="{AA6103C0-EC3D-4968-B059-8AD620E9B868}"/>
    <cellStyle name="Comma [0] 2 5" xfId="595" xr:uid="{96D5C3A9-51B3-408C-8845-DC2373A2EC29}"/>
    <cellStyle name="Comma [0] 2 5 2" xfId="1865" xr:uid="{8DD779F5-C0B0-4EB3-83BE-5494FB7AB5F5}"/>
    <cellStyle name="Comma [0] 2 6" xfId="596" xr:uid="{4CBBA9C8-663D-474E-B679-6034408B6531}"/>
    <cellStyle name="Comma [0] 2 6 2" xfId="1866" xr:uid="{377E8A20-3541-480A-AB1C-374303675911}"/>
    <cellStyle name="Comma [0] 2 7" xfId="597" xr:uid="{F08E7719-8D5A-48C8-A94E-4881BF4EFA08}"/>
    <cellStyle name="Comma [0] 2 7 2" xfId="1867" xr:uid="{7FA71EF6-B194-45B8-B8BB-A5D9CD8240B0}"/>
    <cellStyle name="Comma [0] 2 8" xfId="598" xr:uid="{2E00C370-09D3-4ADC-A6F1-29C94EAEC4B1}"/>
    <cellStyle name="Comma [0] 2 8 2" xfId="1868" xr:uid="{A4D1F9F6-FC20-44AD-B1DD-3DFBFABCECD1}"/>
    <cellStyle name="Comma [0] 2 9" xfId="599" xr:uid="{3DA6061E-B851-4006-886D-5984A350E0B9}"/>
    <cellStyle name="Comma [0] 2 9 2" xfId="1869" xr:uid="{3021DE88-0DBF-405D-84D0-0B2F5676332A}"/>
    <cellStyle name="Comma 10 2" xfId="600" xr:uid="{271D976E-5E2C-43A6-9F04-D80497635365}"/>
    <cellStyle name="Comma 10 2 10" xfId="601" xr:uid="{937322E9-2C6D-4D74-851A-0A2BF916C0D2}"/>
    <cellStyle name="Comma 10 2 10 2" xfId="1871" xr:uid="{9D9B8941-8744-47B1-82D3-CC0C54FC4388}"/>
    <cellStyle name="Comma 10 2 11" xfId="602" xr:uid="{E3C24547-C983-4D90-81C2-A9E170676D88}"/>
    <cellStyle name="Comma 10 2 11 2" xfId="1872" xr:uid="{9D1713C9-8109-4400-862E-2E7F62530B60}"/>
    <cellStyle name="Comma 10 2 12" xfId="603" xr:uid="{22594E7D-7604-481B-9A15-5E171D20CC6E}"/>
    <cellStyle name="Comma 10 2 12 2" xfId="1873" xr:uid="{348F57FF-E2F4-488F-93C1-FB59B5C83ABD}"/>
    <cellStyle name="Comma 10 2 13" xfId="604" xr:uid="{0E017C35-28FC-465B-AD34-E1DC91E37953}"/>
    <cellStyle name="Comma 10 2 13 2" xfId="1874" xr:uid="{1B615435-9C1E-4282-A19F-8C00A884E490}"/>
    <cellStyle name="Comma 10 2 14" xfId="605" xr:uid="{C59FD049-A3C3-40B1-B9C9-4C17C94EFB62}"/>
    <cellStyle name="Comma 10 2 14 2" xfId="1875" xr:uid="{46BD5D22-E8E7-415A-A528-F3B508E3253C}"/>
    <cellStyle name="Comma 10 2 15" xfId="606" xr:uid="{3228BDF6-B0C5-4A33-A4AA-4A3BF1142CF4}"/>
    <cellStyle name="Comma 10 2 15 2" xfId="1876" xr:uid="{2F94AE38-B69E-4566-8ABD-74AED3F9F320}"/>
    <cellStyle name="Comma 10 2 16" xfId="607" xr:uid="{059441AE-74DC-4613-A745-730175CEE155}"/>
    <cellStyle name="Comma 10 2 16 2" xfId="1877" xr:uid="{08FD2D0A-ECBD-44BE-9D3B-C45E10D54E3B}"/>
    <cellStyle name="Comma 10 2 17" xfId="608" xr:uid="{A9A35DB2-5A6C-4073-89E8-3A3AFFF6E6E3}"/>
    <cellStyle name="Comma 10 2 17 2" xfId="1878" xr:uid="{EEE2C405-C74D-4D42-982A-2CAF250D8989}"/>
    <cellStyle name="Comma 10 2 18" xfId="1870" xr:uid="{D2FD991D-44A7-4ACD-B900-0C3D1EAF613D}"/>
    <cellStyle name="Comma 10 2 2" xfId="609" xr:uid="{94A56D9F-0A81-46F0-B1B9-35AA7BDD0086}"/>
    <cellStyle name="Comma 10 2 2 2" xfId="1879" xr:uid="{CEDD76AA-BF22-401F-942E-05602A097EF4}"/>
    <cellStyle name="Comma 10 2 3" xfId="610" xr:uid="{4DF8D333-DF3D-41EA-925B-29BC24AF328A}"/>
    <cellStyle name="Comma 10 2 3 2" xfId="1880" xr:uid="{8FD28515-D8CB-4816-A9A2-9C3E26225A11}"/>
    <cellStyle name="Comma 10 2 4" xfId="611" xr:uid="{251AAABA-B3B8-4033-949A-C65E760B0FF1}"/>
    <cellStyle name="Comma 10 2 4 2" xfId="1881" xr:uid="{AD30FA48-A2D7-450C-994E-89E0816FC5D0}"/>
    <cellStyle name="Comma 10 2 5" xfId="612" xr:uid="{BF80E8F6-9093-44B9-AB5E-2B3DB0AA928F}"/>
    <cellStyle name="Comma 10 2 5 2" xfId="1882" xr:uid="{224ABEAF-3FFE-44BE-9D47-1EF4365DB2FB}"/>
    <cellStyle name="Comma 10 2 6" xfId="613" xr:uid="{DB2E3630-14DC-4243-A66D-2D7D5086B0DC}"/>
    <cellStyle name="Comma 10 2 6 2" xfId="1883" xr:uid="{1BEC4B13-AE22-4719-B166-2E6FA0A714FE}"/>
    <cellStyle name="Comma 10 2 7" xfId="614" xr:uid="{1FC0D254-3259-4D0D-B136-861AE98E5C10}"/>
    <cellStyle name="Comma 10 2 7 2" xfId="1884" xr:uid="{DBF69963-2BC7-4347-AAC1-7F5CD486F6E6}"/>
    <cellStyle name="Comma 10 2 8" xfId="615" xr:uid="{3ED6EADA-885E-40F4-AAD2-92BF2342DA9E}"/>
    <cellStyle name="Comma 10 2 8 2" xfId="1885" xr:uid="{9572236E-DCC7-4FE0-A24C-BEBA22D56F15}"/>
    <cellStyle name="Comma 10 2 9" xfId="616" xr:uid="{BBF5FD22-8A3F-427D-8957-457913EE7E5B}"/>
    <cellStyle name="Comma 10 2 9 2" xfId="1886" xr:uid="{69BDCA13-B452-4742-9B18-2DB5FF7B252B}"/>
    <cellStyle name="Comma 10 3" xfId="617" xr:uid="{325C1E01-7BBB-41D6-AC58-B9C12DC4D954}"/>
    <cellStyle name="Comma 10 3 10" xfId="618" xr:uid="{BDB9B147-810B-48DA-BE19-EB8DB321A5B2}"/>
    <cellStyle name="Comma 10 3 10 2" xfId="1888" xr:uid="{A8E282C0-1C64-468D-A995-8754A2C4275A}"/>
    <cellStyle name="Comma 10 3 11" xfId="619" xr:uid="{AE349D3C-F446-4313-B04D-1199F3DAF6B3}"/>
    <cellStyle name="Comma 10 3 11 2" xfId="1889" xr:uid="{746EC5C5-B2EF-4AAB-893F-69DC863DC150}"/>
    <cellStyle name="Comma 10 3 12" xfId="620" xr:uid="{A9E69483-F0FD-410A-BED6-B4FDEAFB7A6E}"/>
    <cellStyle name="Comma 10 3 12 2" xfId="1890" xr:uid="{A54A4DB2-D249-4455-8935-0B373EE245E5}"/>
    <cellStyle name="Comma 10 3 13" xfId="621" xr:uid="{A07036CE-7867-4B22-A19C-FB3E34927C4C}"/>
    <cellStyle name="Comma 10 3 13 2" xfId="1891" xr:uid="{C37962CC-98A7-49AB-92B6-6240313AAAF5}"/>
    <cellStyle name="Comma 10 3 14" xfId="622" xr:uid="{683D9A4D-4B58-41FA-8EFF-329D77657769}"/>
    <cellStyle name="Comma 10 3 14 2" xfId="1892" xr:uid="{A5236D98-EF0D-4B32-AE9C-367215DE859E}"/>
    <cellStyle name="Comma 10 3 15" xfId="623" xr:uid="{4B86EA51-950B-4AA2-86FE-15D193DED8C6}"/>
    <cellStyle name="Comma 10 3 15 2" xfId="1893" xr:uid="{FB319A81-38FC-4E0C-B3CC-E3247797B9A3}"/>
    <cellStyle name="Comma 10 3 16" xfId="624" xr:uid="{68794F60-5409-4F97-A82F-ED31B3B456A3}"/>
    <cellStyle name="Comma 10 3 16 2" xfId="1894" xr:uid="{7FF2E2C6-A3FC-44DC-A57B-E8C4624CFC87}"/>
    <cellStyle name="Comma 10 3 17" xfId="625" xr:uid="{53EBB158-55A7-420C-B473-4FCCBC226E96}"/>
    <cellStyle name="Comma 10 3 17 2" xfId="1895" xr:uid="{4D15EA9F-96E8-42D4-B2D8-4AFCDC025113}"/>
    <cellStyle name="Comma 10 3 18" xfId="1887" xr:uid="{F02B9A9E-DCCB-4E84-B755-7D224B463DD8}"/>
    <cellStyle name="Comma 10 3 2" xfId="626" xr:uid="{69676F54-4B93-4CD2-B721-F2ACF98E9AFE}"/>
    <cellStyle name="Comma 10 3 2 2" xfId="1896" xr:uid="{EC64EAC8-3F49-4321-8394-9A749145B687}"/>
    <cellStyle name="Comma 10 3 3" xfId="627" xr:uid="{2D71EA1A-F47E-4D40-952C-81BEDA099816}"/>
    <cellStyle name="Comma 10 3 3 2" xfId="1897" xr:uid="{50591FDA-DDED-47E7-90B7-7CBE60F09EDF}"/>
    <cellStyle name="Comma 10 3 4" xfId="628" xr:uid="{53CCB88F-3F66-482A-8B2B-BC9F4782A31B}"/>
    <cellStyle name="Comma 10 3 4 2" xfId="1898" xr:uid="{F53FD74E-1548-4EEA-B913-37E743531361}"/>
    <cellStyle name="Comma 10 3 5" xfId="629" xr:uid="{851289CC-3D77-4B24-B112-984172307CB7}"/>
    <cellStyle name="Comma 10 3 5 2" xfId="1899" xr:uid="{1C05D82D-AA4C-40F2-91AB-8785B7F1FC6C}"/>
    <cellStyle name="Comma 10 3 6" xfId="630" xr:uid="{835BC53C-9271-4D82-A211-932F8D26C8ED}"/>
    <cellStyle name="Comma 10 3 6 2" xfId="1900" xr:uid="{20A3DDD7-8760-4D1C-A1B0-7AD6EE16B314}"/>
    <cellStyle name="Comma 10 3 7" xfId="631" xr:uid="{D997281A-F897-4319-AAAC-1D705E21661B}"/>
    <cellStyle name="Comma 10 3 7 2" xfId="1901" xr:uid="{5E1BC83A-0CB6-4222-97D8-1CD072437FE0}"/>
    <cellStyle name="Comma 10 3 8" xfId="632" xr:uid="{20324C38-8FFE-4142-BD40-553015F2DEE7}"/>
    <cellStyle name="Comma 10 3 8 2" xfId="1902" xr:uid="{1DFDA2C0-939F-49C8-8494-54BD5CCD1AE9}"/>
    <cellStyle name="Comma 10 3 9" xfId="633" xr:uid="{48777224-2D62-4759-B7AE-D0528FCBE4EC}"/>
    <cellStyle name="Comma 10 3 9 2" xfId="1903" xr:uid="{C325C145-718E-4E02-9C9E-20879974043F}"/>
    <cellStyle name="Comma 10 4" xfId="634" xr:uid="{A21377A1-BD48-42C5-AED5-3A8A4D99EA2A}"/>
    <cellStyle name="Comma 10 4 10" xfId="635" xr:uid="{BBC8C094-5898-4481-B341-2DDDABDB081D}"/>
    <cellStyle name="Comma 10 4 10 2" xfId="1905" xr:uid="{6EBC82D0-443E-4B3F-B203-EA840EAFB553}"/>
    <cellStyle name="Comma 10 4 11" xfId="636" xr:uid="{E3E12A46-18B1-4030-9FA2-8195AEC4ABD8}"/>
    <cellStyle name="Comma 10 4 11 2" xfId="1906" xr:uid="{C1C5CD36-FFA9-45D4-BF67-B6889B5F757D}"/>
    <cellStyle name="Comma 10 4 12" xfId="637" xr:uid="{C04E6D41-7BAF-4ADE-94E3-80B7BED09D6D}"/>
    <cellStyle name="Comma 10 4 12 2" xfId="1907" xr:uid="{D5B7114C-4309-4692-B02C-6CCC710F89EB}"/>
    <cellStyle name="Comma 10 4 13" xfId="638" xr:uid="{F39F04B8-C723-458E-AD0E-96C0E25A7A01}"/>
    <cellStyle name="Comma 10 4 13 2" xfId="1908" xr:uid="{03381949-4C19-4F49-82C5-87EE4104E1B1}"/>
    <cellStyle name="Comma 10 4 14" xfId="639" xr:uid="{C093AE87-5F12-4355-8102-57169040206D}"/>
    <cellStyle name="Comma 10 4 14 2" xfId="1909" xr:uid="{2EF2342D-C043-4CCE-A479-9A72A0390FB2}"/>
    <cellStyle name="Comma 10 4 15" xfId="640" xr:uid="{1E5A6FFB-D647-4E63-8D23-7C8B1C79010D}"/>
    <cellStyle name="Comma 10 4 15 2" xfId="1910" xr:uid="{6D8A4FB3-85E5-434C-B81D-EA4B65AF76DB}"/>
    <cellStyle name="Comma 10 4 16" xfId="641" xr:uid="{CFC1673C-4DD1-4728-94CA-78E74F7D1EF6}"/>
    <cellStyle name="Comma 10 4 16 2" xfId="1911" xr:uid="{6F62146D-153B-459A-848F-08D08999FE9F}"/>
    <cellStyle name="Comma 10 4 17" xfId="642" xr:uid="{71976835-D545-4947-859D-52C382F50858}"/>
    <cellStyle name="Comma 10 4 17 2" xfId="1912" xr:uid="{99771307-9D75-4DB4-831D-2D16C928D227}"/>
    <cellStyle name="Comma 10 4 18" xfId="1904" xr:uid="{7C9F4D42-7785-4A67-9EDB-588ED5149B9E}"/>
    <cellStyle name="Comma 10 4 2" xfId="643" xr:uid="{15042427-B9B3-4F9E-B2BE-EAF5A20EE6FD}"/>
    <cellStyle name="Comma 10 4 2 2" xfId="1913" xr:uid="{A62B66C0-68E1-4DD0-872C-A6563E0ECDE6}"/>
    <cellStyle name="Comma 10 4 3" xfId="644" xr:uid="{9CC3D0A6-EE7F-4252-BF06-D0898E9A8447}"/>
    <cellStyle name="Comma 10 4 3 2" xfId="1914" xr:uid="{0C16434B-EAC3-4626-93B7-A9DE3E54B89F}"/>
    <cellStyle name="Comma 10 4 4" xfId="645" xr:uid="{6BFB6AF5-9927-40CC-981A-697E6DA2AC81}"/>
    <cellStyle name="Comma 10 4 4 2" xfId="1915" xr:uid="{805B2FFE-05DC-4F53-A6F3-15AC37EE3842}"/>
    <cellStyle name="Comma 10 4 5" xfId="646" xr:uid="{830B960C-F56B-4901-BADF-F0879BEF69AB}"/>
    <cellStyle name="Comma 10 4 5 2" xfId="1916" xr:uid="{6EE7D43D-DA2C-4FF0-9526-1CD15DB66978}"/>
    <cellStyle name="Comma 10 4 6" xfId="647" xr:uid="{5AC4D5F1-4248-4D3B-8FA1-05C2104F3E20}"/>
    <cellStyle name="Comma 10 4 6 2" xfId="1917" xr:uid="{88857434-159D-4AD0-8CF7-DE2E003BBB0E}"/>
    <cellStyle name="Comma 10 4 7" xfId="648" xr:uid="{79147035-5A28-431D-B36C-1034CB67D96B}"/>
    <cellStyle name="Comma 10 4 7 2" xfId="1918" xr:uid="{ECEDBC66-9425-4A6F-9BE6-A8E42FA03713}"/>
    <cellStyle name="Comma 10 4 8" xfId="649" xr:uid="{CF87B724-C6E4-45DE-8FF8-DA88F1717A70}"/>
    <cellStyle name="Comma 10 4 8 2" xfId="1919" xr:uid="{306A7C69-A6E7-4DB7-B6B1-C7BCB6D097BF}"/>
    <cellStyle name="Comma 10 4 9" xfId="650" xr:uid="{9B540B0D-9864-41E3-85CB-F0AC40EBAA5A}"/>
    <cellStyle name="Comma 10 4 9 2" xfId="1920" xr:uid="{9A8C66BC-A297-4C59-A7C7-8BDD0234C0F3}"/>
    <cellStyle name="Comma 10 5" xfId="651" xr:uid="{1098E69B-2BFD-479F-B36C-B12799F0DA00}"/>
    <cellStyle name="Comma 10 5 10" xfId="652" xr:uid="{D90F2401-4A77-421B-876F-AB648F41B3EE}"/>
    <cellStyle name="Comma 10 5 10 2" xfId="1922" xr:uid="{EAF135B7-FD6C-4B88-9384-DF5B9934EE5C}"/>
    <cellStyle name="Comma 10 5 11" xfId="653" xr:uid="{17324092-1195-4D16-A60D-4C9574C1FE0F}"/>
    <cellStyle name="Comma 10 5 11 2" xfId="1923" xr:uid="{C9A4DB7B-696F-4300-83F4-0197FC36AB0A}"/>
    <cellStyle name="Comma 10 5 12" xfId="654" xr:uid="{75266F16-13A5-4192-BB67-3933F23F8E45}"/>
    <cellStyle name="Comma 10 5 12 2" xfId="1924" xr:uid="{B6D1BA8D-FB05-4DDB-8EBE-3CEF61ABF788}"/>
    <cellStyle name="Comma 10 5 13" xfId="655" xr:uid="{2ED5F668-6703-41EA-824D-5D6F396A0CC0}"/>
    <cellStyle name="Comma 10 5 13 2" xfId="1925" xr:uid="{73141D32-AD4C-4F94-A114-17B2500B1B7D}"/>
    <cellStyle name="Comma 10 5 14" xfId="656" xr:uid="{64281EAE-24ED-4803-B8D7-AE98DC0A4557}"/>
    <cellStyle name="Comma 10 5 14 2" xfId="1926" xr:uid="{00532FA0-E10A-481E-B215-EBC5A2AB8B13}"/>
    <cellStyle name="Comma 10 5 15" xfId="657" xr:uid="{5C158F10-5346-4579-84F3-06533FDE17E6}"/>
    <cellStyle name="Comma 10 5 15 2" xfId="1927" xr:uid="{DC02E68B-26C5-4C32-AACD-05AA0EFE5F44}"/>
    <cellStyle name="Comma 10 5 16" xfId="658" xr:uid="{51624DB8-00CE-4944-82FD-74021975F8FA}"/>
    <cellStyle name="Comma 10 5 16 2" xfId="1928" xr:uid="{D936B610-9D5F-44E7-86FE-A8B040436325}"/>
    <cellStyle name="Comma 10 5 17" xfId="659" xr:uid="{5C3FCD4E-3D12-4B95-9EE8-B5F5A3429619}"/>
    <cellStyle name="Comma 10 5 17 2" xfId="1929" xr:uid="{BF2E4F1D-09DD-47A7-BBDF-F04728357577}"/>
    <cellStyle name="Comma 10 5 18" xfId="1921" xr:uid="{B34A73BF-B08D-4BE7-9EDF-DDAE4C96D46C}"/>
    <cellStyle name="Comma 10 5 2" xfId="660" xr:uid="{3E64A77E-CFFC-477D-A6E9-AA3156163C08}"/>
    <cellStyle name="Comma 10 5 2 2" xfId="1930" xr:uid="{CDC9E4D1-3151-4921-944F-75C097E595FA}"/>
    <cellStyle name="Comma 10 5 3" xfId="661" xr:uid="{93190CAB-4707-411E-8481-1BCB4A80EC51}"/>
    <cellStyle name="Comma 10 5 3 2" xfId="1931" xr:uid="{0B20D74E-5D3A-471B-9E8F-4677A1E7D0EE}"/>
    <cellStyle name="Comma 10 5 4" xfId="662" xr:uid="{19C78974-FDDE-413A-8E88-377531446F0D}"/>
    <cellStyle name="Comma 10 5 4 2" xfId="1932" xr:uid="{07747F3D-B906-42AE-A352-D7299D3BBC34}"/>
    <cellStyle name="Comma 10 5 5" xfId="663" xr:uid="{9ED22D3D-5B40-40DD-AD65-AB8A1EDFD9B0}"/>
    <cellStyle name="Comma 10 5 5 2" xfId="1933" xr:uid="{6531FC52-4F68-4390-BA82-6FE8994D57C5}"/>
    <cellStyle name="Comma 10 5 6" xfId="664" xr:uid="{01E1CB6D-C12D-421A-96CA-CCC5D7A32564}"/>
    <cellStyle name="Comma 10 5 6 2" xfId="1934" xr:uid="{6D4ABE53-3D97-418A-B6CE-AC10D20E125C}"/>
    <cellStyle name="Comma 10 5 7" xfId="665" xr:uid="{D616E348-A7ED-4DB1-8EEF-A87369C284CC}"/>
    <cellStyle name="Comma 10 5 7 2" xfId="1935" xr:uid="{49F49D17-14F8-400B-8C76-69F96842D6CB}"/>
    <cellStyle name="Comma 10 5 8" xfId="666" xr:uid="{DCB91B3D-D355-4F82-A024-FC2AE85CE54A}"/>
    <cellStyle name="Comma 10 5 8 2" xfId="1936" xr:uid="{F750F282-B89D-480F-AE41-8795F8257ECD}"/>
    <cellStyle name="Comma 10 5 9" xfId="667" xr:uid="{C8146671-8A0F-4C19-A0F1-0C6FAFB53DAF}"/>
    <cellStyle name="Comma 10 5 9 2" xfId="1937" xr:uid="{6BFF33E5-A6DC-4186-90D6-644167EC9539}"/>
    <cellStyle name="Comma 10 6" xfId="668" xr:uid="{A0F087C6-F1AF-4729-B822-C353028F8B61}"/>
    <cellStyle name="Comma 10 6 10" xfId="669" xr:uid="{AA194324-A27E-46B0-A0E1-E92278135E51}"/>
    <cellStyle name="Comma 10 6 10 2" xfId="1939" xr:uid="{F7CB2A6F-F8F6-4096-95BE-443E058A09FD}"/>
    <cellStyle name="Comma 10 6 11" xfId="670" xr:uid="{D16EE3C5-620B-40FD-8EA9-6B6BBC2DA267}"/>
    <cellStyle name="Comma 10 6 11 2" xfId="1940" xr:uid="{63C248DF-848F-49C7-82FD-40EA6B541298}"/>
    <cellStyle name="Comma 10 6 12" xfId="671" xr:uid="{FC6759B1-6DF7-4A60-AC3B-9DC200D7ED36}"/>
    <cellStyle name="Comma 10 6 12 2" xfId="1941" xr:uid="{688820DB-FA10-4784-AB09-E38A9CB50866}"/>
    <cellStyle name="Comma 10 6 13" xfId="672" xr:uid="{F4319121-8DAD-417B-8EC7-38DF02F7CA00}"/>
    <cellStyle name="Comma 10 6 13 2" xfId="1942" xr:uid="{8B944B2A-935F-47DD-981A-F703DAC99688}"/>
    <cellStyle name="Comma 10 6 14" xfId="673" xr:uid="{D3EE9501-848B-4CF8-8F76-2F1CBD20C4FE}"/>
    <cellStyle name="Comma 10 6 14 2" xfId="1943" xr:uid="{9BD1FF3A-1263-4202-8696-DAB336D0B1C3}"/>
    <cellStyle name="Comma 10 6 15" xfId="674" xr:uid="{920AD1E2-E3EE-4DEC-948D-5A1E6A51EBA6}"/>
    <cellStyle name="Comma 10 6 15 2" xfId="1944" xr:uid="{664119E0-863C-43F9-86D0-8473BEE4A484}"/>
    <cellStyle name="Comma 10 6 16" xfId="675" xr:uid="{2BB8D016-4D6E-4C07-B705-85CE0987B615}"/>
    <cellStyle name="Comma 10 6 16 2" xfId="1945" xr:uid="{D70CDEE0-7832-4923-9810-7526FB50B29A}"/>
    <cellStyle name="Comma 10 6 17" xfId="676" xr:uid="{D0B16CA4-9C09-44CC-A289-8565E4EC4AA9}"/>
    <cellStyle name="Comma 10 6 17 2" xfId="1946" xr:uid="{C4476624-BABF-43D1-8261-2EB11284AF0C}"/>
    <cellStyle name="Comma 10 6 18" xfId="1938" xr:uid="{A564F1D3-84D2-4161-ACAD-1A7A8D24710D}"/>
    <cellStyle name="Comma 10 6 2" xfId="677" xr:uid="{E6981EF8-9D74-4814-85A8-3D364591C474}"/>
    <cellStyle name="Comma 10 6 2 2" xfId="1947" xr:uid="{381126C4-4F49-43C0-A0C2-AFD36B4B657C}"/>
    <cellStyle name="Comma 10 6 3" xfId="678" xr:uid="{AD4DBDC0-6720-4516-9D3E-1BDB6A50F01E}"/>
    <cellStyle name="Comma 10 6 3 2" xfId="1948" xr:uid="{FF07685E-03CC-43C1-9B29-3D2AC25649AF}"/>
    <cellStyle name="Comma 10 6 4" xfId="679" xr:uid="{2BBAFBB7-7E54-463C-83DA-69BF43554BB5}"/>
    <cellStyle name="Comma 10 6 4 2" xfId="1949" xr:uid="{518E867F-3495-4E08-AB20-A875C9647118}"/>
    <cellStyle name="Comma 10 6 5" xfId="680" xr:uid="{0651DA68-BF30-4AE6-9986-7C3AB3F7AE55}"/>
    <cellStyle name="Comma 10 6 5 2" xfId="1950" xr:uid="{B1AAEE8D-DAE5-4F6B-BCD7-329025C418A6}"/>
    <cellStyle name="Comma 10 6 6" xfId="681" xr:uid="{5CF2964D-6111-480E-ACDB-BC47B3BB325A}"/>
    <cellStyle name="Comma 10 6 6 2" xfId="1951" xr:uid="{FF3BFBD3-D1A0-45B4-9369-6A98D879AE83}"/>
    <cellStyle name="Comma 10 6 7" xfId="682" xr:uid="{E0919E8E-23DE-4806-AEE4-5485F596E8DB}"/>
    <cellStyle name="Comma 10 6 7 2" xfId="1952" xr:uid="{8659A67B-E906-4F54-9A49-86D006D67BA8}"/>
    <cellStyle name="Comma 10 6 8" xfId="683" xr:uid="{9333AA75-D4D6-4BA9-BF7B-57635C378DAB}"/>
    <cellStyle name="Comma 10 6 8 2" xfId="1953" xr:uid="{E1653786-5379-4356-A706-21DF18E6DA14}"/>
    <cellStyle name="Comma 10 6 9" xfId="684" xr:uid="{11952A82-AFB0-4B1A-992F-9B032E55CAAD}"/>
    <cellStyle name="Comma 10 6 9 2" xfId="1954" xr:uid="{0DD183C4-4186-485B-8778-933AFA667F5C}"/>
    <cellStyle name="Comma 10 7" xfId="685" xr:uid="{6310379D-308A-474A-B4BE-A7ECD91F2A5B}"/>
    <cellStyle name="Comma 10 7 10" xfId="686" xr:uid="{53F9318D-F355-45A8-A3DA-A9A62F7CAC60}"/>
    <cellStyle name="Comma 10 7 10 2" xfId="1956" xr:uid="{7D383AF1-EC7A-421A-B395-F34822C23F62}"/>
    <cellStyle name="Comma 10 7 11" xfId="687" xr:uid="{601F46BA-820E-4009-B2B7-511653471536}"/>
    <cellStyle name="Comma 10 7 11 2" xfId="1957" xr:uid="{8C6EDC49-C288-492F-80C0-DBAFC49E3408}"/>
    <cellStyle name="Comma 10 7 12" xfId="688" xr:uid="{4FC7681F-E760-4F3B-94F6-42EB6644A41A}"/>
    <cellStyle name="Comma 10 7 12 2" xfId="1958" xr:uid="{F140B7D0-00AF-4E43-A93C-9199BCEDF075}"/>
    <cellStyle name="Comma 10 7 13" xfId="689" xr:uid="{91129CB1-4B5D-48E7-B43D-07EAF31055DA}"/>
    <cellStyle name="Comma 10 7 13 2" xfId="1959" xr:uid="{BC657FC7-6FC7-4C2F-96B5-9B4938EA0561}"/>
    <cellStyle name="Comma 10 7 14" xfId="690" xr:uid="{A58EC402-D0FA-4CD6-9EEB-B82941E38B35}"/>
    <cellStyle name="Comma 10 7 14 2" xfId="1960" xr:uid="{960427BD-69C0-4C28-8518-3F76B42A82F9}"/>
    <cellStyle name="Comma 10 7 15" xfId="691" xr:uid="{B9F03270-5DAE-4F7F-B672-C064D670F1AD}"/>
    <cellStyle name="Comma 10 7 15 2" xfId="1961" xr:uid="{8E429EEC-7231-4527-A11C-303B1EE058E3}"/>
    <cellStyle name="Comma 10 7 16" xfId="692" xr:uid="{1E51ECAF-492E-40B8-A310-8287B6CF8D39}"/>
    <cellStyle name="Comma 10 7 16 2" xfId="1962" xr:uid="{2359AC00-044B-4F0C-AA94-74C929D38802}"/>
    <cellStyle name="Comma 10 7 17" xfId="693" xr:uid="{4AF2D184-2D59-4D0B-BF3B-D612DF7FEC55}"/>
    <cellStyle name="Comma 10 7 17 2" xfId="1963" xr:uid="{A7021563-A4B2-4385-93B0-0D7117F6AECE}"/>
    <cellStyle name="Comma 10 7 18" xfId="1955" xr:uid="{613706D0-1465-483B-8146-30270DE44FEC}"/>
    <cellStyle name="Comma 10 7 2" xfId="694" xr:uid="{11A5EF60-CA6F-4565-8547-3C70FA4D5794}"/>
    <cellStyle name="Comma 10 7 2 2" xfId="1964" xr:uid="{C2A5821D-6E30-46AC-9484-B28B8A66842F}"/>
    <cellStyle name="Comma 10 7 3" xfId="695" xr:uid="{E7200722-838B-42BC-A48A-0C0690E44697}"/>
    <cellStyle name="Comma 10 7 3 2" xfId="1965" xr:uid="{0D8850D1-64B0-4289-B13D-9BD7FB94CDCB}"/>
    <cellStyle name="Comma 10 7 4" xfId="696" xr:uid="{57884AE6-3166-46D7-9BBC-6A779E380083}"/>
    <cellStyle name="Comma 10 7 4 2" xfId="1966" xr:uid="{23991276-A29F-4DF1-BCED-EBED2F80F113}"/>
    <cellStyle name="Comma 10 7 5" xfId="697" xr:uid="{C5F67A61-F957-4349-86B7-A9BC9D7D67FA}"/>
    <cellStyle name="Comma 10 7 5 2" xfId="1967" xr:uid="{A778CC53-379A-40B3-AEAE-13F040ACB629}"/>
    <cellStyle name="Comma 10 7 6" xfId="698" xr:uid="{506E4948-5F5E-48AF-80AE-18025378ABDF}"/>
    <cellStyle name="Comma 10 7 6 2" xfId="1968" xr:uid="{A3503509-FD6F-447B-A850-33CBBF68867A}"/>
    <cellStyle name="Comma 10 7 7" xfId="699" xr:uid="{E424DD1B-C514-4269-BE7B-A916BB98C0A7}"/>
    <cellStyle name="Comma 10 7 7 2" xfId="1969" xr:uid="{A671106E-599A-4BC0-92A5-06C69F2E93C4}"/>
    <cellStyle name="Comma 10 7 8" xfId="700" xr:uid="{7F0AEEB4-A22D-48F6-AA63-02E571BE3762}"/>
    <cellStyle name="Comma 10 7 8 2" xfId="1970" xr:uid="{2A055ED7-3990-4954-BEF2-D5EDE5AF2F00}"/>
    <cellStyle name="Comma 10 7 9" xfId="701" xr:uid="{224118A1-0914-4662-BB28-F9660BDA582E}"/>
    <cellStyle name="Comma 10 7 9 2" xfId="1971" xr:uid="{83A8FDF5-1893-4BCF-A973-DB7CE2291FE8}"/>
    <cellStyle name="Comma 10 8" xfId="702" xr:uid="{685FB878-3094-4989-9BE1-D4D87FF6950F}"/>
    <cellStyle name="Comma 10 8 10" xfId="703" xr:uid="{DCF9FD8D-5640-45D7-B0BC-2F8E8D611B8A}"/>
    <cellStyle name="Comma 10 8 10 2" xfId="1973" xr:uid="{027C4B68-09CA-40F9-978F-87E395E91C1D}"/>
    <cellStyle name="Comma 10 8 11" xfId="704" xr:uid="{1AD9A686-853D-456B-9626-F6CAFF52B41E}"/>
    <cellStyle name="Comma 10 8 11 2" xfId="1974" xr:uid="{012BA877-F81E-4F19-9B6F-F37A5F033CEB}"/>
    <cellStyle name="Comma 10 8 12" xfId="705" xr:uid="{9FF2108F-1E31-413A-970D-0A900550A2EF}"/>
    <cellStyle name="Comma 10 8 12 2" xfId="1975" xr:uid="{5E2859C1-397D-4B84-AD9F-74533FE11B36}"/>
    <cellStyle name="Comma 10 8 13" xfId="706" xr:uid="{0F5E0E42-EAC6-4626-9B81-AF8E43B21DC5}"/>
    <cellStyle name="Comma 10 8 13 2" xfId="1976" xr:uid="{8041A5FB-F4EB-4E9E-BE6F-8C2197CE590A}"/>
    <cellStyle name="Comma 10 8 14" xfId="707" xr:uid="{709C7362-54B1-4A54-88D3-2E488C565270}"/>
    <cellStyle name="Comma 10 8 14 2" xfId="1977" xr:uid="{A5631E9F-9C77-4D82-B9FF-ECEFCDB9CF0D}"/>
    <cellStyle name="Comma 10 8 15" xfId="708" xr:uid="{7901EB60-BD15-46E0-8CBC-2F22EDE31042}"/>
    <cellStyle name="Comma 10 8 15 2" xfId="1978" xr:uid="{CB0D0E06-D0DA-4A5D-8A9F-F39E716F99C4}"/>
    <cellStyle name="Comma 10 8 16" xfId="709" xr:uid="{FBEF22BE-4B68-48F2-8654-FD7E71FC2C48}"/>
    <cellStyle name="Comma 10 8 16 2" xfId="1979" xr:uid="{FF1D5D2E-D107-42C0-8A59-4FA4BCDA7961}"/>
    <cellStyle name="Comma 10 8 17" xfId="710" xr:uid="{22A4B79A-DA1E-47D7-BF7B-173217C2F6C5}"/>
    <cellStyle name="Comma 10 8 17 2" xfId="1980" xr:uid="{AAF1709E-236C-46DE-8C01-10E59DB9855C}"/>
    <cellStyle name="Comma 10 8 18" xfId="1972" xr:uid="{411F0917-8AAB-480C-8B97-0AE03180B3B5}"/>
    <cellStyle name="Comma 10 8 2" xfId="711" xr:uid="{BB220448-A0DD-4F75-BDC7-49F033A39FB9}"/>
    <cellStyle name="Comma 10 8 2 2" xfId="1981" xr:uid="{CBB08695-DFB9-4489-B90C-C81ECED8902F}"/>
    <cellStyle name="Comma 10 8 3" xfId="712" xr:uid="{D470C322-1663-4627-B6B3-62ED9EB7A14E}"/>
    <cellStyle name="Comma 10 8 3 2" xfId="1982" xr:uid="{7C8FD8B3-9866-4006-8F64-EC43ED55BC29}"/>
    <cellStyle name="Comma 10 8 4" xfId="713" xr:uid="{17FFA42E-F570-4670-8249-BD381A4036EF}"/>
    <cellStyle name="Comma 10 8 4 2" xfId="1983" xr:uid="{CC5EF21A-8A52-46D3-90A6-5F62AE98CBE5}"/>
    <cellStyle name="Comma 10 8 5" xfId="714" xr:uid="{FF7D0C85-CF9C-4661-A82F-1DB22A37B456}"/>
    <cellStyle name="Comma 10 8 5 2" xfId="1984" xr:uid="{424ACC16-D55B-4096-8CCF-25A04CE14EBD}"/>
    <cellStyle name="Comma 10 8 6" xfId="715" xr:uid="{AD2D4D8A-A8C9-4BE9-8F20-FF509335B25E}"/>
    <cellStyle name="Comma 10 8 6 2" xfId="1985" xr:uid="{E8727DEB-8D6D-41B0-8A15-EADC66E781C8}"/>
    <cellStyle name="Comma 10 8 7" xfId="716" xr:uid="{ED8C483C-D32C-41B6-A37A-B052E3E46E12}"/>
    <cellStyle name="Comma 10 8 7 2" xfId="1986" xr:uid="{B1F43B58-1CA7-4BC2-B8E0-D2886256DE6C}"/>
    <cellStyle name="Comma 10 8 8" xfId="717" xr:uid="{80ACA85A-5EB4-420F-913E-262E8AABDE9F}"/>
    <cellStyle name="Comma 10 8 8 2" xfId="1987" xr:uid="{9BCFC847-0CB2-4DFD-853A-43A84B7334FA}"/>
    <cellStyle name="Comma 10 8 9" xfId="718" xr:uid="{CD3784EF-1680-4E53-8277-12ED7322708D}"/>
    <cellStyle name="Comma 10 8 9 2" xfId="1988" xr:uid="{F5C8EFFA-2774-4BDC-9CAF-AB05877C166A}"/>
    <cellStyle name="Comma 2" xfId="13" xr:uid="{A61D540C-AE1E-4D4D-92C0-F95202360561}"/>
    <cellStyle name="Comma 2 10" xfId="720" xr:uid="{457B4402-E952-4201-BCAF-6CD1833ACF73}"/>
    <cellStyle name="Comma 2 10 2" xfId="1990" xr:uid="{A741ADC9-A7B1-44D1-BDEA-DACC717242E3}"/>
    <cellStyle name="Comma 2 11" xfId="721" xr:uid="{5D1CC6BA-B493-4072-888D-40A8B7080CAE}"/>
    <cellStyle name="Comma 2 11 2" xfId="1991" xr:uid="{03707D41-5FB3-4524-8A44-FF329B5804E3}"/>
    <cellStyle name="Comma 2 12" xfId="722" xr:uid="{28674E62-240F-481F-90B0-74317A921463}"/>
    <cellStyle name="Comma 2 12 2" xfId="1992" xr:uid="{3F8DCBA8-D12E-49BA-BB6F-AD3E17866374}"/>
    <cellStyle name="Comma 2 13" xfId="723" xr:uid="{2CC8797D-D477-45ED-BEB5-EC5D7BBA9F19}"/>
    <cellStyle name="Comma 2 13 2" xfId="1993" xr:uid="{7E0A3FDA-7560-45EE-B4B8-1D6440E46FBB}"/>
    <cellStyle name="Comma 2 14" xfId="724" xr:uid="{5868D227-F7E6-400E-9B83-B37D42348C8A}"/>
    <cellStyle name="Comma 2 14 2" xfId="1994" xr:uid="{71DEBCB6-6289-4481-9F2A-38A32DAE18ED}"/>
    <cellStyle name="Comma 2 15" xfId="725" xr:uid="{D0BEF60C-F481-4FD0-8815-468C3DE2A161}"/>
    <cellStyle name="Comma 2 15 2" xfId="1995" xr:uid="{1C5A0BA9-FEDE-4F4C-9A12-1CB201EF0FD8}"/>
    <cellStyle name="Comma 2 16" xfId="726" xr:uid="{64718D3B-C70F-4EA6-8A6B-7DEB9565EF7C}"/>
    <cellStyle name="Comma 2 16 2" xfId="1996" xr:uid="{997B4F16-33E0-4AE7-A1D1-F941284BDB0D}"/>
    <cellStyle name="Comma 2 17" xfId="1989" xr:uid="{678ECD57-07DD-4002-B2EB-8BEC649248F7}"/>
    <cellStyle name="Comma 2 17 2" xfId="3044" xr:uid="{88376351-AB03-4EDC-8DC5-4A6E69864B55}"/>
    <cellStyle name="Comma 2 17 3" xfId="3270" xr:uid="{FDF34113-DAAC-479F-BD7F-CFFDDBE6C464}"/>
    <cellStyle name="Comma 2 18" xfId="719" xr:uid="{68BE5806-72B0-4418-9288-B71C23B141F6}"/>
    <cellStyle name="Comma 2 19" xfId="69" xr:uid="{9610F7B9-4A47-4B5B-89F4-9D5CF8E74D3D}"/>
    <cellStyle name="Comma 2 2" xfId="70" xr:uid="{1DBE5042-963D-4C03-8D8C-EBE0B9BB4DA8}"/>
    <cellStyle name="Comma 2 2 2" xfId="1997" xr:uid="{2097AADB-C109-4459-8938-7C05EB1657C1}"/>
    <cellStyle name="Comma 2 2 3" xfId="727" xr:uid="{FB9C7B78-B9A9-4385-A937-68AB6B38294F}"/>
    <cellStyle name="Comma 2 3" xfId="728" xr:uid="{E86B344C-4CB5-48E0-85EA-93D165B5986B}"/>
    <cellStyle name="Comma 2 3 2" xfId="1998" xr:uid="{C963AF62-4B45-4B52-8299-1D7C63346A9A}"/>
    <cellStyle name="Comma 2 4" xfId="729" xr:uid="{3CAA294A-5D88-4F15-AC5C-E5B28F4AD9D4}"/>
    <cellStyle name="Comma 2 4 2" xfId="1999" xr:uid="{03795192-D5C6-4715-8D49-D7994F62879D}"/>
    <cellStyle name="Comma 2 5" xfId="730" xr:uid="{DD83AA56-9B87-4D55-9F5A-FDD3587CD6D3}"/>
    <cellStyle name="Comma 2 5 2" xfId="2000" xr:uid="{322734EB-C147-4EE9-8DE3-129FF57758D8}"/>
    <cellStyle name="Comma 2 6" xfId="731" xr:uid="{365F1B2B-787E-4BB9-B853-132EDF4C05C0}"/>
    <cellStyle name="Comma 2 6 2" xfId="2001" xr:uid="{DAAFDCDB-B243-4B69-8912-4277451DDACF}"/>
    <cellStyle name="Comma 2 7" xfId="732" xr:uid="{BFB01E1D-FE1D-4F27-8AD9-40747B0D9C9B}"/>
    <cellStyle name="Comma 2 7 2" xfId="2002" xr:uid="{AA802F14-38C4-464A-B77C-7B611429DDEE}"/>
    <cellStyle name="Comma 2 8" xfId="733" xr:uid="{91A97353-E6FD-4744-8DB5-3DBD03BDCE26}"/>
    <cellStyle name="Comma 2 8 2" xfId="2003" xr:uid="{22D4F75E-C87E-49BC-87F4-A808AE7DCCFD}"/>
    <cellStyle name="Comma 2 9" xfId="734" xr:uid="{0D2CB81B-4463-4035-9B8A-D431BC52B755}"/>
    <cellStyle name="Comma 2 9 2" xfId="2004" xr:uid="{27FA0B0C-D42B-4BAA-B298-861F613FC897}"/>
    <cellStyle name="Comma 3" xfId="735" xr:uid="{E7102116-AFFB-4FE5-BBC9-E976B08B6454}"/>
    <cellStyle name="Comma 3 2" xfId="736" xr:uid="{5EAA3E0A-1BC4-44DE-8845-C03854C636D9}"/>
    <cellStyle name="Comma 3 2 2" xfId="2006" xr:uid="{FA6EEEBA-E1A3-499F-BD09-79DF618E0386}"/>
    <cellStyle name="Comma 3 3" xfId="737" xr:uid="{9A925039-7088-4925-9C53-AB6872BE0733}"/>
    <cellStyle name="Comma 3 3 2" xfId="2007" xr:uid="{9676669E-85BE-46B8-80E0-034E4582FDD6}"/>
    <cellStyle name="Comma 3 4" xfId="738" xr:uid="{3AB76F7B-D9AC-45E5-98A9-5CEF0FD6F25E}"/>
    <cellStyle name="Comma 3 4 2" xfId="2008" xr:uid="{E863C0D7-A0AE-4C36-81A4-B1DE9816F7F8}"/>
    <cellStyle name="Comma 3 5" xfId="739" xr:uid="{AF5C12E4-55AB-47F0-A2AA-A71C535D7DC8}"/>
    <cellStyle name="Comma 3 5 2" xfId="2009" xr:uid="{4ED5298C-7741-4496-AE1C-6E948D1B6190}"/>
    <cellStyle name="Comma 3 6" xfId="740" xr:uid="{1EB1857A-0913-475E-934D-D0BF48F5EAB5}"/>
    <cellStyle name="Comma 3 6 2" xfId="2010" xr:uid="{3621EE82-D3BC-48EA-815F-7F2A7DCE49EF}"/>
    <cellStyle name="Comma 3 7" xfId="741" xr:uid="{4AD28A2C-FB58-4BF4-BC9A-7211A9B315E3}"/>
    <cellStyle name="Comma 3 7 2" xfId="2011" xr:uid="{A6AE7633-4D5B-40D7-9DF7-5EBDE952ED9B}"/>
    <cellStyle name="Comma 3 8" xfId="742" xr:uid="{4E51397F-3343-48B2-8AD0-4BD235D3014F}"/>
    <cellStyle name="Comma 3 8 2" xfId="2012" xr:uid="{6E06B369-B17D-4916-8D22-BD71B13B5C6D}"/>
    <cellStyle name="Comma 3 9" xfId="2005" xr:uid="{72173572-055B-4D73-8E81-0E4E7FC1A1D5}"/>
    <cellStyle name="Comma 4" xfId="12" xr:uid="{6D1FBBC5-2489-4F8C-9355-AE2FA890EC75}"/>
    <cellStyle name="Comma 4 10" xfId="743" xr:uid="{1A16D2FE-F041-4EF4-B908-ED9277E9244B}"/>
    <cellStyle name="Comma 4 2" xfId="744" xr:uid="{4BB1DEBB-E561-4BBC-A906-F84A41DA483A}"/>
    <cellStyle name="Comma 4 2 2" xfId="2014" xr:uid="{F70DB72D-5C38-420E-831E-E9336ECCC0E6}"/>
    <cellStyle name="Comma 4 3" xfId="745" xr:uid="{6B7AB720-2A6C-471B-986E-A89C7C521171}"/>
    <cellStyle name="Comma 4 3 2" xfId="2015" xr:uid="{464AB827-95CF-43BF-9A8E-44C1A08DA1FE}"/>
    <cellStyle name="Comma 4 4" xfId="746" xr:uid="{54433419-3E52-43A5-B387-03DC7CE93ECD}"/>
    <cellStyle name="Comma 4 4 2" xfId="2016" xr:uid="{1140743F-D139-40F5-96DC-EB1C683ACEEC}"/>
    <cellStyle name="Comma 4 5" xfId="747" xr:uid="{C13779E8-D4FA-4182-99BE-D393080DC0FE}"/>
    <cellStyle name="Comma 4 5 2" xfId="2017" xr:uid="{1EBDFE44-ACB2-4AA7-98EA-9A0FADBB4B15}"/>
    <cellStyle name="Comma 4 6" xfId="748" xr:uid="{E26C081C-4A3A-4094-89D4-9C8D0B3B9A35}"/>
    <cellStyle name="Comma 4 6 2" xfId="2018" xr:uid="{A5ED2E2E-0585-4493-AE1B-DE60B6D4FD03}"/>
    <cellStyle name="Comma 4 7" xfId="749" xr:uid="{A61EAEC1-1E3E-4F34-A051-9159A7EFBD14}"/>
    <cellStyle name="Comma 4 7 2" xfId="2019" xr:uid="{9E257290-26B8-4996-8013-BB47AB430535}"/>
    <cellStyle name="Comma 4 8" xfId="750" xr:uid="{F1ED5914-138D-4140-A4D3-D931088D6DDC}"/>
    <cellStyle name="Comma 4 8 2" xfId="2020" xr:uid="{0C14702B-D0D3-4194-ADCB-C7297A5D9A7D}"/>
    <cellStyle name="Comma 4 9" xfId="2013" xr:uid="{82633E47-53CD-4459-8169-D492566EE250}"/>
    <cellStyle name="Comma 5" xfId="751" xr:uid="{334529D4-17E2-4834-8F9E-E8937D2E8BFB}"/>
    <cellStyle name="Comma 5 2" xfId="752" xr:uid="{C2AB73FE-ED1C-43C0-9FB0-8BC95B319EDB}"/>
    <cellStyle name="Comma 5 2 2" xfId="2022" xr:uid="{1A59CD9B-DA66-45AC-AEB2-825C55B72AF2}"/>
    <cellStyle name="Comma 5 3" xfId="753" xr:uid="{EE397281-11E1-4F46-AD29-52B5C41736EA}"/>
    <cellStyle name="Comma 5 3 2" xfId="2023" xr:uid="{472460C3-591B-4938-BCB0-C80C810FA0A7}"/>
    <cellStyle name="Comma 5 4" xfId="754" xr:uid="{8EE3E234-B278-4756-B3FE-55ECF1CBD14C}"/>
    <cellStyle name="Comma 5 4 2" xfId="2024" xr:uid="{CA41A60E-2046-4054-9835-91E8A674EE07}"/>
    <cellStyle name="Comma 5 5" xfId="755" xr:uid="{8A839628-9395-4C46-B988-64C7C1DCD335}"/>
    <cellStyle name="Comma 5 5 2" xfId="2025" xr:uid="{F6EA6709-BBBE-47E0-BDCA-76E7122DA92D}"/>
    <cellStyle name="Comma 5 6" xfId="756" xr:uid="{FCCF0E1B-72A1-4B18-BDFF-D95A6ED9F9DA}"/>
    <cellStyle name="Comma 5 6 2" xfId="2026" xr:uid="{8DD9BBCF-CD1E-4F41-B9A2-27AAE2B7D9A5}"/>
    <cellStyle name="Comma 5 7" xfId="757" xr:uid="{131F0E21-2AA5-49F0-B565-223ED179E6B4}"/>
    <cellStyle name="Comma 5 7 2" xfId="2027" xr:uid="{BE732042-5402-47F1-9128-02CE3A428CD9}"/>
    <cellStyle name="Comma 5 8" xfId="758" xr:uid="{511FB845-A1B6-4018-B33A-000C728E0A26}"/>
    <cellStyle name="Comma 5 8 2" xfId="2028" xr:uid="{D7ACEC07-68FC-447D-BBBD-FEF8EC9F9BDD}"/>
    <cellStyle name="Comma 5 9" xfId="2021" xr:uid="{01FBD39E-097F-423F-9ED8-439EE7F6BAC5}"/>
    <cellStyle name="Comma 6" xfId="759" xr:uid="{0D0F060E-2C8D-42BB-B524-9127831C16EB}"/>
    <cellStyle name="Comma 6 2" xfId="760" xr:uid="{CC67D16B-6062-4AB1-8F98-48E8F2F62046}"/>
    <cellStyle name="Comma 6 2 2" xfId="2030" xr:uid="{6ABF593B-1FA4-4B50-8055-D28AC6A24DF1}"/>
    <cellStyle name="Comma 6 3" xfId="761" xr:uid="{9D23B708-DDCF-4F52-86ED-598A6A9545C6}"/>
    <cellStyle name="Comma 6 3 2" xfId="2031" xr:uid="{5CFE6746-7373-4C73-92DF-00BA232B463E}"/>
    <cellStyle name="Comma 6 4" xfId="762" xr:uid="{620D6185-3D61-4F9B-A73C-9719A4965FC7}"/>
    <cellStyle name="Comma 6 4 2" xfId="2032" xr:uid="{1FDD5E91-38FD-43A2-A63A-5E61E29858B3}"/>
    <cellStyle name="Comma 6 5" xfId="763" xr:uid="{F42FB48A-DBBE-4D8B-946C-CDF955AF8990}"/>
    <cellStyle name="Comma 6 5 2" xfId="2033" xr:uid="{FB3975B3-ECE3-4E3A-8F4D-8970E41B05DD}"/>
    <cellStyle name="Comma 6 6" xfId="764" xr:uid="{E2E27043-E051-447C-9F54-5D9A3F37EABC}"/>
    <cellStyle name="Comma 6 6 2" xfId="2034" xr:uid="{6B22332C-F5F0-4143-8AC2-8902C98484B2}"/>
    <cellStyle name="Comma 6 7" xfId="765" xr:uid="{29A40E54-297D-455D-A1F0-53D05C72B20C}"/>
    <cellStyle name="Comma 6 7 2" xfId="2035" xr:uid="{7C32630C-68B2-4F8E-8B90-B685EB6E0B4F}"/>
    <cellStyle name="Comma 6 8" xfId="766" xr:uid="{D9C1FB46-1A29-4C1E-A7CD-2E62C2358B8D}"/>
    <cellStyle name="Comma 6 8 2" xfId="2036" xr:uid="{3A1784A7-4738-4881-A3C5-67215640A644}"/>
    <cellStyle name="Comma 6 9" xfId="2029" xr:uid="{92BD759F-3E95-43DD-B734-2C1689C09BFB}"/>
    <cellStyle name="Comma 7" xfId="767" xr:uid="{96A55248-7CB4-4BC5-B7B8-D4DC1E44E499}"/>
    <cellStyle name="Comma 7 10" xfId="768" xr:uid="{17BAE6C3-384B-48AD-8328-CC99C555D64B}"/>
    <cellStyle name="Comma 7 10 2" xfId="2037" xr:uid="{84186FB3-6BF3-4AA1-8316-018C6AD4265C}"/>
    <cellStyle name="Comma 7 11" xfId="769" xr:uid="{DD518402-8887-4051-933F-DE7B5FB5F2CD}"/>
    <cellStyle name="Comma 7 11 2" xfId="2038" xr:uid="{69F94203-5E57-406B-A58B-C194A47C0AE4}"/>
    <cellStyle name="Comma 7 11 2 2" xfId="3045" xr:uid="{FAB866C0-049F-42F6-ADCC-A5E70742CD6F}"/>
    <cellStyle name="Comma 7 11 2 3" xfId="3271" xr:uid="{3AC12A4F-33D2-4077-8D97-92FD82C25D2C}"/>
    <cellStyle name="Comma 7 12" xfId="770" xr:uid="{9889B2C8-0826-4C24-99BD-C70EE6C640B2}"/>
    <cellStyle name="Comma 7 12 2" xfId="2039" xr:uid="{5AA42D96-1697-41C1-9BB3-D51268AB7740}"/>
    <cellStyle name="Comma 7 13" xfId="771" xr:uid="{9DD98C3B-7CB0-4706-97C4-94628CD22D0D}"/>
    <cellStyle name="Comma 7 13 2" xfId="2040" xr:uid="{C51ABC16-B03F-45F4-BE06-ECCFD7E6395E}"/>
    <cellStyle name="Comma 7 14" xfId="772" xr:uid="{4CABE1AF-AA2D-4292-BCBA-7DC7888F1489}"/>
    <cellStyle name="Comma 7 14 2" xfId="2041" xr:uid="{6D4557A5-D2F8-4166-A709-CDCBADAC8378}"/>
    <cellStyle name="Comma 7 15" xfId="773" xr:uid="{F3CE42FF-D459-4B90-AD94-333588108D8D}"/>
    <cellStyle name="Comma 7 15 2" xfId="2042" xr:uid="{2CEB20A8-3950-40E2-B464-CEB886471591}"/>
    <cellStyle name="Comma 7 16" xfId="774" xr:uid="{EAE2788F-79FD-4C29-ACF0-773495A41DFF}"/>
    <cellStyle name="Comma 7 16 2" xfId="2043" xr:uid="{857772C6-F0FA-444E-BCDF-715BBBA063B0}"/>
    <cellStyle name="Comma 7 16 2 2" xfId="3046" xr:uid="{8E4BFBD4-F08F-409B-AF21-BEE886DEAD1D}"/>
    <cellStyle name="Comma 7 16 2 3" xfId="3272" xr:uid="{47D01D58-65AC-4CBC-89E5-DDCE23E0C695}"/>
    <cellStyle name="Comma 7 17" xfId="775" xr:uid="{E0F68999-9F19-41D8-8F80-42D2A8177320}"/>
    <cellStyle name="Comma 7 17 2" xfId="2044" xr:uid="{53C3BBB6-8DCE-4E86-9BED-7523884A53F0}"/>
    <cellStyle name="Comma 7 17 2 2" xfId="3047" xr:uid="{E86B289C-5053-4DF0-93C6-7A9F5C19C141}"/>
    <cellStyle name="Comma 7 17 2 3" xfId="3273" xr:uid="{E6FC2801-3C3B-4188-9882-119805626EE7}"/>
    <cellStyle name="Comma 7 18" xfId="776" xr:uid="{7F1268F7-5AD7-4C5D-BBFD-BD7F7D3F095B}"/>
    <cellStyle name="Comma 7 18 2" xfId="2045" xr:uid="{E1C20859-16C2-4F36-9461-47A16868D4F0}"/>
    <cellStyle name="Comma 7 18 2 2" xfId="3048" xr:uid="{2ECD631D-57DB-438C-86B7-14FB30F8B37D}"/>
    <cellStyle name="Comma 7 18 2 3" xfId="3274" xr:uid="{559FEF51-3ED6-48C7-8932-153A09287A63}"/>
    <cellStyle name="Comma 7 19" xfId="777" xr:uid="{66EB5C11-93AA-41CE-8FBA-F0D49EDC06B1}"/>
    <cellStyle name="Comma 7 19 2" xfId="2046" xr:uid="{48A96DEC-C4E0-4BFF-9E3A-BA0C780BCA85}"/>
    <cellStyle name="Comma 7 19 2 2" xfId="3049" xr:uid="{517C9545-8995-4317-AD7E-E302F8830F72}"/>
    <cellStyle name="Comma 7 19 2 3" xfId="3275" xr:uid="{5879A8CE-C5F3-41FC-8F43-B5F8470AEF50}"/>
    <cellStyle name="Comma 7 2" xfId="778" xr:uid="{ACE14916-6CA1-4BA5-906E-760D741D393D}"/>
    <cellStyle name="Comma 7 2 2" xfId="2047" xr:uid="{D86BA182-39A1-4A64-9832-C3D6E5017D8B}"/>
    <cellStyle name="Comma 7 20" xfId="779" xr:uid="{1E301F2B-1B59-4EF3-AAA0-60080250A077}"/>
    <cellStyle name="Comma 7 20 2" xfId="2048" xr:uid="{E31757BB-16F6-4AB3-807E-DD8A7253FC1A}"/>
    <cellStyle name="Comma 7 20 2 2" xfId="3050" xr:uid="{01DB4538-E602-4A5D-8B9A-7BC433E4731A}"/>
    <cellStyle name="Comma 7 20 2 3" xfId="3276" xr:uid="{7FFADF91-3CA1-44E8-8CFB-C700F6C8AAB4}"/>
    <cellStyle name="Comma 7 21" xfId="780" xr:uid="{F9C4E23C-3639-4215-B81C-E1A75CD74846}"/>
    <cellStyle name="Comma 7 21 2" xfId="2049" xr:uid="{99B3D7C1-C830-46E7-95C3-83DE73EC7E7A}"/>
    <cellStyle name="Comma 7 21 2 2" xfId="3051" xr:uid="{A6BE2F3B-ADEE-446D-A46C-71F2F8C13502}"/>
    <cellStyle name="Comma 7 21 2 3" xfId="3277" xr:uid="{9B419183-34A2-4402-A734-33D55C0C9DCD}"/>
    <cellStyle name="Comma 7 3" xfId="781" xr:uid="{7D660B65-FA3C-463C-A374-74048D7813F5}"/>
    <cellStyle name="Comma 7 3 10" xfId="782" xr:uid="{0AA78045-EBF9-48EC-A68F-CF2CAA4AC277}"/>
    <cellStyle name="Comma 7 3 10 2" xfId="2051" xr:uid="{B3E72D1D-0AF7-4867-8912-D091B2FA27AA}"/>
    <cellStyle name="Comma 7 3 11" xfId="783" xr:uid="{772CF4F1-82C1-412C-BCC9-F1C76052A376}"/>
    <cellStyle name="Comma 7 3 11 2" xfId="2052" xr:uid="{592E6C81-5494-4C30-9E86-A7E0302BBEBD}"/>
    <cellStyle name="Comma 7 3 12" xfId="784" xr:uid="{459BA6E8-6407-48F7-AFCD-683B5D530FB6}"/>
    <cellStyle name="Comma 7 3 12 2" xfId="2053" xr:uid="{0A3AAA67-025C-42D8-8E51-1A4D17A49921}"/>
    <cellStyle name="Comma 7 3 13" xfId="785" xr:uid="{EFB31D48-9B8A-4A88-914E-F9688B9C8F39}"/>
    <cellStyle name="Comma 7 3 13 2" xfId="2054" xr:uid="{1681FB04-F105-4253-B370-4156D6653049}"/>
    <cellStyle name="Comma 7 3 14" xfId="786" xr:uid="{C5BCA021-1AC1-4CEB-8BFA-331475A262BC}"/>
    <cellStyle name="Comma 7 3 14 2" xfId="2055" xr:uid="{28E5E0BC-11D9-417B-AE13-35C7B1CEF074}"/>
    <cellStyle name="Comma 7 3 15" xfId="787" xr:uid="{6F836998-923B-42EB-8482-30ED428F6ABB}"/>
    <cellStyle name="Comma 7 3 15 2" xfId="2056" xr:uid="{08F94C4B-5ABA-4877-881F-F5246717B91F}"/>
    <cellStyle name="Comma 7 3 16" xfId="2050" xr:uid="{B1311D9B-8E07-49FB-90CA-DC6B280F289A}"/>
    <cellStyle name="Comma 7 3 16 2" xfId="3052" xr:uid="{C0882FE6-04A4-433D-9EC8-C14767A7F1EF}"/>
    <cellStyle name="Comma 7 3 16 3" xfId="3278" xr:uid="{138BFDD8-342F-44D7-B33B-2E500C1F45B0}"/>
    <cellStyle name="Comma 7 3 2" xfId="788" xr:uid="{5D4DC08B-0F2B-4B1D-ABBC-39A97B16F6B0}"/>
    <cellStyle name="Comma 7 3 2 2" xfId="2057" xr:uid="{40A15329-EBC1-4143-97D1-03275EF38210}"/>
    <cellStyle name="Comma 7 3 3" xfId="789" xr:uid="{13718062-EFBF-43F2-8E46-E1D518F482F0}"/>
    <cellStyle name="Comma 7 3 3 2" xfId="2058" xr:uid="{2C50F1D5-C2E6-49CF-B2D1-6D6F01A5A9AD}"/>
    <cellStyle name="Comma 7 3 4" xfId="790" xr:uid="{0AE78457-E10E-4358-89C3-C39ECAFA4248}"/>
    <cellStyle name="Comma 7 3 4 2" xfId="2059" xr:uid="{627C132E-0A82-4983-A5CB-61853B64DE91}"/>
    <cellStyle name="Comma 7 3 5" xfId="791" xr:uid="{41FC5E8B-3D2F-4FDB-AB15-7023EE189CC3}"/>
    <cellStyle name="Comma 7 3 5 2" xfId="2060" xr:uid="{72AC6212-14D4-4B7D-8C4B-721C88B37D23}"/>
    <cellStyle name="Comma 7 3 6" xfId="792" xr:uid="{080E7B8D-31FF-431E-85DF-FDA1119DAF85}"/>
    <cellStyle name="Comma 7 3 6 2" xfId="2061" xr:uid="{AB43B33D-5426-459E-9E67-1E0B26146FAB}"/>
    <cellStyle name="Comma 7 3 7" xfId="793" xr:uid="{F30CCA71-B5A3-4C7A-ABC8-5D23A0E4A2E1}"/>
    <cellStyle name="Comma 7 3 7 2" xfId="2062" xr:uid="{36A30098-695A-4D88-958A-401910EDC554}"/>
    <cellStyle name="Comma 7 3 8" xfId="794" xr:uid="{16AC214E-1E85-4F3B-A784-B036CFF65C8C}"/>
    <cellStyle name="Comma 7 3 8 2" xfId="2063" xr:uid="{160C2ECD-BB14-4DE7-BAE8-52C820EC115A}"/>
    <cellStyle name="Comma 7 3 9" xfId="795" xr:uid="{2E43687C-A01C-4035-B3CC-EC53F30EC86C}"/>
    <cellStyle name="Comma 7 3 9 2" xfId="2064" xr:uid="{9E121922-AFE5-4C82-837D-2F3593043379}"/>
    <cellStyle name="Comma 7 4" xfId="796" xr:uid="{84622B39-A7E8-4730-B990-35AEDFDE0725}"/>
    <cellStyle name="Comma 7 4 2" xfId="2065" xr:uid="{289036C3-FA8C-4435-9BFB-60E24C869223}"/>
    <cellStyle name="Comma 7 5" xfId="797" xr:uid="{CB1993BD-A9B9-4FE9-8FB4-F55700BAF2FF}"/>
    <cellStyle name="Comma 7 5 2" xfId="2066" xr:uid="{805FA019-B38C-42B4-9F81-8B504AC63206}"/>
    <cellStyle name="Comma 7 6" xfId="798" xr:uid="{BC46EEF5-4D54-4D00-81B8-F08EE9C2227F}"/>
    <cellStyle name="Comma 7 6 2" xfId="2067" xr:uid="{3F7C6ED6-0198-4EA8-877D-31445E42006A}"/>
    <cellStyle name="Comma 7 7" xfId="799" xr:uid="{91164D91-B1F8-4A26-9BCF-831A084DBB81}"/>
    <cellStyle name="Comma 7 7 2" xfId="2068" xr:uid="{EE5094D3-636F-422A-B592-F3956B254B7A}"/>
    <cellStyle name="Comma 7 8" xfId="800" xr:uid="{1FE64219-F1CE-443A-B1A4-C1944B1A4153}"/>
    <cellStyle name="Comma 7 8 2" xfId="2069" xr:uid="{7F1CAB5E-F934-471B-B3CE-837AF27A69CB}"/>
    <cellStyle name="Comma 7 9" xfId="801" xr:uid="{332D2AD0-0E1F-436B-9F9F-EC86D061CC72}"/>
    <cellStyle name="Comma 7 9 2" xfId="2070" xr:uid="{4F6CFA28-49E2-4790-9F05-029791DC5519}"/>
    <cellStyle name="Comma 8" xfId="802" xr:uid="{4D712A35-3C5F-4707-9130-AE25F3E2158A}"/>
    <cellStyle name="Comma 8 2" xfId="803" xr:uid="{303FF30A-6675-487A-99FC-24A29D848A84}"/>
    <cellStyle name="Comma 8 2 2" xfId="2071" xr:uid="{8192B348-DA6D-4B8D-9FCE-F501434519C8}"/>
    <cellStyle name="Comma 8 2 2 2" xfId="3053" xr:uid="{8B4BAD3D-1F46-428B-B96C-A55F407E72FB}"/>
    <cellStyle name="Comma 8 2 2 3" xfId="3279" xr:uid="{3166E29B-8B87-440B-8B85-7C3D095E6C12}"/>
    <cellStyle name="Comma 8 3" xfId="804" xr:uid="{3758609A-86B8-4338-940D-9B824DC0A941}"/>
    <cellStyle name="Comma 8 3 2" xfId="2072" xr:uid="{0DD831F5-BEEE-497D-A6AA-D806A2643AE3}"/>
    <cellStyle name="Comma 8 3 2 2" xfId="3054" xr:uid="{98F00CEE-A78A-4172-87A0-87A6CF41FAF5}"/>
    <cellStyle name="Comma 8 3 2 3" xfId="3280" xr:uid="{CDD29512-B5CC-463B-8536-DAFDE9548134}"/>
    <cellStyle name="Comma 8 4" xfId="805" xr:uid="{187413E0-DC46-4F4F-8FBB-4A73AA1F7D12}"/>
    <cellStyle name="Comma 8 4 2" xfId="2073" xr:uid="{B420C2BF-F3F0-413B-BE25-AB3396E383E2}"/>
    <cellStyle name="Comma 8 4 2 2" xfId="3055" xr:uid="{21032464-8C94-40AC-B6F4-560F1D5BCC3D}"/>
    <cellStyle name="Comma 8 4 2 3" xfId="3281" xr:uid="{2A9CE666-073F-4FE6-8126-752185F8E754}"/>
    <cellStyle name="Comma 8 5" xfId="806" xr:uid="{4A2818E9-C63A-4B23-B066-56D8810F628F}"/>
    <cellStyle name="Comma 8 5 2" xfId="2074" xr:uid="{F3EC35AB-6E58-45B7-8CF9-328CC5950BB4}"/>
    <cellStyle name="Comma 8 5 2 2" xfId="3056" xr:uid="{AAC8DC10-F4D0-4511-A6A9-01D93F7992D2}"/>
    <cellStyle name="Comma 8 5 2 3" xfId="3282" xr:uid="{1C9F7FA2-2997-4681-B4EC-9C0E848D6FEE}"/>
    <cellStyle name="Comma 8 6" xfId="807" xr:uid="{89710364-6B75-4370-8FD2-45575953C6F6}"/>
    <cellStyle name="Comma 8 6 2" xfId="2075" xr:uid="{F06ECB28-BA5F-4A69-9148-EFFA2FF98782}"/>
    <cellStyle name="Comma 8 6 2 2" xfId="3057" xr:uid="{6D03A349-54FD-4765-8093-407E09F9C4A0}"/>
    <cellStyle name="Comma 8 6 2 3" xfId="3283" xr:uid="{0146C068-0354-4161-9A1E-14129E2B2FE2}"/>
    <cellStyle name="Comma 8 7" xfId="808" xr:uid="{6053BC5B-D33E-477D-82E6-79C2CD914D46}"/>
    <cellStyle name="Comma 8 7 2" xfId="2076" xr:uid="{3BFBB3DD-7A6C-4181-9ADC-94ECCF1BEC5D}"/>
    <cellStyle name="Comma 8 7 2 2" xfId="3058" xr:uid="{11DD9372-C99A-45AF-A7A6-72DCACCC8E99}"/>
    <cellStyle name="Comma 8 7 2 3" xfId="3284" xr:uid="{1B610150-E8F7-4BDC-9EC6-FF62900E700E}"/>
    <cellStyle name="Comma 8 8" xfId="809" xr:uid="{19998BAD-3134-40BD-8263-26B23BACBE6D}"/>
    <cellStyle name="Comma 8 8 2" xfId="2077" xr:uid="{C3B182D7-30B7-44C9-8E7C-8D853F98F545}"/>
    <cellStyle name="Comma 8 8 2 2" xfId="3059" xr:uid="{4A1195FE-AAA8-479A-9AD1-A10E6101470C}"/>
    <cellStyle name="Comma 8 8 2 3" xfId="3285" xr:uid="{F631BCAC-20EA-45E7-A140-FC9B13E993A0}"/>
    <cellStyle name="Comma 9 2" xfId="810" xr:uid="{CD2F534D-B70E-4CAF-87B9-7DF98B831A52}"/>
    <cellStyle name="Comma 9 2 2" xfId="2078" xr:uid="{0617CB91-0C5F-43E8-9FEA-D3C8D919AA64}"/>
    <cellStyle name="Comma 9 3" xfId="811" xr:uid="{56E38D6C-DE0A-4F95-BF9C-FBB182764F2C}"/>
    <cellStyle name="Comma 9 4" xfId="812" xr:uid="{E36FADBA-812C-4A85-8522-8B41760A5357}"/>
    <cellStyle name="Comma 9 5" xfId="813" xr:uid="{C94B6FC9-8946-4A2E-A91C-D853F75F9C2A}"/>
    <cellStyle name="Comma 9 6" xfId="814" xr:uid="{7E594F41-1E28-40BB-8D6D-0EF4B6CA90A3}"/>
    <cellStyle name="Comma 9 7" xfId="815" xr:uid="{F553B121-7293-4864-8EFA-0C5A622BFB38}"/>
    <cellStyle name="Comma 9 8" xfId="816" xr:uid="{5E9E35B8-49AF-48E0-AC43-849F1A101648}"/>
    <cellStyle name="Comma 9 9" xfId="817" xr:uid="{28B285EC-2B82-4181-AC84-DB5AE2FFD3B5}"/>
    <cellStyle name="Currency 2 2" xfId="818" xr:uid="{BF92DBB3-1F68-4419-8A63-37FD66BF2E7D}"/>
    <cellStyle name="Currency 2 2 2" xfId="2079" xr:uid="{8568AEB0-41BF-45BD-8583-A4FE2CBEEA39}"/>
    <cellStyle name="CustomizationCells" xfId="195" xr:uid="{9DBCF322-466F-45F2-A693-6D57F39C7920}"/>
    <cellStyle name="Date" xfId="819" xr:uid="{2EEC9E5C-F694-4F6C-812C-2939111A9F97}"/>
    <cellStyle name="Date 2" xfId="820" xr:uid="{7BB6495D-03E7-40D8-B9AA-E0566D0C5D14}"/>
    <cellStyle name="donn_normal" xfId="821" xr:uid="{C04CAB86-F488-4086-AFF7-2B38C0E5B353}"/>
    <cellStyle name="ent_col_ser" xfId="822" xr:uid="{94A0964A-66FF-4BB0-918D-7DF769C3FCF0}"/>
    <cellStyle name="entete_source" xfId="823" xr:uid="{106AC132-A9A9-4F99-B9C8-9071F41C7991}"/>
    <cellStyle name="Euro" xfId="71" xr:uid="{DDF9542C-A5A4-4D91-AAC0-83F20988F872}"/>
    <cellStyle name="Euro 2" xfId="72" xr:uid="{16660224-F05D-4292-A5CB-66BFDB66C88B}"/>
    <cellStyle name="Euro 2 2" xfId="73" xr:uid="{0B5A53F8-B4B8-4561-B7C5-1C46B48E07A2}"/>
    <cellStyle name="Euro 2 2 2" xfId="74" xr:uid="{4BEFE424-21A8-48E8-88B3-75EBE201BCA3}"/>
    <cellStyle name="Euro 2 2 2 2" xfId="2082" xr:uid="{C2722E80-DEA6-4D0A-B3B0-BA094BF11DFA}"/>
    <cellStyle name="Euro 2 2 2 3" xfId="826" xr:uid="{5FD56CC9-BCE9-4F6F-85D0-1DB384497F0C}"/>
    <cellStyle name="Euro 2 2 3" xfId="2081" xr:uid="{4871DC8E-84CD-4D32-999C-89C9B0599A12}"/>
    <cellStyle name="Euro 2 2 4" xfId="825" xr:uid="{48709254-F040-45EC-A70E-2226E9970D07}"/>
    <cellStyle name="Euro 2 3" xfId="827" xr:uid="{9C08BD78-3071-4DAE-86D0-E5F37F6EEF28}"/>
    <cellStyle name="Euro 2 3 2" xfId="2083" xr:uid="{2424104D-DF09-4026-9016-2F6FDADD4EF2}"/>
    <cellStyle name="Euro 2 4" xfId="2080" xr:uid="{20EC07E1-714F-46E1-9E30-7C78482A7422}"/>
    <cellStyle name="Euro 2 5" xfId="824" xr:uid="{99F62FD3-D166-45E2-AE58-74DAC3BC2D72}"/>
    <cellStyle name="Euro 3" xfId="75" xr:uid="{C4B606F6-F40E-4EF2-A345-3943F5885B89}"/>
    <cellStyle name="Euro 3 2" xfId="2084" xr:uid="{CC549C51-4919-43D8-8359-6D5C1BD63A00}"/>
    <cellStyle name="Euro 3 3" xfId="828" xr:uid="{86B7A98A-3AFD-442D-9DE9-74B46860E68C}"/>
    <cellStyle name="Euro 4" xfId="76" xr:uid="{D146E777-E009-4764-A153-F1DC25DE946B}"/>
    <cellStyle name="Euro 4 2" xfId="2085" xr:uid="{6F3C8D1B-1259-4949-82C6-9EA2CC652B06}"/>
    <cellStyle name="Euro 4 3" xfId="829" xr:uid="{FE84EAA9-BF26-4DF9-B25F-8BEDA43653E9}"/>
    <cellStyle name="Euro 5" xfId="196" xr:uid="{DA6099A7-FC83-424C-A427-A66E4A13E2DF}"/>
    <cellStyle name="Explanatory Text 2" xfId="77" xr:uid="{417FCB6D-F6A6-45D2-A56E-03223EF66746}"/>
    <cellStyle name="Explanatory Text 2 10" xfId="830" xr:uid="{B1669045-115B-47E8-B5C4-C545A31E9D03}"/>
    <cellStyle name="Explanatory Text 2 2" xfId="831" xr:uid="{BC97FDA6-8A2B-4C73-9954-86E806061B5E}"/>
    <cellStyle name="Explanatory Text 2 3" xfId="832" xr:uid="{6F9143BE-0B26-45FF-9215-37C4CF9DA095}"/>
    <cellStyle name="Explanatory Text 2 4" xfId="833" xr:uid="{14EFB5B9-E142-40F2-B127-C7FF3288398F}"/>
    <cellStyle name="Explanatory Text 2 5" xfId="834" xr:uid="{E9AB2FD6-7D1E-49B5-904C-02C7C284E9B9}"/>
    <cellStyle name="Explanatory Text 2 6" xfId="835" xr:uid="{D2ED2280-4B74-46C3-A9EE-3D48FCA8251B}"/>
    <cellStyle name="Explanatory Text 2 7" xfId="836" xr:uid="{17F2A977-01B4-431D-8541-290B217E6112}"/>
    <cellStyle name="Explanatory Text 2 8" xfId="837" xr:uid="{F3C088B4-0775-46C1-A1EC-01D29A758904}"/>
    <cellStyle name="Explanatory Text 2 9" xfId="838" xr:uid="{8CCBBCBA-5EB1-41EA-BE28-DC38C7DF56A1}"/>
    <cellStyle name="Explanatory Text 3" xfId="78" xr:uid="{DE118267-23E7-4A49-9617-8F9DE5C7E38A}"/>
    <cellStyle name="Fixed" xfId="839" xr:uid="{2AAE62E5-7FBE-4DED-877D-40AD5C96C7B4}"/>
    <cellStyle name="Fixed 2" xfId="840" xr:uid="{0067E2B7-9476-4AAA-A47E-324314185393}"/>
    <cellStyle name="Float" xfId="79" xr:uid="{F1DB167E-752C-4D8B-B695-8DFBFCFAF3BB}"/>
    <cellStyle name="Float 2" xfId="80" xr:uid="{430BE6D7-D029-4CC6-B151-1C634286A6C1}"/>
    <cellStyle name="Good" xfId="4" builtinId="26"/>
    <cellStyle name="Good 2" xfId="81" xr:uid="{A9C916BA-B635-496B-8F36-182D4585EA14}"/>
    <cellStyle name="Good 2 10" xfId="841" xr:uid="{819EF471-760A-4A5C-810D-C570FEFD86EF}"/>
    <cellStyle name="Good 2 2" xfId="842" xr:uid="{42028EE5-AB7D-4953-AB21-590BFF7BE568}"/>
    <cellStyle name="Good 2 3" xfId="843" xr:uid="{6BD037DA-37B5-4668-B27E-B11C5CB78A75}"/>
    <cellStyle name="Good 2 4" xfId="844" xr:uid="{694CFEF5-2F26-4291-B3DD-62D7DC1B1E62}"/>
    <cellStyle name="Good 2 5" xfId="845" xr:uid="{9FF050FE-F40F-43D2-8151-5B8797596FE1}"/>
    <cellStyle name="Good 2 6" xfId="846" xr:uid="{40CDA493-4D1E-4E39-A50A-7D532DF28B95}"/>
    <cellStyle name="Good 2 7" xfId="847" xr:uid="{9AC3DD50-3A7D-4747-A969-731E013D5683}"/>
    <cellStyle name="Good 2 8" xfId="848" xr:uid="{3A4E4D4C-D682-45AA-8182-3013FC2E837E}"/>
    <cellStyle name="Good 2 9" xfId="849" xr:uid="{4934931E-5F11-4120-87A6-07C8A599E366}"/>
    <cellStyle name="Good 3" xfId="82" xr:uid="{6AF89BF4-4660-4AEC-A6D0-2FA119F51EC2}"/>
    <cellStyle name="Good 3 2" xfId="850" xr:uid="{197FA914-F901-4F7D-99FC-E6C81F874203}"/>
    <cellStyle name="Heading 1 2" xfId="83" xr:uid="{9F086FE4-1E6D-4A23-9B08-D15F6BEB75C0}"/>
    <cellStyle name="Heading 1 2 10" xfId="851" xr:uid="{F3E85E3B-5B68-4DB6-8DE5-006CD617AF8F}"/>
    <cellStyle name="Heading 1 2 2" xfId="852" xr:uid="{8BDEABD8-C925-4F27-BBB9-7D58709E72B4}"/>
    <cellStyle name="Heading 1 2 3" xfId="853" xr:uid="{88F33A1C-65B6-4AD6-80DA-704C3CB99ED2}"/>
    <cellStyle name="Heading 1 2 4" xfId="854" xr:uid="{9A538EEF-7514-47FB-861D-2F5889FDE14D}"/>
    <cellStyle name="Heading 1 2 5" xfId="855" xr:uid="{1DE63D11-BC9E-48D0-B42A-20E98C6D6181}"/>
    <cellStyle name="Heading 1 2 6" xfId="856" xr:uid="{6254C7BB-2857-4894-AC5A-96C959B8C930}"/>
    <cellStyle name="Heading 1 2 7" xfId="857" xr:uid="{74AA8E0A-71BB-4649-8A22-7DA9484F639D}"/>
    <cellStyle name="Heading 1 2 8" xfId="858" xr:uid="{22C698F9-75CD-44F5-BF36-7773033ED31E}"/>
    <cellStyle name="Heading 1 2 9" xfId="859" xr:uid="{44F4F2AC-3FDA-474B-B2A4-38849A7CA0F1}"/>
    <cellStyle name="Heading 1 3" xfId="84" xr:uid="{6AAC0C0C-2AF1-4724-9D50-BA5E19453013}"/>
    <cellStyle name="Heading 1 3 2" xfId="860" xr:uid="{1A9C272C-37B7-47B7-9D06-FCF52966D994}"/>
    <cellStyle name="Heading 2 2" xfId="85" xr:uid="{67DE215B-34CB-4163-BF3E-873CE15E2755}"/>
    <cellStyle name="Heading 2 2 10" xfId="861" xr:uid="{16F9A905-AD9E-40E1-BDCE-1BB77DF4090E}"/>
    <cellStyle name="Heading 2 2 2" xfId="862" xr:uid="{A8A8C8B3-266B-4C19-ADE5-34160B9DC020}"/>
    <cellStyle name="Heading 2 2 3" xfId="863" xr:uid="{E95A19C8-7781-4684-94DB-1B390A6EAB55}"/>
    <cellStyle name="Heading 2 2 4" xfId="864" xr:uid="{831D303A-AFCD-4597-9FA8-89E508F24FB7}"/>
    <cellStyle name="Heading 2 2 5" xfId="865" xr:uid="{A03B9506-E063-402E-AFE3-216B40A952FA}"/>
    <cellStyle name="Heading 2 2 6" xfId="866" xr:uid="{1DA37A3A-467E-499A-A45B-3EC4F153B110}"/>
    <cellStyle name="Heading 2 2 7" xfId="867" xr:uid="{633B14EC-84C2-415C-B922-A1AEF081EC50}"/>
    <cellStyle name="Heading 2 2 8" xfId="868" xr:uid="{E56DF626-A293-4866-8906-98564CF321E0}"/>
    <cellStyle name="Heading 2 2 9" xfId="869" xr:uid="{33B7D5D8-A043-4258-B659-0C5A88CD49A1}"/>
    <cellStyle name="Heading 2 3" xfId="86" xr:uid="{D974F753-1434-4901-88DE-8069593CD591}"/>
    <cellStyle name="Heading 2 3 2" xfId="870" xr:uid="{F8638C3D-1CE7-45DC-B2F6-6E533247BD8F}"/>
    <cellStyle name="Heading 3" xfId="9" builtinId="18"/>
    <cellStyle name="Heading 3 2" xfId="87" xr:uid="{9DB5BE07-163E-4887-8541-75BD3ACBEFA4}"/>
    <cellStyle name="Heading 3 2 10" xfId="871" xr:uid="{40E7F691-87A8-434D-A92E-C794FDC8357E}"/>
    <cellStyle name="Heading 3 2 2" xfId="872" xr:uid="{39EFD654-DF92-44BD-99F5-00FDB4040E45}"/>
    <cellStyle name="Heading 3 2 3" xfId="873" xr:uid="{3DF8600A-EA61-4069-92A4-CA69CD631098}"/>
    <cellStyle name="Heading 3 2 4" xfId="874" xr:uid="{0D1B0D6A-C19A-4811-9B5C-7741E754C7DE}"/>
    <cellStyle name="Heading 3 2 5" xfId="875" xr:uid="{0C93CB68-17EE-441C-AF0B-4D3413B569D1}"/>
    <cellStyle name="Heading 3 2 6" xfId="876" xr:uid="{DE97D46B-DD06-4E08-9E12-F9E285BD363D}"/>
    <cellStyle name="Heading 3 2 7" xfId="877" xr:uid="{C4CA5DB2-CC05-448F-94E2-0D59A21EAC14}"/>
    <cellStyle name="Heading 3 2 8" xfId="878" xr:uid="{32C049E2-B386-4D0E-AE42-F56E37B5A657}"/>
    <cellStyle name="Heading 3 2 9" xfId="879" xr:uid="{C59B36B8-4104-4E18-B2C6-D7FEE5F83C89}"/>
    <cellStyle name="Heading 3 3" xfId="88" xr:uid="{750838B3-80F7-47B0-92EE-7ECFE93A231B}"/>
    <cellStyle name="Heading 3 3 2" xfId="880" xr:uid="{FB606A76-7AE8-4D14-82E0-FA2E9BBA40F4}"/>
    <cellStyle name="Heading 4 2" xfId="89" xr:uid="{80464CD8-10B1-47DB-8BF2-D300470E0A68}"/>
    <cellStyle name="Heading 4 2 10" xfId="881" xr:uid="{DB7C6004-BEE2-4BC6-8D6B-F632D3509419}"/>
    <cellStyle name="Heading 4 2 2" xfId="882" xr:uid="{51FEEED8-6A5C-437E-9141-586B5011D291}"/>
    <cellStyle name="Heading 4 2 3" xfId="883" xr:uid="{D9A7C0D7-3404-42F6-A180-188C6B7B67CD}"/>
    <cellStyle name="Heading 4 2 4" xfId="884" xr:uid="{0B656E72-58A4-40A7-9B13-8F4F07861AA0}"/>
    <cellStyle name="Heading 4 2 5" xfId="885" xr:uid="{81A04214-8F03-4809-94DD-D9321CF7F2E6}"/>
    <cellStyle name="Heading 4 2 6" xfId="886" xr:uid="{279259FA-D683-4900-9181-356219A91702}"/>
    <cellStyle name="Heading 4 2 7" xfId="887" xr:uid="{1CA11EFB-6CC0-45B8-A511-5A4D524A8512}"/>
    <cellStyle name="Heading 4 2 8" xfId="888" xr:uid="{4AFC0853-890A-4BB3-8826-6579D6CFE668}"/>
    <cellStyle name="Heading 4 2 9" xfId="889" xr:uid="{E853E836-7AC7-4F1A-9DB0-EE558FC785CC}"/>
    <cellStyle name="Heading 4 3" xfId="90" xr:uid="{6D752AFA-E860-46B7-802E-385B016D3E02}"/>
    <cellStyle name="Heading 4 3 2" xfId="890" xr:uid="{047F84F8-5C88-4849-8642-5B7ADB8E825D}"/>
    <cellStyle name="Heading1" xfId="891" xr:uid="{42CC7975-69DE-4716-A57B-7F91E5A39CC7}"/>
    <cellStyle name="Heading1 2" xfId="892" xr:uid="{B37BD857-23F6-479C-92D6-80EBE6859F06}"/>
    <cellStyle name="Heading2" xfId="893" xr:uid="{C914B3FC-CEE4-45FE-A419-DD3344172825}"/>
    <cellStyle name="Heading2 2" xfId="894" xr:uid="{2E0D2AA5-390E-4E27-9353-994DAFDE7036}"/>
    <cellStyle name="Hyperlink 2" xfId="895" xr:uid="{5378B8EF-B2E5-41EE-8347-98B8BAFA58F3}"/>
    <cellStyle name="Input" xfId="1" builtinId="20"/>
    <cellStyle name="Input 2" xfId="91" xr:uid="{1E3CD8C7-93E1-4C25-B885-F8B95BA2CC06}"/>
    <cellStyle name="Input 2 10" xfId="896" xr:uid="{FF280160-7812-4A86-BC69-45907903FC7F}"/>
    <cellStyle name="Input 2 2" xfId="897" xr:uid="{AD8D9412-4312-4F7A-AFF3-4D71520A08B8}"/>
    <cellStyle name="Input 2 3" xfId="898" xr:uid="{55E6327F-1AD5-41FB-A58C-7597E9C7BE73}"/>
    <cellStyle name="Input 2 4" xfId="899" xr:uid="{EB1CFDAD-37BA-4192-ABE9-C39D0BD52A68}"/>
    <cellStyle name="Input 2 5" xfId="900" xr:uid="{1D166613-09E3-46B5-9374-C79978820EE9}"/>
    <cellStyle name="Input 2 6" xfId="901" xr:uid="{8DE59AFC-4954-43D1-8D7D-469C6DCE1FE8}"/>
    <cellStyle name="Input 2 7" xfId="902" xr:uid="{D447C327-AF33-4827-9211-18622E921B0A}"/>
    <cellStyle name="Input 2 8" xfId="903" xr:uid="{D0E94322-74E1-4B02-9CAB-499DC91971E5}"/>
    <cellStyle name="Input 2 9" xfId="904" xr:uid="{78F8D2E1-F734-4465-BFE9-86A532F81262}"/>
    <cellStyle name="Input 3" xfId="92" xr:uid="{5C4D98D0-E806-4509-B487-035CA00BC959}"/>
    <cellStyle name="Input 3 2" xfId="905" xr:uid="{B26BC000-918D-4655-9D96-38B676A4D401}"/>
    <cellStyle name="InputCells" xfId="197" xr:uid="{A8C4C967-9140-4423-B254-8BE4656430B1}"/>
    <cellStyle name="ligne_titre_0" xfId="906" xr:uid="{EA84C60A-948A-48B2-BBD8-C187AD9D1D65}"/>
    <cellStyle name="Linked Cell" xfId="7" builtinId="24"/>
    <cellStyle name="Linked Cell 2" xfId="93" xr:uid="{E3AA7D56-306B-4850-A8F2-4FAD61B743D1}"/>
    <cellStyle name="Linked Cell 2 10" xfId="907" xr:uid="{ABF4E1B2-1C6F-4E79-95C2-649E7F7B6524}"/>
    <cellStyle name="Linked Cell 2 2" xfId="908" xr:uid="{A9C9E811-E486-452B-B605-6AD765EEF96A}"/>
    <cellStyle name="Linked Cell 2 3" xfId="909" xr:uid="{1A9C213A-391A-4166-B7A7-891B095E02D1}"/>
    <cellStyle name="Linked Cell 2 4" xfId="910" xr:uid="{BB0D26B4-5624-4F41-972B-1CADA2C92544}"/>
    <cellStyle name="Linked Cell 2 5" xfId="911" xr:uid="{9269AA50-C0ED-43E2-AD39-7E5534CF70B3}"/>
    <cellStyle name="Linked Cell 2 6" xfId="912" xr:uid="{FB50CE6A-C360-4355-B2E3-9ABC8B004A64}"/>
    <cellStyle name="Linked Cell 2 7" xfId="913" xr:uid="{A4D45425-5B9C-4C52-8E2B-9BE1AE82F61B}"/>
    <cellStyle name="Linked Cell 2 8" xfId="914" xr:uid="{9AE4DC52-C875-47BB-9B02-614248791542}"/>
    <cellStyle name="Linked Cell 2 9" xfId="915" xr:uid="{E2EE2B32-80D9-4D42-895C-433BE621ECC3}"/>
    <cellStyle name="Linked Cell 3" xfId="94" xr:uid="{391370E4-E77B-4D48-81E6-F38CE6C3E713}"/>
    <cellStyle name="Linked Cell 3 2" xfId="916" xr:uid="{FE4D7D5F-1DBE-4FC9-B4F8-18FB2B01FD47}"/>
    <cellStyle name="Migliaia_Oil&amp;Gas IFE ARC POLITO" xfId="917" xr:uid="{747A9325-6C2A-4B1A-A202-BE30DAB42E50}"/>
    <cellStyle name="Neutral" xfId="14" builtinId="28"/>
    <cellStyle name="Neutral 2" xfId="95" xr:uid="{162C40B4-EA0E-4DEF-BFDA-B148A603B6A8}"/>
    <cellStyle name="Neutral 2 10" xfId="918" xr:uid="{E2C00C9B-0752-476E-98EF-1C88B645647B}"/>
    <cellStyle name="Neutral 2 2" xfId="919" xr:uid="{B059E6C8-6FC5-4540-AB17-E1D086D9EF88}"/>
    <cellStyle name="Neutral 2 3" xfId="920" xr:uid="{FC5938CE-C2E9-4982-8AAB-CF36D660D912}"/>
    <cellStyle name="Neutral 2 4" xfId="921" xr:uid="{80A51224-E253-4D60-AE51-30FC13F2ED54}"/>
    <cellStyle name="Neutral 2 5" xfId="922" xr:uid="{9F3A28C3-55E6-4E0C-9B50-7BFB2A2FDECE}"/>
    <cellStyle name="Neutral 2 6" xfId="923" xr:uid="{47A1DC9E-ABA7-44F5-8716-6B02F1636347}"/>
    <cellStyle name="Neutral 2 7" xfId="924" xr:uid="{AC4E0A0F-0150-44A9-90FE-DB254B6D318B}"/>
    <cellStyle name="Neutral 2 8" xfId="925" xr:uid="{5A93EA3F-80BE-485D-BB35-D0D1F2C2CB9F}"/>
    <cellStyle name="Neutral 2 9" xfId="926" xr:uid="{B761344C-F1EF-4BA9-A6F1-55B6423711B9}"/>
    <cellStyle name="Neutral 3" xfId="96" xr:uid="{715CA084-B3A2-442A-8AA0-8DEECFB6A6EB}"/>
    <cellStyle name="Neutral 3 2" xfId="928" xr:uid="{32D8C854-74B4-4AAB-992A-3DF1562D64BD}"/>
    <cellStyle name="Neutral 3 3" xfId="927" xr:uid="{5065D636-F0D5-4FF6-84F2-6F3C3FDCCF93}"/>
    <cellStyle name="Normal" xfId="0" builtinId="0"/>
    <cellStyle name="Normal 10" xfId="97" xr:uid="{3E37F5ED-5008-423B-81DA-7F3BB93DE004}"/>
    <cellStyle name="Normal 10 2" xfId="198" xr:uid="{F1A6BC64-53AC-499D-BE37-53C6C8646BBF}"/>
    <cellStyle name="Normal 10 2 2" xfId="2087" xr:uid="{338FCECF-CF14-4CA2-B167-18972FD1C723}"/>
    <cellStyle name="Normal 10 3" xfId="929" xr:uid="{9DB0A6E7-703B-4980-AA8F-73C9E7ACE6B9}"/>
    <cellStyle name="Normal 10 3 2" xfId="2088" xr:uid="{99136B08-2DC2-4BA1-90DD-84C462F9BACB}"/>
    <cellStyle name="Normal 10 4" xfId="930" xr:uid="{1962B4A7-B653-4D51-86E7-A5A7A247C692}"/>
    <cellStyle name="Normal 10 4 2" xfId="2089" xr:uid="{28AA5E71-7A64-4235-AFCC-1BFF74EBDEF0}"/>
    <cellStyle name="Normal 10 5" xfId="931" xr:uid="{B5D602E1-B462-46D2-8C5D-3E16D5802A67}"/>
    <cellStyle name="Normal 10 5 2" xfId="2090" xr:uid="{CB967950-5DF9-42FD-B1D3-953EAF118161}"/>
    <cellStyle name="Normal 10 6" xfId="932" xr:uid="{97150053-ABF9-4A9F-92ED-7C58923CA188}"/>
    <cellStyle name="Normal 10 6 2" xfId="2091" xr:uid="{F7C73B69-794A-49EC-9A5E-6FE53C1C3CE7}"/>
    <cellStyle name="Normal 10 7" xfId="933" xr:uid="{A8723785-3FEF-4E7F-A990-455F76D68D56}"/>
    <cellStyle name="Normal 10 7 2" xfId="2092" xr:uid="{CFA30FFE-E6D2-42E4-A9D1-14E3C5D46783}"/>
    <cellStyle name="Normal 10 8" xfId="934" xr:uid="{605103BC-8FF0-4463-9937-D908F7A88A7C}"/>
    <cellStyle name="Normal 10 8 2" xfId="2093" xr:uid="{F0CA569E-17AC-4964-BB3F-219CBD38966D}"/>
    <cellStyle name="Normal 10 9" xfId="2086" xr:uid="{9F0E0593-4D2D-4655-BEBF-5278F4FF7E21}"/>
    <cellStyle name="Normal 11" xfId="189" xr:uid="{2B7A2F37-CB54-4FE4-912D-EA85DFA320E6}"/>
    <cellStyle name="Normal 11 10" xfId="935" xr:uid="{DBD04142-7C2B-4E65-B52C-EEDEFD5434DE}"/>
    <cellStyle name="Normal 11 2" xfId="936" xr:uid="{9AAC1070-BDFB-446D-829A-BB6F1D2C6D93}"/>
    <cellStyle name="Normal 11 2 2" xfId="2095" xr:uid="{573A3BD9-AB22-441D-9C2B-B2D2EF2A1503}"/>
    <cellStyle name="Normal 11 3" xfId="937" xr:uid="{48D15EC9-0DA4-45C2-BF78-D92517AE0F82}"/>
    <cellStyle name="Normal 11 3 2" xfId="2096" xr:uid="{693D7A1A-AF37-4868-9239-B35F93A3463F}"/>
    <cellStyle name="Normal 11 4" xfId="938" xr:uid="{D2921142-8E5F-496E-9338-065845F3E9F3}"/>
    <cellStyle name="Normal 11 4 2" xfId="2097" xr:uid="{9E4807B7-6AAE-481B-AD3A-D9442082876A}"/>
    <cellStyle name="Normal 11 5" xfId="939" xr:uid="{3969601E-6570-458A-BA8F-59E1A29D98BF}"/>
    <cellStyle name="Normal 11 5 2" xfId="2098" xr:uid="{56633EFC-818C-415B-8FE4-BF765F79F519}"/>
    <cellStyle name="Normal 11 6" xfId="940" xr:uid="{F2CEE5D1-BAE0-4A96-9C8D-7C39E3028B4B}"/>
    <cellStyle name="Normal 11 6 2" xfId="2099" xr:uid="{C797B42D-183A-46AA-A781-35A0156D407E}"/>
    <cellStyle name="Normal 11 7" xfId="941" xr:uid="{293F23D9-976A-43EA-97E9-2E8AED78674C}"/>
    <cellStyle name="Normal 11 7 2" xfId="2100" xr:uid="{2D2A948C-3192-4219-B0D9-895D356E2A1E}"/>
    <cellStyle name="Normal 11 8" xfId="942" xr:uid="{0E9FC22C-0B84-4BE8-B756-40D4BE855A89}"/>
    <cellStyle name="Normal 11 8 2" xfId="2101" xr:uid="{3C4C7303-4E74-4475-95F4-14BEA928FA7C}"/>
    <cellStyle name="Normal 11 9" xfId="2094" xr:uid="{EFDA7A4A-4548-4B48-B974-179E76563B91}"/>
    <cellStyle name="Normal 12" xfId="190" xr:uid="{6ACCF5B4-7E6F-4BF9-9EF0-563E0DCE60A3}"/>
    <cellStyle name="Normal 12 10" xfId="943" xr:uid="{776B4CEF-6715-4643-8110-D8914F6B8057}"/>
    <cellStyle name="Normal 12 2" xfId="944" xr:uid="{A28FABFB-D403-4710-92CC-1BE8ED8A20DC}"/>
    <cellStyle name="Normal 12 2 2" xfId="2103" xr:uid="{B8DF8C68-0FCF-4C56-B2A4-25678D08925F}"/>
    <cellStyle name="Normal 12 3" xfId="945" xr:uid="{6A31F3B4-0FAE-47FE-97DD-854501C952DE}"/>
    <cellStyle name="Normal 12 3 2" xfId="2104" xr:uid="{C49BA4E4-061E-4017-894B-BDC66D8A521E}"/>
    <cellStyle name="Normal 12 4" xfId="946" xr:uid="{53C597D5-3093-4E07-B526-A83B12051359}"/>
    <cellStyle name="Normal 12 4 2" xfId="2105" xr:uid="{161AA91C-F0A6-4AAF-AB68-C88A842660D4}"/>
    <cellStyle name="Normal 12 5" xfId="947" xr:uid="{CE0B1A51-44A5-4925-BCFB-C8CD620C9675}"/>
    <cellStyle name="Normal 12 5 2" xfId="2106" xr:uid="{36983139-2884-4930-954C-4EBA649DECC1}"/>
    <cellStyle name="Normal 12 6" xfId="948" xr:uid="{C7D37477-180E-4A31-BCE9-64DA8EADA3EE}"/>
    <cellStyle name="Normal 12 6 2" xfId="2107" xr:uid="{A8EFA38B-D7B7-4332-97CA-88686381F9C8}"/>
    <cellStyle name="Normal 12 7" xfId="949" xr:uid="{79D706DF-1026-489F-B0F8-921DAB009723}"/>
    <cellStyle name="Normal 12 7 2" xfId="2108" xr:uid="{6A6AECB8-3BA6-45F5-9C66-2F327B587CF4}"/>
    <cellStyle name="Normal 12 8" xfId="950" xr:uid="{1E9ABECD-BFFB-45A7-B5A1-CC35CC7DD907}"/>
    <cellStyle name="Normal 12 8 2" xfId="2109" xr:uid="{CDCE6A69-B152-45B6-B64D-E62A778AD3D5}"/>
    <cellStyle name="Normal 12 9" xfId="2102" xr:uid="{F344A5D6-E82A-41A3-BB30-E778382E2FE6}"/>
    <cellStyle name="Normal 13" xfId="951" xr:uid="{C2AB5CE1-5CE5-472C-8D52-338D4FADBBC2}"/>
    <cellStyle name="Normal 13 10" xfId="952" xr:uid="{ECE247BC-3043-46D2-A183-4C15C1B4182B}"/>
    <cellStyle name="Normal 13 10 2" xfId="2111" xr:uid="{5E45AE1C-6DA6-4B97-B1CA-F5DA7706D7FD}"/>
    <cellStyle name="Normal 13 10 2 2" xfId="3060" xr:uid="{DB8411E3-4A59-4FE2-8B13-4671A9E14F52}"/>
    <cellStyle name="Normal 13 10 2 3" xfId="3286" xr:uid="{FAA2C893-F96B-4E52-9151-8DC3AA3442C9}"/>
    <cellStyle name="Normal 13 10 3" xfId="2939" xr:uid="{245A3EA7-73A6-4536-8D0A-BEA87CF6E35D}"/>
    <cellStyle name="Normal 13 10 4" xfId="3165" xr:uid="{14FA2E99-3494-4392-9C9B-3CEFD3D20A89}"/>
    <cellStyle name="Normal 13 11" xfId="953" xr:uid="{4C5AF3BA-C7C1-472B-97DA-80AFAB8131E3}"/>
    <cellStyle name="Normal 13 11 2" xfId="2112" xr:uid="{20623B61-3A4E-496F-9133-86869F195081}"/>
    <cellStyle name="Normal 13 11 2 2" xfId="3061" xr:uid="{B0909504-6783-478E-B24C-02CF81AC0C5D}"/>
    <cellStyle name="Normal 13 11 2 3" xfId="3287" xr:uid="{7B20D741-D642-469C-A451-513FFF37BB13}"/>
    <cellStyle name="Normal 13 11 3" xfId="2940" xr:uid="{6C6BCE8A-1587-415F-AEE0-05402D5FFB97}"/>
    <cellStyle name="Normal 13 11 4" xfId="3166" xr:uid="{95B64B50-A0A3-4027-865F-A41D2CA23EEA}"/>
    <cellStyle name="Normal 13 12" xfId="954" xr:uid="{2F163C5B-0DEC-4997-8E05-E0CF6F47B2A8}"/>
    <cellStyle name="Normal 13 13" xfId="955" xr:uid="{481C983E-C291-4CAD-B190-ED7663C69D69}"/>
    <cellStyle name="Normal 13 13 2" xfId="2113" xr:uid="{12D3E085-DE28-432F-ADD0-97B632B4A4B5}"/>
    <cellStyle name="Normal 13 13 2 2" xfId="3062" xr:uid="{1351CFCE-BD54-4668-88B1-C7F200CB0BF0}"/>
    <cellStyle name="Normal 13 13 2 3" xfId="3288" xr:uid="{E40678B6-FD4F-406D-9D4D-B386B5AAB6D4}"/>
    <cellStyle name="Normal 13 13 3" xfId="2941" xr:uid="{E574930A-82B0-491B-9AB8-50F3F996A0F5}"/>
    <cellStyle name="Normal 13 13 4" xfId="3167" xr:uid="{8AB81EE0-552F-469A-A297-030F10C7E78E}"/>
    <cellStyle name="Normal 13 14" xfId="956" xr:uid="{C1875353-337F-4E4A-ABE2-2CB22CEEF3F5}"/>
    <cellStyle name="Normal 13 14 2" xfId="2114" xr:uid="{6F9AFAE1-1826-4E14-A5D4-3FB0D9E894A1}"/>
    <cellStyle name="Normal 13 14 2 2" xfId="3063" xr:uid="{5A599D2B-C5F2-4E76-9EBA-0DE5EA5F34AA}"/>
    <cellStyle name="Normal 13 14 2 3" xfId="3289" xr:uid="{DDAE2BCE-291C-4D1B-B7B8-7F5871479EC4}"/>
    <cellStyle name="Normal 13 14 3" xfId="2942" xr:uid="{3AABE051-EDC0-4502-8ED9-7BB23D3AA966}"/>
    <cellStyle name="Normal 13 14 4" xfId="3168" xr:uid="{0376EE72-E758-4637-866D-26D73836B4A4}"/>
    <cellStyle name="Normal 13 15" xfId="957" xr:uid="{FE9B7286-29B1-433F-89D8-3E53440F3861}"/>
    <cellStyle name="Normal 13 15 2" xfId="2115" xr:uid="{6BC71429-1A97-46E1-BBF3-06981B54E67F}"/>
    <cellStyle name="Normal 13 15 2 2" xfId="3064" xr:uid="{166709FA-A880-4952-A4BE-63F87A429F59}"/>
    <cellStyle name="Normal 13 15 2 3" xfId="3290" xr:uid="{06AE60F6-E1CC-4AD8-8788-7A86D4736CA5}"/>
    <cellStyle name="Normal 13 15 3" xfId="2943" xr:uid="{1ED1187E-981B-450B-ACBA-6D77E660966D}"/>
    <cellStyle name="Normal 13 15 4" xfId="3169" xr:uid="{6466ACB3-483D-4F3D-9EEE-4DD256006882}"/>
    <cellStyle name="Normal 13 16" xfId="958" xr:uid="{4ADAF0DB-5236-47D2-B5DA-9860D3A01E78}"/>
    <cellStyle name="Normal 13 16 2" xfId="2116" xr:uid="{ADE74848-920E-4F4B-B8D0-9F2E0A206759}"/>
    <cellStyle name="Normal 13 16 2 2" xfId="3065" xr:uid="{59E3F0C1-C34C-4B32-BAFA-58A691F444B5}"/>
    <cellStyle name="Normal 13 16 2 3" xfId="3291" xr:uid="{17FC724F-8E1E-40EE-885E-1D00A1B7E25D}"/>
    <cellStyle name="Normal 13 16 3" xfId="2944" xr:uid="{8A05B5AF-EB9E-4F49-9F2E-32474A4BAB26}"/>
    <cellStyle name="Normal 13 16 4" xfId="3170" xr:uid="{2EE88F47-DCBF-4A7D-980C-1FA6708AF48A}"/>
    <cellStyle name="Normal 13 17" xfId="959" xr:uid="{534917B6-305C-4571-A0CD-870D15268B46}"/>
    <cellStyle name="Normal 13 18" xfId="960" xr:uid="{2B05203E-7226-48A8-9E4A-30BE7FADE900}"/>
    <cellStyle name="Normal 13 19" xfId="961" xr:uid="{B49017E7-4ACC-4D2E-A20B-E9B300A67123}"/>
    <cellStyle name="Normal 13 2" xfId="962" xr:uid="{3AE10083-330B-4A38-B07F-2C2B207C5F1E}"/>
    <cellStyle name="Normal 13 2 2" xfId="963" xr:uid="{95862FE4-A216-480A-BC99-70EBFC88DF47}"/>
    <cellStyle name="Normal 13 2 2 2" xfId="2117" xr:uid="{1A906926-C66C-42DB-9728-900A1D0CD43D}"/>
    <cellStyle name="Normal 13 2 2 2 2" xfId="3066" xr:uid="{881D0657-6F05-492D-BD01-6D0ACABBECFD}"/>
    <cellStyle name="Normal 13 2 2 2 3" xfId="3292" xr:uid="{B046F433-ED65-4314-B190-E8ABE8C9EC3B}"/>
    <cellStyle name="Normal 13 2 2 3" xfId="2945" xr:uid="{3F03FF25-D9B5-4F0D-B3F8-C778EB45D7F2}"/>
    <cellStyle name="Normal 13 2 2 4" xfId="3171" xr:uid="{276A009E-79DC-43C5-82C6-B06155AAFFF0}"/>
    <cellStyle name="Normal 13 2 3" xfId="964" xr:uid="{DF323B82-B78E-41A1-8714-4824D895EFF8}"/>
    <cellStyle name="Normal 13 2 3 2" xfId="2118" xr:uid="{DB9F6220-986B-4CE3-B525-C72203A2D73F}"/>
    <cellStyle name="Normal 13 2 3 2 2" xfId="3067" xr:uid="{B0106ACA-92F2-4331-88FD-09D030952FD1}"/>
    <cellStyle name="Normal 13 2 3 2 3" xfId="3293" xr:uid="{5D40DFB9-2E15-4FE6-B1F4-C7B5BD7335DA}"/>
    <cellStyle name="Normal 13 2 3 3" xfId="2946" xr:uid="{0D0B90CE-A857-440E-8FAB-DA3B9E802FBF}"/>
    <cellStyle name="Normal 13 2 3 4" xfId="3172" xr:uid="{72A6AF0B-8F6A-4C4D-9467-9CB4DD60D2B3}"/>
    <cellStyle name="Normal 13 2 4" xfId="965" xr:uid="{E9E45658-2CE4-43B8-98FE-7A501441CCC2}"/>
    <cellStyle name="Normal 13 2 4 2" xfId="2119" xr:uid="{900C05C4-BE6A-4D59-82FF-37D400A4254E}"/>
    <cellStyle name="Normal 13 2 4 2 2" xfId="3068" xr:uid="{78868167-833E-4BEF-AAC0-7A94A00B199C}"/>
    <cellStyle name="Normal 13 2 4 2 3" xfId="3294" xr:uid="{E9FE56E7-D55B-4D45-B5A6-E57CD3E3BD24}"/>
    <cellStyle name="Normal 13 2 4 3" xfId="2947" xr:uid="{BEBC660B-6211-4457-BAD6-E1B10A3AF201}"/>
    <cellStyle name="Normal 13 2 4 4" xfId="3173" xr:uid="{27A865D1-EDCD-4D94-9D33-7B112B7911D6}"/>
    <cellStyle name="Normal 13 2 5" xfId="966" xr:uid="{70A85051-F776-46A1-BE33-42288DE2BE91}"/>
    <cellStyle name="Normal 13 2 5 2" xfId="2120" xr:uid="{E8C3A43A-014A-477E-BFD5-6C11EAD43D2F}"/>
    <cellStyle name="Normal 13 2 5 2 2" xfId="3069" xr:uid="{6FA7BD4E-1BE6-43E9-B4C4-6C648E10F550}"/>
    <cellStyle name="Normal 13 2 5 2 3" xfId="3295" xr:uid="{778624D6-9BA4-4F0F-AAEF-0656C9947248}"/>
    <cellStyle name="Normal 13 2 5 3" xfId="2948" xr:uid="{BF2820CB-B53B-4C46-9B20-FDF72D3A40E1}"/>
    <cellStyle name="Normal 13 2 5 4" xfId="3174" xr:uid="{63B3BD96-E6E2-4BDC-B8B1-55A437AFABD5}"/>
    <cellStyle name="Normal 13 2 6" xfId="967" xr:uid="{65BA1DD1-7595-4632-B05E-22E03C766283}"/>
    <cellStyle name="Normal 13 2 6 2" xfId="2121" xr:uid="{7BA7B676-CE51-40D1-BAA1-EF7B65AB9B5F}"/>
    <cellStyle name="Normal 13 2 6 2 2" xfId="3070" xr:uid="{E8C6D918-9B0E-415C-ABBA-60B95B48CDDC}"/>
    <cellStyle name="Normal 13 2 6 2 3" xfId="3296" xr:uid="{8947799D-8106-49A8-B5FB-2068E921C95A}"/>
    <cellStyle name="Normal 13 2 6 3" xfId="2949" xr:uid="{DB947DA5-C352-4C64-9869-860C41211D44}"/>
    <cellStyle name="Normal 13 2 6 4" xfId="3175" xr:uid="{CBF52753-DC74-4004-8955-7B94ADFE6D3A}"/>
    <cellStyle name="Normal 13 2 7" xfId="968" xr:uid="{50D62ED6-29B5-4FBC-B86A-9F0F3BD2709D}"/>
    <cellStyle name="Normal 13 2 7 2" xfId="2122" xr:uid="{29BE0CF5-7B64-4B4F-9D0C-DD47D373939A}"/>
    <cellStyle name="Normal 13 2 7 2 2" xfId="3071" xr:uid="{9F78ADAC-F143-42A7-A004-AD541593ECE6}"/>
    <cellStyle name="Normal 13 2 7 2 3" xfId="3297" xr:uid="{8903488C-A92B-45BC-934F-63A708A04336}"/>
    <cellStyle name="Normal 13 2 7 3" xfId="2950" xr:uid="{4DF49D32-C1A9-4AD1-A34E-EB4CF53AC694}"/>
    <cellStyle name="Normal 13 2 7 4" xfId="3176" xr:uid="{62859CE0-6820-4D69-9A7F-6441F7CE77E9}"/>
    <cellStyle name="Normal 13 2 8" xfId="969" xr:uid="{F48B91F9-0524-4671-95D0-ACF05341A6DD}"/>
    <cellStyle name="Normal 13 2 8 2" xfId="2123" xr:uid="{51AC06AD-0E56-42B6-9107-7D3406AA88E3}"/>
    <cellStyle name="Normal 13 2 8 2 2" xfId="3072" xr:uid="{18566D96-6A83-45DD-A1F0-DDBA995FC8AE}"/>
    <cellStyle name="Normal 13 2 8 2 3" xfId="3298" xr:uid="{4C0AE486-C06D-4FEE-886E-A947AD9F479A}"/>
    <cellStyle name="Normal 13 2 8 3" xfId="2951" xr:uid="{865683F3-DCFF-429A-9A57-F821666E289F}"/>
    <cellStyle name="Normal 13 2 8 4" xfId="3177" xr:uid="{5C88EB12-D4C0-4473-9305-6827A3A10536}"/>
    <cellStyle name="Normal 13 20" xfId="970" xr:uid="{32C6EEEA-9304-4259-80C4-CDD6ED48A0C7}"/>
    <cellStyle name="Normal 13 21" xfId="971" xr:uid="{E39077BF-1D51-4A86-AC63-272AFDA469AC}"/>
    <cellStyle name="Normal 13 22" xfId="972" xr:uid="{E46E288B-67F0-40B1-AB80-3EC33DE0F85B}"/>
    <cellStyle name="Normal 13 23" xfId="973" xr:uid="{6B6D1E9F-4C71-4887-B7F5-0CB06DD844E1}"/>
    <cellStyle name="Normal 13 23 2" xfId="2124" xr:uid="{AD59F870-26B5-44CF-BDB6-8D9C154F2417}"/>
    <cellStyle name="Normal 13 24" xfId="974" xr:uid="{0CA31583-9EC8-45FE-90D3-ABCB584697B3}"/>
    <cellStyle name="Normal 13 24 2" xfId="2125" xr:uid="{F61B08B0-878D-41BC-85BD-40C106CCF8A4}"/>
    <cellStyle name="Normal 13 25" xfId="975" xr:uid="{133146E5-B722-4599-9432-545BBB9CB36F}"/>
    <cellStyle name="Normal 13 25 2" xfId="2126" xr:uid="{DAEC51D4-C401-4A9C-97DB-DA4F37B6BAC1}"/>
    <cellStyle name="Normal 13 26" xfId="976" xr:uid="{8DB5D2AC-8340-46C5-81CE-1B220E92C544}"/>
    <cellStyle name="Normal 13 26 2" xfId="2127" xr:uid="{4A1FFCED-1299-4FA7-8028-4453B3F29F4C}"/>
    <cellStyle name="Normal 13 27" xfId="977" xr:uid="{A61937AB-8D10-4BCE-8055-16C84A114312}"/>
    <cellStyle name="Normal 13 27 2" xfId="2128" xr:uid="{39CC8324-1478-4D8E-9AEE-2B5A1F5A9772}"/>
    <cellStyle name="Normal 13 28" xfId="978" xr:uid="{97FCB3F4-46C0-4367-9640-9C46C5CC53B1}"/>
    <cellStyle name="Normal 13 28 2" xfId="2129" xr:uid="{7CA3C7C0-1A62-47AD-A7D4-1CD400773612}"/>
    <cellStyle name="Normal 13 29" xfId="979" xr:uid="{278C24D7-3B47-47C4-A48E-4229A70E41B1}"/>
    <cellStyle name="Normal 13 29 2" xfId="2130" xr:uid="{269ECA49-6E64-40D2-B751-9706B60AD6B4}"/>
    <cellStyle name="Normal 13 3" xfId="980" xr:uid="{E80D67BD-D330-4363-A37A-0CF1E3AA4B39}"/>
    <cellStyle name="Normal 13 3 2" xfId="2131" xr:uid="{B2E1E832-FD02-4DF8-BBAE-68C34AFC8DB4}"/>
    <cellStyle name="Normal 13 3 2 2" xfId="3073" xr:uid="{4297620E-B09F-41F1-8620-5403B84BCA75}"/>
    <cellStyle name="Normal 13 3 2 3" xfId="3299" xr:uid="{95033E2A-D649-4E1F-93AB-32608DE1A25F}"/>
    <cellStyle name="Normal 13 3 3" xfId="2952" xr:uid="{BE1CCADC-E052-4C59-9DBB-11C81FC9ADBA}"/>
    <cellStyle name="Normal 13 3 4" xfId="3178" xr:uid="{EF1212A4-2133-4DDF-A88F-AE5F81A2FE3F}"/>
    <cellStyle name="Normal 13 30" xfId="981" xr:uid="{C327CD5E-58EE-43C0-BD0C-679CC9475313}"/>
    <cellStyle name="Normal 13 30 2" xfId="2132" xr:uid="{571A0C8C-01A8-477C-89C9-E99E0C99C9A6}"/>
    <cellStyle name="Normal 13 31" xfId="982" xr:uid="{7BB17517-C657-4CD1-A9D0-E5495B77E712}"/>
    <cellStyle name="Normal 13 31 2" xfId="2133" xr:uid="{2EE581C5-A2DC-4B8D-A1AE-B9CADAE9FE3C}"/>
    <cellStyle name="Normal 13 32" xfId="983" xr:uid="{2D211C8A-53A1-4C0D-AF1C-2343826BF007}"/>
    <cellStyle name="Normal 13 32 2" xfId="2134" xr:uid="{133E9060-61D1-468D-96F3-055453D9474B}"/>
    <cellStyle name="Normal 13 33" xfId="984" xr:uid="{96E016A8-8A02-44E6-94CD-22DCCC37CC9D}"/>
    <cellStyle name="Normal 13 33 2" xfId="2135" xr:uid="{17EADEC2-BFCE-493F-8879-376EBECD43B1}"/>
    <cellStyle name="Normal 13 34" xfId="985" xr:uid="{8C15AD5C-1D54-41B1-ABE7-6CF94D6D485D}"/>
    <cellStyle name="Normal 13 34 2" xfId="2136" xr:uid="{1EB507E9-8BBD-490B-BD99-AE2172B6F035}"/>
    <cellStyle name="Normal 13 35" xfId="986" xr:uid="{4D90736A-158F-4673-847B-11BC05C31D53}"/>
    <cellStyle name="Normal 13 35 2" xfId="2137" xr:uid="{49282A20-160F-48AF-9ED2-9691986E0D6C}"/>
    <cellStyle name="Normal 13 36" xfId="987" xr:uid="{518EF334-7B5D-4F7D-81A4-68C51642DEC0}"/>
    <cellStyle name="Normal 13 36 2" xfId="2138" xr:uid="{B43A1DA9-A0C5-4D82-80CD-F7DB254DFEE6}"/>
    <cellStyle name="Normal 13 37" xfId="988" xr:uid="{2F570376-64E1-4B8D-88C9-6ABDBA165467}"/>
    <cellStyle name="Normal 13 37 2" xfId="2139" xr:uid="{70DDD327-D458-42AB-9585-E2F5C2677EA2}"/>
    <cellStyle name="Normal 13 38" xfId="989" xr:uid="{E3F49B3F-6FD1-4EA0-9617-368A7CF8A792}"/>
    <cellStyle name="Normal 13 38 2" xfId="2140" xr:uid="{45609203-FA68-4475-8DEB-B91E50B8E78E}"/>
    <cellStyle name="Normal 13 39" xfId="2110" xr:uid="{543D31B8-E62B-41DE-9880-1B43B0368641}"/>
    <cellStyle name="Normal 13 4" xfId="990" xr:uid="{CAF7FDAC-E0E6-4E3F-8856-426593A56F57}"/>
    <cellStyle name="Normal 13 4 2" xfId="2141" xr:uid="{CC1B2E53-0BC0-43B1-AC56-EF18DE3F0CC4}"/>
    <cellStyle name="Normal 13 4 2 2" xfId="3074" xr:uid="{4AAD30CF-8063-41D2-A8F5-A935BBB49832}"/>
    <cellStyle name="Normal 13 4 2 3" xfId="3300" xr:uid="{1DAE8ECC-D50A-4EAB-85E8-A3866A23B832}"/>
    <cellStyle name="Normal 13 4 3" xfId="2953" xr:uid="{6AD9073B-C576-48D5-A433-6AFA6ADF259C}"/>
    <cellStyle name="Normal 13 4 4" xfId="3179" xr:uid="{F80E6B81-078B-47DD-B600-5A5939AEBE3C}"/>
    <cellStyle name="Normal 13 5" xfId="991" xr:uid="{EC65A1EF-5B37-4D33-96D9-D97A71288243}"/>
    <cellStyle name="Normal 13 6" xfId="992" xr:uid="{0703B843-290A-44F6-893C-8601F345C593}"/>
    <cellStyle name="Normal 13 7" xfId="993" xr:uid="{C8162D1D-B450-40EC-81E7-D73D496FC9C2}"/>
    <cellStyle name="Normal 13 8" xfId="994" xr:uid="{47E230E1-93E9-4044-A3CB-85609ACBF33D}"/>
    <cellStyle name="Normal 13 9" xfId="995" xr:uid="{BBA94F05-9FC0-4925-9438-084E95CC0BEC}"/>
    <cellStyle name="Normal 13 9 2" xfId="2142" xr:uid="{E1155F28-3746-4D0D-8BDC-89B0417EC851}"/>
    <cellStyle name="Normal 13 9 2 2" xfId="3075" xr:uid="{E12E4DF7-1AE6-4CD3-8F67-E0CD63FB0794}"/>
    <cellStyle name="Normal 13 9 2 3" xfId="3301" xr:uid="{3ADA9B6A-432C-4B19-BE1D-0902E400962A}"/>
    <cellStyle name="Normal 13 9 3" xfId="2954" xr:uid="{AA84EE44-3B7B-4A1D-BB94-925BD11C249D}"/>
    <cellStyle name="Normal 13 9 4" xfId="3180" xr:uid="{88AAF2E4-02CA-4FB1-97E6-646509E87A2D}"/>
    <cellStyle name="Normal 14" xfId="996" xr:uid="{70260AC9-6441-43BB-820D-051526F018A4}"/>
    <cellStyle name="Normal 14 10" xfId="997" xr:uid="{16AA15CC-856D-42EA-A1E1-B8B378BA5713}"/>
    <cellStyle name="Normal 14 10 2" xfId="2143" xr:uid="{2779D97A-4EEF-4A2F-AC6B-F124856CB402}"/>
    <cellStyle name="Normal 14 10 2 2" xfId="3076" xr:uid="{3F9A2A2B-481B-4EB9-8315-81F564EC71FB}"/>
    <cellStyle name="Normal 14 10 2 3" xfId="3302" xr:uid="{4838995F-2D84-4021-AFDF-4F6135EBBAA2}"/>
    <cellStyle name="Normal 14 10 3" xfId="2955" xr:uid="{585401B3-1497-4122-961E-F5BD0465EE63}"/>
    <cellStyle name="Normal 14 10 4" xfId="3181" xr:uid="{2B60D0D6-F08A-4323-9F48-6A78210C04EB}"/>
    <cellStyle name="Normal 14 11" xfId="998" xr:uid="{4EAA7CC0-A002-496D-94EF-0E69A2861748}"/>
    <cellStyle name="Normal 14 11 2" xfId="2144" xr:uid="{A6602C0F-97F9-46CF-8997-CEE636DE4290}"/>
    <cellStyle name="Normal 14 11 2 2" xfId="3077" xr:uid="{D9E9F9E9-F3A5-4A98-BA67-ECB9DD6BBF63}"/>
    <cellStyle name="Normal 14 11 2 3" xfId="3303" xr:uid="{33B8EEF5-528B-495F-9DB9-311CB17DB766}"/>
    <cellStyle name="Normal 14 11 3" xfId="2956" xr:uid="{466470D2-EA04-405E-89E9-5641F4F6B707}"/>
    <cellStyle name="Normal 14 11 4" xfId="3182" xr:uid="{365016F8-348D-49CF-8BEB-25C7A93E5671}"/>
    <cellStyle name="Normal 14 12" xfId="999" xr:uid="{1069421E-254E-48DF-A463-7367347C417C}"/>
    <cellStyle name="Normal 14 12 2" xfId="2145" xr:uid="{ED27C62A-FAEC-499E-8F44-B8B904E0CB92}"/>
    <cellStyle name="Normal 14 12 2 2" xfId="3078" xr:uid="{5420F6F4-903C-4552-9365-1D442096D412}"/>
    <cellStyle name="Normal 14 12 2 3" xfId="3304" xr:uid="{8EFF1A9B-DC48-4AE4-BB5E-AA2C9DD1ECAE}"/>
    <cellStyle name="Normal 14 12 3" xfId="2957" xr:uid="{420ACCE9-5EE5-4D11-973E-294F7144A610}"/>
    <cellStyle name="Normal 14 12 4" xfId="3183" xr:uid="{F90B27FE-8673-48AE-A9F9-F5831A442A77}"/>
    <cellStyle name="Normal 14 13" xfId="1000" xr:uid="{A546B73F-FB0F-416C-9900-59A73BB8B057}"/>
    <cellStyle name="Normal 14 13 2" xfId="2146" xr:uid="{6094B583-C54C-48E5-BDF0-E7712A27D86E}"/>
    <cellStyle name="Normal 14 13 2 2" xfId="3079" xr:uid="{6E1699BB-B539-441B-BAC2-D3E97C7EEA43}"/>
    <cellStyle name="Normal 14 13 2 3" xfId="3305" xr:uid="{88DA6ABF-E32E-4C33-9663-50AFD8B96F3C}"/>
    <cellStyle name="Normal 14 13 3" xfId="2958" xr:uid="{32B97E0C-2F31-478A-A361-AFF808662CC6}"/>
    <cellStyle name="Normal 14 13 4" xfId="3184" xr:uid="{8244C94D-D58C-4A3C-A13C-053D65E5EFBA}"/>
    <cellStyle name="Normal 14 14" xfId="1001" xr:uid="{13D7D7D7-97B8-4444-B4F8-B109A98D285C}"/>
    <cellStyle name="Normal 14 14 2" xfId="2147" xr:uid="{23B6510F-524E-44EC-A00F-847A52DB6D2C}"/>
    <cellStyle name="Normal 14 14 2 2" xfId="3080" xr:uid="{7FF453D6-3FC8-4684-B3DB-9F72074FD9DB}"/>
    <cellStyle name="Normal 14 14 2 3" xfId="3306" xr:uid="{243252E7-F200-4EC0-808A-C457DAD00543}"/>
    <cellStyle name="Normal 14 14 3" xfId="2959" xr:uid="{F751CF49-2AA2-4D56-A405-1B5EA9419C7C}"/>
    <cellStyle name="Normal 14 14 4" xfId="3185" xr:uid="{EE68C7B4-6C99-45BD-835E-E3B3B53C0431}"/>
    <cellStyle name="Normal 14 15" xfId="1002" xr:uid="{88DCD322-7208-47D3-85B8-2E9B61F00A34}"/>
    <cellStyle name="Normal 14 15 2" xfId="2148" xr:uid="{A132D77D-DC57-4034-8BAE-0238D7035DB7}"/>
    <cellStyle name="Normal 14 15 2 2" xfId="3081" xr:uid="{70740C51-3F7E-4D07-8E8E-7FBAF4D296C2}"/>
    <cellStyle name="Normal 14 15 2 3" xfId="3307" xr:uid="{7839A882-936C-489F-9518-E4137B9E2FCE}"/>
    <cellStyle name="Normal 14 15 3" xfId="2960" xr:uid="{60EC8BA2-A8A3-434C-8AD6-D67CBA24BBAB}"/>
    <cellStyle name="Normal 14 15 4" xfId="3186" xr:uid="{AF0FEDC4-3FAE-45A8-A3AC-0615DC064CE9}"/>
    <cellStyle name="Normal 14 2" xfId="1003" xr:uid="{3D37CDAC-048D-4A58-B3D4-07EC5163C354}"/>
    <cellStyle name="Normal 14 2 10" xfId="3187" xr:uid="{E229F996-1794-4216-8425-A4D9CD5A4B2D}"/>
    <cellStyle name="Normal 14 2 2" xfId="1004" xr:uid="{22AE6E9A-5417-4BD7-BF40-C61559D3DF35}"/>
    <cellStyle name="Normal 14 2 2 2" xfId="2150" xr:uid="{7CDB9FCB-ED53-407C-B86C-50E3951E3C04}"/>
    <cellStyle name="Normal 14 2 3" xfId="1005" xr:uid="{73557ED0-F420-4242-8316-BEBE88098099}"/>
    <cellStyle name="Normal 14 2 3 2" xfId="2151" xr:uid="{9527E1BA-AD49-4A13-93BF-5A37A0F8F119}"/>
    <cellStyle name="Normal 14 2 4" xfId="1006" xr:uid="{6319E3B6-3779-49A8-80E7-0AEFBDFF0988}"/>
    <cellStyle name="Normal 14 2 4 2" xfId="2152" xr:uid="{504DF8C8-294C-45B9-85C7-8B819834549B}"/>
    <cellStyle name="Normal 14 2 5" xfId="1007" xr:uid="{68624C29-7F26-4377-B2BC-7B7D761DF624}"/>
    <cellStyle name="Normal 14 2 5 2" xfId="2153" xr:uid="{E35CCBCC-8310-48B9-B745-272B7553B617}"/>
    <cellStyle name="Normal 14 2 6" xfId="1008" xr:uid="{DBF84523-B2EE-4AF6-A021-C8A709F3EA3A}"/>
    <cellStyle name="Normal 14 2 6 2" xfId="2154" xr:uid="{C928C2DC-19F6-4450-92F7-4D95BC84351C}"/>
    <cellStyle name="Normal 14 2 7" xfId="1009" xr:uid="{F09C9A40-9E15-4E7B-9AA4-652215D7068A}"/>
    <cellStyle name="Normal 14 2 7 2" xfId="2155" xr:uid="{AE14B7D3-F5F4-4654-B93E-93829D45CC3B}"/>
    <cellStyle name="Normal 14 2 8" xfId="2149" xr:uid="{15574CFE-DECF-4ABB-9CFE-143E257BBA72}"/>
    <cellStyle name="Normal 14 2 8 2" xfId="3082" xr:uid="{E1844448-7185-4475-B341-300BB241865E}"/>
    <cellStyle name="Normal 14 2 8 3" xfId="3308" xr:uid="{62D2842E-0360-491B-AE38-6FE908829B0D}"/>
    <cellStyle name="Normal 14 2 9" xfId="2961" xr:uid="{FF2DE01A-D529-4E98-B506-8E1015BD2DD6}"/>
    <cellStyle name="Normal 14 3" xfId="1010" xr:uid="{F6AF7A01-B913-43DD-8032-94D65C98BF5D}"/>
    <cellStyle name="Normal 14 3 2" xfId="2156" xr:uid="{11804147-F157-47B7-9D3F-44C29E66217B}"/>
    <cellStyle name="Normal 14 4" xfId="1011" xr:uid="{99591BB0-47D8-4659-900B-C2086D09F0D4}"/>
    <cellStyle name="Normal 14 4 2" xfId="2157" xr:uid="{6885D0FA-5FD2-4690-9F08-E06672BD635F}"/>
    <cellStyle name="Normal 14 4 2 2" xfId="3083" xr:uid="{E556EAAE-5CAB-4156-80EE-52164D4E8587}"/>
    <cellStyle name="Normal 14 4 2 3" xfId="3309" xr:uid="{9BD9A36B-7012-494E-9E64-9242266EADC1}"/>
    <cellStyle name="Normal 14 4 3" xfId="2962" xr:uid="{64508E9E-DF4A-40BC-A1F6-C94B206476D7}"/>
    <cellStyle name="Normal 14 4 4" xfId="3188" xr:uid="{40FC4CE9-EA0B-4807-9BD2-56D6C280D920}"/>
    <cellStyle name="Normal 14 5" xfId="1012" xr:uid="{C8C58047-65F1-4C38-8F59-8BD4247D5F5C}"/>
    <cellStyle name="Normal 14 5 2" xfId="2158" xr:uid="{EEEFC211-FFB6-4053-8B85-4820C2E2E0A0}"/>
    <cellStyle name="Normal 14 5 2 2" xfId="3084" xr:uid="{EF6361CA-F56B-4855-9E8C-8392819AA65E}"/>
    <cellStyle name="Normal 14 5 2 3" xfId="3310" xr:uid="{21C590A9-B9F1-4349-BE7C-95CAA4E70C79}"/>
    <cellStyle name="Normal 14 5 3" xfId="2963" xr:uid="{F7B11B1E-CEE0-4870-BBFC-715C210AB979}"/>
    <cellStyle name="Normal 14 5 4" xfId="3189" xr:uid="{7F0EE0FD-A114-469E-8FA6-78FFE483FBBE}"/>
    <cellStyle name="Normal 14 6" xfId="1013" xr:uid="{42CE4F05-B147-4B69-9DBC-541EF2AA52EF}"/>
    <cellStyle name="Normal 14 6 2" xfId="2159" xr:uid="{7A454355-4AB1-4937-96F3-73EA0634E655}"/>
    <cellStyle name="Normal 14 7" xfId="1014" xr:uid="{918A5E05-3F14-4A67-BE42-25F8077E01A7}"/>
    <cellStyle name="Normal 14 7 2" xfId="2160" xr:uid="{1CFEC7D5-4FC3-4B66-9DC3-A37B2C5D684A}"/>
    <cellStyle name="Normal 14 8" xfId="1015" xr:uid="{24BDFBF9-2673-4FB3-A946-8F2058B1290C}"/>
    <cellStyle name="Normal 14 8 2" xfId="2161" xr:uid="{871806FB-C5E5-4D73-AC83-AD2E4D1AD3D0}"/>
    <cellStyle name="Normal 14 9" xfId="1016" xr:uid="{AE22C3F8-A8C7-4BC1-AD2A-973941325FC3}"/>
    <cellStyle name="Normal 14 9 2" xfId="2162" xr:uid="{448082C5-619E-4807-BA23-6DA696D5536C}"/>
    <cellStyle name="Normal 15" xfId="1017" xr:uid="{8BCF843A-E88A-49C7-B402-1C70F868F7D2}"/>
    <cellStyle name="Normal 15 2" xfId="1018" xr:uid="{4B4B5C36-ABBF-4B15-86F0-7AD084FFBAA1}"/>
    <cellStyle name="Normal 15 2 2" xfId="2163" xr:uid="{F9B326BA-3ECE-495E-944E-50881F924FC0}"/>
    <cellStyle name="Normal 15 3" xfId="1019" xr:uid="{460C5F2A-D6A6-43C6-A723-8537DDB605B5}"/>
    <cellStyle name="Normal 15 3 2" xfId="2164" xr:uid="{6DB14BE9-6F46-4212-B6D3-82DA4429ADE9}"/>
    <cellStyle name="Normal 15 4" xfId="1020" xr:uid="{3862EBD8-43C8-4181-81A6-F96A7547054D}"/>
    <cellStyle name="Normal 15 4 2" xfId="2165" xr:uid="{D1CC034F-5AAD-4364-810A-FF6BEDD2B780}"/>
    <cellStyle name="Normal 15 5" xfId="1021" xr:uid="{50F5BF21-9754-4619-9758-EA12D3865EDF}"/>
    <cellStyle name="Normal 15 5 2" xfId="2166" xr:uid="{064D562F-28CA-4400-9C1B-FEA630AE4646}"/>
    <cellStyle name="Normal 15 6" xfId="1022" xr:uid="{1153B7D4-39E7-42FD-AE29-0734043BDE22}"/>
    <cellStyle name="Normal 15 6 2" xfId="2167" xr:uid="{CDC09687-3FF5-4A26-B772-CB4AD78A42C8}"/>
    <cellStyle name="Normal 16" xfId="1023" xr:uid="{B6B433D5-4350-4A2F-855B-DCBDAC87DAB6}"/>
    <cellStyle name="Normal 16 2" xfId="1024" xr:uid="{C84742FF-1EB0-4AAB-AFA5-363245E4E86D}"/>
    <cellStyle name="Normal 16 2 2" xfId="2169" xr:uid="{61FD47AF-9FF9-461A-8D97-BA8AFAC2FF3C}"/>
    <cellStyle name="Normal 16 3" xfId="1025" xr:uid="{65EFDA25-993C-4B1C-A30E-47AF124E0ED5}"/>
    <cellStyle name="Normal 16 3 2" xfId="2170" xr:uid="{ACA9184E-EB17-47C5-B45C-15C9E6D48CC1}"/>
    <cellStyle name="Normal 16 4" xfId="1026" xr:uid="{DB157CFE-02B7-4B5C-BEEC-E4ABAB29AB92}"/>
    <cellStyle name="Normal 16 4 2" xfId="2171" xr:uid="{4B51DF66-AA92-464E-9B2F-429B406A3802}"/>
    <cellStyle name="Normal 16 5" xfId="1027" xr:uid="{0672BC91-7F76-45A1-AB34-DAD36A498BF6}"/>
    <cellStyle name="Normal 16 5 2" xfId="2172" xr:uid="{E74D071B-FAA7-4E61-8EA2-0EABE243F3AB}"/>
    <cellStyle name="Normal 16 6" xfId="1028" xr:uid="{C7CF63A9-1F23-48EE-88AD-06617295CEC0}"/>
    <cellStyle name="Normal 16 6 2" xfId="2173" xr:uid="{0C1A1EBE-6720-4E45-B772-163075FD6868}"/>
    <cellStyle name="Normal 16 7" xfId="2168" xr:uid="{AA83E4A3-A897-4BF1-92E4-B593F1323191}"/>
    <cellStyle name="Normal 16 7 2" xfId="3085" xr:uid="{254FF7DA-E22E-4658-BDAD-CBDD4BE3AA4F}"/>
    <cellStyle name="Normal 16 7 3" xfId="3311" xr:uid="{0ABDB088-5FD9-432D-B5D0-244DFD9B3E96}"/>
    <cellStyle name="Normal 16 8" xfId="2964" xr:uid="{A4855265-56D9-4E23-A530-C24C2FF10CD2}"/>
    <cellStyle name="Normal 16 9" xfId="3190" xr:uid="{6A02F948-30DF-4E3F-A1F8-1FDF8F2F4766}"/>
    <cellStyle name="Normal 17" xfId="1029" xr:uid="{40E88376-3450-4B68-91BF-CB58D9E070C0}"/>
    <cellStyle name="Normal 17 10" xfId="1030" xr:uid="{489A1DFB-79C1-4C04-B128-EE4D0BB2F085}"/>
    <cellStyle name="Normal 17 10 2" xfId="2175" xr:uid="{F6F5B35B-DCD7-42BB-8D99-90DA66AB5D6B}"/>
    <cellStyle name="Normal 17 11" xfId="1031" xr:uid="{BF7C18CE-7645-48CB-8C95-1223B3237D9E}"/>
    <cellStyle name="Normal 17 11 2" xfId="2176" xr:uid="{8E2E42BA-FC3B-48DA-8646-2947AB5B3223}"/>
    <cellStyle name="Normal 17 12" xfId="1032" xr:uid="{D6AA0A89-7FFE-47EB-B985-2558740479D8}"/>
    <cellStyle name="Normal 17 12 2" xfId="2177" xr:uid="{740DCCE9-55DA-4E4B-9DD1-01012C0274D6}"/>
    <cellStyle name="Normal 17 13" xfId="1033" xr:uid="{43D55948-5EE5-407B-9289-3B014454A48F}"/>
    <cellStyle name="Normal 17 13 2" xfId="2178" xr:uid="{A163D928-B720-4718-9734-D0A49733FD7A}"/>
    <cellStyle name="Normal 17 14" xfId="2174" xr:uid="{5E2826AE-D22C-4490-9225-45677F8F2719}"/>
    <cellStyle name="Normal 17 14 2" xfId="3086" xr:uid="{BF23F023-C9FE-4B1C-86CF-795CF7C3DBEB}"/>
    <cellStyle name="Normal 17 14 3" xfId="3312" xr:uid="{DA89EFC2-07C2-442B-A3AF-F9D598F267D1}"/>
    <cellStyle name="Normal 17 15" xfId="2965" xr:uid="{85BE1E57-7283-49CC-858E-E466D50AC9DE}"/>
    <cellStyle name="Normal 17 16" xfId="3191" xr:uid="{CA5A0440-77B1-4CB8-B33B-366DFE61D6FA}"/>
    <cellStyle name="Normal 17 2" xfId="1034" xr:uid="{D3A3C968-A139-43D6-9864-30A9823845AB}"/>
    <cellStyle name="Normal 17 2 2" xfId="2179" xr:uid="{0659072F-25A5-4121-84EA-2456EACD5596}"/>
    <cellStyle name="Normal 17 3" xfId="1035" xr:uid="{D440D709-76B4-45E4-9C98-1DA9B29F0E7A}"/>
    <cellStyle name="Normal 17 3 2" xfId="2180" xr:uid="{67529783-3C58-4AD4-AD22-C6ADD4E54649}"/>
    <cellStyle name="Normal 17 4" xfId="1036" xr:uid="{1C2289AA-788D-49A6-9E5E-3D14F20E05AC}"/>
    <cellStyle name="Normal 17 4 2" xfId="2181" xr:uid="{F74487B0-6619-4B28-8E1A-D0D2EB6AC253}"/>
    <cellStyle name="Normal 17 5" xfId="1037" xr:uid="{EFFA594F-D61C-4C29-90C3-9F8F20BD2AF7}"/>
    <cellStyle name="Normal 17 5 2" xfId="2182" xr:uid="{382D0E5D-E704-4FD9-B462-5AE84DB990A9}"/>
    <cellStyle name="Normal 17 6" xfId="1038" xr:uid="{853BAF6C-3378-4B84-B4CF-1F8C417BCA43}"/>
    <cellStyle name="Normal 17 6 2" xfId="2183" xr:uid="{927C419B-F93B-4D3D-BDBB-444571390FB8}"/>
    <cellStyle name="Normal 17 7" xfId="1039" xr:uid="{A6CEDF28-CD2B-4C45-A58D-BC5ED95EF7B3}"/>
    <cellStyle name="Normal 17 7 2" xfId="2184" xr:uid="{CCE5C1B0-7BCF-43D9-830B-F9881A180A5B}"/>
    <cellStyle name="Normal 17 8" xfId="1040" xr:uid="{B59C0ADE-376E-48DA-A6E6-7FF7E0018F0A}"/>
    <cellStyle name="Normal 17 8 2" xfId="2185" xr:uid="{8F9756BB-EEE2-46FA-B522-087ACCE0FCFF}"/>
    <cellStyle name="Normal 17 9" xfId="1041" xr:uid="{C026E13A-5D27-4079-ABC3-8EB847F83E95}"/>
    <cellStyle name="Normal 17 9 2" xfId="2186" xr:uid="{C803DB12-47A5-40B8-BC0F-E646696CB6EB}"/>
    <cellStyle name="Normal 18" xfId="1042" xr:uid="{7C542B37-711F-4CA5-9B21-6CB3F6D4CC5A}"/>
    <cellStyle name="Normal 18 2" xfId="2187" xr:uid="{8280FDCC-460D-499A-BBFB-672E3D0D8F0B}"/>
    <cellStyle name="Normal 18 2 2" xfId="3087" xr:uid="{6C6CCAF8-6D71-4025-B020-4FBFD211B304}"/>
    <cellStyle name="Normal 18 2 3" xfId="3313" xr:uid="{DB55481E-C7B2-4D5D-A132-C8F7A6989637}"/>
    <cellStyle name="Normal 18 3" xfId="2966" xr:uid="{E0FFFB01-F023-4A69-A8AA-4A1562B54C23}"/>
    <cellStyle name="Normal 18 4" xfId="3192" xr:uid="{3F24F39A-3C2B-4159-AF5E-1CAB062E4E07}"/>
    <cellStyle name="Normal 2" xfId="11" xr:uid="{CDAE4AE7-B775-497B-8B42-C9DA432C025E}"/>
    <cellStyle name="Normal 2 10" xfId="1044" xr:uid="{F067C32B-8D9F-4E2F-9AEC-855E19120D5A}"/>
    <cellStyle name="Normal 2 10 2" xfId="2189" xr:uid="{B9431AAF-C5A1-4777-9415-4E91D482CFE5}"/>
    <cellStyle name="Normal 2 11" xfId="1045" xr:uid="{E8F51FB9-5F08-4603-B549-ED68897D7F71}"/>
    <cellStyle name="Normal 2 11 2" xfId="2190" xr:uid="{02648E61-F17F-481C-A8D2-B8313229F1A0}"/>
    <cellStyle name="Normal 2 12" xfId="1046" xr:uid="{B4371A43-BEE1-4550-A3A7-5B2E2AB20F18}"/>
    <cellStyle name="Normal 2 12 2" xfId="2191" xr:uid="{1D32D24A-AE49-41D1-A058-B146497C0A70}"/>
    <cellStyle name="Normal 2 13" xfId="1047" xr:uid="{F1EB2FF1-F47B-49A2-BA0E-FFF3DDB26642}"/>
    <cellStyle name="Normal 2 13 2" xfId="2192" xr:uid="{5C1B5B6A-EAB7-4888-AFB4-287AD0809F5E}"/>
    <cellStyle name="Normal 2 14" xfId="1048" xr:uid="{3ED7BDD1-ACE6-40E7-9441-D81380D05690}"/>
    <cellStyle name="Normal 2 14 2" xfId="2193" xr:uid="{32933E1F-FEB9-4E01-B62D-C31F6FFF018A}"/>
    <cellStyle name="Normal 2 15" xfId="1049" xr:uid="{B8F66117-4D47-49A1-A4D1-CE904CCD27DF}"/>
    <cellStyle name="Normal 2 15 2" xfId="2194" xr:uid="{6D13C2B0-2DFE-4B4D-8A6C-25BE3EE26DB9}"/>
    <cellStyle name="Normal 2 16" xfId="1050" xr:uid="{6F3FCFA8-ABE9-44DD-8658-4010AAA61AC6}"/>
    <cellStyle name="Normal 2 16 2" xfId="2195" xr:uid="{EA585CBE-35AF-46B2-9C77-34AEED932AB8}"/>
    <cellStyle name="Normal 2 17" xfId="1051" xr:uid="{BA7F7978-7B75-452A-81CA-6B9C864922EF}"/>
    <cellStyle name="Normal 2 17 2" xfId="2196" xr:uid="{16145F9D-FBFC-4D25-A129-57EBDD658A8D}"/>
    <cellStyle name="Normal 2 18" xfId="2188" xr:uid="{6D06E7FA-75E0-487E-B79B-430675597435}"/>
    <cellStyle name="Normal 2 18 2" xfId="3088" xr:uid="{82BC8D17-B8D7-475C-B5C1-C0C143A88BCC}"/>
    <cellStyle name="Normal 2 18 3" xfId="3314" xr:uid="{FE971E82-7E7B-4C1D-8FE2-0ABB55D8A776}"/>
    <cellStyle name="Normal 2 19" xfId="1043" xr:uid="{3AE0A6A4-8E35-4158-8783-4D4258B9DFAB}"/>
    <cellStyle name="Normal 2 2" xfId="99" xr:uid="{BD3F5372-3932-4DFF-AC80-693BBB538F4B}"/>
    <cellStyle name="Normal 2 2 10" xfId="1053" xr:uid="{8A23ADE9-F0A3-4584-915A-4F01A52D4348}"/>
    <cellStyle name="Normal 2 2 10 2" xfId="2198" xr:uid="{56697F0D-4EDF-443D-9854-E76B826684B8}"/>
    <cellStyle name="Normal 2 2 10 2 2" xfId="3089" xr:uid="{DABF2343-C334-4AA3-AC67-D41B3C65961B}"/>
    <cellStyle name="Normal 2 2 10 2 3" xfId="3315" xr:uid="{5FDE3364-1BA8-4003-8517-298CCE303B41}"/>
    <cellStyle name="Normal 2 2 10 3" xfId="2968" xr:uid="{028BC96B-C99E-40AF-A2DF-566202D53F1F}"/>
    <cellStyle name="Normal 2 2 10 4" xfId="3194" xr:uid="{9226985B-B4BE-44D0-B66E-CE520AD3E1F9}"/>
    <cellStyle name="Normal 2 2 11" xfId="1054" xr:uid="{DC22ADF7-00DD-4365-B405-7BA5AA6D29BD}"/>
    <cellStyle name="Normal 2 2 11 2" xfId="2199" xr:uid="{377958A9-C4F4-48A3-A093-4CE0875BC33F}"/>
    <cellStyle name="Normal 2 2 11 2 2" xfId="3090" xr:uid="{85150DB3-44A6-42C7-87D2-195FD8AB9B05}"/>
    <cellStyle name="Normal 2 2 11 2 3" xfId="3316" xr:uid="{45C89931-6F8E-45D5-ADB9-A938E5842F2C}"/>
    <cellStyle name="Normal 2 2 11 3" xfId="2969" xr:uid="{47DBD766-E542-4A0C-A2DC-299A119D5D07}"/>
    <cellStyle name="Normal 2 2 11 4" xfId="3195" xr:uid="{FE0290BD-B47E-4FBB-8594-CC367C390E4D}"/>
    <cellStyle name="Normal 2 2 12" xfId="1055" xr:uid="{7150D7BC-1DB6-485A-8CA4-2FFBE26F9304}"/>
    <cellStyle name="Normal 2 2 12 2" xfId="2200" xr:uid="{8B26BCAB-8566-478B-B3D4-59986877629C}"/>
    <cellStyle name="Normal 2 2 12 2 2" xfId="3091" xr:uid="{DA56A19E-D748-492E-8966-54BB9AC56E96}"/>
    <cellStyle name="Normal 2 2 12 2 3" xfId="3317" xr:uid="{19839F92-D0D5-4D03-B99E-9479CC4DFCB0}"/>
    <cellStyle name="Normal 2 2 12 3" xfId="2970" xr:uid="{7656FE74-FFBA-4416-BE54-FB4791EE26EE}"/>
    <cellStyle name="Normal 2 2 12 4" xfId="3196" xr:uid="{510603A2-6F84-4701-AF20-088E0E4E990F}"/>
    <cellStyle name="Normal 2 2 13" xfId="1056" xr:uid="{AC408D05-22C1-4F87-BA82-0477F94899F6}"/>
    <cellStyle name="Normal 2 2 13 2" xfId="2201" xr:uid="{F786A665-DD48-4D2C-8129-5AC730A2C900}"/>
    <cellStyle name="Normal 2 2 13 2 2" xfId="3092" xr:uid="{7AE74E01-36BB-4865-A1A5-FF211544974D}"/>
    <cellStyle name="Normal 2 2 13 2 3" xfId="3318" xr:uid="{F78C2D34-D566-4DDD-BBEF-DF6B621A3243}"/>
    <cellStyle name="Normal 2 2 13 3" xfId="2971" xr:uid="{3CAE487F-9FBD-4BC0-97F1-D7DBDEA57C71}"/>
    <cellStyle name="Normal 2 2 13 4" xfId="3197" xr:uid="{DB006DE3-712A-4AED-8194-C3309EEFEB7F}"/>
    <cellStyle name="Normal 2 2 14" xfId="1057" xr:uid="{7FC66F2B-A605-41F2-9ED0-D08E354D6C26}"/>
    <cellStyle name="Normal 2 2 14 2" xfId="2202" xr:uid="{704852A3-EE01-4A77-AB00-B84BCC0EBC7A}"/>
    <cellStyle name="Normal 2 2 15" xfId="2197" xr:uid="{E17BA9F4-4439-42CD-B771-669DD3C76961}"/>
    <cellStyle name="Normal 2 2 16" xfId="1052" xr:uid="{2C2A0709-93AA-4F34-9042-38A0B03EF062}"/>
    <cellStyle name="Normal 2 2 2" xfId="100" xr:uid="{C297E354-2DD9-497F-B1C4-82F3B5713EEA}"/>
    <cellStyle name="Normal 2 2 2 2" xfId="2203" xr:uid="{1C7E567A-2795-4250-A433-B953ABF80131}"/>
    <cellStyle name="Normal 2 2 2 2 2" xfId="3093" xr:uid="{FD53DD8E-17E4-4A95-879B-8CF13B71D8F5}"/>
    <cellStyle name="Normal 2 2 2 2 3" xfId="3319" xr:uid="{7282339E-0D5D-46BE-B9F0-4A2DBFD468C2}"/>
    <cellStyle name="Normal 2 2 2 3" xfId="1058" xr:uid="{5A3C957F-8BB3-42DA-B2D8-042F04DBEBB4}"/>
    <cellStyle name="Normal 2 2 2 4" xfId="2972" xr:uid="{4CD3B582-7F38-4691-90C5-5707A9886712}"/>
    <cellStyle name="Normal 2 2 2 5" xfId="3198" xr:uid="{4E273D38-96B5-44F3-A5B1-4A5A7C976FF4}"/>
    <cellStyle name="Normal 2 2 3" xfId="101" xr:uid="{422A5169-C1DE-404F-B744-2EFB3B21C164}"/>
    <cellStyle name="Normal 2 2 3 2" xfId="2204" xr:uid="{15DE389B-7BA1-4991-A427-951F575ADE3C}"/>
    <cellStyle name="Normal 2 2 3 2 2" xfId="3094" xr:uid="{01F4A1A7-96C3-4278-AF66-A225D09C040A}"/>
    <cellStyle name="Normal 2 2 3 2 3" xfId="3320" xr:uid="{AA1C9807-7B98-46FA-8ED6-6E59FF1AB76C}"/>
    <cellStyle name="Normal 2 2 3 3" xfId="1059" xr:uid="{FDA9A572-F761-4E1F-969E-BEEED8ADD678}"/>
    <cellStyle name="Normal 2 2 3 4" xfId="2973" xr:uid="{AA227476-5B24-4CC1-8845-08C3A7088E62}"/>
    <cellStyle name="Normal 2 2 3 5" xfId="3199" xr:uid="{BED6C8A7-3011-413F-874F-19B0CAF98D10}"/>
    <cellStyle name="Normal 2 2 4" xfId="1060" xr:uid="{10AC3363-01C5-4679-B091-5BA21D386D83}"/>
    <cellStyle name="Normal 2 2 4 2" xfId="2205" xr:uid="{0761D196-1126-440C-A1A1-E00D8DFFB17D}"/>
    <cellStyle name="Normal 2 2 4 2 2" xfId="3095" xr:uid="{DDB80207-FF41-4D9E-BADD-5FACE387F46D}"/>
    <cellStyle name="Normal 2 2 4 2 3" xfId="3321" xr:uid="{7EA5B063-FF1A-40E7-AF3A-61AFAAC2FFBC}"/>
    <cellStyle name="Normal 2 2 4 3" xfId="2974" xr:uid="{1312E5FB-E1C6-42FC-9B1F-2B5AD379016F}"/>
    <cellStyle name="Normal 2 2 4 4" xfId="3200" xr:uid="{1A41B71B-0F11-4CCF-B67E-48219B58DA60}"/>
    <cellStyle name="Normal 2 2 5" xfId="1061" xr:uid="{418215B5-A83F-4453-A5C3-9D6495A330A9}"/>
    <cellStyle name="Normal 2 2 5 2" xfId="2206" xr:uid="{33AFB080-E6B5-4962-9FF5-77E268743EEB}"/>
    <cellStyle name="Normal 2 2 5 2 2" xfId="3096" xr:uid="{C86AA025-A1A1-4CE9-AA43-BCC4FD4620A0}"/>
    <cellStyle name="Normal 2 2 5 2 3" xfId="3322" xr:uid="{6EAC2BD4-AA4C-45E9-BD49-F46D3BAC7148}"/>
    <cellStyle name="Normal 2 2 5 3" xfId="2975" xr:uid="{C25F1D52-D0A9-425E-AF20-769C828646FE}"/>
    <cellStyle name="Normal 2 2 5 4" xfId="3201" xr:uid="{F86E8845-F52E-462C-861A-8EABAC0BFA6E}"/>
    <cellStyle name="Normal 2 2 6" xfId="1062" xr:uid="{630401B4-336D-49DB-A2D1-5EECE43F774D}"/>
    <cellStyle name="Normal 2 2 6 2" xfId="2207" xr:uid="{E51300E5-0C17-4895-B032-C373ADC8CECA}"/>
    <cellStyle name="Normal 2 2 6 2 2" xfId="3097" xr:uid="{CA2264A6-B2F7-4B51-8F30-B27F71C2105A}"/>
    <cellStyle name="Normal 2 2 6 2 3" xfId="3323" xr:uid="{EEDD5F3C-8B3A-4BFE-AC66-384407588B96}"/>
    <cellStyle name="Normal 2 2 6 3" xfId="2976" xr:uid="{3D57AAE5-3EA4-4FC3-84E1-D2EFFCB749E1}"/>
    <cellStyle name="Normal 2 2 6 4" xfId="3202" xr:uid="{1A801231-6624-4A95-B40F-CAAF4C56B546}"/>
    <cellStyle name="Normal 2 2 7" xfId="1063" xr:uid="{32E86692-A7FB-4E8A-A839-D2649BA34205}"/>
    <cellStyle name="Normal 2 2 7 2" xfId="2208" xr:uid="{5CE09F36-DB63-4E45-BAE8-5D584F8AD46C}"/>
    <cellStyle name="Normal 2 2 7 2 2" xfId="3098" xr:uid="{B48D4F3D-5E25-4697-8DD8-A928E9305030}"/>
    <cellStyle name="Normal 2 2 7 2 3" xfId="3324" xr:uid="{AEBB5FDE-152E-4B08-95E7-9BDCBE331CDB}"/>
    <cellStyle name="Normal 2 2 7 3" xfId="2977" xr:uid="{FA7554D9-DDB6-4A20-B49A-A869054AF71D}"/>
    <cellStyle name="Normal 2 2 7 4" xfId="3203" xr:uid="{CFD68608-478F-4037-A51A-B8A1D9F8B466}"/>
    <cellStyle name="Normal 2 2 8" xfId="1064" xr:uid="{60FAC447-6DC2-4D7E-B126-363107D7B7D2}"/>
    <cellStyle name="Normal 2 2 8 2" xfId="2209" xr:uid="{B0486323-D848-4B42-B823-B28A3C3CD0E8}"/>
    <cellStyle name="Normal 2 2 8 2 2" xfId="3099" xr:uid="{3CD9F20E-F861-4A14-BC61-1F2A7D0E1282}"/>
    <cellStyle name="Normal 2 2 8 2 3" xfId="3325" xr:uid="{9278F8BF-CCB6-4817-A269-FF6771E1B20F}"/>
    <cellStyle name="Normal 2 2 8 3" xfId="2978" xr:uid="{AB427999-9EC2-4FA7-BD70-40DF332C2488}"/>
    <cellStyle name="Normal 2 2 8 4" xfId="3204" xr:uid="{7B6E9B26-FD4C-4BCE-9C6F-871E5FFB111B}"/>
    <cellStyle name="Normal 2 2 9" xfId="1065" xr:uid="{CBDAD077-45D8-41E8-AD24-B3C4212AF62E}"/>
    <cellStyle name="Normal 2 2 9 2" xfId="2210" xr:uid="{DED437DC-4B5F-4BDD-A470-602E9B1C4901}"/>
    <cellStyle name="Normal 2 2 9 2 2" xfId="3100" xr:uid="{8D061810-6867-4A02-BD77-C71BACC786BA}"/>
    <cellStyle name="Normal 2 2 9 2 3" xfId="3326" xr:uid="{5798B57E-1F35-40DF-A6A0-B70883E204E4}"/>
    <cellStyle name="Normal 2 2 9 3" xfId="2979" xr:uid="{7259A17D-D828-4459-B29C-2936E32DFE18}"/>
    <cellStyle name="Normal 2 2 9 4" xfId="3205" xr:uid="{D8B1D894-C5B4-4116-A18D-6E31607C49FA}"/>
    <cellStyle name="Normal 2 20" xfId="2967" xr:uid="{CF96FFD5-73CC-4B0A-8F59-43B45BDA2919}"/>
    <cellStyle name="Normal 2 21" xfId="3193" xr:uid="{EFEF0A13-75E0-4374-959D-DCE222C0EE18}"/>
    <cellStyle name="Normal 2 22" xfId="98" xr:uid="{8102954B-C1FF-4D7C-B35F-A7AE65837597}"/>
    <cellStyle name="Normal 2 3" xfId="102" xr:uid="{BC4C8017-032D-4089-83D6-93DA38B530A0}"/>
    <cellStyle name="Normal 2 3 10" xfId="1067" xr:uid="{C6268CDF-FE3A-4A60-AE6B-A844D267437F}"/>
    <cellStyle name="Normal 2 3 10 2" xfId="2212" xr:uid="{A25853C3-89BC-462F-96A0-E59A12D34878}"/>
    <cellStyle name="Normal 2 3 10 2 2" xfId="3101" xr:uid="{BDA15A5A-8B58-45F0-9AB6-3D0D30790D50}"/>
    <cellStyle name="Normal 2 3 10 2 3" xfId="3327" xr:uid="{CC3B7C84-D7B9-4579-81DB-EB9929EBDDB5}"/>
    <cellStyle name="Normal 2 3 10 3" xfId="2980" xr:uid="{CBF12D17-1A80-4412-A298-785070BB4EF8}"/>
    <cellStyle name="Normal 2 3 10 4" xfId="3206" xr:uid="{430D9AD2-9334-4F67-A6E4-AF0356945CA9}"/>
    <cellStyle name="Normal 2 3 11" xfId="1068" xr:uid="{E93099BA-0A7B-460D-8594-32625FD5E3BE}"/>
    <cellStyle name="Normal 2 3 11 2" xfId="2213" xr:uid="{2518A9AE-426B-4865-8DFA-CB7F4C82AF0D}"/>
    <cellStyle name="Normal 2 3 11 2 2" xfId="3102" xr:uid="{D01F93E8-F2E3-4E52-BC42-64AD69A3B226}"/>
    <cellStyle name="Normal 2 3 11 2 3" xfId="3328" xr:uid="{EC55DE11-43D9-4543-A14C-348E32E3CBC1}"/>
    <cellStyle name="Normal 2 3 11 3" xfId="2981" xr:uid="{2061B7E9-9C5B-4499-BB85-946BC0B5D168}"/>
    <cellStyle name="Normal 2 3 11 4" xfId="3207" xr:uid="{146D063A-A67B-435F-8FA2-E386AFBA3523}"/>
    <cellStyle name="Normal 2 3 12" xfId="1069" xr:uid="{59110B9D-67C2-416D-9AD2-7A9EA3C47098}"/>
    <cellStyle name="Normal 2 3 12 2" xfId="2214" xr:uid="{D9E5E14C-A95D-4928-B733-4AE5D1EA2593}"/>
    <cellStyle name="Normal 2 3 12 2 2" xfId="3103" xr:uid="{F40CDA27-C551-442D-A3A2-753C76536DF7}"/>
    <cellStyle name="Normal 2 3 12 2 3" xfId="3329" xr:uid="{4EE7BD81-555A-41D4-8EB8-E000B21FEA7A}"/>
    <cellStyle name="Normal 2 3 12 3" xfId="2982" xr:uid="{5C77F4EB-5E1F-4BA6-A2EB-2E5D32DE6295}"/>
    <cellStyle name="Normal 2 3 12 4" xfId="3208" xr:uid="{D8C3452B-24A8-434D-8CFF-4BD5B066BC67}"/>
    <cellStyle name="Normal 2 3 13" xfId="1070" xr:uid="{A76EC179-063B-4358-A44A-49527AD2B572}"/>
    <cellStyle name="Normal 2 3 13 2" xfId="2215" xr:uid="{E65C65D7-E444-43D3-A3B9-775988F5C3DA}"/>
    <cellStyle name="Normal 2 3 13 2 2" xfId="3104" xr:uid="{577C5C31-4073-476D-A2F9-0B9709C47521}"/>
    <cellStyle name="Normal 2 3 13 2 3" xfId="3330" xr:uid="{FD3055DE-1DC5-47AD-BDF4-515F12798EF2}"/>
    <cellStyle name="Normal 2 3 13 3" xfId="2983" xr:uid="{4B641BEB-849D-405D-B766-C92CE2CA50F0}"/>
    <cellStyle name="Normal 2 3 13 4" xfId="3209" xr:uid="{525B9FF0-A1B8-4A08-9A31-6D270D861BDE}"/>
    <cellStyle name="Normal 2 3 14" xfId="2211" xr:uid="{5685A189-48FB-4A78-9BF0-B1B2BEA832B2}"/>
    <cellStyle name="Normal 2 3 15" xfId="1066" xr:uid="{A2230BFA-0DC5-447A-B542-08FAE4FAB7C3}"/>
    <cellStyle name="Normal 2 3 2" xfId="103" xr:uid="{3F2FD436-D74F-4FCC-B75B-4B9EB056EACF}"/>
    <cellStyle name="Normal 2 3 2 2" xfId="2216" xr:uid="{0D1F7862-FE04-46BE-ADB1-83ED7BA67FF6}"/>
    <cellStyle name="Normal 2 3 2 2 2" xfId="3105" xr:uid="{45B3374D-541E-432B-9F09-97ADDE94D879}"/>
    <cellStyle name="Normal 2 3 2 2 3" xfId="3331" xr:uid="{FB917FB2-3B91-48C5-9893-B268F8A0881D}"/>
    <cellStyle name="Normal 2 3 2 3" xfId="1071" xr:uid="{E2F90CB3-68C7-452B-B196-A6A43BC98C55}"/>
    <cellStyle name="Normal 2 3 2 4" xfId="2984" xr:uid="{7298F862-1B7C-44CB-A55D-0190777D343F}"/>
    <cellStyle name="Normal 2 3 2 5" xfId="3210" xr:uid="{D0F9F38B-1710-4885-84F9-7145386FB5B0}"/>
    <cellStyle name="Normal 2 3 3" xfId="104" xr:uid="{8C2EFDA9-E6CC-4A84-BE0D-28D414F60B8B}"/>
    <cellStyle name="Normal 2 3 3 2" xfId="2217" xr:uid="{7B95EC8C-68EB-494A-91EE-29268E06AAE6}"/>
    <cellStyle name="Normal 2 3 3 2 2" xfId="3106" xr:uid="{CF03CEC5-F48B-43BB-B609-27159B53D618}"/>
    <cellStyle name="Normal 2 3 3 2 3" xfId="3332" xr:uid="{CC32B554-64FD-49A6-871B-EC749434E5DA}"/>
    <cellStyle name="Normal 2 3 3 3" xfId="1072" xr:uid="{9DDD4269-14B0-473E-BADB-D6510FA51065}"/>
    <cellStyle name="Normal 2 3 3 4" xfId="2985" xr:uid="{09C2BE3B-37F3-4097-9255-B39383A34787}"/>
    <cellStyle name="Normal 2 3 3 5" xfId="3211" xr:uid="{1DC84C5D-68BE-4EEF-8885-48E9816767B0}"/>
    <cellStyle name="Normal 2 3 4" xfId="1073" xr:uid="{E30D4093-8931-4B59-9AAE-2179A9A7E676}"/>
    <cellStyle name="Normal 2 3 4 2" xfId="2218" xr:uid="{5071CDDE-FB5A-4296-B3B3-AC451F72DFD5}"/>
    <cellStyle name="Normal 2 3 4 2 2" xfId="3107" xr:uid="{3E573DE3-46D3-4603-8B46-799204F525BB}"/>
    <cellStyle name="Normal 2 3 4 2 3" xfId="3333" xr:uid="{9AF8B6B8-CD35-44D1-80BA-32576BF92B0F}"/>
    <cellStyle name="Normal 2 3 4 3" xfId="2986" xr:uid="{0E805935-91CA-432F-8009-FB53CC894091}"/>
    <cellStyle name="Normal 2 3 4 4" xfId="3212" xr:uid="{E451EA75-8675-4B53-8D65-B663DE51F31F}"/>
    <cellStyle name="Normal 2 3 5" xfId="1074" xr:uid="{7A2F7280-5E9A-4540-82A6-6BFB71DFDBF5}"/>
    <cellStyle name="Normal 2 3 5 2" xfId="2219" xr:uid="{08F72B7B-0AC9-4E85-AE01-15BE1078AFE9}"/>
    <cellStyle name="Normal 2 3 5 2 2" xfId="3108" xr:uid="{FE8D96B7-FC05-4365-BCB6-A03E7EEA9061}"/>
    <cellStyle name="Normal 2 3 5 2 3" xfId="3334" xr:uid="{AAEBC2AE-DBC1-4778-A641-F089FA7AD061}"/>
    <cellStyle name="Normal 2 3 5 3" xfId="2987" xr:uid="{80DCE552-D6A5-417D-9D44-A1CA77D1EB9E}"/>
    <cellStyle name="Normal 2 3 5 4" xfId="3213" xr:uid="{198AB90F-CD9C-441A-A821-496446A41D3F}"/>
    <cellStyle name="Normal 2 3 6" xfId="1075" xr:uid="{2243EE8A-CA64-4EFF-A9E4-C29E588DEA4D}"/>
    <cellStyle name="Normal 2 3 6 2" xfId="2220" xr:uid="{41EE46CE-A7F3-4B28-ABF8-50FB95BCF74D}"/>
    <cellStyle name="Normal 2 3 6 2 2" xfId="3109" xr:uid="{788810EB-E909-4D60-A16D-84B46A0DD811}"/>
    <cellStyle name="Normal 2 3 6 2 3" xfId="3335" xr:uid="{94DACF42-F1B5-4525-94A8-57D14B9186F0}"/>
    <cellStyle name="Normal 2 3 6 3" xfId="2988" xr:uid="{B4E9EE8D-222F-420C-BD7E-130B58684615}"/>
    <cellStyle name="Normal 2 3 6 4" xfId="3214" xr:uid="{1B2E31F0-F583-4A47-9BAE-C0A365F80FF7}"/>
    <cellStyle name="Normal 2 3 7" xfId="1076" xr:uid="{4F1DD2F6-C827-4DDA-8149-2194336ACC3E}"/>
    <cellStyle name="Normal 2 3 7 2" xfId="2221" xr:uid="{E901E931-0C7C-498C-BA2A-A10C9F1FC0D0}"/>
    <cellStyle name="Normal 2 3 7 2 2" xfId="3110" xr:uid="{29DB1546-9C81-4BFD-8BC9-5E7CA550CB7B}"/>
    <cellStyle name="Normal 2 3 7 2 3" xfId="3336" xr:uid="{26841915-0242-4A59-A750-5C34DB317224}"/>
    <cellStyle name="Normal 2 3 7 3" xfId="2989" xr:uid="{DF465177-65EF-40DD-BB5A-643E630D95A6}"/>
    <cellStyle name="Normal 2 3 7 4" xfId="3215" xr:uid="{9A4C9FFF-F28D-4DD5-9734-70571B8253CF}"/>
    <cellStyle name="Normal 2 3 8" xfId="1077" xr:uid="{0A4E27EC-77F9-43DF-A5E5-0C1C8F99160C}"/>
    <cellStyle name="Normal 2 3 8 2" xfId="2222" xr:uid="{F8D70CD6-7814-4360-8A68-FB388AEA6EE2}"/>
    <cellStyle name="Normal 2 3 8 2 2" xfId="3111" xr:uid="{8DFFED13-093D-464C-82B0-2769C56FE023}"/>
    <cellStyle name="Normal 2 3 8 2 3" xfId="3337" xr:uid="{9C3833D0-20A1-401B-9933-A4E0541B7CBE}"/>
    <cellStyle name="Normal 2 3 8 3" xfId="2990" xr:uid="{D9830A14-7EA3-4D81-8BF3-5DF721620594}"/>
    <cellStyle name="Normal 2 3 8 4" xfId="3216" xr:uid="{D5DB22DF-E07E-49A8-816C-EDCEBA2C98DF}"/>
    <cellStyle name="Normal 2 3 9" xfId="1078" xr:uid="{6BBF7E4C-25A5-4A12-B008-51EBC5E56604}"/>
    <cellStyle name="Normal 2 3 9 2" xfId="2223" xr:uid="{A581BCC4-6F08-4108-BBAE-1C2B658F6E02}"/>
    <cellStyle name="Normal 2 3 9 2 2" xfId="3112" xr:uid="{74B19C61-0742-4671-AE65-F2AE506DD980}"/>
    <cellStyle name="Normal 2 3 9 2 3" xfId="3338" xr:uid="{FF4D7B67-B529-4CA8-92BD-26165A3E8103}"/>
    <cellStyle name="Normal 2 3 9 3" xfId="2991" xr:uid="{6339EA1E-80A9-4811-B0A9-951D3508C8EA}"/>
    <cellStyle name="Normal 2 3 9 4" xfId="3217" xr:uid="{42516960-985A-45AB-B1ED-6CB70A2A7BE3}"/>
    <cellStyle name="Normal 2 4" xfId="105" xr:uid="{BAF905DC-2DB5-4990-AFDE-FE74ECE89C63}"/>
    <cellStyle name="Normal 2 4 10" xfId="1080" xr:uid="{8B286F16-F780-4000-A1A8-C2807CC2D9E3}"/>
    <cellStyle name="Normal 2 4 10 2" xfId="2225" xr:uid="{A01D677A-393B-4029-9988-68E669BFCAAA}"/>
    <cellStyle name="Normal 2 4 10 2 2" xfId="3113" xr:uid="{1517BCDD-5FC7-42B1-9AE3-5253A0411486}"/>
    <cellStyle name="Normal 2 4 10 2 3" xfId="3339" xr:uid="{90B556D4-44AB-480C-80B4-49927C120A7A}"/>
    <cellStyle name="Normal 2 4 10 3" xfId="2992" xr:uid="{ACD29FAE-E3A7-4A0F-8BCE-161911AAAD48}"/>
    <cellStyle name="Normal 2 4 10 4" xfId="3218" xr:uid="{1A653E41-5B54-4B20-9DBF-402EABB3C25D}"/>
    <cellStyle name="Normal 2 4 11" xfId="1081" xr:uid="{E679831E-4AB3-4073-A917-11B56D0E3430}"/>
    <cellStyle name="Normal 2 4 11 2" xfId="2226" xr:uid="{E788BAD0-052D-4A2A-8593-C6228704796C}"/>
    <cellStyle name="Normal 2 4 11 2 2" xfId="3114" xr:uid="{D64A3BD3-371F-499B-875D-AFD2F48F1020}"/>
    <cellStyle name="Normal 2 4 11 2 3" xfId="3340" xr:uid="{576AD2CE-132D-4F37-B36E-4565940F09AF}"/>
    <cellStyle name="Normal 2 4 11 3" xfId="2993" xr:uid="{B76E2110-F989-4F4B-883C-84F60FDB7C0C}"/>
    <cellStyle name="Normal 2 4 11 4" xfId="3219" xr:uid="{70973BCD-9E88-473D-8E27-E9305A8DC49F}"/>
    <cellStyle name="Normal 2 4 12" xfId="1082" xr:uid="{C08720FB-198C-44C9-92B4-50C074D5B733}"/>
    <cellStyle name="Normal 2 4 12 2" xfId="2227" xr:uid="{C08E63C3-9BF3-4DA3-8F4E-04FAC34C62AC}"/>
    <cellStyle name="Normal 2 4 12 2 2" xfId="3115" xr:uid="{B0169954-EAC0-4145-A203-965088741DB8}"/>
    <cellStyle name="Normal 2 4 12 2 3" xfId="3341" xr:uid="{CB340CBB-9B3A-404B-9C77-14338A29E4A9}"/>
    <cellStyle name="Normal 2 4 12 3" xfId="2994" xr:uid="{9550E190-FAE1-46C2-B319-054983299BEA}"/>
    <cellStyle name="Normal 2 4 12 4" xfId="3220" xr:uid="{E0EC8C42-EB7F-475A-B6CB-ADB11590F7EE}"/>
    <cellStyle name="Normal 2 4 13" xfId="1083" xr:uid="{49C93053-3828-4D4A-93F7-CFFA7479095C}"/>
    <cellStyle name="Normal 2 4 13 2" xfId="2228" xr:uid="{7CAE3471-2417-4589-8091-08A9A67F4C6A}"/>
    <cellStyle name="Normal 2 4 13 2 2" xfId="3116" xr:uid="{158CE5AE-07CA-4759-BDE2-B86B731B3B77}"/>
    <cellStyle name="Normal 2 4 13 2 3" xfId="3342" xr:uid="{30205F64-9352-48F9-A619-3F3D6112941C}"/>
    <cellStyle name="Normal 2 4 13 3" xfId="2995" xr:uid="{CCEA654E-0001-41C3-8B2F-2B4E37ACC9BE}"/>
    <cellStyle name="Normal 2 4 13 4" xfId="3221" xr:uid="{20C99C24-94F2-43A9-BECA-5D39FD62FC86}"/>
    <cellStyle name="Normal 2 4 14" xfId="2224" xr:uid="{1F162B52-0D9B-4C5E-9482-E9173C578D5C}"/>
    <cellStyle name="Normal 2 4 15" xfId="1079" xr:uid="{6F0574C5-C437-49C1-A700-42A2A96A171C}"/>
    <cellStyle name="Normal 2 4 2" xfId="1084" xr:uid="{8235685D-FDAD-4B05-856A-636609B90483}"/>
    <cellStyle name="Normal 2 4 2 2" xfId="2229" xr:uid="{06F80B24-F4EA-49F8-9E2F-C89A04A59A9E}"/>
    <cellStyle name="Normal 2 4 2 2 2" xfId="3117" xr:uid="{0DF692F3-F1A8-4880-8F29-738ED32580C9}"/>
    <cellStyle name="Normal 2 4 2 2 3" xfId="3343" xr:uid="{12353FAB-BD86-4A00-BCFA-F5B2D6DAF712}"/>
    <cellStyle name="Normal 2 4 2 3" xfId="2996" xr:uid="{98A5C5F5-A327-4019-9EAC-7D88A5EC1C3A}"/>
    <cellStyle name="Normal 2 4 2 4" xfId="3222" xr:uid="{3775199F-6983-4CA3-9BA8-266235B5738D}"/>
    <cellStyle name="Normal 2 4 3" xfId="1085" xr:uid="{98D28C4C-7127-4332-AA1E-0CD19683D4C5}"/>
    <cellStyle name="Normal 2 4 3 2" xfId="2230" xr:uid="{1C2E0EE2-1D4D-4433-9B96-B59C94A75846}"/>
    <cellStyle name="Normal 2 4 3 2 2" xfId="3118" xr:uid="{EC6E9417-8E2D-464B-BA7D-23AB6C3B7E15}"/>
    <cellStyle name="Normal 2 4 3 2 3" xfId="3344" xr:uid="{1AB403EC-2804-45DF-8E73-AD277DFA7085}"/>
    <cellStyle name="Normal 2 4 3 3" xfId="2997" xr:uid="{BCAC3285-2AD1-46A6-B51E-649B9AD6D8DF}"/>
    <cellStyle name="Normal 2 4 3 4" xfId="3223" xr:uid="{39504660-00CE-46B2-826E-73B075AB56DB}"/>
    <cellStyle name="Normal 2 4 4" xfId="1086" xr:uid="{DED0F0C5-BF39-41FE-94CA-B1FB368E49B4}"/>
    <cellStyle name="Normal 2 4 4 2" xfId="2231" xr:uid="{3E6D9BB4-2F72-4E9C-B97F-63F8412261E4}"/>
    <cellStyle name="Normal 2 4 4 2 2" xfId="3119" xr:uid="{7E1E4C92-093F-4D70-8E71-76DEC50DEA55}"/>
    <cellStyle name="Normal 2 4 4 2 3" xfId="3345" xr:uid="{75ED04AC-B032-45F9-B8D1-67FB2FFC8F0A}"/>
    <cellStyle name="Normal 2 4 4 3" xfId="2998" xr:uid="{E93448EA-D1FC-4E9D-B45F-A055CEE160FE}"/>
    <cellStyle name="Normal 2 4 4 4" xfId="3224" xr:uid="{9DD056AA-7543-4726-B3D0-4EE076557017}"/>
    <cellStyle name="Normal 2 4 5" xfId="1087" xr:uid="{FD5B49DF-852A-4E6A-8CF2-ED9513B85E15}"/>
    <cellStyle name="Normal 2 4 5 2" xfId="2232" xr:uid="{652DDD76-1F1D-46E5-B6E5-D64D62165CED}"/>
    <cellStyle name="Normal 2 4 5 2 2" xfId="3120" xr:uid="{D477F497-266C-4190-95ED-926C31F23134}"/>
    <cellStyle name="Normal 2 4 5 2 3" xfId="3346" xr:uid="{964132E9-80B7-4176-9AD2-70F697A4D80B}"/>
    <cellStyle name="Normal 2 4 5 3" xfId="2999" xr:uid="{89B5EC66-2F67-4030-B87A-CF2B48D2ACB0}"/>
    <cellStyle name="Normal 2 4 5 4" xfId="3225" xr:uid="{33AF1FA8-59E7-415A-AE57-F805052CD461}"/>
    <cellStyle name="Normal 2 4 6" xfId="1088" xr:uid="{237B5112-0822-4AE3-A193-A04CDE7BA077}"/>
    <cellStyle name="Normal 2 4 6 2" xfId="2233" xr:uid="{43A85951-BAF9-4130-ADA7-58EB2A093E22}"/>
    <cellStyle name="Normal 2 4 6 2 2" xfId="3121" xr:uid="{8F20D2F5-BABB-4C8F-A826-EBB98FAF2C86}"/>
    <cellStyle name="Normal 2 4 6 2 3" xfId="3347" xr:uid="{3C58F08F-6813-44E6-8677-C8A8EA802D55}"/>
    <cellStyle name="Normal 2 4 6 3" xfId="3000" xr:uid="{B33CAFAD-E524-4396-A405-DAAE2F43FA23}"/>
    <cellStyle name="Normal 2 4 6 4" xfId="3226" xr:uid="{52090467-C172-4A7E-89C7-5225539DF987}"/>
    <cellStyle name="Normal 2 4 7" xfId="1089" xr:uid="{D369F3E9-006C-4310-9915-CE83EDB0DCA0}"/>
    <cellStyle name="Normal 2 4 7 2" xfId="2234" xr:uid="{295F2B84-27DD-460B-A6A2-BB49AAF2E184}"/>
    <cellStyle name="Normal 2 4 7 2 2" xfId="3122" xr:uid="{F7135689-5EB2-4AD8-B364-342CCCF930AF}"/>
    <cellStyle name="Normal 2 4 7 2 3" xfId="3348" xr:uid="{44B77583-1D5E-43FD-A404-A60FC0C7A30F}"/>
    <cellStyle name="Normal 2 4 7 3" xfId="3001" xr:uid="{ACB2DD98-FFF4-4F1A-9BAB-B7F356AB2690}"/>
    <cellStyle name="Normal 2 4 7 4" xfId="3227" xr:uid="{140E99E5-8005-483B-AA3E-AB5B95BA301C}"/>
    <cellStyle name="Normal 2 4 8" xfId="1090" xr:uid="{0AA77E11-5000-43E8-8217-9B3ECC81F823}"/>
    <cellStyle name="Normal 2 4 8 2" xfId="2235" xr:uid="{5DCE3735-3C62-42F8-BA35-CB5FC7692068}"/>
    <cellStyle name="Normal 2 4 8 2 2" xfId="3123" xr:uid="{77C9E821-57AB-4D60-A309-2EE1DC3F1712}"/>
    <cellStyle name="Normal 2 4 8 2 3" xfId="3349" xr:uid="{D207DE7F-AE2C-4339-97CB-7918C9600CD3}"/>
    <cellStyle name="Normal 2 4 8 3" xfId="3002" xr:uid="{A7F81E30-63A3-43D3-96B4-D6DE23803981}"/>
    <cellStyle name="Normal 2 4 8 4" xfId="3228" xr:uid="{29698197-A3BD-4C4A-A534-3F1D53A4152D}"/>
    <cellStyle name="Normal 2 4 9" xfId="1091" xr:uid="{FB35FD02-5B75-4E25-BDAE-E563DF1851A1}"/>
    <cellStyle name="Normal 2 4 9 2" xfId="2236" xr:uid="{55C5ECC6-6CBF-4F7B-80AE-EBB498A141E4}"/>
    <cellStyle name="Normal 2 4 9 2 2" xfId="3124" xr:uid="{C5F098A3-E9DB-463E-ACEF-B9B24D1EDF3C}"/>
    <cellStyle name="Normal 2 4 9 2 3" xfId="3350" xr:uid="{99723173-9108-497A-AC42-796FDC5E3340}"/>
    <cellStyle name="Normal 2 4 9 3" xfId="3003" xr:uid="{6608955F-7B1A-4026-81BA-4C85CAB9635A}"/>
    <cellStyle name="Normal 2 4 9 4" xfId="3229" xr:uid="{28296141-EDD4-4100-A977-8CB9CA11394B}"/>
    <cellStyle name="Normal 2 5" xfId="106" xr:uid="{94807038-EA7E-4E58-954C-0AB713056921}"/>
    <cellStyle name="Normal 2 5 2" xfId="2237" xr:uid="{48630549-7E17-4124-8E10-6B9C4336B7B8}"/>
    <cellStyle name="Normal 2 5 3" xfId="1092" xr:uid="{BA5505B3-AAE0-4692-B378-919C10AF4E82}"/>
    <cellStyle name="Normal 2 6" xfId="107" xr:uid="{13D32FD3-F5A5-4A44-8EF2-2A5AFF58DCFD}"/>
    <cellStyle name="Normal 2 6 2" xfId="2238" xr:uid="{3CA4D81A-5C9A-45A4-8534-EF363EF38004}"/>
    <cellStyle name="Normal 2 6 3" xfId="1093" xr:uid="{73FFED39-B1A9-4475-9703-D2C31BF94806}"/>
    <cellStyle name="Normal 2 7" xfId="108" xr:uid="{16B8D2BD-BD72-4E2D-8847-71B71470C2BC}"/>
    <cellStyle name="Normal 2 7 2" xfId="2239" xr:uid="{FC43ED11-8CEF-4AA4-A214-EE30E54F679B}"/>
    <cellStyle name="Normal 2 7 3" xfId="1094" xr:uid="{57AF57D3-0AD4-4D22-A720-FB5AB9F4C188}"/>
    <cellStyle name="Normal 2 8" xfId="109" xr:uid="{E2E37F68-D4F4-4404-97C8-1681AFE7B9FC}"/>
    <cellStyle name="Normal 2 8 2" xfId="2240" xr:uid="{77F1235A-FBEC-4426-B5A6-D247B9D37181}"/>
    <cellStyle name="Normal 2 8 3" xfId="1095" xr:uid="{4EC4DB3A-59F7-4AD3-81B5-C18DDE5842BF}"/>
    <cellStyle name="Normal 2 9" xfId="191" xr:uid="{12CA11D6-8B66-47B5-85D1-BAC75F8DBB5A}"/>
    <cellStyle name="Normal 2 9 2" xfId="2241" xr:uid="{2BE08501-B081-4467-BE36-C49BC3578F76}"/>
    <cellStyle name="Normal 2_OTHsectors" xfId="110" xr:uid="{056270C9-8EB5-4CA9-8F72-5B07F21EFC76}"/>
    <cellStyle name="Normal 20" xfId="1096" xr:uid="{48C63164-4A1B-42B1-BB83-63E200264723}"/>
    <cellStyle name="Normal 21" xfId="1097" xr:uid="{A804346D-90D9-4848-8847-F373E04739EA}"/>
    <cellStyle name="Normal 21 2" xfId="2242" xr:uid="{C01D707B-1091-4ABB-98A1-44A33DC43092}"/>
    <cellStyle name="Normal 26" xfId="1098" xr:uid="{CC87CF21-C109-43E5-80B8-7935C4A35DEE}"/>
    <cellStyle name="Normal 26 2" xfId="2243" xr:uid="{E2D366C4-206F-4D34-AA00-9ACFD1B088FF}"/>
    <cellStyle name="Normal 3" xfId="3" xr:uid="{6F5F0363-99B6-40DA-BDE0-F5C804E5FFB7}"/>
    <cellStyle name="Normal 3 10" xfId="1100" xr:uid="{BE44E2F7-4389-4C24-A7E1-316DF1D7D3B8}"/>
    <cellStyle name="Normal 3 10 2" xfId="2245" xr:uid="{EB06D91C-7A82-427F-9871-E417804D6AC3}"/>
    <cellStyle name="Normal 3 11" xfId="1101" xr:uid="{B18BA282-B1AE-4AA6-A111-2CCCCFA727FE}"/>
    <cellStyle name="Normal 3 11 2" xfId="2246" xr:uid="{DF393360-B4D0-4F3C-BFE7-6B4F3CCD7578}"/>
    <cellStyle name="Normal 3 12" xfId="1102" xr:uid="{9EA75740-D61C-4E37-BACE-AD2D6D1BDC44}"/>
    <cellStyle name="Normal 3 12 2" xfId="2247" xr:uid="{F1B7A002-0C98-42F8-98C7-9960C10E8415}"/>
    <cellStyle name="Normal 3 13" xfId="1103" xr:uid="{F173A257-649B-4A1D-95D5-B1F710D031A6}"/>
    <cellStyle name="Normal 3 13 2" xfId="2248" xr:uid="{1D31614C-9E33-445E-ACB2-D3612103CC57}"/>
    <cellStyle name="Normal 3 14" xfId="2244" xr:uid="{6FDF7EF4-AB3F-41CD-A7A9-E3B716C3D7AF}"/>
    <cellStyle name="Normal 3 14 2" xfId="3125" xr:uid="{44661F90-900C-463D-AE2F-4216F326536B}"/>
    <cellStyle name="Normal 3 14 3" xfId="3351" xr:uid="{CD32AFF5-DA6E-4D21-B4A0-3FDA13DD4BBC}"/>
    <cellStyle name="Normal 3 15" xfId="1099" xr:uid="{BE709B14-026B-4276-BB75-5450E074D3E0}"/>
    <cellStyle name="Normal 3 16" xfId="3004" xr:uid="{92E3D0F8-2D49-41F0-AC2B-FA7067D29177}"/>
    <cellStyle name="Normal 3 17" xfId="3230" xr:uid="{66CAE9EA-693F-40F4-AC99-606115A60214}"/>
    <cellStyle name="Normal 3 2" xfId="111" xr:uid="{8092C39C-8D30-4EB2-BC00-963DFC3EACC4}"/>
    <cellStyle name="Normal 3 2 10" xfId="1104" xr:uid="{155034F5-D2C8-47E4-B9D6-42B32EC74335}"/>
    <cellStyle name="Normal 3 2 2" xfId="112" xr:uid="{77280354-38E1-44E9-80D4-E0BE4BF597E6}"/>
    <cellStyle name="Normal 3 2 2 2" xfId="2250" xr:uid="{795A0DDE-CD7C-498D-BBB6-BE24BF2A1D16}"/>
    <cellStyle name="Normal 3 2 2 3" xfId="1105" xr:uid="{FA34C045-56E2-4FBD-887E-C31E4A172C03}"/>
    <cellStyle name="Normal 3 2 3" xfId="1106" xr:uid="{036CE81F-1391-4297-A191-7F820EFB3715}"/>
    <cellStyle name="Normal 3 2 3 2" xfId="2251" xr:uid="{80B212DE-EA8A-4B1E-8323-3D15B476CE53}"/>
    <cellStyle name="Normal 3 2 4" xfId="1107" xr:uid="{A3B27C80-E9AC-4F18-99F8-EEF3F2F10163}"/>
    <cellStyle name="Normal 3 2 4 2" xfId="2252" xr:uid="{0A5B61B6-6EF6-4735-AFA0-EF8C546E42E7}"/>
    <cellStyle name="Normal 3 2 5" xfId="1108" xr:uid="{A349D569-D3C4-4791-A15F-A77340C88A65}"/>
    <cellStyle name="Normal 3 2 5 2" xfId="2253" xr:uid="{7EB544F1-3421-4B35-A1FC-5BB805495494}"/>
    <cellStyle name="Normal 3 2 6" xfId="1109" xr:uid="{027CB686-F500-4775-9221-253BF2350148}"/>
    <cellStyle name="Normal 3 2 6 2" xfId="2254" xr:uid="{3A22BF95-3E80-4A52-905B-17ED1E88F808}"/>
    <cellStyle name="Normal 3 2 7" xfId="1110" xr:uid="{51F1CA12-FB51-4E1E-8471-CB9A9C011D4D}"/>
    <cellStyle name="Normal 3 2 7 2" xfId="2255" xr:uid="{1DB53E84-EE3F-490F-AE7B-2EDB195F48CB}"/>
    <cellStyle name="Normal 3 2 8" xfId="1111" xr:uid="{524BF7D5-F585-4DA9-9098-FCC25B4BD35C}"/>
    <cellStyle name="Normal 3 2 8 2" xfId="2256" xr:uid="{1C28C164-1024-46DB-ACB2-92FB1156132F}"/>
    <cellStyle name="Normal 3 2 9" xfId="2249" xr:uid="{F518E805-7BD1-4003-BD75-AF4CECF96156}"/>
    <cellStyle name="Normal 3 3" xfId="113" xr:uid="{265EBC09-9C1D-478D-BE67-C33C9C8FF247}"/>
    <cellStyle name="Normal 3 3 10" xfId="1112" xr:uid="{DA9E4926-1235-4001-AA14-F1600126F03C}"/>
    <cellStyle name="Normal 3 3 2" xfId="1113" xr:uid="{99680C1E-B1DD-4D8F-BDB1-39388782BE72}"/>
    <cellStyle name="Normal 3 3 2 2" xfId="2258" xr:uid="{E33CF004-DAB5-4EB8-9266-90A11DBEEDCB}"/>
    <cellStyle name="Normal 3 3 3" xfId="1114" xr:uid="{18ADE4AC-C098-4813-9AB7-CA5F5FD650B2}"/>
    <cellStyle name="Normal 3 3 3 2" xfId="2259" xr:uid="{EF0E6B81-DAC4-4985-A235-3BCC9963498D}"/>
    <cellStyle name="Normal 3 3 4" xfId="1115" xr:uid="{703765F7-F419-443F-97F3-84C90A0E9D27}"/>
    <cellStyle name="Normal 3 3 4 2" xfId="2260" xr:uid="{0305727B-F22F-45D1-BFDF-7246B4D84F97}"/>
    <cellStyle name="Normal 3 3 5" xfId="1116" xr:uid="{79102D58-C53A-4A74-9B5C-60F45856812D}"/>
    <cellStyle name="Normal 3 3 5 2" xfId="2261" xr:uid="{63EEB71D-0FB9-42E8-972F-38053DCE4A61}"/>
    <cellStyle name="Normal 3 3 6" xfId="1117" xr:uid="{BBBEAD6A-BF3E-4101-8391-B4EDBD7BD264}"/>
    <cellStyle name="Normal 3 3 6 2" xfId="2262" xr:uid="{BA05B0E1-B8A0-4CC3-9239-6EAB45F9F2DC}"/>
    <cellStyle name="Normal 3 3 7" xfId="1118" xr:uid="{57DE8138-C610-4A69-9FC6-D215BBA32005}"/>
    <cellStyle name="Normal 3 3 7 2" xfId="2263" xr:uid="{D8B69B34-CE3D-466D-969A-4D20E867B865}"/>
    <cellStyle name="Normal 3 3 8" xfId="1119" xr:uid="{E5F3EF94-359A-43E9-8C5D-B2CB0FD663CC}"/>
    <cellStyle name="Normal 3 3 8 2" xfId="2264" xr:uid="{39A21A58-0A77-49A1-9162-10DB18CA02AD}"/>
    <cellStyle name="Normal 3 3 9" xfId="2257" xr:uid="{4E033B1C-A315-4080-A12F-9F87A803F054}"/>
    <cellStyle name="Normal 3 4" xfId="114" xr:uid="{325A97D2-5C20-4EFD-8945-8A57F27D5A34}"/>
    <cellStyle name="Normal 3 4 10" xfId="1120" xr:uid="{5A2FBB00-31CB-436F-82AC-14045E26401C}"/>
    <cellStyle name="Normal 3 4 2" xfId="115" xr:uid="{5661EBBC-72C7-4042-9653-66E36CB1E93E}"/>
    <cellStyle name="Normal 3 4 2 2" xfId="2266" xr:uid="{53B5F2C4-9B8C-4A34-886B-B87DA6C74013}"/>
    <cellStyle name="Normal 3 4 2 3" xfId="1121" xr:uid="{19DF1BFB-4000-43A6-A748-48F06C784B9B}"/>
    <cellStyle name="Normal 3 4 3" xfId="1122" xr:uid="{442D07B7-759E-482F-B36F-7E0BF4C20E63}"/>
    <cellStyle name="Normal 3 4 3 2" xfId="2267" xr:uid="{347AA3A9-D6D6-4CD9-B3F4-66C330D8D432}"/>
    <cellStyle name="Normal 3 4 4" xfId="1123" xr:uid="{56F06E69-F83B-4749-863A-0353F44CA628}"/>
    <cellStyle name="Normal 3 4 4 2" xfId="2268" xr:uid="{DDB982CE-E728-4548-9654-7AA538A53D05}"/>
    <cellStyle name="Normal 3 4 5" xfId="1124" xr:uid="{5EE74536-FF82-4858-967A-26BFD75D3C70}"/>
    <cellStyle name="Normal 3 4 5 2" xfId="2269" xr:uid="{68000E24-1E54-44A0-9760-5FA44E3830CF}"/>
    <cellStyle name="Normal 3 4 6" xfId="1125" xr:uid="{DDE58DAD-5A7A-4013-9020-24FD66C6C299}"/>
    <cellStyle name="Normal 3 4 6 2" xfId="2270" xr:uid="{2111948A-937A-4E0F-AF53-A88464DA8AA8}"/>
    <cellStyle name="Normal 3 4 7" xfId="1126" xr:uid="{988E3E1B-8338-4C38-BB50-F47E8A67E98C}"/>
    <cellStyle name="Normal 3 4 7 2" xfId="2271" xr:uid="{EFC1C398-A620-4CB2-AEC4-89641BE24FAA}"/>
    <cellStyle name="Normal 3 4 8" xfId="1127" xr:uid="{563D0929-4A27-466B-A031-3A0230C1F601}"/>
    <cellStyle name="Normal 3 4 8 2" xfId="2272" xr:uid="{3DCF8E46-6DC4-4F25-B9FF-329AB1F70063}"/>
    <cellStyle name="Normal 3 4 9" xfId="2265" xr:uid="{8E7C4652-CDE2-4A2C-94CF-4745EED72A0D}"/>
    <cellStyle name="Normal 3 5" xfId="116" xr:uid="{0D0B77C4-2E14-41B7-AD00-9717038BDA27}"/>
    <cellStyle name="Normal 3 5 10" xfId="1128" xr:uid="{ED0720E5-964E-434A-829A-93CAE9D26236}"/>
    <cellStyle name="Normal 3 5 2" xfId="1129" xr:uid="{4253B151-30D7-408E-AEC4-91786A3948FD}"/>
    <cellStyle name="Normal 3 5 2 2" xfId="2274" xr:uid="{53C5DE4F-C582-43AF-B82E-7269736CE49B}"/>
    <cellStyle name="Normal 3 5 3" xfId="1130" xr:uid="{F2FEEC8E-B24C-4576-9F04-D625F2BE0E20}"/>
    <cellStyle name="Normal 3 5 3 2" xfId="2275" xr:uid="{34C1EB37-7610-44C5-88D0-328FDD5C4766}"/>
    <cellStyle name="Normal 3 5 4" xfId="1131" xr:uid="{812A5A81-DD80-4D2E-A3E6-19B048124C1A}"/>
    <cellStyle name="Normal 3 5 4 2" xfId="2276" xr:uid="{CC96B3FE-BB4D-4C23-A4A2-7773653F6AB4}"/>
    <cellStyle name="Normal 3 5 5" xfId="1132" xr:uid="{74DEBF70-69FE-4AC3-901F-DF6E3FFD80F7}"/>
    <cellStyle name="Normal 3 5 5 2" xfId="2277" xr:uid="{BE5F012D-3427-4BDA-B597-40932278C62B}"/>
    <cellStyle name="Normal 3 5 6" xfId="1133" xr:uid="{AB9CAA5A-EBD7-4E76-946F-ED6F440370E0}"/>
    <cellStyle name="Normal 3 5 6 2" xfId="2278" xr:uid="{BB1E789B-DD56-435B-8503-BA822368A1A5}"/>
    <cellStyle name="Normal 3 5 7" xfId="1134" xr:uid="{4C093357-A58F-4C73-BAE0-85B5BFD102F8}"/>
    <cellStyle name="Normal 3 5 7 2" xfId="2279" xr:uid="{CB2526FA-F60B-482F-9F02-21273F02C334}"/>
    <cellStyle name="Normal 3 5 8" xfId="1135" xr:uid="{CBADB952-97E3-4917-BF8D-238CFACDEB38}"/>
    <cellStyle name="Normal 3 5 8 2" xfId="2280" xr:uid="{9102647E-759B-443C-8F29-E5D4BBD08498}"/>
    <cellStyle name="Normal 3 5 9" xfId="2273" xr:uid="{224A844B-4007-4EBB-B9FD-60E0093740A4}"/>
    <cellStyle name="Normal 3 6" xfId="199" xr:uid="{5A6F0610-0217-467B-897C-27814644D67A}"/>
    <cellStyle name="Normal 3 6 2" xfId="2281" xr:uid="{E90AD096-2723-4751-810D-E87458032F52}"/>
    <cellStyle name="Normal 3 6 3" xfId="1136" xr:uid="{EA64F821-BB3B-4224-AD6D-508CD26AB62F}"/>
    <cellStyle name="Normal 3 7" xfId="1137" xr:uid="{705833C3-767F-4FE4-A266-5618D69562EF}"/>
    <cellStyle name="Normal 3 7 2" xfId="2282" xr:uid="{DCBC71C3-2F7D-4F81-849A-7DEA18F65633}"/>
    <cellStyle name="Normal 3 8" xfId="1138" xr:uid="{055D7CA1-E3F2-4BDF-AA34-45D51F33A28C}"/>
    <cellStyle name="Normal 3 8 2" xfId="2283" xr:uid="{E193BFE6-C71A-4134-B6CB-F2FCC7359093}"/>
    <cellStyle name="Normal 3 9" xfId="1139" xr:uid="{156FB887-578C-4163-9607-430E510C2D20}"/>
    <cellStyle name="Normal 3 9 2" xfId="2284" xr:uid="{F5693431-1B8E-42A6-A406-7F44F9D547D2}"/>
    <cellStyle name="Normal 4" xfId="117" xr:uid="{4DC1AFE2-52C1-43B2-8A78-F02C8570DCBF}"/>
    <cellStyle name="Normal 4 10" xfId="1141" xr:uid="{512FE0EA-71D8-46B9-BBC5-6092D058943B}"/>
    <cellStyle name="Normal 4 10 2" xfId="2286" xr:uid="{E740C261-87F7-4D0E-81C3-C38318E77E4A}"/>
    <cellStyle name="Normal 4 11" xfId="1142" xr:uid="{E2200EA7-2D54-4873-8040-6D59930B7739}"/>
    <cellStyle name="Normal 4 11 2" xfId="2287" xr:uid="{86ECCEBC-8E3E-4D00-B210-C2126535ED33}"/>
    <cellStyle name="Normal 4 12" xfId="1143" xr:uid="{2BF9D1E6-6409-432B-AB62-18BB2A4B6486}"/>
    <cellStyle name="Normal 4 12 2" xfId="2288" xr:uid="{5BE17040-4F58-4BAE-A8A4-A9487EC09F8D}"/>
    <cellStyle name="Normal 4 13" xfId="2285" xr:uid="{CF36049C-0337-4937-8B62-3EE7FB2D149D}"/>
    <cellStyle name="Normal 4 14" xfId="1140" xr:uid="{4ED76413-68EF-48F3-936E-BE71169EEF48}"/>
    <cellStyle name="Normal 4 2" xfId="118" xr:uid="{980EA9A4-F3B2-40FE-BC98-6C7BA37A8170}"/>
    <cellStyle name="Normal 4 2 10" xfId="1144" xr:uid="{B4ED5497-B761-47C0-B4DD-E550944FF321}"/>
    <cellStyle name="Normal 4 2 2" xfId="1145" xr:uid="{1109ED5C-487F-4181-AF80-B4DF15C01948}"/>
    <cellStyle name="Normal 4 2 2 10" xfId="1146" xr:uid="{C85A9190-0A48-458F-AFF2-C05E12FB7562}"/>
    <cellStyle name="Normal 4 2 2 10 2" xfId="2291" xr:uid="{6E3A337B-45BF-4F60-B15B-ECF5BD36CF58}"/>
    <cellStyle name="Normal 4 2 2 10 2 2" xfId="3126" xr:uid="{5A59AF62-BEF1-4D6B-A7A0-F4D3F9BB6DE1}"/>
    <cellStyle name="Normal 4 2 2 10 2 3" xfId="3352" xr:uid="{ADA6EDE6-8F9E-42E1-A8E2-74DD7AD6BF90}"/>
    <cellStyle name="Normal 4 2 2 10 3" xfId="3005" xr:uid="{76CA1D00-518B-489E-BA3E-6A28DEA954F0}"/>
    <cellStyle name="Normal 4 2 2 10 4" xfId="3231" xr:uid="{9FBCE725-287C-41B3-82FF-3F88ED864826}"/>
    <cellStyle name="Normal 4 2 2 11" xfId="1147" xr:uid="{A8E40AFB-3A72-4949-89D7-7CA7A137B305}"/>
    <cellStyle name="Normal 4 2 2 11 2" xfId="2292" xr:uid="{62D3D142-4847-4B83-913B-9388ADC90452}"/>
    <cellStyle name="Normal 4 2 2 11 2 2" xfId="3127" xr:uid="{6F82ABD2-2DEE-429D-B66E-1BD9A93E5395}"/>
    <cellStyle name="Normal 4 2 2 11 2 3" xfId="3353" xr:uid="{4ACB356D-4F8B-4D69-9727-1F120B8A697F}"/>
    <cellStyle name="Normal 4 2 2 11 3" xfId="3006" xr:uid="{9FFEA101-03D7-4D6A-BF83-4E82B41E28EB}"/>
    <cellStyle name="Normal 4 2 2 11 4" xfId="3232" xr:uid="{1C53E957-A301-4DD8-89AF-4564F31932EF}"/>
    <cellStyle name="Normal 4 2 2 12" xfId="1148" xr:uid="{1F972448-236A-480E-A537-F9FFC2E907F2}"/>
    <cellStyle name="Normal 4 2 2 12 2" xfId="2293" xr:uid="{89756947-7426-4964-9B70-479B0B17D1D4}"/>
    <cellStyle name="Normal 4 2 2 12 2 2" xfId="3128" xr:uid="{697720E1-32B5-4AE6-98A6-A4B5C1C0CBEA}"/>
    <cellStyle name="Normal 4 2 2 12 2 3" xfId="3354" xr:uid="{E5B4A7F1-F4B5-4839-A39F-C7A8C0CF04E0}"/>
    <cellStyle name="Normal 4 2 2 12 3" xfId="3007" xr:uid="{A7B72537-9EEB-41BC-89BA-81E2D83E8A02}"/>
    <cellStyle name="Normal 4 2 2 12 4" xfId="3233" xr:uid="{A26FD1E6-618D-4AE8-83D7-F2FD9A5EE67E}"/>
    <cellStyle name="Normal 4 2 2 13" xfId="1149" xr:uid="{9ECBB26E-E704-44F7-8B1A-DF23D4B9CCD9}"/>
    <cellStyle name="Normal 4 2 2 13 2" xfId="2294" xr:uid="{BAF6503F-3831-4C7B-B153-7FBDDB61E361}"/>
    <cellStyle name="Normal 4 2 2 13 2 2" xfId="3129" xr:uid="{6488BD86-9AF9-494F-80C6-FC0EA95572FA}"/>
    <cellStyle name="Normal 4 2 2 13 2 3" xfId="3355" xr:uid="{646208EE-B862-4A0A-9241-FDE721AB6315}"/>
    <cellStyle name="Normal 4 2 2 13 3" xfId="3008" xr:uid="{7DC9C7A3-BF62-4031-8BB2-81F69E757F85}"/>
    <cellStyle name="Normal 4 2 2 13 4" xfId="3234" xr:uid="{FB87347B-AD60-4E1B-BC66-BD49D61A3119}"/>
    <cellStyle name="Normal 4 2 2 14" xfId="2290" xr:uid="{3AC18B99-B415-43A5-B4D7-EEDD39E2B6E7}"/>
    <cellStyle name="Normal 4 2 2 2" xfId="1150" xr:uid="{1A19D580-7377-451A-9E36-C2C161E31494}"/>
    <cellStyle name="Normal 4 2 2 2 10" xfId="1151" xr:uid="{A47E0AD2-9F23-4679-8DE8-6738B2B78036}"/>
    <cellStyle name="Normal 4 2 2 2 10 2" xfId="2296" xr:uid="{CBBC75F0-F013-4EB6-BF05-5CC62F7A1ADC}"/>
    <cellStyle name="Normal 4 2 2 2 11" xfId="1152" xr:uid="{BCA3E255-B746-4A53-AA26-E7D35DF40536}"/>
    <cellStyle name="Normal 4 2 2 2 11 2" xfId="2297" xr:uid="{8BF3FE3A-89D8-4732-955F-5FD23FB45FDA}"/>
    <cellStyle name="Normal 4 2 2 2 12" xfId="1153" xr:uid="{60F665CF-537C-497C-B783-A7524A581379}"/>
    <cellStyle name="Normal 4 2 2 2 12 2" xfId="2298" xr:uid="{9D1AD000-429A-4B08-855E-3F6EDA587E3B}"/>
    <cellStyle name="Normal 4 2 2 2 13" xfId="1154" xr:uid="{F720AB68-B981-4486-BEBC-903E423A53E7}"/>
    <cellStyle name="Normal 4 2 2 2 13 2" xfId="2299" xr:uid="{4C6EBE44-6924-48F5-88AA-1730DF8795C3}"/>
    <cellStyle name="Normal 4 2 2 2 14" xfId="2295" xr:uid="{0291451A-3A89-4E82-BBE0-F8358ECE600A}"/>
    <cellStyle name="Normal 4 2 2 2 14 2" xfId="3130" xr:uid="{DE1809DB-3C3D-4D44-8B15-C9790285625E}"/>
    <cellStyle name="Normal 4 2 2 2 14 3" xfId="3356" xr:uid="{D8CA6DFA-9AEE-4357-99BC-94E26717B8B0}"/>
    <cellStyle name="Normal 4 2 2 2 15" xfId="3009" xr:uid="{4A529504-312F-4A3D-A58D-8317F612BFC0}"/>
    <cellStyle name="Normal 4 2 2 2 16" xfId="3235" xr:uid="{3A1E80D9-2A44-4703-8CBD-2928D1996E62}"/>
    <cellStyle name="Normal 4 2 2 2 2" xfId="1155" xr:uid="{24814546-1DA3-44AE-9DC3-C036FD07B60E}"/>
    <cellStyle name="Normal 4 2 2 2 2 2" xfId="2300" xr:uid="{E86E6589-9ECC-46B9-BB2B-3856B2839C05}"/>
    <cellStyle name="Normal 4 2 2 2 3" xfId="1156" xr:uid="{7318EA68-F70C-4F40-93BA-B75766B8C310}"/>
    <cellStyle name="Normal 4 2 2 2 3 2" xfId="2301" xr:uid="{D87FB04E-1F2D-4268-AEC2-483883EE43EF}"/>
    <cellStyle name="Normal 4 2 2 2 4" xfId="1157" xr:uid="{4005E20E-3C58-4C26-BF0E-C955736DC44D}"/>
    <cellStyle name="Normal 4 2 2 2 4 2" xfId="2302" xr:uid="{A034CBC1-D9D6-4CFD-9B36-AC1097A33C35}"/>
    <cellStyle name="Normal 4 2 2 2 5" xfId="1158" xr:uid="{BD12BEE1-D065-4758-8DCA-4179A4F27C59}"/>
    <cellStyle name="Normal 4 2 2 2 5 2" xfId="2303" xr:uid="{7B9D9ED1-2273-4AF6-83F4-1975B222D676}"/>
    <cellStyle name="Normal 4 2 2 2 6" xfId="1159" xr:uid="{00FDF60E-6F83-437E-BC90-BF9C44D7350A}"/>
    <cellStyle name="Normal 4 2 2 2 6 2" xfId="2304" xr:uid="{C54E9C39-4DB5-4D31-BBDA-21FB0AEDB8B1}"/>
    <cellStyle name="Normal 4 2 2 2 7" xfId="1160" xr:uid="{68C2A6C6-59AE-4817-806B-A49F8C6AC5A2}"/>
    <cellStyle name="Normal 4 2 2 2 7 2" xfId="2305" xr:uid="{B85AD92F-09AD-4C06-97DF-2603727C41C1}"/>
    <cellStyle name="Normal 4 2 2 2 8" xfId="1161" xr:uid="{4F389F10-4F7A-481E-BDCA-E3B34520C4E7}"/>
    <cellStyle name="Normal 4 2 2 2 8 2" xfId="2306" xr:uid="{3778410F-C97F-45D5-B9FA-38EDAD5671BA}"/>
    <cellStyle name="Normal 4 2 2 2 9" xfId="1162" xr:uid="{3F91265C-14DC-424F-BA38-49E2D928B4F5}"/>
    <cellStyle name="Normal 4 2 2 2 9 2" xfId="2307" xr:uid="{1BDBC69F-AB21-4656-A661-D0D106888DB5}"/>
    <cellStyle name="Normal 4 2 2 3" xfId="1163" xr:uid="{4CDB5125-4043-40A2-87B8-AD1AF58C05B0}"/>
    <cellStyle name="Normal 4 2 2 3 2" xfId="2308" xr:uid="{D94D1150-3958-424B-A708-54B1AB334FDC}"/>
    <cellStyle name="Normal 4 2 2 3 2 2" xfId="3131" xr:uid="{15685669-E5BC-43F1-8549-ECFC76706DAA}"/>
    <cellStyle name="Normal 4 2 2 3 2 3" xfId="3357" xr:uid="{5861E8C8-C415-48F5-9A6F-BFAF02A8F11E}"/>
    <cellStyle name="Normal 4 2 2 3 3" xfId="3010" xr:uid="{FC5BC4C3-77F9-448E-97B9-13FDE8AE349C}"/>
    <cellStyle name="Normal 4 2 2 3 4" xfId="3236" xr:uid="{9C972EBF-8ADC-4DED-ACBF-5C5EDCE8F162}"/>
    <cellStyle name="Normal 4 2 2 4" xfId="1164" xr:uid="{41E9C37F-6ACD-4539-BB93-E8120E19614F}"/>
    <cellStyle name="Normal 4 2 2 4 2" xfId="2309" xr:uid="{BC4AF9FC-F0A2-4C56-951A-EE3DC32ED6E6}"/>
    <cellStyle name="Normal 4 2 2 4 2 2" xfId="3132" xr:uid="{4DB3A911-033C-4CB2-BB70-A4CAFC485B86}"/>
    <cellStyle name="Normal 4 2 2 4 2 3" xfId="3358" xr:uid="{8D0EC9D6-4F2B-4512-9DDA-3C02BEDBC4AE}"/>
    <cellStyle name="Normal 4 2 2 4 3" xfId="3011" xr:uid="{D3C614B5-D63C-4862-A951-F3AC2FFF0C21}"/>
    <cellStyle name="Normal 4 2 2 4 4" xfId="3237" xr:uid="{D43C7FA3-A94A-466A-B71E-B494671A1285}"/>
    <cellStyle name="Normal 4 2 2 5" xfId="1165" xr:uid="{2E4678BE-3D8B-4998-8217-8C7FAE41C6D6}"/>
    <cellStyle name="Normal 4 2 2 5 2" xfId="2310" xr:uid="{02A7776C-272F-4FAA-A3CE-97C5C246D00B}"/>
    <cellStyle name="Normal 4 2 2 5 2 2" xfId="3133" xr:uid="{027A6694-980A-4B7D-A9AB-4B7CE5A223DA}"/>
    <cellStyle name="Normal 4 2 2 5 2 3" xfId="3359" xr:uid="{23744F76-0DB4-46B7-8E31-8C21B2AF0E93}"/>
    <cellStyle name="Normal 4 2 2 5 3" xfId="3012" xr:uid="{76A9A41F-6D5F-493A-AECC-A80470E361F3}"/>
    <cellStyle name="Normal 4 2 2 5 4" xfId="3238" xr:uid="{F96BF64A-ADE6-48A5-8885-A2DDB54D2CD9}"/>
    <cellStyle name="Normal 4 2 2 6" xfId="1166" xr:uid="{99557E59-0CD6-4D7E-BB4B-AAA6B738F438}"/>
    <cellStyle name="Normal 4 2 2 6 2" xfId="2311" xr:uid="{F6CE35F4-40F1-47B6-9AA0-A1312D2D7538}"/>
    <cellStyle name="Normal 4 2 2 6 2 2" xfId="3134" xr:uid="{873DE621-801B-4F3F-A578-145D8C83DC20}"/>
    <cellStyle name="Normal 4 2 2 6 2 3" xfId="3360" xr:uid="{51A5DE5D-9DF0-4CB2-A113-57D8D4B0F3C0}"/>
    <cellStyle name="Normal 4 2 2 6 3" xfId="3013" xr:uid="{1F338F58-13A1-44E1-8F5C-9CE2B178321B}"/>
    <cellStyle name="Normal 4 2 2 6 4" xfId="3239" xr:uid="{7042D158-E5F2-4766-90AB-5DD75AA9B544}"/>
    <cellStyle name="Normal 4 2 2 7" xfId="1167" xr:uid="{0A7DAD83-B1B2-4596-9504-0C23514927B7}"/>
    <cellStyle name="Normal 4 2 2 7 2" xfId="2312" xr:uid="{04F49BB0-4FDC-4D88-8289-59057D340477}"/>
    <cellStyle name="Normal 4 2 2 7 2 2" xfId="3135" xr:uid="{30A7043E-0274-4F9F-8B2A-21D1284AC263}"/>
    <cellStyle name="Normal 4 2 2 7 2 3" xfId="3361" xr:uid="{B4EB0A87-C789-4284-ABA5-FDCB27182B1D}"/>
    <cellStyle name="Normal 4 2 2 7 3" xfId="3014" xr:uid="{7E5B3444-A5F2-4106-8633-138CAB3823D1}"/>
    <cellStyle name="Normal 4 2 2 7 4" xfId="3240" xr:uid="{0552D8B4-12A1-4A2F-9CEB-8FD06CCE05E8}"/>
    <cellStyle name="Normal 4 2 2 8" xfId="1168" xr:uid="{AB145725-1A2B-4786-B2FA-A780EDBB4D7F}"/>
    <cellStyle name="Normal 4 2 2 8 2" xfId="2313" xr:uid="{018EA58C-5279-47D4-B86A-D534189BA2AD}"/>
    <cellStyle name="Normal 4 2 2 8 2 2" xfId="3136" xr:uid="{76A45A08-B744-40B7-96BB-BB3FB6585FE0}"/>
    <cellStyle name="Normal 4 2 2 8 2 3" xfId="3362" xr:uid="{AF87A5FB-9CD3-4C30-8A6C-0B76981D7031}"/>
    <cellStyle name="Normal 4 2 2 8 3" xfId="3015" xr:uid="{96680CF9-AD45-4DFA-8697-1BEB539C998C}"/>
    <cellStyle name="Normal 4 2 2 8 4" xfId="3241" xr:uid="{10E78052-AAA3-4577-8D7E-C773DA6BA956}"/>
    <cellStyle name="Normal 4 2 2 9" xfId="1169" xr:uid="{4ED4167D-D926-46AF-A86F-15BEFD6F7C01}"/>
    <cellStyle name="Normal 4 2 2 9 2" xfId="2314" xr:uid="{66C4815E-15EB-4C83-BC61-1BEA29F25ADC}"/>
    <cellStyle name="Normal 4 2 2 9 2 2" xfId="3137" xr:uid="{B21ED5F2-B0B4-4A75-BCC3-EA2536312A14}"/>
    <cellStyle name="Normal 4 2 2 9 2 3" xfId="3363" xr:uid="{2E342B9A-62F3-4948-BA74-D14A5B7EE433}"/>
    <cellStyle name="Normal 4 2 2 9 3" xfId="3016" xr:uid="{8E13CBBD-2908-4D02-BD23-8601F0D0B8B2}"/>
    <cellStyle name="Normal 4 2 2 9 4" xfId="3242" xr:uid="{E4966A38-F77B-4708-936B-2BD88FF5D667}"/>
    <cellStyle name="Normal 4 2 3" xfId="1170" xr:uid="{FFEF055C-BA29-432A-97A2-7E80FC50F445}"/>
    <cellStyle name="Normal 4 2 3 2" xfId="2315" xr:uid="{DDA006AB-0964-4532-8F0A-D1DC84A5334A}"/>
    <cellStyle name="Normal 4 2 4" xfId="1171" xr:uid="{E9A042BA-155A-4955-A695-9D53BA24DB2F}"/>
    <cellStyle name="Normal 4 2 4 2" xfId="2316" xr:uid="{B562BEBF-D579-43F4-9B36-C0F8A3B40E2B}"/>
    <cellStyle name="Normal 4 2 5" xfId="1172" xr:uid="{CBFC2868-8F0D-417C-B64D-EFF03DE001DB}"/>
    <cellStyle name="Normal 4 2 5 2" xfId="2317" xr:uid="{3EDD2587-AAB3-4231-B724-26813E7D4A57}"/>
    <cellStyle name="Normal 4 2 6" xfId="1173" xr:uid="{D723EE99-23AA-431F-9094-DD745D188474}"/>
    <cellStyle name="Normal 4 2 6 2" xfId="2318" xr:uid="{72294B6B-5381-4FAB-8E68-1D3819AC3877}"/>
    <cellStyle name="Normal 4 2 7" xfId="1174" xr:uid="{4F6C653E-BA79-4B27-A127-EE42F3735582}"/>
    <cellStyle name="Normal 4 2 7 2" xfId="2319" xr:uid="{98AFBA46-01B6-4BCF-95C1-C2D64640E95B}"/>
    <cellStyle name="Normal 4 2 8" xfId="1175" xr:uid="{4732DBE2-164D-473B-A359-A46F1CB80A2E}"/>
    <cellStyle name="Normal 4 2 8 2" xfId="2320" xr:uid="{AC89F939-F026-4912-8641-62E29B3C8446}"/>
    <cellStyle name="Normal 4 2 9" xfId="2289" xr:uid="{A829D2A3-5403-465A-83B1-04FC85022D79}"/>
    <cellStyle name="Normal 4 3" xfId="119" xr:uid="{F210766D-BE20-4126-AEFB-2BAAA61722CF}"/>
    <cellStyle name="Normal 4 3 10" xfId="1176" xr:uid="{CE7FC357-7F02-4C60-ADDD-D6B195024376}"/>
    <cellStyle name="Normal 4 3 2" xfId="1177" xr:uid="{9F461DE9-95FC-47E2-BCCE-7B5C47978309}"/>
    <cellStyle name="Normal 4 3 2 2" xfId="2322" xr:uid="{DFEAD222-2B7C-49B6-8E57-C56D58343249}"/>
    <cellStyle name="Normal 4 3 3" xfId="1178" xr:uid="{37DFB0A7-0838-4467-A204-C5371862B588}"/>
    <cellStyle name="Normal 4 3 3 2" xfId="2323" xr:uid="{B71A95F5-D8C7-4D8A-81A0-C097C9BF6C92}"/>
    <cellStyle name="Normal 4 3 4" xfId="1179" xr:uid="{9CCED0EA-18DE-4A7A-8FA3-6EE1EBE4256A}"/>
    <cellStyle name="Normal 4 3 4 2" xfId="2324" xr:uid="{9177A95B-15CC-4FE9-AC8A-E0C88D49F308}"/>
    <cellStyle name="Normal 4 3 5" xfId="1180" xr:uid="{11DF557A-0F47-40BB-A174-A1BE9AF0E821}"/>
    <cellStyle name="Normal 4 3 5 2" xfId="2325" xr:uid="{EB63FC06-0BA9-48EF-A471-6E16E330FD14}"/>
    <cellStyle name="Normal 4 3 6" xfId="1181" xr:uid="{104E6A25-1B6E-4303-8515-D5CA536D2451}"/>
    <cellStyle name="Normal 4 3 6 2" xfId="2326" xr:uid="{C58E67C6-7E36-4AB4-A8E9-CE5C033E9D8A}"/>
    <cellStyle name="Normal 4 3 7" xfId="1182" xr:uid="{D6C87456-5965-45B9-A9F8-AC365E88D2E5}"/>
    <cellStyle name="Normal 4 3 7 2" xfId="2327" xr:uid="{DF94B487-83B3-441D-A878-67C3FB2DBF05}"/>
    <cellStyle name="Normal 4 3 8" xfId="1183" xr:uid="{5795FCEB-28CE-45DF-B51C-A8CAE0DB8846}"/>
    <cellStyle name="Normal 4 3 8 2" xfId="2328" xr:uid="{24779092-C156-4E23-AD60-507802B308D2}"/>
    <cellStyle name="Normal 4 3 9" xfId="2321" xr:uid="{37160148-9F6A-4615-898D-DCC2FC6C5F9A}"/>
    <cellStyle name="Normal 4 4" xfId="120" xr:uid="{DF6C0489-8431-4263-BE50-AC32943EBCFF}"/>
    <cellStyle name="Normal 4 4 10" xfId="1184" xr:uid="{DE5D045F-7853-4E66-82A2-73C91141382F}"/>
    <cellStyle name="Normal 4 4 2" xfId="1185" xr:uid="{7FFBDB87-9A24-48B0-B5D3-AE82CEB44D3D}"/>
    <cellStyle name="Normal 4 4 2 2" xfId="2330" xr:uid="{A077BAFA-88BA-432C-A053-DDE4F5A569F1}"/>
    <cellStyle name="Normal 4 4 3" xfId="1186" xr:uid="{A19909ED-46FA-496E-967A-B96E1AA9DECD}"/>
    <cellStyle name="Normal 4 4 3 2" xfId="2331" xr:uid="{8471D018-4625-4FCC-BF6C-7F780DC15ECC}"/>
    <cellStyle name="Normal 4 4 4" xfId="1187" xr:uid="{CDA60381-0423-4AFA-9342-0ABE1F15109D}"/>
    <cellStyle name="Normal 4 4 4 2" xfId="2332" xr:uid="{17948763-A457-4EF6-B44F-7FCCCF9CE7C8}"/>
    <cellStyle name="Normal 4 4 5" xfId="1188" xr:uid="{6C8AB069-E66E-4E21-903E-4C6B73500E99}"/>
    <cellStyle name="Normal 4 4 5 2" xfId="2333" xr:uid="{C7AA8F92-34A8-4285-B075-22AE229C0E65}"/>
    <cellStyle name="Normal 4 4 6" xfId="1189" xr:uid="{6D8EB125-0092-4E55-B603-43F3947C9C75}"/>
    <cellStyle name="Normal 4 4 6 2" xfId="2334" xr:uid="{22B4966C-5EBB-4B71-BDB4-B9D083629611}"/>
    <cellStyle name="Normal 4 4 7" xfId="1190" xr:uid="{1BBA67DD-EFF8-46FB-9F54-C9A8FF2BB731}"/>
    <cellStyle name="Normal 4 4 7 2" xfId="2335" xr:uid="{7878CF57-D7F0-45A3-BC6F-671A9BC26841}"/>
    <cellStyle name="Normal 4 4 8" xfId="1191" xr:uid="{A89C79B3-3BA8-4FCE-A004-458C6A5BFEE3}"/>
    <cellStyle name="Normal 4 4 8 2" xfId="2336" xr:uid="{DB00F538-14DF-41BC-8858-557C09616F9F}"/>
    <cellStyle name="Normal 4 4 9" xfId="2329" xr:uid="{BAC7A8A3-A665-4A8B-A2A0-F246CCF84932}"/>
    <cellStyle name="Normal 4 5" xfId="1192" xr:uid="{81A84A3F-2211-4180-AA4A-97C0A12DD7D2}"/>
    <cellStyle name="Normal 4 5 2" xfId="1193" xr:uid="{503CD105-9680-4DEF-BCDF-9F966E810AC7}"/>
    <cellStyle name="Normal 4 5 2 2" xfId="2338" xr:uid="{92453FD9-6A0E-47A3-8669-E3B7047C8F9E}"/>
    <cellStyle name="Normal 4 5 3" xfId="1194" xr:uid="{44FF6D23-C76E-402B-A97E-7855CF6FCC3C}"/>
    <cellStyle name="Normal 4 5 3 2" xfId="2339" xr:uid="{0A7D0F69-6DEA-411C-BAC6-3F59B3F7CB2A}"/>
    <cellStyle name="Normal 4 5 4" xfId="1195" xr:uid="{D1D9F80C-C727-4FCC-A929-2275D1212DE6}"/>
    <cellStyle name="Normal 4 5 4 2" xfId="2340" xr:uid="{0DAC6E9D-3865-4C16-96C8-7A8E4496D2A9}"/>
    <cellStyle name="Normal 4 5 5" xfId="1196" xr:uid="{7588E926-6058-4321-A59B-51CAD9802D6D}"/>
    <cellStyle name="Normal 4 5 5 2" xfId="2341" xr:uid="{012C0C2F-BBCF-4F8E-8BDE-A7492A51E9F5}"/>
    <cellStyle name="Normal 4 5 6" xfId="1197" xr:uid="{F92DB49A-374A-4150-9B72-D944DA2D6D80}"/>
    <cellStyle name="Normal 4 5 6 2" xfId="2342" xr:uid="{44558637-2E52-4260-A408-07FAD34BAF86}"/>
    <cellStyle name="Normal 4 5 7" xfId="1198" xr:uid="{2B7B968E-7630-4AAF-A96D-FDE941353006}"/>
    <cellStyle name="Normal 4 5 7 2" xfId="2343" xr:uid="{B6524C37-2A6F-4E6F-A013-AED4C72189E8}"/>
    <cellStyle name="Normal 4 5 8" xfId="1199" xr:uid="{4F920CCD-F3F5-4830-8EEC-387091985943}"/>
    <cellStyle name="Normal 4 5 8 2" xfId="2344" xr:uid="{E436F670-FA5F-43E7-AF39-A7F3B53A55C4}"/>
    <cellStyle name="Normal 4 5 9" xfId="2337" xr:uid="{439D82E5-3F40-40E8-B81A-1823DDA6AB35}"/>
    <cellStyle name="Normal 4 6" xfId="1200" xr:uid="{53673790-ADF5-4894-A639-EF14A4B7C6DB}"/>
    <cellStyle name="Normal 4 6 2" xfId="2345" xr:uid="{F9A2DF93-366F-41DD-9827-A4B9B554397D}"/>
    <cellStyle name="Normal 4 7" xfId="1201" xr:uid="{4E59B8EB-8E2A-468A-BB77-EB98EB1D9B4F}"/>
    <cellStyle name="Normal 4 7 2" xfId="2346" xr:uid="{BE3C0ED1-0295-40D8-BA38-A4081BC93D03}"/>
    <cellStyle name="Normal 4 8" xfId="1202" xr:uid="{EE41DA75-9310-4B4E-8DF7-02CB5889DDAC}"/>
    <cellStyle name="Normal 4 8 2" xfId="2347" xr:uid="{56BBB257-C91F-4F53-9A00-47DA1C377A83}"/>
    <cellStyle name="Normal 4 9" xfId="1203" xr:uid="{F8B557F4-2236-4531-8FFD-978009B1747B}"/>
    <cellStyle name="Normal 4 9 2" xfId="2348" xr:uid="{254FA3F8-1308-4E99-ADB6-50B672DEC968}"/>
    <cellStyle name="Normal 5" xfId="121" xr:uid="{35B46F26-7C72-4A66-88EB-5BF14D4460FB}"/>
    <cellStyle name="Normal 5 10" xfId="1205" xr:uid="{0FFC8020-B9E1-4B23-B1DB-DC1F2ED7D221}"/>
    <cellStyle name="Normal 5 10 2" xfId="2350" xr:uid="{E640200C-EAA8-4D90-A24E-E8ACAE28F4C5}"/>
    <cellStyle name="Normal 5 11" xfId="1206" xr:uid="{1DA94E00-2131-441E-8B33-DEE5508ADEB5}"/>
    <cellStyle name="Normal 5 11 2" xfId="2351" xr:uid="{723D8546-FE1B-4CFD-A2D3-B5AACBC427A7}"/>
    <cellStyle name="Normal 5 12" xfId="1207" xr:uid="{77453A2E-ED14-4A48-B3F4-99E3EFAE380F}"/>
    <cellStyle name="Normal 5 12 2" xfId="2352" xr:uid="{E8AC1FD2-3D86-49F1-A88C-3569230DD109}"/>
    <cellStyle name="Normal 5 13" xfId="1208" xr:uid="{4EDDA7AB-E553-44BB-AAED-AEC4B8E36F0F}"/>
    <cellStyle name="Normal 5 13 2" xfId="2353" xr:uid="{B21B7B5F-E9DE-44FA-9452-AF1FCFB6A042}"/>
    <cellStyle name="Normal 5 14" xfId="2349" xr:uid="{779007B1-0853-4ADA-9689-3CDECB39B81D}"/>
    <cellStyle name="Normal 5 14 2" xfId="3138" xr:uid="{225780E3-DBAB-4B55-BEBF-BB79D5CCA09E}"/>
    <cellStyle name="Normal 5 14 3" xfId="3364" xr:uid="{B7CD6CCA-D9D3-4419-BFCC-30773AD80644}"/>
    <cellStyle name="Normal 5 15" xfId="1204" xr:uid="{347B2544-8D14-4036-AFBE-4AEEF4AF1423}"/>
    <cellStyle name="Normal 5 16" xfId="3017" xr:uid="{36424287-862A-4B05-A650-E2EC2DA6EBE2}"/>
    <cellStyle name="Normal 5 17" xfId="3243" xr:uid="{A7DD92EA-EB2B-4250-ACBB-5C389520B636}"/>
    <cellStyle name="Normal 5 2" xfId="122" xr:uid="{83D62CAD-4FC8-4F9C-A4D6-4B52B09C48E8}"/>
    <cellStyle name="Normal 5 2 10" xfId="2354" xr:uid="{A32D9E2F-FA5A-420C-89F3-681BB2C9DAFD}"/>
    <cellStyle name="Normal 5 2 10 2" xfId="3139" xr:uid="{E0530FCC-1AA8-416C-B183-DEE427F7EADA}"/>
    <cellStyle name="Normal 5 2 10 3" xfId="3365" xr:uid="{D9DEDD2B-61F9-452F-951E-08064F2728C3}"/>
    <cellStyle name="Normal 5 2 11" xfId="1209" xr:uid="{09FCD54F-6ABF-4CAB-9625-402F8D4B4B4C}"/>
    <cellStyle name="Normal 5 2 12" xfId="3018" xr:uid="{60B2787B-8493-400C-9579-C7B6F3283BD3}"/>
    <cellStyle name="Normal 5 2 13" xfId="3244" xr:uid="{B5B06EDC-6EAA-42FF-A8B8-8F209A999ADD}"/>
    <cellStyle name="Normal 5 2 2" xfId="1210" xr:uid="{CD680409-FD32-4211-9105-C146C84E052A}"/>
    <cellStyle name="Normal 5 2 2 10" xfId="1211" xr:uid="{EFCD3675-6DA6-42DA-9199-F013C0B75B7E}"/>
    <cellStyle name="Normal 5 2 2 10 2" xfId="2356" xr:uid="{AB4E40D5-CA04-4AB0-BA98-719500E2E5EB}"/>
    <cellStyle name="Normal 5 2 2 10 2 2" xfId="3140" xr:uid="{15E43258-3DB8-4377-B11E-AF2A2F8EB04B}"/>
    <cellStyle name="Normal 5 2 2 10 2 3" xfId="3366" xr:uid="{561F5D0A-BA5B-4D42-8D68-7D37BC1DA956}"/>
    <cellStyle name="Normal 5 2 2 10 3" xfId="3019" xr:uid="{26FED5C0-E024-405A-93A9-B96CE18DE54F}"/>
    <cellStyle name="Normal 5 2 2 10 4" xfId="3245" xr:uid="{FEC6D0D3-4BD4-4C64-9CC6-F5C4AD67CDC0}"/>
    <cellStyle name="Normal 5 2 2 11" xfId="1212" xr:uid="{A13F30EA-9ADA-4554-8590-18911E346CE6}"/>
    <cellStyle name="Normal 5 2 2 11 2" xfId="2357" xr:uid="{B9EA2B0C-4B4A-4490-A4B9-D6A5EA2C786F}"/>
    <cellStyle name="Normal 5 2 2 11 2 2" xfId="3141" xr:uid="{C5516037-24A9-4F80-AF19-87440EAF8566}"/>
    <cellStyle name="Normal 5 2 2 11 2 3" xfId="3367" xr:uid="{D6399718-B22A-43A0-96D9-5C1662F54548}"/>
    <cellStyle name="Normal 5 2 2 11 3" xfId="3020" xr:uid="{E7899142-A793-4E28-A3D8-80ED7D4F9EA5}"/>
    <cellStyle name="Normal 5 2 2 11 4" xfId="3246" xr:uid="{EECF3695-91E9-48AE-96A1-3ED9A72ABAC6}"/>
    <cellStyle name="Normal 5 2 2 12" xfId="1213" xr:uid="{A0547AC0-5042-4234-8037-BC6478C746C4}"/>
    <cellStyle name="Normal 5 2 2 12 2" xfId="2358" xr:uid="{1E1A4008-CDF7-4E15-8A30-45C2680FAB39}"/>
    <cellStyle name="Normal 5 2 2 12 2 2" xfId="3142" xr:uid="{5431DA04-BAE7-411A-A85D-776986EEA16D}"/>
    <cellStyle name="Normal 5 2 2 12 2 3" xfId="3368" xr:uid="{8C20326B-9D3D-4EA2-82F7-86C5B78C0A0E}"/>
    <cellStyle name="Normal 5 2 2 12 3" xfId="3021" xr:uid="{C626E95D-6506-4D5E-9CEA-6B95D1C4FC6B}"/>
    <cellStyle name="Normal 5 2 2 12 4" xfId="3247" xr:uid="{554EA601-37EA-4B2E-885A-EE8E057C1C08}"/>
    <cellStyle name="Normal 5 2 2 13" xfId="1214" xr:uid="{7FE8B99A-7952-4CCD-B5F8-0BA30C84970E}"/>
    <cellStyle name="Normal 5 2 2 13 2" xfId="2359" xr:uid="{3EF9A53F-0B0B-44EA-91FF-0D016DA74194}"/>
    <cellStyle name="Normal 5 2 2 13 2 2" xfId="3143" xr:uid="{37B5AF3E-E3A7-48B9-A4EB-33E33FF7BFAE}"/>
    <cellStyle name="Normal 5 2 2 13 2 3" xfId="3369" xr:uid="{9CA1A5C5-FBD7-48FD-A165-89417D59AD1F}"/>
    <cellStyle name="Normal 5 2 2 13 3" xfId="3022" xr:uid="{EEA23C2C-F766-449E-90EA-0AD6BEACE6B4}"/>
    <cellStyle name="Normal 5 2 2 13 4" xfId="3248" xr:uid="{DBD9F2BC-4ABE-4C7B-8FEB-7CD163DAD6DC}"/>
    <cellStyle name="Normal 5 2 2 14" xfId="2355" xr:uid="{B1A6AA9A-D4AE-43DB-BF69-C72908E56314}"/>
    <cellStyle name="Normal 5 2 2 2" xfId="1215" xr:uid="{CF5CB657-DC7C-4738-B3BC-A9D9BC6746FB}"/>
    <cellStyle name="Normal 5 2 2 2 10" xfId="1216" xr:uid="{3D7D7A01-EA56-4EB3-937B-AF1DD5EF1873}"/>
    <cellStyle name="Normal 5 2 2 2 10 2" xfId="2361" xr:uid="{3C83224E-7B9F-4EDD-BBEC-48913BE6684D}"/>
    <cellStyle name="Normal 5 2 2 2 11" xfId="1217" xr:uid="{24635C8E-AA9D-4565-AA56-3FC6654E833F}"/>
    <cellStyle name="Normal 5 2 2 2 11 2" xfId="2362" xr:uid="{970B944C-755D-45E3-A4E7-E69B253406FB}"/>
    <cellStyle name="Normal 5 2 2 2 12" xfId="1218" xr:uid="{A8B2C39B-80EA-4DCC-AD25-F46F11E1D6DC}"/>
    <cellStyle name="Normal 5 2 2 2 12 2" xfId="2363" xr:uid="{35D1D028-481B-4318-997C-2F0AF11697A5}"/>
    <cellStyle name="Normal 5 2 2 2 13" xfId="1219" xr:uid="{EA3916ED-81FD-4220-9C64-D3962907C3E0}"/>
    <cellStyle name="Normal 5 2 2 2 13 2" xfId="2364" xr:uid="{B71F0708-3DEA-43C6-A56A-932F9988C5D8}"/>
    <cellStyle name="Normal 5 2 2 2 14" xfId="2360" xr:uid="{211D7B93-64B9-48B5-98D9-E0FE815D663E}"/>
    <cellStyle name="Normal 5 2 2 2 14 2" xfId="3144" xr:uid="{5F216C10-E294-49B3-ACF2-47062B15F10A}"/>
    <cellStyle name="Normal 5 2 2 2 14 3" xfId="3370" xr:uid="{AD5DDB94-0DEC-4C22-9EBD-E33F5E2296D5}"/>
    <cellStyle name="Normal 5 2 2 2 15" xfId="3023" xr:uid="{88F49B5F-C763-4257-83D7-1EFF022380D5}"/>
    <cellStyle name="Normal 5 2 2 2 16" xfId="3249" xr:uid="{4169850B-F1C3-40B1-82AA-E014FD218938}"/>
    <cellStyle name="Normal 5 2 2 2 2" xfId="1220" xr:uid="{B9F8225F-0C6F-4B14-A555-15C6B5D4FC1F}"/>
    <cellStyle name="Normal 5 2 2 2 2 2" xfId="2365" xr:uid="{2629A523-8CF4-4E39-B9F4-8E854608EF98}"/>
    <cellStyle name="Normal 5 2 2 2 3" xfId="1221" xr:uid="{A338A5AC-F803-4AF1-9C84-B3BB1C8A2B5D}"/>
    <cellStyle name="Normal 5 2 2 2 3 2" xfId="2366" xr:uid="{8265005F-C1FD-49F5-B116-6B2540BB0261}"/>
    <cellStyle name="Normal 5 2 2 2 4" xfId="1222" xr:uid="{D0C6314D-2B14-4B8E-8685-1F28028D62BE}"/>
    <cellStyle name="Normal 5 2 2 2 4 2" xfId="2367" xr:uid="{62F64D3F-30AF-4BF7-807D-65FA0331D43D}"/>
    <cellStyle name="Normal 5 2 2 2 5" xfId="1223" xr:uid="{D412DD7C-0F82-49A6-98F4-BE9A56CC5C45}"/>
    <cellStyle name="Normal 5 2 2 2 5 2" xfId="2368" xr:uid="{4D5A43A0-5AB8-491A-B9C7-7BC7BFBA880E}"/>
    <cellStyle name="Normal 5 2 2 2 6" xfId="1224" xr:uid="{8F425C01-4AA6-4DE0-9AC3-EC13A7005481}"/>
    <cellStyle name="Normal 5 2 2 2 6 2" xfId="2369" xr:uid="{2CA43266-05AC-46EB-B2A5-43FD15187FC0}"/>
    <cellStyle name="Normal 5 2 2 2 7" xfId="1225" xr:uid="{0F08707C-DB66-48E0-A10B-7CA40A0FFE80}"/>
    <cellStyle name="Normal 5 2 2 2 7 2" xfId="2370" xr:uid="{05055FE2-5F8D-4DB6-823F-103A3B3949CD}"/>
    <cellStyle name="Normal 5 2 2 2 8" xfId="1226" xr:uid="{E97796EF-10F4-4E96-B492-367894EB9E7B}"/>
    <cellStyle name="Normal 5 2 2 2 8 2" xfId="2371" xr:uid="{E0DBA287-50A7-4032-BEBB-286C6A8B412A}"/>
    <cellStyle name="Normal 5 2 2 2 9" xfId="1227" xr:uid="{2B8B3CD7-7235-426D-9FA6-AF8E7DC3EA49}"/>
    <cellStyle name="Normal 5 2 2 2 9 2" xfId="2372" xr:uid="{FC07E3B3-6AAA-4DF0-8E63-E2C6BEDABF27}"/>
    <cellStyle name="Normal 5 2 2 3" xfId="1228" xr:uid="{C2E1F0BC-0160-4FEA-B8A9-8FB8486A427E}"/>
    <cellStyle name="Normal 5 2 2 3 2" xfId="2373" xr:uid="{4507D7DB-8839-426D-9CF6-1CDB82A3447E}"/>
    <cellStyle name="Normal 5 2 2 3 2 2" xfId="3145" xr:uid="{A5EB13E5-94AB-4AEC-9100-AF5AE8629B43}"/>
    <cellStyle name="Normal 5 2 2 3 2 3" xfId="3371" xr:uid="{FA1F7EE4-E0DA-44B9-8D80-E169586A33FE}"/>
    <cellStyle name="Normal 5 2 2 3 3" xfId="3024" xr:uid="{B0F93249-D27A-45E2-89FD-A3FA18ECC7FD}"/>
    <cellStyle name="Normal 5 2 2 3 4" xfId="3250" xr:uid="{4A8E74C0-4D45-4F8C-AD8D-6FF5D360AA55}"/>
    <cellStyle name="Normal 5 2 2 4" xfId="1229" xr:uid="{2F58D117-7F75-439E-BD67-64BC18493341}"/>
    <cellStyle name="Normal 5 2 2 4 2" xfId="2374" xr:uid="{52A93CF2-F1F6-4B23-8770-456D13159DF6}"/>
    <cellStyle name="Normal 5 2 2 4 2 2" xfId="3146" xr:uid="{0DE50003-FEF5-4140-AB39-A7C862C53121}"/>
    <cellStyle name="Normal 5 2 2 4 2 3" xfId="3372" xr:uid="{39DAE65B-1AF0-40E5-8610-324A92805D7F}"/>
    <cellStyle name="Normal 5 2 2 4 3" xfId="3025" xr:uid="{694D60CC-D60D-428F-A07A-0D3C26700A5A}"/>
    <cellStyle name="Normal 5 2 2 4 4" xfId="3251" xr:uid="{D28D12F6-A6E1-44FA-9DF9-8DF367AC1945}"/>
    <cellStyle name="Normal 5 2 2 5" xfId="1230" xr:uid="{84E620B6-F229-45CC-AC99-43045A5DA42D}"/>
    <cellStyle name="Normal 5 2 2 5 2" xfId="2375" xr:uid="{943C125D-597F-4221-8DF5-39FCC556CD9F}"/>
    <cellStyle name="Normal 5 2 2 5 2 2" xfId="3147" xr:uid="{D75471C4-1982-467E-A986-A98D01A56060}"/>
    <cellStyle name="Normal 5 2 2 5 2 3" xfId="3373" xr:uid="{4BB46B8A-D9BC-42F9-86A4-192A260E3BA2}"/>
    <cellStyle name="Normal 5 2 2 5 3" xfId="3026" xr:uid="{CE7895A1-A52F-4CB3-AE92-D8754520B6E8}"/>
    <cellStyle name="Normal 5 2 2 5 4" xfId="3252" xr:uid="{A4429B55-53EE-49A1-A518-481A9825B6C0}"/>
    <cellStyle name="Normal 5 2 2 6" xfId="1231" xr:uid="{70292A3C-86F7-42B2-9085-02BCD31F8093}"/>
    <cellStyle name="Normal 5 2 2 6 2" xfId="2376" xr:uid="{6E37DE21-3E76-4008-8035-BA172158660A}"/>
    <cellStyle name="Normal 5 2 2 6 2 2" xfId="3148" xr:uid="{93A2A1EA-A19B-42A3-8DB3-6DE300B2BFD6}"/>
    <cellStyle name="Normal 5 2 2 6 2 3" xfId="3374" xr:uid="{D47044A8-52FB-424F-BA96-9B579C2B77AA}"/>
    <cellStyle name="Normal 5 2 2 6 3" xfId="3027" xr:uid="{DBBA949A-CC79-4318-B834-A2E808D546F7}"/>
    <cellStyle name="Normal 5 2 2 6 4" xfId="3253" xr:uid="{631E7712-43B2-4807-AF76-EB7D162CDCF7}"/>
    <cellStyle name="Normal 5 2 2 7" xfId="1232" xr:uid="{48BD5A12-76DA-4C4A-A84D-112492F58CAE}"/>
    <cellStyle name="Normal 5 2 2 7 2" xfId="2377" xr:uid="{CF8E96DB-08FD-40ED-91BE-32DE070689BE}"/>
    <cellStyle name="Normal 5 2 2 7 2 2" xfId="3149" xr:uid="{E0F210FE-40C1-4D8D-BA00-AC3493144937}"/>
    <cellStyle name="Normal 5 2 2 7 2 3" xfId="3375" xr:uid="{58F6D84F-A7C1-4920-8D8F-A0070A40054A}"/>
    <cellStyle name="Normal 5 2 2 7 3" xfId="3028" xr:uid="{3C75EA89-FFD5-4593-9B0E-1179E4240DA3}"/>
    <cellStyle name="Normal 5 2 2 7 4" xfId="3254" xr:uid="{516187CF-7708-4F01-B208-0284B6A14529}"/>
    <cellStyle name="Normal 5 2 2 8" xfId="1233" xr:uid="{8E06B6D0-D309-4477-A6D6-50E95C1C6FEF}"/>
    <cellStyle name="Normal 5 2 2 8 2" xfId="2378" xr:uid="{724D1FCA-3F49-4DC2-9C3C-DE9586260FE0}"/>
    <cellStyle name="Normal 5 2 2 8 2 2" xfId="3150" xr:uid="{97D2D600-E8A8-4465-8459-60E115547B45}"/>
    <cellStyle name="Normal 5 2 2 8 2 3" xfId="3376" xr:uid="{39FE5967-D23E-406B-AEDE-6ADDA1340DDE}"/>
    <cellStyle name="Normal 5 2 2 8 3" xfId="3029" xr:uid="{29DEC33C-4534-4988-8991-1DF075314553}"/>
    <cellStyle name="Normal 5 2 2 8 4" xfId="3255" xr:uid="{C5C502B3-FB6D-4667-8F8E-63311D2E0492}"/>
    <cellStyle name="Normal 5 2 2 9" xfId="1234" xr:uid="{82D06667-08CC-456B-B1BA-840F021160A9}"/>
    <cellStyle name="Normal 5 2 2 9 2" xfId="2379" xr:uid="{6F009C16-FED1-489A-B9F4-8E9E3C44F16B}"/>
    <cellStyle name="Normal 5 2 2 9 2 2" xfId="3151" xr:uid="{15AE6C13-B98E-4A42-9183-B9F8AF28CA74}"/>
    <cellStyle name="Normal 5 2 2 9 2 3" xfId="3377" xr:uid="{30E80C99-FEF5-4324-8073-1249DD07593B}"/>
    <cellStyle name="Normal 5 2 2 9 3" xfId="3030" xr:uid="{6B27CEDB-E300-438A-AC03-FFA49C07CE74}"/>
    <cellStyle name="Normal 5 2 2 9 4" xfId="3256" xr:uid="{4948BB91-7A2D-489A-926A-CC39372734CF}"/>
    <cellStyle name="Normal 5 2 3" xfId="1235" xr:uid="{E3FDAD64-F31E-40C0-B4F5-9CA35311FF33}"/>
    <cellStyle name="Normal 5 2 3 2" xfId="2380" xr:uid="{B8156C17-0C6F-4DB1-98B5-5F112B3D7053}"/>
    <cellStyle name="Normal 5 2 4" xfId="1236" xr:uid="{BACB61BC-90A0-4B1E-9C31-F342BE948706}"/>
    <cellStyle name="Normal 5 2 4 2" xfId="2381" xr:uid="{5453FE0D-A056-415D-8755-833DD92F48EB}"/>
    <cellStyle name="Normal 5 2 5" xfId="1237" xr:uid="{E5694410-A3B0-4AC9-AB61-2A664BC70430}"/>
    <cellStyle name="Normal 5 2 5 2" xfId="2382" xr:uid="{390A56D3-AD89-4AAA-872F-12040C79846A}"/>
    <cellStyle name="Normal 5 2 6" xfId="1238" xr:uid="{A4D1BC66-A495-47FD-A752-D13837E2EC18}"/>
    <cellStyle name="Normal 5 2 6 2" xfId="2383" xr:uid="{4BE3B385-3830-45B7-9C15-36C8EF3C791E}"/>
    <cellStyle name="Normal 5 2 7" xfId="1239" xr:uid="{B0C6A59D-FBB0-41C7-8DFF-3F61AC3060DA}"/>
    <cellStyle name="Normal 5 2 7 2" xfId="2384" xr:uid="{D8975C1C-0291-4C0B-B66A-850460B5D4E3}"/>
    <cellStyle name="Normal 5 2 8" xfId="1240" xr:uid="{C752A94D-8FE0-411C-A204-7BEB387CF1A9}"/>
    <cellStyle name="Normal 5 2 8 2" xfId="2385" xr:uid="{9C35EFD7-7E7B-4C2F-AB9B-6BB6B3D8DFCA}"/>
    <cellStyle name="Normal 5 2 9" xfId="1241" xr:uid="{CEF3EB6B-D6A1-4828-A1CD-863C7D775BFA}"/>
    <cellStyle name="Normal 5 2 9 2" xfId="2386" xr:uid="{9BDEE15B-D388-47D7-AB70-7A968CFA49DE}"/>
    <cellStyle name="Normal 5 3" xfId="123" xr:uid="{8B9CBC0A-F25D-49B6-AC64-FCFE3C02BED2}"/>
    <cellStyle name="Normal 5 3 10" xfId="1242" xr:uid="{2C981355-71AA-4B56-B1BE-3DF582224F38}"/>
    <cellStyle name="Normal 5 3 2" xfId="1243" xr:uid="{EF097B89-0228-4062-AD05-6C3FBED41AF5}"/>
    <cellStyle name="Normal 5 3 2 2" xfId="2388" xr:uid="{04F6EDF3-994D-428D-B7D3-CCF93D44536D}"/>
    <cellStyle name="Normal 5 3 3" xfId="1244" xr:uid="{2944B8FE-400E-4DC0-9D13-906B7515D509}"/>
    <cellStyle name="Normal 5 3 3 2" xfId="2389" xr:uid="{8CFB48F8-39A8-4E18-8C12-310757E28168}"/>
    <cellStyle name="Normal 5 3 4" xfId="1245" xr:uid="{3447204D-5E91-4401-9F13-A32C2E61C5E5}"/>
    <cellStyle name="Normal 5 3 4 2" xfId="2390" xr:uid="{CC5F90A9-93A4-4349-9D77-CEA924114771}"/>
    <cellStyle name="Normal 5 3 5" xfId="1246" xr:uid="{679F420A-5AFF-4C92-B760-1B514420353C}"/>
    <cellStyle name="Normal 5 3 5 2" xfId="2391" xr:uid="{A7592FB0-E67D-48D8-BB8E-3FF7430FE762}"/>
    <cellStyle name="Normal 5 3 6" xfId="1247" xr:uid="{DF5F7ECD-8911-4028-8DD2-A0E97ED55B9A}"/>
    <cellStyle name="Normal 5 3 6 2" xfId="2392" xr:uid="{9797AB7B-D68D-447C-A162-BDCD544367E4}"/>
    <cellStyle name="Normal 5 3 7" xfId="1248" xr:uid="{1C4FE476-F77A-4E6B-90C9-A03BB563A6FD}"/>
    <cellStyle name="Normal 5 3 7 2" xfId="2393" xr:uid="{AA617D0F-1721-48F7-A6FE-2CFA80918937}"/>
    <cellStyle name="Normal 5 3 8" xfId="1249" xr:uid="{EE78043A-15C1-41D7-AF92-5A05661C8F55}"/>
    <cellStyle name="Normal 5 3 8 2" xfId="2394" xr:uid="{4249E8DD-11A6-4ECB-AEF5-55D639535D57}"/>
    <cellStyle name="Normal 5 3 9" xfId="2387" xr:uid="{1139DDFC-499E-4141-9411-87656481461E}"/>
    <cellStyle name="Normal 5 4" xfId="124" xr:uid="{855CDB20-4B7E-40F1-A4AC-4FE01D31B283}"/>
    <cellStyle name="Normal 5 4 10" xfId="1250" xr:uid="{650E6B8D-E8E8-40E9-B644-B1CF0A5C8FFE}"/>
    <cellStyle name="Normal 5 4 2" xfId="1251" xr:uid="{50A31E4C-E8DF-4246-A7F1-A7FDBB0F00C9}"/>
    <cellStyle name="Normal 5 4 2 2" xfId="2396" xr:uid="{B996E22B-A5E8-408F-9C11-6548FA9B8BA6}"/>
    <cellStyle name="Normal 5 4 3" xfId="1252" xr:uid="{AE749A34-0FBA-48A4-BC5B-9E4257E052CB}"/>
    <cellStyle name="Normal 5 4 3 2" xfId="2397" xr:uid="{1D466C6A-FF0F-4C06-A12C-AAFAF3BC7FD0}"/>
    <cellStyle name="Normal 5 4 4" xfId="1253" xr:uid="{63773BE7-27D7-4DF1-B323-5D409C775AD8}"/>
    <cellStyle name="Normal 5 4 4 2" xfId="2398" xr:uid="{780A0303-EF52-450F-9CC6-7787729428EC}"/>
    <cellStyle name="Normal 5 4 5" xfId="1254" xr:uid="{575205B6-F082-49DD-B22B-2EE19313F568}"/>
    <cellStyle name="Normal 5 4 5 2" xfId="2399" xr:uid="{AED8655E-ED94-4103-8090-A4147AA3C122}"/>
    <cellStyle name="Normal 5 4 6" xfId="1255" xr:uid="{2FD627F2-012C-4DDF-9C29-6A9B636016B3}"/>
    <cellStyle name="Normal 5 4 6 2" xfId="2400" xr:uid="{EB826CB6-7C56-48A3-9BBC-0AE8630F6471}"/>
    <cellStyle name="Normal 5 4 7" xfId="1256" xr:uid="{157752A7-EEF1-408D-A359-C0DEA60E9449}"/>
    <cellStyle name="Normal 5 4 7 2" xfId="2401" xr:uid="{99180CB1-934C-443A-9341-E0223371A364}"/>
    <cellStyle name="Normal 5 4 8" xfId="1257" xr:uid="{07F869EA-EC41-4E1D-83EB-C76CC3BF2F37}"/>
    <cellStyle name="Normal 5 4 8 2" xfId="2402" xr:uid="{A34CAB4E-03B4-4903-ACFF-08402066C6DF}"/>
    <cellStyle name="Normal 5 4 9" xfId="2395" xr:uid="{CE73EA17-DB1B-470B-9B85-8B804E173EDF}"/>
    <cellStyle name="Normal 5 5" xfId="1258" xr:uid="{81A0BF24-5D80-4902-99A1-5A7A4623380A}"/>
    <cellStyle name="Normal 5 5 2" xfId="1259" xr:uid="{23DCAF2D-14FC-48AB-A73C-94411B56C994}"/>
    <cellStyle name="Normal 5 5 2 2" xfId="2404" xr:uid="{35A11DB6-FFDC-4BCA-9E5E-AD0282293998}"/>
    <cellStyle name="Normal 5 5 3" xfId="1260" xr:uid="{A69C001E-8F42-4070-B59E-37D2CBA85D79}"/>
    <cellStyle name="Normal 5 5 3 2" xfId="2405" xr:uid="{DF1C16A6-9D3F-4548-9B9B-1DBDE3A44BA7}"/>
    <cellStyle name="Normal 5 5 4" xfId="1261" xr:uid="{D44FB9C5-63DB-4CC1-982E-B6CEF1309801}"/>
    <cellStyle name="Normal 5 5 4 2" xfId="2406" xr:uid="{94471C10-A972-4C96-B0D8-3A2730DD5236}"/>
    <cellStyle name="Normal 5 5 5" xfId="1262" xr:uid="{B1F98171-3F23-4792-BF70-74056FCFCF60}"/>
    <cellStyle name="Normal 5 5 5 2" xfId="2407" xr:uid="{D161479C-AB5C-45EE-BB53-B87147C03BF1}"/>
    <cellStyle name="Normal 5 5 6" xfId="1263" xr:uid="{37CC3DF1-BE3E-4A4A-93BF-70E5FF63B634}"/>
    <cellStyle name="Normal 5 5 6 2" xfId="2408" xr:uid="{72DA6720-47A0-4050-8F3E-548C255EB588}"/>
    <cellStyle name="Normal 5 5 7" xfId="1264" xr:uid="{5241C96A-0966-4A17-98A5-88368B48C3AB}"/>
    <cellStyle name="Normal 5 5 7 2" xfId="2409" xr:uid="{73CA6A02-7950-4E18-ABE7-CAA6F80A3B53}"/>
    <cellStyle name="Normal 5 5 8" xfId="1265" xr:uid="{BADA8240-3AFA-4B53-9F5A-9352EB6C2A25}"/>
    <cellStyle name="Normal 5 5 8 2" xfId="2410" xr:uid="{2F9FBE78-9359-4429-96B2-5F31D422ED87}"/>
    <cellStyle name="Normal 5 5 9" xfId="2403" xr:uid="{F5ED7399-C957-4D7A-8F38-BE2DA7C1745F}"/>
    <cellStyle name="Normal 5 6" xfId="1266" xr:uid="{B67A940D-A720-4011-AD5B-05B125081234}"/>
    <cellStyle name="Normal 5 6 2" xfId="2411" xr:uid="{6D4BB80B-F76E-4CB1-BCD5-5865FB0BFE7B}"/>
    <cellStyle name="Normal 5 7" xfId="1267" xr:uid="{A2E12502-14C0-42ED-A5AB-AB8AA7F204AF}"/>
    <cellStyle name="Normal 5 7 2" xfId="2412" xr:uid="{36D83AE4-93AE-408A-A16D-D7322639D3ED}"/>
    <cellStyle name="Normal 5 8" xfId="1268" xr:uid="{80622726-3522-491F-ABA0-97E2F54B4B1C}"/>
    <cellStyle name="Normal 5 8 2" xfId="2413" xr:uid="{99B35E24-5C64-4ADA-8521-7B2895D2985F}"/>
    <cellStyle name="Normal 5 9" xfId="1269" xr:uid="{73061B40-55BF-4D1B-BD48-4C20A1E6F9F1}"/>
    <cellStyle name="Normal 5 9 2" xfId="2414" xr:uid="{5788DAD0-FA7C-4990-81C0-BDFE6BC5C31C}"/>
    <cellStyle name="Normal 6" xfId="125" xr:uid="{C73034C6-245F-4733-9403-22D09F6877CE}"/>
    <cellStyle name="Normal 6 10" xfId="1271" xr:uid="{4796657A-4D7F-492E-B476-B256F89C567D}"/>
    <cellStyle name="Normal 6 10 2" xfId="2416" xr:uid="{81ABBFA3-1995-4FE4-B751-C1DCA01FCFED}"/>
    <cellStyle name="Normal 6 11" xfId="1272" xr:uid="{2652539E-F289-40B1-B13D-D798E1846E9F}"/>
    <cellStyle name="Normal 6 11 2" xfId="2417" xr:uid="{5A72E3F5-1863-45EF-8294-011CCC67D4EB}"/>
    <cellStyle name="Normal 6 12" xfId="1273" xr:uid="{685C7F01-6FC9-48BA-BBE3-A493061AEFEB}"/>
    <cellStyle name="Normal 6 12 2" xfId="2418" xr:uid="{2D92DA78-A36C-4F2D-B6B4-B57A1F775D71}"/>
    <cellStyle name="Normal 6 13" xfId="1274" xr:uid="{BAE9F800-1A11-4D3A-A813-2C40EAB34F8A}"/>
    <cellStyle name="Normal 6 13 2" xfId="2419" xr:uid="{699D38AD-9A6D-4AF6-AAFD-221F0CC0B7F2}"/>
    <cellStyle name="Normal 6 14" xfId="2415" xr:uid="{F9F1BF3F-794B-4FA4-BF94-1189D9BA77AF}"/>
    <cellStyle name="Normal 6 15" xfId="1270" xr:uid="{9E87F1ED-D2C3-4A53-986C-9FE4534D734A}"/>
    <cellStyle name="Normal 6 2" xfId="126" xr:uid="{5EB11E62-D9FA-49C8-9E04-C78F9083A0BE}"/>
    <cellStyle name="Normal 6 2 10" xfId="1275" xr:uid="{A4ECCEEA-57F6-407C-89D5-D644C1B161DF}"/>
    <cellStyle name="Normal 6 2 2" xfId="127" xr:uid="{E4D888B4-F43D-4FC8-9F08-1ECEDBF6FA8B}"/>
    <cellStyle name="Normal 6 2 2 10" xfId="1277" xr:uid="{8BE73D70-D1D1-48C9-87F4-693DFC8E882F}"/>
    <cellStyle name="Normal 6 2 2 10 2" xfId="2422" xr:uid="{D63A245E-D6FD-45BE-8E83-59A9330526D5}"/>
    <cellStyle name="Normal 6 2 2 10 2 2" xfId="3152" xr:uid="{9F0DB164-C552-4808-8F4F-34205790F3CF}"/>
    <cellStyle name="Normal 6 2 2 10 2 3" xfId="3378" xr:uid="{3F87C098-0C30-441E-A0D8-7CBDFB1FEC93}"/>
    <cellStyle name="Normal 6 2 2 10 3" xfId="3031" xr:uid="{7F9754D3-5F18-4BB3-B3F9-AF6C932BAEB4}"/>
    <cellStyle name="Normal 6 2 2 10 4" xfId="3257" xr:uid="{D4E21C65-C49F-4413-BFC6-0CA8113DCEAE}"/>
    <cellStyle name="Normal 6 2 2 11" xfId="1278" xr:uid="{20AF9DC1-4473-4766-9D43-0AD752C42FA7}"/>
    <cellStyle name="Normal 6 2 2 11 2" xfId="2423" xr:uid="{FAD3EC85-1F90-431D-B7C6-4A810EDF6D9F}"/>
    <cellStyle name="Normal 6 2 2 11 2 2" xfId="3153" xr:uid="{7C09D5C8-B52A-4A16-BBAD-EF2AC686F1A9}"/>
    <cellStyle name="Normal 6 2 2 11 2 3" xfId="3379" xr:uid="{FD852667-E013-4C7B-8A7D-F35A5369A05C}"/>
    <cellStyle name="Normal 6 2 2 11 3" xfId="3032" xr:uid="{914867DC-9EBF-477C-981D-069C957B64B4}"/>
    <cellStyle name="Normal 6 2 2 11 4" xfId="3258" xr:uid="{8E19033E-56CF-4524-8D01-8BF7C5035B16}"/>
    <cellStyle name="Normal 6 2 2 12" xfId="1279" xr:uid="{DCE056D1-CB8E-47B1-A69E-D4178C283350}"/>
    <cellStyle name="Normal 6 2 2 12 2" xfId="2424" xr:uid="{6AD0E4AC-1F8D-409A-ACDA-8DAD8BB1CAFE}"/>
    <cellStyle name="Normal 6 2 2 12 2 2" xfId="3154" xr:uid="{2DE47487-C581-46FD-9906-2D7DB25D3E6C}"/>
    <cellStyle name="Normal 6 2 2 12 2 3" xfId="3380" xr:uid="{960DE5F2-D812-4362-8874-D7A119F3A32B}"/>
    <cellStyle name="Normal 6 2 2 12 3" xfId="3033" xr:uid="{6C73F731-9670-4B6C-B339-0B7E7D2ACB35}"/>
    <cellStyle name="Normal 6 2 2 12 4" xfId="3259" xr:uid="{7C0A7542-FF2A-4799-BD9D-28E295B0F6D1}"/>
    <cellStyle name="Normal 6 2 2 13" xfId="1280" xr:uid="{6C2AE8CB-0678-43DC-A378-BFD5DF2AEBFB}"/>
    <cellStyle name="Normal 6 2 2 13 2" xfId="2425" xr:uid="{EADE3539-29DD-4780-94C7-976528FBC0BC}"/>
    <cellStyle name="Normal 6 2 2 13 2 2" xfId="3155" xr:uid="{B9547262-0067-45FD-AFD2-7E31FBB61BCB}"/>
    <cellStyle name="Normal 6 2 2 13 2 3" xfId="3381" xr:uid="{70624F68-3D72-4240-9B06-094BF322198A}"/>
    <cellStyle name="Normal 6 2 2 13 3" xfId="3034" xr:uid="{D88EF266-74E3-4F71-A9FC-835730794CFC}"/>
    <cellStyle name="Normal 6 2 2 13 4" xfId="3260" xr:uid="{F6BF1F40-6C93-4B75-B74F-69A00AFAFCA9}"/>
    <cellStyle name="Normal 6 2 2 14" xfId="2421" xr:uid="{CFC02D74-F25A-448E-A532-7AE209A3B734}"/>
    <cellStyle name="Normal 6 2 2 15" xfId="1276" xr:uid="{11968DCC-01F9-4386-9660-14A3A2740AA7}"/>
    <cellStyle name="Normal 6 2 2 2" xfId="1281" xr:uid="{F2FE9877-8311-4D6C-BB11-15B5AA36797B}"/>
    <cellStyle name="Normal 6 2 2 2 2" xfId="2426" xr:uid="{9F637D5C-B85B-43AC-A814-3B8AA8625FE7}"/>
    <cellStyle name="Normal 6 2 2 2 2 2" xfId="3156" xr:uid="{157ADB4D-4A4B-46DA-95F7-7D9756A3EEF5}"/>
    <cellStyle name="Normal 6 2 2 2 2 3" xfId="3382" xr:uid="{27E86777-9FEA-4AE3-9D6C-AEFB750D49D6}"/>
    <cellStyle name="Normal 6 2 2 2 3" xfId="3035" xr:uid="{7E16626B-7EF5-4763-9B1E-5383D98A581A}"/>
    <cellStyle name="Normal 6 2 2 2 4" xfId="3261" xr:uid="{6C06ED3B-E11B-475F-A06B-B89A2214ED61}"/>
    <cellStyle name="Normal 6 2 2 3" xfId="1282" xr:uid="{505C1E0F-AE41-48A6-A542-C2828AEB223D}"/>
    <cellStyle name="Normal 6 2 2 3 2" xfId="2427" xr:uid="{2D8A8810-19BB-40D4-BB89-89A0CC830091}"/>
    <cellStyle name="Normal 6 2 2 3 2 2" xfId="3157" xr:uid="{30FE79EF-5C3B-4D6C-9011-36A2E4D1FE7E}"/>
    <cellStyle name="Normal 6 2 2 3 2 3" xfId="3383" xr:uid="{A875BBE8-7586-4EE8-90DD-E47F2DA1735B}"/>
    <cellStyle name="Normal 6 2 2 3 3" xfId="3036" xr:uid="{CE2F1AFE-B40C-4E69-8D47-64C25005B52A}"/>
    <cellStyle name="Normal 6 2 2 3 4" xfId="3262" xr:uid="{F66C1A83-2185-4F09-9A43-0E1BE67AF27B}"/>
    <cellStyle name="Normal 6 2 2 4" xfId="1283" xr:uid="{A6111B1E-CCEA-4213-88D5-69CE21D3C998}"/>
    <cellStyle name="Normal 6 2 2 4 2" xfId="2428" xr:uid="{E959D79C-792B-45AC-A1F0-C9B400CC4740}"/>
    <cellStyle name="Normal 6 2 2 4 2 2" xfId="3158" xr:uid="{38202E95-7F74-4B6F-90EC-F653247C57B5}"/>
    <cellStyle name="Normal 6 2 2 4 2 3" xfId="3384" xr:uid="{C8C49E73-5154-41DF-9CF2-5EB3EAC75FBB}"/>
    <cellStyle name="Normal 6 2 2 4 3" xfId="3037" xr:uid="{5E3EDA5D-BE7A-4009-908B-683BC1296B54}"/>
    <cellStyle name="Normal 6 2 2 4 4" xfId="3263" xr:uid="{3E50DA38-A74A-4E7D-B8F2-E995FD5B541D}"/>
    <cellStyle name="Normal 6 2 2 5" xfId="1284" xr:uid="{DD0A2EA6-7596-422E-842C-736A45BB617F}"/>
    <cellStyle name="Normal 6 2 2 5 2" xfId="2429" xr:uid="{4EA86145-DD86-4CFB-A4B4-E3C9669B2E89}"/>
    <cellStyle name="Normal 6 2 2 5 2 2" xfId="3159" xr:uid="{E561E547-AB63-4B6D-BC8F-A212D46E775C}"/>
    <cellStyle name="Normal 6 2 2 5 2 3" xfId="3385" xr:uid="{6DB6D97A-3772-41E3-BDFE-E23C1D6DF5A5}"/>
    <cellStyle name="Normal 6 2 2 5 3" xfId="3038" xr:uid="{D4F461B0-94C3-42DF-8C3E-6B266685ECBC}"/>
    <cellStyle name="Normal 6 2 2 5 4" xfId="3264" xr:uid="{3F6F50FA-188B-4EB6-815D-A88AECE2F929}"/>
    <cellStyle name="Normal 6 2 2 6" xfId="1285" xr:uid="{59EC2337-EB2A-4F6E-9CD1-F8162634DA96}"/>
    <cellStyle name="Normal 6 2 2 6 2" xfId="2430" xr:uid="{E354B6E6-B39F-4985-A726-D7D31C3DA87B}"/>
    <cellStyle name="Normal 6 2 2 6 2 2" xfId="3160" xr:uid="{EC4CC978-C1CF-414E-8DC1-665D977591D4}"/>
    <cellStyle name="Normal 6 2 2 6 2 3" xfId="3386" xr:uid="{6A29D849-02FD-4A9E-AA32-B1A72CE1F29E}"/>
    <cellStyle name="Normal 6 2 2 6 3" xfId="3039" xr:uid="{88816217-CC96-49F0-B7BF-D47DFE9CE03E}"/>
    <cellStyle name="Normal 6 2 2 6 4" xfId="3265" xr:uid="{137563C4-ADB6-470E-B5BC-FD2A69E00C4A}"/>
    <cellStyle name="Normal 6 2 2 7" xfId="1286" xr:uid="{4ED2708B-9712-4CFA-BFDE-59B85A27CDF8}"/>
    <cellStyle name="Normal 6 2 2 7 2" xfId="2431" xr:uid="{BA9C2BC8-05A7-4A47-BAFA-AA1710D0AA01}"/>
    <cellStyle name="Normal 6 2 2 7 2 2" xfId="3161" xr:uid="{7B317245-7789-4934-A968-28916E5FE936}"/>
    <cellStyle name="Normal 6 2 2 7 2 3" xfId="3387" xr:uid="{5DA31670-1952-4352-94F1-0F9B2CFD9B18}"/>
    <cellStyle name="Normal 6 2 2 7 3" xfId="3040" xr:uid="{0B3DDBE0-F604-4687-98BA-9068C2642B53}"/>
    <cellStyle name="Normal 6 2 2 7 4" xfId="3266" xr:uid="{C8860C43-9ACD-44D9-A0DB-9CCC1C48F5B0}"/>
    <cellStyle name="Normal 6 2 2 8" xfId="1287" xr:uid="{B99CC0E9-624F-47B3-BACF-1F56D95B2F6F}"/>
    <cellStyle name="Normal 6 2 2 8 2" xfId="2432" xr:uid="{F23835A0-D535-4113-A338-C51970D9289E}"/>
    <cellStyle name="Normal 6 2 2 8 2 2" xfId="3162" xr:uid="{B58E7106-85C2-4612-B511-06E7A65A48D3}"/>
    <cellStyle name="Normal 6 2 2 8 2 3" xfId="3388" xr:uid="{14EC45C2-0A1E-4408-AAD8-398E955F9CD4}"/>
    <cellStyle name="Normal 6 2 2 8 3" xfId="3041" xr:uid="{1BB3DA19-E6E9-4842-B32D-70D9079FE184}"/>
    <cellStyle name="Normal 6 2 2 8 4" xfId="3267" xr:uid="{EE12E476-D670-478E-8CD2-AD121FD61E52}"/>
    <cellStyle name="Normal 6 2 2 9" xfId="1288" xr:uid="{C860A765-577E-4647-8B4F-506693EA0E78}"/>
    <cellStyle name="Normal 6 2 2 9 2" xfId="2433" xr:uid="{9923818F-034E-41E4-AF68-FF6724A8BB9E}"/>
    <cellStyle name="Normal 6 2 2 9 2 2" xfId="3163" xr:uid="{513335B5-29F2-4956-9B8D-A847EED9E41D}"/>
    <cellStyle name="Normal 6 2 2 9 2 3" xfId="3389" xr:uid="{714772CD-24A2-4887-889B-F7F92662FCA9}"/>
    <cellStyle name="Normal 6 2 2 9 3" xfId="3042" xr:uid="{0845EAEE-B142-4184-8959-2851FEBEF4EA}"/>
    <cellStyle name="Normal 6 2 2 9 4" xfId="3268" xr:uid="{93F17C7D-1828-4663-B9A2-19B7DEFBF558}"/>
    <cellStyle name="Normal 6 2 3" xfId="1289" xr:uid="{2346E26B-D379-4DA6-872B-F1E31C82074B}"/>
    <cellStyle name="Normal 6 2 3 2" xfId="2434" xr:uid="{3358B8D5-646A-485D-9323-97D3365E172B}"/>
    <cellStyle name="Normal 6 2 4" xfId="1290" xr:uid="{7456CD33-92C9-4595-937B-32D0A5293C20}"/>
    <cellStyle name="Normal 6 2 4 2" xfId="2435" xr:uid="{98A5AB35-55C6-4F65-83DE-8C1585CA7E63}"/>
    <cellStyle name="Normal 6 2 5" xfId="1291" xr:uid="{66F55006-D99D-4D7B-9463-831B23EE6980}"/>
    <cellStyle name="Normal 6 2 5 2" xfId="2436" xr:uid="{E85C0F3C-DDB9-49F7-AF3D-60735A0E78F2}"/>
    <cellStyle name="Normal 6 2 6" xfId="1292" xr:uid="{194352ED-96A1-4753-B542-D5046EA70D4E}"/>
    <cellStyle name="Normal 6 2 6 2" xfId="2437" xr:uid="{473583C1-97E7-4467-A812-B5D79E1DB8F1}"/>
    <cellStyle name="Normal 6 2 7" xfId="1293" xr:uid="{233A389B-DDA5-466B-9DCD-C077927768E8}"/>
    <cellStyle name="Normal 6 2 7 2" xfId="2438" xr:uid="{1ECC4D05-AE59-4545-AB3E-DF428E18B3FA}"/>
    <cellStyle name="Normal 6 2 8" xfId="1294" xr:uid="{4430C1C6-27A7-49DC-8825-4794448031B5}"/>
    <cellStyle name="Normal 6 2 8 2" xfId="2439" xr:uid="{C957A498-4DF4-4B17-BB02-35FA3DB72254}"/>
    <cellStyle name="Normal 6 2 9" xfId="2420" xr:uid="{EF02BA6E-4260-4809-A36C-9E1E6F60AA4D}"/>
    <cellStyle name="Normal 6 3" xfId="128" xr:uid="{6C578455-8AEC-461F-953A-432F68AC0A72}"/>
    <cellStyle name="Normal 6 3 10" xfId="1295" xr:uid="{17DBFD2B-B9F1-442D-A9B1-634BB173BA29}"/>
    <cellStyle name="Normal 6 3 2" xfId="1296" xr:uid="{AC4E2F7B-CD7F-4C65-8D45-A14C5700BB3B}"/>
    <cellStyle name="Normal 6 3 2 2" xfId="2441" xr:uid="{7CB40D70-04E7-48B5-BE26-5877148AC4C8}"/>
    <cellStyle name="Normal 6 3 3" xfId="1297" xr:uid="{123E1BFA-8C00-4ABB-B3A4-B09F1FA10AB5}"/>
    <cellStyle name="Normal 6 3 3 2" xfId="2442" xr:uid="{736EF37B-54FB-479B-990F-6E260A373C1E}"/>
    <cellStyle name="Normal 6 3 4" xfId="1298" xr:uid="{B2845E26-B5D2-4B41-B8D6-6B598AEE2C1D}"/>
    <cellStyle name="Normal 6 3 4 2" xfId="2443" xr:uid="{650D56E2-A805-4C0E-B92E-F2ED5D5C1218}"/>
    <cellStyle name="Normal 6 3 5" xfId="1299" xr:uid="{113DA16C-F797-463E-93C6-DB06719C6D74}"/>
    <cellStyle name="Normal 6 3 5 2" xfId="2444" xr:uid="{E9E61793-45CA-442F-A95D-5255BC0A40F3}"/>
    <cellStyle name="Normal 6 3 6" xfId="1300" xr:uid="{650DDDFE-4C9F-4083-8D85-6AA324521181}"/>
    <cellStyle name="Normal 6 3 6 2" xfId="2445" xr:uid="{A706BA80-ACEB-4F66-90B0-274627EB11C7}"/>
    <cellStyle name="Normal 6 3 7" xfId="1301" xr:uid="{A0E810A9-425D-40D0-9BEC-A7A24FA89A04}"/>
    <cellStyle name="Normal 6 3 7 2" xfId="2446" xr:uid="{E32F00E9-A540-4084-80C5-445EAE88BC2D}"/>
    <cellStyle name="Normal 6 3 8" xfId="1302" xr:uid="{06B8E71F-1D97-491F-B82F-AACA739EBA3B}"/>
    <cellStyle name="Normal 6 3 8 2" xfId="2447" xr:uid="{9E7E7A11-71EA-419F-9D81-705162E039F1}"/>
    <cellStyle name="Normal 6 3 9" xfId="2440" xr:uid="{469ECB43-0BBE-46E3-86A4-5B17D169B5AB}"/>
    <cellStyle name="Normal 6 4" xfId="129" xr:uid="{833E4EAA-76C7-426D-89FB-C43E98F0D559}"/>
    <cellStyle name="Normal 6 4 10" xfId="1303" xr:uid="{179B9B5E-5E86-4388-99AA-A64865465104}"/>
    <cellStyle name="Normal 6 4 2" xfId="1304" xr:uid="{2A2A6994-688A-4547-91F0-74D4EBDF26B9}"/>
    <cellStyle name="Normal 6 4 2 2" xfId="2449" xr:uid="{5FCBAA9A-8ED6-4B9C-BDFF-1BFE236CE2F2}"/>
    <cellStyle name="Normal 6 4 3" xfId="1305" xr:uid="{9F362BB9-D6D2-461B-9482-CB791C3FEE6C}"/>
    <cellStyle name="Normal 6 4 3 2" xfId="2450" xr:uid="{C6D1A854-303A-46AF-BD2E-662C64AD9EAA}"/>
    <cellStyle name="Normal 6 4 4" xfId="1306" xr:uid="{0A3CB567-A07A-46E5-8FAB-501EB7513C98}"/>
    <cellStyle name="Normal 6 4 4 2" xfId="2451" xr:uid="{EB3B09B5-EDD3-460C-96B1-C4125FD78106}"/>
    <cellStyle name="Normal 6 4 5" xfId="1307" xr:uid="{6BEF7AC4-BD23-46FB-9E6B-2D7196306C8C}"/>
    <cellStyle name="Normal 6 4 5 2" xfId="2452" xr:uid="{40EE2DDA-64F3-41AD-B8D0-F3AA1D34EC60}"/>
    <cellStyle name="Normal 6 4 6" xfId="1308" xr:uid="{14F6AB86-D9C1-495E-B979-70C314DFACA2}"/>
    <cellStyle name="Normal 6 4 6 2" xfId="2453" xr:uid="{1CD05C38-98D0-4CC7-BBC3-FEAA4C313511}"/>
    <cellStyle name="Normal 6 4 7" xfId="1309" xr:uid="{58797080-041E-4CC9-A249-661ACBF58BA1}"/>
    <cellStyle name="Normal 6 4 7 2" xfId="2454" xr:uid="{604C57CC-C9E7-4BB2-8D82-725194A1D3B6}"/>
    <cellStyle name="Normal 6 4 8" xfId="1310" xr:uid="{4F25B5FC-42BF-40AB-9784-89C90931DD03}"/>
    <cellStyle name="Normal 6 4 8 2" xfId="2455" xr:uid="{0E55D6C6-268C-41E6-BC48-ACF2F062E679}"/>
    <cellStyle name="Normal 6 4 9" xfId="2448" xr:uid="{CB96EE29-A5A3-4B85-803B-CF7C2006DC69}"/>
    <cellStyle name="Normal 6 5" xfId="1311" xr:uid="{F58D63CF-2114-4613-A611-3D27BB579923}"/>
    <cellStyle name="Normal 6 5 2" xfId="1312" xr:uid="{E99DDA8C-788D-4860-A57C-E4F39352F551}"/>
    <cellStyle name="Normal 6 5 2 2" xfId="2457" xr:uid="{CD8EEED4-9E4A-4221-8D79-F0737F1C9081}"/>
    <cellStyle name="Normal 6 5 3" xfId="1313" xr:uid="{60D905FF-56C7-4B19-9A2D-0AFA41A84D7E}"/>
    <cellStyle name="Normal 6 5 3 2" xfId="2458" xr:uid="{0BFECE9F-9E57-4E02-A595-70B6DD979973}"/>
    <cellStyle name="Normal 6 5 4" xfId="1314" xr:uid="{FDDC0DCC-AA67-47E7-B22A-C09221CEBE30}"/>
    <cellStyle name="Normal 6 5 4 2" xfId="2459" xr:uid="{EEACA6BA-F6C1-43E0-81ED-52EE1BF1BF2F}"/>
    <cellStyle name="Normal 6 5 5" xfId="1315" xr:uid="{5137A083-EFAB-4E73-8D83-68EDC270BE27}"/>
    <cellStyle name="Normal 6 5 5 2" xfId="2460" xr:uid="{9605E786-31BC-4DD9-9538-6972F05E1BD6}"/>
    <cellStyle name="Normal 6 5 6" xfId="1316" xr:uid="{D8C840FB-BD8A-4311-AB3C-6857612DDA27}"/>
    <cellStyle name="Normal 6 5 6 2" xfId="2461" xr:uid="{3B27995E-7406-4CEA-A1E6-73F2C9C16A89}"/>
    <cellStyle name="Normal 6 5 7" xfId="1317" xr:uid="{C8128BDA-E7B9-459C-BA6D-7FC9C45A7FB6}"/>
    <cellStyle name="Normal 6 5 7 2" xfId="2462" xr:uid="{365E5F5B-BECC-4297-9E24-292FD19F4EC4}"/>
    <cellStyle name="Normal 6 5 8" xfId="1318" xr:uid="{43DC7D0A-4D9E-47D2-ACE3-267F48B1C2D0}"/>
    <cellStyle name="Normal 6 5 8 2" xfId="2463" xr:uid="{DC089992-2B19-467B-B0F4-058F40AFDA9A}"/>
    <cellStyle name="Normal 6 5 9" xfId="2456" xr:uid="{9FB442D3-4376-498E-B949-81F65CE5715F}"/>
    <cellStyle name="Normal 6 6" xfId="1319" xr:uid="{9D21D1E1-9A00-481E-97D7-AFD2A0A48290}"/>
    <cellStyle name="Normal 6 6 2" xfId="2464" xr:uid="{C5CD62FB-813C-404D-BA33-266EE2BEF755}"/>
    <cellStyle name="Normal 6 7" xfId="1320" xr:uid="{E5F0FB21-E36F-4B66-9728-FE56769331FE}"/>
    <cellStyle name="Normal 6 7 2" xfId="2465" xr:uid="{A7ADD61B-DBCD-4792-AE77-E27CBE3929D9}"/>
    <cellStyle name="Normal 6 8" xfId="1321" xr:uid="{468FFAE6-006E-4A20-905D-DA5E6BF8154E}"/>
    <cellStyle name="Normal 6 8 2" xfId="2466" xr:uid="{72FC0825-D853-43F9-8648-3834E921105F}"/>
    <cellStyle name="Normal 6 9" xfId="1322" xr:uid="{A80FFA2C-8153-456F-8AF1-DB9510B4C953}"/>
    <cellStyle name="Normal 6 9 2" xfId="2467" xr:uid="{CAE75A09-CBEF-4F00-86DF-E1C4988DC40C}"/>
    <cellStyle name="Normal 7" xfId="130" xr:uid="{9F3DE3EB-5071-412B-A017-0E274539FBD8}"/>
    <cellStyle name="Normal 7 10" xfId="1324" xr:uid="{C9F2E97F-F524-45D8-B30F-0B47BB55B3DE}"/>
    <cellStyle name="Normal 7 10 2" xfId="2469" xr:uid="{1E1D949B-74DB-4C14-A1E5-38845D493F50}"/>
    <cellStyle name="Normal 7 11" xfId="1325" xr:uid="{D78DC27B-2A4A-49EE-8096-E87BD6B6965E}"/>
    <cellStyle name="Normal 7 11 2" xfId="2470" xr:uid="{FE113A12-0663-41D9-9953-3C5F7ADFB557}"/>
    <cellStyle name="Normal 7 12" xfId="1326" xr:uid="{5AD25DEF-3935-4FCC-9C25-FA843D609398}"/>
    <cellStyle name="Normal 7 12 2" xfId="2471" xr:uid="{4F673298-730E-4EFD-9F01-83496240C561}"/>
    <cellStyle name="Normal 7 13" xfId="2468" xr:uid="{BB427986-1172-4603-BE8C-28A910A00457}"/>
    <cellStyle name="Normal 7 14" xfId="1323" xr:uid="{DA46162E-049A-4F55-B9D1-5F110B00C81E}"/>
    <cellStyle name="Normal 7 2" xfId="131" xr:uid="{E2AC119D-EA3C-4CF0-9348-05B268D3A461}"/>
    <cellStyle name="Normal 7 2 10" xfId="1327" xr:uid="{A30A14A9-6412-4F4A-9F60-510B30BA053E}"/>
    <cellStyle name="Normal 7 2 2" xfId="1328" xr:uid="{82F01499-B5E7-44B1-BE79-A9C87FA9612D}"/>
    <cellStyle name="Normal 7 2 2 2" xfId="2473" xr:uid="{5BF57B87-10B7-448B-A76C-04A2DF39E100}"/>
    <cellStyle name="Normal 7 2 3" xfId="1329" xr:uid="{4D595647-D778-4191-94B1-8B717F8688BC}"/>
    <cellStyle name="Normal 7 2 3 2" xfId="2474" xr:uid="{A3C628DA-0B79-4C4D-A934-A65EA9B11BF5}"/>
    <cellStyle name="Normal 7 2 4" xfId="1330" xr:uid="{3FD224F6-7F9F-4CD1-814F-9907112DA0F6}"/>
    <cellStyle name="Normal 7 2 4 2" xfId="2475" xr:uid="{28E7174A-FB42-445F-9651-DE548C23C2FA}"/>
    <cellStyle name="Normal 7 2 5" xfId="1331" xr:uid="{2D7A1700-9678-4E71-9B65-48B3F26FAB96}"/>
    <cellStyle name="Normal 7 2 5 2" xfId="2476" xr:uid="{34BF30A6-5470-4041-8E63-D21A35EA1A61}"/>
    <cellStyle name="Normal 7 2 6" xfId="1332" xr:uid="{1E43E608-6F4B-4283-ABBA-C7809B0D3C96}"/>
    <cellStyle name="Normal 7 2 6 2" xfId="2477" xr:uid="{37F9CF02-A177-4F19-A7C5-BE6E79FC94F9}"/>
    <cellStyle name="Normal 7 2 7" xfId="1333" xr:uid="{55242907-B12D-40D0-8A1A-F1F2484221A0}"/>
    <cellStyle name="Normal 7 2 7 2" xfId="2478" xr:uid="{5E155B05-B675-49E0-B7BA-400ACE961930}"/>
    <cellStyle name="Normal 7 2 8" xfId="1334" xr:uid="{1BED7C5D-18DC-4B1F-B76A-10920C072176}"/>
    <cellStyle name="Normal 7 2 8 2" xfId="2479" xr:uid="{09F519C0-58BA-456D-BEF5-EBFB47BB1405}"/>
    <cellStyle name="Normal 7 2 9" xfId="2472" xr:uid="{F9021025-C90F-4F74-A491-42625DB61739}"/>
    <cellStyle name="Normal 7 3" xfId="1335" xr:uid="{84FB4095-0E35-45E7-8394-2FB7BABFB7FF}"/>
    <cellStyle name="Normal 7 3 2" xfId="1336" xr:uid="{A36D6A47-D6E8-46E1-80B3-19B012F8FEB0}"/>
    <cellStyle name="Normal 7 3 2 2" xfId="2481" xr:uid="{D6DEC04E-9D12-4CB3-B942-CFCA4FD9AE92}"/>
    <cellStyle name="Normal 7 3 3" xfId="1337" xr:uid="{39BE94DA-D7E6-4F46-81E1-D0BB50D91B20}"/>
    <cellStyle name="Normal 7 3 3 2" xfId="2482" xr:uid="{9D89D679-9085-42D1-B3E0-D5CA792643AD}"/>
    <cellStyle name="Normal 7 3 4" xfId="1338" xr:uid="{E16159F1-DAB8-4739-8CBE-146BA6C8560A}"/>
    <cellStyle name="Normal 7 3 4 2" xfId="2483" xr:uid="{462BA922-69B0-4A30-8D38-2E54BC9D6CA3}"/>
    <cellStyle name="Normal 7 3 5" xfId="1339" xr:uid="{E7555E56-B2F4-475F-B3AC-0372D13C2345}"/>
    <cellStyle name="Normal 7 3 5 2" xfId="2484" xr:uid="{5902939B-4A52-4226-A5A7-D3C9B657AB73}"/>
    <cellStyle name="Normal 7 3 6" xfId="1340" xr:uid="{0E902DDB-2A47-4644-92F8-71A960EB4091}"/>
    <cellStyle name="Normal 7 3 6 2" xfId="2485" xr:uid="{A73A4998-2029-40C2-BB79-934A6809D01A}"/>
    <cellStyle name="Normal 7 3 7" xfId="1341" xr:uid="{239E0E58-1AA7-4AF4-9CC1-19D7C1B24F84}"/>
    <cellStyle name="Normal 7 3 7 2" xfId="2486" xr:uid="{18CB4F4D-86BE-4649-A377-D47C9C2C6701}"/>
    <cellStyle name="Normal 7 3 8" xfId="1342" xr:uid="{C6DB90A7-B68E-4A60-BA75-01B8663F55A9}"/>
    <cellStyle name="Normal 7 3 8 2" xfId="2487" xr:uid="{3E750043-D235-4215-80DD-FBDE23A97D9C}"/>
    <cellStyle name="Normal 7 3 9" xfId="2480" xr:uid="{7E2B632A-D756-43A5-B109-6396B8938339}"/>
    <cellStyle name="Normal 7 4" xfId="1343" xr:uid="{BA1AAECD-641E-430C-ADEC-CC47FF321DD0}"/>
    <cellStyle name="Normal 7 4 2" xfId="1344" xr:uid="{063973DF-11C9-4874-BFA4-EA9AD910BD4D}"/>
    <cellStyle name="Normal 7 4 2 2" xfId="2489" xr:uid="{03CCF2C3-7BB8-42F9-8080-3B4E9EA63A45}"/>
    <cellStyle name="Normal 7 4 3" xfId="1345" xr:uid="{DE2BBA99-402D-4952-89B9-A629F3E6E470}"/>
    <cellStyle name="Normal 7 4 3 2" xfId="2490" xr:uid="{AD938E7A-A2D8-4AF1-B181-4CD1F699CD8F}"/>
    <cellStyle name="Normal 7 4 4" xfId="1346" xr:uid="{F4B28F15-B838-49E6-A5D9-D90BF6A36C63}"/>
    <cellStyle name="Normal 7 4 4 2" xfId="2491" xr:uid="{25957F67-F7F5-430C-AB74-763986459379}"/>
    <cellStyle name="Normal 7 4 5" xfId="1347" xr:uid="{50023FDA-1259-44FE-8A33-07FC68CE9F69}"/>
    <cellStyle name="Normal 7 4 5 2" xfId="2492" xr:uid="{D2907548-E563-471C-B2AB-064ED106F876}"/>
    <cellStyle name="Normal 7 4 6" xfId="1348" xr:uid="{DD7AF7A6-7EE9-4DA3-A543-62CC3E266662}"/>
    <cellStyle name="Normal 7 4 6 2" xfId="2493" xr:uid="{9D7194D7-4D8E-468D-83C5-2FC594D9EAF3}"/>
    <cellStyle name="Normal 7 4 7" xfId="1349" xr:uid="{DB278417-5FC4-4FCD-BA1B-FFEE9028AA07}"/>
    <cellStyle name="Normal 7 4 7 2" xfId="2494" xr:uid="{41BD17C3-3E93-4F45-8A6A-B812796D0CF1}"/>
    <cellStyle name="Normal 7 4 8" xfId="1350" xr:uid="{916B777A-31CC-4A45-96B9-4F11CFC24CC5}"/>
    <cellStyle name="Normal 7 4 8 2" xfId="2495" xr:uid="{809325D9-746B-4026-9C2C-BEE090B54FE7}"/>
    <cellStyle name="Normal 7 4 9" xfId="2488" xr:uid="{A4BFD2F4-B33A-469D-941B-72B06DAABE4E}"/>
    <cellStyle name="Normal 7 5" xfId="1351" xr:uid="{8866C4F3-64E9-47E9-8332-27F0C02FDE59}"/>
    <cellStyle name="Normal 7 5 2" xfId="1352" xr:uid="{A8DCD717-9B95-44A9-B393-52B577252CEE}"/>
    <cellStyle name="Normal 7 5 2 2" xfId="2497" xr:uid="{86B8F7B9-E5F7-4716-AC6A-C6B992AE1641}"/>
    <cellStyle name="Normal 7 5 3" xfId="1353" xr:uid="{F6A87279-60E2-4950-9720-3F8EEFDD01DC}"/>
    <cellStyle name="Normal 7 5 3 2" xfId="2498" xr:uid="{069956DD-01F1-4812-B33A-9EE6CC6B2FFD}"/>
    <cellStyle name="Normal 7 5 4" xfId="1354" xr:uid="{0F3D6879-DB92-4798-8048-1243BFE932A6}"/>
    <cellStyle name="Normal 7 5 4 2" xfId="2499" xr:uid="{FFCD7F3D-8241-4484-95E4-C90060B0ECF6}"/>
    <cellStyle name="Normal 7 5 5" xfId="1355" xr:uid="{F97E8F2D-291F-429F-B7D8-E0EA880F6489}"/>
    <cellStyle name="Normal 7 5 5 2" xfId="2500" xr:uid="{47CED3B8-95E1-492F-BF84-F8557E7C15D0}"/>
    <cellStyle name="Normal 7 5 6" xfId="1356" xr:uid="{51575FD8-F344-49C1-A1F7-761D5C2B277E}"/>
    <cellStyle name="Normal 7 5 6 2" xfId="2501" xr:uid="{FD2E3AB7-3C1F-438B-B952-48BD9CFB6B7F}"/>
    <cellStyle name="Normal 7 5 7" xfId="1357" xr:uid="{0FC26E03-0439-4C51-A286-CA1603702BC0}"/>
    <cellStyle name="Normal 7 5 7 2" xfId="2502" xr:uid="{ACF68E46-851A-40D8-BFAE-76EDF8A9E28B}"/>
    <cellStyle name="Normal 7 5 8" xfId="1358" xr:uid="{E3649D87-F5F6-49D2-980F-584EA8A24D90}"/>
    <cellStyle name="Normal 7 5 8 2" xfId="2503" xr:uid="{97C6C295-E808-4DBF-9543-F3C9F81B8B9D}"/>
    <cellStyle name="Normal 7 5 9" xfId="2496" xr:uid="{05A9F94E-85A5-4E7B-883C-F3DF61591EF6}"/>
    <cellStyle name="Normal 7 6" xfId="1359" xr:uid="{0872EB90-F8F5-4A00-85DE-29CE090477B7}"/>
    <cellStyle name="Normal 7 6 2" xfId="2504" xr:uid="{69AB7D1E-6C36-4D56-9AB1-2A85F2452A0F}"/>
    <cellStyle name="Normal 7 7" xfId="1360" xr:uid="{39203400-5994-46F1-8EE2-E8710A1D30BE}"/>
    <cellStyle name="Normal 7 7 2" xfId="2505" xr:uid="{3B20B6AA-0B86-4665-AE6A-A94260BAE37F}"/>
    <cellStyle name="Normal 7 8" xfId="1361" xr:uid="{16397178-8764-4C38-8EF0-B4B644C916A5}"/>
    <cellStyle name="Normal 7 8 2" xfId="2506" xr:uid="{02C1415E-9D20-426C-99E7-19BF88A035F5}"/>
    <cellStyle name="Normal 7 9" xfId="1362" xr:uid="{ADCAB977-6D41-400E-B1A8-EC4472D3D81B}"/>
    <cellStyle name="Normal 7 9 2" xfId="2507" xr:uid="{D25C2816-F304-4A40-B7B4-8186E0408628}"/>
    <cellStyle name="Normal 8" xfId="132" xr:uid="{78983F48-7AD9-4A17-9012-7AF534B7A74E}"/>
    <cellStyle name="Normal 8 10" xfId="1364" xr:uid="{24BB5F7C-AFF2-4719-B7AF-7CE1DF8AE3F0}"/>
    <cellStyle name="Normal 8 10 2" xfId="2509" xr:uid="{D7919259-99FF-42D9-BF2F-DE4959AD4A35}"/>
    <cellStyle name="Normal 8 11" xfId="1365" xr:uid="{42AEE170-2AED-4556-B0D0-2B5B219A427D}"/>
    <cellStyle name="Normal 8 11 2" xfId="2510" xr:uid="{F501B2DF-1312-418C-99C7-7B18F14B4B4A}"/>
    <cellStyle name="Normal 8 12" xfId="1366" xr:uid="{A809C8C5-BC5E-492D-8975-DB86D61DE2A9}"/>
    <cellStyle name="Normal 8 12 2" xfId="2511" xr:uid="{5C4425DC-5939-47ED-9248-B69DE53C899C}"/>
    <cellStyle name="Normal 8 13" xfId="2508" xr:uid="{41207F2E-1039-4055-A779-8259B52EF050}"/>
    <cellStyle name="Normal 8 14" xfId="1363" xr:uid="{91084DDE-76AD-46C0-A74B-5E43B47119A3}"/>
    <cellStyle name="Normal 8 2" xfId="133" xr:uid="{B383386B-F289-4B2D-A0C3-C43B50A30033}"/>
    <cellStyle name="Normal 8 2 10" xfId="1367" xr:uid="{C41FAD1B-6600-47A8-81A8-F78EE6A4AA46}"/>
    <cellStyle name="Normal 8 2 2" xfId="1368" xr:uid="{E968F95B-361D-44B2-B3FC-3F79D2B2F83B}"/>
    <cellStyle name="Normal 8 2 2 2" xfId="2513" xr:uid="{148CA557-B770-4B1D-9CAD-6B65C7CEE29E}"/>
    <cellStyle name="Normal 8 2 3" xfId="1369" xr:uid="{CD4E4B70-4CF4-4D72-8EA8-F3BFB297C2D9}"/>
    <cellStyle name="Normal 8 2 3 2" xfId="2514" xr:uid="{81448B63-A51A-4269-A3FA-683064D32E97}"/>
    <cellStyle name="Normal 8 2 4" xfId="1370" xr:uid="{D2A81F14-13B0-4795-B0E0-CBB353A31A6C}"/>
    <cellStyle name="Normal 8 2 4 2" xfId="2515" xr:uid="{6B8E58B2-D523-4772-947C-A99AED476B54}"/>
    <cellStyle name="Normal 8 2 5" xfId="1371" xr:uid="{4A100609-48C7-4E52-ACF5-35AAC56B500D}"/>
    <cellStyle name="Normal 8 2 5 2" xfId="2516" xr:uid="{2DAE6E62-E109-4315-8CDB-C9A948A22BE5}"/>
    <cellStyle name="Normal 8 2 6" xfId="1372" xr:uid="{5E36F933-5AAB-42C9-9C99-C518448679B1}"/>
    <cellStyle name="Normal 8 2 6 2" xfId="2517" xr:uid="{46103B04-0C2D-41E3-A5BB-66357B53F209}"/>
    <cellStyle name="Normal 8 2 7" xfId="1373" xr:uid="{821FD370-FB24-4EF0-8EE9-A7A94533EC76}"/>
    <cellStyle name="Normal 8 2 7 2" xfId="2518" xr:uid="{A5CE5A2A-B636-4733-AA4E-276A4E392167}"/>
    <cellStyle name="Normal 8 2 8" xfId="1374" xr:uid="{B6635F13-309F-4E99-ACE9-8BD77F5A1ECF}"/>
    <cellStyle name="Normal 8 2 8 2" xfId="2519" xr:uid="{0CAF30DA-166C-43CD-A1D8-FB3007C590CC}"/>
    <cellStyle name="Normal 8 2 9" xfId="2512" xr:uid="{94D21F53-D3A9-4A6C-9901-71CE6ADD4171}"/>
    <cellStyle name="Normal 8 3" xfId="1375" xr:uid="{658C30CA-074B-4082-9BAC-7E447EDE9064}"/>
    <cellStyle name="Normal 8 3 2" xfId="1376" xr:uid="{578C36F2-9277-4B10-8070-61EED2CB8DB3}"/>
    <cellStyle name="Normal 8 3 2 2" xfId="2521" xr:uid="{D065A404-A800-4A01-BFA2-7EBAEF3D80D5}"/>
    <cellStyle name="Normal 8 3 3" xfId="1377" xr:uid="{47CDD6A4-995D-4428-A2F2-2E955F907E98}"/>
    <cellStyle name="Normal 8 3 3 2" xfId="2522" xr:uid="{B48F3196-5023-4D23-9A17-397255C79709}"/>
    <cellStyle name="Normal 8 3 4" xfId="1378" xr:uid="{8621CD31-F39B-4406-A704-FD2871C62AB4}"/>
    <cellStyle name="Normal 8 3 4 2" xfId="2523" xr:uid="{E5648423-42CD-475F-AF5E-747AD104AF36}"/>
    <cellStyle name="Normal 8 3 5" xfId="1379" xr:uid="{C0A928C4-4E52-468E-B09E-4A23F0112A9D}"/>
    <cellStyle name="Normal 8 3 5 2" xfId="2524" xr:uid="{021E6812-BD25-4555-99DE-DD26F992FB2A}"/>
    <cellStyle name="Normal 8 3 6" xfId="1380" xr:uid="{D8105D7B-56A8-42BB-BBC5-888214292FCC}"/>
    <cellStyle name="Normal 8 3 6 2" xfId="2525" xr:uid="{098D3551-9BCF-4DC8-B9B9-265C07141A38}"/>
    <cellStyle name="Normal 8 3 7" xfId="1381" xr:uid="{C059E579-E800-4529-817C-B254E853D46F}"/>
    <cellStyle name="Normal 8 3 7 2" xfId="2526" xr:uid="{5DC15F8B-EE76-4602-A76F-467F4DF574E6}"/>
    <cellStyle name="Normal 8 3 8" xfId="1382" xr:uid="{C2A093C1-8ACF-4A9A-9771-A433CCFEE15C}"/>
    <cellStyle name="Normal 8 3 8 2" xfId="2527" xr:uid="{C41606C2-0398-4772-B490-342E4F93C1B1}"/>
    <cellStyle name="Normal 8 3 9" xfId="2520" xr:uid="{2A82A044-EDAD-42A5-9395-4CEDD2AAAE84}"/>
    <cellStyle name="Normal 8 4" xfId="1383" xr:uid="{4F308C11-8428-43D4-94DE-C7E7E7A29BF4}"/>
    <cellStyle name="Normal 8 4 2" xfId="1384" xr:uid="{C59EE467-691C-449F-9B57-C542E754D316}"/>
    <cellStyle name="Normal 8 4 2 2" xfId="2529" xr:uid="{3A51ACF1-D6E6-4574-9413-B94530F799FB}"/>
    <cellStyle name="Normal 8 4 3" xfId="1385" xr:uid="{041F2DA9-4F78-45E0-A820-D0BFE6E58520}"/>
    <cellStyle name="Normal 8 4 3 2" xfId="2530" xr:uid="{A0D1A9AB-C63A-479C-9358-FDE9BCEEEA7F}"/>
    <cellStyle name="Normal 8 4 4" xfId="1386" xr:uid="{AC1AEE8E-F6E1-45D9-8282-763E0821F2BE}"/>
    <cellStyle name="Normal 8 4 4 2" xfId="2531" xr:uid="{6A4C4DEA-45CB-42BD-BD64-689BBE7B41EA}"/>
    <cellStyle name="Normal 8 4 5" xfId="1387" xr:uid="{6D3D4EF5-A564-4E49-A077-991959DD222A}"/>
    <cellStyle name="Normal 8 4 5 2" xfId="2532" xr:uid="{B2AAA861-265D-497C-89A3-FFF6A3EEB0CB}"/>
    <cellStyle name="Normal 8 4 6" xfId="1388" xr:uid="{ED50A023-CD9E-4DC1-A141-DFFEC952C26A}"/>
    <cellStyle name="Normal 8 4 6 2" xfId="2533" xr:uid="{B3C67FB4-1857-4F0C-AE0A-3AD982403351}"/>
    <cellStyle name="Normal 8 4 7" xfId="1389" xr:uid="{84A905C8-640A-4640-8FE0-4F189F6898A6}"/>
    <cellStyle name="Normal 8 4 7 2" xfId="2534" xr:uid="{8568980B-C2D7-4C6A-B043-BA6092B3D4D3}"/>
    <cellStyle name="Normal 8 4 8" xfId="1390" xr:uid="{53FDFEDD-0441-495C-845C-9F790B12C953}"/>
    <cellStyle name="Normal 8 4 8 2" xfId="2535" xr:uid="{8511BEFB-8298-4672-8B00-6B75826D3B00}"/>
    <cellStyle name="Normal 8 4 9" xfId="2528" xr:uid="{DF1275C6-CFA2-4E95-AD5D-34361EE1374A}"/>
    <cellStyle name="Normal 8 5" xfId="1391" xr:uid="{76FAB82F-B206-4AC6-B30D-C1C6DF41AD8C}"/>
    <cellStyle name="Normal 8 5 2" xfId="1392" xr:uid="{68D56A50-4671-4BFB-A5FE-0BCD037AFA63}"/>
    <cellStyle name="Normal 8 5 2 2" xfId="2537" xr:uid="{51C6763B-E4FC-4233-985B-51FAB302D7C7}"/>
    <cellStyle name="Normal 8 5 3" xfId="1393" xr:uid="{E65742D1-E4D7-4E27-83CD-2A9FEAF7F447}"/>
    <cellStyle name="Normal 8 5 3 2" xfId="2538" xr:uid="{CC527C7A-C4AF-4D27-A71D-6A364BE9A0CC}"/>
    <cellStyle name="Normal 8 5 4" xfId="1394" xr:uid="{AA0944C6-9E95-4D96-8138-156F0FD5CAEC}"/>
    <cellStyle name="Normal 8 5 4 2" xfId="2539" xr:uid="{1841B73C-3D8B-4F9E-815F-8A5A0693A37A}"/>
    <cellStyle name="Normal 8 5 5" xfId="1395" xr:uid="{69ADDB4E-55FB-4698-81A1-6AD0F9DA9540}"/>
    <cellStyle name="Normal 8 5 5 2" xfId="2540" xr:uid="{DF7A4871-6C4B-4A95-8FC4-124BB0C277D7}"/>
    <cellStyle name="Normal 8 5 6" xfId="1396" xr:uid="{163C988B-3896-4922-8FAE-DDE8DA7D42B3}"/>
    <cellStyle name="Normal 8 5 6 2" xfId="2541" xr:uid="{96664049-B588-4BEF-9DF0-D73608F07FC1}"/>
    <cellStyle name="Normal 8 5 7" xfId="1397" xr:uid="{ECC9BEB9-9DB2-4374-8196-EC76ABF83C53}"/>
    <cellStyle name="Normal 8 5 7 2" xfId="2542" xr:uid="{5D7BC1BF-EE12-4D87-8702-AEC18DA146BB}"/>
    <cellStyle name="Normal 8 5 8" xfId="1398" xr:uid="{E05D8CC8-74AE-4083-93C4-B119A8D5A445}"/>
    <cellStyle name="Normal 8 5 8 2" xfId="2543" xr:uid="{CF32E9BF-187A-4927-ABE4-40DBEC1111AF}"/>
    <cellStyle name="Normal 8 5 9" xfId="2536" xr:uid="{9FE10FD6-5D4A-41B7-ACC1-0B7F5EA112F5}"/>
    <cellStyle name="Normal 8 6" xfId="1399" xr:uid="{CF95E7C7-6A9B-4C84-BFA9-FF9FA2EE88FA}"/>
    <cellStyle name="Normal 8 6 2" xfId="2544" xr:uid="{73630C16-4123-4D67-9000-5075C056D8C8}"/>
    <cellStyle name="Normal 8 7" xfId="1400" xr:uid="{4CF1E780-C2AD-4812-9A0A-2F11E3BD931C}"/>
    <cellStyle name="Normal 8 7 2" xfId="2545" xr:uid="{D26B5763-24BB-4EB1-A04F-8133452FECED}"/>
    <cellStyle name="Normal 8 8" xfId="1401" xr:uid="{0E687556-8223-42D9-9D63-902F573BAF7C}"/>
    <cellStyle name="Normal 8 8 2" xfId="2546" xr:uid="{5F020618-A4F0-490D-A63C-294EA54B1815}"/>
    <cellStyle name="Normal 8 9" xfId="1402" xr:uid="{FF370478-8493-4823-BCE5-AC124CF04181}"/>
    <cellStyle name="Normal 8 9 2" xfId="2547" xr:uid="{C62F0314-7ED0-4B7E-BC64-43164AEF7E44}"/>
    <cellStyle name="Normal 9" xfId="134" xr:uid="{65958CF0-C0CB-4B38-BEA3-A7A702D9BD71}"/>
    <cellStyle name="Normal 9 10" xfId="1403" xr:uid="{FF8658C5-1512-40D9-9F23-112BEC11E89B}"/>
    <cellStyle name="Normal 9 2" xfId="1404" xr:uid="{FC332B22-075A-4DD0-BCFD-6A13BCA2191A}"/>
    <cellStyle name="Normal 9 2 2" xfId="2549" xr:uid="{4CEACC19-7A69-45BD-A235-E6EA8277F600}"/>
    <cellStyle name="Normal 9 3" xfId="1405" xr:uid="{106C2F05-8067-4A06-A109-C87FC587247E}"/>
    <cellStyle name="Normal 9 3 2" xfId="2550" xr:uid="{81D150D2-EDFC-473A-874E-D128D7F6B43F}"/>
    <cellStyle name="Normal 9 4" xfId="1406" xr:uid="{C9C30A84-A64E-4FA5-B7BA-D71AA03026EE}"/>
    <cellStyle name="Normal 9 4 2" xfId="2551" xr:uid="{71C66B11-CA4B-46C2-BDE5-846C5248882C}"/>
    <cellStyle name="Normal 9 5" xfId="1407" xr:uid="{3CB4E3A3-7CC8-44C0-B8A1-83DBEA7BEB55}"/>
    <cellStyle name="Normal 9 5 2" xfId="2552" xr:uid="{4D9607C7-156E-4761-9236-C4AA841585D6}"/>
    <cellStyle name="Normal 9 6" xfId="1408" xr:uid="{51882337-75A0-4EFA-A12C-FF8986C27FA5}"/>
    <cellStyle name="Normal 9 6 2" xfId="2553" xr:uid="{D1154B59-EFB7-4C79-8826-23D86B3808AF}"/>
    <cellStyle name="Normal 9 7" xfId="1409" xr:uid="{CB18B90D-B3AB-4107-9CF9-0AE7F1D9A720}"/>
    <cellStyle name="Normal 9 7 2" xfId="2554" xr:uid="{2A589033-E8B1-402D-8A2A-FAAE3942A569}"/>
    <cellStyle name="Normal 9 8" xfId="1410" xr:uid="{92FE9EF4-259D-4B66-A5B9-8C55F186B971}"/>
    <cellStyle name="Normal 9 8 2" xfId="2555" xr:uid="{4F0DDBA5-7200-46EA-9969-B04C37884970}"/>
    <cellStyle name="Normal 9 9" xfId="2548" xr:uid="{B8F9DFF3-94E7-463D-88B8-5D37FCF60B2D}"/>
    <cellStyle name="Normal GHG Numbers (0.00)" xfId="200" xr:uid="{0DDA43C9-9FD8-4F6B-B603-2D96F08EAE3B}"/>
    <cellStyle name="Normal GHG Textfiels Bold" xfId="201" xr:uid="{A8FADF25-198E-495A-ABCB-8522D79BCBB9}"/>
    <cellStyle name="Normal GHG-Shade" xfId="202" xr:uid="{E358080E-C4AF-4809-B684-8938297F6035}"/>
    <cellStyle name="Normal GHG-Shade 2" xfId="1411" xr:uid="{95B6A77E-D74D-453B-85F3-3D8E74168102}"/>
    <cellStyle name="Normal GHG-Shade 2 2" xfId="2557" xr:uid="{239D112B-D409-4993-93D9-5B96EB697423}"/>
    <cellStyle name="Normal GHG-Shade 3" xfId="2556" xr:uid="{451769C1-FE30-4DE7-81B9-2C0FFACD53D3}"/>
    <cellStyle name="Normale_B2020" xfId="135" xr:uid="{44CB570B-8542-429D-B8E7-386DF48D8C5D}"/>
    <cellStyle name="Note 2" xfId="136" xr:uid="{3F442B82-AC9E-49AA-9574-82146145889D}"/>
    <cellStyle name="Note 2 10" xfId="1413" xr:uid="{23BB3CAC-66CB-4306-85B7-FE4840053CF7}"/>
    <cellStyle name="Note 2 10 2" xfId="2559" xr:uid="{CF94BF90-9805-42FF-9FD8-C475EB87D867}"/>
    <cellStyle name="Note 2 11" xfId="1414" xr:uid="{4748AF4E-AD2D-407D-81D9-806459A0646A}"/>
    <cellStyle name="Note 2 11 2" xfId="2560" xr:uid="{5EB67A7C-D29A-4A44-8986-91B1068E0E72}"/>
    <cellStyle name="Note 2 12" xfId="1415" xr:uid="{EB89B5E4-ACDA-4540-8798-196024CBF4A2}"/>
    <cellStyle name="Note 2 12 2" xfId="2561" xr:uid="{9A9352D0-42F8-468F-BCA4-9406B640EFAD}"/>
    <cellStyle name="Note 2 13" xfId="1416" xr:uid="{A8AD1D01-68ED-404C-8CF9-8582E367A70B}"/>
    <cellStyle name="Note 2 13 2" xfId="2562" xr:uid="{1C3FE509-9C8E-4BE8-B47F-76A0A58B24AC}"/>
    <cellStyle name="Note 2 14" xfId="1417" xr:uid="{BE62A91D-71E1-42F7-B67A-EB9905EC9EF3}"/>
    <cellStyle name="Note 2 14 2" xfId="2563" xr:uid="{1F6699C6-6E87-4F68-AB5F-2C9B0C0C71B8}"/>
    <cellStyle name="Note 2 15" xfId="1418" xr:uid="{D23F17E6-41C5-462B-B186-699F391171C7}"/>
    <cellStyle name="Note 2 15 2" xfId="2564" xr:uid="{661DD53B-8167-4D98-BCE3-A9A8420EC602}"/>
    <cellStyle name="Note 2 16" xfId="2558" xr:uid="{D28C0C61-1467-4123-AD28-CF97E2800D01}"/>
    <cellStyle name="Note 2 17" xfId="1412" xr:uid="{6DA0BC4B-814B-42EA-A215-5D32096B1AE0}"/>
    <cellStyle name="Note 2 2" xfId="1419" xr:uid="{0596F62A-DAFF-466B-8B11-84B7D365172B}"/>
    <cellStyle name="Note 2 2 2" xfId="1420" xr:uid="{5CF176AC-836F-4CCB-B9BD-A317BF84438D}"/>
    <cellStyle name="Note 2 2 2 2" xfId="2565" xr:uid="{E38F3E2D-D991-4D0A-966C-83CD50D8B977}"/>
    <cellStyle name="Note 2 3" xfId="1421" xr:uid="{C4ECF820-A37A-479F-8AD7-9182BBB57AAC}"/>
    <cellStyle name="Note 2 3 2" xfId="2566" xr:uid="{93E41323-5DC7-4C6C-AC8E-AB8CAE395DA9}"/>
    <cellStyle name="Note 2 4" xfId="1422" xr:uid="{FA3FB9A3-51EE-406F-B0F8-8B5203F2426E}"/>
    <cellStyle name="Note 2 4 2" xfId="2567" xr:uid="{CE28D3AA-3E1F-421A-8B06-AE8BE9797999}"/>
    <cellStyle name="Note 2 5" xfId="1423" xr:uid="{AB1676C6-2C4C-4C66-8207-68977D93B703}"/>
    <cellStyle name="Note 2 5 2" xfId="2568" xr:uid="{CBB019C2-0725-4EFD-B3B6-67A0617FD4DF}"/>
    <cellStyle name="Note 2 6" xfId="1424" xr:uid="{541D9945-62AD-4A99-B6F8-B5BAF6D0FDE0}"/>
    <cellStyle name="Note 2 6 2" xfId="2569" xr:uid="{74433287-29CA-4C71-A62D-67A65D5A5003}"/>
    <cellStyle name="Note 2 7" xfId="1425" xr:uid="{0F7204E1-80D0-4369-B97A-49BBE99FBDAB}"/>
    <cellStyle name="Note 2 7 2" xfId="2570" xr:uid="{DAB75E27-9499-48BF-B55C-99D972512942}"/>
    <cellStyle name="Note 2 8" xfId="1426" xr:uid="{3BFE1FE5-F98B-4C82-A725-42F0F70112C8}"/>
    <cellStyle name="Note 2 8 2" xfId="2571" xr:uid="{CCA9AB7C-1B4D-423C-B762-1F168C1F4CFC}"/>
    <cellStyle name="Note 2 9" xfId="1427" xr:uid="{E0C18C31-EFBA-4F19-8ECB-A93F9F069E4E}"/>
    <cellStyle name="Note 2 9 2" xfId="2572" xr:uid="{225E508B-A712-4BF9-A904-B305656E4AD1}"/>
    <cellStyle name="Note 3" xfId="137" xr:uid="{9C9B9CB4-FED6-4FE9-8963-D4B3A38336DE}"/>
    <cellStyle name="Note 3 2" xfId="138" xr:uid="{9C95B0E9-7077-4CD0-9784-AE65A095D22F}"/>
    <cellStyle name="Note 3 2 2" xfId="2573" xr:uid="{F6BF69A0-AF74-4F3B-B61A-40E23828CD3E}"/>
    <cellStyle name="Note 3 2 3" xfId="1429" xr:uid="{4B1918E6-437B-4AC9-B586-C5A875027287}"/>
    <cellStyle name="Note 3 3" xfId="1428" xr:uid="{9C4DCDAC-A597-406E-A4D2-B1B1F5ACFAB5}"/>
    <cellStyle name="Note 4" xfId="1430" xr:uid="{AD05F09D-6A72-40F4-AC0B-ED0035D27552}"/>
    <cellStyle name="Note 4 2" xfId="2574" xr:uid="{8BDDAD85-55D8-48DD-ACFC-29B19EB68A43}"/>
    <cellStyle name="Note 5" xfId="1431" xr:uid="{BEC54514-6376-4BD9-8986-38E424659EE0}"/>
    <cellStyle name="Note 5 2" xfId="2575" xr:uid="{C93B9B59-5574-4211-B728-2D913CDE3F96}"/>
    <cellStyle name="Note 6" xfId="1432" xr:uid="{943F6E5D-702D-44F2-B644-D5C280D4C3C9}"/>
    <cellStyle name="Note 6 2" xfId="2576" xr:uid="{55AFA4FF-8C13-49D8-B2A9-D8CD642F9CBC}"/>
    <cellStyle name="Note 7" xfId="1433" xr:uid="{1682556D-F6D1-4D39-9CCA-8F4811DA9B62}"/>
    <cellStyle name="Note 7 2" xfId="2577" xr:uid="{41DBB0CF-D24C-4B79-964F-989A43F9ECBE}"/>
    <cellStyle name="Note 8" xfId="1434" xr:uid="{8648E6F6-A81B-4CFA-9588-59449D4605E3}"/>
    <cellStyle name="Note 8 2" xfId="2578" xr:uid="{0061F8A4-AAB8-4984-8E80-C243F3095621}"/>
    <cellStyle name="num_note" xfId="1435" xr:uid="{FC7E2F38-EEA9-43AD-BFCC-7AC77594AC7B}"/>
    <cellStyle name="Nuovo" xfId="1436" xr:uid="{529E17A4-B842-4B31-91DA-3A283D98CE09}"/>
    <cellStyle name="Nuovo 2" xfId="2579" xr:uid="{EF9FD01A-D951-4B97-AE70-07CA98156909}"/>
    <cellStyle name="Output 2" xfId="139" xr:uid="{F8843890-82B9-4C56-906F-E0D828697C5D}"/>
    <cellStyle name="Output 2 10" xfId="1437" xr:uid="{3C38FB14-CDBA-4826-995C-E3FCE5FCC573}"/>
    <cellStyle name="Output 2 2" xfId="1438" xr:uid="{E68FA19D-0096-49AF-AF6E-6BED88690C09}"/>
    <cellStyle name="Output 2 3" xfId="1439" xr:uid="{EFF942E6-2DDC-4769-B34F-9B45AEF997F7}"/>
    <cellStyle name="Output 2 4" xfId="1440" xr:uid="{5FFF610D-A229-4B3E-8735-6DE6FBF241FA}"/>
    <cellStyle name="Output 2 5" xfId="1441" xr:uid="{61B396BD-49B5-4EFA-A77A-07469B064DDE}"/>
    <cellStyle name="Output 2 6" xfId="1442" xr:uid="{66AE9397-164C-4CD3-B3CB-36A0EFF3ED3C}"/>
    <cellStyle name="Output 2 7" xfId="1443" xr:uid="{078B01C9-2055-499C-A53E-FE833512207E}"/>
    <cellStyle name="Output 2 8" xfId="1444" xr:uid="{147AF602-F208-48A5-AFF5-2C4DD9312D13}"/>
    <cellStyle name="Output 2 9" xfId="1445" xr:uid="{A738EB80-6C10-4402-BFEE-3CFF4C7C5524}"/>
    <cellStyle name="Output 3" xfId="140" xr:uid="{1B30EE52-4492-4BA7-BD82-2A5FD08920EA}"/>
    <cellStyle name="Output 3 2" xfId="1446" xr:uid="{29C8AC5C-7104-42F3-AAD1-92002F4F7C38}"/>
    <cellStyle name="Percent" xfId="6" builtinId="5"/>
    <cellStyle name="Percent 10" xfId="1447" xr:uid="{D2EF0940-4F63-45C9-A2C6-38AE3AE19A2D}"/>
    <cellStyle name="Percent 10 2" xfId="1448" xr:uid="{C023D83A-256E-479C-AB60-2FEF482C737C}"/>
    <cellStyle name="Percent 10 2 2" xfId="2581" xr:uid="{39B79C69-41E2-49D8-B862-D6F4D04B3A58}"/>
    <cellStyle name="Percent 10 3" xfId="1449" xr:uid="{B27C7DB9-7A10-459B-9F88-6B88F5B2DE07}"/>
    <cellStyle name="Percent 10 3 2" xfId="2582" xr:uid="{DF52DD4B-2255-40A0-983C-850A24F4CECF}"/>
    <cellStyle name="Percent 10 4" xfId="1450" xr:uid="{F2E0715C-A3C0-4418-9E92-BD024E385F63}"/>
    <cellStyle name="Percent 10 4 2" xfId="2583" xr:uid="{5ED1F568-D352-4CF5-8E37-6B4EC0D5C05C}"/>
    <cellStyle name="Percent 10 5" xfId="1451" xr:uid="{6B4EFDE3-9EC5-42DA-AF7E-E964C41D7D5E}"/>
    <cellStyle name="Percent 10 5 2" xfId="2584" xr:uid="{DA10C9E2-A4D0-46E5-8BE5-11368FA3E06A}"/>
    <cellStyle name="Percent 10 6" xfId="1452" xr:uid="{257C7D7A-C95A-4F54-A483-F1EDD1618770}"/>
    <cellStyle name="Percent 10 6 2" xfId="2585" xr:uid="{9502A830-F70C-456E-8890-4866742C06F8}"/>
    <cellStyle name="Percent 10 7" xfId="1453" xr:uid="{1F12E2FA-69EC-40B3-9ACC-37AC6AF5E8BE}"/>
    <cellStyle name="Percent 10 7 2" xfId="2586" xr:uid="{E0E3AEC7-5C7B-4F71-B8AA-B7CD373337A1}"/>
    <cellStyle name="Percent 10 8" xfId="1454" xr:uid="{A2663D32-23B2-456D-B23E-905B8F328B35}"/>
    <cellStyle name="Percent 10 8 2" xfId="2587" xr:uid="{D2759CB7-292F-40F3-A193-3AA41B502A99}"/>
    <cellStyle name="Percent 10 9" xfId="2580" xr:uid="{646651C0-3CEF-41AD-89BF-E15234CB0B42}"/>
    <cellStyle name="Percent 11" xfId="1455" xr:uid="{8ADA1239-6A84-4352-8A89-922C89E90CE7}"/>
    <cellStyle name="Percent 11 2" xfId="1456" xr:uid="{0EFF933B-0F56-4185-AE7E-B5A3E802B95F}"/>
    <cellStyle name="Percent 11 2 2" xfId="2589" xr:uid="{F112E4B1-0844-430C-AD5D-B625E5891097}"/>
    <cellStyle name="Percent 11 3" xfId="1457" xr:uid="{F525C36D-A9F9-431D-9351-DE440DC19B35}"/>
    <cellStyle name="Percent 11 3 2" xfId="2590" xr:uid="{70B280CD-08E2-455A-892B-C676596FBBAA}"/>
    <cellStyle name="Percent 11 4" xfId="1458" xr:uid="{E24E9FB5-81AF-40BF-A7DB-120B06B01F9B}"/>
    <cellStyle name="Percent 11 4 2" xfId="2591" xr:uid="{82753025-7E98-4326-98E9-AA4E15D5EB2B}"/>
    <cellStyle name="Percent 11 5" xfId="1459" xr:uid="{8141E45E-8B64-4BAA-A811-4478BAC30321}"/>
    <cellStyle name="Percent 11 5 2" xfId="2592" xr:uid="{BC7D6686-B1A2-4553-985E-A55584ED5263}"/>
    <cellStyle name="Percent 11 6" xfId="1460" xr:uid="{6A914037-696D-496C-B72D-DA78D1F5E570}"/>
    <cellStyle name="Percent 11 6 2" xfId="2593" xr:uid="{E2DF31D3-1FA6-413C-A358-02DDD8346EBE}"/>
    <cellStyle name="Percent 11 7" xfId="1461" xr:uid="{DA22736B-C93B-4AF1-82F8-B8F76DC69F18}"/>
    <cellStyle name="Percent 11 7 2" xfId="2594" xr:uid="{17B2676D-7AB2-46DC-8D73-35A774CEBAE9}"/>
    <cellStyle name="Percent 11 8" xfId="1462" xr:uid="{D43BED74-85AF-4C8C-8151-19521381A23F}"/>
    <cellStyle name="Percent 11 8 2" xfId="2595" xr:uid="{C366D68E-45EE-4880-9830-2D259F438B56}"/>
    <cellStyle name="Percent 11 9" xfId="2588" xr:uid="{A0BBA5B0-32BA-411E-8B51-21E3C94FBA9C}"/>
    <cellStyle name="Percent 12" xfId="1463" xr:uid="{AA3D07CC-2251-43E0-9529-89C8ACDA4F85}"/>
    <cellStyle name="Percent 12 2" xfId="1464" xr:uid="{1CDCACF7-01F7-4882-8E57-DDE81CDC2FA5}"/>
    <cellStyle name="Percent 12 2 2" xfId="2597" xr:uid="{442FF42D-2514-4E7C-BBFE-237EA46D7C13}"/>
    <cellStyle name="Percent 12 3" xfId="1465" xr:uid="{DC5AE75B-1073-4DE5-B0F2-F2FEAC77E09C}"/>
    <cellStyle name="Percent 12 3 2" xfId="2598" xr:uid="{4F8B4200-E3A0-4CB4-818E-EDDBEA65CBD6}"/>
    <cellStyle name="Percent 12 4" xfId="1466" xr:uid="{AF455574-06DE-4B4E-8F6A-A2C48942AE4A}"/>
    <cellStyle name="Percent 12 4 2" xfId="2599" xr:uid="{4ADB0F15-B1B8-40AE-8B06-C37A79327057}"/>
    <cellStyle name="Percent 12 5" xfId="1467" xr:uid="{2BC99695-3634-4E90-815D-E89D6CD2C2B6}"/>
    <cellStyle name="Percent 12 5 2" xfId="2600" xr:uid="{AE35F803-F510-4AC8-BA20-2FF6C5623F64}"/>
    <cellStyle name="Percent 12 6" xfId="1468" xr:uid="{150C2A73-6FDC-42B5-AD26-7D78DC2296EB}"/>
    <cellStyle name="Percent 12 6 2" xfId="2601" xr:uid="{2B807C3C-20B2-4D6C-9473-949A824E77FB}"/>
    <cellStyle name="Percent 12 7" xfId="1469" xr:uid="{49000EBC-64FD-42E7-BC53-75CDDAB86A87}"/>
    <cellStyle name="Percent 12 7 2" xfId="2602" xr:uid="{52F632EC-7AB5-45AD-9189-61E8CD311E54}"/>
    <cellStyle name="Percent 12 8" xfId="1470" xr:uid="{8C343AFF-EC66-4299-B169-00C97C7FB22B}"/>
    <cellStyle name="Percent 12 8 2" xfId="2603" xr:uid="{5A4F8BB0-37D3-450A-89BB-D03869A369A6}"/>
    <cellStyle name="Percent 12 9" xfId="2596" xr:uid="{5A1CF098-2572-49EF-B24B-0CD2026C7AC2}"/>
    <cellStyle name="Percent 13" xfId="1471" xr:uid="{17E7232A-AE04-4050-91E5-347733BAD836}"/>
    <cellStyle name="Percent 13 2" xfId="1472" xr:uid="{54513606-97CE-466D-8F20-9D5536FA1891}"/>
    <cellStyle name="Percent 13 2 2" xfId="2605" xr:uid="{54D76E10-1F9D-4CF9-A3E9-FA74CF15010D}"/>
    <cellStyle name="Percent 13 3" xfId="1473" xr:uid="{1EBD20EB-67C2-4FEF-8FB5-0714D4A28CFF}"/>
    <cellStyle name="Percent 13 3 2" xfId="2606" xr:uid="{4C74EA56-7CAC-4D22-9773-D621995C79B0}"/>
    <cellStyle name="Percent 13 4" xfId="1474" xr:uid="{9C3B28C7-5E7F-478E-9C93-F2101E650CDE}"/>
    <cellStyle name="Percent 13 4 2" xfId="2607" xr:uid="{043F36C2-1FAA-483B-95B9-68DC3F2805E2}"/>
    <cellStyle name="Percent 13 5" xfId="1475" xr:uid="{A6965C08-2667-43FB-B595-39C46032727D}"/>
    <cellStyle name="Percent 13 5 2" xfId="2608" xr:uid="{44716EA9-43E6-40FA-A5F9-FD0E5B843C7F}"/>
    <cellStyle name="Percent 13 6" xfId="1476" xr:uid="{6B248C44-FC09-4103-BFCE-AE4A496A76CB}"/>
    <cellStyle name="Percent 13 6 2" xfId="2609" xr:uid="{3F7FA9DE-8238-48A0-920F-866A034A1F1F}"/>
    <cellStyle name="Percent 13 7" xfId="1477" xr:uid="{C7358C7C-F33D-41C1-BC69-B3C10644C764}"/>
    <cellStyle name="Percent 13 7 2" xfId="2610" xr:uid="{8ABF54A5-3CDA-4A2B-9CD7-89A23A5E3EB2}"/>
    <cellStyle name="Percent 13 8" xfId="1478" xr:uid="{1A5EC41A-CC9D-4935-8B5E-0BAFF3870E36}"/>
    <cellStyle name="Percent 13 8 2" xfId="2611" xr:uid="{A57675F9-5959-47E8-9C67-5E09BB091941}"/>
    <cellStyle name="Percent 13 9" xfId="2604" xr:uid="{530987F3-9FF7-4691-BE61-9BCE1480B9A8}"/>
    <cellStyle name="Percent 14" xfId="1479" xr:uid="{B07CE5CC-2F9F-496E-9226-03D73B026172}"/>
    <cellStyle name="Percent 14 2" xfId="1480" xr:uid="{C98D1A14-3239-411F-9C3E-7442546FC82A}"/>
    <cellStyle name="Percent 14 2 2" xfId="2613" xr:uid="{E36F5F52-8C54-4825-AF6E-62330B661E0C}"/>
    <cellStyle name="Percent 14 3" xfId="1481" xr:uid="{EA70C823-EB98-4D71-9E08-E879959B1E2C}"/>
    <cellStyle name="Percent 14 3 2" xfId="2614" xr:uid="{4EAC46C6-6976-4E08-8505-6ECC9ABB6199}"/>
    <cellStyle name="Percent 14 4" xfId="1482" xr:uid="{AF717898-5556-4212-BFB0-EBF56E15DE18}"/>
    <cellStyle name="Percent 14 4 2" xfId="2615" xr:uid="{F4AF0182-50BC-45DF-912C-60F06B051679}"/>
    <cellStyle name="Percent 14 5" xfId="1483" xr:uid="{FE98C69C-EE27-4125-8715-0F5D158527D1}"/>
    <cellStyle name="Percent 14 5 2" xfId="2616" xr:uid="{D388DBDA-1C3A-46FF-BB7A-0E0CD8BDE6D7}"/>
    <cellStyle name="Percent 14 6" xfId="1484" xr:uid="{8E35F703-71E0-4B89-9FF7-79563AD58DD5}"/>
    <cellStyle name="Percent 14 6 2" xfId="2617" xr:uid="{D80684B1-C756-414F-97E6-86DB2332E14C}"/>
    <cellStyle name="Percent 14 7" xfId="1485" xr:uid="{DCA1F2F5-BE8C-4593-B209-4FF5D2BFEF46}"/>
    <cellStyle name="Percent 14 7 2" xfId="2618" xr:uid="{384D0FBF-9FF0-4201-834E-E89975CF6046}"/>
    <cellStyle name="Percent 14 8" xfId="1486" xr:uid="{45F902A4-2471-41F5-8B58-A17750CE5966}"/>
    <cellStyle name="Percent 14 8 2" xfId="2619" xr:uid="{E1D7A916-4E91-439E-B949-AF6A151B6B49}"/>
    <cellStyle name="Percent 14 9" xfId="2612" xr:uid="{1EA717F8-8F8C-4848-B2AB-E459847F8789}"/>
    <cellStyle name="Percent 15" xfId="1487" xr:uid="{68AE1B6C-6E0A-4624-9581-225477EF8460}"/>
    <cellStyle name="Percent 15 10" xfId="1488" xr:uid="{9775932A-9AC3-4C8B-9401-7F73B63C91CE}"/>
    <cellStyle name="Percent 15 10 2" xfId="2620" xr:uid="{5BB85256-4367-47E3-AE53-04A38467918C}"/>
    <cellStyle name="Percent 15 11" xfId="1489" xr:uid="{F70315C3-7E3C-409A-B26E-D14192A3862A}"/>
    <cellStyle name="Percent 15 11 2" xfId="2621" xr:uid="{8FFD1CCD-6091-4181-A8C1-2F590D8ADD15}"/>
    <cellStyle name="Percent 15 12" xfId="1490" xr:uid="{50A5DA14-8CC7-4073-98ED-13B8C5F49240}"/>
    <cellStyle name="Percent 15 12 2" xfId="2622" xr:uid="{CC4FC804-4BFF-488B-AC51-57A418967EFC}"/>
    <cellStyle name="Percent 15 13" xfId="1491" xr:uid="{C6EACEEA-ACBB-448C-8ADD-907F438D666D}"/>
    <cellStyle name="Percent 15 13 2" xfId="2623" xr:uid="{F8BA09E3-D127-4167-8240-36275AB529FD}"/>
    <cellStyle name="Percent 15 14" xfId="1492" xr:uid="{8C8FB241-5008-4417-9DCE-0380972C5795}"/>
    <cellStyle name="Percent 15 14 2" xfId="2624" xr:uid="{85FC8D83-1ED0-44D9-8209-DEDC1773B01F}"/>
    <cellStyle name="Percent 15 2" xfId="1493" xr:uid="{26AB8183-29D4-4010-812D-5AD0E53E8FA3}"/>
    <cellStyle name="Percent 15 2 2" xfId="1494" xr:uid="{0E77ED62-DDE3-4B76-96C6-02D63099FB05}"/>
    <cellStyle name="Percent 15 2 3" xfId="1495" xr:uid="{D24579F4-D237-4B0A-888E-EF4A7074C620}"/>
    <cellStyle name="Percent 15 2 4" xfId="1496" xr:uid="{5E3F5CBF-32B1-491A-BAC6-5F40303F68F8}"/>
    <cellStyle name="Percent 15 2 5" xfId="1497" xr:uid="{A88F92A9-8E40-41C8-A97C-197D54A14F32}"/>
    <cellStyle name="Percent 15 2 6" xfId="1498" xr:uid="{6B1C445B-2665-4814-A9BA-0FCDE86B669C}"/>
    <cellStyle name="Percent 15 2 7" xfId="1499" xr:uid="{3A5B11FF-EEA4-4407-88D3-0AF51DBA4DB3}"/>
    <cellStyle name="Percent 15 2 8" xfId="2625" xr:uid="{FC72DCCF-ED5E-40CE-9DC8-B2E309E805DA}"/>
    <cellStyle name="Percent 15 3" xfId="1500" xr:uid="{1B4700E8-37F5-49B5-8355-E377178C7414}"/>
    <cellStyle name="Percent 15 4" xfId="1501" xr:uid="{2425E904-3B1F-45AF-AF3A-EE5CC2C0D7C5}"/>
    <cellStyle name="Percent 15 4 2" xfId="2626" xr:uid="{7CF7AD2B-AD25-4A22-9CAE-BC2D9B0AB5F1}"/>
    <cellStyle name="Percent 15 5" xfId="1502" xr:uid="{7F4E5ADD-789E-4629-9B7D-2A162DAAC4E2}"/>
    <cellStyle name="Percent 15 6" xfId="1503" xr:uid="{E464C6DD-2577-4EC8-B380-F8D3BA8B408A}"/>
    <cellStyle name="Percent 15 7" xfId="1504" xr:uid="{C2F4B711-D614-4C70-8D9B-4C87A9558B5C}"/>
    <cellStyle name="Percent 15 8" xfId="1505" xr:uid="{B9D47093-C4C7-469B-B02E-9938DF0DD60A}"/>
    <cellStyle name="Percent 15 9" xfId="1506" xr:uid="{40494336-BAEC-4643-8935-298430274C17}"/>
    <cellStyle name="Percent 15 9 2" xfId="2627" xr:uid="{84157E8D-2C94-4732-AFBE-237B6A5F8BE4}"/>
    <cellStyle name="Percent 16 2" xfId="1507" xr:uid="{DA7D1001-4E17-4C7E-A8E0-0B94326D3C02}"/>
    <cellStyle name="Percent 16 3" xfId="1508" xr:uid="{3842BFE2-18BE-46B8-AC53-52737AFE7D67}"/>
    <cellStyle name="Percent 16 3 10" xfId="1509" xr:uid="{FC5F7304-0F5F-4B52-86C0-ADE209E9387E}"/>
    <cellStyle name="Percent 16 3 10 2" xfId="2629" xr:uid="{5241390C-DBCD-4471-AB5E-25C34CD39F19}"/>
    <cellStyle name="Percent 16 3 11" xfId="1510" xr:uid="{AC6D04D2-FD4A-40F9-BA75-F744C64E8CB2}"/>
    <cellStyle name="Percent 16 3 11 2" xfId="2630" xr:uid="{C0F4491B-7609-44D2-BC04-4AC2841F93F3}"/>
    <cellStyle name="Percent 16 3 12" xfId="1511" xr:uid="{1B46719D-9492-42DC-9BE0-79AD83CCE2D8}"/>
    <cellStyle name="Percent 16 3 12 2" xfId="2631" xr:uid="{D24CD504-39A5-4CAA-AEB2-E722EC070CCC}"/>
    <cellStyle name="Percent 16 3 13" xfId="1512" xr:uid="{95CDB9E1-12A0-410F-A8B6-C5DDB29FFE28}"/>
    <cellStyle name="Percent 16 3 13 2" xfId="2632" xr:uid="{9FCB841F-0750-43EC-91B0-27D123755EF2}"/>
    <cellStyle name="Percent 16 3 14" xfId="1513" xr:uid="{02D22E43-81AB-41C0-BA7E-A5CC529C0A27}"/>
    <cellStyle name="Percent 16 3 14 2" xfId="2633" xr:uid="{EB94962B-4991-4456-9836-424EB2619C11}"/>
    <cellStyle name="Percent 16 3 15" xfId="1514" xr:uid="{0B1B92E1-E1D2-4830-87A3-B5D07A872C58}"/>
    <cellStyle name="Percent 16 3 15 2" xfId="2634" xr:uid="{69A134A2-E01E-4E65-9115-EF6412C5B6D1}"/>
    <cellStyle name="Percent 16 3 16" xfId="1515" xr:uid="{CC65CE2B-A19E-4AB0-BBEB-343FC682B59C}"/>
    <cellStyle name="Percent 16 3 16 2" xfId="2635" xr:uid="{428263FE-D6DB-442B-ADE6-8DB6889A8322}"/>
    <cellStyle name="Percent 16 3 17" xfId="1516" xr:uid="{D5590670-B27A-4C16-A78E-F0AE4D895327}"/>
    <cellStyle name="Percent 16 3 17 2" xfId="2636" xr:uid="{9A9D45F4-17DF-415F-85BF-D698418FAE23}"/>
    <cellStyle name="Percent 16 3 18" xfId="2628" xr:uid="{93385F89-A47B-45A5-A148-75E5C0941BDD}"/>
    <cellStyle name="Percent 16 3 2" xfId="1517" xr:uid="{A3992196-B585-4CE2-A096-C69FD6C7F9F6}"/>
    <cellStyle name="Percent 16 3 2 2" xfId="2637" xr:uid="{8E4B25D3-5794-423C-93FA-1491ADB4D11C}"/>
    <cellStyle name="Percent 16 3 3" xfId="1518" xr:uid="{8C5F3D7C-AD42-4C67-9EC0-12FA9C137A48}"/>
    <cellStyle name="Percent 16 3 3 2" xfId="2638" xr:uid="{B978577B-E98E-486E-ABCB-BF66C5BE051A}"/>
    <cellStyle name="Percent 16 3 4" xfId="1519" xr:uid="{06698897-D6A2-48DE-903B-218BE2388853}"/>
    <cellStyle name="Percent 16 3 4 2" xfId="2639" xr:uid="{F4997226-3E77-42A7-AF58-3ECA12AF2FBB}"/>
    <cellStyle name="Percent 16 3 5" xfId="1520" xr:uid="{F1EC1326-2222-4FCB-937F-4790DDB8B84A}"/>
    <cellStyle name="Percent 16 3 5 2" xfId="2640" xr:uid="{0ED90FE2-5368-4860-A281-040D62E45155}"/>
    <cellStyle name="Percent 16 3 6" xfId="1521" xr:uid="{AF7A6F95-D529-4600-B47B-C0709E525DAC}"/>
    <cellStyle name="Percent 16 3 6 2" xfId="2641" xr:uid="{9F9CD59C-88AB-45D7-95DF-CF31E256CFCA}"/>
    <cellStyle name="Percent 16 3 7" xfId="1522" xr:uid="{44CE159E-D1E9-4AAE-B1FE-6656231E501A}"/>
    <cellStyle name="Percent 16 3 7 2" xfId="2642" xr:uid="{750D930B-CC14-4E1E-B567-DCFA24DEE494}"/>
    <cellStyle name="Percent 16 3 8" xfId="1523" xr:uid="{979BD4B5-E0EA-4618-A377-D5C7E2F32151}"/>
    <cellStyle name="Percent 16 3 8 2" xfId="2643" xr:uid="{438EB493-6B3B-4EF9-B3BE-55791155C90D}"/>
    <cellStyle name="Percent 16 3 9" xfId="1524" xr:uid="{9984AD04-D598-49A7-98ED-CE3E0B7C5EC4}"/>
    <cellStyle name="Percent 16 3 9 2" xfId="2644" xr:uid="{77ADB89A-E6F2-4F4F-B0A7-2AADCE10A137}"/>
    <cellStyle name="Percent 16 4" xfId="1525" xr:uid="{C3E7EB18-3548-4062-AF49-623FAA92154D}"/>
    <cellStyle name="Percent 16 4 10" xfId="1526" xr:uid="{5CBD77D6-7234-4B63-9CBF-FC3BC124E738}"/>
    <cellStyle name="Percent 16 4 10 2" xfId="2646" xr:uid="{509A63BD-AE36-43AA-BE5C-8493B7C5E6E9}"/>
    <cellStyle name="Percent 16 4 11" xfId="1527" xr:uid="{872B29B0-36B9-4B6B-8C4E-D853838A5582}"/>
    <cellStyle name="Percent 16 4 11 2" xfId="2647" xr:uid="{1B0DAB32-1BE9-40DB-9EEB-981BE8F4E34E}"/>
    <cellStyle name="Percent 16 4 12" xfId="1528" xr:uid="{3CD808D7-A8E2-46F5-B615-5D7F5D15C6A0}"/>
    <cellStyle name="Percent 16 4 12 2" xfId="2648" xr:uid="{8BC25D49-AAB4-4B7A-BA4F-3EF61E4FB1EC}"/>
    <cellStyle name="Percent 16 4 13" xfId="1529" xr:uid="{55DD475E-43DB-4809-87B9-D064854DC6FB}"/>
    <cellStyle name="Percent 16 4 13 2" xfId="2649" xr:uid="{E47AEF08-89DE-471D-92B7-C83B22A1C983}"/>
    <cellStyle name="Percent 16 4 14" xfId="1530" xr:uid="{4E513485-1A1D-4C48-AEFB-5D77E53CAA16}"/>
    <cellStyle name="Percent 16 4 14 2" xfId="2650" xr:uid="{AB80BDE1-8BF9-4F2A-813F-A62DD54EDEC7}"/>
    <cellStyle name="Percent 16 4 15" xfId="1531" xr:uid="{365838B3-575E-4D65-B71B-544C660637FD}"/>
    <cellStyle name="Percent 16 4 15 2" xfId="2651" xr:uid="{BD80A900-1089-442F-98AB-62988013F3DA}"/>
    <cellStyle name="Percent 16 4 16" xfId="1532" xr:uid="{2E88C6FF-6997-4DD8-9613-CCC96438B4CE}"/>
    <cellStyle name="Percent 16 4 16 2" xfId="2652" xr:uid="{CA8690B3-7BCE-49D9-82EA-E8E2616B0249}"/>
    <cellStyle name="Percent 16 4 17" xfId="1533" xr:uid="{64B65613-3170-4932-AC95-03BC05B4DCE5}"/>
    <cellStyle name="Percent 16 4 17 2" xfId="2653" xr:uid="{CDAAAA7E-CB91-467D-BE46-F8093DEA920E}"/>
    <cellStyle name="Percent 16 4 18" xfId="2645" xr:uid="{1CD29C10-1964-4579-98F5-679C4D782632}"/>
    <cellStyle name="Percent 16 4 2" xfId="1534" xr:uid="{5D242864-A089-4667-8EF1-B4C1E4FED096}"/>
    <cellStyle name="Percent 16 4 2 2" xfId="2654" xr:uid="{B71A3630-1A17-4D2C-B842-1F5B8CCDCA74}"/>
    <cellStyle name="Percent 16 4 3" xfId="1535" xr:uid="{9C10183E-1A24-4B26-A0B1-F1B94FEDCABE}"/>
    <cellStyle name="Percent 16 4 3 2" xfId="2655" xr:uid="{EB48955F-940E-4233-B81B-60DBFCBDB2B5}"/>
    <cellStyle name="Percent 16 4 4" xfId="1536" xr:uid="{EF986A7D-8224-4603-9136-BA13ADCEBD4F}"/>
    <cellStyle name="Percent 16 4 4 2" xfId="2656" xr:uid="{A2BEF471-4D64-47B6-AF71-0D5DD565A425}"/>
    <cellStyle name="Percent 16 4 5" xfId="1537" xr:uid="{9D510436-3FBB-470F-86FC-87271AA573C4}"/>
    <cellStyle name="Percent 16 4 5 2" xfId="2657" xr:uid="{8A4D0AB0-9419-4FCE-B1BB-764552A499A3}"/>
    <cellStyle name="Percent 16 4 6" xfId="1538" xr:uid="{4A949373-DBA3-478F-9353-F7C008F479E6}"/>
    <cellStyle name="Percent 16 4 6 2" xfId="2658" xr:uid="{7AE48B17-4FE7-4EED-AB55-42546805D39F}"/>
    <cellStyle name="Percent 16 4 7" xfId="1539" xr:uid="{6E9F9BE0-5DD4-4940-9B1E-DB90AAB20F21}"/>
    <cellStyle name="Percent 16 4 7 2" xfId="2659" xr:uid="{9A313E5A-56BA-4E7E-A71A-F1CBBD3BC026}"/>
    <cellStyle name="Percent 16 4 8" xfId="1540" xr:uid="{6A44D515-FB82-4126-90EA-BC39696D8318}"/>
    <cellStyle name="Percent 16 4 8 2" xfId="2660" xr:uid="{CE63707C-3F19-4E9D-B8B7-B8CF18FA4119}"/>
    <cellStyle name="Percent 16 4 9" xfId="1541" xr:uid="{CBE5CC9C-19F3-4096-B7C6-93EB7FFC6F03}"/>
    <cellStyle name="Percent 16 4 9 2" xfId="2661" xr:uid="{8CF9927B-A408-4551-A9A6-52D7AB24E6C3}"/>
    <cellStyle name="Percent 16 5" xfId="1542" xr:uid="{583828C3-9B72-4288-BE95-6BF2FAD22AE3}"/>
    <cellStyle name="Percent 16 5 10" xfId="1543" xr:uid="{134F604A-E853-4119-866A-9B130BE3027B}"/>
    <cellStyle name="Percent 16 5 10 2" xfId="2663" xr:uid="{F2ABDD32-D18A-4007-858E-9F538B8C4FBC}"/>
    <cellStyle name="Percent 16 5 11" xfId="1544" xr:uid="{F106D9E0-ACFB-41AD-AD92-A0091D565619}"/>
    <cellStyle name="Percent 16 5 11 2" xfId="2664" xr:uid="{151D04C9-ED59-4227-B3E1-B0D87F23FDBC}"/>
    <cellStyle name="Percent 16 5 12" xfId="1545" xr:uid="{D706F3E8-63B1-4374-9076-0656A1CEDF9A}"/>
    <cellStyle name="Percent 16 5 12 2" xfId="2665" xr:uid="{0DE0B8E8-1540-49BE-9984-77D987464C73}"/>
    <cellStyle name="Percent 16 5 13" xfId="1546" xr:uid="{6EB9730F-4A7B-4986-A495-20A59EB8C921}"/>
    <cellStyle name="Percent 16 5 13 2" xfId="2666" xr:uid="{0DE2A089-7725-4A59-ADDD-FA2B1FB24E1F}"/>
    <cellStyle name="Percent 16 5 14" xfId="1547" xr:uid="{F58C00E7-ECA4-4D77-983C-D9F6C15A55DD}"/>
    <cellStyle name="Percent 16 5 14 2" xfId="2667" xr:uid="{E31633BB-1603-4A7C-A443-C66C4CDBDEDD}"/>
    <cellStyle name="Percent 16 5 15" xfId="1548" xr:uid="{B7E6782A-AE8E-450D-A2FE-C0DEAC8AD466}"/>
    <cellStyle name="Percent 16 5 15 2" xfId="2668" xr:uid="{BD06B0EA-4CFF-4559-BF8A-385578B17B18}"/>
    <cellStyle name="Percent 16 5 16" xfId="1549" xr:uid="{7CA5929B-02FB-40C1-ABE5-3A54B94A7D9E}"/>
    <cellStyle name="Percent 16 5 16 2" xfId="2669" xr:uid="{539AA428-859E-4356-93F7-ABBA94426DB9}"/>
    <cellStyle name="Percent 16 5 17" xfId="1550" xr:uid="{82861800-525C-4FFC-B2A2-FFE44CD967A6}"/>
    <cellStyle name="Percent 16 5 17 2" xfId="2670" xr:uid="{C0B2A17C-761D-4B0B-AB64-B9B2D65B34B7}"/>
    <cellStyle name="Percent 16 5 18" xfId="2662" xr:uid="{761F8438-AD04-43BE-A104-CFDE232DF2A8}"/>
    <cellStyle name="Percent 16 5 2" xfId="1551" xr:uid="{90047858-E1C7-48C8-875D-9D90FFC567C9}"/>
    <cellStyle name="Percent 16 5 2 2" xfId="2671" xr:uid="{417E9F9D-FEA2-40A8-8DF8-ABF33270CF63}"/>
    <cellStyle name="Percent 16 5 3" xfId="1552" xr:uid="{F951A865-8B3F-409F-9494-52B532642532}"/>
    <cellStyle name="Percent 16 5 3 2" xfId="2672" xr:uid="{F1E45155-52E6-494F-B7C7-B940C6F19044}"/>
    <cellStyle name="Percent 16 5 4" xfId="1553" xr:uid="{081CCA88-D34F-43D2-B924-CB483E7B95C3}"/>
    <cellStyle name="Percent 16 5 4 2" xfId="2673" xr:uid="{D335F043-1EEF-46C8-88BB-C2E421FA07E6}"/>
    <cellStyle name="Percent 16 5 5" xfId="1554" xr:uid="{35A26959-9BDB-4C3A-8B94-36AE3AB17312}"/>
    <cellStyle name="Percent 16 5 5 2" xfId="2674" xr:uid="{53EA4D05-47DC-4FED-8C89-2CD9F80BF79B}"/>
    <cellStyle name="Percent 16 5 6" xfId="1555" xr:uid="{DB531003-2F4C-4F80-B620-185A98CB2921}"/>
    <cellStyle name="Percent 16 5 6 2" xfId="2675" xr:uid="{210998E6-1193-43B3-976C-8A5D129DE64E}"/>
    <cellStyle name="Percent 16 5 7" xfId="1556" xr:uid="{7ABA460F-BF53-4013-8E95-7AD4F6C4BB94}"/>
    <cellStyle name="Percent 16 5 7 2" xfId="2676" xr:uid="{6597DB9A-6B68-4B27-9E7A-C6F3615FE7E6}"/>
    <cellStyle name="Percent 16 5 8" xfId="1557" xr:uid="{0B7BA433-A675-42A7-8F1D-4E0968945EF1}"/>
    <cellStyle name="Percent 16 5 8 2" xfId="2677" xr:uid="{A73808B0-87A0-4A77-891B-00774BC74E85}"/>
    <cellStyle name="Percent 16 5 9" xfId="1558" xr:uid="{BFF333B4-7696-48C1-A1AD-46D71365817C}"/>
    <cellStyle name="Percent 16 5 9 2" xfId="2678" xr:uid="{45C3AE4C-47BD-4596-8C89-E3346DBD500E}"/>
    <cellStyle name="Percent 16 6" xfId="1559" xr:uid="{46022D1B-08BE-4D85-A10B-B15A0EF9DC83}"/>
    <cellStyle name="Percent 16 6 10" xfId="1560" xr:uid="{CE2E56E1-6DFA-4685-A393-7AC72DDCC8BD}"/>
    <cellStyle name="Percent 16 6 10 2" xfId="2680" xr:uid="{5894BB04-B480-41A0-A1E5-0330700DE572}"/>
    <cellStyle name="Percent 16 6 11" xfId="1561" xr:uid="{38037A87-91E1-4BFA-9FA0-1090B3FC8282}"/>
    <cellStyle name="Percent 16 6 11 2" xfId="2681" xr:uid="{18B3FEE6-7AF7-49B1-A85C-E1044F127569}"/>
    <cellStyle name="Percent 16 6 12" xfId="1562" xr:uid="{31BBC576-A0E5-4500-A64B-CAA62AD710CB}"/>
    <cellStyle name="Percent 16 6 12 2" xfId="2682" xr:uid="{07742F83-861B-43D1-87E7-13F678DE5D79}"/>
    <cellStyle name="Percent 16 6 13" xfId="1563" xr:uid="{52AE173D-34B1-49D9-BD9D-73B61C0526AA}"/>
    <cellStyle name="Percent 16 6 13 2" xfId="2683" xr:uid="{824D5EA3-F401-4CD5-88BB-87295C23F177}"/>
    <cellStyle name="Percent 16 6 14" xfId="1564" xr:uid="{CE56ABA4-273C-4236-97F4-0A0301170BB2}"/>
    <cellStyle name="Percent 16 6 14 2" xfId="2684" xr:uid="{FD105815-935D-484F-B835-D70655C7ABF6}"/>
    <cellStyle name="Percent 16 6 15" xfId="1565" xr:uid="{63497F19-EDE1-4678-83D8-934BC20324F7}"/>
    <cellStyle name="Percent 16 6 15 2" xfId="2685" xr:uid="{B3B0586A-798B-436A-B9C6-BFECBCBC909E}"/>
    <cellStyle name="Percent 16 6 16" xfId="1566" xr:uid="{E4116D47-D8D0-4935-B5A3-016F74A9D51E}"/>
    <cellStyle name="Percent 16 6 16 2" xfId="2686" xr:uid="{12B9CEA6-6A4D-4D0B-BC56-69008D30FD4C}"/>
    <cellStyle name="Percent 16 6 17" xfId="1567" xr:uid="{413DC373-9DC4-44D5-A485-3E7BA5B90D22}"/>
    <cellStyle name="Percent 16 6 17 2" xfId="2687" xr:uid="{B8602B91-7B41-448C-9C7E-CCE1B835946C}"/>
    <cellStyle name="Percent 16 6 18" xfId="2679" xr:uid="{8D27BA05-8A84-45F4-8E61-3923D76BEE06}"/>
    <cellStyle name="Percent 16 6 2" xfId="1568" xr:uid="{1D9D0811-FF0E-445B-B83D-8951E0615CDA}"/>
    <cellStyle name="Percent 16 6 2 2" xfId="2688" xr:uid="{FAD6317A-934B-4DFE-ABDB-D23393D019C2}"/>
    <cellStyle name="Percent 16 6 3" xfId="1569" xr:uid="{47746085-0FC1-4FA1-92BC-E20DA0D4FAA3}"/>
    <cellStyle name="Percent 16 6 3 2" xfId="2689" xr:uid="{3F9E45E2-3745-4020-BB88-43F2BB4FA66A}"/>
    <cellStyle name="Percent 16 6 4" xfId="1570" xr:uid="{2C1789F0-424C-4C87-BB3B-4D36A4542515}"/>
    <cellStyle name="Percent 16 6 4 2" xfId="2690" xr:uid="{816EF582-978C-477A-8991-1B3F1552BFC8}"/>
    <cellStyle name="Percent 16 6 5" xfId="1571" xr:uid="{03CBFB07-F472-440B-AED2-143B679461AA}"/>
    <cellStyle name="Percent 16 6 5 2" xfId="2691" xr:uid="{03623DC3-735E-4B77-A8C9-593CCD50A9AE}"/>
    <cellStyle name="Percent 16 6 6" xfId="1572" xr:uid="{CBAE6867-4F05-41AF-B965-D48B74B0D0C7}"/>
    <cellStyle name="Percent 16 6 6 2" xfId="2692" xr:uid="{1B837B30-C1D9-4F31-9E96-E76A9E1D1E5D}"/>
    <cellStyle name="Percent 16 6 7" xfId="1573" xr:uid="{1472E57E-2F82-4BBC-A7EA-701F037AD653}"/>
    <cellStyle name="Percent 16 6 7 2" xfId="2693" xr:uid="{B3B6A97C-CDFE-4769-BCD0-5B43767CCD69}"/>
    <cellStyle name="Percent 16 6 8" xfId="1574" xr:uid="{90E245DC-4E52-476C-9E88-ECF2E57B389B}"/>
    <cellStyle name="Percent 16 6 8 2" xfId="2694" xr:uid="{8B4B2A1E-CF55-441E-9B6C-3C906243F6F0}"/>
    <cellStyle name="Percent 16 6 9" xfId="1575" xr:uid="{686C42C5-6411-422B-83C5-F9724F5ADF92}"/>
    <cellStyle name="Percent 16 6 9 2" xfId="2695" xr:uid="{8E1907D8-C244-454A-A3EB-A3670EB94103}"/>
    <cellStyle name="Percent 16 7" xfId="1576" xr:uid="{AFC594B9-59D5-4E44-B1A9-3846AB1EF618}"/>
    <cellStyle name="Percent 16 7 10" xfId="1577" xr:uid="{5928C749-83F8-46C6-BAB5-5F48C445F588}"/>
    <cellStyle name="Percent 16 7 10 2" xfId="2697" xr:uid="{CE20878B-6A34-48B2-935C-0BA577358B70}"/>
    <cellStyle name="Percent 16 7 11" xfId="1578" xr:uid="{63E7535A-4009-4907-B8E8-1D604789F01B}"/>
    <cellStyle name="Percent 16 7 11 2" xfId="2698" xr:uid="{13AC4B23-6C0F-482A-84A6-4ECB1CE3C1A0}"/>
    <cellStyle name="Percent 16 7 12" xfId="1579" xr:uid="{479C572B-47CC-4F9F-9FE7-98E5F1146102}"/>
    <cellStyle name="Percent 16 7 12 2" xfId="2699" xr:uid="{FCE4CEB2-64F5-417E-B9C2-D539F44834F3}"/>
    <cellStyle name="Percent 16 7 13" xfId="1580" xr:uid="{1AAD7E81-0208-437D-80A0-272A2B6E384E}"/>
    <cellStyle name="Percent 16 7 13 2" xfId="2700" xr:uid="{0F883E66-D287-4ABA-9CEE-987B5742C03F}"/>
    <cellStyle name="Percent 16 7 14" xfId="1581" xr:uid="{4BE7D1E1-DA3A-4FE5-9899-834F5B59213C}"/>
    <cellStyle name="Percent 16 7 14 2" xfId="2701" xr:uid="{4B077AE4-76AE-4D1C-9E41-D3F78AE0E1EA}"/>
    <cellStyle name="Percent 16 7 15" xfId="1582" xr:uid="{1ACB6E59-A821-470B-A5AD-B1C93430DE12}"/>
    <cellStyle name="Percent 16 7 15 2" xfId="2702" xr:uid="{F5432149-60DF-48CA-8BA9-380E8D5D9EBF}"/>
    <cellStyle name="Percent 16 7 16" xfId="1583" xr:uid="{84FE4E03-9F16-4064-A147-31932658AB4D}"/>
    <cellStyle name="Percent 16 7 16 2" xfId="2703" xr:uid="{6F273A0F-B96F-4441-98CB-7797ADD6B93B}"/>
    <cellStyle name="Percent 16 7 17" xfId="1584" xr:uid="{973BED00-559F-4205-8B8A-19192D18A755}"/>
    <cellStyle name="Percent 16 7 17 2" xfId="2704" xr:uid="{3F3574A4-5C07-407C-8F42-A13F649CB9CE}"/>
    <cellStyle name="Percent 16 7 18" xfId="2696" xr:uid="{5AA91C5C-8CC9-4DAB-BB4A-59161EC204B8}"/>
    <cellStyle name="Percent 16 7 2" xfId="1585" xr:uid="{5BCD4AAE-C4BE-4300-931F-A21C6F9AA482}"/>
    <cellStyle name="Percent 16 7 2 2" xfId="2705" xr:uid="{4522A46C-4561-49C2-9AAA-9864E26A5D7B}"/>
    <cellStyle name="Percent 16 7 3" xfId="1586" xr:uid="{CC972CC2-6CE7-4720-A3C2-645F8A5C1CA9}"/>
    <cellStyle name="Percent 16 7 3 2" xfId="2706" xr:uid="{9C9A020D-D0C2-4964-AF51-87B4D07152C2}"/>
    <cellStyle name="Percent 16 7 4" xfId="1587" xr:uid="{A4C17633-5D59-4086-9CC8-07646D1A2B64}"/>
    <cellStyle name="Percent 16 7 4 2" xfId="2707" xr:uid="{CAC15845-17CC-4FD9-A72F-E32C9AA4220A}"/>
    <cellStyle name="Percent 16 7 5" xfId="1588" xr:uid="{3A9CD681-F3DC-4AC5-A04D-2021A692AE8B}"/>
    <cellStyle name="Percent 16 7 5 2" xfId="2708" xr:uid="{BFABABCE-97BF-4061-8EC1-157C7176E674}"/>
    <cellStyle name="Percent 16 7 6" xfId="1589" xr:uid="{1CB069F7-5530-407F-80FC-EB4323A73054}"/>
    <cellStyle name="Percent 16 7 6 2" xfId="2709" xr:uid="{691241E1-A1AA-42D6-A624-7B669AEAAD1C}"/>
    <cellStyle name="Percent 16 7 7" xfId="1590" xr:uid="{5B2CF361-D5D2-4A78-983A-95C8BCBBCA3B}"/>
    <cellStyle name="Percent 16 7 7 2" xfId="2710" xr:uid="{BAA153C1-8F8F-4EDC-B977-B0AEF3F67630}"/>
    <cellStyle name="Percent 16 7 8" xfId="1591" xr:uid="{359627DB-3859-4F6B-9B07-CB919BBA9E14}"/>
    <cellStyle name="Percent 16 7 8 2" xfId="2711" xr:uid="{321F9FDD-BEB6-4909-8947-F9BA3DFBF387}"/>
    <cellStyle name="Percent 16 7 9" xfId="1592" xr:uid="{4A0224BA-2D39-488B-8D27-02493B60FFA8}"/>
    <cellStyle name="Percent 16 7 9 2" xfId="2712" xr:uid="{1D802171-D2A7-4671-97CC-D1B7A2FB9309}"/>
    <cellStyle name="Percent 16 8" xfId="1593" xr:uid="{0844AE75-6B0B-491D-A129-9597B95892ED}"/>
    <cellStyle name="Percent 16 8 10" xfId="1594" xr:uid="{4D96FDBA-A631-4B86-AE9F-A89B201821E5}"/>
    <cellStyle name="Percent 16 8 10 2" xfId="2714" xr:uid="{92818A6A-E01F-4515-B68C-26DC8E2E744D}"/>
    <cellStyle name="Percent 16 8 11" xfId="1595" xr:uid="{E43E6C31-3335-426A-B2C3-91C5958DFBC5}"/>
    <cellStyle name="Percent 16 8 11 2" xfId="2715" xr:uid="{2D70F4E1-C8D9-466F-A27C-C3C59C4BF00E}"/>
    <cellStyle name="Percent 16 8 12" xfId="1596" xr:uid="{85B87478-B57C-4F71-B2DD-4E646D8FE368}"/>
    <cellStyle name="Percent 16 8 12 2" xfId="2716" xr:uid="{F21A95DA-A504-4C99-9294-CF2276A8A3E8}"/>
    <cellStyle name="Percent 16 8 13" xfId="1597" xr:uid="{5A54038B-17CA-4588-9407-2ACD436552E1}"/>
    <cellStyle name="Percent 16 8 13 2" xfId="2717" xr:uid="{971779B8-82DC-44C2-821B-C85C3648F57F}"/>
    <cellStyle name="Percent 16 8 14" xfId="1598" xr:uid="{378BA722-C128-49EE-A0DC-FF12E829D6BE}"/>
    <cellStyle name="Percent 16 8 14 2" xfId="2718" xr:uid="{46BDBFE8-DE3C-4A83-9F6A-2959B2BFBDF0}"/>
    <cellStyle name="Percent 16 8 15" xfId="1599" xr:uid="{2F9EE426-FE3D-4A65-A199-573DCCA82D87}"/>
    <cellStyle name="Percent 16 8 15 2" xfId="2719" xr:uid="{DACE0F30-B75C-4E45-9394-1DD6895C41BC}"/>
    <cellStyle name="Percent 16 8 16" xfId="1600" xr:uid="{5EC0F65E-EC00-4AE6-8C95-C7FE2A1A09BE}"/>
    <cellStyle name="Percent 16 8 16 2" xfId="2720" xr:uid="{893CFACA-06EB-4DA3-96C3-E08F2A5178C0}"/>
    <cellStyle name="Percent 16 8 17" xfId="1601" xr:uid="{C26E4EFE-1095-411B-A3A9-3175373F123D}"/>
    <cellStyle name="Percent 16 8 17 2" xfId="2721" xr:uid="{0EF21173-7BD9-45BA-A0BF-286AF2372A44}"/>
    <cellStyle name="Percent 16 8 18" xfId="2713" xr:uid="{4D2AE589-97E1-45E8-AC95-2C168C5C7452}"/>
    <cellStyle name="Percent 16 8 2" xfId="1602" xr:uid="{B26041C8-99F6-4EF7-BC39-EAC281646E6E}"/>
    <cellStyle name="Percent 16 8 2 2" xfId="2722" xr:uid="{67B72312-13DC-40E1-9CFA-8F70E945A25A}"/>
    <cellStyle name="Percent 16 8 3" xfId="1603" xr:uid="{AF7A8FDC-6FD5-456C-B171-685D50321C29}"/>
    <cellStyle name="Percent 16 8 3 2" xfId="2723" xr:uid="{D0F7DCF8-1AE9-486E-9C1C-BD3948307CED}"/>
    <cellStyle name="Percent 16 8 4" xfId="1604" xr:uid="{1F73E73E-A11E-44AF-AA4D-7C99858ACC08}"/>
    <cellStyle name="Percent 16 8 4 2" xfId="2724" xr:uid="{FB64EFC0-8D8F-41FE-9855-542399DA1D6F}"/>
    <cellStyle name="Percent 16 8 5" xfId="1605" xr:uid="{5C9997AD-42F1-4825-B797-1FF7DE67DB13}"/>
    <cellStyle name="Percent 16 8 5 2" xfId="2725" xr:uid="{460A2126-573B-4ED7-AC18-3F26919DED4C}"/>
    <cellStyle name="Percent 16 8 6" xfId="1606" xr:uid="{1B3668F4-ED0A-4D73-9E9E-362181AB7829}"/>
    <cellStyle name="Percent 16 8 6 2" xfId="2726" xr:uid="{8E148A7B-4359-48AD-8764-8B206CC2B0E5}"/>
    <cellStyle name="Percent 16 8 7" xfId="1607" xr:uid="{994F8B41-A57D-4E75-A9CF-8EDF4332AF8A}"/>
    <cellStyle name="Percent 16 8 7 2" xfId="2727" xr:uid="{26FFD874-BC1D-4511-92A5-38119E527718}"/>
    <cellStyle name="Percent 16 8 8" xfId="1608" xr:uid="{0C5787A0-B374-48E1-B5C1-B3399D7BCBF3}"/>
    <cellStyle name="Percent 16 8 8 2" xfId="2728" xr:uid="{CEB75D03-D604-4D48-9A32-97E66D7648FE}"/>
    <cellStyle name="Percent 16 8 9" xfId="1609" xr:uid="{B02417BE-EB59-49D0-BB3A-C2CB19946F6F}"/>
    <cellStyle name="Percent 16 8 9 2" xfId="2729" xr:uid="{8BFE6C4B-5069-4D68-9856-1AC3D026B66F}"/>
    <cellStyle name="Percent 16 9" xfId="1610" xr:uid="{FD68132D-E19A-41C9-AAE1-700F8A0D45CA}"/>
    <cellStyle name="Percent 16 9 10" xfId="1611" xr:uid="{9762DE5D-5154-4A6C-9644-5AEE974F9A5A}"/>
    <cellStyle name="Percent 16 9 10 2" xfId="2731" xr:uid="{29B8DBCB-CD47-4E85-ADC9-12A5845C227D}"/>
    <cellStyle name="Percent 16 9 11" xfId="1612" xr:uid="{B13775F8-0E96-41F5-B2DB-0EDBB36D3A67}"/>
    <cellStyle name="Percent 16 9 11 2" xfId="2732" xr:uid="{66EBE204-6D28-453F-BC9D-2765DC482520}"/>
    <cellStyle name="Percent 16 9 12" xfId="1613" xr:uid="{B0DB91E8-C95E-4949-ADA3-EAEF8F697E87}"/>
    <cellStyle name="Percent 16 9 12 2" xfId="2733" xr:uid="{62DF91CF-A674-440F-A1EE-22AD4C8BB6DC}"/>
    <cellStyle name="Percent 16 9 13" xfId="1614" xr:uid="{7965EA75-3446-4FDD-B858-9363D8FDF210}"/>
    <cellStyle name="Percent 16 9 13 2" xfId="2734" xr:uid="{32A5BEE2-F108-4848-8BED-42D3D4741802}"/>
    <cellStyle name="Percent 16 9 14" xfId="1615" xr:uid="{2AF82AC2-0A58-4F69-8107-E3299A8E9B84}"/>
    <cellStyle name="Percent 16 9 14 2" xfId="2735" xr:uid="{F9BA3C87-F957-46C4-BF66-F842BB33E469}"/>
    <cellStyle name="Percent 16 9 15" xfId="1616" xr:uid="{162BB9F3-D37F-4164-9397-4964428A37A1}"/>
    <cellStyle name="Percent 16 9 15 2" xfId="2736" xr:uid="{55E94A95-6478-4A7D-8AE2-8E87F76F5E84}"/>
    <cellStyle name="Percent 16 9 16" xfId="1617" xr:uid="{FEE40106-9403-4095-8F7C-4CF8B078E75D}"/>
    <cellStyle name="Percent 16 9 16 2" xfId="2737" xr:uid="{7901A5A6-84D1-4C65-AB74-1BAD9ADA2078}"/>
    <cellStyle name="Percent 16 9 17" xfId="1618" xr:uid="{2CF54FCF-169B-4288-84EA-124694BF2FF8}"/>
    <cellStyle name="Percent 16 9 17 2" xfId="2738" xr:uid="{F2DCD38A-5B18-4186-8292-ADF80E2DF052}"/>
    <cellStyle name="Percent 16 9 18" xfId="2730" xr:uid="{F7FF2498-6592-42DF-9A15-4CA851FFE39D}"/>
    <cellStyle name="Percent 16 9 2" xfId="1619" xr:uid="{A922F4D7-E4C8-4C8B-9B6A-82C43A182724}"/>
    <cellStyle name="Percent 16 9 2 2" xfId="2739" xr:uid="{E5F0AE19-6952-4422-9F34-3BD13DD6A48F}"/>
    <cellStyle name="Percent 16 9 3" xfId="1620" xr:uid="{58991ED7-22A6-44B0-8A62-7C12930488F1}"/>
    <cellStyle name="Percent 16 9 3 2" xfId="2740" xr:uid="{A49AF913-6AB6-4CF7-A87D-438D0362A419}"/>
    <cellStyle name="Percent 16 9 4" xfId="1621" xr:uid="{E99214BC-97A8-4D56-9C06-1DDDD284213B}"/>
    <cellStyle name="Percent 16 9 4 2" xfId="2741" xr:uid="{6603FA25-A58E-4322-9CE7-0D8695DC6A33}"/>
    <cellStyle name="Percent 16 9 5" xfId="1622" xr:uid="{1EA74CCF-9CFA-4442-95F7-30899977BCB3}"/>
    <cellStyle name="Percent 16 9 5 2" xfId="2742" xr:uid="{7889CEB2-24FD-4BB6-A69E-C858F6BD7B83}"/>
    <cellStyle name="Percent 16 9 6" xfId="1623" xr:uid="{F94CCE05-71A2-4A1F-9473-4D2083D52588}"/>
    <cellStyle name="Percent 16 9 6 2" xfId="2743" xr:uid="{22C6E1C9-6D5E-4384-915F-93EFA0DDB5A1}"/>
    <cellStyle name="Percent 16 9 7" xfId="1624" xr:uid="{D405FB8A-B9A3-4AC5-9784-0848475837F0}"/>
    <cellStyle name="Percent 16 9 7 2" xfId="2744" xr:uid="{B226FE88-7808-408E-855B-1FA6570FA4BF}"/>
    <cellStyle name="Percent 16 9 8" xfId="1625" xr:uid="{182A9081-9AC6-4349-B4C2-CB10081C0792}"/>
    <cellStyle name="Percent 16 9 8 2" xfId="2745" xr:uid="{E53B6E7F-DCAA-4A2E-823C-D27A951F9D2B}"/>
    <cellStyle name="Percent 16 9 9" xfId="1626" xr:uid="{AB4452A7-72A3-42A9-B688-134897F71ED6}"/>
    <cellStyle name="Percent 16 9 9 2" xfId="2746" xr:uid="{4B96CAC5-9CFB-4CD7-AF9A-F5F8312852FD}"/>
    <cellStyle name="Percent 17" xfId="1627" xr:uid="{1EC16CFA-7C18-4068-B3AF-123BFFE706E3}"/>
    <cellStyle name="Percent 17 2" xfId="2747" xr:uid="{9B590558-013C-44F6-8742-6BEDD6A3B455}"/>
    <cellStyle name="Percent 2" xfId="141" xr:uid="{EA415861-A41E-4C41-97BB-BA4A98ED324E}"/>
    <cellStyle name="Percent 2 10" xfId="1629" xr:uid="{B5ADEAF4-D719-4283-94E6-FF8C5B0C56D9}"/>
    <cellStyle name="Percent 2 10 2" xfId="1630" xr:uid="{36895E47-2EBF-41F3-A9FF-AB72255DD602}"/>
    <cellStyle name="Percent 2 10 2 2" xfId="2750" xr:uid="{F4795D7C-0844-4049-8F9D-15C1763F8D12}"/>
    <cellStyle name="Percent 2 10 3" xfId="1631" xr:uid="{D513C734-B280-465B-BEBF-F41E60918AFC}"/>
    <cellStyle name="Percent 2 10 3 2" xfId="2751" xr:uid="{75178BC7-3BF7-4ABC-A30E-CCC7FC64813E}"/>
    <cellStyle name="Percent 2 10 4" xfId="1632" xr:uid="{7990C806-BFBE-41CE-98AC-928CC44CEDB9}"/>
    <cellStyle name="Percent 2 10 4 2" xfId="2752" xr:uid="{FDACD68A-B1E7-4556-B9EE-B7313DB543D5}"/>
    <cellStyle name="Percent 2 10 5" xfId="1633" xr:uid="{695549F4-B04E-4E07-8044-B801CA6D0CD5}"/>
    <cellStyle name="Percent 2 10 5 2" xfId="2753" xr:uid="{09621760-75CA-4DE7-A71B-279EE1EC0C6B}"/>
    <cellStyle name="Percent 2 10 6" xfId="1634" xr:uid="{09239094-922F-4258-9375-698F78CBB69E}"/>
    <cellStyle name="Percent 2 10 6 2" xfId="2754" xr:uid="{110D0DA1-0768-4829-B82C-F34206878985}"/>
    <cellStyle name="Percent 2 10 7" xfId="1635" xr:uid="{D037E459-3583-4F78-B8C8-D1746E3D977D}"/>
    <cellStyle name="Percent 2 10 7 2" xfId="2755" xr:uid="{16A75575-A3EC-45AA-9C69-E1CB50421CAC}"/>
    <cellStyle name="Percent 2 10 8" xfId="1636" xr:uid="{F86CB0BA-3B09-4E9F-AEF3-5998C8C85382}"/>
    <cellStyle name="Percent 2 10 8 2" xfId="2756" xr:uid="{54CAD663-845B-4423-BDCD-D74E334F21FE}"/>
    <cellStyle name="Percent 2 10 9" xfId="2749" xr:uid="{3C3A90E3-B0A4-4B3A-B52B-5002B4ACB29D}"/>
    <cellStyle name="Percent 2 11" xfId="1637" xr:uid="{0AA5478E-F913-448C-AE2C-C66C4AFEBE85}"/>
    <cellStyle name="Percent 2 11 2" xfId="1638" xr:uid="{611A4D59-C5EF-4031-8E31-64E1F0212111}"/>
    <cellStyle name="Percent 2 11 2 2" xfId="2758" xr:uid="{1C3C6A57-8B1F-4AF9-A1E8-E62B326357B0}"/>
    <cellStyle name="Percent 2 11 3" xfId="1639" xr:uid="{5FB07580-8471-4E85-8E9F-1FC8727F8589}"/>
    <cellStyle name="Percent 2 11 3 2" xfId="2759" xr:uid="{7212CA2C-762E-4B3F-8DB9-180C9E661DE6}"/>
    <cellStyle name="Percent 2 11 4" xfId="1640" xr:uid="{94EC47B1-02BF-4904-B971-1B0FAC2199AC}"/>
    <cellStyle name="Percent 2 11 4 2" xfId="2760" xr:uid="{952B6690-D3E8-4FD6-B7CF-F2E19FFBBA80}"/>
    <cellStyle name="Percent 2 11 5" xfId="1641" xr:uid="{61C6AB45-1882-4BF7-8938-BF174C86F4D8}"/>
    <cellStyle name="Percent 2 11 5 2" xfId="2761" xr:uid="{A143B2BC-6085-4C67-B60E-8620D16CEB5F}"/>
    <cellStyle name="Percent 2 11 6" xfId="1642" xr:uid="{093CF24F-1BA8-4066-9833-FCCCF38780B6}"/>
    <cellStyle name="Percent 2 11 6 2" xfId="2762" xr:uid="{CDB11DE6-EA61-4F83-BA1C-6C9E586BCB1E}"/>
    <cellStyle name="Percent 2 11 7" xfId="1643" xr:uid="{B895A910-DBCA-4103-8CC2-D5070432FC66}"/>
    <cellStyle name="Percent 2 11 7 2" xfId="2763" xr:uid="{2CD03ABD-82A4-4FFF-BA90-6725C4251668}"/>
    <cellStyle name="Percent 2 11 8" xfId="1644" xr:uid="{F9EE1854-4057-4170-AED6-DB09DCD7BA9D}"/>
    <cellStyle name="Percent 2 11 8 2" xfId="2764" xr:uid="{D40A74B4-0F16-41AC-8B07-12757414FC99}"/>
    <cellStyle name="Percent 2 11 9" xfId="2757" xr:uid="{1B72E65C-6B48-411C-B560-F9C739FAE963}"/>
    <cellStyle name="Percent 2 12" xfId="1645" xr:uid="{B90520EE-4FEB-47DF-939D-244D7F7643E5}"/>
    <cellStyle name="Percent 2 12 2" xfId="2765" xr:uid="{DCD9CDAF-BC53-480C-ABF6-376CC8672BF5}"/>
    <cellStyle name="Percent 2 13" xfId="1646" xr:uid="{9E110154-28C5-4F99-8B60-A6D4B029E590}"/>
    <cellStyle name="Percent 2 13 2" xfId="2766" xr:uid="{775751DD-4353-4D25-89BD-9803C5DF46F1}"/>
    <cellStyle name="Percent 2 14" xfId="1647" xr:uid="{49BCB6D7-968F-45F9-9914-19FC2E48C4C5}"/>
    <cellStyle name="Percent 2 14 2" xfId="2767" xr:uid="{42DF5276-B25B-4FB2-A724-2A8F06F22E42}"/>
    <cellStyle name="Percent 2 15" xfId="1648" xr:uid="{74EB4BA6-4A23-4C1B-986E-ECD54F18D629}"/>
    <cellStyle name="Percent 2 15 2" xfId="2768" xr:uid="{6C4768E5-B3E2-41F7-BB18-CE02CD7140BE}"/>
    <cellStyle name="Percent 2 16" xfId="1649" xr:uid="{ADFA7F2E-CE64-4377-9901-EFDAD3EA0445}"/>
    <cellStyle name="Percent 2 16 2" xfId="2769" xr:uid="{B4251335-F68D-4DE2-B237-1D7949F7B079}"/>
    <cellStyle name="Percent 2 17" xfId="1650" xr:uid="{9F58AB0A-1025-4A28-98BC-14061A02D378}"/>
    <cellStyle name="Percent 2 17 2" xfId="2770" xr:uid="{588A61A1-7771-4057-97E1-17C21AAEEA89}"/>
    <cellStyle name="Percent 2 18" xfId="1651" xr:uid="{7AF2B890-765F-435A-8F95-FD4CCCE58D86}"/>
    <cellStyle name="Percent 2 18 2" xfId="2771" xr:uid="{0172C3FD-E86B-4F78-91E6-12D2AD37B111}"/>
    <cellStyle name="Percent 2 19" xfId="2748" xr:uid="{4B97E851-E287-40BE-9519-986A4E523722}"/>
    <cellStyle name="Percent 2 2" xfId="142" xr:uid="{9E7D6E5B-C02A-4300-8927-A7382CC37505}"/>
    <cellStyle name="Percent 2 2 10" xfId="1652" xr:uid="{26F354EB-7F79-478F-94C2-51EACD3D8BD4}"/>
    <cellStyle name="Percent 2 2 2" xfId="143" xr:uid="{35CD85BF-534B-4D75-8DC9-648A9E1D878D}"/>
    <cellStyle name="Percent 2 2 2 2" xfId="2773" xr:uid="{50B21D47-972E-481D-90EB-A98C401D22CB}"/>
    <cellStyle name="Percent 2 2 2 3" xfId="1653" xr:uid="{2223CAED-B6F0-4CA6-BE11-3F5494EB020D}"/>
    <cellStyle name="Percent 2 2 3" xfId="144" xr:uid="{5D5C9A6F-8529-4AB0-A162-4D66639E2094}"/>
    <cellStyle name="Percent 2 2 3 2" xfId="145" xr:uid="{978F9A2B-EC07-4204-98F4-0BC69BC14303}"/>
    <cellStyle name="Percent 2 2 3 2 2" xfId="2774" xr:uid="{AABEB6D4-CE9F-4E2B-9AD3-A87681A65973}"/>
    <cellStyle name="Percent 2 2 3 3" xfId="1654" xr:uid="{2F27B6D8-C4E3-4C9B-A27A-0FE82DD02EB5}"/>
    <cellStyle name="Percent 2 2 4" xfId="1655" xr:uid="{448E9AC3-8AF8-415A-82F5-F1C4C123D96A}"/>
    <cellStyle name="Percent 2 2 4 2" xfId="2775" xr:uid="{B8C0D867-D09C-4CCB-A205-B7B001B897DC}"/>
    <cellStyle name="Percent 2 2 5" xfId="1656" xr:uid="{D40C5F5E-1D34-4179-A606-BC726A8C1062}"/>
    <cellStyle name="Percent 2 2 5 2" xfId="2776" xr:uid="{4AD9DDB7-F581-47AA-A672-DC814675C7CE}"/>
    <cellStyle name="Percent 2 2 6" xfId="1657" xr:uid="{B28C0323-738C-4CD9-AB32-DB0859EA8A5B}"/>
    <cellStyle name="Percent 2 2 6 2" xfId="2777" xr:uid="{B7F6F66D-4B53-461C-8766-C253B9857AAE}"/>
    <cellStyle name="Percent 2 2 7" xfId="1658" xr:uid="{BEB6DC45-4293-4064-8672-FEC9E2EFD749}"/>
    <cellStyle name="Percent 2 2 7 2" xfId="2778" xr:uid="{8CE3833D-F75B-4C0A-9178-08D383EB5A90}"/>
    <cellStyle name="Percent 2 2 8" xfId="1659" xr:uid="{41EC620F-CE2E-4BDD-9051-3AEAF7AAF3DC}"/>
    <cellStyle name="Percent 2 2 8 2" xfId="2779" xr:uid="{26B88001-EED6-4323-ACEC-78E592300874}"/>
    <cellStyle name="Percent 2 2 9" xfId="2772" xr:uid="{7087CB6C-AAC4-4580-AA69-C70ADF25C66E}"/>
    <cellStyle name="Percent 2 20" xfId="1628" xr:uid="{FA8CE480-2F1E-48C5-9B87-2045BF207F6D}"/>
    <cellStyle name="Percent 2 3" xfId="146" xr:uid="{5DBFABE8-D85B-4EE5-B973-F7D0B04A59D0}"/>
    <cellStyle name="Percent 2 3 10" xfId="1660" xr:uid="{CB59AE65-668A-4293-BBCE-3FD10370AED9}"/>
    <cellStyle name="Percent 2 3 2" xfId="147" xr:uid="{3C3997A3-667F-486F-AF7C-504EFBCA1234}"/>
    <cellStyle name="Percent 2 3 2 2" xfId="2781" xr:uid="{426DB977-B3BB-4021-B513-3486A10695FF}"/>
    <cellStyle name="Percent 2 3 2 3" xfId="1661" xr:uid="{552A982E-3258-4F34-90E5-62AF266C908D}"/>
    <cellStyle name="Percent 2 3 3" xfId="148" xr:uid="{BE1AB7A6-0257-4C9D-9700-AF074A74091C}"/>
    <cellStyle name="Percent 2 3 3 2" xfId="149" xr:uid="{04EB8725-03EA-4E8E-996A-66214F954266}"/>
    <cellStyle name="Percent 2 3 3 2 2" xfId="2782" xr:uid="{3274B553-5E45-4F53-B8B8-14EFDEAEE12B}"/>
    <cellStyle name="Percent 2 3 3 3" xfId="1662" xr:uid="{D46A9CD8-F348-4675-BD33-378E1E8F82B2}"/>
    <cellStyle name="Percent 2 3 4" xfId="1663" xr:uid="{84CC5614-4108-40A2-8678-C91C69C01FB2}"/>
    <cellStyle name="Percent 2 3 4 2" xfId="2783" xr:uid="{8962C084-D18C-4996-952D-83EE32655AA2}"/>
    <cellStyle name="Percent 2 3 5" xfId="1664" xr:uid="{3B4BC678-6182-4C1B-AD24-9A08E96606F0}"/>
    <cellStyle name="Percent 2 3 5 2" xfId="2784" xr:uid="{22AA368A-2056-4C38-94F8-35C2F1CD47BB}"/>
    <cellStyle name="Percent 2 3 6" xfId="1665" xr:uid="{E0C9AF77-1966-4CF5-A93C-99159C64BE97}"/>
    <cellStyle name="Percent 2 3 6 2" xfId="2785" xr:uid="{B801F20F-C0EC-496C-AF87-29E393082969}"/>
    <cellStyle name="Percent 2 3 7" xfId="1666" xr:uid="{AF325CB6-29D7-4B09-819E-A1E812629990}"/>
    <cellStyle name="Percent 2 3 7 2" xfId="2786" xr:uid="{815938E6-7BCF-4612-A4DB-BB6D6CC7AADB}"/>
    <cellStyle name="Percent 2 3 8" xfId="1667" xr:uid="{391EFC88-ACE4-4B08-92D2-1CA8E893FF56}"/>
    <cellStyle name="Percent 2 3 8 2" xfId="2787" xr:uid="{A05FB25B-F78B-4C40-9DB8-5ADAEB707E74}"/>
    <cellStyle name="Percent 2 3 9" xfId="2780" xr:uid="{69436873-22B7-48AB-BA93-883115E7FE12}"/>
    <cellStyle name="Percent 2 4" xfId="150" xr:uid="{AB40602D-66F3-440A-9C49-B9239222611C}"/>
    <cellStyle name="Percent 2 4 10" xfId="1668" xr:uid="{78D138BA-137C-48DF-8FFD-8F3983BD31C5}"/>
    <cellStyle name="Percent 2 4 2" xfId="1669" xr:uid="{54676D75-9128-4684-AAD9-85151D1D1F21}"/>
    <cellStyle name="Percent 2 4 2 2" xfId="2789" xr:uid="{0CF8523F-B259-435C-96D0-CDDC96F1DB58}"/>
    <cellStyle name="Percent 2 4 3" xfId="1670" xr:uid="{EB9A0122-BC8E-41BF-A3FA-07C2A0D44D6C}"/>
    <cellStyle name="Percent 2 4 3 2" xfId="2790" xr:uid="{F79BD054-0500-44E4-99BA-2176F5B03256}"/>
    <cellStyle name="Percent 2 4 4" xfId="1671" xr:uid="{B3AC4BC7-B803-4EF3-8B43-805C612604A2}"/>
    <cellStyle name="Percent 2 4 4 2" xfId="2791" xr:uid="{CAABB65A-D81D-4537-B9E6-FACD23FC55E6}"/>
    <cellStyle name="Percent 2 4 5" xfId="1672" xr:uid="{EFBEC48D-A372-4026-ADE2-4D13872ABD8F}"/>
    <cellStyle name="Percent 2 4 5 2" xfId="2792" xr:uid="{02CC713A-8168-42D9-B143-3EF278BB52DF}"/>
    <cellStyle name="Percent 2 4 6" xfId="1673" xr:uid="{CE7A9D03-3110-4F9F-BAAC-CA9FF35A9819}"/>
    <cellStyle name="Percent 2 4 6 2" xfId="2793" xr:uid="{AC5FE579-1EB4-4378-B3E0-B1C628E82FA2}"/>
    <cellStyle name="Percent 2 4 7" xfId="1674" xr:uid="{2963F9E7-94A4-4DB3-AA6C-C46413BC4D07}"/>
    <cellStyle name="Percent 2 4 7 2" xfId="2794" xr:uid="{89FF20C2-39BF-4AAA-B3F1-23F75D33544D}"/>
    <cellStyle name="Percent 2 4 8" xfId="1675" xr:uid="{AEAAF472-8B8A-44D5-AA55-74139CDE7BEE}"/>
    <cellStyle name="Percent 2 4 8 2" xfId="2795" xr:uid="{463DD7C6-24B1-4353-B22A-6D370F723172}"/>
    <cellStyle name="Percent 2 4 9" xfId="2788" xr:uid="{D2D783D8-7E07-4700-819C-AB382E86548B}"/>
    <cellStyle name="Percent 2 5" xfId="1676" xr:uid="{79088723-BE3A-40E2-B011-D18B0C487DC1}"/>
    <cellStyle name="Percent 2 5 2" xfId="1677" xr:uid="{95470C55-25C3-4DAD-9CA7-83CA1CEBB778}"/>
    <cellStyle name="Percent 2 5 2 2" xfId="2797" xr:uid="{352B943E-4405-44B3-8DB5-F05F14F98BA5}"/>
    <cellStyle name="Percent 2 5 3" xfId="1678" xr:uid="{F290AEE9-517E-4A3F-B1ED-6E702CF82909}"/>
    <cellStyle name="Percent 2 5 3 2" xfId="2798" xr:uid="{CF2C0B57-E402-4CDE-8345-FD72C79CF95F}"/>
    <cellStyle name="Percent 2 5 4" xfId="1679" xr:uid="{5667E9ED-4C43-465F-90EB-4AB1F6AEE865}"/>
    <cellStyle name="Percent 2 5 4 2" xfId="2799" xr:uid="{7ABE7283-A28D-456C-A122-A3A2E58D189F}"/>
    <cellStyle name="Percent 2 5 5" xfId="1680" xr:uid="{3D0E5B58-6940-4654-A04B-E00F5CDCAF2C}"/>
    <cellStyle name="Percent 2 5 5 2" xfId="2800" xr:uid="{69D33FCC-51D9-49B5-A178-123BEE6AF0AB}"/>
    <cellStyle name="Percent 2 5 6" xfId="1681" xr:uid="{0AC8091D-AFDF-4384-B210-3985040C1318}"/>
    <cellStyle name="Percent 2 5 6 2" xfId="2801" xr:uid="{9C543148-0435-4D0A-9193-0D103633D254}"/>
    <cellStyle name="Percent 2 5 7" xfId="1682" xr:uid="{4B747CDC-DDBB-4F1F-ACF2-7353A08425E0}"/>
    <cellStyle name="Percent 2 5 7 2" xfId="2802" xr:uid="{DE7D0614-C093-48F3-B8C1-0800A51A7450}"/>
    <cellStyle name="Percent 2 5 8" xfId="1683" xr:uid="{E23DAA9F-B6B7-4D61-9B60-100CC92ED9DB}"/>
    <cellStyle name="Percent 2 5 8 2" xfId="2803" xr:uid="{71B49A12-5753-4751-B187-E16CEA210E6D}"/>
    <cellStyle name="Percent 2 5 9" xfId="2796" xr:uid="{92E5296D-834E-4C24-9126-968B9160B200}"/>
    <cellStyle name="Percent 2 6" xfId="1684" xr:uid="{149802DC-9898-4B73-9137-93FE6BCFBF31}"/>
    <cellStyle name="Percent 2 6 2" xfId="1685" xr:uid="{80428E80-B176-4EA2-B155-9DABF1B7D341}"/>
    <cellStyle name="Percent 2 6 2 2" xfId="2805" xr:uid="{9AE0BFC4-1E3E-4EBF-8A8E-B01FBC441AEF}"/>
    <cellStyle name="Percent 2 6 3" xfId="1686" xr:uid="{7256369D-044F-4053-A1F3-C8044CE0701E}"/>
    <cellStyle name="Percent 2 6 3 2" xfId="2806" xr:uid="{BC357F1D-FF2E-4FEE-882A-551A97EA3EE8}"/>
    <cellStyle name="Percent 2 6 4" xfId="1687" xr:uid="{B9F2DEE5-8FCE-4D4F-9ADB-02EC93262772}"/>
    <cellStyle name="Percent 2 6 4 2" xfId="2807" xr:uid="{D8FD3A01-F8B4-4446-9D1B-D9FC13FAE8B3}"/>
    <cellStyle name="Percent 2 6 5" xfId="1688" xr:uid="{92DC654D-DA4E-4C67-8CBE-A8495C72D7A0}"/>
    <cellStyle name="Percent 2 6 5 2" xfId="2808" xr:uid="{58898380-55CE-44BB-BDB5-9BF601C3A7C1}"/>
    <cellStyle name="Percent 2 6 6" xfId="1689" xr:uid="{384F546D-8847-4971-A949-BFBD2977AC0C}"/>
    <cellStyle name="Percent 2 6 6 2" xfId="2809" xr:uid="{22E4E537-1DDB-43C7-ABEF-08F81A3D27E4}"/>
    <cellStyle name="Percent 2 6 7" xfId="1690" xr:uid="{DD3B6DB0-1C02-4798-8B9D-338169B41D2B}"/>
    <cellStyle name="Percent 2 6 7 2" xfId="2810" xr:uid="{BF0A9553-365A-4928-8C24-B6B43EEFBD0E}"/>
    <cellStyle name="Percent 2 6 8" xfId="1691" xr:uid="{EDAC0969-EF1E-49AB-A3AB-3952980E4D71}"/>
    <cellStyle name="Percent 2 6 8 2" xfId="2811" xr:uid="{977F40EA-F2DA-43E4-BDC5-A4EC3DE639DC}"/>
    <cellStyle name="Percent 2 6 9" xfId="2804" xr:uid="{0951A8A8-B68D-4472-B5C2-73C9DBA56442}"/>
    <cellStyle name="Percent 2 7" xfId="1692" xr:uid="{4CEB5817-638C-4746-B005-15C28CA2B20F}"/>
    <cellStyle name="Percent 2 7 2" xfId="1693" xr:uid="{DA741974-98CA-4AE4-B76C-DBC4FBDD744F}"/>
    <cellStyle name="Percent 2 7 2 2" xfId="2813" xr:uid="{EBF7FD37-6D86-4E0E-B25F-BDD077574761}"/>
    <cellStyle name="Percent 2 7 3" xfId="1694" xr:uid="{B2590253-6328-4894-A874-B9FEFD328CC6}"/>
    <cellStyle name="Percent 2 7 3 2" xfId="2814" xr:uid="{32AC26AD-F839-4BFA-AE3B-EC3E19EC9F5B}"/>
    <cellStyle name="Percent 2 7 4" xfId="1695" xr:uid="{3D923325-F24B-472B-86F7-135CB308853F}"/>
    <cellStyle name="Percent 2 7 4 2" xfId="2815" xr:uid="{046C5397-36C9-476F-89B6-251CA0A7B454}"/>
    <cellStyle name="Percent 2 7 5" xfId="1696" xr:uid="{E230091D-E67C-429A-B5C8-DCFAA5AEB05E}"/>
    <cellStyle name="Percent 2 7 5 2" xfId="2816" xr:uid="{8FB099D7-6E58-4F85-920C-13B4C7A6B76D}"/>
    <cellStyle name="Percent 2 7 6" xfId="1697" xr:uid="{0811BC80-922F-45D4-81B9-49522A359ECC}"/>
    <cellStyle name="Percent 2 7 6 2" xfId="2817" xr:uid="{B5EDCB00-998A-4AC4-801A-1CA7C6B1C720}"/>
    <cellStyle name="Percent 2 7 7" xfId="1698" xr:uid="{8AA534C1-E6C3-4067-AC85-EE8E722ED212}"/>
    <cellStyle name="Percent 2 7 7 2" xfId="2818" xr:uid="{D9A56653-04A7-4C05-9F65-68F122508AA6}"/>
    <cellStyle name="Percent 2 7 8" xfId="1699" xr:uid="{2BEB2FF4-7A84-4030-B134-392DE85B8428}"/>
    <cellStyle name="Percent 2 7 8 2" xfId="2819" xr:uid="{FE3FE4E8-2AD6-472C-9B77-2263914A69CC}"/>
    <cellStyle name="Percent 2 7 9" xfId="2812" xr:uid="{BCBECA93-A068-4696-B937-4E6DEC2951CF}"/>
    <cellStyle name="Percent 2 8" xfId="1700" xr:uid="{1C2A1A89-70F0-4436-8FBB-D44B5B11BCFF}"/>
    <cellStyle name="Percent 2 8 2" xfId="1701" xr:uid="{2017E939-101E-4006-908A-09CFCFF56ADD}"/>
    <cellStyle name="Percent 2 8 2 2" xfId="2821" xr:uid="{31996088-C861-4CBE-9454-5A20B0E08375}"/>
    <cellStyle name="Percent 2 8 3" xfId="1702" xr:uid="{6E4772EE-EA63-4C5C-B276-4FA9C8C949F1}"/>
    <cellStyle name="Percent 2 8 3 2" xfId="2822" xr:uid="{7ED125CA-16B2-42DD-B89A-5A2D0F097B8E}"/>
    <cellStyle name="Percent 2 8 4" xfId="1703" xr:uid="{639CC7F9-EB3A-4DB6-A0D6-5E37962DB626}"/>
    <cellStyle name="Percent 2 8 4 2" xfId="2823" xr:uid="{28FF8853-D4EE-4BE3-81AF-D14C83529CAE}"/>
    <cellStyle name="Percent 2 8 5" xfId="1704" xr:uid="{A41D9A97-493D-4AB3-B9A9-9A04C540D81A}"/>
    <cellStyle name="Percent 2 8 5 2" xfId="2824" xr:uid="{4F20D104-1337-4F72-A541-0FE59B7A0A7A}"/>
    <cellStyle name="Percent 2 8 6" xfId="1705" xr:uid="{268B8CBE-C7DE-4EFD-993D-E953AD282603}"/>
    <cellStyle name="Percent 2 8 6 2" xfId="2825" xr:uid="{D5BA8873-5669-40C3-8FCC-A5C3B0CB1C47}"/>
    <cellStyle name="Percent 2 8 7" xfId="1706" xr:uid="{D0E0E45B-00C4-43B1-B9D0-F71FD50C59C8}"/>
    <cellStyle name="Percent 2 8 7 2" xfId="2826" xr:uid="{90A47F72-6E5E-4477-8B3D-E33251B0622D}"/>
    <cellStyle name="Percent 2 8 8" xfId="1707" xr:uid="{BB0DF8BB-B27D-4AAF-A33B-66529928541D}"/>
    <cellStyle name="Percent 2 8 8 2" xfId="2827" xr:uid="{AD7F18AA-746C-4D6D-AFAD-6888DBAFACAB}"/>
    <cellStyle name="Percent 2 8 9" xfId="2820" xr:uid="{E1728BF3-BC65-4579-8A1B-4FA3C849DB44}"/>
    <cellStyle name="Percent 2 9" xfId="1708" xr:uid="{0ECA16FD-80E8-488A-B379-BF3F07764B5B}"/>
    <cellStyle name="Percent 2 9 2" xfId="1709" xr:uid="{C483D466-57D9-44FA-AF0C-D97BA61985F7}"/>
    <cellStyle name="Percent 2 9 2 2" xfId="2829" xr:uid="{F62362C4-95C3-42A9-9C42-FB15D7374DC3}"/>
    <cellStyle name="Percent 2 9 3" xfId="1710" xr:uid="{72C766D3-E636-43F7-9126-6A47AD315F04}"/>
    <cellStyle name="Percent 2 9 3 2" xfId="2830" xr:uid="{930553C5-D48C-4E9C-842C-1E0500D929D7}"/>
    <cellStyle name="Percent 2 9 4" xfId="1711" xr:uid="{D33CC764-5B06-4CD0-8D5E-35A584FEE171}"/>
    <cellStyle name="Percent 2 9 4 2" xfId="2831" xr:uid="{E1C31281-7F7A-40F1-801A-721359FB0ACE}"/>
    <cellStyle name="Percent 2 9 5" xfId="1712" xr:uid="{9D184F42-8256-4840-B45C-B94FE536E3ED}"/>
    <cellStyle name="Percent 2 9 5 2" xfId="2832" xr:uid="{AF476215-6966-4128-A315-E4B2FCBF6410}"/>
    <cellStyle name="Percent 2 9 6" xfId="1713" xr:uid="{9851D70A-CF90-4906-ABA4-3787339DBFB2}"/>
    <cellStyle name="Percent 2 9 6 2" xfId="2833" xr:uid="{685D14EE-7D02-4300-A154-D21318C13B8F}"/>
    <cellStyle name="Percent 2 9 7" xfId="1714" xr:uid="{B77368C5-8788-4BAC-9FB7-7BAC44EBA4BD}"/>
    <cellStyle name="Percent 2 9 7 2" xfId="2834" xr:uid="{0137CE1A-C16D-4773-99B6-DFFA5FEC066E}"/>
    <cellStyle name="Percent 2 9 8" xfId="1715" xr:uid="{9F99A887-AED4-4A5C-808A-C0012F1DF1F5}"/>
    <cellStyle name="Percent 2 9 8 2" xfId="2835" xr:uid="{B80E5FC7-D851-4062-BB4D-0D53ED2DED71}"/>
    <cellStyle name="Percent 2 9 9" xfId="2828" xr:uid="{9E2B6F29-9A8F-46F1-9906-D9D073311ED1}"/>
    <cellStyle name="Percent 3" xfId="151" xr:uid="{257322BB-E0DF-4B3F-A790-B63293EEE6B1}"/>
    <cellStyle name="Percent 3 10" xfId="1716" xr:uid="{1DE77E08-38E9-4FCC-954A-39E0973DC62F}"/>
    <cellStyle name="Percent 3 11" xfId="3043" xr:uid="{BA873C45-6A80-4A2E-A85F-815930057BE7}"/>
    <cellStyle name="Percent 3 12" xfId="3269" xr:uid="{C1A24A7D-89D5-4948-B15C-42066C60841D}"/>
    <cellStyle name="Percent 3 2" xfId="152" xr:uid="{C403A18A-B09F-45CB-A285-FC21D7D2D55C}"/>
    <cellStyle name="Percent 3 2 2" xfId="153" xr:uid="{ECAD562F-2765-4D45-92AC-ECBF83FF8397}"/>
    <cellStyle name="Percent 3 2 2 2" xfId="2837" xr:uid="{2164A6DA-DBA2-4939-B5CE-A76A2F3C2723}"/>
    <cellStyle name="Percent 3 2 3" xfId="154" xr:uid="{D698CFBA-6101-44CF-85D5-0DD4268AC975}"/>
    <cellStyle name="Percent 3 2 4" xfId="1717" xr:uid="{D5C6E9D4-E8DA-448F-AEA9-C26DE9B57D0C}"/>
    <cellStyle name="Percent 3 3" xfId="155" xr:uid="{54B35F57-AD2A-4ED8-80A0-DC617DA6E2E8}"/>
    <cellStyle name="Percent 3 3 2" xfId="156" xr:uid="{EE2C954E-1CBD-42B3-9533-D25ABEEB4056}"/>
    <cellStyle name="Percent 3 3 2 2" xfId="2838" xr:uid="{1924B48C-7C0B-400E-ACD9-464613D65C2F}"/>
    <cellStyle name="Percent 3 3 3" xfId="157" xr:uid="{93A16313-0200-4A11-8F3C-931AB4F0DBFB}"/>
    <cellStyle name="Percent 3 3 3 2" xfId="158" xr:uid="{EA3606DE-C685-4B1B-A601-0CB529577A29}"/>
    <cellStyle name="Percent 3 3 4" xfId="1718" xr:uid="{1B117EAB-EC52-4661-B8CC-D9C8FF014E91}"/>
    <cellStyle name="Percent 3 4" xfId="159" xr:uid="{2F5AC72B-8DB4-47BA-9B78-20977D5627E2}"/>
    <cellStyle name="Percent 3 4 2" xfId="160" xr:uid="{45F03601-4C6B-4F89-A6DE-1B362A1FFB97}"/>
    <cellStyle name="Percent 3 4 2 2" xfId="2839" xr:uid="{DE91312F-BBD2-49E3-8832-34018D47E3EA}"/>
    <cellStyle name="Percent 3 4 3" xfId="1719" xr:uid="{C588685A-659A-482E-996A-76247CA9AA5D}"/>
    <cellStyle name="Percent 3 5" xfId="161" xr:uid="{012DAC54-70E4-45B0-B475-B3A2A2F604B5}"/>
    <cellStyle name="Percent 3 5 2" xfId="2840" xr:uid="{99CC7254-C30B-4252-9210-32290306E719}"/>
    <cellStyle name="Percent 3 5 3" xfId="1720" xr:uid="{DB93A32E-8A75-42AC-A5C8-2B00F40E7CF7}"/>
    <cellStyle name="Percent 3 6" xfId="1721" xr:uid="{172ED711-B9D3-4ECE-9067-1D7B729ED018}"/>
    <cellStyle name="Percent 3 6 2" xfId="2841" xr:uid="{E42C7B07-5199-406A-97E9-F43BA79C6676}"/>
    <cellStyle name="Percent 3 7" xfId="1722" xr:uid="{99F03D33-C64C-4BA9-A489-3C25D20C6375}"/>
    <cellStyle name="Percent 3 7 2" xfId="2842" xr:uid="{722FC80A-DE1E-4E85-837C-7C701344F50A}"/>
    <cellStyle name="Percent 3 8" xfId="1723" xr:uid="{0EB19FF9-3E6C-447C-B81C-01454309E6BF}"/>
    <cellStyle name="Percent 3 8 2" xfId="2843" xr:uid="{12AF784D-6E79-4580-A7CB-2A8B2FF91578}"/>
    <cellStyle name="Percent 3 9" xfId="2836" xr:uid="{89308BC5-1E9B-4906-8105-E27965C37F0C}"/>
    <cellStyle name="Percent 3 9 2" xfId="3164" xr:uid="{E61FA7AF-148B-4643-B478-896BE0A3A694}"/>
    <cellStyle name="Percent 3 9 3" xfId="3390" xr:uid="{9AB3C8CB-8BFE-4A97-9979-8B36C85AEDAA}"/>
    <cellStyle name="Percent 4" xfId="162" xr:uid="{BA6D472E-3A66-4FD3-B0AF-48B4C29EE8CB}"/>
    <cellStyle name="Percent 4 10" xfId="1725" xr:uid="{AFBD29D3-C688-4960-9A50-CFA025CAFD25}"/>
    <cellStyle name="Percent 4 10 2" xfId="2845" xr:uid="{D5586994-DD25-4EB9-9F48-378033D5754A}"/>
    <cellStyle name="Percent 4 11" xfId="1726" xr:uid="{4CBA965E-1C9E-46DF-88B2-2F1166502643}"/>
    <cellStyle name="Percent 4 11 2" xfId="2846" xr:uid="{C56F45AF-BAE8-4336-AA23-030FA8F673BF}"/>
    <cellStyle name="Percent 4 12" xfId="1727" xr:uid="{3AE23F1C-6CEF-4D98-8D8B-AC01635099C0}"/>
    <cellStyle name="Percent 4 12 2" xfId="2847" xr:uid="{1600A906-0E9B-46B7-9828-BF95A0D22F67}"/>
    <cellStyle name="Percent 4 13" xfId="1728" xr:uid="{6B53E90C-C4E0-4A1A-9A66-9166A890C01A}"/>
    <cellStyle name="Percent 4 13 2" xfId="2848" xr:uid="{DE618944-736F-4A3F-A4DA-18DFD72A081E}"/>
    <cellStyle name="Percent 4 14" xfId="2844" xr:uid="{806CD0FA-B2DB-4D44-ABFC-71A5C255735C}"/>
    <cellStyle name="Percent 4 15" xfId="1724" xr:uid="{0AEC0B78-A323-4CC4-915F-D66BB603B4D5}"/>
    <cellStyle name="Percent 4 2" xfId="163" xr:uid="{C3D09B19-2FB3-4800-855E-DA8B8C2FDCA4}"/>
    <cellStyle name="Percent 4 2 10" xfId="1729" xr:uid="{C246941E-E7FC-4F05-AEFE-39D649720C9D}"/>
    <cellStyle name="Percent 4 2 2" xfId="164" xr:uid="{B79619F0-6701-4FCC-96B8-B2D4CB6A52CE}"/>
    <cellStyle name="Percent 4 2 2 2" xfId="2850" xr:uid="{F0259AC1-8AD7-4D6B-9D74-107A6421744A}"/>
    <cellStyle name="Percent 4 2 2 3" xfId="1730" xr:uid="{AB5AF550-D25A-45A3-A437-B46111FDD6C6}"/>
    <cellStyle name="Percent 4 2 3" xfId="1731" xr:uid="{B5E7D7C9-B79A-48D2-B131-08B2A6243609}"/>
    <cellStyle name="Percent 4 2 3 2" xfId="2851" xr:uid="{C66CF478-5A6A-4BEA-BCF7-025C154EF550}"/>
    <cellStyle name="Percent 4 2 4" xfId="1732" xr:uid="{0313B2B1-D0A9-45C4-AFEA-90180C8FE6F8}"/>
    <cellStyle name="Percent 4 2 4 2" xfId="2852" xr:uid="{E0FDE821-B44F-437E-A679-74B5A313410B}"/>
    <cellStyle name="Percent 4 2 5" xfId="1733" xr:uid="{7FCB88D9-C5BF-406F-B97B-C1B45A183719}"/>
    <cellStyle name="Percent 4 2 5 2" xfId="2853" xr:uid="{80477B94-A853-4026-ABC5-DF4F131BE1C0}"/>
    <cellStyle name="Percent 4 2 6" xfId="1734" xr:uid="{10D1B1D3-B76C-48FF-B286-9B8362180AD5}"/>
    <cellStyle name="Percent 4 2 6 2" xfId="2854" xr:uid="{32702545-1533-4179-B27F-9C2D5FACD38C}"/>
    <cellStyle name="Percent 4 2 7" xfId="1735" xr:uid="{3A7CB759-BCFC-44B4-99F4-BF2E76A29F4F}"/>
    <cellStyle name="Percent 4 2 7 2" xfId="2855" xr:uid="{253CC86B-AD2E-415A-85A7-56281B7488BA}"/>
    <cellStyle name="Percent 4 2 8" xfId="1736" xr:uid="{46720979-979F-4F6B-8841-75373F4515E2}"/>
    <cellStyle name="Percent 4 2 8 2" xfId="2856" xr:uid="{094F98A8-1287-4F4F-ACAF-15F52C2123A6}"/>
    <cellStyle name="Percent 4 2 9" xfId="2849" xr:uid="{22B8A7E7-13A0-4FBD-B9A2-CEB29F4635E6}"/>
    <cellStyle name="Percent 4 3" xfId="165" xr:uid="{360A5CC8-87DA-4C13-8293-59D13693387D}"/>
    <cellStyle name="Percent 4 3 10" xfId="1737" xr:uid="{F92F3636-69D9-473C-A2F0-470FECB44067}"/>
    <cellStyle name="Percent 4 3 2" xfId="1738" xr:uid="{6BEE9690-C312-49B6-9BFE-1A3EEB273E85}"/>
    <cellStyle name="Percent 4 3 2 2" xfId="2858" xr:uid="{944F469F-8556-446D-BDB3-E573075FA26D}"/>
    <cellStyle name="Percent 4 3 3" xfId="1739" xr:uid="{716CE9B4-FDEE-46EC-BC64-0FD17B38A400}"/>
    <cellStyle name="Percent 4 3 3 2" xfId="2859" xr:uid="{A3387255-0C33-4689-8A74-18617442BD4D}"/>
    <cellStyle name="Percent 4 3 4" xfId="1740" xr:uid="{D6854D1E-307D-4A6D-80BA-2612D465F34E}"/>
    <cellStyle name="Percent 4 3 4 2" xfId="2860" xr:uid="{7A1BB2E1-3DCA-4C84-9FF1-1C985DD96909}"/>
    <cellStyle name="Percent 4 3 5" xfId="1741" xr:uid="{CB9616BF-7A49-4825-B35B-71B75BA5ECD3}"/>
    <cellStyle name="Percent 4 3 5 2" xfId="2861" xr:uid="{C206BA19-40F0-4DC6-964B-3BCF300AD482}"/>
    <cellStyle name="Percent 4 3 6" xfId="1742" xr:uid="{66E48930-262D-4B23-A321-0E82BDFC3D81}"/>
    <cellStyle name="Percent 4 3 6 2" xfId="2862" xr:uid="{334C4660-DA6B-4571-9AAB-19262C9AAF75}"/>
    <cellStyle name="Percent 4 3 7" xfId="1743" xr:uid="{16AC2688-775A-4399-8443-E9696D85D303}"/>
    <cellStyle name="Percent 4 3 7 2" xfId="2863" xr:uid="{0A9B63F9-10F7-4DCB-8140-0BDE5D948EE5}"/>
    <cellStyle name="Percent 4 3 8" xfId="1744" xr:uid="{DBB6630C-37DF-4B95-B4FC-96EB42777F21}"/>
    <cellStyle name="Percent 4 3 8 2" xfId="2864" xr:uid="{36C59C74-3B02-4FA9-B8C9-674A9FDBBBF2}"/>
    <cellStyle name="Percent 4 3 9" xfId="2857" xr:uid="{7174719A-9504-4298-B636-10E4778223A1}"/>
    <cellStyle name="Percent 4 4" xfId="166" xr:uid="{316F13EB-2CD6-4F2C-9FBC-03BBDA6F9F2E}"/>
    <cellStyle name="Percent 4 4 10" xfId="1745" xr:uid="{206F6150-B11E-41F0-9CD5-7CDA86F612D4}"/>
    <cellStyle name="Percent 4 4 2" xfId="1746" xr:uid="{A084BE9E-7F41-41F3-888F-233175BB4229}"/>
    <cellStyle name="Percent 4 4 2 2" xfId="2866" xr:uid="{22658242-3754-40A3-8372-87A52111E47D}"/>
    <cellStyle name="Percent 4 4 3" xfId="1747" xr:uid="{A5A18E05-B058-4341-9CF3-41AA42F484AA}"/>
    <cellStyle name="Percent 4 4 3 2" xfId="2867" xr:uid="{B6899B9A-8EB2-41E5-9B50-EFF002A9C040}"/>
    <cellStyle name="Percent 4 4 4" xfId="1748" xr:uid="{F96F20E8-8677-4D64-BE3A-D6FDCBA5E2CD}"/>
    <cellStyle name="Percent 4 4 4 2" xfId="2868" xr:uid="{33CF1511-34B8-4147-872F-5E9650E3AEAC}"/>
    <cellStyle name="Percent 4 4 5" xfId="1749" xr:uid="{10F6E604-A5AD-4092-9750-B231EE883A57}"/>
    <cellStyle name="Percent 4 4 5 2" xfId="2869" xr:uid="{67B88B52-28F4-4D22-A91B-141BDD60B9CA}"/>
    <cellStyle name="Percent 4 4 6" xfId="1750" xr:uid="{E34AE76E-AD02-409D-83CE-8012B90E794F}"/>
    <cellStyle name="Percent 4 4 6 2" xfId="2870" xr:uid="{1A09AE2E-9003-47BD-AA4F-C7AA5189573F}"/>
    <cellStyle name="Percent 4 4 7" xfId="1751" xr:uid="{BEC35403-0CA6-42D6-BF05-CC477C43917F}"/>
    <cellStyle name="Percent 4 4 7 2" xfId="2871" xr:uid="{8933ED2C-780E-4643-A35E-7C6268B5488D}"/>
    <cellStyle name="Percent 4 4 8" xfId="1752" xr:uid="{C201D6ED-4A27-4252-8CEF-F99821662377}"/>
    <cellStyle name="Percent 4 4 8 2" xfId="2872" xr:uid="{62E2B1DF-B765-4482-A0D6-BDA2BEA27EA1}"/>
    <cellStyle name="Percent 4 4 9" xfId="2865" xr:uid="{A21DA83F-67EB-4DA8-9F71-408E6A83A6B1}"/>
    <cellStyle name="Percent 4 5" xfId="1753" xr:uid="{DDD03526-5358-4C03-88AE-59A8FF2F63D3}"/>
    <cellStyle name="Percent 4 5 2" xfId="1754" xr:uid="{4610B429-9C46-4A80-B816-4856B834E1F9}"/>
    <cellStyle name="Percent 4 5 2 2" xfId="2874" xr:uid="{D22D1A7C-50CC-4420-A976-9763E2EDBBD4}"/>
    <cellStyle name="Percent 4 5 3" xfId="1755" xr:uid="{9B89FCC0-95CF-435A-B0DC-8F1CD04D1691}"/>
    <cellStyle name="Percent 4 5 3 2" xfId="2875" xr:uid="{665EEDE4-2F54-4A55-A406-ECD4E41D883B}"/>
    <cellStyle name="Percent 4 5 4" xfId="1756" xr:uid="{61DC5C7A-DDF1-4C96-BB53-24CD91E63AC0}"/>
    <cellStyle name="Percent 4 5 4 2" xfId="2876" xr:uid="{C9FE665F-0071-4EF3-A436-B1DD1D212C9E}"/>
    <cellStyle name="Percent 4 5 5" xfId="1757" xr:uid="{BDA7DFB5-2518-4A86-8432-BD06DC8D9954}"/>
    <cellStyle name="Percent 4 5 5 2" xfId="2877" xr:uid="{1E44F338-17C5-4CA7-9009-AA1F8EC88AFC}"/>
    <cellStyle name="Percent 4 5 6" xfId="1758" xr:uid="{53088802-F304-4F70-8887-30D59A649155}"/>
    <cellStyle name="Percent 4 5 6 2" xfId="2878" xr:uid="{65C94E49-C8D8-4BA3-BC0F-44F229BF9AFF}"/>
    <cellStyle name="Percent 4 5 7" xfId="1759" xr:uid="{29858AE9-B847-4BA5-A93E-26A86104A247}"/>
    <cellStyle name="Percent 4 5 7 2" xfId="2879" xr:uid="{FA6B3FDE-C940-4D72-A102-EC16A5298184}"/>
    <cellStyle name="Percent 4 5 8" xfId="1760" xr:uid="{93B28B44-844D-4F7A-AC3B-6B7B448F63E1}"/>
    <cellStyle name="Percent 4 5 8 2" xfId="2880" xr:uid="{C9F0F6CE-156E-4143-B15B-143C380C0D2B}"/>
    <cellStyle name="Percent 4 5 9" xfId="2873" xr:uid="{380EA157-E349-486A-8613-AE08658930F5}"/>
    <cellStyle name="Percent 4 6" xfId="1761" xr:uid="{49BE7521-8F53-4561-ABB5-F352D57A209A}"/>
    <cellStyle name="Percent 4 6 2" xfId="1762" xr:uid="{B8443F29-C791-419A-86C2-D8CA3179AE08}"/>
    <cellStyle name="Percent 4 6 2 2" xfId="2882" xr:uid="{F633FA49-5B70-4F52-AF83-DDD54739F43B}"/>
    <cellStyle name="Percent 4 6 3" xfId="1763" xr:uid="{6A7AA688-71C1-46C3-8210-F8B980204E42}"/>
    <cellStyle name="Percent 4 6 3 2" xfId="2883" xr:uid="{97DBFEDB-B436-4037-B382-93D710CB8AC2}"/>
    <cellStyle name="Percent 4 6 4" xfId="1764" xr:uid="{0AB53E60-FABE-489C-9914-83EDD60A61D7}"/>
    <cellStyle name="Percent 4 6 4 2" xfId="2884" xr:uid="{A3C19C3C-D568-4053-AE56-4CD63612B848}"/>
    <cellStyle name="Percent 4 6 5" xfId="1765" xr:uid="{434B847A-B621-44DD-98DC-3EC8BAA2EAEF}"/>
    <cellStyle name="Percent 4 6 5 2" xfId="2885" xr:uid="{D85B3381-EF4C-410C-A984-A11C8F6F25B4}"/>
    <cellStyle name="Percent 4 6 6" xfId="1766" xr:uid="{ECDE1A21-6B7B-4B80-81BB-1C7BED98DF5C}"/>
    <cellStyle name="Percent 4 6 6 2" xfId="2886" xr:uid="{99E53B78-67EF-4EBB-93FD-90DE5B8EDE0F}"/>
    <cellStyle name="Percent 4 6 7" xfId="1767" xr:uid="{C0D52CEC-B133-430D-A9B4-DAEEF35295B0}"/>
    <cellStyle name="Percent 4 6 7 2" xfId="2887" xr:uid="{4917882B-3736-49E7-B774-40BF31717B67}"/>
    <cellStyle name="Percent 4 6 8" xfId="1768" xr:uid="{E725E191-4770-42EF-8694-61AB3D743247}"/>
    <cellStyle name="Percent 4 6 8 2" xfId="2888" xr:uid="{BCA7CB7A-5D5E-497E-9AED-F59FFDCCB143}"/>
    <cellStyle name="Percent 4 6 9" xfId="2881" xr:uid="{50B92972-39E3-470E-A73A-98E44FB72002}"/>
    <cellStyle name="Percent 4 7" xfId="1769" xr:uid="{CEA29331-906F-4F48-983B-723850934BDC}"/>
    <cellStyle name="Percent 4 7 2" xfId="2889" xr:uid="{22FABC8C-827D-4870-8228-8E19254C8F9A}"/>
    <cellStyle name="Percent 4 8" xfId="1770" xr:uid="{1BE0BC50-1348-49B1-9DF5-88F19B136801}"/>
    <cellStyle name="Percent 4 8 2" xfId="2890" xr:uid="{A01BAF55-01F5-4D17-A978-02EA3CBF732A}"/>
    <cellStyle name="Percent 4 9" xfId="1771" xr:uid="{8DED7889-2D1D-4513-A336-97D2F9F8DC2D}"/>
    <cellStyle name="Percent 4 9 2" xfId="2891" xr:uid="{EDD27C46-6881-469D-806D-E5BB9566386F}"/>
    <cellStyle name="Percent 5" xfId="167" xr:uid="{1A067E0D-9DF2-48B3-A7D0-BEE14D2FB558}"/>
    <cellStyle name="Percent 5 10" xfId="1772" xr:uid="{D796C6FA-B937-446B-86FC-C2BA4547DC0E}"/>
    <cellStyle name="Percent 5 2" xfId="168" xr:uid="{48FD3118-6A3C-405A-8DCD-24003A180B46}"/>
    <cellStyle name="Percent 5 2 2" xfId="2893" xr:uid="{E1FAC082-BF97-480F-87ED-25656591CE49}"/>
    <cellStyle name="Percent 5 2 3" xfId="1773" xr:uid="{DF29834A-71D9-4A1B-AEE1-4A3CFE016450}"/>
    <cellStyle name="Percent 5 3" xfId="1774" xr:uid="{63563D0F-9268-4102-B59E-FEA9C2829EC9}"/>
    <cellStyle name="Percent 5 3 2" xfId="2894" xr:uid="{59CBAFB1-F300-4A57-B1E4-4ABA00510CA7}"/>
    <cellStyle name="Percent 5 4" xfId="1775" xr:uid="{29E0BF9F-95E6-4B1E-A64F-5F6F10281740}"/>
    <cellStyle name="Percent 5 4 2" xfId="2895" xr:uid="{4733FE64-E55B-4925-9B7A-704BD966A52A}"/>
    <cellStyle name="Percent 5 5" xfId="1776" xr:uid="{B25E2F65-8760-4C03-A158-80ABD8C589CA}"/>
    <cellStyle name="Percent 5 5 2" xfId="2896" xr:uid="{0F2D463A-C630-4CAA-A1FC-78B75E693806}"/>
    <cellStyle name="Percent 5 6" xfId="1777" xr:uid="{3DA6F54A-2F50-48A2-8EF4-27DBB0FCBCDD}"/>
    <cellStyle name="Percent 5 6 2" xfId="2897" xr:uid="{A925649B-ECB6-4395-8545-6AA040C1558A}"/>
    <cellStyle name="Percent 5 7" xfId="1778" xr:uid="{0FD9C8A9-B2A6-42E7-82C8-57540E0704D9}"/>
    <cellStyle name="Percent 5 7 2" xfId="2898" xr:uid="{AF2DD6F5-20BC-4B77-957C-7A880011F455}"/>
    <cellStyle name="Percent 5 8" xfId="1779" xr:uid="{636DD77B-C0DF-4DC0-9E2D-BC934E8DF3EF}"/>
    <cellStyle name="Percent 5 8 2" xfId="2899" xr:uid="{C5B5A2B3-C305-4D21-9D65-5F979C5D0152}"/>
    <cellStyle name="Percent 5 9" xfId="2892" xr:uid="{F3753B83-68A5-478B-AB82-B5825798ED4C}"/>
    <cellStyle name="Percent 6" xfId="169" xr:uid="{69707AF3-CC32-44CB-85BC-B802F702EBFD}"/>
    <cellStyle name="Percent 6 10" xfId="1780" xr:uid="{5DE9532E-572F-40D1-90F0-E3FDE91A638F}"/>
    <cellStyle name="Percent 6 2" xfId="1781" xr:uid="{0BB7AEE6-85AE-42B5-9094-CDC22A80DD3E}"/>
    <cellStyle name="Percent 6 2 2" xfId="2901" xr:uid="{6F6D75DF-20EC-4B74-B13C-46ED5C50D53A}"/>
    <cellStyle name="Percent 6 3" xfId="1782" xr:uid="{AF554C9C-950E-4E3A-A35B-C58639205EFA}"/>
    <cellStyle name="Percent 6 3 2" xfId="2902" xr:uid="{A477048F-AB67-4236-A368-4429C348D32F}"/>
    <cellStyle name="Percent 6 4" xfId="1783" xr:uid="{6DBE89A3-A951-4C42-90CE-65F9950B74A3}"/>
    <cellStyle name="Percent 6 4 2" xfId="2903" xr:uid="{873CB4BF-10F2-446A-B18A-62F8A65085E7}"/>
    <cellStyle name="Percent 6 5" xfId="1784" xr:uid="{E19D7AC9-B8E5-47D8-8983-8F3D56D1A86A}"/>
    <cellStyle name="Percent 6 5 2" xfId="2904" xr:uid="{7B644834-355D-4541-971B-251BEDA82085}"/>
    <cellStyle name="Percent 6 6" xfId="1785" xr:uid="{099B0A03-181F-4482-913D-04888EBC8447}"/>
    <cellStyle name="Percent 6 6 2" xfId="2905" xr:uid="{442C019A-B8FC-4D61-AA59-5095EA6AFDD6}"/>
    <cellStyle name="Percent 6 7" xfId="1786" xr:uid="{26729790-829A-4654-B5F2-66E109B9CAF8}"/>
    <cellStyle name="Percent 6 7 2" xfId="2906" xr:uid="{032327D6-FD43-4FC7-9E1F-EA93C98BBBB5}"/>
    <cellStyle name="Percent 6 8" xfId="1787" xr:uid="{01117EA3-D082-42A3-8BA6-85A4D1E8B4B4}"/>
    <cellStyle name="Percent 6 8 2" xfId="2907" xr:uid="{F4FAE61E-5677-4F33-AB6A-147B1B7748A5}"/>
    <cellStyle name="Percent 6 9" xfId="2900" xr:uid="{554D304E-407C-4C47-B618-1E19B2F7B173}"/>
    <cellStyle name="Percent 7" xfId="1788" xr:uid="{8004F3D0-63AF-405C-8BCE-8F0948414274}"/>
    <cellStyle name="Percent 7 2" xfId="1789" xr:uid="{FE4F7E2E-429C-46FF-822D-7BE2606FFDD5}"/>
    <cellStyle name="Percent 7 2 2" xfId="2909" xr:uid="{979E1445-3C77-4EB3-A7AF-EDDEBE4B9A17}"/>
    <cellStyle name="Percent 7 3" xfId="1790" xr:uid="{1D6A08A6-5C2B-40D6-B2DA-AC47FA15A2C4}"/>
    <cellStyle name="Percent 7 3 2" xfId="2910" xr:uid="{1351AF8E-C5BF-4746-86C9-352D7B4C9E17}"/>
    <cellStyle name="Percent 7 4" xfId="1791" xr:uid="{DD866DD0-534F-44B1-A52B-BC2D3DF79CAF}"/>
    <cellStyle name="Percent 7 4 2" xfId="2911" xr:uid="{6A2C5962-3143-4E2B-A365-2F5B63156B46}"/>
    <cellStyle name="Percent 7 5" xfId="1792" xr:uid="{74862F8B-9DD1-43AE-A04A-CE44AF1866A8}"/>
    <cellStyle name="Percent 7 5 2" xfId="2912" xr:uid="{F4FE49E1-F177-4E96-8CC2-9458343F29DE}"/>
    <cellStyle name="Percent 7 6" xfId="1793" xr:uid="{54FCEC96-ACDC-448B-B018-51672A879A72}"/>
    <cellStyle name="Percent 7 6 2" xfId="2913" xr:uid="{363692B1-6BD5-488F-8120-A5B1F6F5DB10}"/>
    <cellStyle name="Percent 7 7" xfId="1794" xr:uid="{C10C725B-8E02-4591-B448-FC1A63564E34}"/>
    <cellStyle name="Percent 7 7 2" xfId="2914" xr:uid="{6454B3EE-C5F5-47DE-A9F5-5176A86632F4}"/>
    <cellStyle name="Percent 7 8" xfId="1795" xr:uid="{DD9A48FB-8B8B-4ABB-AD53-E256840DB05D}"/>
    <cellStyle name="Percent 7 8 2" xfId="2915" xr:uid="{5E84CA90-902D-47BA-8F73-0839C22FFAE8}"/>
    <cellStyle name="Percent 7 9" xfId="2908" xr:uid="{0A2B9E21-E8F4-4854-B66E-6D9FADD27079}"/>
    <cellStyle name="Percent 8" xfId="1796" xr:uid="{DF3EF77F-DA91-429A-9586-17C23B5F890B}"/>
    <cellStyle name="Percent 8 2" xfId="1797" xr:uid="{EFD6663E-6E5E-4E37-B354-32275BCA51EB}"/>
    <cellStyle name="Percent 8 2 2" xfId="2917" xr:uid="{BC76269E-E233-40A2-9371-5FA75A7EA564}"/>
    <cellStyle name="Percent 8 3" xfId="1798" xr:uid="{9BA54307-37EF-44C7-AD1F-0FD4E675BB92}"/>
    <cellStyle name="Percent 8 3 2" xfId="2918" xr:uid="{B52286EF-6C04-4887-8D84-F79A14B29410}"/>
    <cellStyle name="Percent 8 4" xfId="1799" xr:uid="{C2839C80-41F4-4282-A324-8EB2D7732621}"/>
    <cellStyle name="Percent 8 4 2" xfId="2919" xr:uid="{83481AD6-B3FC-4D09-8F39-CF6D5C8BB8D4}"/>
    <cellStyle name="Percent 8 5" xfId="1800" xr:uid="{4F052A88-C178-41BE-AF2A-E77BB98384BA}"/>
    <cellStyle name="Percent 8 5 2" xfId="2920" xr:uid="{F6BEDA18-83C7-47D3-B3CA-66736272287F}"/>
    <cellStyle name="Percent 8 6" xfId="1801" xr:uid="{79768CB3-6425-41ED-B882-C7BFCA6EA29A}"/>
    <cellStyle name="Percent 8 6 2" xfId="2921" xr:uid="{C9355197-59B4-47FA-B745-9E834235353E}"/>
    <cellStyle name="Percent 8 7" xfId="1802" xr:uid="{04D447DF-1CA3-4964-94D0-0573663E09BC}"/>
    <cellStyle name="Percent 8 7 2" xfId="2922" xr:uid="{EB62E8BF-3D43-4606-BE34-4FF34963BAC1}"/>
    <cellStyle name="Percent 8 8" xfId="1803" xr:uid="{8B79C37C-3167-454E-824B-C9ECBCCF35E2}"/>
    <cellStyle name="Percent 8 8 2" xfId="2923" xr:uid="{689D3F4D-B60F-46BA-A24A-5A0B45435CCD}"/>
    <cellStyle name="Percent 8 9" xfId="2916" xr:uid="{2F816DBA-1660-42C6-B7C5-934CEED63C9A}"/>
    <cellStyle name="Percent 9" xfId="1804" xr:uid="{08971BD5-0C62-475E-A5D7-43D14ED921D6}"/>
    <cellStyle name="Percent 9 2" xfId="1805" xr:uid="{2CCE47B6-3B9F-48BD-85E5-A022D4A7BB35}"/>
    <cellStyle name="Percent 9 2 2" xfId="2925" xr:uid="{3E4A77C1-E399-414C-81F5-2E6F50BA797E}"/>
    <cellStyle name="Percent 9 3" xfId="1806" xr:uid="{D2A7F447-4576-436D-BB66-19A286BC28B3}"/>
    <cellStyle name="Percent 9 3 2" xfId="2926" xr:uid="{23548A65-6A58-47C3-B112-56AEC8328A85}"/>
    <cellStyle name="Percent 9 4" xfId="1807" xr:uid="{4C46B1AE-A644-44E9-B586-9557062D5651}"/>
    <cellStyle name="Percent 9 4 2" xfId="2927" xr:uid="{8FEBFC35-9AF1-4BA9-B2CE-015EC4B0B24A}"/>
    <cellStyle name="Percent 9 5" xfId="1808" xr:uid="{1EB290CE-7DD8-4272-9271-1CCF1E578AEA}"/>
    <cellStyle name="Percent 9 5 2" xfId="2928" xr:uid="{1A195E27-5F5F-497D-8B4F-E3C15EEABAB2}"/>
    <cellStyle name="Percent 9 6" xfId="1809" xr:uid="{DB593C02-DB50-426C-9D28-BBF291ADFCDA}"/>
    <cellStyle name="Percent 9 6 2" xfId="2929" xr:uid="{9F092D17-1A1C-40DF-9ED8-C678FC5D1C1B}"/>
    <cellStyle name="Percent 9 7" xfId="1810" xr:uid="{253F78E0-27AB-4FDF-A1C9-3DADEA721B0E}"/>
    <cellStyle name="Percent 9 7 2" xfId="2930" xr:uid="{7D0080AC-E049-4839-93BB-CB91DD4F2550}"/>
    <cellStyle name="Percent 9 8" xfId="1811" xr:uid="{F26F2769-7B92-44B0-9B3B-96D8F9B8E5D7}"/>
    <cellStyle name="Percent 9 8 2" xfId="2931" xr:uid="{D0D59B4F-F4E3-49D2-AAFA-CE823B49299E}"/>
    <cellStyle name="Percent 9 9" xfId="2924" xr:uid="{D05D4DD0-C58D-4D04-823F-1F8F0F8F5C84}"/>
    <cellStyle name="Pilkku_Layo9704" xfId="170" xr:uid="{D75E0EFE-286E-4877-A6CB-D55115393376}"/>
    <cellStyle name="Pyör. luku_Layo9704" xfId="171" xr:uid="{4EA1B547-CD54-499F-8F88-ACA70C4EC21B}"/>
    <cellStyle name="Pyör. valuutta_Layo9704" xfId="172" xr:uid="{483D0087-5B9D-4CE7-A2A1-9589B4B1745E}"/>
    <cellStyle name="source" xfId="1812" xr:uid="{A20A70F2-42B6-439A-96D0-0BFCA99C391C}"/>
    <cellStyle name="Standard_Sce_D_Extraction" xfId="173" xr:uid="{B8E64791-30BC-4D07-9B74-1868AAFAE6D8}"/>
    <cellStyle name="Style 21" xfId="174" xr:uid="{2528BB33-A219-4BB6-8580-060E57AC1BA5}"/>
    <cellStyle name="Style 21 2" xfId="175" xr:uid="{94683168-926F-4E7D-B9D1-EFBF9BB4A630}"/>
    <cellStyle name="Style 22" xfId="176" xr:uid="{298F0E4E-F289-44D0-81A3-8EBA9F17706B}"/>
    <cellStyle name="Style 23" xfId="177" xr:uid="{160BF1F2-69C3-47B2-8A20-88044319066F}"/>
    <cellStyle name="Style 24" xfId="178" xr:uid="{F1F67207-7CC4-41C1-9CB4-BF6CDF9209B1}"/>
    <cellStyle name="Style 25" xfId="179" xr:uid="{98042AB6-DE4D-4B0E-ACBE-DCF055435EF0}"/>
    <cellStyle name="Style 25 2" xfId="180" xr:uid="{00C37312-32E0-4B3C-BC97-DE596D262C4C}"/>
    <cellStyle name="Style 26" xfId="181" xr:uid="{0D3EF600-538F-4F1D-9189-0DE565942EA5}"/>
    <cellStyle name="Style 29" xfId="1813" xr:uid="{4B8DAEE3-953B-45BE-B034-B4CE457EB4D2}"/>
    <cellStyle name="Style 29 2" xfId="1814" xr:uid="{34E0FFF5-4CE9-4B3B-84CE-E1E24BB382C4}"/>
    <cellStyle name="Style 29 2 2" xfId="2933" xr:uid="{A354ECFA-F8FD-4CBD-A125-5723515A8295}"/>
    <cellStyle name="Style 29 3" xfId="2932" xr:uid="{F97F5D70-CA05-4580-8119-01A62F623BE0}"/>
    <cellStyle name="Style 35" xfId="1815" xr:uid="{F95AF692-CFBF-4A11-8A20-81796279544F}"/>
    <cellStyle name="Style 35 2" xfId="1816" xr:uid="{54BA80F9-A0AD-4B80-9D83-B23088702795}"/>
    <cellStyle name="Style 36" xfId="1817" xr:uid="{03997704-363E-4A17-8FD7-884279FA8597}"/>
    <cellStyle name="Style 36 2" xfId="1818" xr:uid="{E90B23F8-6BA8-4582-9C81-E55C4E9B4D40}"/>
    <cellStyle name="tableau | cellule | normal | decimal 1" xfId="1819" xr:uid="{929844DA-8779-445B-AA23-9045E49A37CE}"/>
    <cellStyle name="tableau | cellule | normal | pourcentage | decimal 1" xfId="1820" xr:uid="{EE3FA6B8-368B-4F94-AF98-F2B2C361B584}"/>
    <cellStyle name="tableau | cellule | total | decimal 1" xfId="1821" xr:uid="{7EBED92E-56D5-40BD-95BC-EFF2361264F0}"/>
    <cellStyle name="tableau | coin superieur gauche" xfId="1822" xr:uid="{0F79C0AD-D8AB-40D6-A728-9F379B92556C}"/>
    <cellStyle name="tableau | coin superieur gauche 2" xfId="2934" xr:uid="{1F91B368-4BC3-4F3D-B978-E72CF035452C}"/>
    <cellStyle name="tableau | entete-colonne | series" xfId="1823" xr:uid="{E8F0E04A-21EC-415D-9FF1-7D1663D7F256}"/>
    <cellStyle name="tableau | entete-colonne | series 2" xfId="2935" xr:uid="{97AE97A0-FD3D-433F-9AA8-9D32901439CB}"/>
    <cellStyle name="tableau | entete-ligne | normal" xfId="1824" xr:uid="{48062A95-DA0B-4A75-A271-C077A8258A4B}"/>
    <cellStyle name="tableau | entete-ligne | normal 2" xfId="2936" xr:uid="{D062BF65-3AB2-4B9D-8795-3E2D936CD319}"/>
    <cellStyle name="tableau | entete-ligne | total" xfId="1825" xr:uid="{731CA852-F4CE-437D-B9CA-5FE25608115E}"/>
    <cellStyle name="tableau | ligne-titre | niveau1" xfId="1826" xr:uid="{4FD760F4-DA22-4562-A232-33791ADD77DD}"/>
    <cellStyle name="tableau | ligne-titre | niveau1 2" xfId="2937" xr:uid="{8594ECD9-0762-4F1C-BED8-26F963C9AEBB}"/>
    <cellStyle name="tableau | ligne-titre | niveau2" xfId="1827" xr:uid="{92B8B5E9-00CE-4836-A0E3-CDF4C218A2E2}"/>
    <cellStyle name="tableau | ligne-titre | niveau2 2" xfId="2938" xr:uid="{B71BC001-5EA0-4FF4-83AE-148C3B93EEA5}"/>
    <cellStyle name="Title 2" xfId="182" xr:uid="{C2132C04-28ED-40CA-9A9D-D876D61AAF91}"/>
    <cellStyle name="Title 2 10" xfId="1828" xr:uid="{43B5376B-0C68-4C6D-B461-CDF398D974E1}"/>
    <cellStyle name="Title 2 2" xfId="1829" xr:uid="{8637F2D2-7C48-4194-AE77-428466C4D24A}"/>
    <cellStyle name="Title 2 3" xfId="1830" xr:uid="{405715F1-3899-4CB0-A955-8E8C21D967FE}"/>
    <cellStyle name="Title 2 4" xfId="1831" xr:uid="{DD3B050A-D32D-472F-B180-5D37AA69F6EF}"/>
    <cellStyle name="Title 2 5" xfId="1832" xr:uid="{DBE7ED45-36FB-488B-B5F8-AD1327601311}"/>
    <cellStyle name="Title 2 6" xfId="1833" xr:uid="{585AFF67-3992-4BAE-9825-3DCCBA1F4E1E}"/>
    <cellStyle name="Title 2 7" xfId="1834" xr:uid="{97F2B7D7-98F7-48F5-8BD0-5D7FF3F16F0D}"/>
    <cellStyle name="Title 2 8" xfId="1835" xr:uid="{72A40BA3-812F-4E16-A4F8-9771183A73BD}"/>
    <cellStyle name="Title 2 9" xfId="1836" xr:uid="{8327913A-DBCA-445D-9353-48F4D8C8B3CF}"/>
    <cellStyle name="Title 3" xfId="183" xr:uid="{F0A59D62-0AA7-4BF1-9036-2A39FD7BE007}"/>
    <cellStyle name="Title 3 2" xfId="1837" xr:uid="{6FC9C754-376B-4F71-A17A-8ED37DBF6771}"/>
    <cellStyle name="Total 2" xfId="184" xr:uid="{6876E92B-A0D8-4E4A-9AE7-AF43936C56DE}"/>
    <cellStyle name="Total 2 10" xfId="1838" xr:uid="{795F7696-8810-4534-BF9C-DEF5091ACBE7}"/>
    <cellStyle name="Total 2 2" xfId="1839" xr:uid="{6AF81DCC-CF11-4C5D-875E-291CDFC44E05}"/>
    <cellStyle name="Total 2 3" xfId="1840" xr:uid="{0A3468B1-AD6E-46D9-9CB1-0233698C7B79}"/>
    <cellStyle name="Total 2 4" xfId="1841" xr:uid="{C14D51CE-86ED-4771-9EC7-51C98850FE20}"/>
    <cellStyle name="Total 2 5" xfId="1842" xr:uid="{3535B0A4-E69D-4543-A629-B482ED295CBD}"/>
    <cellStyle name="Total 2 6" xfId="1843" xr:uid="{231C249F-4688-49D9-9975-3F26C867DBFD}"/>
    <cellStyle name="Total 2 7" xfId="1844" xr:uid="{6DCCF96C-D137-4538-A455-A07E8FAD01A2}"/>
    <cellStyle name="Total 2 8" xfId="1845" xr:uid="{829E0527-DE10-4B68-A415-8329830462E2}"/>
    <cellStyle name="Total 2 9" xfId="1846" xr:uid="{E49FA893-730C-4824-9406-A4B1B4A4A6C8}"/>
    <cellStyle name="Total 3" xfId="185" xr:uid="{3A16073B-6E3E-4DB7-B44A-EC419A4044A7}"/>
    <cellStyle name="Total 3 2" xfId="1847" xr:uid="{0D3A5298-47A4-4C75-897E-46153631F004}"/>
    <cellStyle name="Valuutta_Layo9704" xfId="186" xr:uid="{3A5F565D-3796-42B7-AF5A-5E3A3CD8C061}"/>
    <cellStyle name="Warning Text 2" xfId="187" xr:uid="{96778F03-1C8F-4EC3-939D-A65327CCF97B}"/>
    <cellStyle name="Warning Text 2 10" xfId="1848" xr:uid="{B4D49311-33FA-426E-9E4A-B12C45AFF880}"/>
    <cellStyle name="Warning Text 2 2" xfId="1849" xr:uid="{FB2B545D-E795-456B-95E8-E586118D1B8C}"/>
    <cellStyle name="Warning Text 2 3" xfId="1850" xr:uid="{519652B8-4DC5-434D-ADF5-7CDC704C58A1}"/>
    <cellStyle name="Warning Text 2 4" xfId="1851" xr:uid="{3A079B47-DAAD-4FDB-99FB-FD2FC969DC51}"/>
    <cellStyle name="Warning Text 2 5" xfId="1852" xr:uid="{F3F267A8-A0AC-42D2-9F9E-1337BD32A320}"/>
    <cellStyle name="Warning Text 2 6" xfId="1853" xr:uid="{4DD6D05A-E06F-42E2-A31A-80340F94895B}"/>
    <cellStyle name="Warning Text 2 7" xfId="1854" xr:uid="{013685C4-B110-4019-A6C3-A765BF5961F1}"/>
    <cellStyle name="Warning Text 2 8" xfId="1855" xr:uid="{AC2BEE8E-459F-4BD5-89B9-282CBF5C5E19}"/>
    <cellStyle name="Warning Text 2 9" xfId="1856" xr:uid="{04DCE9E6-BB0A-49F1-BAAF-5C00966FEA9C}"/>
    <cellStyle name="Warning Text 3" xfId="188" xr:uid="{F5D08B8E-8E18-465B-B68E-703178DC2B79}"/>
    <cellStyle name="Обычный_CRF2002 (1)" xfId="203" xr:uid="{756BCC9D-07C6-4116-8554-7D416AA617D7}"/>
    <cellStyle name="已访问的超链接" xfId="1857" xr:uid="{94E81EDC-C90B-403B-9E95-955E4B7E14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</a:p>
        </c:rich>
      </c:tx>
      <c:layout>
        <c:manualLayout>
          <c:xMode val="edge"/>
          <c:yMode val="edge"/>
          <c:x val="0.11883284740540935"/>
          <c:y val="2.847896440129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827459225027606E-2"/>
          <c:y val="0.11152161042036711"/>
          <c:w val="0.90770066839881791"/>
          <c:h val="0.7816332084703003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#,##0</c:formatCode>
                <c:ptCount val="9"/>
                <c:pt idx="0" formatCode="_(* #,##0_);_(* \(#,##0\);_(* &quot;-&quot;??_);_(@_)">
                  <c:v>62751</c:v>
                </c:pt>
                <c:pt idx="1">
                  <c:v>43647</c:v>
                </c:pt>
                <c:pt idx="2">
                  <c:v>29429</c:v>
                </c:pt>
                <c:pt idx="3">
                  <c:v>25000</c:v>
                </c:pt>
                <c:pt idx="4" formatCode="_(* #,##0_);_(* \(#,##0\);_(* &quot;-&quot;??_);_(@_)">
                  <c:v>12435</c:v>
                </c:pt>
                <c:pt idx="5">
                  <c:v>12000</c:v>
                </c:pt>
                <c:pt idx="6" formatCode="_(* #,##0_);_(* \(#,##0\);_(* &quot;-&quot;??_);_(@_)">
                  <c:v>11543</c:v>
                </c:pt>
                <c:pt idx="7" formatCode="_(* #,##0_);_(* \(#,##0\);_(* &quot;-&quot;??_);_(@_)">
                  <c:v>11467</c:v>
                </c:pt>
                <c:pt idx="8" formatCode="_(* #,##0_);_(* \(#,##0\);_(* &quot;-&quot;??_);_(@_)">
                  <c:v>2312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6A-4C7F-8727-CCAF828DC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411" l="0.70000000000000095" r="0.70000000000000095" t="0.75000000000000411" header="0.30000000000000004" footer="0.30000000000000004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29EBEF-4BFD-4115-BE84-6F535E317C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 macro="" textlink="">
      <cdr:nvSpPr>
        <cdr:cNvPr id="4" name="Text Box 1">
          <a:extLst xmlns:a="http://schemas.openxmlformats.org/drawingml/2006/main">
            <a:ext uri="{FF2B5EF4-FFF2-40B4-BE49-F238E27FC236}">
              <a16:creationId xmlns:a16="http://schemas.microsoft.com/office/drawing/2014/main" id="{92F93EDF-D657-4842-AF7D-C2C6340799C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>
            <a:alpha val="0"/>
          </a:srgbClr>
        </a:solidFill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wrap="square" lIns="0" tIns="0" rIns="27432" bIns="22860" anchor="b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afdc.energy.gov/data</a:t>
          </a: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it Kanudia" refreshedDate="45688.628387615739" createdVersion="8" refreshedVersion="8" minRefreshableVersion="3" recordCount="770" xr:uid="{EE43C1C1-A39F-4703-B274-AFC0285BA383}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2005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>
      <sharedItems containsSemiMixedTypes="0" containsString="0" containsNumber="1" minValue="2.7E-2" maxValue="174.91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7D7C7A-778F-47BB-8723-C78249B964CC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7" indent="0" outline="1" outlineData="1" multipleFieldFilters="0">
  <location ref="F1:AO26" firstHeaderRow="1" firstDataRow="2" firstDataCol="1"/>
  <pivotFields count="4">
    <pivotField axis="axisRow" showAll="0" defaultSubtotal="0">
      <items count="2">
        <item x="0"/>
        <item x="1"/>
      </items>
    </pivotField>
    <pivotField axis="axisRow" showAll="0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howAll="0" sortType="ascending" defaultSubtota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showAll="0" defaultSubtota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6AFC6-F3DD-4788-9569-A39C4545E1FC}">
  <dimension ref="A1:BK59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A2" sqref="AA2"/>
    </sheetView>
  </sheetViews>
  <sheetFormatPr defaultRowHeight="14.25"/>
  <cols>
    <col min="1" max="1" width="4.59765625" bestFit="1" customWidth="1"/>
    <col min="3" max="3" width="9.86328125" bestFit="1" customWidth="1"/>
    <col min="5" max="5" width="7.86328125" bestFit="1" customWidth="1"/>
    <col min="6" max="21" width="7.86328125" customWidth="1"/>
    <col min="22" max="22" width="7.3984375" bestFit="1" customWidth="1"/>
    <col min="23" max="23" width="8.3984375" bestFit="1" customWidth="1"/>
    <col min="24" max="29" width="7.86328125" bestFit="1" customWidth="1"/>
    <col min="30" max="30" width="8.3984375" bestFit="1" customWidth="1"/>
    <col min="31" max="31" width="7.86328125" bestFit="1" customWidth="1"/>
    <col min="32" max="32" width="8.3984375" bestFit="1" customWidth="1"/>
    <col min="33" max="33" width="7.86328125" bestFit="1" customWidth="1"/>
    <col min="34" max="34" width="8.86328125" bestFit="1" customWidth="1"/>
    <col min="35" max="35" width="8.3984375" bestFit="1" customWidth="1"/>
    <col min="36" max="36" width="7.3984375" customWidth="1"/>
    <col min="37" max="37" width="7.59765625" customWidth="1"/>
    <col min="38" max="38" width="6.86328125" bestFit="1" customWidth="1"/>
    <col min="39" max="39" width="7.265625" bestFit="1" customWidth="1"/>
    <col min="40" max="40" width="6.86328125" bestFit="1" customWidth="1"/>
    <col min="41" max="42" width="6.73046875" bestFit="1" customWidth="1"/>
    <col min="43" max="43" width="7.73046875" bestFit="1" customWidth="1"/>
    <col min="44" max="44" width="8.86328125" bestFit="1" customWidth="1"/>
    <col min="45" max="45" width="7.86328125" bestFit="1" customWidth="1"/>
    <col min="46" max="46" width="6.265625" customWidth="1"/>
    <col min="47" max="50" width="7.73046875" bestFit="1" customWidth="1"/>
    <col min="51" max="51" width="9.3984375" bestFit="1" customWidth="1"/>
    <col min="53" max="53" width="24.73046875" bestFit="1" customWidth="1"/>
    <col min="55" max="55" width="4.1328125" bestFit="1" customWidth="1"/>
  </cols>
  <sheetData>
    <row r="1" spans="1:55">
      <c r="A1" s="4">
        <v>4.1868000000000002E-2</v>
      </c>
      <c r="B1" s="3" t="s">
        <v>26</v>
      </c>
    </row>
    <row r="2" spans="1:55">
      <c r="D2" s="2"/>
      <c r="L2" s="40">
        <f>SUM(L16:L24)</f>
        <v>11358.935850722399</v>
      </c>
      <c r="Z2" s="40">
        <f>SUM(Z16:Z24)</f>
        <v>26443.0566577836</v>
      </c>
      <c r="AA2">
        <f>Z2/L2</f>
        <v>2.3279519318794191</v>
      </c>
    </row>
    <row r="3" spans="1:55">
      <c r="D3" s="2"/>
    </row>
    <row r="4" spans="1:55" ht="14.65" thickBot="1">
      <c r="B4" s="66" t="s">
        <v>400</v>
      </c>
      <c r="C4" s="27" t="s">
        <v>401</v>
      </c>
      <c r="D4" s="27" t="s">
        <v>402</v>
      </c>
      <c r="E4" s="58" t="s">
        <v>435</v>
      </c>
      <c r="F4" s="58" t="s">
        <v>436</v>
      </c>
      <c r="G4" s="58" t="s">
        <v>507</v>
      </c>
      <c r="H4" s="58" t="s">
        <v>508</v>
      </c>
      <c r="I4" s="58" t="s">
        <v>423</v>
      </c>
      <c r="J4" s="58" t="s">
        <v>439</v>
      </c>
      <c r="K4" s="58" t="s">
        <v>509</v>
      </c>
      <c r="L4" s="58" t="s">
        <v>510</v>
      </c>
      <c r="M4" s="58" t="s">
        <v>441</v>
      </c>
      <c r="N4" s="58" t="s">
        <v>442</v>
      </c>
      <c r="O4" s="58" t="s">
        <v>511</v>
      </c>
      <c r="P4" s="58" t="s">
        <v>512</v>
      </c>
      <c r="Q4" s="58" t="s">
        <v>445</v>
      </c>
      <c r="R4" s="58" t="s">
        <v>446</v>
      </c>
      <c r="S4" s="58" t="s">
        <v>513</v>
      </c>
      <c r="T4" s="58" t="s">
        <v>514</v>
      </c>
      <c r="U4" s="58" t="s">
        <v>515</v>
      </c>
      <c r="V4" s="58" t="s">
        <v>449</v>
      </c>
      <c r="W4" s="58" t="s">
        <v>516</v>
      </c>
      <c r="X4" s="58" t="s">
        <v>362</v>
      </c>
      <c r="Y4" s="58" t="s">
        <v>451</v>
      </c>
      <c r="Z4" s="58" t="s">
        <v>411</v>
      </c>
      <c r="AA4" s="58" t="s">
        <v>517</v>
      </c>
      <c r="AB4" s="58" t="s">
        <v>518</v>
      </c>
      <c r="AC4" s="58" t="s">
        <v>414</v>
      </c>
      <c r="AD4" s="58" t="s">
        <v>315</v>
      </c>
      <c r="AE4" s="58" t="s">
        <v>519</v>
      </c>
      <c r="AF4" s="58" t="s">
        <v>520</v>
      </c>
      <c r="AG4" s="58" t="s">
        <v>456</v>
      </c>
      <c r="AH4" s="58" t="s">
        <v>457</v>
      </c>
      <c r="AI4" s="58" t="s">
        <v>521</v>
      </c>
      <c r="AJ4" s="58" t="s">
        <v>522</v>
      </c>
      <c r="AK4" s="58" t="s">
        <v>523</v>
      </c>
      <c r="AL4" s="58" t="s">
        <v>524</v>
      </c>
      <c r="AM4" s="58" t="s">
        <v>459</v>
      </c>
      <c r="AN4" s="58" t="s">
        <v>143</v>
      </c>
      <c r="AO4" s="58" t="s">
        <v>143</v>
      </c>
      <c r="AP4" s="58" t="s">
        <v>143</v>
      </c>
      <c r="AQ4" s="58" t="s">
        <v>143</v>
      </c>
      <c r="AR4" s="58" t="s">
        <v>143</v>
      </c>
      <c r="AS4" s="58" t="s">
        <v>143</v>
      </c>
      <c r="AT4" s="58" t="s">
        <v>143</v>
      </c>
      <c r="AU4" s="58" t="s">
        <v>143</v>
      </c>
      <c r="AV4" s="58" t="s">
        <v>143</v>
      </c>
      <c r="AW4" s="58" t="s">
        <v>143</v>
      </c>
      <c r="AX4" s="58" t="s">
        <v>143</v>
      </c>
      <c r="AY4" s="59"/>
    </row>
    <row r="5" spans="1:55">
      <c r="A5" t="str">
        <f>IF(OR(C5="TT",C5="TR"),"RR","")</f>
        <v/>
      </c>
      <c r="B5" t="s">
        <v>19</v>
      </c>
      <c r="C5" t="s">
        <v>23</v>
      </c>
      <c r="D5" t="s">
        <v>171</v>
      </c>
      <c r="E5" s="35"/>
      <c r="F5" s="35"/>
      <c r="G5" s="35"/>
      <c r="H5" s="35"/>
      <c r="I5" s="35"/>
      <c r="J5" s="35"/>
      <c r="K5" s="35">
        <v>6.1607003544000003</v>
      </c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>
        <v>2.5819618788000001</v>
      </c>
      <c r="AA5" s="35"/>
      <c r="AB5" s="35">
        <v>2.3990364E-2</v>
      </c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BA5" t="s">
        <v>84</v>
      </c>
      <c r="BB5" t="s">
        <v>32</v>
      </c>
      <c r="BC5" t="s">
        <v>336</v>
      </c>
    </row>
    <row r="6" spans="1:55">
      <c r="A6" t="str">
        <f t="shared" ref="A6:A40" si="0">IF(OR(C6="TT",C6="TR"),"RR","")</f>
        <v/>
      </c>
      <c r="B6" t="s">
        <v>19</v>
      </c>
      <c r="C6" t="s">
        <v>23</v>
      </c>
      <c r="D6" t="s">
        <v>34</v>
      </c>
      <c r="E6" s="35"/>
      <c r="F6" s="35">
        <v>2.3701893479999998</v>
      </c>
      <c r="G6" s="35"/>
      <c r="H6" s="35"/>
      <c r="I6" s="35"/>
      <c r="J6" s="35"/>
      <c r="K6" s="35"/>
      <c r="L6" s="35">
        <v>1314.7580152476</v>
      </c>
      <c r="M6" s="35"/>
      <c r="N6" s="35"/>
      <c r="O6" s="35"/>
      <c r="P6" s="35"/>
      <c r="Q6" s="35">
        <v>1.1388096E-2</v>
      </c>
      <c r="R6" s="35">
        <v>4.7114060399999998E-2</v>
      </c>
      <c r="S6" s="35"/>
      <c r="T6" s="35"/>
      <c r="U6" s="35"/>
      <c r="V6" s="35"/>
      <c r="W6" s="35"/>
      <c r="X6" s="35">
        <v>0.37424549159999998</v>
      </c>
      <c r="Y6" s="35">
        <v>1.7316018648</v>
      </c>
      <c r="Z6" s="35">
        <v>22.4800010208</v>
      </c>
      <c r="AA6" s="35">
        <v>7.9440343199999999E-2</v>
      </c>
      <c r="AB6" s="35">
        <v>1.10364048E-2</v>
      </c>
      <c r="AC6" s="35">
        <v>0.50052775319999998</v>
      </c>
      <c r="AD6" s="35"/>
      <c r="AE6" s="35"/>
      <c r="AF6" s="35">
        <v>3.6019249740000001</v>
      </c>
      <c r="AG6" s="35"/>
      <c r="AH6" s="35"/>
      <c r="AI6" s="35"/>
      <c r="AJ6" s="35"/>
      <c r="AK6" s="35"/>
      <c r="AL6" s="35">
        <v>15.3699018984</v>
      </c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BA6" t="s">
        <v>85</v>
      </c>
      <c r="BB6" t="s">
        <v>33</v>
      </c>
      <c r="BC6" t="s">
        <v>338</v>
      </c>
    </row>
    <row r="7" spans="1:55">
      <c r="A7" t="str">
        <f t="shared" si="0"/>
        <v/>
      </c>
      <c r="B7" t="s">
        <v>19</v>
      </c>
      <c r="C7" t="s">
        <v>23</v>
      </c>
      <c r="D7" t="s">
        <v>46</v>
      </c>
      <c r="E7" s="35">
        <v>0.27722058840000002</v>
      </c>
      <c r="F7" s="35"/>
      <c r="G7" s="35"/>
      <c r="H7" s="35"/>
      <c r="I7" s="35"/>
      <c r="J7" s="35">
        <v>7.5379147199999996E-2</v>
      </c>
      <c r="K7" s="35"/>
      <c r="L7" s="35"/>
      <c r="M7" s="35"/>
      <c r="N7" s="35"/>
      <c r="O7" s="35"/>
      <c r="P7" s="35"/>
      <c r="Q7" s="35"/>
      <c r="R7" s="35">
        <v>3.3159456E-3</v>
      </c>
      <c r="S7" s="35"/>
      <c r="T7" s="35"/>
      <c r="U7" s="35"/>
      <c r="V7" s="35"/>
      <c r="W7" s="35"/>
      <c r="X7" s="35">
        <v>0.2399496948</v>
      </c>
      <c r="Y7" s="35"/>
      <c r="Z7" s="35"/>
      <c r="AA7" s="35"/>
      <c r="AB7" s="35"/>
      <c r="AC7" s="35">
        <v>0.691198812</v>
      </c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BA7" t="s">
        <v>87</v>
      </c>
      <c r="BB7" t="s">
        <v>38</v>
      </c>
      <c r="BC7" t="s">
        <v>339</v>
      </c>
    </row>
    <row r="8" spans="1:55">
      <c r="A8" t="str">
        <f t="shared" si="0"/>
        <v/>
      </c>
      <c r="B8" t="s">
        <v>19</v>
      </c>
      <c r="C8" t="s">
        <v>23</v>
      </c>
      <c r="D8" t="s">
        <v>40</v>
      </c>
      <c r="E8" s="35">
        <v>2.5678104947999998</v>
      </c>
      <c r="F8" s="35">
        <v>2.1184789319999999</v>
      </c>
      <c r="G8" s="35"/>
      <c r="H8" s="35">
        <v>0.61794237240000005</v>
      </c>
      <c r="I8" s="35">
        <v>2.2514098320000002</v>
      </c>
      <c r="J8" s="35">
        <v>5.7442561055999999</v>
      </c>
      <c r="K8" s="35"/>
      <c r="L8" s="35">
        <v>99.093555025200004</v>
      </c>
      <c r="M8" s="35">
        <v>0.77719987079999997</v>
      </c>
      <c r="N8" s="35">
        <v>8.4419997515999992</v>
      </c>
      <c r="O8" s="35">
        <v>12.396298374000001</v>
      </c>
      <c r="P8" s="35">
        <v>13.18800132</v>
      </c>
      <c r="Q8" s="35">
        <v>0.845252118</v>
      </c>
      <c r="R8" s="35">
        <v>5.9773855031999998</v>
      </c>
      <c r="S8" s="35">
        <v>0.1489830912</v>
      </c>
      <c r="T8" s="35"/>
      <c r="U8" s="35">
        <v>1.2904513092000001</v>
      </c>
      <c r="V8" s="35">
        <v>9.2316009240000003</v>
      </c>
      <c r="W8" s="35">
        <v>56.685227551200001</v>
      </c>
      <c r="X8" s="35">
        <v>2.2883667156</v>
      </c>
      <c r="Y8" s="35">
        <v>8.2227202883999997</v>
      </c>
      <c r="Z8" s="35">
        <v>126.7059950676</v>
      </c>
      <c r="AA8" s="35">
        <v>1.8940329575999999</v>
      </c>
      <c r="AB8" s="35">
        <v>16.8218548308</v>
      </c>
      <c r="AC8" s="35">
        <v>41.8178672568</v>
      </c>
      <c r="AD8" s="35"/>
      <c r="AE8" s="35"/>
      <c r="AF8" s="35">
        <v>6.0861250727999998</v>
      </c>
      <c r="AG8" s="35">
        <v>10.991359018800001</v>
      </c>
      <c r="AH8" s="35">
        <v>1.7354411604</v>
      </c>
      <c r="AI8" s="35">
        <v>1.2379069692</v>
      </c>
      <c r="AJ8" s="35">
        <v>7.5179981123999999</v>
      </c>
      <c r="AK8" s="35">
        <v>5.7178708919999996</v>
      </c>
      <c r="AL8" s="35">
        <v>2.0426643576000001</v>
      </c>
      <c r="AM8" s="35">
        <v>1.3844156616000001</v>
      </c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BA8" t="s">
        <v>54</v>
      </c>
      <c r="BB8" t="s">
        <v>29</v>
      </c>
      <c r="BC8" t="s">
        <v>340</v>
      </c>
    </row>
    <row r="9" spans="1:55">
      <c r="A9" t="str">
        <f t="shared" si="0"/>
        <v/>
      </c>
      <c r="B9" t="s">
        <v>19</v>
      </c>
      <c r="C9" t="s">
        <v>23</v>
      </c>
      <c r="D9" t="s">
        <v>44</v>
      </c>
      <c r="E9" s="35"/>
      <c r="F9" s="35">
        <v>0.14324717519999999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>
        <v>261.44000328959999</v>
      </c>
      <c r="AA9" s="35"/>
      <c r="AB9" s="35"/>
      <c r="AC9" s="35">
        <v>3.0110795711999998</v>
      </c>
      <c r="AD9" s="35"/>
      <c r="AE9" s="35"/>
      <c r="AF9" s="35"/>
      <c r="AG9" s="35"/>
      <c r="AH9" s="35"/>
      <c r="AI9" s="35"/>
      <c r="AJ9" s="35"/>
      <c r="AK9" s="35"/>
      <c r="AL9" s="35">
        <v>3.59981064E-2</v>
      </c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BA9" t="s">
        <v>60</v>
      </c>
      <c r="BB9" t="s">
        <v>41</v>
      </c>
      <c r="BC9" t="s">
        <v>337</v>
      </c>
    </row>
    <row r="10" spans="1:55">
      <c r="A10" t="str">
        <f t="shared" si="0"/>
        <v/>
      </c>
      <c r="B10" t="s">
        <v>19</v>
      </c>
      <c r="C10" t="s">
        <v>20</v>
      </c>
      <c r="D10" t="s">
        <v>41</v>
      </c>
      <c r="E10" s="35"/>
      <c r="F10" s="35">
        <v>4.6243206000000002E-2</v>
      </c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>
        <v>0.30864252240000001</v>
      </c>
      <c r="Y10" s="35"/>
      <c r="Z10" s="35"/>
      <c r="AA10" s="35"/>
      <c r="AB10" s="35"/>
      <c r="AC10" s="35">
        <v>6.8814244799999993E-2</v>
      </c>
      <c r="AD10" s="35"/>
      <c r="AE10" s="35"/>
      <c r="AF10" s="35">
        <v>0.74616312240000005</v>
      </c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BA10" t="s">
        <v>86</v>
      </c>
      <c r="BB10" t="s">
        <v>37</v>
      </c>
      <c r="BC10" t="s">
        <v>341</v>
      </c>
    </row>
    <row r="11" spans="1:55">
      <c r="A11" t="str">
        <f t="shared" si="0"/>
        <v/>
      </c>
      <c r="B11" t="s">
        <v>19</v>
      </c>
      <c r="C11" t="s">
        <v>20</v>
      </c>
      <c r="D11" t="s">
        <v>42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>
        <v>3.09320784E-2</v>
      </c>
      <c r="V11" s="35"/>
      <c r="W11" s="35"/>
      <c r="X11" s="35">
        <v>0.69088480200000002</v>
      </c>
      <c r="Y11" s="35"/>
      <c r="Z11" s="35"/>
      <c r="AA11" s="35"/>
      <c r="AB11" s="35"/>
      <c r="AC11" s="35">
        <v>8.9597519999999996E-3</v>
      </c>
      <c r="AD11" s="35"/>
      <c r="AE11" s="35"/>
      <c r="AF11" s="35"/>
      <c r="AG11" s="35"/>
      <c r="AH11" s="35">
        <v>4.6054799999999998E-5</v>
      </c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BA11" t="s">
        <v>80</v>
      </c>
      <c r="BB11" t="s">
        <v>42</v>
      </c>
      <c r="BC11" t="s">
        <v>342</v>
      </c>
    </row>
    <row r="12" spans="1:55">
      <c r="A12" t="str">
        <f t="shared" si="0"/>
        <v/>
      </c>
      <c r="B12" t="s">
        <v>19</v>
      </c>
      <c r="C12" t="s">
        <v>20</v>
      </c>
      <c r="D12" t="s">
        <v>45</v>
      </c>
      <c r="E12" s="35">
        <v>1.19993688E-2</v>
      </c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>
        <v>5.9452560000000003E-4</v>
      </c>
      <c r="AD12" s="35"/>
      <c r="AE12" s="35"/>
      <c r="AF12" s="35"/>
      <c r="AG12" s="35"/>
      <c r="AH12" s="35"/>
      <c r="AI12" s="35"/>
      <c r="AJ12" s="35"/>
      <c r="AK12" s="35"/>
      <c r="AL12" s="35">
        <v>7.6400014644000001</v>
      </c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BA12" t="s">
        <v>81</v>
      </c>
      <c r="BB12" t="s">
        <v>45</v>
      </c>
      <c r="BC12" t="s">
        <v>343</v>
      </c>
    </row>
    <row r="13" spans="1:55">
      <c r="A13" t="str">
        <f t="shared" si="0"/>
        <v/>
      </c>
      <c r="B13" t="s">
        <v>19</v>
      </c>
      <c r="C13" t="s">
        <v>20</v>
      </c>
      <c r="D13" t="s">
        <v>43</v>
      </c>
      <c r="E13" s="35">
        <v>28.892667186000001</v>
      </c>
      <c r="F13" s="35">
        <v>22.6259235612</v>
      </c>
      <c r="G13" s="35">
        <v>123.7186965204</v>
      </c>
      <c r="H13" s="35">
        <v>1.3079814407999999</v>
      </c>
      <c r="I13" s="35">
        <v>8.8663863600000004E-2</v>
      </c>
      <c r="J13" s="35">
        <v>0.55253199600000003</v>
      </c>
      <c r="K13" s="35">
        <v>140.16918637800001</v>
      </c>
      <c r="L13" s="35">
        <v>1141.7510237796</v>
      </c>
      <c r="M13" s="35">
        <v>0.469675224</v>
      </c>
      <c r="N13" s="35">
        <v>1.9810011672000001</v>
      </c>
      <c r="O13" s="35">
        <v>67.799230502399993</v>
      </c>
      <c r="P13" s="35">
        <v>30.753000590399999</v>
      </c>
      <c r="Q13" s="35">
        <v>9.4633277436000007</v>
      </c>
      <c r="R13" s="35">
        <v>3.19829652</v>
      </c>
      <c r="S13" s="35">
        <v>0.37972601280000001</v>
      </c>
      <c r="T13" s="35">
        <v>179.28629130600001</v>
      </c>
      <c r="U13" s="35">
        <v>0.2140962048</v>
      </c>
      <c r="V13" s="35">
        <v>37.9845252864</v>
      </c>
      <c r="W13" s="35">
        <v>147.59976829319999</v>
      </c>
      <c r="X13" s="35">
        <v>89.066462101200003</v>
      </c>
      <c r="Y13" s="35">
        <v>60.200674171199999</v>
      </c>
      <c r="Z13" s="35">
        <v>2814.8464867644002</v>
      </c>
      <c r="AA13" s="35">
        <v>14.700114381600001</v>
      </c>
      <c r="AB13" s="35">
        <v>1.416206034</v>
      </c>
      <c r="AC13" s="35">
        <v>364.07691414359999</v>
      </c>
      <c r="AD13" s="35">
        <v>245.79019706400001</v>
      </c>
      <c r="AE13" s="35">
        <v>40.847534488800001</v>
      </c>
      <c r="AF13" s="35">
        <v>51.997133613599999</v>
      </c>
      <c r="AG13" s="35">
        <v>104.06784605039999</v>
      </c>
      <c r="AH13" s="35">
        <v>10.7713468656</v>
      </c>
      <c r="AI13" s="35">
        <v>2.769819408</v>
      </c>
      <c r="AJ13" s="35">
        <v>50.438999246400002</v>
      </c>
      <c r="AK13" s="35">
        <v>37.125494409600002</v>
      </c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BA13" t="s">
        <v>82</v>
      </c>
      <c r="BB13" t="s">
        <v>39</v>
      </c>
      <c r="BC13" t="s">
        <v>344</v>
      </c>
    </row>
    <row r="14" spans="1:55">
      <c r="A14" t="str">
        <f t="shared" si="0"/>
        <v/>
      </c>
      <c r="B14" t="s">
        <v>19</v>
      </c>
      <c r="C14" t="s">
        <v>18</v>
      </c>
      <c r="D14" t="s">
        <v>45</v>
      </c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>
        <v>-5.0799993515999997</v>
      </c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BA14" t="s">
        <v>83</v>
      </c>
      <c r="BB14" t="s">
        <v>38</v>
      </c>
      <c r="BC14" t="s">
        <v>339</v>
      </c>
    </row>
    <row r="15" spans="1:55">
      <c r="A15" t="str">
        <f t="shared" si="0"/>
        <v/>
      </c>
      <c r="B15" t="s">
        <v>19</v>
      </c>
      <c r="C15" t="s">
        <v>18</v>
      </c>
      <c r="D15" t="s">
        <v>43</v>
      </c>
      <c r="E15" s="35">
        <v>-99.123030097200001</v>
      </c>
      <c r="F15" s="35">
        <v>-192.09280397040001</v>
      </c>
      <c r="G15" s="35">
        <v>-211.35653453879999</v>
      </c>
      <c r="H15" s="35">
        <v>-39.6794089152</v>
      </c>
      <c r="I15" s="35">
        <v>-14.533446247200001</v>
      </c>
      <c r="J15" s="35">
        <v>-260.82316623240001</v>
      </c>
      <c r="K15" s="35">
        <v>-101.4462184284</v>
      </c>
      <c r="L15" s="35">
        <v>-449.18389436400003</v>
      </c>
      <c r="M15" s="35">
        <v>-9.4939499987999998</v>
      </c>
      <c r="N15" s="35">
        <v>-19.306996959599999</v>
      </c>
      <c r="O15" s="35">
        <v>-260.04602497680003</v>
      </c>
      <c r="P15" s="35">
        <v>-409.87600114679998</v>
      </c>
      <c r="Q15" s="35">
        <v>-60.355719748799999</v>
      </c>
      <c r="R15" s="35">
        <v>-28.180048705200001</v>
      </c>
      <c r="S15" s="35">
        <v>-13.0422420648</v>
      </c>
      <c r="T15" s="35">
        <v>-177.46910706240001</v>
      </c>
      <c r="U15" s="35">
        <v>-45.331459124399998</v>
      </c>
      <c r="V15" s="35">
        <v>-173.05437767039999</v>
      </c>
      <c r="W15" s="35">
        <v>-305.523649476</v>
      </c>
      <c r="X15" s="35">
        <v>-322.41766380479999</v>
      </c>
      <c r="Y15" s="35">
        <v>-762.82424179199995</v>
      </c>
      <c r="Z15" s="35">
        <v>-1284.8589878795999</v>
      </c>
      <c r="AA15" s="35">
        <v>-22.9425293772</v>
      </c>
      <c r="AB15" s="35">
        <v>-45.054661402800001</v>
      </c>
      <c r="AC15" s="35">
        <v>-1737.5925643272001</v>
      </c>
      <c r="AD15" s="35">
        <v>-253.11288095640001</v>
      </c>
      <c r="AE15" s="35">
        <v>-153.09619095959999</v>
      </c>
      <c r="AF15" s="35">
        <v>-46.072598086799999</v>
      </c>
      <c r="AG15" s="35">
        <v>-260.69910716160001</v>
      </c>
      <c r="AH15" s="35">
        <v>-115.4657935908</v>
      </c>
      <c r="AI15" s="35">
        <v>-77.950185717599993</v>
      </c>
      <c r="AJ15" s="35">
        <v>-184.42699925759999</v>
      </c>
      <c r="AK15" s="35">
        <v>-493.23921266159999</v>
      </c>
      <c r="AL15" s="35">
        <v>-2.2117399020000001</v>
      </c>
      <c r="AM15" s="35">
        <v>-9.5715565236</v>
      </c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</row>
    <row r="16" spans="1:55">
      <c r="A16" t="str">
        <f t="shared" si="0"/>
        <v>RR</v>
      </c>
      <c r="B16" t="s">
        <v>19</v>
      </c>
      <c r="C16" t="s">
        <v>25</v>
      </c>
      <c r="D16" t="s">
        <v>32</v>
      </c>
      <c r="E16" s="35"/>
      <c r="F16" s="35"/>
      <c r="G16" s="35">
        <v>3.6801972000000002E-2</v>
      </c>
      <c r="H16" s="35">
        <v>17.824480387200001</v>
      </c>
      <c r="I16" s="35">
        <v>4.5833402016000004</v>
      </c>
      <c r="J16" s="35">
        <v>36.929908047600001</v>
      </c>
      <c r="K16" s="35">
        <v>651.0299242968</v>
      </c>
      <c r="L16" s="35">
        <v>37.904000562</v>
      </c>
      <c r="M16" s="35">
        <v>6.3832957631999996</v>
      </c>
      <c r="N16" s="35">
        <v>16.729849900800001</v>
      </c>
      <c r="O16" s="35">
        <v>105.7032561852</v>
      </c>
      <c r="P16" s="35">
        <v>79.093889686799997</v>
      </c>
      <c r="Q16" s="35">
        <v>7.1657333208000003</v>
      </c>
      <c r="R16" s="35">
        <v>25.911640465200001</v>
      </c>
      <c r="S16" s="35">
        <v>0.648933066</v>
      </c>
      <c r="T16" s="35">
        <v>1.6369383168</v>
      </c>
      <c r="U16" s="35">
        <v>6.781820508</v>
      </c>
      <c r="V16" s="35">
        <v>52.609281454799998</v>
      </c>
      <c r="W16" s="35">
        <v>0.51924693600000005</v>
      </c>
      <c r="X16" s="35">
        <v>74.263528285199996</v>
      </c>
      <c r="Y16" s="35"/>
      <c r="Z16" s="35">
        <v>204.2394309</v>
      </c>
      <c r="AA16" s="35">
        <v>17.542524528000001</v>
      </c>
      <c r="AB16" s="35">
        <v>35.076407500800002</v>
      </c>
      <c r="AC16" s="35">
        <v>285.06459169440001</v>
      </c>
      <c r="AD16" s="35">
        <v>7.2000399600000001E-2</v>
      </c>
      <c r="AE16" s="35"/>
      <c r="AF16" s="35"/>
      <c r="AG16" s="35">
        <v>73.584672159600004</v>
      </c>
      <c r="AH16" s="35">
        <v>71.6650494804</v>
      </c>
      <c r="AI16" s="35">
        <v>6.2732499119999998</v>
      </c>
      <c r="AJ16" s="35">
        <v>4.7795001552</v>
      </c>
      <c r="AK16" s="35">
        <v>52.885601881200003</v>
      </c>
      <c r="AL16" s="35"/>
      <c r="AM16" s="35">
        <v>5.0352592068000002</v>
      </c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</row>
    <row r="17" spans="1:63">
      <c r="A17" t="str">
        <f t="shared" si="0"/>
        <v>RR</v>
      </c>
      <c r="B17" t="s">
        <v>19</v>
      </c>
      <c r="C17" t="s">
        <v>25</v>
      </c>
      <c r="D17" t="s">
        <v>33</v>
      </c>
      <c r="E17" s="35"/>
      <c r="F17" s="35">
        <v>1.9221473196000001</v>
      </c>
      <c r="G17" s="35">
        <v>5.3332002683999997</v>
      </c>
      <c r="H17" s="35">
        <v>2.3656341096000002</v>
      </c>
      <c r="I17" s="35">
        <v>1.0224877355999999</v>
      </c>
      <c r="J17" s="35">
        <v>14.558935485599999</v>
      </c>
      <c r="K17" s="35">
        <v>235.95354911160001</v>
      </c>
      <c r="L17" s="35">
        <v>85.759999603200001</v>
      </c>
      <c r="M17" s="35">
        <v>0.21750426</v>
      </c>
      <c r="N17" s="35">
        <v>3.9087001836000002</v>
      </c>
      <c r="O17" s="35">
        <v>27.351933159600001</v>
      </c>
      <c r="P17" s="35">
        <v>30.0974942484</v>
      </c>
      <c r="Q17" s="35">
        <v>1.0531602324</v>
      </c>
      <c r="R17" s="35">
        <v>7.3426088735999997</v>
      </c>
      <c r="S17" s="35">
        <v>0.16850613959999999</v>
      </c>
      <c r="T17" s="35">
        <v>36.820816786800002</v>
      </c>
      <c r="U17" s="35">
        <v>1.0967029524</v>
      </c>
      <c r="V17" s="35">
        <v>1.274294448</v>
      </c>
      <c r="W17" s="35">
        <v>16.6368485124</v>
      </c>
      <c r="X17" s="35">
        <v>53.0895325356</v>
      </c>
      <c r="Y17" s="35"/>
      <c r="Z17" s="35">
        <v>1435.2023327183999</v>
      </c>
      <c r="AA17" s="35">
        <v>1.7838866231999999</v>
      </c>
      <c r="AB17" s="35">
        <v>7.8426342108</v>
      </c>
      <c r="AC17" s="35">
        <v>53.438619545999998</v>
      </c>
      <c r="AD17" s="35"/>
      <c r="AE17" s="35"/>
      <c r="AF17" s="35"/>
      <c r="AG17" s="35">
        <v>5.7976587396000001</v>
      </c>
      <c r="AH17" s="35">
        <v>9.3798262044000005</v>
      </c>
      <c r="AI17" s="35">
        <v>1.3390098156000001</v>
      </c>
      <c r="AJ17" s="35">
        <v>2.2267998215999998</v>
      </c>
      <c r="AK17" s="35">
        <v>16.015121272799998</v>
      </c>
      <c r="AL17" s="35">
        <v>3.6889769196</v>
      </c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</row>
    <row r="18" spans="1:63">
      <c r="A18" t="str">
        <f t="shared" si="0"/>
        <v>RR</v>
      </c>
      <c r="B18" t="s">
        <v>19</v>
      </c>
      <c r="C18" t="s">
        <v>25</v>
      </c>
      <c r="D18" t="s">
        <v>41</v>
      </c>
      <c r="E18" s="35">
        <v>1112.0205486059999</v>
      </c>
      <c r="F18" s="35">
        <v>988.22762012160001</v>
      </c>
      <c r="G18" s="35">
        <v>575.63791106040003</v>
      </c>
      <c r="H18" s="35">
        <v>258.65054360279998</v>
      </c>
      <c r="I18" s="35">
        <v>121.270054914</v>
      </c>
      <c r="J18" s="35">
        <v>548.23218170760003</v>
      </c>
      <c r="K18" s="35">
        <v>1435.9916282544</v>
      </c>
      <c r="L18" s="35">
        <v>3881.3716127844</v>
      </c>
      <c r="M18" s="35">
        <v>120.494031534</v>
      </c>
      <c r="N18" s="35">
        <v>258.19859947679998</v>
      </c>
      <c r="O18" s="35">
        <v>1286.4001238388</v>
      </c>
      <c r="P18" s="35">
        <v>1389.27119823</v>
      </c>
      <c r="Q18" s="35">
        <v>112.34775802679999</v>
      </c>
      <c r="R18" s="35">
        <v>402.84347505480002</v>
      </c>
      <c r="S18" s="35">
        <v>7.7045954148</v>
      </c>
      <c r="T18" s="35">
        <v>2433.6589206996</v>
      </c>
      <c r="U18" s="35">
        <v>123.344635248</v>
      </c>
      <c r="V18" s="35">
        <v>900.04498312680005</v>
      </c>
      <c r="W18" s="35">
        <v>913.27098384359999</v>
      </c>
      <c r="X18" s="35">
        <v>1474.3679375376</v>
      </c>
      <c r="Y18" s="35">
        <v>1497.7659279528</v>
      </c>
      <c r="Z18" s="35">
        <v>6300.1461203531999</v>
      </c>
      <c r="AA18" s="35">
        <v>88.600161438000001</v>
      </c>
      <c r="AB18" s="35">
        <v>592.79821424279999</v>
      </c>
      <c r="AC18" s="35">
        <v>4015.3713777036</v>
      </c>
      <c r="AD18" s="35">
        <v>701.329528224</v>
      </c>
      <c r="AE18" s="35">
        <v>851.79872408400001</v>
      </c>
      <c r="AF18" s="35">
        <v>347.12819089919998</v>
      </c>
      <c r="AG18" s="35">
        <v>1074.182301738</v>
      </c>
      <c r="AH18" s="35">
        <v>322.46291473920002</v>
      </c>
      <c r="AI18" s="35">
        <v>113.815185372</v>
      </c>
      <c r="AJ18" s="35">
        <v>822.3504015492</v>
      </c>
      <c r="AK18" s="35">
        <v>1014.1394322456</v>
      </c>
      <c r="AL18" s="35">
        <v>181.79440221959999</v>
      </c>
      <c r="AM18" s="35">
        <v>187.72059990599999</v>
      </c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BA18" s="50">
        <f>31536000/10^9</f>
        <v>3.1536000000000002E-2</v>
      </c>
      <c r="BB18" s="51" t="s">
        <v>332</v>
      </c>
      <c r="BD18" s="52">
        <f>1/BA18</f>
        <v>31.709791983764585</v>
      </c>
      <c r="BE18" s="3" t="s">
        <v>334</v>
      </c>
      <c r="BF18" s="3" t="s">
        <v>335</v>
      </c>
      <c r="BJ18" s="52">
        <f>100/BD18</f>
        <v>3.1536</v>
      </c>
      <c r="BK18" s="56" t="s">
        <v>360</v>
      </c>
    </row>
    <row r="19" spans="1:63">
      <c r="A19" t="str">
        <f t="shared" si="0"/>
        <v>RR</v>
      </c>
      <c r="B19" t="s">
        <v>19</v>
      </c>
      <c r="C19" t="s">
        <v>25</v>
      </c>
      <c r="D19" t="s">
        <v>37</v>
      </c>
      <c r="E19" s="35"/>
      <c r="F19" s="35"/>
      <c r="G19" s="35">
        <v>8.6398804800000006E-2</v>
      </c>
      <c r="H19" s="35">
        <v>5.1355288800000003E-2</v>
      </c>
      <c r="I19" s="35">
        <v>0.29186601480000002</v>
      </c>
      <c r="J19" s="35">
        <v>2.3190266519999998</v>
      </c>
      <c r="K19" s="35"/>
      <c r="L19" s="35">
        <v>245.36301367319999</v>
      </c>
      <c r="M19" s="35">
        <v>1.2886970399999999E-2</v>
      </c>
      <c r="N19" s="35">
        <v>0.33488538480000002</v>
      </c>
      <c r="O19" s="35">
        <v>1.1790573084</v>
      </c>
      <c r="P19" s="35">
        <v>1.2096000144000001</v>
      </c>
      <c r="Q19" s="35">
        <v>7.3859338799999993E-2</v>
      </c>
      <c r="R19" s="35">
        <v>0.42334828200000002</v>
      </c>
      <c r="S19" s="35">
        <v>8.1198799200000005E-2</v>
      </c>
      <c r="T19" s="35"/>
      <c r="U19" s="35">
        <v>9.7590121200000005E-2</v>
      </c>
      <c r="V19" s="35">
        <v>0.4974462684</v>
      </c>
      <c r="W19" s="35"/>
      <c r="X19" s="35">
        <v>2.9411097696000001</v>
      </c>
      <c r="Y19" s="35"/>
      <c r="Z19" s="35">
        <v>28.0445136156</v>
      </c>
      <c r="AA19" s="35">
        <v>3.0923997875999998</v>
      </c>
      <c r="AB19" s="35">
        <v>0.11810544119999999</v>
      </c>
      <c r="AC19" s="35">
        <v>1.7672650271999999</v>
      </c>
      <c r="AD19" s="35">
        <v>0.55079866079999995</v>
      </c>
      <c r="AE19" s="35"/>
      <c r="AF19" s="35">
        <v>0.19335061079999999</v>
      </c>
      <c r="AG19" s="35">
        <v>0.60042061440000005</v>
      </c>
      <c r="AH19" s="35">
        <v>1.3584365676000001</v>
      </c>
      <c r="AI19" s="35"/>
      <c r="AJ19" s="35"/>
      <c r="AK19" s="35">
        <v>1.31936535</v>
      </c>
      <c r="AL19" s="35"/>
      <c r="AM19" s="35">
        <v>1.31381784E-2</v>
      </c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BA19" s="51">
        <v>3.7999999999999999E-2</v>
      </c>
      <c r="BB19" s="51" t="s">
        <v>333</v>
      </c>
      <c r="BD19" s="52">
        <f>1/BA19</f>
        <v>26.315789473684212</v>
      </c>
      <c r="BE19" s="3" t="s">
        <v>334</v>
      </c>
      <c r="BF19" s="3" t="s">
        <v>335</v>
      </c>
      <c r="BJ19" s="52">
        <f>100/BD19</f>
        <v>3.8</v>
      </c>
      <c r="BK19" s="56" t="s">
        <v>360</v>
      </c>
    </row>
    <row r="20" spans="1:63">
      <c r="A20" t="str">
        <f t="shared" si="0"/>
        <v>RR</v>
      </c>
      <c r="B20" t="s">
        <v>19</v>
      </c>
      <c r="C20" t="s">
        <v>25</v>
      </c>
      <c r="D20" t="s">
        <v>42</v>
      </c>
      <c r="E20" s="35">
        <v>715.67029374840001</v>
      </c>
      <c r="F20" s="35">
        <v>1242.7521769944001</v>
      </c>
      <c r="G20" s="35">
        <v>568.92183587279999</v>
      </c>
      <c r="H20" s="35">
        <v>69.244170544799999</v>
      </c>
      <c r="I20" s="35">
        <v>28.915920673199999</v>
      </c>
      <c r="J20" s="35">
        <v>267.91203827880003</v>
      </c>
      <c r="K20" s="35">
        <v>898.18184037959998</v>
      </c>
      <c r="L20" s="35">
        <v>6001.8947373239998</v>
      </c>
      <c r="M20" s="35">
        <v>37.585460444399999</v>
      </c>
      <c r="N20" s="35">
        <v>89.100002556000007</v>
      </c>
      <c r="O20" s="35">
        <v>329.10323396759998</v>
      </c>
      <c r="P20" s="35">
        <v>722.61199977479998</v>
      </c>
      <c r="Q20" s="35">
        <v>113.015318166</v>
      </c>
      <c r="R20" s="35">
        <v>138.8675228184</v>
      </c>
      <c r="S20" s="35">
        <v>5.2247370275999998</v>
      </c>
      <c r="T20" s="35">
        <v>1342.8800014103999</v>
      </c>
      <c r="U20" s="35">
        <v>32.232682699199998</v>
      </c>
      <c r="V20" s="35">
        <v>326.47973484599999</v>
      </c>
      <c r="W20" s="35">
        <v>1584.5382288072001</v>
      </c>
      <c r="X20" s="35">
        <v>1707.7906162908</v>
      </c>
      <c r="Y20" s="35">
        <v>2359.6238953980001</v>
      </c>
      <c r="Z20" s="35">
        <v>18347.249309601601</v>
      </c>
      <c r="AA20" s="35">
        <v>27.895869655199999</v>
      </c>
      <c r="AB20" s="35">
        <v>194.31689074560001</v>
      </c>
      <c r="AC20" s="35">
        <v>4523.0065127928001</v>
      </c>
      <c r="AD20" s="35">
        <v>1546.9669616148001</v>
      </c>
      <c r="AE20" s="35">
        <v>1019.3706881208</v>
      </c>
      <c r="AF20" s="35">
        <v>316.57444849439997</v>
      </c>
      <c r="AG20" s="35">
        <v>271.13869199520002</v>
      </c>
      <c r="AH20" s="35">
        <v>190.16307435600001</v>
      </c>
      <c r="AI20" s="35">
        <v>99.873313030800006</v>
      </c>
      <c r="AJ20" s="35">
        <v>99.307998734400002</v>
      </c>
      <c r="AK20" s="35">
        <v>515.39091832079998</v>
      </c>
      <c r="AL20" s="35">
        <v>77.150481796799994</v>
      </c>
      <c r="AM20" s="35">
        <v>39.119210888399998</v>
      </c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</row>
    <row r="21" spans="1:63">
      <c r="A21" t="str">
        <f t="shared" si="0"/>
        <v>RR</v>
      </c>
      <c r="B21" t="s">
        <v>19</v>
      </c>
      <c r="C21" t="s">
        <v>25</v>
      </c>
      <c r="D21" t="s">
        <v>45</v>
      </c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>
        <v>2.0808395999999999E-3</v>
      </c>
      <c r="R21" s="35"/>
      <c r="S21" s="35"/>
      <c r="T21" s="35">
        <v>6.4200391199999998E-2</v>
      </c>
      <c r="U21" s="35"/>
      <c r="V21" s="35"/>
      <c r="W21" s="35"/>
      <c r="X21" s="35">
        <v>9.0451627199999995E-2</v>
      </c>
      <c r="Y21" s="35"/>
      <c r="Z21" s="35"/>
      <c r="AA21" s="35"/>
      <c r="AB21" s="35"/>
      <c r="AC21" s="35">
        <v>0.35676141480000001</v>
      </c>
      <c r="AD21" s="35"/>
      <c r="AE21" s="35"/>
      <c r="AF21" s="35">
        <v>0.74931159599999997</v>
      </c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</row>
    <row r="22" spans="1:63">
      <c r="A22" t="str">
        <f t="shared" si="0"/>
        <v>RR</v>
      </c>
      <c r="B22" t="s">
        <v>19</v>
      </c>
      <c r="C22" t="s">
        <v>25</v>
      </c>
      <c r="D22" t="s">
        <v>43</v>
      </c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>
        <v>0.32455654919999999</v>
      </c>
      <c r="Y22" s="35"/>
      <c r="Z22" s="35"/>
      <c r="AA22" s="35"/>
      <c r="AB22" s="35"/>
      <c r="AC22" s="35">
        <v>2.8315328399999999E-2</v>
      </c>
      <c r="AD22" s="35"/>
      <c r="AE22" s="35"/>
      <c r="AF22" s="35">
        <v>2.5273995012000001</v>
      </c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BJ22">
        <f>BJ18/7.96</f>
        <v>0.39618090452261306</v>
      </c>
    </row>
    <row r="23" spans="1:63">
      <c r="A23" t="str">
        <f t="shared" si="0"/>
        <v>RR</v>
      </c>
      <c r="B23" t="s">
        <v>19</v>
      </c>
      <c r="C23" t="s">
        <v>25</v>
      </c>
      <c r="D23" t="s">
        <v>39</v>
      </c>
      <c r="E23" s="35">
        <v>42.939992458799999</v>
      </c>
      <c r="F23" s="35">
        <v>2.46435048E-2</v>
      </c>
      <c r="G23" s="35">
        <v>15.2077596948</v>
      </c>
      <c r="H23" s="35">
        <v>0.2193757596</v>
      </c>
      <c r="I23" s="35">
        <v>6.9182599464000001</v>
      </c>
      <c r="J23" s="35">
        <v>8.1889663067999994</v>
      </c>
      <c r="K23" s="35"/>
      <c r="L23" s="35">
        <v>78.302157433199994</v>
      </c>
      <c r="M23" s="35">
        <v>3.6899356968000001</v>
      </c>
      <c r="N23" s="35">
        <v>4.0479992064000001</v>
      </c>
      <c r="O23" s="35">
        <v>2.4205649255999999</v>
      </c>
      <c r="P23" s="35">
        <v>15.5940003684</v>
      </c>
      <c r="Q23" s="35">
        <v>10.0846028088</v>
      </c>
      <c r="R23" s="35">
        <v>23.316779055600001</v>
      </c>
      <c r="S23" s="35"/>
      <c r="T23" s="35">
        <v>8.1308702700000008</v>
      </c>
      <c r="U23" s="35">
        <v>6.6515691599999996E-2</v>
      </c>
      <c r="V23" s="35">
        <v>76.071765337200006</v>
      </c>
      <c r="W23" s="35">
        <v>29.848274978399999</v>
      </c>
      <c r="X23" s="35">
        <v>34.597140318000001</v>
      </c>
      <c r="Y23" s="35">
        <v>2.8085347476</v>
      </c>
      <c r="Z23" s="35">
        <v>73.826505914400002</v>
      </c>
      <c r="AA23" s="35">
        <v>0.2147284116</v>
      </c>
      <c r="AB23" s="35">
        <v>89.009998916399994</v>
      </c>
      <c r="AC23" s="35">
        <v>232.23175186680001</v>
      </c>
      <c r="AD23" s="35">
        <v>59.523082459199998</v>
      </c>
      <c r="AE23" s="35"/>
      <c r="AF23" s="35">
        <v>0.65408283</v>
      </c>
      <c r="AG23" s="35">
        <v>5.6658624623999998</v>
      </c>
      <c r="AH23" s="35"/>
      <c r="AI23" s="35">
        <v>7.0748546400000001E-2</v>
      </c>
      <c r="AJ23" s="35">
        <v>154.28399868</v>
      </c>
      <c r="AK23" s="35">
        <v>2.8979982899999999</v>
      </c>
      <c r="AL23" s="35">
        <v>83.334339342000007</v>
      </c>
      <c r="AM23" s="35">
        <v>10.48133979</v>
      </c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Y23" s="35"/>
    </row>
    <row r="24" spans="1:63">
      <c r="A24" t="str">
        <f t="shared" si="0"/>
        <v>RR</v>
      </c>
      <c r="B24" t="s">
        <v>19</v>
      </c>
      <c r="C24" t="s">
        <v>25</v>
      </c>
      <c r="D24" t="s">
        <v>38</v>
      </c>
      <c r="E24" s="35">
        <v>20.348053153199999</v>
      </c>
      <c r="F24" s="35">
        <v>7.4688325200000003E-2</v>
      </c>
      <c r="G24" s="35">
        <v>3.1234532831999999</v>
      </c>
      <c r="H24" s="35">
        <v>0.78398667359999996</v>
      </c>
      <c r="I24" s="35">
        <v>0.80425078559999996</v>
      </c>
      <c r="J24" s="35">
        <v>3.8368881899999998</v>
      </c>
      <c r="K24" s="35">
        <v>84.173068425599993</v>
      </c>
      <c r="L24" s="35">
        <v>1028.3403293424001</v>
      </c>
      <c r="M24" s="35">
        <v>0.3512432124</v>
      </c>
      <c r="N24" s="35">
        <v>3.1564536408000001</v>
      </c>
      <c r="O24" s="35">
        <v>6.8120701380000002</v>
      </c>
      <c r="P24" s="35">
        <v>8.3365510068000006</v>
      </c>
      <c r="Q24" s="35">
        <v>0.74906038799999997</v>
      </c>
      <c r="R24" s="35">
        <v>4.0482462276</v>
      </c>
      <c r="S24" s="35">
        <v>7.4441304E-2</v>
      </c>
      <c r="T24" s="35">
        <v>123.3807422112</v>
      </c>
      <c r="U24" s="35"/>
      <c r="V24" s="35">
        <v>40.188879673199999</v>
      </c>
      <c r="W24" s="35">
        <v>1.3990066595999999</v>
      </c>
      <c r="X24" s="35">
        <v>161.88196048559999</v>
      </c>
      <c r="Y24" s="35">
        <v>279.44311349880002</v>
      </c>
      <c r="Z24" s="35">
        <v>54.3484446804</v>
      </c>
      <c r="AA24" s="35">
        <v>2.3698250964000001</v>
      </c>
      <c r="AB24" s="35">
        <v>0.71836695719999999</v>
      </c>
      <c r="AC24" s="35">
        <v>364.89503579759997</v>
      </c>
      <c r="AD24" s="35">
        <v>8.9056166759999993</v>
      </c>
      <c r="AE24" s="35"/>
      <c r="AF24" s="35">
        <v>7.3310868E-3</v>
      </c>
      <c r="AG24" s="35">
        <v>8.8681657499999993</v>
      </c>
      <c r="AH24" s="35">
        <v>5.2760630087999996</v>
      </c>
      <c r="AI24" s="35">
        <v>0.58408790759999996</v>
      </c>
      <c r="AJ24" s="35">
        <v>3.3435910404000002</v>
      </c>
      <c r="AK24" s="35">
        <v>0.56970206280000002</v>
      </c>
      <c r="AL24" s="35">
        <v>1.3454993555999999</v>
      </c>
      <c r="AM24" s="35">
        <v>0.54971846639999999</v>
      </c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Y24" s="35"/>
      <c r="BA24" s="57" t="s">
        <v>361</v>
      </c>
      <c r="BB24">
        <v>41.868000000000002</v>
      </c>
      <c r="BC24" t="s">
        <v>160</v>
      </c>
      <c r="BJ24">
        <f>BJ18/14.35</f>
        <v>0.2197630662020906</v>
      </c>
    </row>
    <row r="25" spans="1:63">
      <c r="A25" t="str">
        <f t="shared" si="0"/>
        <v>RR</v>
      </c>
      <c r="B25" t="s">
        <v>19</v>
      </c>
      <c r="C25" t="s">
        <v>24</v>
      </c>
      <c r="D25" t="s">
        <v>32</v>
      </c>
      <c r="E25" s="35"/>
      <c r="F25" s="35"/>
      <c r="G25" s="35"/>
      <c r="H25" s="35">
        <v>7.70119992E-2</v>
      </c>
      <c r="I25" s="35">
        <v>0.128388222</v>
      </c>
      <c r="J25" s="35">
        <v>6.9345968399999999E-2</v>
      </c>
      <c r="K25" s="35">
        <v>4.3922839572000001</v>
      </c>
      <c r="L25" s="35"/>
      <c r="M25" s="35"/>
      <c r="N25" s="35">
        <v>0.18499794480000001</v>
      </c>
      <c r="O25" s="35">
        <v>0.34193176920000001</v>
      </c>
      <c r="P25" s="35">
        <v>0.59372592120000001</v>
      </c>
      <c r="Q25" s="35"/>
      <c r="R25" s="35"/>
      <c r="S25" s="35"/>
      <c r="T25" s="35"/>
      <c r="U25" s="35"/>
      <c r="V25" s="35"/>
      <c r="W25" s="35"/>
      <c r="X25" s="35"/>
      <c r="Y25" s="35"/>
      <c r="Z25" s="35">
        <v>17.209033347599998</v>
      </c>
      <c r="AA25" s="35"/>
      <c r="AB25" s="35"/>
      <c r="AC25" s="35">
        <v>1.2602268E-3</v>
      </c>
      <c r="AD25" s="35"/>
      <c r="AE25" s="35"/>
      <c r="AF25" s="35"/>
      <c r="AG25" s="35"/>
      <c r="AH25" s="35"/>
      <c r="AI25" s="35">
        <v>1.2983266800000001E-2</v>
      </c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</row>
    <row r="26" spans="1:63">
      <c r="A26" t="str">
        <f t="shared" si="0"/>
        <v>RR</v>
      </c>
      <c r="B26" t="s">
        <v>19</v>
      </c>
      <c r="C26" t="s">
        <v>24</v>
      </c>
      <c r="D26" t="s">
        <v>29</v>
      </c>
      <c r="E26" s="35"/>
      <c r="F26" s="35">
        <v>0.1461570012</v>
      </c>
      <c r="G26" s="35"/>
      <c r="H26" s="35">
        <v>4.2998435999999996E-3</v>
      </c>
      <c r="I26" s="35"/>
      <c r="J26" s="35">
        <v>2.6293103999999999E-3</v>
      </c>
      <c r="K26" s="35"/>
      <c r="L26" s="35"/>
      <c r="M26" s="35">
        <v>4.2998435999999996E-3</v>
      </c>
      <c r="N26" s="35">
        <v>1.3163299200000001E-2</v>
      </c>
      <c r="O26" s="35"/>
      <c r="P26" s="35"/>
      <c r="Q26" s="35"/>
      <c r="R26" s="35"/>
      <c r="S26" s="35"/>
      <c r="T26" s="35"/>
      <c r="U26" s="35"/>
      <c r="V26" s="35"/>
      <c r="W26" s="35">
        <v>3.59897328E-2</v>
      </c>
      <c r="X26" s="35"/>
      <c r="Y26" s="35"/>
      <c r="Z26" s="35"/>
      <c r="AA26" s="35"/>
      <c r="AB26" s="35"/>
      <c r="AC26" s="35">
        <v>1.4617458576</v>
      </c>
      <c r="AD26" s="35">
        <v>0.2425245768</v>
      </c>
      <c r="AE26" s="35"/>
      <c r="AF26" s="35"/>
      <c r="AG26" s="35"/>
      <c r="AH26" s="35"/>
      <c r="AI26" s="35"/>
      <c r="AJ26" s="35"/>
      <c r="AK26" s="35">
        <v>0.41068321200000002</v>
      </c>
      <c r="AL26" s="35">
        <v>0.19784723400000001</v>
      </c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</row>
    <row r="27" spans="1:63">
      <c r="A27" t="str">
        <f t="shared" si="0"/>
        <v>RR</v>
      </c>
      <c r="B27" t="s">
        <v>19</v>
      </c>
      <c r="C27" t="s">
        <v>24</v>
      </c>
      <c r="D27" t="s">
        <v>41</v>
      </c>
      <c r="E27" s="35">
        <v>2.6678205864</v>
      </c>
      <c r="F27" s="35">
        <v>15.084554731200001</v>
      </c>
      <c r="G27" s="35">
        <v>47.668292236799999</v>
      </c>
      <c r="H27" s="35">
        <v>1.3269476447999999</v>
      </c>
      <c r="I27" s="35">
        <v>4.6106423243999997</v>
      </c>
      <c r="J27" s="35">
        <v>1.8967627512</v>
      </c>
      <c r="K27" s="35">
        <v>40.785770815200003</v>
      </c>
      <c r="L27" s="35">
        <v>114.11817990119999</v>
      </c>
      <c r="M27" s="35">
        <v>0.92079455040000002</v>
      </c>
      <c r="N27" s="35">
        <v>3.2801987015999998</v>
      </c>
      <c r="O27" s="35">
        <v>4.9130172072000002</v>
      </c>
      <c r="P27" s="35">
        <v>10.7351980344</v>
      </c>
      <c r="Q27" s="35">
        <v>0.44414830440000003</v>
      </c>
      <c r="R27" s="35">
        <v>7.4542708296000004</v>
      </c>
      <c r="S27" s="35"/>
      <c r="T27" s="35">
        <v>109.9560192192</v>
      </c>
      <c r="U27" s="35">
        <v>1.6395048252</v>
      </c>
      <c r="V27" s="35">
        <v>1.8318003624000001</v>
      </c>
      <c r="W27" s="35">
        <v>6.6902007636</v>
      </c>
      <c r="X27" s="35">
        <v>1.9532133756000001</v>
      </c>
      <c r="Y27" s="35">
        <v>3.4297930656000002</v>
      </c>
      <c r="Z27" s="35">
        <v>683.88749108280001</v>
      </c>
      <c r="AA27" s="35">
        <v>0.56947597559999996</v>
      </c>
      <c r="AB27" s="35">
        <v>3.5821925856000001</v>
      </c>
      <c r="AC27" s="35">
        <v>77.809040315999994</v>
      </c>
      <c r="AD27" s="35">
        <v>172.01397880440001</v>
      </c>
      <c r="AE27" s="35"/>
      <c r="AF27" s="35">
        <v>5.0480498807999998</v>
      </c>
      <c r="AG27" s="35">
        <v>3.8659069008000002</v>
      </c>
      <c r="AH27" s="35">
        <v>4.5532580435999996</v>
      </c>
      <c r="AI27" s="35">
        <v>0.37943712359999998</v>
      </c>
      <c r="AJ27" s="35">
        <v>4.8563991108</v>
      </c>
      <c r="AK27" s="35">
        <v>27.0309772584</v>
      </c>
      <c r="AL27" s="35">
        <v>1.4202295488000001</v>
      </c>
      <c r="AM27" s="35">
        <v>0.78320792880000001</v>
      </c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BA27">
        <v>1489</v>
      </c>
    </row>
    <row r="28" spans="1:63">
      <c r="A28" t="str">
        <f t="shared" si="0"/>
        <v>RR</v>
      </c>
      <c r="B28" t="s">
        <v>19</v>
      </c>
      <c r="C28" t="s">
        <v>24</v>
      </c>
      <c r="D28" t="s">
        <v>37</v>
      </c>
      <c r="E28" s="35">
        <v>7.7860747296000001</v>
      </c>
      <c r="F28" s="35">
        <v>0.1818871524</v>
      </c>
      <c r="G28" s="35">
        <v>11.6640019332</v>
      </c>
      <c r="H28" s="35">
        <v>7.1522057700000001</v>
      </c>
      <c r="I28" s="35">
        <v>0.3407175972</v>
      </c>
      <c r="J28" s="35">
        <v>12.159903272399999</v>
      </c>
      <c r="K28" s="35">
        <v>8.1020441519999995</v>
      </c>
      <c r="L28" s="35">
        <v>351.09232431480001</v>
      </c>
      <c r="M28" s="35">
        <v>1.6635579912</v>
      </c>
      <c r="N28" s="35">
        <v>7.4760924311999997</v>
      </c>
      <c r="O28" s="35">
        <v>30.492908200799999</v>
      </c>
      <c r="P28" s="35">
        <v>40.568400532799998</v>
      </c>
      <c r="Q28" s="35">
        <v>0.65615948280000003</v>
      </c>
      <c r="R28" s="35">
        <v>8.8579373976000007</v>
      </c>
      <c r="S28" s="35"/>
      <c r="T28" s="35">
        <v>68.932798228799996</v>
      </c>
      <c r="U28" s="35">
        <v>0.1866098628</v>
      </c>
      <c r="V28" s="35">
        <v>19.979468215200001</v>
      </c>
      <c r="W28" s="35">
        <v>62.294203961999997</v>
      </c>
      <c r="X28" s="35">
        <v>5.2044101135999998</v>
      </c>
      <c r="Y28" s="35"/>
      <c r="Z28" s="35">
        <v>30.383121931200002</v>
      </c>
      <c r="AA28" s="35">
        <v>2.1131993772</v>
      </c>
      <c r="AB28" s="35">
        <v>11.3277725856</v>
      </c>
      <c r="AC28" s="35">
        <v>50.950467107999998</v>
      </c>
      <c r="AD28" s="35">
        <v>192.82644018720001</v>
      </c>
      <c r="AE28" s="35"/>
      <c r="AF28" s="35">
        <v>9.3600017064000003</v>
      </c>
      <c r="AG28" s="35">
        <v>14.2327418976</v>
      </c>
      <c r="AH28" s="35">
        <v>13.2546426156</v>
      </c>
      <c r="AI28" s="35">
        <v>10.9500018084</v>
      </c>
      <c r="AJ28" s="35">
        <v>4.6356207732000003</v>
      </c>
      <c r="AK28" s="35">
        <v>20.356774257600001</v>
      </c>
      <c r="AL28" s="35">
        <v>19.2675573036</v>
      </c>
      <c r="AM28" s="35">
        <v>1.6868575332</v>
      </c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</row>
    <row r="29" spans="1:63">
      <c r="A29" t="str">
        <f t="shared" si="0"/>
        <v>RR</v>
      </c>
      <c r="B29" t="s">
        <v>19</v>
      </c>
      <c r="C29" t="s">
        <v>24</v>
      </c>
      <c r="D29" t="s">
        <v>42</v>
      </c>
      <c r="E29" s="35"/>
      <c r="F29" s="35"/>
      <c r="G29" s="35">
        <v>4.4555925599999997E-2</v>
      </c>
      <c r="H29" s="35"/>
      <c r="I29" s="35"/>
      <c r="J29" s="35"/>
      <c r="K29" s="35"/>
      <c r="L29" s="35"/>
      <c r="M29" s="35"/>
      <c r="N29" s="35"/>
      <c r="O29" s="35"/>
      <c r="P29" s="35"/>
      <c r="Q29" s="35">
        <v>1.0111122E-2</v>
      </c>
      <c r="R29" s="35"/>
      <c r="S29" s="35"/>
      <c r="T29" s="35"/>
      <c r="U29" s="35"/>
      <c r="V29" s="35"/>
      <c r="W29" s="35"/>
      <c r="X29" s="35">
        <v>2.2219347600000001E-2</v>
      </c>
      <c r="Y29" s="35"/>
      <c r="Z29" s="35"/>
      <c r="AA29" s="35"/>
      <c r="AB29" s="35"/>
      <c r="AC29" s="35">
        <v>8.2676739599999993E-2</v>
      </c>
      <c r="AD29" s="35">
        <v>1.1968009667999999</v>
      </c>
      <c r="AE29" s="35"/>
      <c r="AF29" s="35">
        <v>1.3372053048000001</v>
      </c>
      <c r="AG29" s="35"/>
      <c r="AH29" s="35">
        <v>8.7922800000000005E-5</v>
      </c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BA29">
        <v>6344</v>
      </c>
    </row>
    <row r="30" spans="1:63">
      <c r="A30" t="str">
        <f t="shared" si="0"/>
        <v>RR</v>
      </c>
      <c r="B30" t="s">
        <v>19</v>
      </c>
      <c r="C30" t="s">
        <v>24</v>
      </c>
      <c r="D30" t="s">
        <v>45</v>
      </c>
      <c r="E30" s="35">
        <v>4.2400016675999996</v>
      </c>
      <c r="F30" s="35"/>
      <c r="G30" s="35">
        <v>1.7040276000000001E-3</v>
      </c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>
        <v>2.2303083599999999E-2</v>
      </c>
      <c r="AD30" s="35">
        <v>8.7198483600000001E-2</v>
      </c>
      <c r="AE30" s="35"/>
      <c r="AF30" s="35">
        <v>3.0902728931999999</v>
      </c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BA30">
        <v>39.450000000000003</v>
      </c>
    </row>
    <row r="31" spans="1:63">
      <c r="A31" t="str">
        <f t="shared" si="0"/>
        <v/>
      </c>
      <c r="B31" t="s">
        <v>19</v>
      </c>
      <c r="C31" t="s">
        <v>21</v>
      </c>
      <c r="D31" t="s">
        <v>32</v>
      </c>
      <c r="E31" s="35"/>
      <c r="F31" s="35"/>
      <c r="G31" s="35"/>
      <c r="H31" s="35"/>
      <c r="I31" s="35"/>
      <c r="J31" s="35">
        <v>0.1182477924</v>
      </c>
      <c r="K31" s="35"/>
      <c r="L31" s="35"/>
      <c r="M31" s="35"/>
      <c r="N31" s="35"/>
      <c r="O31" s="35">
        <v>0.17838280079999999</v>
      </c>
      <c r="P31" s="35"/>
      <c r="Q31" s="35">
        <v>1.6964913599999999E-2</v>
      </c>
      <c r="R31" s="35"/>
      <c r="S31" s="35">
        <v>4.1868E-5</v>
      </c>
      <c r="T31" s="35"/>
      <c r="U31" s="35"/>
      <c r="V31" s="35"/>
      <c r="W31" s="35"/>
      <c r="X31" s="35"/>
      <c r="Y31" s="35"/>
      <c r="Z31" s="35">
        <v>4.5131526863999998</v>
      </c>
      <c r="AA31" s="35"/>
      <c r="AB31" s="35"/>
      <c r="AC31" s="35">
        <v>0.25656291720000002</v>
      </c>
      <c r="AD31" s="35"/>
      <c r="AE31" s="35"/>
      <c r="AF31" s="35"/>
      <c r="AG31" s="35">
        <v>0.1059637212</v>
      </c>
      <c r="AH31" s="35">
        <v>0.16820468999999999</v>
      </c>
      <c r="AI31" s="35">
        <v>2.8968469199999999E-2</v>
      </c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BA31">
        <v>14164</v>
      </c>
    </row>
    <row r="32" spans="1:63">
      <c r="A32" t="str">
        <f t="shared" si="0"/>
        <v/>
      </c>
      <c r="B32" t="s">
        <v>19</v>
      </c>
      <c r="C32" t="s">
        <v>21</v>
      </c>
      <c r="D32" t="s">
        <v>41</v>
      </c>
      <c r="E32" s="35">
        <v>2.2515982380000001</v>
      </c>
      <c r="F32" s="35">
        <v>20.462294178</v>
      </c>
      <c r="G32" s="35">
        <v>12.196211202000001</v>
      </c>
      <c r="H32" s="35">
        <v>1.039142826</v>
      </c>
      <c r="I32" s="35">
        <v>0.51737543640000005</v>
      </c>
      <c r="J32" s="35">
        <v>17.810081982</v>
      </c>
      <c r="K32" s="35">
        <v>13.322179886400001</v>
      </c>
      <c r="L32" s="35">
        <v>622.70790957719998</v>
      </c>
      <c r="M32" s="35">
        <v>2.0970592631999998</v>
      </c>
      <c r="N32" s="35">
        <v>0.21299926320000001</v>
      </c>
      <c r="O32" s="35">
        <v>7.3308230315999996</v>
      </c>
      <c r="P32" s="35">
        <v>11.2463979408</v>
      </c>
      <c r="Q32" s="35">
        <v>12.4834633632</v>
      </c>
      <c r="R32" s="35">
        <v>2.037966768</v>
      </c>
      <c r="S32" s="35">
        <v>0.50608782360000004</v>
      </c>
      <c r="T32" s="35">
        <v>35.081661934800003</v>
      </c>
      <c r="U32" s="35">
        <v>3.6805991327999998</v>
      </c>
      <c r="V32" s="35">
        <v>10.836217144800001</v>
      </c>
      <c r="W32" s="35">
        <v>42.246633258000003</v>
      </c>
      <c r="X32" s="35">
        <v>34.985403216000002</v>
      </c>
      <c r="Y32" s="35"/>
      <c r="Z32" s="35">
        <v>204.4855812456</v>
      </c>
      <c r="AA32" s="35">
        <v>36.077299721999999</v>
      </c>
      <c r="AB32" s="35">
        <v>7.7958215999999997E-2</v>
      </c>
      <c r="AC32" s="35">
        <v>246.6527992812</v>
      </c>
      <c r="AD32" s="35">
        <v>17.148956954399999</v>
      </c>
      <c r="AE32" s="35"/>
      <c r="AF32" s="35">
        <v>11.0169654876</v>
      </c>
      <c r="AG32" s="35">
        <v>20.691115358400001</v>
      </c>
      <c r="AH32" s="35">
        <v>10.993741308000001</v>
      </c>
      <c r="AI32" s="35">
        <v>0.99500976720000001</v>
      </c>
      <c r="AJ32" s="35">
        <v>14.824801472400001</v>
      </c>
      <c r="AK32" s="35">
        <v>36.848575270799998</v>
      </c>
      <c r="AL32" s="35">
        <v>5.6338711235999996</v>
      </c>
      <c r="AM32" s="35">
        <v>1.5225465672</v>
      </c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</row>
    <row r="33" spans="1:53">
      <c r="A33" t="str">
        <f t="shared" si="0"/>
        <v/>
      </c>
      <c r="B33" t="s">
        <v>19</v>
      </c>
      <c r="C33" t="s">
        <v>21</v>
      </c>
      <c r="D33" t="s">
        <v>42</v>
      </c>
      <c r="E33" s="35"/>
      <c r="F33" s="35">
        <v>2.8287653652000002</v>
      </c>
      <c r="G33" s="35">
        <v>11.242319997599999</v>
      </c>
      <c r="H33" s="35">
        <v>9.8561458800000001E-2</v>
      </c>
      <c r="I33" s="35">
        <v>3.8267352E-3</v>
      </c>
      <c r="J33" s="35">
        <v>1.8463787999999999E-3</v>
      </c>
      <c r="K33" s="35"/>
      <c r="L33" s="35"/>
      <c r="M33" s="35"/>
      <c r="N33" s="35"/>
      <c r="O33" s="35">
        <v>13.110285938400001</v>
      </c>
      <c r="P33" s="35"/>
      <c r="Q33" s="35">
        <v>2.7716616000000001E-3</v>
      </c>
      <c r="R33" s="35"/>
      <c r="S33" s="35"/>
      <c r="T33" s="35"/>
      <c r="U33" s="35"/>
      <c r="V33" s="35">
        <v>1.7467329600000001E-2</v>
      </c>
      <c r="W33" s="35"/>
      <c r="X33" s="35">
        <v>0.3360283812</v>
      </c>
      <c r="Y33" s="35"/>
      <c r="Z33" s="35">
        <v>198.20899864079999</v>
      </c>
      <c r="AA33" s="35">
        <v>2.6370978479999998</v>
      </c>
      <c r="AB33" s="35"/>
      <c r="AC33" s="35">
        <v>9.0982597175999995</v>
      </c>
      <c r="AD33" s="35">
        <v>0.58520159640000002</v>
      </c>
      <c r="AE33" s="35"/>
      <c r="AF33" s="35">
        <v>3.8229670799999997E-2</v>
      </c>
      <c r="AG33" s="35"/>
      <c r="AH33" s="35">
        <v>1.3640008248</v>
      </c>
      <c r="AI33" s="35">
        <v>0.52469814960000005</v>
      </c>
      <c r="AJ33" s="35"/>
      <c r="AK33" s="35"/>
      <c r="AL33" s="35"/>
      <c r="AM33" s="35">
        <v>0.29920128839999999</v>
      </c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</row>
    <row r="34" spans="1:53">
      <c r="A34" t="str">
        <f t="shared" si="0"/>
        <v/>
      </c>
      <c r="B34" t="s">
        <v>19</v>
      </c>
      <c r="C34" t="s">
        <v>21</v>
      </c>
      <c r="D34" t="s">
        <v>45</v>
      </c>
      <c r="E34" s="35">
        <v>9.7814743019999995</v>
      </c>
      <c r="F34" s="35">
        <v>0.26331622560000001</v>
      </c>
      <c r="G34" s="35">
        <v>5.7484010375999999</v>
      </c>
      <c r="H34" s="35"/>
      <c r="I34" s="35"/>
      <c r="J34" s="35">
        <v>2.8001318399999999E-2</v>
      </c>
      <c r="K34" s="35">
        <v>40.989353965200003</v>
      </c>
      <c r="L34" s="35">
        <v>395.31815841600002</v>
      </c>
      <c r="M34" s="35"/>
      <c r="N34" s="35"/>
      <c r="O34" s="35">
        <v>0.47387877119999999</v>
      </c>
      <c r="P34" s="35"/>
      <c r="Q34" s="35">
        <v>14.360242518</v>
      </c>
      <c r="R34" s="35"/>
      <c r="S34" s="35">
        <v>0.19288168920000001</v>
      </c>
      <c r="T34" s="35">
        <v>29.293741692000001</v>
      </c>
      <c r="U34" s="35"/>
      <c r="V34" s="35">
        <v>15.0862796928</v>
      </c>
      <c r="W34" s="35">
        <v>88.755181894800003</v>
      </c>
      <c r="X34" s="35">
        <v>16.624212750000002</v>
      </c>
      <c r="Y34" s="35"/>
      <c r="Z34" s="35">
        <v>38.472563815199997</v>
      </c>
      <c r="AA34" s="35">
        <v>0.13216052880000001</v>
      </c>
      <c r="AB34" s="35"/>
      <c r="AC34" s="35">
        <v>24.921010090799999</v>
      </c>
      <c r="AD34" s="35">
        <v>7.8600010571999999</v>
      </c>
      <c r="AE34" s="35"/>
      <c r="AF34" s="35"/>
      <c r="AG34" s="35">
        <v>25.9033589748</v>
      </c>
      <c r="AH34" s="35">
        <v>3.920917266</v>
      </c>
      <c r="AI34" s="35"/>
      <c r="AJ34" s="35">
        <v>1.3999989312000001</v>
      </c>
      <c r="AK34" s="35">
        <v>0.330401322</v>
      </c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</row>
    <row r="35" spans="1:53">
      <c r="A35" t="str">
        <f t="shared" si="0"/>
        <v/>
      </c>
      <c r="B35" t="s">
        <v>19</v>
      </c>
      <c r="C35" t="s">
        <v>21</v>
      </c>
      <c r="D35" t="s">
        <v>38</v>
      </c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>
        <v>3.1542220764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BA35">
        <v>89.6</v>
      </c>
    </row>
    <row r="36" spans="1:53">
      <c r="A36" t="str">
        <f t="shared" si="0"/>
        <v/>
      </c>
      <c r="B36" t="s">
        <v>19</v>
      </c>
      <c r="C36" t="s">
        <v>22</v>
      </c>
      <c r="D36" t="s">
        <v>32</v>
      </c>
      <c r="E36" s="35"/>
      <c r="F36" s="35"/>
      <c r="G36" s="35"/>
      <c r="H36" s="35"/>
      <c r="I36" s="35"/>
      <c r="J36" s="35">
        <v>-1.9816836155999999</v>
      </c>
      <c r="K36" s="35"/>
      <c r="L36" s="35"/>
      <c r="M36" s="35"/>
      <c r="N36" s="35"/>
      <c r="O36" s="35"/>
      <c r="P36" s="35"/>
      <c r="Q36" s="35">
        <v>-1.5449292000000001E-3</v>
      </c>
      <c r="R36" s="35"/>
      <c r="S36" s="35"/>
      <c r="T36" s="35"/>
      <c r="U36" s="35"/>
      <c r="V36" s="35"/>
      <c r="W36" s="35"/>
      <c r="X36" s="35"/>
      <c r="Y36" s="35"/>
      <c r="Z36" s="35">
        <v>-8.5687467480000006</v>
      </c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</row>
    <row r="37" spans="1:53">
      <c r="A37" t="str">
        <f t="shared" si="0"/>
        <v/>
      </c>
      <c r="B37" t="s">
        <v>19</v>
      </c>
      <c r="C37" t="s">
        <v>22</v>
      </c>
      <c r="D37" t="s">
        <v>41</v>
      </c>
      <c r="E37" s="35">
        <v>-9.1431003456000006</v>
      </c>
      <c r="F37" s="35">
        <v>-35.018964604799997</v>
      </c>
      <c r="G37" s="35">
        <v>-3.261370662</v>
      </c>
      <c r="H37" s="35">
        <v>-0.61301450879999997</v>
      </c>
      <c r="I37" s="35">
        <v>-16.595298709200001</v>
      </c>
      <c r="J37" s="35">
        <v>-133.0551809712</v>
      </c>
      <c r="K37" s="35">
        <v>-19.718090478000001</v>
      </c>
      <c r="L37" s="35">
        <v>-32.562560671200004</v>
      </c>
      <c r="M37" s="35">
        <v>-2.0533783788000002</v>
      </c>
      <c r="N37" s="35"/>
      <c r="O37" s="35">
        <v>-5.9298778835999997</v>
      </c>
      <c r="P37" s="35">
        <v>-30.075601471199999</v>
      </c>
      <c r="Q37" s="35">
        <v>-21.637880629200001</v>
      </c>
      <c r="R37" s="35">
        <v>-3.9072557375999999</v>
      </c>
      <c r="S37" s="35">
        <v>-1.9252204308</v>
      </c>
      <c r="T37" s="35">
        <v>-2.3815020815999999</v>
      </c>
      <c r="U37" s="35">
        <v>-5.4310332240000001</v>
      </c>
      <c r="V37" s="35">
        <v>-38.059728587999999</v>
      </c>
      <c r="W37" s="35">
        <v>-5.2803126108000003</v>
      </c>
      <c r="X37" s="35">
        <v>-69.303602170800005</v>
      </c>
      <c r="Y37" s="35">
        <v>-35.604873770399998</v>
      </c>
      <c r="Z37" s="35">
        <v>-461.73995265240001</v>
      </c>
      <c r="AA37" s="35">
        <v>-10.150599337199999</v>
      </c>
      <c r="AB37" s="35">
        <v>-8.1779215284000006</v>
      </c>
      <c r="AC37" s="35">
        <v>-407.61818969759997</v>
      </c>
      <c r="AD37" s="35">
        <v>-364.01444290080002</v>
      </c>
      <c r="AE37" s="35"/>
      <c r="AF37" s="35">
        <v>-68.675029513200002</v>
      </c>
      <c r="AG37" s="35">
        <v>-74.435618325600004</v>
      </c>
      <c r="AH37" s="35">
        <v>-38.849790308400003</v>
      </c>
      <c r="AI37" s="35">
        <v>-0.1114861104</v>
      </c>
      <c r="AJ37" s="35">
        <v>-6.1769995668000002</v>
      </c>
      <c r="AK37" s="35">
        <v>-67.570501431599993</v>
      </c>
      <c r="AL37" s="35"/>
      <c r="AM37" s="35">
        <v>-2.0118118283999999</v>
      </c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</row>
    <row r="38" spans="1:53">
      <c r="A38" t="str">
        <f t="shared" si="0"/>
        <v/>
      </c>
      <c r="B38" t="s">
        <v>19</v>
      </c>
      <c r="C38" t="s">
        <v>22</v>
      </c>
      <c r="D38" t="s">
        <v>45</v>
      </c>
      <c r="E38" s="35">
        <v>-26.7034690152</v>
      </c>
      <c r="F38" s="35">
        <v>-53.407917741600002</v>
      </c>
      <c r="G38" s="35">
        <v>-28.835940232799999</v>
      </c>
      <c r="H38" s="35"/>
      <c r="I38" s="35">
        <v>-10.737241192799999</v>
      </c>
      <c r="J38" s="35">
        <v>-673.11487142999999</v>
      </c>
      <c r="K38" s="35">
        <v>-119.4358555152</v>
      </c>
      <c r="L38" s="35">
        <v>-443.04395216400002</v>
      </c>
      <c r="M38" s="35">
        <v>-6.7915506311999998</v>
      </c>
      <c r="N38" s="35"/>
      <c r="O38" s="35">
        <v>-65.158238930400003</v>
      </c>
      <c r="P38" s="35">
        <v>-26.719998501599999</v>
      </c>
      <c r="Q38" s="35">
        <v>-95.445018406800003</v>
      </c>
      <c r="R38" s="35">
        <v>-0.70021717920000004</v>
      </c>
      <c r="S38" s="35">
        <v>-0.77315960880000001</v>
      </c>
      <c r="T38" s="35">
        <v>-65.767439264399997</v>
      </c>
      <c r="U38" s="35">
        <v>-0.41592089879999999</v>
      </c>
      <c r="V38" s="35">
        <v>-167.76878969160001</v>
      </c>
      <c r="W38" s="35">
        <v>-182.88817859880001</v>
      </c>
      <c r="X38" s="35">
        <v>-291.79260344879998</v>
      </c>
      <c r="Y38" s="35">
        <v>-833.70404855879997</v>
      </c>
      <c r="Z38" s="35">
        <v>-544.79754870119996</v>
      </c>
      <c r="AA38" s="35">
        <v>-1.4256012132</v>
      </c>
      <c r="AB38" s="35">
        <v>-3.2242002516000001</v>
      </c>
      <c r="AC38" s="35">
        <v>-2460.6435793895998</v>
      </c>
      <c r="AD38" s="35">
        <v>-88.480000278000006</v>
      </c>
      <c r="AE38" s="35">
        <v>-135.01029096720001</v>
      </c>
      <c r="AF38" s="35">
        <v>-57.689933947199997</v>
      </c>
      <c r="AG38" s="35">
        <v>-261.79840593</v>
      </c>
      <c r="AH38" s="35">
        <v>-88.967678742000004</v>
      </c>
      <c r="AI38" s="35"/>
      <c r="AJ38" s="35">
        <v>-30.7200002328</v>
      </c>
      <c r="AK38" s="35">
        <v>-27.651318667200002</v>
      </c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</row>
    <row r="39" spans="1:53">
      <c r="A39" t="str">
        <f t="shared" si="0"/>
        <v/>
      </c>
      <c r="B39" t="s">
        <v>19</v>
      </c>
      <c r="C39" t="s">
        <v>22</v>
      </c>
      <c r="D39" t="s">
        <v>43</v>
      </c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>
        <v>-6.9025133916000003</v>
      </c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</row>
    <row r="40" spans="1:53">
      <c r="A40" t="str">
        <f t="shared" si="0"/>
        <v/>
      </c>
      <c r="B40" t="s">
        <v>19</v>
      </c>
      <c r="C40" t="s">
        <v>22</v>
      </c>
      <c r="D40" t="s">
        <v>38</v>
      </c>
      <c r="E40" s="35"/>
      <c r="F40" s="35"/>
      <c r="G40" s="35"/>
      <c r="H40" s="35"/>
      <c r="I40" s="35">
        <v>-0.85229850240000005</v>
      </c>
      <c r="J40" s="35">
        <v>-2.8695364236000001</v>
      </c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>
        <v>-2.2015199231999998</v>
      </c>
      <c r="AB40" s="35"/>
      <c r="AC40" s="35"/>
      <c r="AD40" s="35"/>
      <c r="AE40" s="35"/>
      <c r="AF40" s="35"/>
      <c r="AG40" s="35">
        <v>-1.4913004787999999</v>
      </c>
      <c r="AH40" s="35">
        <v>-0.74190096000000005</v>
      </c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</row>
    <row r="41" spans="1:53"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</row>
    <row r="42" spans="1:53">
      <c r="E42" s="40">
        <f t="shared" ref="E42:AY42" si="1">SUMIF($A$5:$A$40,"RR",E$5:E$40)</f>
        <v>1905.6727849499998</v>
      </c>
      <c r="F42" s="40">
        <f t="shared" si="1"/>
        <v>2248.4138751504006</v>
      </c>
      <c r="G42" s="40">
        <f t="shared" si="1"/>
        <v>1227.7259150796001</v>
      </c>
      <c r="H42" s="40">
        <f t="shared" si="1"/>
        <v>357.70001162399996</v>
      </c>
      <c r="I42" s="40">
        <f t="shared" si="1"/>
        <v>168.88592841480005</v>
      </c>
      <c r="J42" s="40">
        <f t="shared" si="1"/>
        <v>896.10658597079998</v>
      </c>
      <c r="K42" s="40">
        <f t="shared" si="1"/>
        <v>3358.6101093923999</v>
      </c>
      <c r="L42" s="40">
        <f t="shared" si="1"/>
        <v>11824.146354938399</v>
      </c>
      <c r="M42" s="40">
        <f t="shared" si="1"/>
        <v>171.32301026639999</v>
      </c>
      <c r="N42" s="40">
        <f t="shared" si="1"/>
        <v>386.43094272599996</v>
      </c>
      <c r="O42" s="40">
        <f t="shared" si="1"/>
        <v>1794.7180967004001</v>
      </c>
      <c r="P42" s="40">
        <f t="shared" si="1"/>
        <v>2298.1120578180003</v>
      </c>
      <c r="Q42" s="40">
        <f t="shared" si="1"/>
        <v>245.60199203040006</v>
      </c>
      <c r="R42" s="40">
        <f t="shared" si="1"/>
        <v>619.06582900440003</v>
      </c>
      <c r="S42" s="40">
        <f t="shared" si="1"/>
        <v>13.902411751199999</v>
      </c>
      <c r="T42" s="40">
        <f t="shared" si="1"/>
        <v>4125.4613075339994</v>
      </c>
      <c r="U42" s="40">
        <f t="shared" si="1"/>
        <v>165.44606190839997</v>
      </c>
      <c r="V42" s="40">
        <f t="shared" si="1"/>
        <v>1418.9776537320001</v>
      </c>
      <c r="W42" s="40">
        <f t="shared" si="1"/>
        <v>2615.2329841956002</v>
      </c>
      <c r="X42" s="40">
        <f t="shared" si="1"/>
        <v>3516.5266762356005</v>
      </c>
      <c r="Y42" s="40">
        <f t="shared" si="1"/>
        <v>4143.0712646627999</v>
      </c>
      <c r="Z42" s="40">
        <f t="shared" si="1"/>
        <v>27174.536304145204</v>
      </c>
      <c r="AA42" s="40">
        <f t="shared" si="1"/>
        <v>144.1820708928</v>
      </c>
      <c r="AB42" s="40">
        <f t="shared" si="1"/>
        <v>934.79058318600005</v>
      </c>
      <c r="AC42" s="40">
        <f t="shared" si="1"/>
        <v>9606.4877245031967</v>
      </c>
      <c r="AD42" s="40">
        <f t="shared" si="1"/>
        <v>2683.7149310532</v>
      </c>
      <c r="AE42" s="40">
        <f t="shared" si="1"/>
        <v>1871.1694122048</v>
      </c>
      <c r="AF42" s="40">
        <f t="shared" si="1"/>
        <v>686.66964480359991</v>
      </c>
      <c r="AG42" s="40">
        <f t="shared" si="1"/>
        <v>1457.9364222575998</v>
      </c>
      <c r="AH42" s="40">
        <f t="shared" si="1"/>
        <v>618.1133529384</v>
      </c>
      <c r="AI42" s="40">
        <f t="shared" si="1"/>
        <v>233.29801678320007</v>
      </c>
      <c r="AJ42" s="40">
        <f t="shared" si="1"/>
        <v>1095.7843098648002</v>
      </c>
      <c r="AK42" s="40">
        <f t="shared" si="1"/>
        <v>1651.0165741512001</v>
      </c>
      <c r="AL42" s="40">
        <f t="shared" si="1"/>
        <v>368.19933372000003</v>
      </c>
      <c r="AM42" s="40">
        <f t="shared" si="1"/>
        <v>245.38933189799999</v>
      </c>
      <c r="AN42" s="40">
        <f t="shared" si="1"/>
        <v>0</v>
      </c>
      <c r="AO42" s="40">
        <f t="shared" si="1"/>
        <v>0</v>
      </c>
      <c r="AP42" s="40">
        <f t="shared" si="1"/>
        <v>0</v>
      </c>
      <c r="AQ42" s="40">
        <f t="shared" si="1"/>
        <v>0</v>
      </c>
      <c r="AR42" s="40">
        <f t="shared" si="1"/>
        <v>0</v>
      </c>
      <c r="AS42" s="40">
        <f t="shared" si="1"/>
        <v>0</v>
      </c>
      <c r="AT42" s="40">
        <f t="shared" si="1"/>
        <v>0</v>
      </c>
      <c r="AU42" s="40">
        <f t="shared" si="1"/>
        <v>0</v>
      </c>
      <c r="AV42" s="40">
        <f t="shared" si="1"/>
        <v>0</v>
      </c>
      <c r="AW42" s="40">
        <f t="shared" si="1"/>
        <v>0</v>
      </c>
      <c r="AX42" s="40">
        <f t="shared" si="1"/>
        <v>0</v>
      </c>
      <c r="AY42" s="40">
        <f t="shared" si="1"/>
        <v>0</v>
      </c>
    </row>
    <row r="43" spans="1:53">
      <c r="E43" s="40">
        <f ca="1">SUM(Assumptions!BD3:BD103)</f>
        <v>1905.6727849500001</v>
      </c>
      <c r="F43" s="40">
        <f ca="1">SUM(Assumptions!BU3:BU103)</f>
        <v>1417.703359284</v>
      </c>
      <c r="G43" s="40">
        <f ca="1">SUM(Assumptions!BV3:BV103)</f>
        <v>2598.5961356832004</v>
      </c>
      <c r="H43" s="40">
        <f ca="1">SUM(Assumptions!BW3:BW103)</f>
        <v>3463.0221355235999</v>
      </c>
      <c r="I43" s="40">
        <f ca="1">SUM(Assumptions!BX3:BX103)</f>
        <v>4143.0712646628008</v>
      </c>
      <c r="J43" s="40">
        <f ca="1">SUM(Assumptions!BY3:BY103)</f>
        <v>25739.333971426793</v>
      </c>
      <c r="K43" s="40">
        <f ca="1">SUM(Assumptions!BZ3:BZ103)</f>
        <v>142.39818426960005</v>
      </c>
      <c r="L43" s="40">
        <f ca="1">SUM(Assumptions!CA3:CA103)</f>
        <v>926.94794897519989</v>
      </c>
      <c r="M43" s="40">
        <f ca="1">SUM(Assumptions!CB3:CB103)</f>
        <v>9552.6640282139997</v>
      </c>
      <c r="N43" s="40">
        <f ca="1">SUM(Assumptions!CC3:CC103)</f>
        <v>2683.7149310532013</v>
      </c>
      <c r="O43" s="40">
        <f ca="1">SUM(Assumptions!CD3:CD103)</f>
        <v>1871.1694122048002</v>
      </c>
      <c r="P43" s="40">
        <f ca="1">SUM(Assumptions!CE3:CE103)</f>
        <v>683.39293370640019</v>
      </c>
      <c r="Q43" s="40">
        <f ca="1">SUM(Assumptions!CF3:CF103)</f>
        <v>1452.1387635180004</v>
      </c>
      <c r="R43" s="40">
        <f ca="1">SUM(Assumptions!CG3:CG103)</f>
        <v>608.73352673400007</v>
      </c>
      <c r="S43" s="40">
        <f ca="1">SUM(Assumptions!CH3:CH103)</f>
        <v>231.95900696760003</v>
      </c>
      <c r="T43" s="40">
        <f ca="1">SUM(Assumptions!CI3:CI103)</f>
        <v>1093.5575100432</v>
      </c>
      <c r="U43" s="40">
        <f ca="1">SUM(Assumptions!CJ3:CJ103)</f>
        <v>1635.0014528783997</v>
      </c>
      <c r="V43" s="40">
        <f ca="1">SUM(Assumptions!CK3:CK103)</f>
        <v>364.5103568003999</v>
      </c>
      <c r="W43" s="40">
        <f ca="1">SUM(Assumptions!CL3:CL103)</f>
        <v>245.38933189799994</v>
      </c>
      <c r="X43" s="40">
        <f ca="1">SUM(Assumptions!CM3:CM103)</f>
        <v>0</v>
      </c>
      <c r="Y43" s="40">
        <f ca="1">SUM(Assumptions!CN3:CN103)</f>
        <v>0</v>
      </c>
      <c r="Z43" s="40">
        <f ca="1">SUM(Assumptions!CO3:CO103)</f>
        <v>0</v>
      </c>
      <c r="AA43" s="40">
        <f ca="1">SUM(Assumptions!CP3:CP103)</f>
        <v>0</v>
      </c>
      <c r="AB43" s="40">
        <f ca="1">SUM(Assumptions!CQ3:CQ103)</f>
        <v>0</v>
      </c>
      <c r="AC43" s="40">
        <f ca="1">SUM(Assumptions!CR3:CR103)</f>
        <v>0</v>
      </c>
      <c r="AD43" s="40">
        <f ca="1">SUM(Assumptions!CS3:CS103)</f>
        <v>0</v>
      </c>
      <c r="AE43" s="40">
        <f ca="1">SUM(Assumptions!CT3:CT103)</f>
        <v>0</v>
      </c>
      <c r="AF43" s="40">
        <f ca="1">SUM(Assumptions!CU3:CU103)</f>
        <v>0</v>
      </c>
      <c r="AG43" s="40">
        <f ca="1">SUM(Assumptions!CV3:CV103)</f>
        <v>0</v>
      </c>
      <c r="AH43" s="40">
        <f ca="1">SUM(Assumptions!CW3:CW103)</f>
        <v>0</v>
      </c>
      <c r="AI43" s="40">
        <f>SUM(Assumptions!CX3:CX103)</f>
        <v>0</v>
      </c>
      <c r="AJ43" s="40">
        <f ca="1">SUM(Assumptions!CY3:CY103)</f>
        <v>75.3</v>
      </c>
      <c r="AK43" s="40">
        <f ca="1">SUM(Assumptions!DP3:DP103)</f>
        <v>74.135999999999996</v>
      </c>
      <c r="AL43" s="40">
        <f ca="1">SUM(Assumptions!DQ3:DQ103)</f>
        <v>73.959999999999994</v>
      </c>
      <c r="AM43" s="40">
        <f ca="1">SUM(Assumptions!DR3:DR103)</f>
        <v>75</v>
      </c>
      <c r="AN43" s="40">
        <f ca="1">SUM(Assumptions!DS3:DS103)</f>
        <v>74.435999999999993</v>
      </c>
      <c r="AO43" s="40">
        <f ca="1">SUM(Assumptions!DT3:DT103)</f>
        <v>73.603230976569179</v>
      </c>
      <c r="AP43" s="40">
        <f ca="1">SUM(Assumptions!DU3:DU103)</f>
        <v>74.135999999999996</v>
      </c>
      <c r="AQ43" s="40">
        <f ca="1">SUM(Assumptions!DV3:DV103)</f>
        <v>75.86</v>
      </c>
      <c r="AR43" s="40">
        <f ca="1">SUM(Assumptions!DW3:DW103)</f>
        <v>73.799999999999983</v>
      </c>
      <c r="AS43" s="40">
        <f ca="1">SUM(Assumptions!DX3:DX103)</f>
        <v>74.459999999999994</v>
      </c>
      <c r="AT43" s="40">
        <f ca="1">SUM(Assumptions!DY3:DY103)</f>
        <v>74.435999999999993</v>
      </c>
      <c r="AU43" s="40">
        <f ca="1">SUM(Assumptions!DZ3:DZ103)</f>
        <v>75.3</v>
      </c>
      <c r="AV43" s="40">
        <f ca="1">SUM(Assumptions!EA3:EA103)</f>
        <v>74.135999999999996</v>
      </c>
      <c r="AW43" s="40">
        <f ca="1">SUM(Assumptions!EB3:EB103)</f>
        <v>74.135999999999996</v>
      </c>
      <c r="AX43" s="40">
        <f ca="1">SUM(Assumptions!EC3:EC103)</f>
        <v>74.135999999999996</v>
      </c>
      <c r="AY43" s="40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91" t="s">
        <v>33</v>
      </c>
      <c r="B46" s="91" t="s">
        <v>42</v>
      </c>
      <c r="C46" s="66" t="s">
        <v>363</v>
      </c>
      <c r="D46" s="66" t="s">
        <v>364</v>
      </c>
      <c r="E46" s="92">
        <f>IFERROR(SUMIFS(E$5:E$39,$C$5:$C$39,"TR",$D$5:$D$39,$A46)/SUMIFS(E$5:E$39,$C$5:$C$39,"TR",$D$5:$D$39,$B46),"")</f>
        <v>0</v>
      </c>
      <c r="F46" s="92">
        <f t="shared" ref="F46:AX46" si="4">IFERROR(SUMIFS(F$5:F$39,$C$5:$C$39,"TR",$D$5:$D$39,$A46)/SUMIFS(F$5:F$39,$C$5:$C$39,"TR",$D$5:$D$39,$B46),"")</f>
        <v>1.5466859404332078E-3</v>
      </c>
      <c r="G46" s="92">
        <f t="shared" si="4"/>
        <v>9.3742231922214377E-3</v>
      </c>
      <c r="H46" s="92">
        <f t="shared" si="4"/>
        <v>3.4163657257898244E-2</v>
      </c>
      <c r="I46" s="92">
        <f t="shared" si="4"/>
        <v>3.5360718655853392E-2</v>
      </c>
      <c r="J46" s="92">
        <f t="shared" si="4"/>
        <v>5.4342222093243103E-2</v>
      </c>
      <c r="K46" s="92">
        <f t="shared" si="4"/>
        <v>0.26270131336865882</v>
      </c>
      <c r="L46" s="92">
        <f t="shared" si="4"/>
        <v>1.4288821006787081E-2</v>
      </c>
      <c r="M46" s="92">
        <f t="shared" si="4"/>
        <v>5.7869255139697722E-3</v>
      </c>
      <c r="N46" s="92">
        <f t="shared" si="4"/>
        <v>4.3868687670837646E-2</v>
      </c>
      <c r="O46" s="92">
        <f t="shared" si="4"/>
        <v>8.3110496453805083E-2</v>
      </c>
      <c r="P46" s="92">
        <f t="shared" si="4"/>
        <v>4.1650974876946134E-2</v>
      </c>
      <c r="Q46" s="92">
        <f t="shared" si="4"/>
        <v>9.3187388178042323E-3</v>
      </c>
      <c r="R46" s="92">
        <f t="shared" si="4"/>
        <v>5.287491794033141E-2</v>
      </c>
      <c r="S46" s="92">
        <f t="shared" si="4"/>
        <v>3.2251602082526983E-2</v>
      </c>
      <c r="T46" s="92">
        <f t="shared" si="4"/>
        <v>2.7419290441534492E-2</v>
      </c>
      <c r="U46" s="92">
        <f t="shared" si="4"/>
        <v>3.402456328672946E-2</v>
      </c>
      <c r="V46" s="92">
        <f t="shared" si="4"/>
        <v>3.9031349023886056E-3</v>
      </c>
      <c r="W46" s="92">
        <f t="shared" si="4"/>
        <v>1.0499493297125306E-2</v>
      </c>
      <c r="X46" s="92">
        <f t="shared" si="4"/>
        <v>3.1086675397541823E-2</v>
      </c>
      <c r="Y46" s="92">
        <f t="shared" si="4"/>
        <v>0</v>
      </c>
      <c r="Z46" s="92">
        <f t="shared" si="4"/>
        <v>7.8224387127465517E-2</v>
      </c>
      <c r="AA46" s="92">
        <f t="shared" si="4"/>
        <v>6.394805558132044E-2</v>
      </c>
      <c r="AB46" s="92">
        <f t="shared" si="4"/>
        <v>4.0360023159631497E-2</v>
      </c>
      <c r="AC46" s="92">
        <f t="shared" si="4"/>
        <v>1.1814844704480318E-2</v>
      </c>
      <c r="AD46" s="92">
        <f t="shared" si="4"/>
        <v>0</v>
      </c>
      <c r="AE46" s="92">
        <f t="shared" si="4"/>
        <v>0</v>
      </c>
      <c r="AF46" s="92">
        <f t="shared" si="4"/>
        <v>0</v>
      </c>
      <c r="AG46" s="92">
        <f t="shared" si="4"/>
        <v>2.1382631512077355E-2</v>
      </c>
      <c r="AH46" s="92">
        <f t="shared" si="4"/>
        <v>4.9325171230878602E-2</v>
      </c>
      <c r="AI46" s="92">
        <f t="shared" si="4"/>
        <v>1.3407083183343101E-2</v>
      </c>
      <c r="AJ46" s="92">
        <f t="shared" si="4"/>
        <v>2.2423166814141457E-2</v>
      </c>
      <c r="AK46" s="92">
        <f t="shared" si="4"/>
        <v>3.107373588378122E-2</v>
      </c>
      <c r="AL46" s="92">
        <f t="shared" si="4"/>
        <v>4.781534520181064E-2</v>
      </c>
      <c r="AM46" s="92">
        <f t="shared" si="4"/>
        <v>0</v>
      </c>
      <c r="AN46" s="92" t="str">
        <f t="shared" si="4"/>
        <v/>
      </c>
      <c r="AO46" s="92" t="str">
        <f t="shared" si="4"/>
        <v/>
      </c>
      <c r="AP46" s="92" t="str">
        <f t="shared" si="4"/>
        <v/>
      </c>
      <c r="AQ46" s="92" t="str">
        <f t="shared" si="4"/>
        <v/>
      </c>
      <c r="AR46" s="92" t="str">
        <f t="shared" si="4"/>
        <v/>
      </c>
      <c r="AS46" s="92" t="str">
        <f t="shared" si="4"/>
        <v/>
      </c>
      <c r="AT46" s="92" t="str">
        <f t="shared" si="4"/>
        <v/>
      </c>
      <c r="AU46" s="92" t="str">
        <f t="shared" si="4"/>
        <v/>
      </c>
      <c r="AV46" s="92" t="str">
        <f t="shared" si="4"/>
        <v/>
      </c>
      <c r="AW46" s="92" t="str">
        <f t="shared" si="4"/>
        <v/>
      </c>
      <c r="AX46" s="92" t="str">
        <f t="shared" si="4"/>
        <v/>
      </c>
      <c r="AY46" s="92" t="str">
        <f t="shared" ref="AY46:AY47" si="5">IFERROR(SUMIFS(AY$5:AY$39,$C$5:$C$39,"TR",$D$5:$D$39,$A46)/SUMIFS(AY$5:AY$39,$C$5:$C$39,"TR",$D$5:$D$39,$B46),"")</f>
        <v/>
      </c>
    </row>
    <row r="47" spans="1:53">
      <c r="A47" s="91" t="s">
        <v>32</v>
      </c>
      <c r="B47" s="91" t="s">
        <v>41</v>
      </c>
      <c r="C47" s="66"/>
      <c r="D47" s="66" t="s">
        <v>365</v>
      </c>
      <c r="E47" s="92">
        <f t="shared" ref="E47:AX47" si="6">IFERROR(SUMIFS(E$5:E$39,$C$5:$C$39,"TR",$D$5:$D$39,$A47)/SUMIFS(E$5:E$39,$C$5:$C$39,"TR",$D$5:$D$39,$B47),"")</f>
        <v>0</v>
      </c>
      <c r="F47" s="92">
        <f t="shared" si="6"/>
        <v>0</v>
      </c>
      <c r="G47" s="92">
        <f t="shared" si="6"/>
        <v>6.3932502173468685E-5</v>
      </c>
      <c r="H47" s="92">
        <f t="shared" si="6"/>
        <v>6.8913369130870233E-2</v>
      </c>
      <c r="I47" s="92">
        <f t="shared" si="6"/>
        <v>3.7794492670513977E-2</v>
      </c>
      <c r="J47" s="92">
        <f t="shared" si="6"/>
        <v>6.736180268107024E-2</v>
      </c>
      <c r="K47" s="92">
        <f t="shared" si="6"/>
        <v>0.45336610011312939</v>
      </c>
      <c r="L47" s="92">
        <f t="shared" si="6"/>
        <v>9.7656200805798666E-3</v>
      </c>
      <c r="M47" s="92">
        <f t="shared" si="6"/>
        <v>5.2976032770542782E-2</v>
      </c>
      <c r="N47" s="92">
        <f t="shared" si="6"/>
        <v>6.479450289312369E-2</v>
      </c>
      <c r="O47" s="92">
        <f t="shared" si="6"/>
        <v>8.21698118854082E-2</v>
      </c>
      <c r="P47" s="92">
        <f t="shared" si="6"/>
        <v>5.6931929336453177E-2</v>
      </c>
      <c r="Q47" s="92">
        <f t="shared" si="6"/>
        <v>6.378172067386205E-2</v>
      </c>
      <c r="R47" s="92">
        <f t="shared" si="6"/>
        <v>6.4321857172131583E-2</v>
      </c>
      <c r="S47" s="92">
        <f t="shared" si="6"/>
        <v>8.422675443196459E-2</v>
      </c>
      <c r="T47" s="92">
        <f t="shared" si="6"/>
        <v>6.7262437758921123E-4</v>
      </c>
      <c r="U47" s="92">
        <f t="shared" si="6"/>
        <v>5.4982695391366569E-2</v>
      </c>
      <c r="V47" s="92">
        <f t="shared" si="6"/>
        <v>5.8451835676071207E-2</v>
      </c>
      <c r="W47" s="92">
        <f t="shared" si="6"/>
        <v>5.6855735612522471E-4</v>
      </c>
      <c r="X47" s="92">
        <f t="shared" si="6"/>
        <v>5.0369739055252681E-2</v>
      </c>
      <c r="Y47" s="92">
        <f t="shared" si="6"/>
        <v>0</v>
      </c>
      <c r="Z47" s="92">
        <f t="shared" si="6"/>
        <v>3.2418205387361697E-2</v>
      </c>
      <c r="AA47" s="92">
        <f t="shared" si="6"/>
        <v>0.19799653006587112</v>
      </c>
      <c r="AB47" s="92">
        <f t="shared" si="6"/>
        <v>5.9170906149918504E-2</v>
      </c>
      <c r="AC47" s="92">
        <f t="shared" si="6"/>
        <v>7.0993331595004067E-2</v>
      </c>
      <c r="AD47" s="92">
        <f t="shared" si="6"/>
        <v>1.0266272373035397E-4</v>
      </c>
      <c r="AE47" s="92">
        <f t="shared" si="6"/>
        <v>0</v>
      </c>
      <c r="AF47" s="92">
        <f t="shared" si="6"/>
        <v>0</v>
      </c>
      <c r="AG47" s="92">
        <f t="shared" si="6"/>
        <v>6.8502964571788102E-2</v>
      </c>
      <c r="AH47" s="92">
        <f t="shared" si="6"/>
        <v>0.22224276406594201</v>
      </c>
      <c r="AI47" s="92">
        <f t="shared" si="6"/>
        <v>5.5117864031026739E-2</v>
      </c>
      <c r="AJ47" s="92">
        <f t="shared" si="6"/>
        <v>5.811999539607508E-3</v>
      </c>
      <c r="AK47" s="92">
        <f t="shared" si="6"/>
        <v>5.2148255160630014E-2</v>
      </c>
      <c r="AL47" s="92">
        <f t="shared" si="6"/>
        <v>0</v>
      </c>
      <c r="AM47" s="92">
        <f t="shared" si="6"/>
        <v>2.6823157444208986E-2</v>
      </c>
      <c r="AN47" s="92" t="str">
        <f t="shared" si="6"/>
        <v/>
      </c>
      <c r="AO47" s="92" t="str">
        <f t="shared" si="6"/>
        <v/>
      </c>
      <c r="AP47" s="92" t="str">
        <f t="shared" si="6"/>
        <v/>
      </c>
      <c r="AQ47" s="92" t="str">
        <f t="shared" si="6"/>
        <v/>
      </c>
      <c r="AR47" s="92" t="str">
        <f t="shared" si="6"/>
        <v/>
      </c>
      <c r="AS47" s="92" t="str">
        <f t="shared" si="6"/>
        <v/>
      </c>
      <c r="AT47" s="92" t="str">
        <f t="shared" si="6"/>
        <v/>
      </c>
      <c r="AU47" s="92" t="str">
        <f t="shared" si="6"/>
        <v/>
      </c>
      <c r="AV47" s="92" t="str">
        <f t="shared" si="6"/>
        <v/>
      </c>
      <c r="AW47" s="92" t="str">
        <f t="shared" si="6"/>
        <v/>
      </c>
      <c r="AX47" s="92" t="str">
        <f t="shared" si="6"/>
        <v/>
      </c>
      <c r="AY47" s="92" t="str">
        <f t="shared" si="5"/>
        <v/>
      </c>
    </row>
    <row r="52" spans="3:50">
      <c r="D52" t="s">
        <v>156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409</v>
      </c>
      <c r="D53" t="s">
        <v>403</v>
      </c>
      <c r="E53" s="1">
        <f ca="1">IFERROR(Cars!D45/E59,"")</f>
        <v>1.293242610771326</v>
      </c>
      <c r="F53" s="1">
        <f ca="1">IFERROR(Cars!E45/F59,"")</f>
        <v>0.3567584284133003</v>
      </c>
      <c r="G53" s="1">
        <f ca="1">IFERROR(Cars!F45/G59,"")</f>
        <v>9.547223218756038</v>
      </c>
      <c r="H53" s="1">
        <f ca="1">IFERROR(Cars!G45/H59,"")</f>
        <v>6.8189803511743348</v>
      </c>
      <c r="I53" s="1">
        <f ca="1">IFERROR(Cars!H45/I59,"")</f>
        <v>2.4318708304749408</v>
      </c>
      <c r="J53" s="1">
        <f ca="1">IFERROR(Cars!I45/J59,"")</f>
        <v>6.3968436642738764</v>
      </c>
      <c r="K53" s="1">
        <f ca="1">IFERROR(Cars!J45/K59,"")</f>
        <v>2.1966169154228856</v>
      </c>
      <c r="L53" s="1">
        <f ca="1">IFERROR(Cars!K45/L59,"")</f>
        <v>1.7016541224279542</v>
      </c>
      <c r="M53" s="1">
        <f ca="1">IFERROR(Cars!L45/M59,"")</f>
        <v>4.8478624033905131</v>
      </c>
      <c r="N53" s="1">
        <f ca="1">IFERROR(Cars!M45/N59,"")</f>
        <v>4.1381491437766842</v>
      </c>
      <c r="O53" s="1">
        <f ca="1">IFERROR(Cars!N45/O59,"")</f>
        <v>4.4378421059675315</v>
      </c>
      <c r="P53" s="1">
        <f ca="1">IFERROR(Cars!O45/P59,"")</f>
        <v>5.870241777285691</v>
      </c>
      <c r="Q53" s="1">
        <f ca="1">IFERROR(Cars!P45/Q59,"")</f>
        <v>5.6284432185111442</v>
      </c>
      <c r="R53" s="1">
        <f ca="1">IFERROR(Cars!Q45/R59,"")</f>
        <v>3.008430582665393</v>
      </c>
      <c r="S53" s="1">
        <f ca="1">IFERROR(Cars!R45/S59,"")</f>
        <v>9.2854785432781508</v>
      </c>
      <c r="T53" s="1">
        <f ca="1">IFERROR(Cars!S45/T59,"")</f>
        <v>0.41576089342954581</v>
      </c>
      <c r="U53" s="1">
        <f ca="1">IFERROR(Cars!T45/U59,"")</f>
        <v>5.7345055265749831</v>
      </c>
      <c r="V53" s="1">
        <f ca="1">IFERROR(Cars!U45/V59,"")</f>
        <v>4.7505392461381986</v>
      </c>
      <c r="W53" s="1">
        <f ca="1">IFERROR(Cars!V45/W59,"")</f>
        <v>5.4424583217835503</v>
      </c>
      <c r="X53" s="1">
        <f ca="1">IFERROR(Cars!W45/X59,"")</f>
        <v>2.6012697366625357</v>
      </c>
      <c r="Y53" s="1">
        <f ca="1">IFERROR(Cars!X45/Y59,"")</f>
        <v>4.0811534819776867</v>
      </c>
      <c r="Z53" s="1">
        <f ca="1">IFERROR(Cars!Y45/Z59,"")</f>
        <v>8.5003507603048778</v>
      </c>
      <c r="AA53" s="1">
        <f ca="1">IFERROR(Cars!Z45/AA59,"")</f>
        <v>5.2439275229529354</v>
      </c>
      <c r="AB53" s="1">
        <f ca="1">IFERROR(Cars!AA45/AB59,"")</f>
        <v>4.4851246526451654</v>
      </c>
      <c r="AC53" s="1">
        <f ca="1">IFERROR(Cars!AB45/AC59,"")</f>
        <v>1.1569851717948352</v>
      </c>
      <c r="AD53" s="1">
        <f ca="1">IFERROR(Cars!AC45/AD59,"")</f>
        <v>3.4577732906828178</v>
      </c>
      <c r="AE53" s="1">
        <f ca="1">IFERROR(Cars!AD45/AE59,"")</f>
        <v>10.725184936603586</v>
      </c>
      <c r="AF53" s="1">
        <f ca="1">IFERROR(Cars!AE45/AF59,"")</f>
        <v>1.7018936683612738</v>
      </c>
      <c r="AG53" s="1">
        <f ca="1">IFERROR(Cars!AF45/AG59,"")</f>
        <v>4.315375532481827</v>
      </c>
      <c r="AH53" s="1">
        <f ca="1">IFERROR(Cars!AG45/AH59,"")</f>
        <v>6.0064039069291457</v>
      </c>
      <c r="AI53" s="1">
        <f ca="1">IFERROR(Cars!AH45/AI59,"")</f>
        <v>6.7127837225140174</v>
      </c>
      <c r="AJ53" s="1">
        <f ca="1">IFERROR(Cars!AI45/AJ59,"")</f>
        <v>1.4392014345028625</v>
      </c>
      <c r="AK53" s="1">
        <f ca="1">IFERROR(Cars!AJ45/AK59,"")</f>
        <v>5.1771268008552243</v>
      </c>
      <c r="AL53" s="1">
        <f ca="1">IFERROR(Cars!AK45/AL59,"")</f>
        <v>1.1148270596149372</v>
      </c>
      <c r="AM53" s="1">
        <f ca="1">IFERROR(Cars!AL45/AM59,"")</f>
        <v>2.484134413537014</v>
      </c>
      <c r="AN53" s="1">
        <f ca="1">IFERROR(Cars!AM45/AN59,"")</f>
        <v>0</v>
      </c>
      <c r="AO53" s="1">
        <f ca="1">IFERROR(Cars!AN45/AO59,"")</f>
        <v>0</v>
      </c>
      <c r="AP53" s="1">
        <f ca="1">IFERROR(Cars!AO45/AP59,"")</f>
        <v>0</v>
      </c>
      <c r="AQ53" s="1">
        <f ca="1">IFERROR(Cars!AP45/AQ59,"")</f>
        <v>0</v>
      </c>
      <c r="AR53" s="1">
        <f ca="1">IFERROR(Cars!AQ45/AR59,"")</f>
        <v>0</v>
      </c>
      <c r="AS53" s="1">
        <f ca="1">IFERROR(Cars!AR45/AS59,"")</f>
        <v>0</v>
      </c>
      <c r="AT53" s="1">
        <f ca="1">IFERROR(Cars!AS45/AT59,"")</f>
        <v>0</v>
      </c>
      <c r="AU53" s="1">
        <f ca="1">IFERROR(Cars!AT45/AU59,"")</f>
        <v>0</v>
      </c>
      <c r="AV53" s="1">
        <f ca="1">IFERROR(Cars!AU45/AV59,"")</f>
        <v>0</v>
      </c>
      <c r="AW53" s="1">
        <f ca="1">IFERROR(Cars!AV45/AW59,"")</f>
        <v>0</v>
      </c>
      <c r="AX53" s="1" t="str">
        <f ca="1">IFERROR(Cars!AW45/AX59,"")</f>
        <v/>
      </c>
    </row>
    <row r="54" spans="3:50">
      <c r="C54" t="s">
        <v>410</v>
      </c>
      <c r="D54" t="s">
        <v>404</v>
      </c>
      <c r="E54" s="1">
        <f ca="1">IFERROR('Trucks-hdt'!D45/E58,"")</f>
        <v>3.1115695886683375E-2</v>
      </c>
      <c r="F54" s="1">
        <f ca="1">IFERROR('Trucks-hdt'!E45/F58,"")</f>
        <v>1.997988131222202E-2</v>
      </c>
      <c r="G54" s="1">
        <f ca="1">IFERROR('Trucks-hdt'!F45/G58,"")</f>
        <v>5.2954410501346659E-2</v>
      </c>
      <c r="H54" s="1">
        <f ca="1">IFERROR('Trucks-hdt'!G45/H58,"")</f>
        <v>7.0397045034158251E-2</v>
      </c>
      <c r="I54" s="1">
        <f ca="1">IFERROR('Trucks-hdt'!H45/I58,"")</f>
        <v>9.6721763027475288E-2</v>
      </c>
      <c r="J54" s="1">
        <f ca="1">IFERROR('Trucks-hdt'!I45/J58,"")</f>
        <v>4.2955648128726064E-2</v>
      </c>
      <c r="K54" s="1">
        <f ca="1">IFERROR('Trucks-hdt'!J45/K58,"")</f>
        <v>8.0809415287732167E-2</v>
      </c>
      <c r="L54" s="1">
        <f ca="1">IFERROR('Trucks-hdt'!K45/L58,"")</f>
        <v>1.3083734965202333E-2</v>
      </c>
      <c r="M54" s="1">
        <f ca="1">IFERROR('Trucks-hdt'!L45/M58,"")</f>
        <v>7.838241911369806E-2</v>
      </c>
      <c r="N54" s="1">
        <f ca="1">IFERROR('Trucks-hdt'!M45/N58,"")</f>
        <v>5.125822585464912E-2</v>
      </c>
      <c r="O54" s="1">
        <f ca="1">IFERROR('Trucks-hdt'!N45/O58,"")</f>
        <v>5.5148202461893968E-2</v>
      </c>
      <c r="P54" s="1">
        <f ca="1">IFERROR('Trucks-hdt'!O45/P58,"")</f>
        <v>4.0698776240613653E-2</v>
      </c>
      <c r="Q54" s="1">
        <f ca="1">IFERROR('Trucks-hdt'!P45/Q58,"")</f>
        <v>3.9372550126642182E-2</v>
      </c>
      <c r="R54" s="1">
        <f ca="1">IFERROR('Trucks-hdt'!Q45/R58,"")</f>
        <v>5.4942422736282366E-2</v>
      </c>
      <c r="S54" s="1">
        <f ca="1">IFERROR('Trucks-hdt'!R45/S58,"")</f>
        <v>5.0406719215671449E-2</v>
      </c>
      <c r="T54" s="1">
        <f ca="1">IFERROR('Trucks-hdt'!S45/T58,"")</f>
        <v>1.5249070142129001E-2</v>
      </c>
      <c r="U54" s="1">
        <f ca="1">IFERROR('Trucks-hdt'!T45/U58,"")</f>
        <v>3.831670740569465E-2</v>
      </c>
      <c r="V54" s="1">
        <f ca="1">IFERROR('Trucks-hdt'!U45/V58,"")</f>
        <v>4.8678192364533461E-2</v>
      </c>
      <c r="W54" s="1">
        <f ca="1">IFERROR('Trucks-hdt'!V45/W58,"")</f>
        <v>2.2003900691486215E-2</v>
      </c>
      <c r="X54" s="1">
        <f ca="1">IFERROR('Trucks-hdt'!W45/X58,"")</f>
        <v>4.5514440832724976E-2</v>
      </c>
      <c r="Y54" s="1">
        <f ca="1">IFERROR('Trucks-hdt'!X45/Y58,"")</f>
        <v>4.5000617411549607E-2</v>
      </c>
      <c r="Z54" s="1">
        <f ca="1">IFERROR('Trucks-hdt'!Y45/Z58,"")</f>
        <v>4.7768723998773618E-2</v>
      </c>
      <c r="AA54" s="1">
        <f ca="1">IFERROR('Trucks-hdt'!Z45/AA58,"")</f>
        <v>3.5789901973342177E-2</v>
      </c>
      <c r="AB54" s="1">
        <f ca="1">IFERROR('Trucks-hdt'!AA45/AB58,"")</f>
        <v>5.8274551416419511E-2</v>
      </c>
      <c r="AC54" s="1">
        <f ca="1">IFERROR('Trucks-hdt'!AB45/AC58,"")</f>
        <v>2.9609101509733816E-2</v>
      </c>
      <c r="AD54" s="1">
        <f ca="1">IFERROR('Trucks-hdt'!AC45/AD58,"")</f>
        <v>4.0776179874228685E-2</v>
      </c>
      <c r="AE54" s="1">
        <f ca="1">IFERROR('Trucks-hdt'!AD45/AE58,"")</f>
        <v>5.546246942266489E-2</v>
      </c>
      <c r="AF54" s="1">
        <f ca="1">IFERROR('Trucks-hdt'!AE45/AF58,"")</f>
        <v>3.13193099525097E-2</v>
      </c>
      <c r="AG54" s="1">
        <f ca="1">IFERROR('Trucks-hdt'!AF45/AG58,"")</f>
        <v>6.1832973962202609E-2</v>
      </c>
      <c r="AH54" s="1">
        <f ca="1">IFERROR('Trucks-hdt'!AG45/AH58,"")</f>
        <v>4.2970848185946577E-2</v>
      </c>
      <c r="AI54" s="1">
        <f ca="1">IFERROR('Trucks-hdt'!AH45/AI58,"")</f>
        <v>2.629253365079133E-2</v>
      </c>
      <c r="AJ54" s="1">
        <f ca="1">IFERROR('Trucks-hdt'!AI45/AJ58,"")</f>
        <v>5.1413381742738594E-2</v>
      </c>
      <c r="AK54" s="1">
        <f ca="1">IFERROR('Trucks-hdt'!AJ45/AK58,"")</f>
        <v>4.0275497943918909E-2</v>
      </c>
      <c r="AL54" s="1">
        <f ca="1">IFERROR('Trucks-hdt'!AK45/AL58,"")</f>
        <v>5.3421310798184407E-2</v>
      </c>
      <c r="AM54" s="1">
        <f ca="1">IFERROR('Trucks-hdt'!AL45/AM58,"")</f>
        <v>8.6262567176114746E-2</v>
      </c>
      <c r="AN54" s="1">
        <f ca="1">IFERROR('Trucks-hdt'!AM45/AN58,"")</f>
        <v>0</v>
      </c>
      <c r="AO54" s="1">
        <f ca="1">IFERROR('Trucks-hdt'!AN45/AO58,"")</f>
        <v>0</v>
      </c>
      <c r="AP54" s="1">
        <f ca="1">IFERROR('Trucks-hdt'!AO45/AP58,"")</f>
        <v>0</v>
      </c>
      <c r="AQ54" s="1">
        <f ca="1">IFERROR('Trucks-hdt'!AP45/AQ58,"")</f>
        <v>0</v>
      </c>
      <c r="AR54" s="1">
        <f ca="1">IFERROR('Trucks-hdt'!AQ45/AR58,"")</f>
        <v>0</v>
      </c>
      <c r="AS54" s="1">
        <f ca="1">IFERROR('Trucks-hdt'!AR45/AS58,"")</f>
        <v>0</v>
      </c>
      <c r="AT54" s="1">
        <f ca="1">IFERROR('Trucks-hdt'!AS45/AT58,"")</f>
        <v>0</v>
      </c>
      <c r="AU54" s="1">
        <f ca="1">IFERROR('Trucks-hdt'!AT45/AU58,"")</f>
        <v>0</v>
      </c>
      <c r="AV54" s="1">
        <f ca="1">IFERROR('Trucks-hdt'!AU45/AV58,"")</f>
        <v>0</v>
      </c>
      <c r="AW54" s="1">
        <f ca="1">IFERROR('Trucks-hdt'!AV45/AW58,"")</f>
        <v>0</v>
      </c>
      <c r="AX54" s="1" t="str">
        <f ca="1">IFERROR('Trucks-hdt'!AW45/AX58,"")</f>
        <v/>
      </c>
    </row>
    <row r="57" spans="3:50">
      <c r="C57" s="66" t="s">
        <v>405</v>
      </c>
      <c r="D57" t="s">
        <v>406</v>
      </c>
      <c r="E57" t="s">
        <v>435</v>
      </c>
      <c r="F57" t="s">
        <v>436</v>
      </c>
      <c r="G57" t="s">
        <v>437</v>
      </c>
      <c r="H57" t="s">
        <v>438</v>
      </c>
      <c r="I57" t="s">
        <v>423</v>
      </c>
      <c r="J57" t="s">
        <v>439</v>
      </c>
      <c r="K57" t="s">
        <v>440</v>
      </c>
      <c r="L57" t="s">
        <v>424</v>
      </c>
      <c r="M57" t="s">
        <v>441</v>
      </c>
      <c r="N57" t="s">
        <v>442</v>
      </c>
      <c r="O57" t="s">
        <v>443</v>
      </c>
      <c r="P57" t="s">
        <v>444</v>
      </c>
      <c r="Q57" t="s">
        <v>445</v>
      </c>
      <c r="R57" t="s">
        <v>446</v>
      </c>
      <c r="S57" t="s">
        <v>447</v>
      </c>
      <c r="T57" t="s">
        <v>425</v>
      </c>
      <c r="U57" t="s">
        <v>448</v>
      </c>
      <c r="V57" t="s">
        <v>449</v>
      </c>
      <c r="W57" t="s">
        <v>450</v>
      </c>
      <c r="X57" t="s">
        <v>362</v>
      </c>
      <c r="Y57" t="s">
        <v>451</v>
      </c>
      <c r="Z57" t="s">
        <v>411</v>
      </c>
      <c r="AA57" t="s">
        <v>452</v>
      </c>
      <c r="AB57" t="s">
        <v>426</v>
      </c>
      <c r="AC57" t="s">
        <v>414</v>
      </c>
      <c r="AD57" t="s">
        <v>453</v>
      </c>
      <c r="AE57" t="s">
        <v>454</v>
      </c>
      <c r="AF57" t="s">
        <v>455</v>
      </c>
      <c r="AG57" t="s">
        <v>456</v>
      </c>
      <c r="AH57" t="s">
        <v>457</v>
      </c>
      <c r="AI57" t="s">
        <v>427</v>
      </c>
      <c r="AJ57" t="s">
        <v>428</v>
      </c>
      <c r="AK57" t="s">
        <v>458</v>
      </c>
      <c r="AL57" t="s">
        <v>429</v>
      </c>
      <c r="AM57" t="s">
        <v>459</v>
      </c>
      <c r="AN57" t="s">
        <v>412</v>
      </c>
      <c r="AO57" t="s">
        <v>413</v>
      </c>
      <c r="AP57" t="s">
        <v>414</v>
      </c>
      <c r="AQ57" t="s">
        <v>315</v>
      </c>
      <c r="AR57" t="s">
        <v>415</v>
      </c>
      <c r="AS57" t="s">
        <v>416</v>
      </c>
      <c r="AT57" t="s">
        <v>417</v>
      </c>
      <c r="AU57" t="s">
        <v>418</v>
      </c>
      <c r="AV57" t="s">
        <v>419</v>
      </c>
      <c r="AW57" t="s">
        <v>420</v>
      </c>
      <c r="AX57" t="s">
        <v>421</v>
      </c>
    </row>
    <row r="58" spans="3:50">
      <c r="C58">
        <v>2019</v>
      </c>
      <c r="D58" t="s">
        <v>407</v>
      </c>
      <c r="E58" s="2">
        <v>2018.2739999999999</v>
      </c>
      <c r="F58" s="2">
        <v>2792.8093829999998</v>
      </c>
      <c r="G58" s="2">
        <v>964.98099999999999</v>
      </c>
      <c r="H58" s="2">
        <v>350.86700000000002</v>
      </c>
      <c r="I58" s="2">
        <v>142.6773</v>
      </c>
      <c r="J58" s="2">
        <v>1215.2068999999999</v>
      </c>
      <c r="K58" s="2">
        <v>2724.93</v>
      </c>
      <c r="L58" s="2">
        <v>21308.9</v>
      </c>
      <c r="M58" s="2">
        <v>137.786</v>
      </c>
      <c r="N58" s="2">
        <v>458.46300000000002</v>
      </c>
      <c r="O58" s="2">
        <v>2250.3000000000002</v>
      </c>
      <c r="P58" s="2">
        <v>3218.77</v>
      </c>
      <c r="Q58" s="2">
        <v>269.22309999999999</v>
      </c>
      <c r="R58" s="2">
        <v>667.97199999999998</v>
      </c>
      <c r="S58" s="2">
        <v>15.870900000000001</v>
      </c>
      <c r="T58" s="2">
        <v>8348.0499999999993</v>
      </c>
      <c r="U58" s="2">
        <v>302.74</v>
      </c>
      <c r="V58" s="2">
        <v>1746.1618000000001</v>
      </c>
      <c r="W58" s="2">
        <v>4399.22</v>
      </c>
      <c r="X58" s="2">
        <v>3684.5448814000001</v>
      </c>
      <c r="Y58" s="2">
        <v>3897.7242999999999</v>
      </c>
      <c r="Z58" s="2">
        <v>20059.150000000001</v>
      </c>
      <c r="AA58" s="2">
        <v>265.43799999999999</v>
      </c>
      <c r="AB58" s="2">
        <v>919.78399999999999</v>
      </c>
      <c r="AC58" s="2">
        <v>13965.300496</v>
      </c>
      <c r="AD58" s="2">
        <v>2457.317</v>
      </c>
      <c r="AE58" s="2">
        <v>1712.87</v>
      </c>
      <c r="AF58" s="2">
        <v>625.81200000000001</v>
      </c>
      <c r="AG58" s="2">
        <v>1655.67</v>
      </c>
      <c r="AH58" s="2">
        <v>819.16</v>
      </c>
      <c r="AI58" s="2">
        <v>410.76299999999998</v>
      </c>
      <c r="AJ58" s="2">
        <v>1542.4</v>
      </c>
      <c r="AK58" s="2">
        <v>2363.7199999999998</v>
      </c>
      <c r="AL58" s="2">
        <v>385.6139</v>
      </c>
      <c r="AM58" s="2">
        <v>189.07390000000001</v>
      </c>
      <c r="AN58" s="2">
        <v>261.55</v>
      </c>
      <c r="AO58" s="2">
        <v>330.101</v>
      </c>
      <c r="AP58" s="2">
        <v>48028.069840800003</v>
      </c>
      <c r="AQ58" s="2">
        <v>2457.317</v>
      </c>
      <c r="AR58" s="2">
        <v>94.703100000000006</v>
      </c>
      <c r="AS58" s="2">
        <v>143.64500000000001</v>
      </c>
      <c r="AT58" s="2">
        <v>62.046500000000002</v>
      </c>
      <c r="AU58" s="2">
        <v>405.62900000000002</v>
      </c>
      <c r="AV58" s="2">
        <v>1542.4</v>
      </c>
      <c r="AW58" s="2">
        <v>385.6139</v>
      </c>
      <c r="AX58" s="2" t="s">
        <v>422</v>
      </c>
    </row>
    <row r="59" spans="3:50">
      <c r="C59">
        <v>2019</v>
      </c>
      <c r="D59" t="s">
        <v>408</v>
      </c>
      <c r="E59" s="2">
        <v>198.38505000000001</v>
      </c>
      <c r="F59" s="2">
        <v>1039.1569489999999</v>
      </c>
      <c r="G59" s="2">
        <v>25.3657</v>
      </c>
      <c r="H59" s="2">
        <v>8.8799200000000003</v>
      </c>
      <c r="I59" s="2">
        <v>6.0348600000000001</v>
      </c>
      <c r="J59" s="2">
        <v>29.453900999999998</v>
      </c>
      <c r="K59" s="2">
        <v>211.05</v>
      </c>
      <c r="L59" s="2">
        <v>1397.72</v>
      </c>
      <c r="M59" s="2">
        <v>6.1536400000000002</v>
      </c>
      <c r="N59" s="2">
        <v>16.126049999999999</v>
      </c>
      <c r="O59" s="2">
        <v>67.248900000000006</v>
      </c>
      <c r="P59" s="2">
        <v>83.093000000000004</v>
      </c>
      <c r="Q59" s="2">
        <v>11.920170000000001</v>
      </c>
      <c r="R59" s="2">
        <v>36.118499999999997</v>
      </c>
      <c r="S59" s="2">
        <v>0.36056300000000002</v>
      </c>
      <c r="T59" s="2">
        <v>1366.42</v>
      </c>
      <c r="U59" s="2">
        <v>4.9343399999999997</v>
      </c>
      <c r="V59" s="2">
        <v>60.233162</v>
      </c>
      <c r="W59" s="2">
        <v>126.265</v>
      </c>
      <c r="X59" s="2">
        <v>308.82149155000002</v>
      </c>
      <c r="Y59" s="2">
        <v>222.57825</v>
      </c>
      <c r="Z59" s="2">
        <v>493.49939999999998</v>
      </c>
      <c r="AA59" s="2">
        <v>5.3479000000000001</v>
      </c>
      <c r="AB59" s="2">
        <v>37.965499999999999</v>
      </c>
      <c r="AC59" s="2">
        <v>1349.4624114999999</v>
      </c>
      <c r="AD59" s="2">
        <v>153.82384999999999</v>
      </c>
      <c r="AE59" s="2">
        <v>34.268500000000003</v>
      </c>
      <c r="AF59" s="2">
        <v>58.558300000000003</v>
      </c>
      <c r="AG59" s="2">
        <v>57.419800000000002</v>
      </c>
      <c r="AH59" s="2">
        <v>21.614930000000001</v>
      </c>
      <c r="AI59" s="2">
        <v>8.5752799999999993</v>
      </c>
      <c r="AJ59" s="2">
        <v>83.429599999999994</v>
      </c>
      <c r="AK59" s="2">
        <v>66.836299999999994</v>
      </c>
      <c r="AL59" s="2">
        <v>47.04945</v>
      </c>
      <c r="AM59" s="2">
        <v>15.805908000000001</v>
      </c>
      <c r="AN59" s="2">
        <v>10.286300000000001</v>
      </c>
      <c r="AO59" s="2">
        <v>19.371600000000001</v>
      </c>
      <c r="AP59" s="2">
        <v>4241.8089623300002</v>
      </c>
      <c r="AQ59" s="2">
        <v>153.82384999999999</v>
      </c>
      <c r="AR59" s="2">
        <v>6.9452299999999996</v>
      </c>
      <c r="AS59" s="2">
        <v>5.4541500000000003</v>
      </c>
      <c r="AT59" s="2">
        <v>2.08839</v>
      </c>
      <c r="AU59" s="2">
        <v>10.2789</v>
      </c>
      <c r="AV59" s="2">
        <v>83.429599999999994</v>
      </c>
      <c r="AW59" s="2">
        <v>47.04945</v>
      </c>
      <c r="AX59" s="2" t="s">
        <v>422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2582D-4B61-4184-AA25-778D801D155C}">
  <dimension ref="A1:BI50"/>
  <sheetViews>
    <sheetView zoomScaleNormal="100" workbookViewId="0"/>
  </sheetViews>
  <sheetFormatPr defaultRowHeight="14.25"/>
  <cols>
    <col min="1" max="1" width="10.86328125" bestFit="1" customWidth="1"/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2" width="6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6.59765625" bestFit="1" customWidth="1"/>
    <col min="51" max="51" width="6" bestFit="1" customWidth="1"/>
    <col min="52" max="52" width="11.59765625" bestFit="1" customWidth="1"/>
    <col min="54" max="54" width="4.3984375" bestFit="1" customWidth="1"/>
    <col min="57" max="57" width="11.59765625" bestFit="1" customWidth="1"/>
  </cols>
  <sheetData>
    <row r="1" spans="1:61">
      <c r="BE1" s="3"/>
    </row>
    <row r="2" spans="1:61">
      <c r="AY2" t="s">
        <v>351</v>
      </c>
      <c r="BD2" t="s">
        <v>148</v>
      </c>
      <c r="BE2" s="3"/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SUM(SUMIFS(Assumptions!BD$3:BD$102,Assumptions!$B$3:$B$102,'2-w'!$C4,Assumptions!$G$3:$G$102,{"TRW"}))</f>
        <v>0</v>
      </c>
      <c r="E4" s="2" cm="1">
        <f t="array" aca="1" ref="E4" ca="1">SUM(SUMIFS(Assumptions!BE$3:BE$102,Assumptions!$B$3:$B$102,'2-w'!$C4,Assumptions!$G$3:$G$102,{"TRW"}))</f>
        <v>0</v>
      </c>
      <c r="F4" s="2" cm="1">
        <f t="array" aca="1" ref="F4" ca="1">SUM(SUMIFS(Assumptions!BF$3:BF$102,Assumptions!$B$3:$B$102,'2-w'!$C4,Assumptions!$G$3:$G$102,{"TRW"}))</f>
        <v>0</v>
      </c>
      <c r="G4" s="2" cm="1">
        <f t="array" aca="1" ref="G4" ca="1">SUM(SUMIFS(Assumptions!BG$3:BG$102,Assumptions!$B$3:$B$102,'2-w'!$C4,Assumptions!$G$3:$G$102,{"TRW"}))</f>
        <v>0</v>
      </c>
      <c r="H4" s="2" cm="1">
        <f t="array" aca="1" ref="H4" ca="1">SUM(SUMIFS(Assumptions!BH$3:BH$102,Assumptions!$B$3:$B$102,'2-w'!$C4,Assumptions!$G$3:$G$102,{"TRW"}))</f>
        <v>0</v>
      </c>
      <c r="I4" s="2" cm="1">
        <f t="array" aca="1" ref="I4" ca="1">SUM(SUMIFS(Assumptions!BI$3:BI$102,Assumptions!$B$3:$B$102,'2-w'!$C4,Assumptions!$G$3:$G$102,{"TRW"}))</f>
        <v>0</v>
      </c>
      <c r="J4" s="2" cm="1">
        <f t="array" aca="1" ref="J4" ca="1">SUM(SUMIFS(Assumptions!BJ$3:BJ$102,Assumptions!$B$3:$B$102,'2-w'!$C4,Assumptions!$G$3:$G$102,{"TRW"}))</f>
        <v>0</v>
      </c>
      <c r="K4" s="2" cm="1">
        <f t="array" aca="1" ref="K4" ca="1">SUM(SUMIFS(Assumptions!BK$3:BK$102,Assumptions!$B$3:$B$102,'2-w'!$C4,Assumptions!$G$3:$G$102,{"TRW"}))</f>
        <v>0</v>
      </c>
      <c r="L4" s="2" cm="1">
        <f t="array" aca="1" ref="L4" ca="1">SUM(SUMIFS(Assumptions!BL$3:BL$102,Assumptions!$B$3:$B$102,'2-w'!$C4,Assumptions!$G$3:$G$102,{"TRW"}))</f>
        <v>0</v>
      </c>
      <c r="M4" s="2" cm="1">
        <f t="array" aca="1" ref="M4" ca="1">SUM(SUMIFS(Assumptions!BM$3:BM$102,Assumptions!$B$3:$B$102,'2-w'!$C4,Assumptions!$G$3:$G$102,{"TRW"}))</f>
        <v>0</v>
      </c>
      <c r="N4" s="2" cm="1">
        <f t="array" aca="1" ref="N4" ca="1">SUM(SUMIFS(Assumptions!BN$3:BN$102,Assumptions!$B$3:$B$102,'2-w'!$C4,Assumptions!$G$3:$G$102,{"TRW"}))</f>
        <v>0</v>
      </c>
      <c r="O4" s="2" cm="1">
        <f t="array" aca="1" ref="O4" ca="1">SUM(SUMIFS(Assumptions!BO$3:BO$102,Assumptions!$B$3:$B$102,'2-w'!$C4,Assumptions!$G$3:$G$102,{"TRW"}))</f>
        <v>0</v>
      </c>
      <c r="P4" s="2" cm="1">
        <f t="array" aca="1" ref="P4" ca="1">SUM(SUMIFS(Assumptions!BP$3:BP$102,Assumptions!$B$3:$B$102,'2-w'!$C4,Assumptions!$G$3:$G$102,{"TRW"}))</f>
        <v>0</v>
      </c>
      <c r="Q4" s="2" cm="1">
        <f t="array" aca="1" ref="Q4" ca="1">SUM(SUMIFS(Assumptions!BQ$3:BQ$102,Assumptions!$B$3:$B$102,'2-w'!$C4,Assumptions!$G$3:$G$102,{"TRW"}))</f>
        <v>0</v>
      </c>
      <c r="R4" s="2" cm="1">
        <f t="array" aca="1" ref="R4" ca="1">SUM(SUMIFS(Assumptions!BR$3:BR$102,Assumptions!$B$3:$B$102,'2-w'!$C4,Assumptions!$G$3:$G$102,{"TRW"}))</f>
        <v>0</v>
      </c>
      <c r="S4" s="2" cm="1">
        <f t="array" aca="1" ref="S4" ca="1">SUM(SUMIFS(Assumptions!BS$3:BS$102,Assumptions!$B$3:$B$102,'2-w'!$C4,Assumptions!$G$3:$G$102,{"TRW"}))</f>
        <v>0</v>
      </c>
      <c r="T4" s="2" cm="1">
        <f t="array" aca="1" ref="T4" ca="1">SUM(SUMIFS(Assumptions!BT$3:BT$102,Assumptions!$B$3:$B$102,'2-w'!$C4,Assumptions!$G$3:$G$102,{"TRW"}))</f>
        <v>0</v>
      </c>
      <c r="U4" s="2" cm="1">
        <f t="array" aca="1" ref="U4" ca="1">SUM(SUMIFS(Assumptions!BU$3:BU$102,Assumptions!$B$3:$B$102,'2-w'!$C4,Assumptions!$G$3:$G$102,{"TRW"}))</f>
        <v>0</v>
      </c>
      <c r="V4" s="2" cm="1">
        <f t="array" aca="1" ref="V4" ca="1">SUM(SUMIFS(Assumptions!BV$3:BV$102,Assumptions!$B$3:$B$102,'2-w'!$C4,Assumptions!$G$3:$G$102,{"TRW"}))</f>
        <v>0</v>
      </c>
      <c r="W4" s="2" cm="1">
        <f t="array" aca="1" ref="W4" ca="1">SUM(SUMIFS(Assumptions!BW$3:BW$102,Assumptions!$B$3:$B$102,'2-w'!$C4,Assumptions!$G$3:$G$102,{"TRW"}))</f>
        <v>0</v>
      </c>
      <c r="X4" s="2" cm="1">
        <f t="array" aca="1" ref="X4" ca="1">SUM(SUMIFS(Assumptions!BX$3:BX$102,Assumptions!$B$3:$B$102,'2-w'!$C4,Assumptions!$G$3:$G$102,{"TRW"}))</f>
        <v>0</v>
      </c>
      <c r="Y4" s="2" cm="1">
        <f t="array" aca="1" ref="Y4" ca="1">SUM(SUMIFS(Assumptions!BY$3:BY$102,Assumptions!$B$3:$B$102,'2-w'!$C4,Assumptions!$G$3:$G$102,{"TRW"}))</f>
        <v>0</v>
      </c>
      <c r="Z4" s="2" cm="1">
        <f t="array" aca="1" ref="Z4" ca="1">SUM(SUMIFS(Assumptions!BZ$3:BZ$102,Assumptions!$B$3:$B$102,'2-w'!$C4,Assumptions!$G$3:$G$102,{"TRW"}))</f>
        <v>0</v>
      </c>
      <c r="AA4" s="2" cm="1">
        <f t="array" aca="1" ref="AA4" ca="1">SUM(SUMIFS(Assumptions!CA$3:CA$102,Assumptions!$B$3:$B$102,'2-w'!$C4,Assumptions!$G$3:$G$102,{"TRW"}))</f>
        <v>0</v>
      </c>
      <c r="AB4" s="2" cm="1">
        <f t="array" aca="1" ref="AB4" ca="1">SUM(SUMIFS(Assumptions!CB$3:CB$102,Assumptions!$B$3:$B$102,'2-w'!$C4,Assumptions!$G$3:$G$102,{"TRW"}))</f>
        <v>0</v>
      </c>
      <c r="AC4" s="2" cm="1">
        <f t="array" aca="1" ref="AC4" ca="1">SUM(SUMIFS(Assumptions!CC$3:CC$102,Assumptions!$B$3:$B$102,'2-w'!$C4,Assumptions!$G$3:$G$102,{"TRW"}))</f>
        <v>0</v>
      </c>
      <c r="AD4" s="2" cm="1">
        <f t="array" aca="1" ref="AD4" ca="1">SUM(SUMIFS(Assumptions!CD$3:CD$102,Assumptions!$B$3:$B$102,'2-w'!$C4,Assumptions!$G$3:$G$102,{"TRW"}))</f>
        <v>0</v>
      </c>
      <c r="AE4" s="2" cm="1">
        <f t="array" aca="1" ref="AE4" ca="1">SUM(SUMIFS(Assumptions!CE$3:CE$102,Assumptions!$B$3:$B$102,'2-w'!$C4,Assumptions!$G$3:$G$102,{"TRW"}))</f>
        <v>0</v>
      </c>
      <c r="AF4" s="2" cm="1">
        <f t="array" aca="1" ref="AF4" ca="1">SUM(SUMIFS(Assumptions!CF$3:CF$102,Assumptions!$B$3:$B$102,'2-w'!$C4,Assumptions!$G$3:$G$102,{"TRW"}))</f>
        <v>0</v>
      </c>
      <c r="AG4" s="2" cm="1">
        <f t="array" aca="1" ref="AG4" ca="1">SUM(SUMIFS(Assumptions!CG$3:CG$102,Assumptions!$B$3:$B$102,'2-w'!$C4,Assumptions!$G$3:$G$102,{"TRW"}))</f>
        <v>0</v>
      </c>
      <c r="AH4" s="2" cm="1">
        <f t="array" aca="1" ref="AH4" ca="1">SUM(SUMIFS(Assumptions!CH$3:CH$102,Assumptions!$B$3:$B$102,'2-w'!$C4,Assumptions!$G$3:$G$102,{"TRW"}))</f>
        <v>0</v>
      </c>
      <c r="AI4" s="2" cm="1">
        <f t="array" aca="1" ref="AI4" ca="1">SUM(SUMIFS(Assumptions!CI$3:CI$102,Assumptions!$B$3:$B$102,'2-w'!$C4,Assumptions!$G$3:$G$102,{"TRW"}))</f>
        <v>0</v>
      </c>
      <c r="AJ4" s="2" cm="1">
        <f t="array" aca="1" ref="AJ4" ca="1">SUM(SUMIFS(Assumptions!CJ$3:CJ$102,Assumptions!$B$3:$B$102,'2-w'!$C4,Assumptions!$G$3:$G$102,{"TRW"}))</f>
        <v>0</v>
      </c>
      <c r="AK4" s="2" cm="1">
        <f t="array" aca="1" ref="AK4" ca="1">SUM(SUMIFS(Assumptions!CK$3:CK$102,Assumptions!$B$3:$B$102,'2-w'!$C4,Assumptions!$G$3:$G$102,{"TRW"}))</f>
        <v>0</v>
      </c>
      <c r="AL4" s="2" cm="1">
        <f t="array" aca="1" ref="AL4" ca="1">SUM(SUMIFS(Assumptions!CL$3:CL$102,Assumptions!$B$3:$B$102,'2-w'!$C4,Assumptions!$G$3:$G$102,{"TRW"}))</f>
        <v>0</v>
      </c>
      <c r="AM4" s="2" cm="1">
        <f t="array" aca="1" ref="AM4" ca="1">SUM(SUMIFS(Assumptions!CM$3:CM$102,Assumptions!$B$3:$B$102,'2-w'!$C4,Assumptions!$G$3:$G$102,{"TRW"}))</f>
        <v>0</v>
      </c>
      <c r="AN4" s="2" cm="1">
        <f t="array" aca="1" ref="AN4" ca="1">SUM(SUMIFS(Assumptions!CN$3:CN$102,Assumptions!$B$3:$B$102,'2-w'!$C4,Assumptions!$G$3:$G$102,{"TRW"}))</f>
        <v>0</v>
      </c>
      <c r="AO4" s="2" cm="1">
        <f t="array" aca="1" ref="AO4" ca="1">SUM(SUMIFS(Assumptions!CO$3:CO$102,Assumptions!$B$3:$B$102,'2-w'!$C4,Assumptions!$G$3:$G$102,{"TRW"}))</f>
        <v>0</v>
      </c>
      <c r="AP4" s="2" cm="1">
        <f t="array" aca="1" ref="AP4" ca="1">SUM(SUMIFS(Assumptions!CP$3:CP$102,Assumptions!$B$3:$B$102,'2-w'!$C4,Assumptions!$G$3:$G$102,{"TRW"}))</f>
        <v>0</v>
      </c>
      <c r="AQ4" s="2" cm="1">
        <f t="array" aca="1" ref="AQ4" ca="1">SUM(SUMIFS(Assumptions!CQ$3:CQ$102,Assumptions!$B$3:$B$102,'2-w'!$C4,Assumptions!$G$3:$G$102,{"TRW"}))</f>
        <v>0</v>
      </c>
      <c r="AR4" s="2" cm="1">
        <f t="array" aca="1" ref="AR4" ca="1">SUM(SUMIFS(Assumptions!CR$3:CR$102,Assumptions!$B$3:$B$102,'2-w'!$C4,Assumptions!$G$3:$G$102,{"TRW"}))</f>
        <v>0</v>
      </c>
      <c r="AS4" s="2" cm="1">
        <f t="array" aca="1" ref="AS4" ca="1">SUM(SUMIFS(Assumptions!CS$3:CS$102,Assumptions!$B$3:$B$102,'2-w'!$C4,Assumptions!$G$3:$G$102,{"TRW"}))</f>
        <v>0</v>
      </c>
      <c r="AT4" s="2" cm="1">
        <f t="array" aca="1" ref="AT4" ca="1">SUM(SUMIFS(Assumptions!CT$3:CT$102,Assumptions!$B$3:$B$102,'2-w'!$C4,Assumptions!$G$3:$G$102,{"TRW"}))</f>
        <v>0</v>
      </c>
      <c r="AU4" s="2" cm="1">
        <f t="array" aca="1" ref="AU4" ca="1">SUM(SUMIFS(Assumptions!CU$3:CU$102,Assumptions!$B$3:$B$102,'2-w'!$C4,Assumptions!$G$3:$G$102,{"TRW"}))</f>
        <v>0</v>
      </c>
      <c r="AV4" s="2" cm="1">
        <f t="array" aca="1" ref="AV4" ca="1">SUM(SUMIFS(Assumptions!CV$3:CV$102,Assumptions!$B$3:$B$102,'2-w'!$C4,Assumptions!$G$3:$G$102,{"TRW"}))</f>
        <v>0</v>
      </c>
      <c r="AW4" s="2" cm="1">
        <f t="array" aca="1" ref="AW4" ca="1">SUM(SUMIFS(Assumptions!CW$3:CW$102,Assumptions!$B$3:$B$102,'2-w'!$C4,Assumptions!$G$3:$G$102,{"TRW"}))</f>
        <v>0</v>
      </c>
      <c r="AX4" s="53" t="str">
        <f ca="1">IF(SUM(D4:AW4)=0,"zero","")</f>
        <v>zero</v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SUM(SUMIFS(Assumptions!BD$3:BD$102,Assumptions!$B$3:$B$102,'2-w'!$C5,Assumptions!$G$3:$G$102,{"TRW"}))</f>
        <v>0</v>
      </c>
      <c r="E5" s="2" cm="1">
        <f t="array" aca="1" ref="E5" ca="1">SUM(SUMIFS(Assumptions!BE$3:BE$102,Assumptions!$B$3:$B$102,'2-w'!$C5,Assumptions!$G$3:$G$102,{"TRW"}))</f>
        <v>0</v>
      </c>
      <c r="F5" s="2" cm="1">
        <f t="array" aca="1" ref="F5" ca="1">SUM(SUMIFS(Assumptions!BF$3:BF$102,Assumptions!$B$3:$B$102,'2-w'!$C5,Assumptions!$G$3:$G$102,{"TRW"}))</f>
        <v>0</v>
      </c>
      <c r="G5" s="2" cm="1">
        <f t="array" aca="1" ref="G5" ca="1">SUM(SUMIFS(Assumptions!BG$3:BG$102,Assumptions!$B$3:$B$102,'2-w'!$C5,Assumptions!$G$3:$G$102,{"TRW"}))</f>
        <v>0</v>
      </c>
      <c r="H5" s="2" cm="1">
        <f t="array" aca="1" ref="H5" ca="1">SUM(SUMIFS(Assumptions!BH$3:BH$102,Assumptions!$B$3:$B$102,'2-w'!$C5,Assumptions!$G$3:$G$102,{"TRW"}))</f>
        <v>0</v>
      </c>
      <c r="I5" s="2" cm="1">
        <f t="array" aca="1" ref="I5" ca="1">SUM(SUMIFS(Assumptions!BI$3:BI$102,Assumptions!$B$3:$B$102,'2-w'!$C5,Assumptions!$G$3:$G$102,{"TRW"}))</f>
        <v>0</v>
      </c>
      <c r="J5" s="2" cm="1">
        <f t="array" aca="1" ref="J5" ca="1">SUM(SUMIFS(Assumptions!BJ$3:BJ$102,Assumptions!$B$3:$B$102,'2-w'!$C5,Assumptions!$G$3:$G$102,{"TRW"}))</f>
        <v>0</v>
      </c>
      <c r="K5" s="2" cm="1">
        <f t="array" aca="1" ref="K5" ca="1">SUM(SUMIFS(Assumptions!BK$3:BK$102,Assumptions!$B$3:$B$102,'2-w'!$C5,Assumptions!$G$3:$G$102,{"TRW"}))</f>
        <v>0</v>
      </c>
      <c r="L5" s="2" cm="1">
        <f t="array" aca="1" ref="L5" ca="1">SUM(SUMIFS(Assumptions!BL$3:BL$102,Assumptions!$B$3:$B$102,'2-w'!$C5,Assumptions!$G$3:$G$102,{"TRW"}))</f>
        <v>0</v>
      </c>
      <c r="M5" s="2" cm="1">
        <f t="array" aca="1" ref="M5" ca="1">SUM(SUMIFS(Assumptions!BM$3:BM$102,Assumptions!$B$3:$B$102,'2-w'!$C5,Assumptions!$G$3:$G$102,{"TRW"}))</f>
        <v>0</v>
      </c>
      <c r="N5" s="2" cm="1">
        <f t="array" aca="1" ref="N5" ca="1">SUM(SUMIFS(Assumptions!BN$3:BN$102,Assumptions!$B$3:$B$102,'2-w'!$C5,Assumptions!$G$3:$G$102,{"TRW"}))</f>
        <v>0</v>
      </c>
      <c r="O5" s="2" cm="1">
        <f t="array" aca="1" ref="O5" ca="1">SUM(SUMIFS(Assumptions!BO$3:BO$102,Assumptions!$B$3:$B$102,'2-w'!$C5,Assumptions!$G$3:$G$102,{"TRW"}))</f>
        <v>0</v>
      </c>
      <c r="P5" s="2" cm="1">
        <f t="array" aca="1" ref="P5" ca="1">SUM(SUMIFS(Assumptions!BP$3:BP$102,Assumptions!$B$3:$B$102,'2-w'!$C5,Assumptions!$G$3:$G$102,{"TRW"}))</f>
        <v>0</v>
      </c>
      <c r="Q5" s="2" cm="1">
        <f t="array" aca="1" ref="Q5" ca="1">SUM(SUMIFS(Assumptions!BQ$3:BQ$102,Assumptions!$B$3:$B$102,'2-w'!$C5,Assumptions!$G$3:$G$102,{"TRW"}))</f>
        <v>0</v>
      </c>
      <c r="R5" s="2" cm="1">
        <f t="array" aca="1" ref="R5" ca="1">SUM(SUMIFS(Assumptions!BR$3:BR$102,Assumptions!$B$3:$B$102,'2-w'!$C5,Assumptions!$G$3:$G$102,{"TRW"}))</f>
        <v>0</v>
      </c>
      <c r="S5" s="2" cm="1">
        <f t="array" aca="1" ref="S5" ca="1">SUM(SUMIFS(Assumptions!BS$3:BS$102,Assumptions!$B$3:$B$102,'2-w'!$C5,Assumptions!$G$3:$G$102,{"TRW"}))</f>
        <v>0</v>
      </c>
      <c r="T5" s="2" cm="1">
        <f t="array" aca="1" ref="T5" ca="1">SUM(SUMIFS(Assumptions!BT$3:BT$102,Assumptions!$B$3:$B$102,'2-w'!$C5,Assumptions!$G$3:$G$102,{"TRW"}))</f>
        <v>0</v>
      </c>
      <c r="U5" s="2" cm="1">
        <f t="array" aca="1" ref="U5" ca="1">SUM(SUMIFS(Assumptions!BU$3:BU$102,Assumptions!$B$3:$B$102,'2-w'!$C5,Assumptions!$G$3:$G$102,{"TRW"}))</f>
        <v>0</v>
      </c>
      <c r="V5" s="2" cm="1">
        <f t="array" aca="1" ref="V5" ca="1">SUM(SUMIFS(Assumptions!BV$3:BV$102,Assumptions!$B$3:$B$102,'2-w'!$C5,Assumptions!$G$3:$G$102,{"TRW"}))</f>
        <v>0</v>
      </c>
      <c r="W5" s="2" cm="1">
        <f t="array" aca="1" ref="W5" ca="1">SUM(SUMIFS(Assumptions!BW$3:BW$102,Assumptions!$B$3:$B$102,'2-w'!$C5,Assumptions!$G$3:$G$102,{"TRW"}))</f>
        <v>0</v>
      </c>
      <c r="X5" s="2" cm="1">
        <f t="array" aca="1" ref="X5" ca="1">SUM(SUMIFS(Assumptions!BX$3:BX$102,Assumptions!$B$3:$B$102,'2-w'!$C5,Assumptions!$G$3:$G$102,{"TRW"}))</f>
        <v>0</v>
      </c>
      <c r="Y5" s="2" cm="1">
        <f t="array" aca="1" ref="Y5" ca="1">SUM(SUMIFS(Assumptions!BY$3:BY$102,Assumptions!$B$3:$B$102,'2-w'!$C5,Assumptions!$G$3:$G$102,{"TRW"}))</f>
        <v>0</v>
      </c>
      <c r="Z5" s="2" cm="1">
        <f t="array" aca="1" ref="Z5" ca="1">SUM(SUMIFS(Assumptions!BZ$3:BZ$102,Assumptions!$B$3:$B$102,'2-w'!$C5,Assumptions!$G$3:$G$102,{"TRW"}))</f>
        <v>0</v>
      </c>
      <c r="AA5" s="2" cm="1">
        <f t="array" aca="1" ref="AA5" ca="1">SUM(SUMIFS(Assumptions!CA$3:CA$102,Assumptions!$B$3:$B$102,'2-w'!$C5,Assumptions!$G$3:$G$102,{"TRW"}))</f>
        <v>0</v>
      </c>
      <c r="AB5" s="2" cm="1">
        <f t="array" aca="1" ref="AB5" ca="1">SUM(SUMIFS(Assumptions!CB$3:CB$102,Assumptions!$B$3:$B$102,'2-w'!$C5,Assumptions!$G$3:$G$102,{"TRW"}))</f>
        <v>0</v>
      </c>
      <c r="AC5" s="2" cm="1">
        <f t="array" aca="1" ref="AC5" ca="1">SUM(SUMIFS(Assumptions!CC$3:CC$102,Assumptions!$B$3:$B$102,'2-w'!$C5,Assumptions!$G$3:$G$102,{"TRW"}))</f>
        <v>0</v>
      </c>
      <c r="AD5" s="2" cm="1">
        <f t="array" aca="1" ref="AD5" ca="1">SUM(SUMIFS(Assumptions!CD$3:CD$102,Assumptions!$B$3:$B$102,'2-w'!$C5,Assumptions!$G$3:$G$102,{"TRW"}))</f>
        <v>0</v>
      </c>
      <c r="AE5" s="2" cm="1">
        <f t="array" aca="1" ref="AE5" ca="1">SUM(SUMIFS(Assumptions!CE$3:CE$102,Assumptions!$B$3:$B$102,'2-w'!$C5,Assumptions!$G$3:$G$102,{"TRW"}))</f>
        <v>0</v>
      </c>
      <c r="AF5" s="2" cm="1">
        <f t="array" aca="1" ref="AF5" ca="1">SUM(SUMIFS(Assumptions!CF$3:CF$102,Assumptions!$B$3:$B$102,'2-w'!$C5,Assumptions!$G$3:$G$102,{"TRW"}))</f>
        <v>0</v>
      </c>
      <c r="AG5" s="2" cm="1">
        <f t="array" aca="1" ref="AG5" ca="1">SUM(SUMIFS(Assumptions!CG$3:CG$102,Assumptions!$B$3:$B$102,'2-w'!$C5,Assumptions!$G$3:$G$102,{"TRW"}))</f>
        <v>0</v>
      </c>
      <c r="AH5" s="2" cm="1">
        <f t="array" aca="1" ref="AH5" ca="1">SUM(SUMIFS(Assumptions!CH$3:CH$102,Assumptions!$B$3:$B$102,'2-w'!$C5,Assumptions!$G$3:$G$102,{"TRW"}))</f>
        <v>0</v>
      </c>
      <c r="AI5" s="2" cm="1">
        <f t="array" aca="1" ref="AI5" ca="1">SUM(SUMIFS(Assumptions!CI$3:CI$102,Assumptions!$B$3:$B$102,'2-w'!$C5,Assumptions!$G$3:$G$102,{"TRW"}))</f>
        <v>0</v>
      </c>
      <c r="AJ5" s="2" cm="1">
        <f t="array" aca="1" ref="AJ5" ca="1">SUM(SUMIFS(Assumptions!CJ$3:CJ$102,Assumptions!$B$3:$B$102,'2-w'!$C5,Assumptions!$G$3:$G$102,{"TRW"}))</f>
        <v>0</v>
      </c>
      <c r="AK5" s="2" cm="1">
        <f t="array" aca="1" ref="AK5" ca="1">SUM(SUMIFS(Assumptions!CK$3:CK$102,Assumptions!$B$3:$B$102,'2-w'!$C5,Assumptions!$G$3:$G$102,{"TRW"}))</f>
        <v>0</v>
      </c>
      <c r="AL5" s="2" cm="1">
        <f t="array" aca="1" ref="AL5" ca="1">SUM(SUMIFS(Assumptions!CL$3:CL$102,Assumptions!$B$3:$B$102,'2-w'!$C5,Assumptions!$G$3:$G$102,{"TRW"}))</f>
        <v>0</v>
      </c>
      <c r="AM5" s="2" cm="1">
        <f t="array" aca="1" ref="AM5" ca="1">SUM(SUMIFS(Assumptions!CM$3:CM$102,Assumptions!$B$3:$B$102,'2-w'!$C5,Assumptions!$G$3:$G$102,{"TRW"}))</f>
        <v>0</v>
      </c>
      <c r="AN5" s="2" cm="1">
        <f t="array" aca="1" ref="AN5" ca="1">SUM(SUMIFS(Assumptions!CN$3:CN$102,Assumptions!$B$3:$B$102,'2-w'!$C5,Assumptions!$G$3:$G$102,{"TRW"}))</f>
        <v>0</v>
      </c>
      <c r="AO5" s="2" cm="1">
        <f t="array" aca="1" ref="AO5" ca="1">SUM(SUMIFS(Assumptions!CO$3:CO$102,Assumptions!$B$3:$B$102,'2-w'!$C5,Assumptions!$G$3:$G$102,{"TRW"}))</f>
        <v>0</v>
      </c>
      <c r="AP5" s="2" cm="1">
        <f t="array" aca="1" ref="AP5" ca="1">SUM(SUMIFS(Assumptions!CP$3:CP$102,Assumptions!$B$3:$B$102,'2-w'!$C5,Assumptions!$G$3:$G$102,{"TRW"}))</f>
        <v>0</v>
      </c>
      <c r="AQ5" s="2" cm="1">
        <f t="array" aca="1" ref="AQ5" ca="1">SUM(SUMIFS(Assumptions!CQ$3:CQ$102,Assumptions!$B$3:$B$102,'2-w'!$C5,Assumptions!$G$3:$G$102,{"TRW"}))</f>
        <v>0</v>
      </c>
      <c r="AR5" s="2" cm="1">
        <f t="array" aca="1" ref="AR5" ca="1">SUM(SUMIFS(Assumptions!CR$3:CR$102,Assumptions!$B$3:$B$102,'2-w'!$C5,Assumptions!$G$3:$G$102,{"TRW"}))</f>
        <v>0</v>
      </c>
      <c r="AS5" s="2" cm="1">
        <f t="array" aca="1" ref="AS5" ca="1">SUM(SUMIFS(Assumptions!CS$3:CS$102,Assumptions!$B$3:$B$102,'2-w'!$C5,Assumptions!$G$3:$G$102,{"TRW"}))</f>
        <v>0</v>
      </c>
      <c r="AT5" s="2" cm="1">
        <f t="array" aca="1" ref="AT5" ca="1">SUM(SUMIFS(Assumptions!CT$3:CT$102,Assumptions!$B$3:$B$102,'2-w'!$C5,Assumptions!$G$3:$G$102,{"TRW"}))</f>
        <v>0</v>
      </c>
      <c r="AU5" s="2" cm="1">
        <f t="array" aca="1" ref="AU5" ca="1">SUM(SUMIFS(Assumptions!CU$3:CU$102,Assumptions!$B$3:$B$102,'2-w'!$C5,Assumptions!$G$3:$G$102,{"TRW"}))</f>
        <v>0</v>
      </c>
      <c r="AV5" s="2" cm="1">
        <f t="array" aca="1" ref="AV5" ca="1">SUM(SUMIFS(Assumptions!CV$3:CV$102,Assumptions!$B$3:$B$102,'2-w'!$C5,Assumptions!$G$3:$G$102,{"TRW"}))</f>
        <v>0</v>
      </c>
      <c r="AW5" s="2" cm="1">
        <f t="array" aca="1" ref="AW5" ca="1">SUM(SUMIFS(Assumptions!CW$3:CW$102,Assumptions!$B$3:$B$102,'2-w'!$C5,Assumptions!$G$3:$G$102,{"TRW"}))</f>
        <v>0</v>
      </c>
      <c r="AX5" s="53" t="str">
        <f t="shared" ref="AX5:AX10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SUM(SUMIFS(Assumptions!BD$3:BD$102,Assumptions!$B$3:$B$102,'2-w'!$C6,Assumptions!$G$3:$G$102,{"TRW"}))</f>
        <v>0</v>
      </c>
      <c r="E6" s="2" cm="1">
        <f t="array" aca="1" ref="E6" ca="1">SUM(SUMIFS(Assumptions!BE$3:BE$102,Assumptions!$B$3:$B$102,'2-w'!$C6,Assumptions!$G$3:$G$102,{"TRW"}))</f>
        <v>0</v>
      </c>
      <c r="F6" s="2" cm="1">
        <f t="array" aca="1" ref="F6" ca="1">SUM(SUMIFS(Assumptions!BF$3:BF$102,Assumptions!$B$3:$B$102,'2-w'!$C6,Assumptions!$G$3:$G$102,{"TRW"}))</f>
        <v>0</v>
      </c>
      <c r="G6" s="2" cm="1">
        <f t="array" aca="1" ref="G6" ca="1">SUM(SUMIFS(Assumptions!BG$3:BG$102,Assumptions!$B$3:$B$102,'2-w'!$C6,Assumptions!$G$3:$G$102,{"TRW"}))</f>
        <v>0</v>
      </c>
      <c r="H6" s="2" cm="1">
        <f t="array" aca="1" ref="H6" ca="1">SUM(SUMIFS(Assumptions!BH$3:BH$102,Assumptions!$B$3:$B$102,'2-w'!$C6,Assumptions!$G$3:$G$102,{"TRW"}))</f>
        <v>0</v>
      </c>
      <c r="I6" s="2" cm="1">
        <f t="array" aca="1" ref="I6" ca="1">SUM(SUMIFS(Assumptions!BI$3:BI$102,Assumptions!$B$3:$B$102,'2-w'!$C6,Assumptions!$G$3:$G$102,{"TRW"}))</f>
        <v>0</v>
      </c>
      <c r="J6" s="2" cm="1">
        <f t="array" aca="1" ref="J6" ca="1">SUM(SUMIFS(Assumptions!BJ$3:BJ$102,Assumptions!$B$3:$B$102,'2-w'!$C6,Assumptions!$G$3:$G$102,{"TRW"}))</f>
        <v>0</v>
      </c>
      <c r="K6" s="2" cm="1">
        <f t="array" aca="1" ref="K6" ca="1">SUM(SUMIFS(Assumptions!BK$3:BK$102,Assumptions!$B$3:$B$102,'2-w'!$C6,Assumptions!$G$3:$G$102,{"TRW"}))</f>
        <v>0</v>
      </c>
      <c r="L6" s="2" cm="1">
        <f t="array" aca="1" ref="L6" ca="1">SUM(SUMIFS(Assumptions!BL$3:BL$102,Assumptions!$B$3:$B$102,'2-w'!$C6,Assumptions!$G$3:$G$102,{"TRW"}))</f>
        <v>0</v>
      </c>
      <c r="M6" s="2" cm="1">
        <f t="array" aca="1" ref="M6" ca="1">SUM(SUMIFS(Assumptions!BM$3:BM$102,Assumptions!$B$3:$B$102,'2-w'!$C6,Assumptions!$G$3:$G$102,{"TRW"}))</f>
        <v>0</v>
      </c>
      <c r="N6" s="2" cm="1">
        <f t="array" aca="1" ref="N6" ca="1">SUM(SUMIFS(Assumptions!BN$3:BN$102,Assumptions!$B$3:$B$102,'2-w'!$C6,Assumptions!$G$3:$G$102,{"TRW"}))</f>
        <v>0</v>
      </c>
      <c r="O6" s="2" cm="1">
        <f t="array" aca="1" ref="O6" ca="1">SUM(SUMIFS(Assumptions!BO$3:BO$102,Assumptions!$B$3:$B$102,'2-w'!$C6,Assumptions!$G$3:$G$102,{"TRW"}))</f>
        <v>0</v>
      </c>
      <c r="P6" s="2" cm="1">
        <f t="array" aca="1" ref="P6" ca="1">SUM(SUMIFS(Assumptions!BP$3:BP$102,Assumptions!$B$3:$B$102,'2-w'!$C6,Assumptions!$G$3:$G$102,{"TRW"}))</f>
        <v>0</v>
      </c>
      <c r="Q6" s="2" cm="1">
        <f t="array" aca="1" ref="Q6" ca="1">SUM(SUMIFS(Assumptions!BQ$3:BQ$102,Assumptions!$B$3:$B$102,'2-w'!$C6,Assumptions!$G$3:$G$102,{"TRW"}))</f>
        <v>0</v>
      </c>
      <c r="R6" s="2" cm="1">
        <f t="array" aca="1" ref="R6" ca="1">SUM(SUMIFS(Assumptions!BR$3:BR$102,Assumptions!$B$3:$B$102,'2-w'!$C6,Assumptions!$G$3:$G$102,{"TRW"}))</f>
        <v>0</v>
      </c>
      <c r="S6" s="2" cm="1">
        <f t="array" aca="1" ref="S6" ca="1">SUM(SUMIFS(Assumptions!BS$3:BS$102,Assumptions!$B$3:$B$102,'2-w'!$C6,Assumptions!$G$3:$G$102,{"TRW"}))</f>
        <v>0</v>
      </c>
      <c r="T6" s="2" cm="1">
        <f t="array" aca="1" ref="T6" ca="1">SUM(SUMIFS(Assumptions!BT$3:BT$102,Assumptions!$B$3:$B$102,'2-w'!$C6,Assumptions!$G$3:$G$102,{"TRW"}))</f>
        <v>0</v>
      </c>
      <c r="U6" s="2" cm="1">
        <f t="array" aca="1" ref="U6" ca="1">SUM(SUMIFS(Assumptions!BU$3:BU$102,Assumptions!$B$3:$B$102,'2-w'!$C6,Assumptions!$G$3:$G$102,{"TRW"}))</f>
        <v>0</v>
      </c>
      <c r="V6" s="2" cm="1">
        <f t="array" aca="1" ref="V6" ca="1">SUM(SUMIFS(Assumptions!BV$3:BV$102,Assumptions!$B$3:$B$102,'2-w'!$C6,Assumptions!$G$3:$G$102,{"TRW"}))</f>
        <v>0</v>
      </c>
      <c r="W6" s="2" cm="1">
        <f t="array" aca="1" ref="W6" ca="1">SUM(SUMIFS(Assumptions!BW$3:BW$102,Assumptions!$B$3:$B$102,'2-w'!$C6,Assumptions!$G$3:$G$102,{"TRW"}))</f>
        <v>0</v>
      </c>
      <c r="X6" s="2" cm="1">
        <f t="array" aca="1" ref="X6" ca="1">SUM(SUMIFS(Assumptions!BX$3:BX$102,Assumptions!$B$3:$B$102,'2-w'!$C6,Assumptions!$G$3:$G$102,{"TRW"}))</f>
        <v>0</v>
      </c>
      <c r="Y6" s="2" cm="1">
        <f t="array" aca="1" ref="Y6" ca="1">SUM(SUMIFS(Assumptions!BY$3:BY$102,Assumptions!$B$3:$B$102,'2-w'!$C6,Assumptions!$G$3:$G$102,{"TRW"}))</f>
        <v>0</v>
      </c>
      <c r="Z6" s="2" cm="1">
        <f t="array" aca="1" ref="Z6" ca="1">SUM(SUMIFS(Assumptions!BZ$3:BZ$102,Assumptions!$B$3:$B$102,'2-w'!$C6,Assumptions!$G$3:$G$102,{"TRW"}))</f>
        <v>0</v>
      </c>
      <c r="AA6" s="2" cm="1">
        <f t="array" aca="1" ref="AA6" ca="1">SUM(SUMIFS(Assumptions!CA$3:CA$102,Assumptions!$B$3:$B$102,'2-w'!$C6,Assumptions!$G$3:$G$102,{"TRW"}))</f>
        <v>0</v>
      </c>
      <c r="AB6" s="2" cm="1">
        <f t="array" aca="1" ref="AB6" ca="1">SUM(SUMIFS(Assumptions!CB$3:CB$102,Assumptions!$B$3:$B$102,'2-w'!$C6,Assumptions!$G$3:$G$102,{"TRW"}))</f>
        <v>0</v>
      </c>
      <c r="AC6" s="2" cm="1">
        <f t="array" aca="1" ref="AC6" ca="1">SUM(SUMIFS(Assumptions!CC$3:CC$102,Assumptions!$B$3:$B$102,'2-w'!$C6,Assumptions!$G$3:$G$102,{"TRW"}))</f>
        <v>0</v>
      </c>
      <c r="AD6" s="2" cm="1">
        <f t="array" aca="1" ref="AD6" ca="1">SUM(SUMIFS(Assumptions!CD$3:CD$102,Assumptions!$B$3:$B$102,'2-w'!$C6,Assumptions!$G$3:$G$102,{"TRW"}))</f>
        <v>0</v>
      </c>
      <c r="AE6" s="2" cm="1">
        <f t="array" aca="1" ref="AE6" ca="1">SUM(SUMIFS(Assumptions!CE$3:CE$102,Assumptions!$B$3:$B$102,'2-w'!$C6,Assumptions!$G$3:$G$102,{"TRW"}))</f>
        <v>0</v>
      </c>
      <c r="AF6" s="2" cm="1">
        <f t="array" aca="1" ref="AF6" ca="1">SUM(SUMIFS(Assumptions!CF$3:CF$102,Assumptions!$B$3:$B$102,'2-w'!$C6,Assumptions!$G$3:$G$102,{"TRW"}))</f>
        <v>0</v>
      </c>
      <c r="AG6" s="2" cm="1">
        <f t="array" aca="1" ref="AG6" ca="1">SUM(SUMIFS(Assumptions!CG$3:CG$102,Assumptions!$B$3:$B$102,'2-w'!$C6,Assumptions!$G$3:$G$102,{"TRW"}))</f>
        <v>0</v>
      </c>
      <c r="AH6" s="2" cm="1">
        <f t="array" aca="1" ref="AH6" ca="1">SUM(SUMIFS(Assumptions!CH$3:CH$102,Assumptions!$B$3:$B$102,'2-w'!$C6,Assumptions!$G$3:$G$102,{"TRW"}))</f>
        <v>0</v>
      </c>
      <c r="AI6" s="2" cm="1">
        <f t="array" aca="1" ref="AI6" ca="1">SUM(SUMIFS(Assumptions!CI$3:CI$102,Assumptions!$B$3:$B$102,'2-w'!$C6,Assumptions!$G$3:$G$102,{"TRW"}))</f>
        <v>0</v>
      </c>
      <c r="AJ6" s="2" cm="1">
        <f t="array" aca="1" ref="AJ6" ca="1">SUM(SUMIFS(Assumptions!CJ$3:CJ$102,Assumptions!$B$3:$B$102,'2-w'!$C6,Assumptions!$G$3:$G$102,{"TRW"}))</f>
        <v>0</v>
      </c>
      <c r="AK6" s="2" cm="1">
        <f t="array" aca="1" ref="AK6" ca="1">SUM(SUMIFS(Assumptions!CK$3:CK$102,Assumptions!$B$3:$B$102,'2-w'!$C6,Assumptions!$G$3:$G$102,{"TRW"}))</f>
        <v>0</v>
      </c>
      <c r="AL6" s="2" cm="1">
        <f t="array" aca="1" ref="AL6" ca="1">SUM(SUMIFS(Assumptions!CL$3:CL$102,Assumptions!$B$3:$B$102,'2-w'!$C6,Assumptions!$G$3:$G$102,{"TRW"}))</f>
        <v>0</v>
      </c>
      <c r="AM6" s="2" cm="1">
        <f t="array" aca="1" ref="AM6" ca="1">SUM(SUMIFS(Assumptions!CM$3:CM$102,Assumptions!$B$3:$B$102,'2-w'!$C6,Assumptions!$G$3:$G$102,{"TRW"}))</f>
        <v>0</v>
      </c>
      <c r="AN6" s="2" cm="1">
        <f t="array" aca="1" ref="AN6" ca="1">SUM(SUMIFS(Assumptions!CN$3:CN$102,Assumptions!$B$3:$B$102,'2-w'!$C6,Assumptions!$G$3:$G$102,{"TRW"}))</f>
        <v>0</v>
      </c>
      <c r="AO6" s="2" cm="1">
        <f t="array" aca="1" ref="AO6" ca="1">SUM(SUMIFS(Assumptions!CO$3:CO$102,Assumptions!$B$3:$B$102,'2-w'!$C6,Assumptions!$G$3:$G$102,{"TRW"}))</f>
        <v>0</v>
      </c>
      <c r="AP6" s="2" cm="1">
        <f t="array" aca="1" ref="AP6" ca="1">SUM(SUMIFS(Assumptions!CP$3:CP$102,Assumptions!$B$3:$B$102,'2-w'!$C6,Assumptions!$G$3:$G$102,{"TRW"}))</f>
        <v>0</v>
      </c>
      <c r="AQ6" s="2" cm="1">
        <f t="array" aca="1" ref="AQ6" ca="1">SUM(SUMIFS(Assumptions!CQ$3:CQ$102,Assumptions!$B$3:$B$102,'2-w'!$C6,Assumptions!$G$3:$G$102,{"TRW"}))</f>
        <v>0</v>
      </c>
      <c r="AR6" s="2" cm="1">
        <f t="array" aca="1" ref="AR6" ca="1">SUM(SUMIFS(Assumptions!CR$3:CR$102,Assumptions!$B$3:$B$102,'2-w'!$C6,Assumptions!$G$3:$G$102,{"TRW"}))</f>
        <v>0</v>
      </c>
      <c r="AS6" s="2" cm="1">
        <f t="array" aca="1" ref="AS6" ca="1">SUM(SUMIFS(Assumptions!CS$3:CS$102,Assumptions!$B$3:$B$102,'2-w'!$C6,Assumptions!$G$3:$G$102,{"TRW"}))</f>
        <v>0</v>
      </c>
      <c r="AT6" s="2" cm="1">
        <f t="array" aca="1" ref="AT6" ca="1">SUM(SUMIFS(Assumptions!CT$3:CT$102,Assumptions!$B$3:$B$102,'2-w'!$C6,Assumptions!$G$3:$G$102,{"TRW"}))</f>
        <v>0</v>
      </c>
      <c r="AU6" s="2" cm="1">
        <f t="array" aca="1" ref="AU6" ca="1">SUM(SUMIFS(Assumptions!CU$3:CU$102,Assumptions!$B$3:$B$102,'2-w'!$C6,Assumptions!$G$3:$G$102,{"TRW"}))</f>
        <v>0</v>
      </c>
      <c r="AV6" s="2" cm="1">
        <f t="array" aca="1" ref="AV6" ca="1">SUM(SUMIFS(Assumptions!CV$3:CV$102,Assumptions!$B$3:$B$102,'2-w'!$C6,Assumptions!$G$3:$G$102,{"TRW"}))</f>
        <v>0</v>
      </c>
      <c r="AW6" s="2" cm="1">
        <f t="array" aca="1" ref="AW6" ca="1">SUM(SUMIFS(Assumptions!CW$3:CW$102,Assumptions!$B$3:$B$102,'2-w'!$C6,Assumptions!$G$3:$G$102,{"TRW"}))</f>
        <v>0</v>
      </c>
      <c r="AX6" s="53" t="str">
        <f t="shared" ca="1" si="2"/>
        <v>zero</v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SUM(SUMIFS(Assumptions!BD$3:BD$102,Assumptions!$B$3:$B$102,'2-w'!$C7,Assumptions!$G$3:$G$102,{"TRW"}))</f>
        <v>0</v>
      </c>
      <c r="E7" s="2" cm="1">
        <f t="array" aca="1" ref="E7" ca="1">SUM(SUMIFS(Assumptions!BE$3:BE$102,Assumptions!$B$3:$B$102,'2-w'!$C7,Assumptions!$G$3:$G$102,{"TRW"}))</f>
        <v>0</v>
      </c>
      <c r="F7" s="2" cm="1">
        <f t="array" aca="1" ref="F7" ca="1">SUM(SUMIFS(Assumptions!BF$3:BF$102,Assumptions!$B$3:$B$102,'2-w'!$C7,Assumptions!$G$3:$G$102,{"TRW"}))</f>
        <v>0</v>
      </c>
      <c r="G7" s="2" cm="1">
        <f t="array" aca="1" ref="G7" ca="1">SUM(SUMIFS(Assumptions!BG$3:BG$102,Assumptions!$B$3:$B$102,'2-w'!$C7,Assumptions!$G$3:$G$102,{"TRW"}))</f>
        <v>0</v>
      </c>
      <c r="H7" s="2" cm="1">
        <f t="array" aca="1" ref="H7" ca="1">SUM(SUMIFS(Assumptions!BH$3:BH$102,Assumptions!$B$3:$B$102,'2-w'!$C7,Assumptions!$G$3:$G$102,{"TRW"}))</f>
        <v>0</v>
      </c>
      <c r="I7" s="2" cm="1">
        <f t="array" aca="1" ref="I7" ca="1">SUM(SUMIFS(Assumptions!BI$3:BI$102,Assumptions!$B$3:$B$102,'2-w'!$C7,Assumptions!$G$3:$G$102,{"TRW"}))</f>
        <v>0</v>
      </c>
      <c r="J7" s="2" cm="1">
        <f t="array" aca="1" ref="J7" ca="1">SUM(SUMIFS(Assumptions!BJ$3:BJ$102,Assumptions!$B$3:$B$102,'2-w'!$C7,Assumptions!$G$3:$G$102,{"TRW"}))</f>
        <v>0</v>
      </c>
      <c r="K7" s="2" cm="1">
        <f t="array" aca="1" ref="K7" ca="1">SUM(SUMIFS(Assumptions!BK$3:BK$102,Assumptions!$B$3:$B$102,'2-w'!$C7,Assumptions!$G$3:$G$102,{"TRW"}))</f>
        <v>0</v>
      </c>
      <c r="L7" s="2" cm="1">
        <f t="array" aca="1" ref="L7" ca="1">SUM(SUMIFS(Assumptions!BL$3:BL$102,Assumptions!$B$3:$B$102,'2-w'!$C7,Assumptions!$G$3:$G$102,{"TRW"}))</f>
        <v>0</v>
      </c>
      <c r="M7" s="2" cm="1">
        <f t="array" aca="1" ref="M7" ca="1">SUM(SUMIFS(Assumptions!BM$3:BM$102,Assumptions!$B$3:$B$102,'2-w'!$C7,Assumptions!$G$3:$G$102,{"TRW"}))</f>
        <v>0</v>
      </c>
      <c r="N7" s="2" cm="1">
        <f t="array" aca="1" ref="N7" ca="1">SUM(SUMIFS(Assumptions!BN$3:BN$102,Assumptions!$B$3:$B$102,'2-w'!$C7,Assumptions!$G$3:$G$102,{"TRW"}))</f>
        <v>0</v>
      </c>
      <c r="O7" s="2" cm="1">
        <f t="array" aca="1" ref="O7" ca="1">SUM(SUMIFS(Assumptions!BO$3:BO$102,Assumptions!$B$3:$B$102,'2-w'!$C7,Assumptions!$G$3:$G$102,{"TRW"}))</f>
        <v>0</v>
      </c>
      <c r="P7" s="2" cm="1">
        <f t="array" aca="1" ref="P7" ca="1">SUM(SUMIFS(Assumptions!BP$3:BP$102,Assumptions!$B$3:$B$102,'2-w'!$C7,Assumptions!$G$3:$G$102,{"TRW"}))</f>
        <v>0</v>
      </c>
      <c r="Q7" s="2" cm="1">
        <f t="array" aca="1" ref="Q7" ca="1">SUM(SUMIFS(Assumptions!BQ$3:BQ$102,Assumptions!$B$3:$B$102,'2-w'!$C7,Assumptions!$G$3:$G$102,{"TRW"}))</f>
        <v>0</v>
      </c>
      <c r="R7" s="2" cm="1">
        <f t="array" aca="1" ref="R7" ca="1">SUM(SUMIFS(Assumptions!BR$3:BR$102,Assumptions!$B$3:$B$102,'2-w'!$C7,Assumptions!$G$3:$G$102,{"TRW"}))</f>
        <v>0</v>
      </c>
      <c r="S7" s="2" cm="1">
        <f t="array" aca="1" ref="S7" ca="1">SUM(SUMIFS(Assumptions!BS$3:BS$102,Assumptions!$B$3:$B$102,'2-w'!$C7,Assumptions!$G$3:$G$102,{"TRW"}))</f>
        <v>0</v>
      </c>
      <c r="T7" s="2" cm="1">
        <f t="array" aca="1" ref="T7" ca="1">SUM(SUMIFS(Assumptions!BT$3:BT$102,Assumptions!$B$3:$B$102,'2-w'!$C7,Assumptions!$G$3:$G$102,{"TRW"}))</f>
        <v>0</v>
      </c>
      <c r="U7" s="2" cm="1">
        <f t="array" aca="1" ref="U7" ca="1">SUM(SUMIFS(Assumptions!BU$3:BU$102,Assumptions!$B$3:$B$102,'2-w'!$C7,Assumptions!$G$3:$G$102,{"TRW"}))</f>
        <v>0</v>
      </c>
      <c r="V7" s="2" cm="1">
        <f t="array" aca="1" ref="V7" ca="1">SUM(SUMIFS(Assumptions!BV$3:BV$102,Assumptions!$B$3:$B$102,'2-w'!$C7,Assumptions!$G$3:$G$102,{"TRW"}))</f>
        <v>0</v>
      </c>
      <c r="W7" s="2" cm="1">
        <f t="array" aca="1" ref="W7" ca="1">SUM(SUMIFS(Assumptions!BW$3:BW$102,Assumptions!$B$3:$B$102,'2-w'!$C7,Assumptions!$G$3:$G$102,{"TRW"}))</f>
        <v>0</v>
      </c>
      <c r="X7" s="2" cm="1">
        <f t="array" aca="1" ref="X7" ca="1">SUM(SUMIFS(Assumptions!BX$3:BX$102,Assumptions!$B$3:$B$102,'2-w'!$C7,Assumptions!$G$3:$G$102,{"TRW"}))</f>
        <v>0</v>
      </c>
      <c r="Y7" s="2" cm="1">
        <f t="array" aca="1" ref="Y7" ca="1">SUM(SUMIFS(Assumptions!BY$3:BY$102,Assumptions!$B$3:$B$102,'2-w'!$C7,Assumptions!$G$3:$G$102,{"TRW"}))</f>
        <v>0</v>
      </c>
      <c r="Z7" s="2" cm="1">
        <f t="array" aca="1" ref="Z7" ca="1">SUM(SUMIFS(Assumptions!BZ$3:BZ$102,Assumptions!$B$3:$B$102,'2-w'!$C7,Assumptions!$G$3:$G$102,{"TRW"}))</f>
        <v>0</v>
      </c>
      <c r="AA7" s="2" cm="1">
        <f t="array" aca="1" ref="AA7" ca="1">SUM(SUMIFS(Assumptions!CA$3:CA$102,Assumptions!$B$3:$B$102,'2-w'!$C7,Assumptions!$G$3:$G$102,{"TRW"}))</f>
        <v>0</v>
      </c>
      <c r="AB7" s="2" cm="1">
        <f t="array" aca="1" ref="AB7" ca="1">SUM(SUMIFS(Assumptions!CB$3:CB$102,Assumptions!$B$3:$B$102,'2-w'!$C7,Assumptions!$G$3:$G$102,{"TRW"}))</f>
        <v>0</v>
      </c>
      <c r="AC7" s="2" cm="1">
        <f t="array" aca="1" ref="AC7" ca="1">SUM(SUMIFS(Assumptions!CC$3:CC$102,Assumptions!$B$3:$B$102,'2-w'!$C7,Assumptions!$G$3:$G$102,{"TRW"}))</f>
        <v>0</v>
      </c>
      <c r="AD7" s="2" cm="1">
        <f t="array" aca="1" ref="AD7" ca="1">SUM(SUMIFS(Assumptions!CD$3:CD$102,Assumptions!$B$3:$B$102,'2-w'!$C7,Assumptions!$G$3:$G$102,{"TRW"}))</f>
        <v>0</v>
      </c>
      <c r="AE7" s="2" cm="1">
        <f t="array" aca="1" ref="AE7" ca="1">SUM(SUMIFS(Assumptions!CE$3:CE$102,Assumptions!$B$3:$B$102,'2-w'!$C7,Assumptions!$G$3:$G$102,{"TRW"}))</f>
        <v>0</v>
      </c>
      <c r="AF7" s="2" cm="1">
        <f t="array" aca="1" ref="AF7" ca="1">SUM(SUMIFS(Assumptions!CF$3:CF$102,Assumptions!$B$3:$B$102,'2-w'!$C7,Assumptions!$G$3:$G$102,{"TRW"}))</f>
        <v>0</v>
      </c>
      <c r="AG7" s="2" cm="1">
        <f t="array" aca="1" ref="AG7" ca="1">SUM(SUMIFS(Assumptions!CG$3:CG$102,Assumptions!$B$3:$B$102,'2-w'!$C7,Assumptions!$G$3:$G$102,{"TRW"}))</f>
        <v>0</v>
      </c>
      <c r="AH7" s="2" cm="1">
        <f t="array" aca="1" ref="AH7" ca="1">SUM(SUMIFS(Assumptions!CH$3:CH$102,Assumptions!$B$3:$B$102,'2-w'!$C7,Assumptions!$G$3:$G$102,{"TRW"}))</f>
        <v>0</v>
      </c>
      <c r="AI7" s="2" cm="1">
        <f t="array" aca="1" ref="AI7" ca="1">SUM(SUMIFS(Assumptions!CI$3:CI$102,Assumptions!$B$3:$B$102,'2-w'!$C7,Assumptions!$G$3:$G$102,{"TRW"}))</f>
        <v>0</v>
      </c>
      <c r="AJ7" s="2" cm="1">
        <f t="array" aca="1" ref="AJ7" ca="1">SUM(SUMIFS(Assumptions!CJ$3:CJ$102,Assumptions!$B$3:$B$102,'2-w'!$C7,Assumptions!$G$3:$G$102,{"TRW"}))</f>
        <v>0</v>
      </c>
      <c r="AK7" s="2" cm="1">
        <f t="array" aca="1" ref="AK7" ca="1">SUM(SUMIFS(Assumptions!CK$3:CK$102,Assumptions!$B$3:$B$102,'2-w'!$C7,Assumptions!$G$3:$G$102,{"TRW"}))</f>
        <v>0</v>
      </c>
      <c r="AL7" s="2" cm="1">
        <f t="array" aca="1" ref="AL7" ca="1">SUM(SUMIFS(Assumptions!CL$3:CL$102,Assumptions!$B$3:$B$102,'2-w'!$C7,Assumptions!$G$3:$G$102,{"TRW"}))</f>
        <v>0</v>
      </c>
      <c r="AM7" s="2" cm="1">
        <f t="array" aca="1" ref="AM7" ca="1">SUM(SUMIFS(Assumptions!CM$3:CM$102,Assumptions!$B$3:$B$102,'2-w'!$C7,Assumptions!$G$3:$G$102,{"TRW"}))</f>
        <v>0</v>
      </c>
      <c r="AN7" s="2" cm="1">
        <f t="array" aca="1" ref="AN7" ca="1">SUM(SUMIFS(Assumptions!CN$3:CN$102,Assumptions!$B$3:$B$102,'2-w'!$C7,Assumptions!$G$3:$G$102,{"TRW"}))</f>
        <v>0</v>
      </c>
      <c r="AO7" s="2" cm="1">
        <f t="array" aca="1" ref="AO7" ca="1">SUM(SUMIFS(Assumptions!CO$3:CO$102,Assumptions!$B$3:$B$102,'2-w'!$C7,Assumptions!$G$3:$G$102,{"TRW"}))</f>
        <v>0</v>
      </c>
      <c r="AP7" s="2" cm="1">
        <f t="array" aca="1" ref="AP7" ca="1">SUM(SUMIFS(Assumptions!CP$3:CP$102,Assumptions!$B$3:$B$102,'2-w'!$C7,Assumptions!$G$3:$G$102,{"TRW"}))</f>
        <v>0</v>
      </c>
      <c r="AQ7" s="2" cm="1">
        <f t="array" aca="1" ref="AQ7" ca="1">SUM(SUMIFS(Assumptions!CQ$3:CQ$102,Assumptions!$B$3:$B$102,'2-w'!$C7,Assumptions!$G$3:$G$102,{"TRW"}))</f>
        <v>0</v>
      </c>
      <c r="AR7" s="2" cm="1">
        <f t="array" aca="1" ref="AR7" ca="1">SUM(SUMIFS(Assumptions!CR$3:CR$102,Assumptions!$B$3:$B$102,'2-w'!$C7,Assumptions!$G$3:$G$102,{"TRW"}))</f>
        <v>0</v>
      </c>
      <c r="AS7" s="2" cm="1">
        <f t="array" aca="1" ref="AS7" ca="1">SUM(SUMIFS(Assumptions!CS$3:CS$102,Assumptions!$B$3:$B$102,'2-w'!$C7,Assumptions!$G$3:$G$102,{"TRW"}))</f>
        <v>0</v>
      </c>
      <c r="AT7" s="2" cm="1">
        <f t="array" aca="1" ref="AT7" ca="1">SUM(SUMIFS(Assumptions!CT$3:CT$102,Assumptions!$B$3:$B$102,'2-w'!$C7,Assumptions!$G$3:$G$102,{"TRW"}))</f>
        <v>0</v>
      </c>
      <c r="AU7" s="2" cm="1">
        <f t="array" aca="1" ref="AU7" ca="1">SUM(SUMIFS(Assumptions!CU$3:CU$102,Assumptions!$B$3:$B$102,'2-w'!$C7,Assumptions!$G$3:$G$102,{"TRW"}))</f>
        <v>0</v>
      </c>
      <c r="AV7" s="2" cm="1">
        <f t="array" aca="1" ref="AV7" ca="1">SUM(SUMIFS(Assumptions!CV$3:CV$102,Assumptions!$B$3:$B$102,'2-w'!$C7,Assumptions!$G$3:$G$102,{"TRW"}))</f>
        <v>0</v>
      </c>
      <c r="AW7" s="2" cm="1">
        <f t="array" aca="1" ref="AW7" ca="1">SUM(SUMIFS(Assumptions!CW$3:CW$102,Assumptions!$B$3:$B$102,'2-w'!$C7,Assumptions!$G$3:$G$102,{"TRW"}))</f>
        <v>0</v>
      </c>
      <c r="AX7" s="53" t="str">
        <f t="shared" ca="1" si="2"/>
        <v>zero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SUM(SUMIFS(Assumptions!BD$3:BD$102,Assumptions!$B$3:$B$102,'2-w'!$C8,Assumptions!$G$3:$G$102,{"TRW"}))</f>
        <v>250.48460281193999</v>
      </c>
      <c r="E8" s="2" cm="1">
        <f t="array" aca="1" ref="E8" ca="1">SUM(SUMIFS(Assumptions!BE$3:BE$102,Assumptions!$B$3:$B$102,'2-w'!$C8,Assumptions!$G$3:$G$102,{"TRW"}))</f>
        <v>434.96326194803999</v>
      </c>
      <c r="F8" s="2" cm="1">
        <f t="array" aca="1" ref="F8" ca="1">SUM(SUMIFS(Assumptions!BF$3:BF$102,Assumptions!$B$3:$B$102,'2-w'!$C8,Assumptions!$G$3:$G$102,{"TRW"}))</f>
        <v>10.2405930457104</v>
      </c>
      <c r="G8" s="2" cm="1">
        <f t="array" aca="1" ref="G8" ca="1">SUM(SUMIFS(Assumptions!BG$3:BG$102,Assumptions!$B$3:$B$102,'2-w'!$C8,Assumptions!$G$3:$G$102,{"TRW"}))</f>
        <v>0.33583422714228001</v>
      </c>
      <c r="H8" s="2" cm="1">
        <f t="array" aca="1" ref="H8" ca="1">SUM(SUMIFS(Assumptions!BH$3:BH$102,Assumptions!$B$3:$B$102,'2-w'!$C8,Assumptions!$G$3:$G$102,{"TRW"}))</f>
        <v>0.30361716706859998</v>
      </c>
      <c r="I8" s="2" cm="1">
        <f t="array" aca="1" ref="I8" ca="1">SUM(SUMIFS(Assumptions!BI$3:BI$102,Assumptions!$B$3:$B$102,'2-w'!$C8,Assumptions!$G$3:$G$102,{"TRW"}))</f>
        <v>1.2993733856521801</v>
      </c>
      <c r="J8" s="2" cm="1">
        <f t="array" aca="1" ref="J8" ca="1">SUM(SUMIFS(Assumptions!BJ$3:BJ$102,Assumptions!$B$3:$B$102,'2-w'!$C8,Assumptions!$G$3:$G$102,{"TRW"}))</f>
        <v>12.125454845124599</v>
      </c>
      <c r="K8" s="2" cm="1">
        <f t="array" aca="1" ref="K8" ca="1">SUM(SUMIFS(Assumptions!BK$3:BK$102,Assumptions!$B$3:$B$102,'2-w'!$C8,Assumptions!$G$3:$G$102,{"TRW"}))</f>
        <v>1620.5115790774798</v>
      </c>
      <c r="L8" s="2" cm="1">
        <f t="array" aca="1" ref="L8" ca="1">SUM(SUMIFS(Assumptions!BL$3:BL$102,Assumptions!$B$3:$B$102,'2-w'!$C8,Assumptions!$G$3:$G$102,{"TRW"}))</f>
        <v>0.50740371599940004</v>
      </c>
      <c r="M8" s="2" cm="1">
        <f t="array" aca="1" ref="M8" ca="1">SUM(SUMIFS(Assumptions!BM$3:BM$102,Assumptions!$B$3:$B$102,'2-w'!$C8,Assumptions!$G$3:$G$102,{"TRW"}))</f>
        <v>1.202850034506</v>
      </c>
      <c r="N8" s="2" cm="1">
        <f t="array" aca="1" ref="N8" ca="1">SUM(SUMIFS(Assumptions!BN$3:BN$102,Assumptions!$B$3:$B$102,'2-w'!$C8,Assumptions!$G$3:$G$102,{"TRW"}))</f>
        <v>1.5961506847428597</v>
      </c>
      <c r="O8" s="2" cm="1">
        <f t="array" aca="1" ref="O8" ca="1">SUM(SUMIFS(Assumptions!BO$3:BO$102,Assumptions!$B$3:$B$102,'2-w'!$C8,Assumptions!$G$3:$G$102,{"TRW"}))</f>
        <v>3.5046681989077797</v>
      </c>
      <c r="P8" s="2" cm="1">
        <f t="array" aca="1" ref="P8" ca="1">SUM(SUMIFS(Assumptions!BP$3:BP$102,Assumptions!$B$3:$B$102,'2-w'!$C8,Assumptions!$G$3:$G$102,{"TRW"}))</f>
        <v>0.54812429310510002</v>
      </c>
      <c r="Q8" s="2" cm="1">
        <f t="array" aca="1" ref="Q8" ca="1">SUM(SUMIFS(Assumptions!BQ$3:BQ$102,Assumptions!$B$3:$B$102,'2-w'!$C8,Assumptions!$G$3:$G$102,{"TRW"}))</f>
        <v>1.8747115580484</v>
      </c>
      <c r="R8" s="2" cm="1">
        <f t="array" aca="1" ref="R8" ca="1">SUM(SUMIFS(Assumptions!BR$3:BR$102,Assumptions!$B$3:$B$102,'2-w'!$C8,Assumptions!$G$3:$G$102,{"TRW"}))</f>
        <v>2.5339974583859996E-2</v>
      </c>
      <c r="S8" s="2" cm="1">
        <f t="array" aca="1" ref="S8" ca="1">SUM(SUMIFS(Assumptions!BS$3:BS$102,Assumptions!$B$3:$B$102,'2-w'!$C8,Assumptions!$G$3:$G$102,{"TRW"}))</f>
        <v>537.15200056415995</v>
      </c>
      <c r="T8" s="2" cm="1">
        <f t="array" aca="1" ref="T8" ca="1">SUM(SUMIFS(Assumptions!BT$3:BT$102,Assumptions!$B$3:$B$102,'2-w'!$C8,Assumptions!$G$3:$G$102,{"TRW"}))</f>
        <v>0.15632851109111998</v>
      </c>
      <c r="U8" s="2" cm="1">
        <f t="array" aca="1" ref="U8" ca="1">SUM(SUMIFS(Assumptions!BU$3:BU$102,Assumptions!$B$3:$B$102,'2-w'!$C8,Assumptions!$G$3:$G$102,{"TRW"}))</f>
        <v>1.5834267140031</v>
      </c>
      <c r="V8" s="2" cm="1">
        <f t="array" aca="1" ref="V8" ca="1">SUM(SUMIFS(Assumptions!BV$3:BV$102,Assumptions!$B$3:$B$102,'2-w'!$C8,Assumptions!$G$3:$G$102,{"TRW"}))</f>
        <v>14.2608440592648</v>
      </c>
      <c r="W8" s="2" cm="1">
        <f t="array" aca="1" ref="W8" ca="1">SUM(SUMIFS(Assumptions!BW$3:BW$102,Assumptions!$B$3:$B$102,'2-w'!$C8,Assumptions!$G$3:$G$102,{"TRW"}))</f>
        <v>23.0551733199258</v>
      </c>
      <c r="X8" s="2" cm="1">
        <f t="array" aca="1" ref="X8" ca="1">SUM(SUMIFS(Assumptions!BX$3:BX$102,Assumptions!$B$3:$B$102,'2-w'!$C8,Assumptions!$G$3:$G$102,{"TRW"}))</f>
        <v>33.034734535571999</v>
      </c>
      <c r="Y8" s="2" cm="1">
        <f t="array" aca="1" ref="Y8" ca="1">SUM(SUMIFS(Assumptions!BY$3:BY$102,Assumptions!$B$3:$B$102,'2-w'!$C8,Assumptions!$G$3:$G$102,{"TRW"}))</f>
        <v>14.677799447681283</v>
      </c>
      <c r="Z8" s="2" cm="1">
        <f t="array" aca="1" ref="Z8" ca="1">SUM(SUMIFS(Assumptions!BZ$3:BZ$102,Assumptions!$B$3:$B$102,'2-w'!$C8,Assumptions!$G$3:$G$102,{"TRW"}))</f>
        <v>0.13529496782771999</v>
      </c>
      <c r="AA8" s="2" cm="1">
        <f t="array" aca="1" ref="AA8" ca="1">SUM(SUMIFS(Assumptions!CA$3:CA$102,Assumptions!$B$3:$B$102,'2-w'!$C8,Assumptions!$G$3:$G$102,{"TRW"}))</f>
        <v>2.6232780250656003</v>
      </c>
      <c r="AB8" s="2" cm="1">
        <f t="array" aca="1" ref="AB8" ca="1">SUM(SUMIFS(Assumptions!CB$3:CB$102,Assumptions!$B$3:$B$102,'2-w'!$C8,Assumptions!$G$3:$G$102,{"TRW"}))</f>
        <v>1583.0522794774799</v>
      </c>
      <c r="AC8" s="2" cm="1">
        <f t="array" aca="1" ref="AC8" ca="1">SUM(SUMIFS(Assumptions!CC$3:CC$102,Assumptions!$B$3:$B$102,'2-w'!$C8,Assumptions!$G$3:$G$102,{"TRW"}))</f>
        <v>16.2431530969554</v>
      </c>
      <c r="AD8" s="2" cm="1">
        <f t="array" aca="1" ref="AD8" ca="1">SUM(SUMIFS(Assumptions!CD$3:CD$102,Assumptions!$B$3:$B$102,'2-w'!$C8,Assumptions!$G$3:$G$102,{"TRW"}))</f>
        <v>14.271189633691199</v>
      </c>
      <c r="AE8" s="2" cm="1">
        <f t="array" aca="1" ref="AE8" ca="1">SUM(SUMIFS(Assumptions!CE$3:CE$102,Assumptions!$B$3:$B$102,'2-w'!$C8,Assumptions!$G$3:$G$102,{"TRW"}))</f>
        <v>110.80105697303999</v>
      </c>
      <c r="AF8" s="2" cm="1">
        <f t="array" aca="1" ref="AF8" ca="1">SUM(SUMIFS(Assumptions!CF$3:CF$102,Assumptions!$B$3:$B$102,'2-w'!$C8,Assumptions!$G$3:$G$102,{"TRW"}))</f>
        <v>1.3150226561767202</v>
      </c>
      <c r="AG8" s="2" cm="1">
        <f t="array" aca="1" ref="AG8" ca="1">SUM(SUMIFS(Assumptions!CG$3:CG$102,Assumptions!$B$3:$B$102,'2-w'!$C8,Assumptions!$G$3:$G$102,{"TRW"}))</f>
        <v>0.92229091062660007</v>
      </c>
      <c r="AH8" s="2" cm="1">
        <f t="array" aca="1" ref="AH8" ca="1">SUM(SUMIFS(Assumptions!CH$3:CH$102,Assumptions!$B$3:$B$102,'2-w'!$C8,Assumptions!$G$3:$G$102,{"TRW"}))</f>
        <v>0.48438556819938</v>
      </c>
      <c r="AI8" s="2" cm="1">
        <f t="array" aca="1" ref="AI8" ca="1">SUM(SUMIFS(Assumptions!CI$3:CI$102,Assumptions!$B$3:$B$102,'2-w'!$C8,Assumptions!$G$3:$G$102,{"TRW"}))</f>
        <v>1.3903119822815999</v>
      </c>
      <c r="AJ8" s="2" cm="1">
        <f t="array" aca="1" ref="AJ8" ca="1">SUM(SUMIFS(Assumptions!CJ$3:CJ$102,Assumptions!$B$3:$B$102,'2-w'!$C8,Assumptions!$G$3:$G$102,{"TRW"}))</f>
        <v>2.4996459538558797</v>
      </c>
      <c r="AK8" s="2" cm="1">
        <f t="array" aca="1" ref="AK8" ca="1">SUM(SUMIFS(Assumptions!CK$3:CK$102,Assumptions!$B$3:$B$102,'2-w'!$C8,Assumptions!$G$3:$G$102,{"TRW"}))</f>
        <v>0.81008005886639978</v>
      </c>
      <c r="AL8" s="2" cm="1">
        <f t="array" aca="1" ref="AL8" ca="1">SUM(SUMIFS(Assumptions!CL$3:CL$102,Assumptions!$B$3:$B$102,'2-w'!$C8,Assumptions!$G$3:$G$102,{"TRW"}))</f>
        <v>0.52810934699339995</v>
      </c>
      <c r="AM8" s="2" cm="1">
        <f t="array" aca="1" ref="AM8" ca="1">SUM(SUMIFS(Assumptions!CM$3:CM$102,Assumptions!$B$3:$B$102,'2-w'!$C8,Assumptions!$G$3:$G$102,{"TRW"}))</f>
        <v>0</v>
      </c>
      <c r="AN8" s="2" cm="1">
        <f t="array" aca="1" ref="AN8" ca="1">SUM(SUMIFS(Assumptions!CN$3:CN$102,Assumptions!$B$3:$B$102,'2-w'!$C8,Assumptions!$G$3:$G$102,{"TRW"}))</f>
        <v>0</v>
      </c>
      <c r="AO8" s="2" cm="1">
        <f t="array" aca="1" ref="AO8" ca="1">SUM(SUMIFS(Assumptions!CO$3:CO$102,Assumptions!$B$3:$B$102,'2-w'!$C8,Assumptions!$G$3:$G$102,{"TRW"}))</f>
        <v>0</v>
      </c>
      <c r="AP8" s="2" cm="1">
        <f t="array" aca="1" ref="AP8" ca="1">SUM(SUMIFS(Assumptions!CP$3:CP$102,Assumptions!$B$3:$B$102,'2-w'!$C8,Assumptions!$G$3:$G$102,{"TRW"}))</f>
        <v>0</v>
      </c>
      <c r="AQ8" s="2" cm="1">
        <f t="array" aca="1" ref="AQ8" ca="1">SUM(SUMIFS(Assumptions!CQ$3:CQ$102,Assumptions!$B$3:$B$102,'2-w'!$C8,Assumptions!$G$3:$G$102,{"TRW"}))</f>
        <v>0</v>
      </c>
      <c r="AR8" s="2" cm="1">
        <f t="array" aca="1" ref="AR8" ca="1">SUM(SUMIFS(Assumptions!CR$3:CR$102,Assumptions!$B$3:$B$102,'2-w'!$C8,Assumptions!$G$3:$G$102,{"TRW"}))</f>
        <v>0</v>
      </c>
      <c r="AS8" s="2" cm="1">
        <f t="array" aca="1" ref="AS8" ca="1">SUM(SUMIFS(Assumptions!CS$3:CS$102,Assumptions!$B$3:$B$102,'2-w'!$C8,Assumptions!$G$3:$G$102,{"TRW"}))</f>
        <v>0</v>
      </c>
      <c r="AT8" s="2" cm="1">
        <f t="array" aca="1" ref="AT8" ca="1">SUM(SUMIFS(Assumptions!CT$3:CT$102,Assumptions!$B$3:$B$102,'2-w'!$C8,Assumptions!$G$3:$G$102,{"TRW"}))</f>
        <v>0</v>
      </c>
      <c r="AU8" s="2" cm="1">
        <f t="array" aca="1" ref="AU8" ca="1">SUM(SUMIFS(Assumptions!CU$3:CU$102,Assumptions!$B$3:$B$102,'2-w'!$C8,Assumptions!$G$3:$G$102,{"TRW"}))</f>
        <v>0</v>
      </c>
      <c r="AV8" s="2" cm="1">
        <f t="array" aca="1" ref="AV8" ca="1">SUM(SUMIFS(Assumptions!CV$3:CV$102,Assumptions!$B$3:$B$102,'2-w'!$C8,Assumptions!$G$3:$G$102,{"TRW"}))</f>
        <v>0</v>
      </c>
      <c r="AW8" s="2" cm="1">
        <f t="array" aca="1" ref="AW8" ca="1">SUM(SUMIFS(Assumptions!CW$3:CW$102,Assumptions!$B$3:$B$102,'2-w'!$C8,Assumptions!$G$3:$G$102,{"TRW"}))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ref="D9">SUM(SUMIFS(Assumptions!BD$3:BD$102,Assumptions!$B$3:$B$102,'2-w'!$C9,Assumptions!$G$3:$G$102,{"TRW"}))</f>
        <v>0</v>
      </c>
      <c r="E9" s="2" cm="1">
        <f t="array" ref="E9">SUM(SUMIFS(Assumptions!BE$3:BE$102,Assumptions!$B$3:$B$102,'2-w'!$C9,Assumptions!$G$3:$G$102,{"TRW"}))</f>
        <v>0</v>
      </c>
      <c r="F9" s="2" cm="1">
        <f t="array" ref="F9">SUM(SUMIFS(Assumptions!BF$3:BF$102,Assumptions!$B$3:$B$102,'2-w'!$C9,Assumptions!$G$3:$G$102,{"TRW"}))</f>
        <v>0</v>
      </c>
      <c r="G9" s="2" cm="1">
        <f t="array" ref="G9">SUM(SUMIFS(Assumptions!BG$3:BG$102,Assumptions!$B$3:$B$102,'2-w'!$C9,Assumptions!$G$3:$G$102,{"TRW"}))</f>
        <v>0</v>
      </c>
      <c r="H9" s="2" cm="1">
        <f t="array" ref="H9">SUM(SUMIFS(Assumptions!BH$3:BH$102,Assumptions!$B$3:$B$102,'2-w'!$C9,Assumptions!$G$3:$G$102,{"TRW"}))</f>
        <v>0</v>
      </c>
      <c r="I9" s="2" cm="1">
        <f t="array" ref="I9">SUM(SUMIFS(Assumptions!BI$3:BI$102,Assumptions!$B$3:$B$102,'2-w'!$C9,Assumptions!$G$3:$G$102,{"TRW"}))</f>
        <v>0</v>
      </c>
      <c r="J9" s="2" cm="1">
        <f t="array" ref="J9">SUM(SUMIFS(Assumptions!BJ$3:BJ$102,Assumptions!$B$3:$B$102,'2-w'!$C9,Assumptions!$G$3:$G$102,{"TRW"}))</f>
        <v>0</v>
      </c>
      <c r="K9" s="2" cm="1">
        <f t="array" ref="K9">SUM(SUMIFS(Assumptions!BK$3:BK$102,Assumptions!$B$3:$B$102,'2-w'!$C9,Assumptions!$G$3:$G$102,{"TRW"}))</f>
        <v>0</v>
      </c>
      <c r="L9" s="2" cm="1">
        <f t="array" ref="L9">SUM(SUMIFS(Assumptions!BL$3:BL$102,Assumptions!$B$3:$B$102,'2-w'!$C9,Assumptions!$G$3:$G$102,{"TRW"}))</f>
        <v>0</v>
      </c>
      <c r="M9" s="2" cm="1">
        <f t="array" ref="M9">SUM(SUMIFS(Assumptions!BM$3:BM$102,Assumptions!$B$3:$B$102,'2-w'!$C9,Assumptions!$G$3:$G$102,{"TRW"}))</f>
        <v>0</v>
      </c>
      <c r="N9" s="2" cm="1">
        <f t="array" ref="N9">SUM(SUMIFS(Assumptions!BN$3:BN$102,Assumptions!$B$3:$B$102,'2-w'!$C9,Assumptions!$G$3:$G$102,{"TRW"}))</f>
        <v>0</v>
      </c>
      <c r="O9" s="2" cm="1">
        <f t="array" ref="O9">SUM(SUMIFS(Assumptions!BO$3:BO$102,Assumptions!$B$3:$B$102,'2-w'!$C9,Assumptions!$G$3:$G$102,{"TRW"}))</f>
        <v>0</v>
      </c>
      <c r="P9" s="2" cm="1">
        <f t="array" ref="P9">SUM(SUMIFS(Assumptions!BP$3:BP$102,Assumptions!$B$3:$B$102,'2-w'!$C9,Assumptions!$G$3:$G$102,{"TRW"}))</f>
        <v>0</v>
      </c>
      <c r="Q9" s="2" cm="1">
        <f t="array" ref="Q9">SUM(SUMIFS(Assumptions!BQ$3:BQ$102,Assumptions!$B$3:$B$102,'2-w'!$C9,Assumptions!$G$3:$G$102,{"TRW"}))</f>
        <v>0</v>
      </c>
      <c r="R9" s="2" cm="1">
        <f t="array" ref="R9">SUM(SUMIFS(Assumptions!BR$3:BR$102,Assumptions!$B$3:$B$102,'2-w'!$C9,Assumptions!$G$3:$G$102,{"TRW"}))</f>
        <v>0</v>
      </c>
      <c r="S9" s="2" cm="1">
        <f t="array" ref="S9">SUM(SUMIFS(Assumptions!BS$3:BS$102,Assumptions!$B$3:$B$102,'2-w'!$C9,Assumptions!$G$3:$G$102,{"TRW"}))</f>
        <v>0</v>
      </c>
      <c r="T9" s="2" cm="1">
        <f t="array" ref="T9">SUM(SUMIFS(Assumptions!BT$3:BT$102,Assumptions!$B$3:$B$102,'2-w'!$C9,Assumptions!$G$3:$G$102,{"TRW"}))</f>
        <v>0</v>
      </c>
      <c r="U9" s="2" cm="1">
        <f t="array" ref="U9">SUM(SUMIFS(Assumptions!BU$3:BU$102,Assumptions!$B$3:$B$102,'2-w'!$C9,Assumptions!$G$3:$G$102,{"TRW"}))</f>
        <v>0</v>
      </c>
      <c r="V9" s="2" cm="1">
        <f t="array" ref="V9">SUM(SUMIFS(Assumptions!BV$3:BV$102,Assumptions!$B$3:$B$102,'2-w'!$C9,Assumptions!$G$3:$G$102,{"TRW"}))</f>
        <v>0</v>
      </c>
      <c r="W9" s="2" cm="1">
        <f t="array" ref="W9">SUM(SUMIFS(Assumptions!BW$3:BW$102,Assumptions!$B$3:$B$102,'2-w'!$C9,Assumptions!$G$3:$G$102,{"TRW"}))</f>
        <v>0</v>
      </c>
      <c r="X9" s="2" cm="1">
        <f t="array" ref="X9">SUM(SUMIFS(Assumptions!BX$3:BX$102,Assumptions!$B$3:$B$102,'2-w'!$C9,Assumptions!$G$3:$G$102,{"TRW"}))</f>
        <v>0</v>
      </c>
      <c r="Y9" s="2" cm="1">
        <f t="array" ref="Y9">SUM(SUMIFS(Assumptions!BY$3:BY$102,Assumptions!$B$3:$B$102,'2-w'!$C9,Assumptions!$G$3:$G$102,{"TRW"}))</f>
        <v>0</v>
      </c>
      <c r="Z9" s="2" cm="1">
        <f t="array" ref="Z9">SUM(SUMIFS(Assumptions!BZ$3:BZ$102,Assumptions!$B$3:$B$102,'2-w'!$C9,Assumptions!$G$3:$G$102,{"TRW"}))</f>
        <v>0</v>
      </c>
      <c r="AA9" s="2" cm="1">
        <f t="array" ref="AA9">SUM(SUMIFS(Assumptions!CA$3:CA$102,Assumptions!$B$3:$B$102,'2-w'!$C9,Assumptions!$G$3:$G$102,{"TRW"}))</f>
        <v>0</v>
      </c>
      <c r="AB9" s="2" cm="1">
        <f t="array" ref="AB9">SUM(SUMIFS(Assumptions!CB$3:CB$102,Assumptions!$B$3:$B$102,'2-w'!$C9,Assumptions!$G$3:$G$102,{"TRW"}))</f>
        <v>0</v>
      </c>
      <c r="AC9" s="2" cm="1">
        <f t="array" ref="AC9">SUM(SUMIFS(Assumptions!CC$3:CC$102,Assumptions!$B$3:$B$102,'2-w'!$C9,Assumptions!$G$3:$G$102,{"TRW"}))</f>
        <v>0</v>
      </c>
      <c r="AD9" s="2" cm="1">
        <f t="array" ref="AD9">SUM(SUMIFS(Assumptions!CD$3:CD$102,Assumptions!$B$3:$B$102,'2-w'!$C9,Assumptions!$G$3:$G$102,{"TRW"}))</f>
        <v>0</v>
      </c>
      <c r="AE9" s="2" cm="1">
        <f t="array" ref="AE9">SUM(SUMIFS(Assumptions!CE$3:CE$102,Assumptions!$B$3:$B$102,'2-w'!$C9,Assumptions!$G$3:$G$102,{"TRW"}))</f>
        <v>0</v>
      </c>
      <c r="AF9" s="2" cm="1">
        <f t="array" ref="AF9">SUM(SUMIFS(Assumptions!CF$3:CF$102,Assumptions!$B$3:$B$102,'2-w'!$C9,Assumptions!$G$3:$G$102,{"TRW"}))</f>
        <v>0</v>
      </c>
      <c r="AG9" s="2" cm="1">
        <f t="array" ref="AG9">SUM(SUMIFS(Assumptions!CG$3:CG$102,Assumptions!$B$3:$B$102,'2-w'!$C9,Assumptions!$G$3:$G$102,{"TRW"}))</f>
        <v>0</v>
      </c>
      <c r="AH9" s="2" cm="1">
        <f t="array" ref="AH9">SUM(SUMIFS(Assumptions!CH$3:CH$102,Assumptions!$B$3:$B$102,'2-w'!$C9,Assumptions!$G$3:$G$102,{"TRW"}))</f>
        <v>0</v>
      </c>
      <c r="AI9" s="2" cm="1">
        <f t="array" ref="AI9">SUM(SUMIFS(Assumptions!CI$3:CI$102,Assumptions!$B$3:$B$102,'2-w'!$C9,Assumptions!$G$3:$G$102,{"TRW"}))</f>
        <v>0</v>
      </c>
      <c r="AJ9" s="2" cm="1">
        <f t="array" ref="AJ9">SUM(SUMIFS(Assumptions!CJ$3:CJ$102,Assumptions!$B$3:$B$102,'2-w'!$C9,Assumptions!$G$3:$G$102,{"TRW"}))</f>
        <v>0</v>
      </c>
      <c r="AK9" s="2" cm="1">
        <f t="array" ref="AK9">SUM(SUMIFS(Assumptions!CK$3:CK$102,Assumptions!$B$3:$B$102,'2-w'!$C9,Assumptions!$G$3:$G$102,{"TRW"}))</f>
        <v>0</v>
      </c>
      <c r="AL9" s="2" cm="1">
        <f t="array" ref="AL9">SUM(SUMIFS(Assumptions!CL$3:CL$102,Assumptions!$B$3:$B$102,'2-w'!$C9,Assumptions!$G$3:$G$102,{"TRW"}))</f>
        <v>0</v>
      </c>
      <c r="AM9" s="2" cm="1">
        <f t="array" ref="AM9">SUM(SUMIFS(Assumptions!CM$3:CM$102,Assumptions!$B$3:$B$102,'2-w'!$C9,Assumptions!$G$3:$G$102,{"TRW"}))</f>
        <v>0</v>
      </c>
      <c r="AN9" s="2" cm="1">
        <f t="array" ref="AN9">SUM(SUMIFS(Assumptions!CN$3:CN$102,Assumptions!$B$3:$B$102,'2-w'!$C9,Assumptions!$G$3:$G$102,{"TRW"}))</f>
        <v>0</v>
      </c>
      <c r="AO9" s="2" cm="1">
        <f t="array" ref="AO9">SUM(SUMIFS(Assumptions!CO$3:CO$102,Assumptions!$B$3:$B$102,'2-w'!$C9,Assumptions!$G$3:$G$102,{"TRW"}))</f>
        <v>0</v>
      </c>
      <c r="AP9" s="2" cm="1">
        <f t="array" ref="AP9">SUM(SUMIFS(Assumptions!CP$3:CP$102,Assumptions!$B$3:$B$102,'2-w'!$C9,Assumptions!$G$3:$G$102,{"TRW"}))</f>
        <v>0</v>
      </c>
      <c r="AQ9" s="2" cm="1">
        <f t="array" ref="AQ9">SUM(SUMIFS(Assumptions!CQ$3:CQ$102,Assumptions!$B$3:$B$102,'2-w'!$C9,Assumptions!$G$3:$G$102,{"TRW"}))</f>
        <v>0</v>
      </c>
      <c r="AR9" s="2" cm="1">
        <f t="array" ref="AR9">SUM(SUMIFS(Assumptions!CR$3:CR$102,Assumptions!$B$3:$B$102,'2-w'!$C9,Assumptions!$G$3:$G$102,{"TRW"}))</f>
        <v>0</v>
      </c>
      <c r="AS9" s="2" cm="1">
        <f t="array" ref="AS9">SUM(SUMIFS(Assumptions!CS$3:CS$102,Assumptions!$B$3:$B$102,'2-w'!$C9,Assumptions!$G$3:$G$102,{"TRW"}))</f>
        <v>0</v>
      </c>
      <c r="AT9" s="2" cm="1">
        <f t="array" ref="AT9">SUM(SUMIFS(Assumptions!CT$3:CT$102,Assumptions!$B$3:$B$102,'2-w'!$C9,Assumptions!$G$3:$G$102,{"TRW"}))</f>
        <v>0</v>
      </c>
      <c r="AU9" s="2" cm="1">
        <f t="array" ref="AU9">SUM(SUMIFS(Assumptions!CU$3:CU$102,Assumptions!$B$3:$B$102,'2-w'!$C9,Assumptions!$G$3:$G$102,{"TRW"}))</f>
        <v>0</v>
      </c>
      <c r="AV9" s="2" cm="1">
        <f t="array" ref="AV9">SUM(SUMIFS(Assumptions!CV$3:CV$102,Assumptions!$B$3:$B$102,'2-w'!$C9,Assumptions!$G$3:$G$102,{"TRW"}))</f>
        <v>0</v>
      </c>
      <c r="AW9" s="2" cm="1">
        <f t="array" ref="AW9">SUM(SUMIFS(Assumptions!CW$3:CW$102,Assumptions!$B$3:$B$102,'2-w'!$C9,Assumptions!$G$3:$G$102,{"TRW"}))</f>
        <v>0</v>
      </c>
      <c r="AX9" s="53" t="str">
        <f t="shared" si="2"/>
        <v>zero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ref="D10">SUM(SUMIFS(Assumptions!BD$3:BD$102,Assumptions!$B$3:$B$102,'2-w'!$C10,Assumptions!$G$3:$G$102,{"TRW"}))</f>
        <v>0</v>
      </c>
      <c r="E10" s="2" cm="1">
        <f t="array" ref="E10">SUM(SUMIFS(Assumptions!BE$3:BE$102,Assumptions!$B$3:$B$102,'2-w'!$C10,Assumptions!$G$3:$G$102,{"TRW"}))</f>
        <v>0</v>
      </c>
      <c r="F10" s="2" cm="1">
        <f t="array" ref="F10">SUM(SUMIFS(Assumptions!BF$3:BF$102,Assumptions!$B$3:$B$102,'2-w'!$C10,Assumptions!$G$3:$G$102,{"TRW"}))</f>
        <v>0</v>
      </c>
      <c r="G10" s="2" cm="1">
        <f t="array" ref="G10">SUM(SUMIFS(Assumptions!BG$3:BG$102,Assumptions!$B$3:$B$102,'2-w'!$C10,Assumptions!$G$3:$G$102,{"TRW"}))</f>
        <v>0</v>
      </c>
      <c r="H10" s="2" cm="1">
        <f t="array" ref="H10">SUM(SUMIFS(Assumptions!BH$3:BH$102,Assumptions!$B$3:$B$102,'2-w'!$C10,Assumptions!$G$3:$G$102,{"TRW"}))</f>
        <v>0</v>
      </c>
      <c r="I10" s="2" cm="1">
        <f t="array" ref="I10">SUM(SUMIFS(Assumptions!BI$3:BI$102,Assumptions!$B$3:$B$102,'2-w'!$C10,Assumptions!$G$3:$G$102,{"TRW"}))</f>
        <v>0</v>
      </c>
      <c r="J10" s="2" cm="1">
        <f t="array" ref="J10">SUM(SUMIFS(Assumptions!BJ$3:BJ$102,Assumptions!$B$3:$B$102,'2-w'!$C10,Assumptions!$G$3:$G$102,{"TRW"}))</f>
        <v>0</v>
      </c>
      <c r="K10" s="2" cm="1">
        <f t="array" ref="K10">SUM(SUMIFS(Assumptions!BK$3:BK$102,Assumptions!$B$3:$B$102,'2-w'!$C10,Assumptions!$G$3:$G$102,{"TRW"}))</f>
        <v>0</v>
      </c>
      <c r="L10" s="2" cm="1">
        <f t="array" ref="L10">SUM(SUMIFS(Assumptions!BL$3:BL$102,Assumptions!$B$3:$B$102,'2-w'!$C10,Assumptions!$G$3:$G$102,{"TRW"}))</f>
        <v>0</v>
      </c>
      <c r="M10" s="2" cm="1">
        <f t="array" ref="M10">SUM(SUMIFS(Assumptions!BM$3:BM$102,Assumptions!$B$3:$B$102,'2-w'!$C10,Assumptions!$G$3:$G$102,{"TRW"}))</f>
        <v>0</v>
      </c>
      <c r="N10" s="2" cm="1">
        <f t="array" ref="N10">SUM(SUMIFS(Assumptions!BN$3:BN$102,Assumptions!$B$3:$B$102,'2-w'!$C10,Assumptions!$G$3:$G$102,{"TRW"}))</f>
        <v>0</v>
      </c>
      <c r="O10" s="2" cm="1">
        <f t="array" ref="O10">SUM(SUMIFS(Assumptions!BO$3:BO$102,Assumptions!$B$3:$B$102,'2-w'!$C10,Assumptions!$G$3:$G$102,{"TRW"}))</f>
        <v>0</v>
      </c>
      <c r="P10" s="2" cm="1">
        <f t="array" ref="P10">SUM(SUMIFS(Assumptions!BP$3:BP$102,Assumptions!$B$3:$B$102,'2-w'!$C10,Assumptions!$G$3:$G$102,{"TRW"}))</f>
        <v>0</v>
      </c>
      <c r="Q10" s="2" cm="1">
        <f t="array" ref="Q10">SUM(SUMIFS(Assumptions!BQ$3:BQ$102,Assumptions!$B$3:$B$102,'2-w'!$C10,Assumptions!$G$3:$G$102,{"TRW"}))</f>
        <v>0</v>
      </c>
      <c r="R10" s="2" cm="1">
        <f t="array" ref="R10">SUM(SUMIFS(Assumptions!BR$3:BR$102,Assumptions!$B$3:$B$102,'2-w'!$C10,Assumptions!$G$3:$G$102,{"TRW"}))</f>
        <v>0</v>
      </c>
      <c r="S10" s="2" cm="1">
        <f t="array" ref="S10">SUM(SUMIFS(Assumptions!BS$3:BS$102,Assumptions!$B$3:$B$102,'2-w'!$C10,Assumptions!$G$3:$G$102,{"TRW"}))</f>
        <v>0</v>
      </c>
      <c r="T10" s="2" cm="1">
        <f t="array" ref="T10">SUM(SUMIFS(Assumptions!BT$3:BT$102,Assumptions!$B$3:$B$102,'2-w'!$C10,Assumptions!$G$3:$G$102,{"TRW"}))</f>
        <v>0</v>
      </c>
      <c r="U10" s="2" cm="1">
        <f t="array" ref="U10">SUM(SUMIFS(Assumptions!BU$3:BU$102,Assumptions!$B$3:$B$102,'2-w'!$C10,Assumptions!$G$3:$G$102,{"TRW"}))</f>
        <v>0</v>
      </c>
      <c r="V10" s="2" cm="1">
        <f t="array" ref="V10">SUM(SUMIFS(Assumptions!BV$3:BV$102,Assumptions!$B$3:$B$102,'2-w'!$C10,Assumptions!$G$3:$G$102,{"TRW"}))</f>
        <v>0</v>
      </c>
      <c r="W10" s="2" cm="1">
        <f t="array" ref="W10">SUM(SUMIFS(Assumptions!BW$3:BW$102,Assumptions!$B$3:$B$102,'2-w'!$C10,Assumptions!$G$3:$G$102,{"TRW"}))</f>
        <v>0</v>
      </c>
      <c r="X10" s="2" cm="1">
        <f t="array" ref="X10">SUM(SUMIFS(Assumptions!BX$3:BX$102,Assumptions!$B$3:$B$102,'2-w'!$C10,Assumptions!$G$3:$G$102,{"TRW"}))</f>
        <v>0</v>
      </c>
      <c r="Y10" s="2" cm="1">
        <f t="array" ref="Y10">SUM(SUMIFS(Assumptions!BY$3:BY$102,Assumptions!$B$3:$B$102,'2-w'!$C10,Assumptions!$G$3:$G$102,{"TRW"}))</f>
        <v>0</v>
      </c>
      <c r="Z10" s="2" cm="1">
        <f t="array" ref="Z10">SUM(SUMIFS(Assumptions!BZ$3:BZ$102,Assumptions!$B$3:$B$102,'2-w'!$C10,Assumptions!$G$3:$G$102,{"TRW"}))</f>
        <v>0</v>
      </c>
      <c r="AA10" s="2" cm="1">
        <f t="array" ref="AA10">SUM(SUMIFS(Assumptions!CA$3:CA$102,Assumptions!$B$3:$B$102,'2-w'!$C10,Assumptions!$G$3:$G$102,{"TRW"}))</f>
        <v>0</v>
      </c>
      <c r="AB10" s="2" cm="1">
        <f t="array" ref="AB10">SUM(SUMIFS(Assumptions!CB$3:CB$102,Assumptions!$B$3:$B$102,'2-w'!$C10,Assumptions!$G$3:$G$102,{"TRW"}))</f>
        <v>0</v>
      </c>
      <c r="AC10" s="2" cm="1">
        <f t="array" ref="AC10">SUM(SUMIFS(Assumptions!CC$3:CC$102,Assumptions!$B$3:$B$102,'2-w'!$C10,Assumptions!$G$3:$G$102,{"TRW"}))</f>
        <v>0</v>
      </c>
      <c r="AD10" s="2" cm="1">
        <f t="array" ref="AD10">SUM(SUMIFS(Assumptions!CD$3:CD$102,Assumptions!$B$3:$B$102,'2-w'!$C10,Assumptions!$G$3:$G$102,{"TRW"}))</f>
        <v>0</v>
      </c>
      <c r="AE10" s="2" cm="1">
        <f t="array" ref="AE10">SUM(SUMIFS(Assumptions!CE$3:CE$102,Assumptions!$B$3:$B$102,'2-w'!$C10,Assumptions!$G$3:$G$102,{"TRW"}))</f>
        <v>0</v>
      </c>
      <c r="AF10" s="2" cm="1">
        <f t="array" ref="AF10">SUM(SUMIFS(Assumptions!CF$3:CF$102,Assumptions!$B$3:$B$102,'2-w'!$C10,Assumptions!$G$3:$G$102,{"TRW"}))</f>
        <v>0</v>
      </c>
      <c r="AG10" s="2" cm="1">
        <f t="array" ref="AG10">SUM(SUMIFS(Assumptions!CG$3:CG$102,Assumptions!$B$3:$B$102,'2-w'!$C10,Assumptions!$G$3:$G$102,{"TRW"}))</f>
        <v>0</v>
      </c>
      <c r="AH10" s="2" cm="1">
        <f t="array" ref="AH10">SUM(SUMIFS(Assumptions!CH$3:CH$102,Assumptions!$B$3:$B$102,'2-w'!$C10,Assumptions!$G$3:$G$102,{"TRW"}))</f>
        <v>0</v>
      </c>
      <c r="AI10" s="2" cm="1">
        <f t="array" ref="AI10">SUM(SUMIFS(Assumptions!CI$3:CI$102,Assumptions!$B$3:$B$102,'2-w'!$C10,Assumptions!$G$3:$G$102,{"TRW"}))</f>
        <v>0</v>
      </c>
      <c r="AJ10" s="2" cm="1">
        <f t="array" ref="AJ10">SUM(SUMIFS(Assumptions!CJ$3:CJ$102,Assumptions!$B$3:$B$102,'2-w'!$C10,Assumptions!$G$3:$G$102,{"TRW"}))</f>
        <v>0</v>
      </c>
      <c r="AK10" s="2" cm="1">
        <f t="array" ref="AK10">SUM(SUMIFS(Assumptions!CK$3:CK$102,Assumptions!$B$3:$B$102,'2-w'!$C10,Assumptions!$G$3:$G$102,{"TRW"}))</f>
        <v>0</v>
      </c>
      <c r="AL10" s="2" cm="1">
        <f t="array" ref="AL10">SUM(SUMIFS(Assumptions!CL$3:CL$102,Assumptions!$B$3:$B$102,'2-w'!$C10,Assumptions!$G$3:$G$102,{"TRW"}))</f>
        <v>0</v>
      </c>
      <c r="AM10" s="2" cm="1">
        <f t="array" ref="AM10">SUM(SUMIFS(Assumptions!CM$3:CM$102,Assumptions!$B$3:$B$102,'2-w'!$C10,Assumptions!$G$3:$G$102,{"TRW"}))</f>
        <v>0</v>
      </c>
      <c r="AN10" s="2" cm="1">
        <f t="array" ref="AN10">SUM(SUMIFS(Assumptions!CN$3:CN$102,Assumptions!$B$3:$B$102,'2-w'!$C10,Assumptions!$G$3:$G$102,{"TRW"}))</f>
        <v>0</v>
      </c>
      <c r="AO10" s="2" cm="1">
        <f t="array" ref="AO10">SUM(SUMIFS(Assumptions!CO$3:CO$102,Assumptions!$B$3:$B$102,'2-w'!$C10,Assumptions!$G$3:$G$102,{"TRW"}))</f>
        <v>0</v>
      </c>
      <c r="AP10" s="2" cm="1">
        <f t="array" ref="AP10">SUM(SUMIFS(Assumptions!CP$3:CP$102,Assumptions!$B$3:$B$102,'2-w'!$C10,Assumptions!$G$3:$G$102,{"TRW"}))</f>
        <v>0</v>
      </c>
      <c r="AQ10" s="2" cm="1">
        <f t="array" ref="AQ10">SUM(SUMIFS(Assumptions!CQ$3:CQ$102,Assumptions!$B$3:$B$102,'2-w'!$C10,Assumptions!$G$3:$G$102,{"TRW"}))</f>
        <v>0</v>
      </c>
      <c r="AR10" s="2" cm="1">
        <f t="array" ref="AR10">SUM(SUMIFS(Assumptions!CR$3:CR$102,Assumptions!$B$3:$B$102,'2-w'!$C10,Assumptions!$G$3:$G$102,{"TRW"}))</f>
        <v>0</v>
      </c>
      <c r="AS10" s="2" cm="1">
        <f t="array" ref="AS10">SUM(SUMIFS(Assumptions!CS$3:CS$102,Assumptions!$B$3:$B$102,'2-w'!$C10,Assumptions!$G$3:$G$102,{"TRW"}))</f>
        <v>0</v>
      </c>
      <c r="AT10" s="2" cm="1">
        <f t="array" ref="AT10">SUM(SUMIFS(Assumptions!CT$3:CT$102,Assumptions!$B$3:$B$102,'2-w'!$C10,Assumptions!$G$3:$G$102,{"TRW"}))</f>
        <v>0</v>
      </c>
      <c r="AU10" s="2" cm="1">
        <f t="array" ref="AU10">SUM(SUMIFS(Assumptions!CU$3:CU$102,Assumptions!$B$3:$B$102,'2-w'!$C10,Assumptions!$G$3:$G$102,{"TRW"}))</f>
        <v>0</v>
      </c>
      <c r="AV10" s="2" cm="1">
        <f t="array" ref="AV10">SUM(SUMIFS(Assumptions!CV$3:CV$102,Assumptions!$B$3:$B$102,'2-w'!$C10,Assumptions!$G$3:$G$102,{"TRW"}))</f>
        <v>0</v>
      </c>
      <c r="AW10" s="2" cm="1">
        <f t="array" ref="AW10">SUM(SUMIFS(Assumptions!CW$3:CW$102,Assumptions!$B$3:$B$102,'2-w'!$C10,Assumptions!$G$3:$G$102,{"TRW"}))</f>
        <v>0</v>
      </c>
      <c r="AX10" s="53" t="str">
        <f t="shared" si="2"/>
        <v>zero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t="shared" ref="D11:AW11" ca="1" si="5">SUM(D$4:D$10)/SUM($D$4:$AJ$10)</f>
        <v>5.3326572074703031E-2</v>
      </c>
      <c r="E11" s="42">
        <f t="shared" ca="1" si="5"/>
        <v>9.2600900325736243E-2</v>
      </c>
      <c r="F11" s="42">
        <f t="shared" ca="1" si="5"/>
        <v>2.1801568519953241E-3</v>
      </c>
      <c r="G11" s="42">
        <f t="shared" ca="1" si="5"/>
        <v>7.1496961960175654E-5</v>
      </c>
      <c r="H11" s="42">
        <f t="shared" ca="1" si="5"/>
        <v>6.4638155643270014E-5</v>
      </c>
      <c r="I11" s="42">
        <f t="shared" ca="1" si="5"/>
        <v>2.7662829461000681E-4</v>
      </c>
      <c r="J11" s="42">
        <f t="shared" ca="1" si="5"/>
        <v>2.5814318903368207E-3</v>
      </c>
      <c r="K11" s="42">
        <f t="shared" ca="1" si="5"/>
        <v>0.34499656485650776</v>
      </c>
      <c r="L11" s="42">
        <f t="shared" ca="1" si="5"/>
        <v>1.0802301031065354E-4</v>
      </c>
      <c r="M11" s="42">
        <f t="shared" ca="1" si="5"/>
        <v>2.5607908965287365E-4</v>
      </c>
      <c r="N11" s="42">
        <f t="shared" ca="1" si="5"/>
        <v>3.3981028604752775E-4</v>
      </c>
      <c r="O11" s="42">
        <f t="shared" ca="1" si="5"/>
        <v>7.4612147496862702E-4</v>
      </c>
      <c r="P11" s="42">
        <f t="shared" ca="1" si="5"/>
        <v>1.166921610910747E-4</v>
      </c>
      <c r="Q11" s="42">
        <f t="shared" ca="1" si="5"/>
        <v>3.9911411678507125E-4</v>
      </c>
      <c r="R11" s="42">
        <f t="shared" ca="1" si="5"/>
        <v>5.3947187405841622E-6</v>
      </c>
      <c r="S11" s="42">
        <f t="shared" ca="1" si="5"/>
        <v>0.11435623008996458</v>
      </c>
      <c r="T11" s="42">
        <f t="shared" ca="1" si="5"/>
        <v>3.3281341529365419E-5</v>
      </c>
      <c r="U11" s="42">
        <f t="shared" ca="1" si="5"/>
        <v>3.3710143394598903E-4</v>
      </c>
      <c r="V11" s="42">
        <f t="shared" ca="1" si="5"/>
        <v>3.036042615136081E-3</v>
      </c>
      <c r="W11" s="42">
        <f t="shared" ca="1" si="5"/>
        <v>4.9082991446897364E-3</v>
      </c>
      <c r="X11" s="42">
        <f t="shared" ca="1" si="5"/>
        <v>7.0328839872942838E-3</v>
      </c>
      <c r="Y11" s="42">
        <f t="shared" ca="1" si="5"/>
        <v>3.1248097542045886E-3</v>
      </c>
      <c r="Z11" s="42">
        <f t="shared" ca="1" si="5"/>
        <v>2.8803434511407122E-5</v>
      </c>
      <c r="AA11" s="42">
        <f t="shared" ca="1" si="5"/>
        <v>5.5847913646282256E-4</v>
      </c>
      <c r="AB11" s="42">
        <f t="shared" ca="1" si="5"/>
        <v>0.33702171922702595</v>
      </c>
      <c r="AC11" s="42">
        <f t="shared" ca="1" si="5"/>
        <v>3.458063548103798E-3</v>
      </c>
      <c r="AD11" s="42">
        <f t="shared" ca="1" si="5"/>
        <v>3.038245121853501E-3</v>
      </c>
      <c r="AE11" s="42">
        <f t="shared" ca="1" si="5"/>
        <v>2.3588837334892837E-2</v>
      </c>
      <c r="AF11" s="42">
        <f t="shared" ca="1" si="5"/>
        <v>2.7995992435161595E-4</v>
      </c>
      <c r="AG11" s="42">
        <f t="shared" ca="1" si="5"/>
        <v>1.9634984413113182E-4</v>
      </c>
      <c r="AH11" s="42">
        <f t="shared" ca="1" si="5"/>
        <v>1.0312259366266698E-4</v>
      </c>
      <c r="AI11" s="42">
        <f t="shared" ca="1" si="5"/>
        <v>2.9598854100076796E-4</v>
      </c>
      <c r="AJ11" s="42">
        <f t="shared" ca="1" si="5"/>
        <v>5.3215865814959149E-4</v>
      </c>
      <c r="AK11" s="42">
        <f t="shared" ca="1" si="5"/>
        <v>1.7246087049051765E-4</v>
      </c>
      <c r="AL11" s="42">
        <f t="shared" ca="1" si="5"/>
        <v>1.1243110690085685E-4</v>
      </c>
      <c r="AM11" s="42">
        <f t="shared" ca="1" si="5"/>
        <v>0</v>
      </c>
      <c r="AN11" s="42">
        <f t="shared" ca="1" si="5"/>
        <v>0</v>
      </c>
      <c r="AO11" s="42">
        <f t="shared" ca="1" si="5"/>
        <v>0</v>
      </c>
      <c r="AP11" s="42">
        <f t="shared" ca="1" si="5"/>
        <v>0</v>
      </c>
      <c r="AQ11" s="42">
        <f t="shared" ca="1" si="5"/>
        <v>0</v>
      </c>
      <c r="AR11" s="42">
        <f t="shared" ca="1" si="5"/>
        <v>0</v>
      </c>
      <c r="AS11" s="42">
        <f t="shared" ca="1" si="5"/>
        <v>0</v>
      </c>
      <c r="AT11" s="42">
        <f t="shared" ca="1" si="5"/>
        <v>0</v>
      </c>
      <c r="AU11" s="42">
        <f t="shared" ca="1" si="5"/>
        <v>0</v>
      </c>
      <c r="AV11" s="42">
        <f t="shared" ca="1" si="5"/>
        <v>0</v>
      </c>
      <c r="AW11" s="42">
        <f t="shared" ca="1" si="5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SUM(D13:AJ13)</f>
        <v>671.05600000000004</v>
      </c>
      <c r="D13" s="40">
        <f t="shared" ref="D13:AJ13" ca="1" si="6">SUM(D19:D25)</f>
        <v>35.426000000000002</v>
      </c>
      <c r="E13" s="40">
        <f t="shared" ref="E13:U13" ca="1" si="7">SUM(E19:E25)</f>
        <v>61.515999999999998</v>
      </c>
      <c r="F13" s="40">
        <f t="shared" ca="1" si="7"/>
        <v>1.448</v>
      </c>
      <c r="G13" s="40">
        <f t="shared" ca="1" si="7"/>
        <v>4.7E-2</v>
      </c>
      <c r="H13" s="40">
        <f t="shared" ca="1" si="7"/>
        <v>4.2999999999999997E-2</v>
      </c>
      <c r="I13" s="40">
        <f t="shared" ca="1" si="7"/>
        <v>0.184</v>
      </c>
      <c r="J13" s="40">
        <f t="shared" ca="1" si="7"/>
        <v>1.7150000000000001</v>
      </c>
      <c r="K13" s="40">
        <f t="shared" ca="1" si="7"/>
        <v>229.18700000000001</v>
      </c>
      <c r="L13" s="40">
        <f t="shared" ca="1" si="7"/>
        <v>7.1999999999999995E-2</v>
      </c>
      <c r="M13" s="40">
        <f t="shared" ca="1" si="7"/>
        <v>0.17</v>
      </c>
      <c r="N13" s="40">
        <f t="shared" ca="1" si="7"/>
        <v>0.22600000000000001</v>
      </c>
      <c r="O13" s="40">
        <f t="shared" ca="1" si="7"/>
        <v>0.496</v>
      </c>
      <c r="P13" s="40">
        <f t="shared" ca="1" si="7"/>
        <v>7.8E-2</v>
      </c>
      <c r="Q13" s="40">
        <f t="shared" ca="1" si="7"/>
        <v>0.26500000000000001</v>
      </c>
      <c r="R13" s="40">
        <f t="shared" ca="1" si="7"/>
        <v>4.0000000000000001E-3</v>
      </c>
      <c r="S13" s="40">
        <f t="shared" ca="1" si="7"/>
        <v>75.968999999999994</v>
      </c>
      <c r="T13" s="40">
        <f t="shared" ca="1" si="7"/>
        <v>2.1999999999999999E-2</v>
      </c>
      <c r="U13" s="40">
        <f t="shared" ca="1" si="7"/>
        <v>0.224</v>
      </c>
      <c r="V13" s="1">
        <f t="shared" ca="1" si="6"/>
        <v>3.53</v>
      </c>
      <c r="W13" s="1">
        <f t="shared" ca="1" si="6"/>
        <v>3.2610000000000001</v>
      </c>
      <c r="X13" s="1">
        <f t="shared" ca="1" si="6"/>
        <v>6.5410000000000004</v>
      </c>
      <c r="Y13" s="1">
        <f t="shared" ca="1" si="6"/>
        <v>2.0760000000000001</v>
      </c>
      <c r="Z13" s="1">
        <f t="shared" ca="1" si="6"/>
        <v>3.3000000000000002E-2</v>
      </c>
      <c r="AA13" s="1">
        <f t="shared" ca="1" si="6"/>
        <v>0.371</v>
      </c>
      <c r="AB13" s="1">
        <f t="shared" ca="1" si="6"/>
        <v>223.88900000000001</v>
      </c>
      <c r="AC13" s="1">
        <f t="shared" ca="1" si="6"/>
        <v>5.36</v>
      </c>
      <c r="AD13" s="1">
        <f t="shared" ca="1" si="6"/>
        <v>2.0179999999999998</v>
      </c>
      <c r="AE13" s="1">
        <f t="shared" ca="1" si="6"/>
        <v>15.67</v>
      </c>
      <c r="AF13" s="1">
        <f t="shared" ca="1" si="6"/>
        <v>0.2</v>
      </c>
      <c r="AG13" s="1">
        <f t="shared" ca="1" si="6"/>
        <v>0.13</v>
      </c>
      <c r="AH13" s="1">
        <f t="shared" ca="1" si="6"/>
        <v>6.9000000000000006E-2</v>
      </c>
      <c r="AI13" s="1">
        <f t="shared" ca="1" si="6"/>
        <v>0.19700000000000001</v>
      </c>
      <c r="AJ13" s="1">
        <f t="shared" ca="1" si="6"/>
        <v>0.61899999999999999</v>
      </c>
      <c r="AK13" s="1">
        <f t="shared" ref="AK13:AW13" ca="1" si="8">SUM(AK19:AK25)</f>
        <v>0.2</v>
      </c>
      <c r="AL13" s="1">
        <f t="shared" ca="1" si="8"/>
        <v>0.13100000000000001</v>
      </c>
      <c r="AM13" s="1">
        <f t="shared" ca="1" si="8"/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t="shared" ref="D14:AJ14" ca="1" si="9">D13/SUM($D$13:$AJ$13)</f>
        <v>5.2791421282277484E-2</v>
      </c>
      <c r="E14" s="42">
        <f t="shared" ref="E14:U14" ca="1" si="10">E13/SUM($D$13:$AJ$13)</f>
        <v>9.1670441811115611E-2</v>
      </c>
      <c r="F14" s="42">
        <f t="shared" ca="1" si="10"/>
        <v>2.1577930902935073E-3</v>
      </c>
      <c r="G14" s="42">
        <f t="shared" ca="1" si="10"/>
        <v>7.0038864118642847E-5</v>
      </c>
      <c r="H14" s="42">
        <f t="shared" ca="1" si="10"/>
        <v>6.4078109725566854E-5</v>
      </c>
      <c r="I14" s="42">
        <f t="shared" ca="1" si="10"/>
        <v>2.7419470208149544E-4</v>
      </c>
      <c r="J14" s="42">
        <f t="shared" ca="1" si="10"/>
        <v>2.5556734460313296E-3</v>
      </c>
      <c r="K14" s="42">
        <f t="shared" ca="1" si="10"/>
        <v>0.34153185427147659</v>
      </c>
      <c r="L14" s="42">
        <f t="shared" ca="1" si="10"/>
        <v>1.0729357907536777E-4</v>
      </c>
      <c r="M14" s="42">
        <f t="shared" ca="1" si="10"/>
        <v>2.5333206170572949E-4</v>
      </c>
      <c r="N14" s="42">
        <f t="shared" ca="1" si="10"/>
        <v>3.3678262320879332E-4</v>
      </c>
      <c r="O14" s="42">
        <f t="shared" ca="1" si="10"/>
        <v>7.3913354474142243E-4</v>
      </c>
      <c r="P14" s="42">
        <f t="shared" ca="1" si="10"/>
        <v>1.1623471066498175E-4</v>
      </c>
      <c r="Q14" s="42">
        <f t="shared" ca="1" si="10"/>
        <v>3.9489997854128418E-4</v>
      </c>
      <c r="R14" s="42">
        <f t="shared" ca="1" si="10"/>
        <v>5.9607543930759871E-6</v>
      </c>
      <c r="S14" s="42">
        <f t="shared" ca="1" si="10"/>
        <v>0.11320813762189741</v>
      </c>
      <c r="T14" s="42">
        <f t="shared" ca="1" si="10"/>
        <v>3.2784149161917928E-5</v>
      </c>
      <c r="U14" s="42">
        <f t="shared" ca="1" si="10"/>
        <v>3.3380224601225529E-4</v>
      </c>
      <c r="V14" s="42">
        <f t="shared" ca="1" si="9"/>
        <v>5.2603657518895588E-3</v>
      </c>
      <c r="W14" s="42">
        <f t="shared" ca="1" si="9"/>
        <v>4.8595050189551986E-3</v>
      </c>
      <c r="X14" s="42">
        <f t="shared" ca="1" si="9"/>
        <v>9.7473236212775091E-3</v>
      </c>
      <c r="Y14" s="42">
        <f t="shared" ca="1" si="9"/>
        <v>3.0936315300064375E-3</v>
      </c>
      <c r="Z14" s="42">
        <f t="shared" ca="1" si="9"/>
        <v>4.9176223742876899E-5</v>
      </c>
      <c r="AA14" s="42">
        <f t="shared" ca="1" si="9"/>
        <v>5.5285996995779784E-4</v>
      </c>
      <c r="AB14" s="42">
        <f t="shared" ca="1" si="9"/>
        <v>0.33363683507784747</v>
      </c>
      <c r="AC14" s="42">
        <f t="shared" ca="1" si="9"/>
        <v>7.987410886721823E-3</v>
      </c>
      <c r="AD14" s="42">
        <f t="shared" ca="1" si="9"/>
        <v>3.0072005913068353E-3</v>
      </c>
      <c r="AE14" s="42">
        <f t="shared" ca="1" si="9"/>
        <v>2.3351255334875181E-2</v>
      </c>
      <c r="AF14" s="42">
        <f t="shared" ca="1" si="9"/>
        <v>2.9803771965379941E-4</v>
      </c>
      <c r="AG14" s="42">
        <f t="shared" ca="1" si="9"/>
        <v>1.9372451777496959E-4</v>
      </c>
      <c r="AH14" s="42">
        <f t="shared" ca="1" si="9"/>
        <v>1.0282301328056079E-4</v>
      </c>
      <c r="AI14" s="42">
        <f t="shared" ca="1" si="9"/>
        <v>2.9356715385899239E-4</v>
      </c>
      <c r="AJ14" s="42">
        <f t="shared" ca="1" si="9"/>
        <v>9.2242674232850905E-4</v>
      </c>
      <c r="AK14" s="42">
        <f t="shared" ref="AK14:AW14" ca="1" si="11">AK13/SUM($D$13:$AJ$13)</f>
        <v>2.9803771965379941E-4</v>
      </c>
      <c r="AL14" s="42">
        <f t="shared" ca="1" si="11"/>
        <v>1.9521470637323861E-4</v>
      </c>
      <c r="AM14" s="42">
        <f t="shared" ca="1" si="11"/>
        <v>0</v>
      </c>
      <c r="AN14" s="42">
        <f t="shared" ca="1" si="11"/>
        <v>0</v>
      </c>
      <c r="AO14" s="42">
        <f t="shared" ca="1" si="11"/>
        <v>0</v>
      </c>
      <c r="AP14" s="42">
        <f t="shared" ca="1" si="11"/>
        <v>0</v>
      </c>
      <c r="AQ14" s="42">
        <f t="shared" ca="1" si="11"/>
        <v>0</v>
      </c>
      <c r="AR14" s="42">
        <f t="shared" ca="1" si="11"/>
        <v>0</v>
      </c>
      <c r="AS14" s="42">
        <f t="shared" ca="1" si="11"/>
        <v>0</v>
      </c>
      <c r="AT14" s="42">
        <f t="shared" ca="1" si="11"/>
        <v>0</v>
      </c>
      <c r="AU14" s="42">
        <f t="shared" ca="1" si="11"/>
        <v>0</v>
      </c>
      <c r="AV14" s="42">
        <f t="shared" ca="1" si="11"/>
        <v>0</v>
      </c>
      <c r="AW14" s="42">
        <f t="shared" ca="1" si="11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IFERROR(D11/D14,"")</f>
        <v>1.0101370787038311</v>
      </c>
      <c r="E17" s="1">
        <f t="shared" ref="E17:U17" ca="1" si="12">IFERROR(E11/E14,"")</f>
        <v>1.0101500385100992</v>
      </c>
      <c r="F17" s="1">
        <f t="shared" ca="1" si="12"/>
        <v>1.0103641826468055</v>
      </c>
      <c r="G17" s="1">
        <f t="shared" ca="1" si="12"/>
        <v>1.0208184107478222</v>
      </c>
      <c r="H17" s="1">
        <f t="shared" ca="1" si="12"/>
        <v>1.0087400505430282</v>
      </c>
      <c r="I17" s="1">
        <f t="shared" ca="1" si="12"/>
        <v>1.0088754177598518</v>
      </c>
      <c r="J17" s="1">
        <f t="shared" ca="1" si="12"/>
        <v>1.010078926298464</v>
      </c>
      <c r="K17" s="1">
        <f t="shared" ca="1" si="12"/>
        <v>1.0101446191378598</v>
      </c>
      <c r="L17" s="1">
        <f t="shared" ca="1" si="12"/>
        <v>1.0067984612086935</v>
      </c>
      <c r="M17" s="1">
        <f t="shared" ca="1" si="12"/>
        <v>1.0108435858005811</v>
      </c>
      <c r="N17" s="1">
        <f t="shared" ca="1" si="12"/>
        <v>1.0089899615659725</v>
      </c>
      <c r="O17" s="1">
        <f t="shared" ca="1" si="12"/>
        <v>1.0094542187631996</v>
      </c>
      <c r="P17" s="1">
        <f t="shared" ca="1" si="12"/>
        <v>1.0039355750401568</v>
      </c>
      <c r="Q17" s="1">
        <f t="shared" ca="1" si="12"/>
        <v>1.0106714066163123</v>
      </c>
      <c r="R17" s="1">
        <f t="shared" ca="1" si="12"/>
        <v>0.90503959479536145</v>
      </c>
      <c r="S17" s="1">
        <f t="shared" ca="1" si="12"/>
        <v>1.010141430573672</v>
      </c>
      <c r="T17" s="1">
        <f t="shared" ca="1" si="12"/>
        <v>1.0151656327877201</v>
      </c>
      <c r="U17" s="1">
        <f t="shared" ca="1" si="12"/>
        <v>1.0098836600806234</v>
      </c>
      <c r="V17" s="1">
        <f t="shared" ref="V17:AW17" ca="1" si="13">IFERROR(V11/V14,"")</f>
        <v>0.57715428134355751</v>
      </c>
      <c r="W17" s="1">
        <f t="shared" ca="1" si="13"/>
        <v>1.0100409662186189</v>
      </c>
      <c r="X17" s="1">
        <f t="shared" ca="1" si="13"/>
        <v>0.72151949197030318</v>
      </c>
      <c r="Y17" s="1">
        <f t="shared" ca="1" si="13"/>
        <v>1.0100781957695157</v>
      </c>
      <c r="Z17" s="1">
        <f t="shared" ca="1" si="13"/>
        <v>0.58571871362081263</v>
      </c>
      <c r="AA17" s="1">
        <f t="shared" ca="1" si="13"/>
        <v>1.0101638150894767</v>
      </c>
      <c r="AB17" s="1">
        <f t="shared" ca="1" si="13"/>
        <v>1.0101454149940869</v>
      </c>
      <c r="AC17" s="1">
        <f t="shared" ca="1" si="13"/>
        <v>0.43293923364483999</v>
      </c>
      <c r="AD17" s="1">
        <f t="shared" ca="1" si="13"/>
        <v>1.0103233986573454</v>
      </c>
      <c r="AE17" s="1">
        <f t="shared" ca="1" si="13"/>
        <v>1.0101742710021602</v>
      </c>
      <c r="AF17" s="1">
        <f t="shared" ca="1" si="13"/>
        <v>0.93934393497848989</v>
      </c>
      <c r="AG17" s="1">
        <f t="shared" ca="1" si="13"/>
        <v>1.0135518538712369</v>
      </c>
      <c r="AH17" s="1">
        <f t="shared" ca="1" si="13"/>
        <v>1.0029135538100673</v>
      </c>
      <c r="AI17" s="1">
        <f t="shared" ca="1" si="13"/>
        <v>1.0082481541614789</v>
      </c>
      <c r="AJ17" s="1">
        <f t="shared" ca="1" si="13"/>
        <v>0.57691156785659492</v>
      </c>
      <c r="AK17" s="1">
        <f t="shared" ca="1" si="13"/>
        <v>0.57865450953942399</v>
      </c>
      <c r="AL17" s="1">
        <f t="shared" ca="1" si="13"/>
        <v>0.57593564024779687</v>
      </c>
      <c r="AM17" s="1" t="str">
        <f t="shared" ca="1" si="13"/>
        <v/>
      </c>
      <c r="AN17" s="1" t="str">
        <f t="shared" ca="1" si="13"/>
        <v/>
      </c>
      <c r="AO17" s="1" t="str">
        <f t="shared" ca="1" si="13"/>
        <v/>
      </c>
      <c r="AP17" s="1" t="str">
        <f t="shared" ca="1" si="13"/>
        <v/>
      </c>
      <c r="AQ17" s="1" t="str">
        <f t="shared" ca="1" si="13"/>
        <v/>
      </c>
      <c r="AR17" s="1" t="str">
        <f t="shared" ca="1" si="13"/>
        <v/>
      </c>
      <c r="AS17" s="1" t="str">
        <f t="shared" ca="1" si="13"/>
        <v/>
      </c>
      <c r="AT17" s="1" t="str">
        <f t="shared" ca="1" si="13"/>
        <v/>
      </c>
      <c r="AU17" s="1" t="str">
        <f t="shared" ca="1" si="13"/>
        <v/>
      </c>
      <c r="AV17" s="1" t="str">
        <f t="shared" ca="1" si="13"/>
        <v/>
      </c>
      <c r="AW17" s="1" t="str">
        <f t="shared" ca="1" si="13"/>
        <v/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4">C4</f>
        <v>TRABDS</v>
      </c>
      <c r="D19" s="40">
        <f ca="1">ROUND(D4*D28/D36,3)</f>
        <v>0</v>
      </c>
      <c r="E19" s="40">
        <f t="shared" ref="E19:U19" ca="1" si="15">ROUND(E4*E28/E36,3)</f>
        <v>0</v>
      </c>
      <c r="F19" s="40">
        <f t="shared" ca="1" si="15"/>
        <v>0</v>
      </c>
      <c r="G19" s="40">
        <f t="shared" ca="1" si="15"/>
        <v>0</v>
      </c>
      <c r="H19" s="40">
        <f t="shared" ca="1" si="15"/>
        <v>0</v>
      </c>
      <c r="I19" s="40">
        <f t="shared" ca="1" si="15"/>
        <v>0</v>
      </c>
      <c r="J19" s="40">
        <f t="shared" ca="1" si="15"/>
        <v>0</v>
      </c>
      <c r="K19" s="40">
        <f t="shared" ca="1" si="15"/>
        <v>0</v>
      </c>
      <c r="L19" s="40">
        <f t="shared" ca="1" si="15"/>
        <v>0</v>
      </c>
      <c r="M19" s="40">
        <f t="shared" ca="1" si="15"/>
        <v>0</v>
      </c>
      <c r="N19" s="40">
        <f t="shared" ca="1" si="15"/>
        <v>0</v>
      </c>
      <c r="O19" s="40">
        <f t="shared" ca="1" si="15"/>
        <v>0</v>
      </c>
      <c r="P19" s="40">
        <f t="shared" ca="1" si="15"/>
        <v>0</v>
      </c>
      <c r="Q19" s="40">
        <f t="shared" ca="1" si="15"/>
        <v>0</v>
      </c>
      <c r="R19" s="40">
        <f t="shared" ca="1" si="15"/>
        <v>0</v>
      </c>
      <c r="S19" s="40">
        <f t="shared" ca="1" si="15"/>
        <v>0</v>
      </c>
      <c r="T19" s="40">
        <f t="shared" ca="1" si="15"/>
        <v>0</v>
      </c>
      <c r="U19" s="40">
        <f t="shared" ca="1" si="15"/>
        <v>0</v>
      </c>
      <c r="V19" s="40">
        <f t="shared" ref="V19:AW19" ca="1" si="16">ROUND(V4*V28/V36,3)</f>
        <v>0</v>
      </c>
      <c r="W19" s="40">
        <f t="shared" ca="1" si="16"/>
        <v>0</v>
      </c>
      <c r="X19" s="40">
        <f t="shared" ca="1" si="16"/>
        <v>0</v>
      </c>
      <c r="Y19" s="40">
        <f t="shared" ca="1" si="16"/>
        <v>0</v>
      </c>
      <c r="Z19" s="40">
        <f t="shared" ca="1" si="16"/>
        <v>0</v>
      </c>
      <c r="AA19" s="40">
        <f t="shared" ca="1" si="16"/>
        <v>0</v>
      </c>
      <c r="AB19" s="40">
        <f t="shared" ca="1" si="16"/>
        <v>0</v>
      </c>
      <c r="AC19" s="40">
        <f t="shared" ca="1" si="16"/>
        <v>0</v>
      </c>
      <c r="AD19" s="40">
        <f t="shared" ca="1" si="16"/>
        <v>0</v>
      </c>
      <c r="AE19" s="40">
        <f t="shared" ca="1" si="16"/>
        <v>0</v>
      </c>
      <c r="AF19" s="40">
        <f t="shared" ca="1" si="16"/>
        <v>0</v>
      </c>
      <c r="AG19" s="40">
        <f t="shared" ca="1" si="16"/>
        <v>0</v>
      </c>
      <c r="AH19" s="40">
        <f t="shared" ca="1" si="16"/>
        <v>0</v>
      </c>
      <c r="AI19" s="40">
        <f t="shared" ca="1" si="16"/>
        <v>0</v>
      </c>
      <c r="AJ19" s="40">
        <f t="shared" ca="1" si="16"/>
        <v>0</v>
      </c>
      <c r="AK19" s="40">
        <f t="shared" ca="1" si="16"/>
        <v>0</v>
      </c>
      <c r="AL19" s="40">
        <f t="shared" ca="1" si="16"/>
        <v>0</v>
      </c>
      <c r="AM19" s="40">
        <f t="shared" ca="1" si="16"/>
        <v>0</v>
      </c>
      <c r="AN19" s="40">
        <f t="shared" ca="1" si="16"/>
        <v>0</v>
      </c>
      <c r="AO19" s="40">
        <f t="shared" ca="1" si="16"/>
        <v>0</v>
      </c>
      <c r="AP19" s="40">
        <f t="shared" ca="1" si="16"/>
        <v>0</v>
      </c>
      <c r="AQ19" s="40">
        <f t="shared" ca="1" si="16"/>
        <v>0</v>
      </c>
      <c r="AR19" s="40">
        <f t="shared" ca="1" si="16"/>
        <v>0</v>
      </c>
      <c r="AS19" s="40">
        <f t="shared" ca="1" si="16"/>
        <v>0</v>
      </c>
      <c r="AT19" s="40">
        <f t="shared" ca="1" si="16"/>
        <v>0</v>
      </c>
      <c r="AU19" s="40">
        <f t="shared" ca="1" si="16"/>
        <v>0</v>
      </c>
      <c r="AV19" s="40">
        <f t="shared" ca="1" si="16"/>
        <v>0</v>
      </c>
      <c r="AW19" s="40">
        <f t="shared" ca="1" si="16"/>
        <v>0</v>
      </c>
      <c r="AY19" t="s">
        <v>358</v>
      </c>
      <c r="AZ19" t="str">
        <f ca="1">IF(AX4="zero","\I:",$BA$45&amp;"_"&amp;VLOOKUP(C19,'TRA balance'!$BB$5:$BC$15,2,FALSE))</f>
        <v>\I:</v>
      </c>
      <c r="BA19" t="str">
        <f t="shared" ca="1" si="0"/>
        <v>Trd_2w</v>
      </c>
      <c r="BB19">
        <f t="shared" ca="1" si="1"/>
        <v>25</v>
      </c>
      <c r="BD19" t="str">
        <f t="shared" ca="1" si="3"/>
        <v>DMD</v>
      </c>
      <c r="BE19" t="str">
        <f t="shared" ca="1" si="4"/>
        <v>\I:</v>
      </c>
      <c r="BG19" t="s">
        <v>156</v>
      </c>
      <c r="BH19" t="s">
        <v>352</v>
      </c>
      <c r="BI19" t="s">
        <v>359</v>
      </c>
    </row>
    <row r="20" spans="1:61">
      <c r="C20" t="str">
        <f t="shared" si="14"/>
        <v>TRABGS</v>
      </c>
      <c r="D20" s="40">
        <f t="shared" ref="D20:AW20" ca="1" si="17">ROUND(D5*D29/D37,3)</f>
        <v>0</v>
      </c>
      <c r="E20" s="40">
        <f t="shared" ref="E20:U20" ca="1" si="18">ROUND(E5*E29/E37,3)</f>
        <v>0</v>
      </c>
      <c r="F20" s="40">
        <f t="shared" ca="1" si="18"/>
        <v>0</v>
      </c>
      <c r="G20" s="40">
        <f t="shared" ca="1" si="18"/>
        <v>0</v>
      </c>
      <c r="H20" s="40">
        <f t="shared" ca="1" si="18"/>
        <v>0</v>
      </c>
      <c r="I20" s="40">
        <f t="shared" ca="1" si="18"/>
        <v>0</v>
      </c>
      <c r="J20" s="40">
        <f t="shared" ca="1" si="18"/>
        <v>0</v>
      </c>
      <c r="K20" s="40">
        <f t="shared" ca="1" si="18"/>
        <v>0</v>
      </c>
      <c r="L20" s="40">
        <f t="shared" ca="1" si="18"/>
        <v>0</v>
      </c>
      <c r="M20" s="40">
        <f t="shared" ca="1" si="18"/>
        <v>0</v>
      </c>
      <c r="N20" s="40">
        <f t="shared" ca="1" si="18"/>
        <v>0</v>
      </c>
      <c r="O20" s="40">
        <f t="shared" ca="1" si="18"/>
        <v>0</v>
      </c>
      <c r="P20" s="40">
        <f t="shared" ca="1" si="18"/>
        <v>0</v>
      </c>
      <c r="Q20" s="40">
        <f t="shared" ca="1" si="18"/>
        <v>0</v>
      </c>
      <c r="R20" s="40">
        <f t="shared" ca="1" si="18"/>
        <v>0</v>
      </c>
      <c r="S20" s="40">
        <f t="shared" ca="1" si="18"/>
        <v>0</v>
      </c>
      <c r="T20" s="40">
        <f t="shared" ca="1" si="18"/>
        <v>0</v>
      </c>
      <c r="U20" s="40">
        <f t="shared" ca="1" si="18"/>
        <v>0</v>
      </c>
      <c r="V20" s="40">
        <f t="shared" ca="1" si="17"/>
        <v>0</v>
      </c>
      <c r="W20" s="40">
        <f t="shared" ca="1" si="17"/>
        <v>0</v>
      </c>
      <c r="X20" s="40">
        <f t="shared" ca="1" si="17"/>
        <v>0</v>
      </c>
      <c r="Y20" s="40">
        <f t="shared" ca="1" si="17"/>
        <v>0</v>
      </c>
      <c r="Z20" s="40">
        <f t="shared" ca="1" si="17"/>
        <v>0</v>
      </c>
      <c r="AA20" s="40">
        <f t="shared" ca="1" si="17"/>
        <v>0</v>
      </c>
      <c r="AB20" s="40">
        <f t="shared" ca="1" si="17"/>
        <v>0</v>
      </c>
      <c r="AC20" s="40">
        <f t="shared" ca="1" si="17"/>
        <v>0</v>
      </c>
      <c r="AD20" s="40">
        <f t="shared" ca="1" si="17"/>
        <v>0</v>
      </c>
      <c r="AE20" s="40">
        <f t="shared" ca="1" si="17"/>
        <v>0</v>
      </c>
      <c r="AF20" s="40">
        <f t="shared" ca="1" si="17"/>
        <v>0</v>
      </c>
      <c r="AG20" s="40">
        <f t="shared" ca="1" si="17"/>
        <v>0</v>
      </c>
      <c r="AH20" s="40">
        <f t="shared" ca="1" si="17"/>
        <v>0</v>
      </c>
      <c r="AI20" s="40">
        <f t="shared" ca="1" si="17"/>
        <v>0</v>
      </c>
      <c r="AJ20" s="40">
        <f t="shared" ca="1" si="17"/>
        <v>0</v>
      </c>
      <c r="AK20" s="40">
        <f t="shared" ca="1" si="17"/>
        <v>0</v>
      </c>
      <c r="AL20" s="40">
        <f t="shared" ca="1" si="17"/>
        <v>0</v>
      </c>
      <c r="AM20" s="40">
        <f t="shared" ca="1" si="17"/>
        <v>0</v>
      </c>
      <c r="AN20" s="40">
        <f t="shared" ca="1" si="17"/>
        <v>0</v>
      </c>
      <c r="AO20" s="40">
        <f t="shared" ca="1" si="17"/>
        <v>0</v>
      </c>
      <c r="AP20" s="40">
        <f t="shared" ca="1" si="17"/>
        <v>0</v>
      </c>
      <c r="AQ20" s="40">
        <f t="shared" ca="1" si="17"/>
        <v>0</v>
      </c>
      <c r="AR20" s="40">
        <f t="shared" ca="1" si="17"/>
        <v>0</v>
      </c>
      <c r="AS20" s="40">
        <f t="shared" ca="1" si="17"/>
        <v>0</v>
      </c>
      <c r="AT20" s="40">
        <f t="shared" ca="1" si="17"/>
        <v>0</v>
      </c>
      <c r="AU20" s="40">
        <f t="shared" ca="1" si="17"/>
        <v>0</v>
      </c>
      <c r="AV20" s="40">
        <f t="shared" ca="1" si="17"/>
        <v>0</v>
      </c>
      <c r="AW20" s="40">
        <f t="shared" ca="1" si="17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Trd_2w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4"/>
        <v>TRADST</v>
      </c>
      <c r="D21" s="40">
        <f t="shared" ref="D21:AW21" ca="1" si="19">ROUND(D6*D30/D38,3)</f>
        <v>0</v>
      </c>
      <c r="E21" s="40">
        <f t="shared" ref="E21:U21" ca="1" si="20">ROUND(E6*E30/E38,3)</f>
        <v>0</v>
      </c>
      <c r="F21" s="40">
        <f t="shared" ca="1" si="20"/>
        <v>0</v>
      </c>
      <c r="G21" s="40">
        <f t="shared" ca="1" si="20"/>
        <v>0</v>
      </c>
      <c r="H21" s="40">
        <f t="shared" ca="1" si="20"/>
        <v>0</v>
      </c>
      <c r="I21" s="40">
        <f t="shared" ca="1" si="20"/>
        <v>0</v>
      </c>
      <c r="J21" s="40">
        <f t="shared" ca="1" si="20"/>
        <v>0</v>
      </c>
      <c r="K21" s="40">
        <f t="shared" ca="1" si="20"/>
        <v>0</v>
      </c>
      <c r="L21" s="40">
        <f t="shared" ca="1" si="20"/>
        <v>0</v>
      </c>
      <c r="M21" s="40">
        <f t="shared" ca="1" si="20"/>
        <v>0</v>
      </c>
      <c r="N21" s="40">
        <f t="shared" ca="1" si="20"/>
        <v>0</v>
      </c>
      <c r="O21" s="40">
        <f t="shared" ca="1" si="20"/>
        <v>0</v>
      </c>
      <c r="P21" s="40">
        <f t="shared" ca="1" si="20"/>
        <v>0</v>
      </c>
      <c r="Q21" s="40">
        <f t="shared" ca="1" si="20"/>
        <v>0</v>
      </c>
      <c r="R21" s="40">
        <f t="shared" ca="1" si="20"/>
        <v>0</v>
      </c>
      <c r="S21" s="40">
        <f t="shared" ca="1" si="20"/>
        <v>0</v>
      </c>
      <c r="T21" s="40">
        <f t="shared" ca="1" si="20"/>
        <v>0</v>
      </c>
      <c r="U21" s="40">
        <f t="shared" ca="1" si="20"/>
        <v>0</v>
      </c>
      <c r="V21" s="40">
        <f t="shared" ca="1" si="19"/>
        <v>0</v>
      </c>
      <c r="W21" s="40">
        <f t="shared" ca="1" si="19"/>
        <v>0</v>
      </c>
      <c r="X21" s="40">
        <f t="shared" ca="1" si="19"/>
        <v>0</v>
      </c>
      <c r="Y21" s="40">
        <f t="shared" ca="1" si="19"/>
        <v>0</v>
      </c>
      <c r="Z21" s="40">
        <f t="shared" ca="1" si="19"/>
        <v>0</v>
      </c>
      <c r="AA21" s="40">
        <f t="shared" ca="1" si="19"/>
        <v>0</v>
      </c>
      <c r="AB21" s="40">
        <f t="shared" ca="1" si="19"/>
        <v>0</v>
      </c>
      <c r="AC21" s="40">
        <f t="shared" ca="1" si="19"/>
        <v>0</v>
      </c>
      <c r="AD21" s="40">
        <f t="shared" ca="1" si="19"/>
        <v>0</v>
      </c>
      <c r="AE21" s="40">
        <f t="shared" ca="1" si="19"/>
        <v>0</v>
      </c>
      <c r="AF21" s="40">
        <f t="shared" ca="1" si="19"/>
        <v>0</v>
      </c>
      <c r="AG21" s="40">
        <f t="shared" ca="1" si="19"/>
        <v>0</v>
      </c>
      <c r="AH21" s="40">
        <f t="shared" ca="1" si="19"/>
        <v>0</v>
      </c>
      <c r="AI21" s="40">
        <f t="shared" ca="1" si="19"/>
        <v>0</v>
      </c>
      <c r="AJ21" s="40">
        <f t="shared" ca="1" si="19"/>
        <v>0</v>
      </c>
      <c r="AK21" s="40">
        <f t="shared" ca="1" si="19"/>
        <v>0</v>
      </c>
      <c r="AL21" s="40">
        <f t="shared" ca="1" si="19"/>
        <v>0</v>
      </c>
      <c r="AM21" s="40">
        <f t="shared" ca="1" si="19"/>
        <v>0</v>
      </c>
      <c r="AN21" s="40">
        <f t="shared" ca="1" si="19"/>
        <v>0</v>
      </c>
      <c r="AO21" s="40">
        <f t="shared" ca="1" si="19"/>
        <v>0</v>
      </c>
      <c r="AP21" s="40">
        <f t="shared" ca="1" si="19"/>
        <v>0</v>
      </c>
      <c r="AQ21" s="40">
        <f t="shared" ca="1" si="19"/>
        <v>0</v>
      </c>
      <c r="AR21" s="40">
        <f t="shared" ca="1" si="19"/>
        <v>0</v>
      </c>
      <c r="AS21" s="40">
        <f t="shared" ca="1" si="19"/>
        <v>0</v>
      </c>
      <c r="AT21" s="40">
        <f t="shared" ca="1" si="19"/>
        <v>0</v>
      </c>
      <c r="AU21" s="40">
        <f t="shared" ca="1" si="19"/>
        <v>0</v>
      </c>
      <c r="AV21" s="40">
        <f t="shared" ca="1" si="19"/>
        <v>0</v>
      </c>
      <c r="AW21" s="40">
        <f t="shared" ca="1" si="19"/>
        <v>0</v>
      </c>
      <c r="AY21" t="s">
        <v>358</v>
      </c>
      <c r="AZ21" t="str">
        <f ca="1">IF(AX6="zero","\I:",$BA$45&amp;"_"&amp;VLOOKUP(C21,'TRA balance'!$BB$5:$BC$15,2,FALSE))</f>
        <v>\I:</v>
      </c>
      <c r="BA21" t="str">
        <f t="shared" ca="1" si="0"/>
        <v>Trd_2w</v>
      </c>
      <c r="BB21">
        <f t="shared" ca="1" si="1"/>
        <v>25</v>
      </c>
      <c r="BD21" t="str">
        <f t="shared" ca="1" si="3"/>
        <v>DMD</v>
      </c>
      <c r="BE21" t="str">
        <f t="shared" ca="1" si="4"/>
        <v>\I:</v>
      </c>
      <c r="BG21" t="s">
        <v>156</v>
      </c>
      <c r="BH21" t="s">
        <v>352</v>
      </c>
      <c r="BI21" t="s">
        <v>359</v>
      </c>
    </row>
    <row r="22" spans="1:61">
      <c r="C22" t="str">
        <f t="shared" si="14"/>
        <v>TRAELC</v>
      </c>
      <c r="D22" s="40">
        <f t="shared" ref="D22:AW22" ca="1" si="21">ROUND(D7*D31/D39,3)</f>
        <v>0</v>
      </c>
      <c r="E22" s="40">
        <f t="shared" ref="E22:U22" ca="1" si="22">ROUND(E7*E31/E39,3)</f>
        <v>0</v>
      </c>
      <c r="F22" s="40">
        <f t="shared" ca="1" si="22"/>
        <v>0</v>
      </c>
      <c r="G22" s="40">
        <f t="shared" ca="1" si="22"/>
        <v>0</v>
      </c>
      <c r="H22" s="40">
        <f t="shared" ca="1" si="22"/>
        <v>0</v>
      </c>
      <c r="I22" s="40">
        <f t="shared" ca="1" si="22"/>
        <v>0</v>
      </c>
      <c r="J22" s="40">
        <f t="shared" ca="1" si="22"/>
        <v>0</v>
      </c>
      <c r="K22" s="40">
        <f t="shared" ca="1" si="22"/>
        <v>0</v>
      </c>
      <c r="L22" s="40">
        <f t="shared" ca="1" si="22"/>
        <v>0</v>
      </c>
      <c r="M22" s="40">
        <f t="shared" ca="1" si="22"/>
        <v>0</v>
      </c>
      <c r="N22" s="40">
        <f t="shared" ca="1" si="22"/>
        <v>0</v>
      </c>
      <c r="O22" s="40">
        <f t="shared" ca="1" si="22"/>
        <v>0</v>
      </c>
      <c r="P22" s="40">
        <f t="shared" ca="1" si="22"/>
        <v>0</v>
      </c>
      <c r="Q22" s="40">
        <f t="shared" ca="1" si="22"/>
        <v>0</v>
      </c>
      <c r="R22" s="40">
        <f t="shared" ca="1" si="22"/>
        <v>0</v>
      </c>
      <c r="S22" s="40">
        <f t="shared" ca="1" si="22"/>
        <v>0</v>
      </c>
      <c r="T22" s="40">
        <f t="shared" ca="1" si="22"/>
        <v>0</v>
      </c>
      <c r="U22" s="40">
        <f t="shared" ca="1" si="22"/>
        <v>0</v>
      </c>
      <c r="V22" s="40">
        <f t="shared" ca="1" si="21"/>
        <v>0</v>
      </c>
      <c r="W22" s="40">
        <f t="shared" ca="1" si="21"/>
        <v>0</v>
      </c>
      <c r="X22" s="40">
        <f t="shared" ca="1" si="21"/>
        <v>0</v>
      </c>
      <c r="Y22" s="40">
        <f t="shared" ca="1" si="21"/>
        <v>0</v>
      </c>
      <c r="Z22" s="40">
        <f t="shared" ca="1" si="21"/>
        <v>0</v>
      </c>
      <c r="AA22" s="40">
        <f t="shared" ca="1" si="21"/>
        <v>0</v>
      </c>
      <c r="AB22" s="40">
        <f t="shared" ca="1" si="21"/>
        <v>0</v>
      </c>
      <c r="AC22" s="40">
        <f t="shared" ca="1" si="21"/>
        <v>0</v>
      </c>
      <c r="AD22" s="40">
        <f t="shared" ca="1" si="21"/>
        <v>0</v>
      </c>
      <c r="AE22" s="40">
        <f t="shared" ca="1" si="21"/>
        <v>0</v>
      </c>
      <c r="AF22" s="40">
        <f t="shared" ca="1" si="21"/>
        <v>0</v>
      </c>
      <c r="AG22" s="40">
        <f t="shared" ca="1" si="21"/>
        <v>0</v>
      </c>
      <c r="AH22" s="40">
        <f t="shared" ca="1" si="21"/>
        <v>0</v>
      </c>
      <c r="AI22" s="40">
        <f t="shared" ca="1" si="21"/>
        <v>0</v>
      </c>
      <c r="AJ22" s="40">
        <f t="shared" ca="1" si="21"/>
        <v>0</v>
      </c>
      <c r="AK22" s="40">
        <f t="shared" ca="1" si="21"/>
        <v>0</v>
      </c>
      <c r="AL22" s="40">
        <f t="shared" ca="1" si="21"/>
        <v>0</v>
      </c>
      <c r="AM22" s="40">
        <f t="shared" ca="1" si="21"/>
        <v>0</v>
      </c>
      <c r="AN22" s="40">
        <f t="shared" ca="1" si="21"/>
        <v>0</v>
      </c>
      <c r="AO22" s="40">
        <f t="shared" ca="1" si="21"/>
        <v>0</v>
      </c>
      <c r="AP22" s="40">
        <f t="shared" ca="1" si="21"/>
        <v>0</v>
      </c>
      <c r="AQ22" s="40">
        <f t="shared" ca="1" si="21"/>
        <v>0</v>
      </c>
      <c r="AR22" s="40">
        <f t="shared" ca="1" si="21"/>
        <v>0</v>
      </c>
      <c r="AS22" s="40">
        <f t="shared" ca="1" si="21"/>
        <v>0</v>
      </c>
      <c r="AT22" s="40">
        <f t="shared" ca="1" si="21"/>
        <v>0</v>
      </c>
      <c r="AU22" s="40">
        <f t="shared" ca="1" si="21"/>
        <v>0</v>
      </c>
      <c r="AV22" s="40">
        <f t="shared" ca="1" si="21"/>
        <v>0</v>
      </c>
      <c r="AW22" s="40">
        <f t="shared" ca="1" si="21"/>
        <v>0</v>
      </c>
      <c r="AY22" t="s">
        <v>358</v>
      </c>
      <c r="AZ22" t="str">
        <f ca="1">IF(AX7="zero","\I:",$BA$45&amp;"_"&amp;VLOOKUP(C22,'TRA balance'!$BB$5:$BC$15,2,FALSE))</f>
        <v>\I:</v>
      </c>
      <c r="BA22" t="str">
        <f t="shared" ca="1" si="0"/>
        <v>Trd_2w</v>
      </c>
      <c r="BB22">
        <f t="shared" ca="1" si="1"/>
        <v>25</v>
      </c>
      <c r="BD22" t="str">
        <f t="shared" ca="1" si="3"/>
        <v>DMD</v>
      </c>
      <c r="BE22" t="str">
        <f t="shared" ca="1" si="4"/>
        <v>\I:</v>
      </c>
      <c r="BG22" t="s">
        <v>156</v>
      </c>
      <c r="BH22" t="s">
        <v>352</v>
      </c>
      <c r="BI22" t="s">
        <v>359</v>
      </c>
    </row>
    <row r="23" spans="1:61">
      <c r="C23" t="str">
        <f t="shared" si="14"/>
        <v>TRAGSL</v>
      </c>
      <c r="D23" s="40">
        <f t="shared" ref="D23:AW23" ca="1" si="23">ROUND(D8*D32/D40,3)</f>
        <v>35.426000000000002</v>
      </c>
      <c r="E23" s="40">
        <f t="shared" ref="E23:U23" ca="1" si="24">ROUND(E8*E32/E40,3)</f>
        <v>61.515999999999998</v>
      </c>
      <c r="F23" s="40">
        <f t="shared" ca="1" si="24"/>
        <v>1.448</v>
      </c>
      <c r="G23" s="40">
        <f t="shared" ca="1" si="24"/>
        <v>4.7E-2</v>
      </c>
      <c r="H23" s="40">
        <f t="shared" ca="1" si="24"/>
        <v>4.2999999999999997E-2</v>
      </c>
      <c r="I23" s="40">
        <f t="shared" ca="1" si="24"/>
        <v>0.184</v>
      </c>
      <c r="J23" s="40">
        <f t="shared" ca="1" si="24"/>
        <v>1.7150000000000001</v>
      </c>
      <c r="K23" s="40">
        <f t="shared" ca="1" si="24"/>
        <v>229.18700000000001</v>
      </c>
      <c r="L23" s="40">
        <f t="shared" ca="1" si="24"/>
        <v>7.1999999999999995E-2</v>
      </c>
      <c r="M23" s="40">
        <f t="shared" ca="1" si="24"/>
        <v>0.17</v>
      </c>
      <c r="N23" s="40">
        <f t="shared" ca="1" si="24"/>
        <v>0.22600000000000001</v>
      </c>
      <c r="O23" s="40">
        <f t="shared" ca="1" si="24"/>
        <v>0.496</v>
      </c>
      <c r="P23" s="40">
        <f t="shared" ca="1" si="24"/>
        <v>7.8E-2</v>
      </c>
      <c r="Q23" s="40">
        <f t="shared" ca="1" si="24"/>
        <v>0.26500000000000001</v>
      </c>
      <c r="R23" s="40">
        <f t="shared" ca="1" si="24"/>
        <v>4.0000000000000001E-3</v>
      </c>
      <c r="S23" s="40">
        <f t="shared" ca="1" si="24"/>
        <v>75.968999999999994</v>
      </c>
      <c r="T23" s="40">
        <f t="shared" ca="1" si="24"/>
        <v>2.1999999999999999E-2</v>
      </c>
      <c r="U23" s="40">
        <f t="shared" ca="1" si="24"/>
        <v>0.224</v>
      </c>
      <c r="V23" s="40">
        <f t="shared" ca="1" si="23"/>
        <v>3.53</v>
      </c>
      <c r="W23" s="40">
        <f t="shared" ca="1" si="23"/>
        <v>3.2610000000000001</v>
      </c>
      <c r="X23" s="40">
        <f t="shared" ca="1" si="23"/>
        <v>6.5410000000000004</v>
      </c>
      <c r="Y23" s="40">
        <f t="shared" ca="1" si="23"/>
        <v>2.0760000000000001</v>
      </c>
      <c r="Z23" s="40">
        <f t="shared" ca="1" si="23"/>
        <v>3.3000000000000002E-2</v>
      </c>
      <c r="AA23" s="40">
        <f t="shared" ca="1" si="23"/>
        <v>0.371</v>
      </c>
      <c r="AB23" s="40">
        <f t="shared" ca="1" si="23"/>
        <v>223.88900000000001</v>
      </c>
      <c r="AC23" s="40">
        <f t="shared" ca="1" si="23"/>
        <v>5.36</v>
      </c>
      <c r="AD23" s="40">
        <f t="shared" ca="1" si="23"/>
        <v>2.0179999999999998</v>
      </c>
      <c r="AE23" s="40">
        <f t="shared" ca="1" si="23"/>
        <v>15.67</v>
      </c>
      <c r="AF23" s="40">
        <f t="shared" ca="1" si="23"/>
        <v>0.2</v>
      </c>
      <c r="AG23" s="40">
        <f t="shared" ca="1" si="23"/>
        <v>0.13</v>
      </c>
      <c r="AH23" s="40">
        <f t="shared" ca="1" si="23"/>
        <v>6.9000000000000006E-2</v>
      </c>
      <c r="AI23" s="40">
        <f t="shared" ca="1" si="23"/>
        <v>0.19700000000000001</v>
      </c>
      <c r="AJ23" s="40">
        <f t="shared" ca="1" si="23"/>
        <v>0.61899999999999999</v>
      </c>
      <c r="AK23" s="40">
        <f t="shared" ca="1" si="23"/>
        <v>0.2</v>
      </c>
      <c r="AL23" s="40">
        <f t="shared" ca="1" si="23"/>
        <v>0.13100000000000001</v>
      </c>
      <c r="AM23" s="40">
        <f t="shared" ca="1" si="23"/>
        <v>0</v>
      </c>
      <c r="AN23" s="40">
        <f t="shared" ca="1" si="23"/>
        <v>0</v>
      </c>
      <c r="AO23" s="40">
        <f t="shared" ca="1" si="23"/>
        <v>0</v>
      </c>
      <c r="AP23" s="40">
        <f t="shared" ca="1" si="23"/>
        <v>0</v>
      </c>
      <c r="AQ23" s="40">
        <f t="shared" ca="1" si="23"/>
        <v>0</v>
      </c>
      <c r="AR23" s="40">
        <f t="shared" ca="1" si="23"/>
        <v>0</v>
      </c>
      <c r="AS23" s="40">
        <f t="shared" ca="1" si="23"/>
        <v>0</v>
      </c>
      <c r="AT23" s="40">
        <f t="shared" ca="1" si="23"/>
        <v>0</v>
      </c>
      <c r="AU23" s="40">
        <f t="shared" ca="1" si="23"/>
        <v>0</v>
      </c>
      <c r="AV23" s="40">
        <f t="shared" ca="1" si="23"/>
        <v>0</v>
      </c>
      <c r="AW23" s="40">
        <f t="shared" ca="1" si="23"/>
        <v>0</v>
      </c>
      <c r="AY23" t="s">
        <v>358</v>
      </c>
      <c r="AZ23" t="str">
        <f ca="1">IF(AX8="zero","\I:",$BA$45&amp;"_"&amp;VLOOKUP(C23,'TRA balance'!$BB$5:$BC$15,2,FALSE))</f>
        <v>Trd_2w_gsl</v>
      </c>
      <c r="BA23" t="str">
        <f t="shared" ca="1" si="0"/>
        <v>Trd_2w</v>
      </c>
      <c r="BB23">
        <f t="shared" ca="1" si="1"/>
        <v>25</v>
      </c>
      <c r="BD23" t="str">
        <f t="shared" ca="1" si="3"/>
        <v>DMD</v>
      </c>
      <c r="BE23" t="str">
        <f t="shared" ca="1" si="4"/>
        <v>Trd_2w_gsl</v>
      </c>
      <c r="BG23" t="s">
        <v>156</v>
      </c>
      <c r="BH23" t="s">
        <v>352</v>
      </c>
      <c r="BI23" t="s">
        <v>359</v>
      </c>
    </row>
    <row r="24" spans="1:61">
      <c r="C24" t="str">
        <f t="shared" si="14"/>
        <v>TRALPG</v>
      </c>
      <c r="D24" s="40">
        <f t="shared" ref="D24:AW24" si="25">ROUND(D9*D33/D41,3)</f>
        <v>0</v>
      </c>
      <c r="E24" s="40">
        <f t="shared" ref="E24:U24" si="26">ROUND(E9*E33/E41,3)</f>
        <v>0</v>
      </c>
      <c r="F24" s="40">
        <f t="shared" si="26"/>
        <v>0</v>
      </c>
      <c r="G24" s="40">
        <f t="shared" si="26"/>
        <v>0</v>
      </c>
      <c r="H24" s="40">
        <f t="shared" si="26"/>
        <v>0</v>
      </c>
      <c r="I24" s="40">
        <f t="shared" si="26"/>
        <v>0</v>
      </c>
      <c r="J24" s="40">
        <f t="shared" si="26"/>
        <v>0</v>
      </c>
      <c r="K24" s="40">
        <f t="shared" si="26"/>
        <v>0</v>
      </c>
      <c r="L24" s="40">
        <f t="shared" si="26"/>
        <v>0</v>
      </c>
      <c r="M24" s="40">
        <f t="shared" si="26"/>
        <v>0</v>
      </c>
      <c r="N24" s="40">
        <f t="shared" si="26"/>
        <v>0</v>
      </c>
      <c r="O24" s="40">
        <f t="shared" si="26"/>
        <v>0</v>
      </c>
      <c r="P24" s="40">
        <f t="shared" si="26"/>
        <v>0</v>
      </c>
      <c r="Q24" s="40">
        <f t="shared" si="26"/>
        <v>0</v>
      </c>
      <c r="R24" s="40">
        <f t="shared" si="26"/>
        <v>0</v>
      </c>
      <c r="S24" s="40">
        <f t="shared" si="26"/>
        <v>0</v>
      </c>
      <c r="T24" s="40">
        <f t="shared" si="26"/>
        <v>0</v>
      </c>
      <c r="U24" s="40">
        <f t="shared" si="26"/>
        <v>0</v>
      </c>
      <c r="V24" s="40">
        <f t="shared" si="25"/>
        <v>0</v>
      </c>
      <c r="W24" s="40">
        <f t="shared" si="25"/>
        <v>0</v>
      </c>
      <c r="X24" s="40">
        <f t="shared" si="25"/>
        <v>0</v>
      </c>
      <c r="Y24" s="40">
        <f t="shared" si="25"/>
        <v>0</v>
      </c>
      <c r="Z24" s="40">
        <f t="shared" si="25"/>
        <v>0</v>
      </c>
      <c r="AA24" s="40">
        <f t="shared" si="25"/>
        <v>0</v>
      </c>
      <c r="AB24" s="40">
        <f t="shared" si="25"/>
        <v>0</v>
      </c>
      <c r="AC24" s="40">
        <f t="shared" si="25"/>
        <v>0</v>
      </c>
      <c r="AD24" s="40">
        <f t="shared" si="25"/>
        <v>0</v>
      </c>
      <c r="AE24" s="40">
        <f t="shared" si="25"/>
        <v>0</v>
      </c>
      <c r="AF24" s="40">
        <f t="shared" si="25"/>
        <v>0</v>
      </c>
      <c r="AG24" s="40">
        <f t="shared" si="25"/>
        <v>0</v>
      </c>
      <c r="AH24" s="40">
        <f t="shared" si="25"/>
        <v>0</v>
      </c>
      <c r="AI24" s="40">
        <f t="shared" si="25"/>
        <v>0</v>
      </c>
      <c r="AJ24" s="40">
        <f t="shared" si="25"/>
        <v>0</v>
      </c>
      <c r="AK24" s="40">
        <f t="shared" si="25"/>
        <v>0</v>
      </c>
      <c r="AL24" s="40">
        <f t="shared" si="25"/>
        <v>0</v>
      </c>
      <c r="AM24" s="40">
        <f t="shared" si="25"/>
        <v>0</v>
      </c>
      <c r="AN24" s="40">
        <f t="shared" si="25"/>
        <v>0</v>
      </c>
      <c r="AO24" s="40">
        <f t="shared" si="25"/>
        <v>0</v>
      </c>
      <c r="AP24" s="40">
        <f t="shared" si="25"/>
        <v>0</v>
      </c>
      <c r="AQ24" s="40">
        <f t="shared" si="25"/>
        <v>0</v>
      </c>
      <c r="AR24" s="40">
        <f t="shared" si="25"/>
        <v>0</v>
      </c>
      <c r="AS24" s="40">
        <f t="shared" si="25"/>
        <v>0</v>
      </c>
      <c r="AT24" s="40">
        <f t="shared" si="25"/>
        <v>0</v>
      </c>
      <c r="AU24" s="40">
        <f t="shared" si="25"/>
        <v>0</v>
      </c>
      <c r="AV24" s="40">
        <f t="shared" si="25"/>
        <v>0</v>
      </c>
      <c r="AW24" s="40">
        <f t="shared" si="25"/>
        <v>0</v>
      </c>
      <c r="AY24" t="s">
        <v>358</v>
      </c>
      <c r="AZ24" t="str">
        <f>IF(AX9="zero","\I:",$BA$45&amp;"_"&amp;VLOOKUP(C24,'TRA balance'!$BB$5:$BC$15,2,FALSE))</f>
        <v>\I:</v>
      </c>
      <c r="BA24" t="str">
        <f t="shared" si="0"/>
        <v>Trd_2w</v>
      </c>
      <c r="BB24">
        <f t="shared" si="1"/>
        <v>25</v>
      </c>
      <c r="BD24" t="str">
        <f t="shared" si="3"/>
        <v>DMD</v>
      </c>
      <c r="BE24" t="str">
        <f t="shared" si="4"/>
        <v>\I:</v>
      </c>
      <c r="BG24" t="s">
        <v>156</v>
      </c>
      <c r="BH24" t="s">
        <v>352</v>
      </c>
      <c r="BI24" t="s">
        <v>359</v>
      </c>
    </row>
    <row r="25" spans="1:61">
      <c r="C25" t="str">
        <f t="shared" si="14"/>
        <v>TRANGA</v>
      </c>
      <c r="D25" s="40">
        <f t="shared" ref="D25:AW25" si="27">ROUND(D10*D34/D42,3)</f>
        <v>0</v>
      </c>
      <c r="E25" s="40">
        <f t="shared" ref="E25:U25" si="28">ROUND(E10*E34/E42,3)</f>
        <v>0</v>
      </c>
      <c r="F25" s="40">
        <f t="shared" si="28"/>
        <v>0</v>
      </c>
      <c r="G25" s="40">
        <f t="shared" si="28"/>
        <v>0</v>
      </c>
      <c r="H25" s="40">
        <f t="shared" si="28"/>
        <v>0</v>
      </c>
      <c r="I25" s="40">
        <f t="shared" si="28"/>
        <v>0</v>
      </c>
      <c r="J25" s="40">
        <f t="shared" si="28"/>
        <v>0</v>
      </c>
      <c r="K25" s="40">
        <f t="shared" si="28"/>
        <v>0</v>
      </c>
      <c r="L25" s="40">
        <f t="shared" si="28"/>
        <v>0</v>
      </c>
      <c r="M25" s="40">
        <f t="shared" si="28"/>
        <v>0</v>
      </c>
      <c r="N25" s="40">
        <f t="shared" si="28"/>
        <v>0</v>
      </c>
      <c r="O25" s="40">
        <f t="shared" si="28"/>
        <v>0</v>
      </c>
      <c r="P25" s="40">
        <f t="shared" si="28"/>
        <v>0</v>
      </c>
      <c r="Q25" s="40">
        <f t="shared" si="28"/>
        <v>0</v>
      </c>
      <c r="R25" s="40">
        <f t="shared" si="28"/>
        <v>0</v>
      </c>
      <c r="S25" s="40">
        <f t="shared" si="28"/>
        <v>0</v>
      </c>
      <c r="T25" s="40">
        <f t="shared" si="28"/>
        <v>0</v>
      </c>
      <c r="U25" s="40">
        <f t="shared" si="28"/>
        <v>0</v>
      </c>
      <c r="V25" s="40">
        <f t="shared" si="27"/>
        <v>0</v>
      </c>
      <c r="W25" s="40">
        <f t="shared" si="27"/>
        <v>0</v>
      </c>
      <c r="X25" s="40">
        <f t="shared" si="27"/>
        <v>0</v>
      </c>
      <c r="Y25" s="40">
        <f t="shared" si="27"/>
        <v>0</v>
      </c>
      <c r="Z25" s="40">
        <f t="shared" si="27"/>
        <v>0</v>
      </c>
      <c r="AA25" s="40">
        <f t="shared" si="27"/>
        <v>0</v>
      </c>
      <c r="AB25" s="40">
        <f t="shared" si="27"/>
        <v>0</v>
      </c>
      <c r="AC25" s="40">
        <f t="shared" si="27"/>
        <v>0</v>
      </c>
      <c r="AD25" s="40">
        <f t="shared" si="27"/>
        <v>0</v>
      </c>
      <c r="AE25" s="40">
        <f t="shared" si="27"/>
        <v>0</v>
      </c>
      <c r="AF25" s="40">
        <f t="shared" si="27"/>
        <v>0</v>
      </c>
      <c r="AG25" s="40">
        <f t="shared" si="27"/>
        <v>0</v>
      </c>
      <c r="AH25" s="40">
        <f t="shared" si="27"/>
        <v>0</v>
      </c>
      <c r="AI25" s="40">
        <f t="shared" si="27"/>
        <v>0</v>
      </c>
      <c r="AJ25" s="40">
        <f t="shared" si="27"/>
        <v>0</v>
      </c>
      <c r="AK25" s="40">
        <f t="shared" si="27"/>
        <v>0</v>
      </c>
      <c r="AL25" s="40">
        <f t="shared" si="27"/>
        <v>0</v>
      </c>
      <c r="AM25" s="40">
        <f t="shared" si="27"/>
        <v>0</v>
      </c>
      <c r="AN25" s="40">
        <f t="shared" si="27"/>
        <v>0</v>
      </c>
      <c r="AO25" s="40">
        <f t="shared" si="27"/>
        <v>0</v>
      </c>
      <c r="AP25" s="40">
        <f t="shared" si="27"/>
        <v>0</v>
      </c>
      <c r="AQ25" s="40">
        <f t="shared" si="27"/>
        <v>0</v>
      </c>
      <c r="AR25" s="40">
        <f t="shared" si="27"/>
        <v>0</v>
      </c>
      <c r="AS25" s="40">
        <f t="shared" si="27"/>
        <v>0</v>
      </c>
      <c r="AT25" s="40">
        <f t="shared" si="27"/>
        <v>0</v>
      </c>
      <c r="AU25" s="40">
        <f t="shared" si="27"/>
        <v>0</v>
      </c>
      <c r="AV25" s="40">
        <f t="shared" si="27"/>
        <v>0</v>
      </c>
      <c r="AW25" s="40">
        <f t="shared" si="27"/>
        <v>0</v>
      </c>
      <c r="AY25" t="s">
        <v>358</v>
      </c>
      <c r="AZ25" t="str">
        <f>IF(AX10="zero","\I:",$BA$45&amp;"_"&amp;VLOOKUP(C25,'TRA balance'!$BB$5:$BC$15,2,FALSE))</f>
        <v>\I:</v>
      </c>
      <c r="BA25" t="str">
        <f t="shared" si="0"/>
        <v>Trd_2w</v>
      </c>
      <c r="BB25">
        <f t="shared" si="1"/>
        <v>25</v>
      </c>
      <c r="BD25" t="str">
        <f t="shared" si="3"/>
        <v>DMD</v>
      </c>
      <c r="BE25" t="str">
        <f t="shared" si="4"/>
        <v>\I: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9">$AX28*D$27</f>
        <v>0.99</v>
      </c>
      <c r="E28">
        <f t="shared" si="29"/>
        <v>0.99</v>
      </c>
      <c r="F28">
        <f t="shared" si="29"/>
        <v>0.99</v>
      </c>
      <c r="G28">
        <f t="shared" si="29"/>
        <v>0.99</v>
      </c>
      <c r="H28">
        <f t="shared" si="29"/>
        <v>0.99</v>
      </c>
      <c r="I28">
        <f t="shared" si="29"/>
        <v>0.99</v>
      </c>
      <c r="J28">
        <f t="shared" si="29"/>
        <v>0.99</v>
      </c>
      <c r="K28">
        <f t="shared" si="29"/>
        <v>0.99</v>
      </c>
      <c r="L28">
        <f t="shared" si="29"/>
        <v>0.99</v>
      </c>
      <c r="M28">
        <f t="shared" si="29"/>
        <v>0.99</v>
      </c>
      <c r="N28">
        <f t="shared" si="29"/>
        <v>0.99</v>
      </c>
      <c r="O28">
        <f t="shared" si="29"/>
        <v>0.99</v>
      </c>
      <c r="P28">
        <f t="shared" si="29"/>
        <v>0.99</v>
      </c>
      <c r="Q28">
        <f t="shared" si="29"/>
        <v>0.99</v>
      </c>
      <c r="R28">
        <f t="shared" si="29"/>
        <v>0.99</v>
      </c>
      <c r="S28">
        <f t="shared" si="29"/>
        <v>0.99</v>
      </c>
      <c r="T28">
        <f t="shared" si="29"/>
        <v>0.99</v>
      </c>
      <c r="U28">
        <f t="shared" si="29"/>
        <v>0.99</v>
      </c>
      <c r="V28">
        <f t="shared" si="29"/>
        <v>0.99</v>
      </c>
      <c r="W28">
        <f t="shared" si="29"/>
        <v>0.99</v>
      </c>
      <c r="X28">
        <f t="shared" si="29"/>
        <v>0.99</v>
      </c>
      <c r="Y28">
        <f t="shared" si="29"/>
        <v>0.99</v>
      </c>
      <c r="Z28">
        <f t="shared" si="29"/>
        <v>0.99</v>
      </c>
      <c r="AA28">
        <f t="shared" si="29"/>
        <v>0.99</v>
      </c>
      <c r="AB28">
        <f t="shared" si="29"/>
        <v>0.99</v>
      </c>
      <c r="AC28">
        <f t="shared" si="29"/>
        <v>0.99</v>
      </c>
      <c r="AD28">
        <f t="shared" ref="AD28:AS34" si="30">$AX28*AD$27</f>
        <v>0.99</v>
      </c>
      <c r="AE28">
        <f t="shared" si="30"/>
        <v>0.99</v>
      </c>
      <c r="AF28">
        <f t="shared" si="30"/>
        <v>0.99</v>
      </c>
      <c r="AG28">
        <f t="shared" si="30"/>
        <v>0.99</v>
      </c>
      <c r="AH28">
        <f t="shared" si="30"/>
        <v>0.99</v>
      </c>
      <c r="AI28">
        <f t="shared" si="30"/>
        <v>0.99</v>
      </c>
      <c r="AJ28">
        <f t="shared" si="30"/>
        <v>0.99</v>
      </c>
      <c r="AK28">
        <f t="shared" si="30"/>
        <v>0.99</v>
      </c>
      <c r="AL28">
        <f t="shared" si="30"/>
        <v>0.99</v>
      </c>
      <c r="AM28">
        <f t="shared" si="30"/>
        <v>0.99</v>
      </c>
      <c r="AN28">
        <f t="shared" si="30"/>
        <v>0.99</v>
      </c>
      <c r="AO28">
        <f t="shared" si="30"/>
        <v>0.99</v>
      </c>
      <c r="AP28">
        <f t="shared" si="30"/>
        <v>0.99</v>
      </c>
      <c r="AQ28">
        <f t="shared" si="30"/>
        <v>0.99</v>
      </c>
      <c r="AR28">
        <f t="shared" si="30"/>
        <v>0.99</v>
      </c>
      <c r="AS28">
        <f t="shared" si="30"/>
        <v>0.99</v>
      </c>
      <c r="AT28">
        <f t="shared" ref="AK28:AW34" si="31">$AX28*AT$27</f>
        <v>0.99</v>
      </c>
      <c r="AU28">
        <f t="shared" si="31"/>
        <v>0.99</v>
      </c>
      <c r="AV28">
        <f t="shared" si="31"/>
        <v>0.99</v>
      </c>
      <c r="AW28">
        <f t="shared" si="31"/>
        <v>0.99</v>
      </c>
      <c r="AX28" s="56">
        <v>0.99</v>
      </c>
      <c r="AY28" t="s">
        <v>348</v>
      </c>
      <c r="AZ28" s="1" t="str">
        <f ca="1">AZ19</f>
        <v>\I:</v>
      </c>
      <c r="BA28" t="str">
        <f t="shared" ca="1" si="0"/>
        <v>Trd_2w</v>
      </c>
      <c r="BB28">
        <f t="shared" ca="1" si="1"/>
        <v>25</v>
      </c>
      <c r="BD28" t="str">
        <f t="shared" ca="1" si="3"/>
        <v>DMD</v>
      </c>
      <c r="BE28" t="str">
        <f t="shared" ca="1" si="4"/>
        <v>\I: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32">C20</f>
        <v>TRABGS</v>
      </c>
      <c r="D29">
        <f t="shared" si="29"/>
        <v>0.99</v>
      </c>
      <c r="E29">
        <f t="shared" si="29"/>
        <v>0.99</v>
      </c>
      <c r="F29">
        <f t="shared" si="29"/>
        <v>0.99</v>
      </c>
      <c r="G29">
        <f t="shared" si="29"/>
        <v>0.99</v>
      </c>
      <c r="H29">
        <f t="shared" si="29"/>
        <v>0.99</v>
      </c>
      <c r="I29">
        <f t="shared" si="29"/>
        <v>0.99</v>
      </c>
      <c r="J29">
        <f t="shared" si="29"/>
        <v>0.99</v>
      </c>
      <c r="K29">
        <f t="shared" si="29"/>
        <v>0.99</v>
      </c>
      <c r="L29">
        <f t="shared" si="29"/>
        <v>0.99</v>
      </c>
      <c r="M29">
        <f t="shared" si="29"/>
        <v>0.99</v>
      </c>
      <c r="N29">
        <f t="shared" si="29"/>
        <v>0.99</v>
      </c>
      <c r="O29">
        <f t="shared" si="29"/>
        <v>0.99</v>
      </c>
      <c r="P29">
        <f t="shared" si="29"/>
        <v>0.99</v>
      </c>
      <c r="Q29">
        <f t="shared" si="29"/>
        <v>0.99</v>
      </c>
      <c r="R29">
        <f t="shared" si="29"/>
        <v>0.99</v>
      </c>
      <c r="S29">
        <f t="shared" si="29"/>
        <v>0.99</v>
      </c>
      <c r="T29">
        <f t="shared" si="29"/>
        <v>0.99</v>
      </c>
      <c r="U29">
        <f t="shared" si="29"/>
        <v>0.99</v>
      </c>
      <c r="V29">
        <f t="shared" si="29"/>
        <v>0.99</v>
      </c>
      <c r="W29">
        <f t="shared" si="29"/>
        <v>0.99</v>
      </c>
      <c r="X29">
        <f t="shared" si="29"/>
        <v>0.99</v>
      </c>
      <c r="Y29">
        <f t="shared" si="29"/>
        <v>0.99</v>
      </c>
      <c r="Z29">
        <f t="shared" si="29"/>
        <v>0.99</v>
      </c>
      <c r="AA29">
        <f t="shared" si="29"/>
        <v>0.99</v>
      </c>
      <c r="AB29">
        <f t="shared" si="29"/>
        <v>0.99</v>
      </c>
      <c r="AC29">
        <f t="shared" si="29"/>
        <v>0.99</v>
      </c>
      <c r="AD29">
        <f t="shared" si="30"/>
        <v>0.99</v>
      </c>
      <c r="AE29">
        <f t="shared" si="30"/>
        <v>0.99</v>
      </c>
      <c r="AF29">
        <f t="shared" si="30"/>
        <v>0.99</v>
      </c>
      <c r="AG29">
        <f t="shared" si="30"/>
        <v>0.99</v>
      </c>
      <c r="AH29">
        <f t="shared" si="30"/>
        <v>0.99</v>
      </c>
      <c r="AI29">
        <f t="shared" si="30"/>
        <v>0.99</v>
      </c>
      <c r="AJ29">
        <f t="shared" si="30"/>
        <v>0.99</v>
      </c>
      <c r="AK29">
        <f t="shared" si="31"/>
        <v>0.99</v>
      </c>
      <c r="AL29">
        <f t="shared" si="31"/>
        <v>0.99</v>
      </c>
      <c r="AM29">
        <f t="shared" si="31"/>
        <v>0.99</v>
      </c>
      <c r="AN29">
        <f t="shared" si="31"/>
        <v>0.99</v>
      </c>
      <c r="AO29">
        <f t="shared" si="31"/>
        <v>0.99</v>
      </c>
      <c r="AP29">
        <f t="shared" si="31"/>
        <v>0.99</v>
      </c>
      <c r="AQ29">
        <f t="shared" si="31"/>
        <v>0.99</v>
      </c>
      <c r="AR29">
        <f t="shared" si="31"/>
        <v>0.99</v>
      </c>
      <c r="AS29">
        <f t="shared" si="31"/>
        <v>0.99</v>
      </c>
      <c r="AT29">
        <f t="shared" si="31"/>
        <v>0.99</v>
      </c>
      <c r="AU29">
        <f t="shared" si="31"/>
        <v>0.99</v>
      </c>
      <c r="AV29">
        <f t="shared" si="31"/>
        <v>0.99</v>
      </c>
      <c r="AW29">
        <f t="shared" si="31"/>
        <v>0.99</v>
      </c>
      <c r="AX29" s="56">
        <v>0.99</v>
      </c>
      <c r="AY29" t="s">
        <v>348</v>
      </c>
      <c r="AZ29" s="1" t="str">
        <f t="shared" ref="AZ29:AZ34" ca="1" si="33">AZ20</f>
        <v>\I:</v>
      </c>
      <c r="BA29" t="str">
        <f t="shared" ca="1" si="0"/>
        <v>Trd_2w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32"/>
        <v>TRADST</v>
      </c>
      <c r="D30">
        <f t="shared" si="29"/>
        <v>0.99</v>
      </c>
      <c r="E30">
        <f t="shared" si="29"/>
        <v>0.99</v>
      </c>
      <c r="F30">
        <f t="shared" si="29"/>
        <v>0.99</v>
      </c>
      <c r="G30">
        <f t="shared" si="29"/>
        <v>0.99</v>
      </c>
      <c r="H30">
        <f t="shared" si="29"/>
        <v>0.99</v>
      </c>
      <c r="I30">
        <f t="shared" si="29"/>
        <v>0.99</v>
      </c>
      <c r="J30">
        <f t="shared" si="29"/>
        <v>0.99</v>
      </c>
      <c r="K30">
        <f t="shared" si="29"/>
        <v>0.99</v>
      </c>
      <c r="L30">
        <f t="shared" si="29"/>
        <v>0.99</v>
      </c>
      <c r="M30">
        <f t="shared" si="29"/>
        <v>0.99</v>
      </c>
      <c r="N30">
        <f t="shared" si="29"/>
        <v>0.99</v>
      </c>
      <c r="O30">
        <f t="shared" si="29"/>
        <v>0.99</v>
      </c>
      <c r="P30">
        <f t="shared" si="29"/>
        <v>0.99</v>
      </c>
      <c r="Q30">
        <f t="shared" si="29"/>
        <v>0.99</v>
      </c>
      <c r="R30">
        <f t="shared" si="29"/>
        <v>0.99</v>
      </c>
      <c r="S30">
        <f t="shared" si="29"/>
        <v>0.99</v>
      </c>
      <c r="T30">
        <f t="shared" si="29"/>
        <v>0.99</v>
      </c>
      <c r="U30">
        <f t="shared" si="29"/>
        <v>0.99</v>
      </c>
      <c r="V30">
        <f t="shared" si="29"/>
        <v>0.99</v>
      </c>
      <c r="W30">
        <f t="shared" si="29"/>
        <v>0.99</v>
      </c>
      <c r="X30">
        <f t="shared" si="29"/>
        <v>0.99</v>
      </c>
      <c r="Y30">
        <f t="shared" si="29"/>
        <v>0.99</v>
      </c>
      <c r="Z30">
        <f t="shared" si="29"/>
        <v>0.99</v>
      </c>
      <c r="AA30">
        <f t="shared" si="29"/>
        <v>0.99</v>
      </c>
      <c r="AB30">
        <f t="shared" si="29"/>
        <v>0.99</v>
      </c>
      <c r="AC30">
        <f t="shared" si="29"/>
        <v>0.99</v>
      </c>
      <c r="AD30">
        <f t="shared" si="30"/>
        <v>0.99</v>
      </c>
      <c r="AE30">
        <f t="shared" si="30"/>
        <v>0.99</v>
      </c>
      <c r="AF30">
        <f t="shared" si="30"/>
        <v>0.99</v>
      </c>
      <c r="AG30">
        <f t="shared" si="30"/>
        <v>0.99</v>
      </c>
      <c r="AH30">
        <f t="shared" si="30"/>
        <v>0.99</v>
      </c>
      <c r="AI30">
        <f t="shared" si="30"/>
        <v>0.99</v>
      </c>
      <c r="AJ30">
        <f t="shared" si="30"/>
        <v>0.99</v>
      </c>
      <c r="AK30">
        <f t="shared" si="31"/>
        <v>0.99</v>
      </c>
      <c r="AL30">
        <f t="shared" si="31"/>
        <v>0.99</v>
      </c>
      <c r="AM30">
        <f t="shared" si="31"/>
        <v>0.99</v>
      </c>
      <c r="AN30">
        <f t="shared" si="31"/>
        <v>0.99</v>
      </c>
      <c r="AO30">
        <f t="shared" si="31"/>
        <v>0.99</v>
      </c>
      <c r="AP30">
        <f t="shared" si="31"/>
        <v>0.99</v>
      </c>
      <c r="AQ30">
        <f t="shared" si="31"/>
        <v>0.99</v>
      </c>
      <c r="AR30">
        <f t="shared" si="31"/>
        <v>0.99</v>
      </c>
      <c r="AS30">
        <f t="shared" si="31"/>
        <v>0.99</v>
      </c>
      <c r="AT30">
        <f t="shared" si="31"/>
        <v>0.99</v>
      </c>
      <c r="AU30">
        <f t="shared" si="31"/>
        <v>0.99</v>
      </c>
      <c r="AV30">
        <f t="shared" si="31"/>
        <v>0.99</v>
      </c>
      <c r="AW30">
        <f t="shared" si="31"/>
        <v>0.99</v>
      </c>
      <c r="AX30" s="56">
        <v>0.99</v>
      </c>
      <c r="AY30" t="s">
        <v>348</v>
      </c>
      <c r="AZ30" s="1" t="str">
        <f t="shared" ca="1" si="33"/>
        <v>\I:</v>
      </c>
      <c r="BA30" t="str">
        <f t="shared" ca="1" si="0"/>
        <v>Trd_2w</v>
      </c>
      <c r="BB30">
        <f t="shared" ca="1" si="1"/>
        <v>25</v>
      </c>
      <c r="BD30" t="str">
        <f t="shared" ca="1" si="3"/>
        <v>DMD</v>
      </c>
      <c r="BE30" t="str">
        <f t="shared" ca="1" si="4"/>
        <v>\I:</v>
      </c>
      <c r="BG30" t="s">
        <v>156</v>
      </c>
      <c r="BH30" t="s">
        <v>352</v>
      </c>
      <c r="BI30" t="s">
        <v>359</v>
      </c>
    </row>
    <row r="31" spans="1:61">
      <c r="C31" t="str">
        <f t="shared" si="32"/>
        <v>TRAELC</v>
      </c>
      <c r="D31">
        <f t="shared" si="29"/>
        <v>0.99</v>
      </c>
      <c r="E31">
        <f t="shared" si="29"/>
        <v>0.99</v>
      </c>
      <c r="F31">
        <f t="shared" si="29"/>
        <v>0.99</v>
      </c>
      <c r="G31">
        <f t="shared" si="29"/>
        <v>0.99</v>
      </c>
      <c r="H31">
        <f t="shared" si="29"/>
        <v>0.99</v>
      </c>
      <c r="I31">
        <f t="shared" si="29"/>
        <v>0.99</v>
      </c>
      <c r="J31">
        <f t="shared" si="29"/>
        <v>0.99</v>
      </c>
      <c r="K31">
        <f t="shared" si="29"/>
        <v>0.99</v>
      </c>
      <c r="L31">
        <f t="shared" si="29"/>
        <v>0.99</v>
      </c>
      <c r="M31">
        <f t="shared" si="29"/>
        <v>0.99</v>
      </c>
      <c r="N31">
        <f t="shared" si="29"/>
        <v>0.99</v>
      </c>
      <c r="O31">
        <f t="shared" si="29"/>
        <v>0.99</v>
      </c>
      <c r="P31">
        <f t="shared" si="29"/>
        <v>0.99</v>
      </c>
      <c r="Q31">
        <f t="shared" si="29"/>
        <v>0.99</v>
      </c>
      <c r="R31">
        <f t="shared" si="29"/>
        <v>0.99</v>
      </c>
      <c r="S31">
        <f t="shared" si="29"/>
        <v>0.99</v>
      </c>
      <c r="T31">
        <f t="shared" si="29"/>
        <v>0.99</v>
      </c>
      <c r="U31">
        <f t="shared" si="29"/>
        <v>0.99</v>
      </c>
      <c r="V31">
        <f t="shared" si="29"/>
        <v>0.99</v>
      </c>
      <c r="W31">
        <f t="shared" si="29"/>
        <v>0.99</v>
      </c>
      <c r="X31">
        <f t="shared" si="29"/>
        <v>0.99</v>
      </c>
      <c r="Y31">
        <f t="shared" si="29"/>
        <v>0.99</v>
      </c>
      <c r="Z31">
        <f t="shared" si="29"/>
        <v>0.99</v>
      </c>
      <c r="AA31">
        <f t="shared" si="29"/>
        <v>0.99</v>
      </c>
      <c r="AB31">
        <f t="shared" si="29"/>
        <v>0.99</v>
      </c>
      <c r="AC31">
        <f t="shared" si="29"/>
        <v>0.99</v>
      </c>
      <c r="AD31">
        <f t="shared" si="30"/>
        <v>0.99</v>
      </c>
      <c r="AE31">
        <f t="shared" si="30"/>
        <v>0.99</v>
      </c>
      <c r="AF31">
        <f t="shared" si="30"/>
        <v>0.99</v>
      </c>
      <c r="AG31">
        <f t="shared" si="30"/>
        <v>0.99</v>
      </c>
      <c r="AH31">
        <f t="shared" si="30"/>
        <v>0.99</v>
      </c>
      <c r="AI31">
        <f t="shared" si="30"/>
        <v>0.99</v>
      </c>
      <c r="AJ31">
        <f t="shared" si="30"/>
        <v>0.99</v>
      </c>
      <c r="AK31">
        <f t="shared" si="31"/>
        <v>0.99</v>
      </c>
      <c r="AL31">
        <f t="shared" si="31"/>
        <v>0.99</v>
      </c>
      <c r="AM31">
        <f t="shared" si="31"/>
        <v>0.99</v>
      </c>
      <c r="AN31">
        <f t="shared" si="31"/>
        <v>0.99</v>
      </c>
      <c r="AO31">
        <f t="shared" si="31"/>
        <v>0.99</v>
      </c>
      <c r="AP31">
        <f t="shared" si="31"/>
        <v>0.99</v>
      </c>
      <c r="AQ31">
        <f t="shared" si="31"/>
        <v>0.99</v>
      </c>
      <c r="AR31">
        <f t="shared" si="31"/>
        <v>0.99</v>
      </c>
      <c r="AS31">
        <f t="shared" si="31"/>
        <v>0.99</v>
      </c>
      <c r="AT31">
        <f t="shared" si="31"/>
        <v>0.99</v>
      </c>
      <c r="AU31">
        <f t="shared" si="31"/>
        <v>0.99</v>
      </c>
      <c r="AV31">
        <f t="shared" si="31"/>
        <v>0.99</v>
      </c>
      <c r="AW31">
        <f t="shared" si="31"/>
        <v>0.99</v>
      </c>
      <c r="AX31" s="56">
        <v>0.99</v>
      </c>
      <c r="AY31" t="s">
        <v>348</v>
      </c>
      <c r="AZ31" s="1" t="str">
        <f t="shared" ca="1" si="33"/>
        <v>\I:</v>
      </c>
      <c r="BA31" t="str">
        <f t="shared" ca="1" si="0"/>
        <v>Trd_2w</v>
      </c>
      <c r="BB31">
        <f t="shared" ca="1" si="1"/>
        <v>25</v>
      </c>
      <c r="BD31" t="str">
        <f t="shared" ca="1" si="3"/>
        <v>DMD</v>
      </c>
      <c r="BE31" t="str">
        <f t="shared" ca="1" si="4"/>
        <v>\I:</v>
      </c>
      <c r="BG31" t="s">
        <v>156</v>
      </c>
      <c r="BH31" t="s">
        <v>352</v>
      </c>
      <c r="BI31" t="s">
        <v>359</v>
      </c>
    </row>
    <row r="32" spans="1:61">
      <c r="C32" t="str">
        <f t="shared" si="32"/>
        <v>TRAGSL</v>
      </c>
      <c r="D32">
        <f t="shared" si="29"/>
        <v>0.99</v>
      </c>
      <c r="E32">
        <f t="shared" si="29"/>
        <v>0.99</v>
      </c>
      <c r="F32">
        <f t="shared" si="29"/>
        <v>0.99</v>
      </c>
      <c r="G32">
        <f t="shared" si="29"/>
        <v>0.99</v>
      </c>
      <c r="H32">
        <f t="shared" si="29"/>
        <v>0.99</v>
      </c>
      <c r="I32">
        <f t="shared" si="29"/>
        <v>0.99</v>
      </c>
      <c r="J32">
        <f t="shared" si="29"/>
        <v>0.99</v>
      </c>
      <c r="K32">
        <f t="shared" si="29"/>
        <v>0.99</v>
      </c>
      <c r="L32">
        <f t="shared" si="29"/>
        <v>0.99</v>
      </c>
      <c r="M32">
        <f t="shared" si="29"/>
        <v>0.99</v>
      </c>
      <c r="N32">
        <f t="shared" si="29"/>
        <v>0.99</v>
      </c>
      <c r="O32">
        <f t="shared" si="29"/>
        <v>0.99</v>
      </c>
      <c r="P32">
        <f t="shared" si="29"/>
        <v>0.99</v>
      </c>
      <c r="Q32">
        <f t="shared" si="29"/>
        <v>0.99</v>
      </c>
      <c r="R32">
        <f t="shared" si="29"/>
        <v>0.99</v>
      </c>
      <c r="S32">
        <f t="shared" si="29"/>
        <v>0.99</v>
      </c>
      <c r="T32">
        <f t="shared" si="29"/>
        <v>0.99</v>
      </c>
      <c r="U32">
        <f t="shared" si="29"/>
        <v>0.99</v>
      </c>
      <c r="V32">
        <f t="shared" si="29"/>
        <v>0.99</v>
      </c>
      <c r="W32">
        <f t="shared" si="29"/>
        <v>0.99</v>
      </c>
      <c r="X32">
        <f t="shared" si="29"/>
        <v>0.99</v>
      </c>
      <c r="Y32">
        <f t="shared" si="29"/>
        <v>0.99</v>
      </c>
      <c r="Z32">
        <f t="shared" si="29"/>
        <v>0.99</v>
      </c>
      <c r="AA32">
        <f t="shared" si="29"/>
        <v>0.99</v>
      </c>
      <c r="AB32">
        <f t="shared" si="29"/>
        <v>0.99</v>
      </c>
      <c r="AC32">
        <f t="shared" si="29"/>
        <v>0.99</v>
      </c>
      <c r="AD32">
        <f t="shared" si="30"/>
        <v>0.99</v>
      </c>
      <c r="AE32">
        <f t="shared" si="30"/>
        <v>0.99</v>
      </c>
      <c r="AF32">
        <f t="shared" si="30"/>
        <v>0.99</v>
      </c>
      <c r="AG32">
        <f t="shared" si="30"/>
        <v>0.99</v>
      </c>
      <c r="AH32">
        <f t="shared" si="30"/>
        <v>0.99</v>
      </c>
      <c r="AI32">
        <f t="shared" si="30"/>
        <v>0.99</v>
      </c>
      <c r="AJ32">
        <f t="shared" si="30"/>
        <v>0.99</v>
      </c>
      <c r="AK32">
        <f t="shared" si="31"/>
        <v>0.99</v>
      </c>
      <c r="AL32">
        <f t="shared" si="31"/>
        <v>0.99</v>
      </c>
      <c r="AM32">
        <f t="shared" si="31"/>
        <v>0.99</v>
      </c>
      <c r="AN32">
        <f t="shared" si="31"/>
        <v>0.99</v>
      </c>
      <c r="AO32">
        <f t="shared" si="31"/>
        <v>0.99</v>
      </c>
      <c r="AP32">
        <f t="shared" si="31"/>
        <v>0.99</v>
      </c>
      <c r="AQ32">
        <f t="shared" si="31"/>
        <v>0.99</v>
      </c>
      <c r="AR32">
        <f t="shared" si="31"/>
        <v>0.99</v>
      </c>
      <c r="AS32">
        <f t="shared" si="31"/>
        <v>0.99</v>
      </c>
      <c r="AT32">
        <f t="shared" si="31"/>
        <v>0.99</v>
      </c>
      <c r="AU32">
        <f t="shared" si="31"/>
        <v>0.99</v>
      </c>
      <c r="AV32">
        <f t="shared" si="31"/>
        <v>0.99</v>
      </c>
      <c r="AW32">
        <f t="shared" si="31"/>
        <v>0.99</v>
      </c>
      <c r="AX32" s="56">
        <v>0.99</v>
      </c>
      <c r="AY32" t="s">
        <v>348</v>
      </c>
      <c r="AZ32" s="95" t="str">
        <f t="shared" ca="1" si="33"/>
        <v>Trd_2w_gsl</v>
      </c>
      <c r="BA32" t="str">
        <f t="shared" ca="1" si="0"/>
        <v>Trd_2w</v>
      </c>
      <c r="BB32">
        <f t="shared" ca="1" si="1"/>
        <v>25</v>
      </c>
      <c r="BD32" t="str">
        <f t="shared" ca="1" si="3"/>
        <v>DMD</v>
      </c>
      <c r="BE32" t="str">
        <f t="shared" ca="1" si="4"/>
        <v>Trd_2w_gsl</v>
      </c>
      <c r="BG32" t="s">
        <v>156</v>
      </c>
      <c r="BH32" t="s">
        <v>352</v>
      </c>
      <c r="BI32" t="s">
        <v>359</v>
      </c>
    </row>
    <row r="33" spans="1:61">
      <c r="C33" t="str">
        <f t="shared" si="32"/>
        <v>TRALPG</v>
      </c>
      <c r="D33">
        <f t="shared" si="29"/>
        <v>0.99</v>
      </c>
      <c r="E33">
        <f t="shared" si="29"/>
        <v>0.99</v>
      </c>
      <c r="F33">
        <f t="shared" si="29"/>
        <v>0.99</v>
      </c>
      <c r="G33">
        <f t="shared" si="29"/>
        <v>0.99</v>
      </c>
      <c r="H33">
        <f t="shared" si="29"/>
        <v>0.99</v>
      </c>
      <c r="I33">
        <f t="shared" si="29"/>
        <v>0.99</v>
      </c>
      <c r="J33">
        <f t="shared" si="29"/>
        <v>0.99</v>
      </c>
      <c r="K33">
        <f t="shared" si="29"/>
        <v>0.99</v>
      </c>
      <c r="L33">
        <f t="shared" si="29"/>
        <v>0.99</v>
      </c>
      <c r="M33">
        <f t="shared" si="29"/>
        <v>0.99</v>
      </c>
      <c r="N33">
        <f t="shared" si="29"/>
        <v>0.99</v>
      </c>
      <c r="O33">
        <f t="shared" si="29"/>
        <v>0.99</v>
      </c>
      <c r="P33">
        <f t="shared" si="29"/>
        <v>0.99</v>
      </c>
      <c r="Q33">
        <f t="shared" si="29"/>
        <v>0.99</v>
      </c>
      <c r="R33">
        <f t="shared" si="29"/>
        <v>0.99</v>
      </c>
      <c r="S33">
        <f t="shared" si="29"/>
        <v>0.99</v>
      </c>
      <c r="T33">
        <f t="shared" si="29"/>
        <v>0.99</v>
      </c>
      <c r="U33">
        <f t="shared" si="29"/>
        <v>0.99</v>
      </c>
      <c r="V33">
        <f t="shared" si="29"/>
        <v>0.99</v>
      </c>
      <c r="W33">
        <f t="shared" si="29"/>
        <v>0.99</v>
      </c>
      <c r="X33">
        <f t="shared" si="29"/>
        <v>0.99</v>
      </c>
      <c r="Y33">
        <f t="shared" si="29"/>
        <v>0.99</v>
      </c>
      <c r="Z33">
        <f t="shared" si="29"/>
        <v>0.99</v>
      </c>
      <c r="AA33">
        <f t="shared" si="29"/>
        <v>0.99</v>
      </c>
      <c r="AB33">
        <f t="shared" si="29"/>
        <v>0.99</v>
      </c>
      <c r="AC33">
        <f t="shared" si="29"/>
        <v>0.99</v>
      </c>
      <c r="AD33">
        <f t="shared" si="30"/>
        <v>0.99</v>
      </c>
      <c r="AE33">
        <f t="shared" si="30"/>
        <v>0.99</v>
      </c>
      <c r="AF33">
        <f t="shared" si="30"/>
        <v>0.99</v>
      </c>
      <c r="AG33">
        <f t="shared" si="30"/>
        <v>0.99</v>
      </c>
      <c r="AH33">
        <f t="shared" si="30"/>
        <v>0.99</v>
      </c>
      <c r="AI33">
        <f t="shared" si="30"/>
        <v>0.99</v>
      </c>
      <c r="AJ33">
        <f t="shared" si="30"/>
        <v>0.99</v>
      </c>
      <c r="AK33">
        <f t="shared" si="31"/>
        <v>0.99</v>
      </c>
      <c r="AL33">
        <f t="shared" si="31"/>
        <v>0.99</v>
      </c>
      <c r="AM33">
        <f t="shared" si="31"/>
        <v>0.99</v>
      </c>
      <c r="AN33">
        <f t="shared" si="31"/>
        <v>0.99</v>
      </c>
      <c r="AO33">
        <f t="shared" si="31"/>
        <v>0.99</v>
      </c>
      <c r="AP33">
        <f t="shared" si="31"/>
        <v>0.99</v>
      </c>
      <c r="AQ33">
        <f t="shared" si="31"/>
        <v>0.99</v>
      </c>
      <c r="AR33">
        <f t="shared" si="31"/>
        <v>0.99</v>
      </c>
      <c r="AS33">
        <f t="shared" si="31"/>
        <v>0.99</v>
      </c>
      <c r="AT33">
        <f t="shared" si="31"/>
        <v>0.99</v>
      </c>
      <c r="AU33">
        <f t="shared" si="31"/>
        <v>0.99</v>
      </c>
      <c r="AV33">
        <f t="shared" si="31"/>
        <v>0.99</v>
      </c>
      <c r="AW33">
        <f t="shared" si="31"/>
        <v>0.99</v>
      </c>
      <c r="AX33" s="56">
        <v>0.99</v>
      </c>
      <c r="AY33" t="s">
        <v>348</v>
      </c>
      <c r="AZ33" s="1" t="str">
        <f t="shared" si="33"/>
        <v>\I:</v>
      </c>
      <c r="BA33" t="str">
        <f t="shared" si="0"/>
        <v>Trd_2w</v>
      </c>
      <c r="BB33">
        <f t="shared" si="1"/>
        <v>25</v>
      </c>
      <c r="BD33" t="str">
        <f t="shared" si="3"/>
        <v>DMD</v>
      </c>
      <c r="BE33" t="str">
        <f t="shared" si="4"/>
        <v>\I:</v>
      </c>
      <c r="BG33" t="s">
        <v>156</v>
      </c>
      <c r="BH33" t="s">
        <v>352</v>
      </c>
      <c r="BI33" t="s">
        <v>359</v>
      </c>
    </row>
    <row r="34" spans="1:61">
      <c r="C34" t="str">
        <f t="shared" si="32"/>
        <v>TRANGA</v>
      </c>
      <c r="D34">
        <f t="shared" si="29"/>
        <v>0.99</v>
      </c>
      <c r="E34">
        <f t="shared" si="29"/>
        <v>0.99</v>
      </c>
      <c r="F34">
        <f t="shared" si="29"/>
        <v>0.99</v>
      </c>
      <c r="G34">
        <f t="shared" si="29"/>
        <v>0.99</v>
      </c>
      <c r="H34">
        <f t="shared" si="29"/>
        <v>0.99</v>
      </c>
      <c r="I34">
        <f t="shared" si="29"/>
        <v>0.99</v>
      </c>
      <c r="J34">
        <f t="shared" si="29"/>
        <v>0.99</v>
      </c>
      <c r="K34">
        <f t="shared" si="29"/>
        <v>0.99</v>
      </c>
      <c r="L34">
        <f t="shared" si="29"/>
        <v>0.99</v>
      </c>
      <c r="M34">
        <f t="shared" si="29"/>
        <v>0.99</v>
      </c>
      <c r="N34">
        <f t="shared" si="29"/>
        <v>0.99</v>
      </c>
      <c r="O34">
        <f t="shared" si="29"/>
        <v>0.99</v>
      </c>
      <c r="P34">
        <f t="shared" si="29"/>
        <v>0.99</v>
      </c>
      <c r="Q34">
        <f t="shared" si="29"/>
        <v>0.99</v>
      </c>
      <c r="R34">
        <f t="shared" si="29"/>
        <v>0.99</v>
      </c>
      <c r="S34">
        <f t="shared" si="29"/>
        <v>0.99</v>
      </c>
      <c r="T34">
        <f t="shared" si="29"/>
        <v>0.99</v>
      </c>
      <c r="U34">
        <f t="shared" si="29"/>
        <v>0.99</v>
      </c>
      <c r="V34">
        <f t="shared" si="29"/>
        <v>0.99</v>
      </c>
      <c r="W34">
        <f t="shared" si="29"/>
        <v>0.99</v>
      </c>
      <c r="X34">
        <f t="shared" si="29"/>
        <v>0.99</v>
      </c>
      <c r="Y34">
        <f t="shared" si="29"/>
        <v>0.99</v>
      </c>
      <c r="Z34">
        <f t="shared" si="29"/>
        <v>0.99</v>
      </c>
      <c r="AA34">
        <f t="shared" si="29"/>
        <v>0.99</v>
      </c>
      <c r="AB34">
        <f t="shared" si="29"/>
        <v>0.99</v>
      </c>
      <c r="AC34">
        <f t="shared" si="29"/>
        <v>0.99</v>
      </c>
      <c r="AD34">
        <f t="shared" si="30"/>
        <v>0.99</v>
      </c>
      <c r="AE34">
        <f t="shared" si="30"/>
        <v>0.99</v>
      </c>
      <c r="AF34">
        <f t="shared" si="30"/>
        <v>0.99</v>
      </c>
      <c r="AG34">
        <f t="shared" si="30"/>
        <v>0.99</v>
      </c>
      <c r="AH34">
        <f t="shared" si="30"/>
        <v>0.99</v>
      </c>
      <c r="AI34">
        <f t="shared" si="30"/>
        <v>0.99</v>
      </c>
      <c r="AJ34">
        <f t="shared" si="30"/>
        <v>0.99</v>
      </c>
      <c r="AK34">
        <f t="shared" si="31"/>
        <v>0.99</v>
      </c>
      <c r="AL34">
        <f t="shared" si="31"/>
        <v>0.99</v>
      </c>
      <c r="AM34">
        <f t="shared" si="31"/>
        <v>0.99</v>
      </c>
      <c r="AN34">
        <f t="shared" si="31"/>
        <v>0.99</v>
      </c>
      <c r="AO34">
        <f t="shared" si="31"/>
        <v>0.99</v>
      </c>
      <c r="AP34">
        <f t="shared" si="31"/>
        <v>0.99</v>
      </c>
      <c r="AQ34">
        <f t="shared" si="31"/>
        <v>0.99</v>
      </c>
      <c r="AR34">
        <f t="shared" si="31"/>
        <v>0.99</v>
      </c>
      <c r="AS34">
        <f t="shared" si="31"/>
        <v>0.99</v>
      </c>
      <c r="AT34">
        <f t="shared" si="31"/>
        <v>0.99</v>
      </c>
      <c r="AU34">
        <f t="shared" si="31"/>
        <v>0.99</v>
      </c>
      <c r="AV34">
        <f t="shared" si="31"/>
        <v>0.99</v>
      </c>
      <c r="AW34">
        <f t="shared" si="31"/>
        <v>0.99</v>
      </c>
      <c r="AX34" s="56">
        <v>0.99</v>
      </c>
      <c r="AY34" t="s">
        <v>348</v>
      </c>
      <c r="AZ34" s="1" t="str">
        <f t="shared" si="33"/>
        <v>\I:</v>
      </c>
      <c r="BA34" t="str">
        <f t="shared" si="0"/>
        <v>Trd_2w</v>
      </c>
      <c r="BB34">
        <f t="shared" si="1"/>
        <v>25</v>
      </c>
      <c r="BD34" t="str">
        <f t="shared" si="3"/>
        <v>DMD</v>
      </c>
      <c r="BE34" t="str">
        <f t="shared" si="4"/>
        <v>\I: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7</v>
      </c>
      <c r="E36" s="40">
        <v>7</v>
      </c>
      <c r="F36" s="40">
        <v>7</v>
      </c>
      <c r="G36" s="40">
        <v>7</v>
      </c>
      <c r="H36" s="40">
        <v>7</v>
      </c>
      <c r="I36" s="40">
        <v>7</v>
      </c>
      <c r="J36" s="40">
        <v>7</v>
      </c>
      <c r="K36" s="40">
        <v>7</v>
      </c>
      <c r="L36" s="40">
        <v>7</v>
      </c>
      <c r="M36" s="40">
        <v>7</v>
      </c>
      <c r="N36" s="40">
        <v>7</v>
      </c>
      <c r="O36" s="40">
        <v>7</v>
      </c>
      <c r="P36" s="40">
        <v>7</v>
      </c>
      <c r="Q36" s="40">
        <v>7</v>
      </c>
      <c r="R36" s="40">
        <v>7</v>
      </c>
      <c r="S36" s="40">
        <v>7</v>
      </c>
      <c r="T36" s="40">
        <v>7</v>
      </c>
      <c r="U36" s="40">
        <v>7</v>
      </c>
      <c r="V36" s="40">
        <v>4</v>
      </c>
      <c r="W36" s="40">
        <v>7</v>
      </c>
      <c r="X36" s="40">
        <v>5</v>
      </c>
      <c r="Y36" s="40">
        <v>7</v>
      </c>
      <c r="Z36" s="40">
        <v>4</v>
      </c>
      <c r="AA36" s="40">
        <v>7</v>
      </c>
      <c r="AB36" s="40">
        <v>7</v>
      </c>
      <c r="AC36" s="40">
        <v>3</v>
      </c>
      <c r="AD36" s="40">
        <v>7</v>
      </c>
      <c r="AE36" s="40">
        <v>7</v>
      </c>
      <c r="AF36" s="40">
        <v>6.5</v>
      </c>
      <c r="AG36" s="40">
        <v>7</v>
      </c>
      <c r="AH36" s="40">
        <v>7</v>
      </c>
      <c r="AI36" s="40">
        <v>7</v>
      </c>
      <c r="AJ36" s="40">
        <v>4</v>
      </c>
      <c r="AK36" s="40">
        <v>4</v>
      </c>
      <c r="AL36" s="40">
        <v>4</v>
      </c>
      <c r="AM36" s="40">
        <v>4</v>
      </c>
      <c r="AN36" s="40">
        <v>4</v>
      </c>
      <c r="AO36" s="40">
        <v>4</v>
      </c>
      <c r="AP36" s="40">
        <v>4</v>
      </c>
      <c r="AQ36" s="40">
        <v>4</v>
      </c>
      <c r="AR36" s="40">
        <v>4</v>
      </c>
      <c r="AS36" s="40">
        <v>4</v>
      </c>
      <c r="AT36" s="40">
        <v>4</v>
      </c>
      <c r="AU36" s="40">
        <v>4</v>
      </c>
      <c r="AV36" s="40">
        <v>4</v>
      </c>
      <c r="AW36" s="40">
        <v>4</v>
      </c>
      <c r="AY36" t="s">
        <v>349</v>
      </c>
      <c r="AZ36" s="1" t="str">
        <f ca="1">AZ28</f>
        <v>\I:</v>
      </c>
      <c r="BA36" t="str">
        <f t="shared" ca="1" si="0"/>
        <v>Trd_2w</v>
      </c>
      <c r="BB36">
        <f t="shared" ca="1" si="1"/>
        <v>25</v>
      </c>
      <c r="BD36" t="str">
        <f t="shared" ca="1" si="3"/>
        <v>DMD</v>
      </c>
      <c r="BE36" t="str">
        <f t="shared" ca="1" si="4"/>
        <v>\I: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4">C29</f>
        <v>TRABGS</v>
      </c>
      <c r="D37" s="40">
        <v>7</v>
      </c>
      <c r="E37" s="40">
        <v>7</v>
      </c>
      <c r="F37" s="40">
        <v>7</v>
      </c>
      <c r="G37" s="40">
        <v>7</v>
      </c>
      <c r="H37" s="40">
        <v>7</v>
      </c>
      <c r="I37" s="40">
        <v>7</v>
      </c>
      <c r="J37" s="40">
        <v>7</v>
      </c>
      <c r="K37" s="40">
        <v>7</v>
      </c>
      <c r="L37" s="40">
        <v>7</v>
      </c>
      <c r="M37" s="40">
        <v>7</v>
      </c>
      <c r="N37" s="40">
        <v>7</v>
      </c>
      <c r="O37" s="40">
        <v>7</v>
      </c>
      <c r="P37" s="40">
        <v>7</v>
      </c>
      <c r="Q37" s="40">
        <v>7</v>
      </c>
      <c r="R37" s="40">
        <v>7</v>
      </c>
      <c r="S37" s="40">
        <v>7</v>
      </c>
      <c r="T37" s="40">
        <v>7</v>
      </c>
      <c r="U37" s="40">
        <v>7</v>
      </c>
      <c r="V37" s="40">
        <v>4</v>
      </c>
      <c r="W37" s="40">
        <v>7</v>
      </c>
      <c r="X37" s="40">
        <v>5</v>
      </c>
      <c r="Y37" s="40">
        <v>7</v>
      </c>
      <c r="Z37" s="40">
        <v>4</v>
      </c>
      <c r="AA37" s="40">
        <v>7</v>
      </c>
      <c r="AB37" s="40">
        <v>7</v>
      </c>
      <c r="AC37" s="40">
        <v>3</v>
      </c>
      <c r="AD37" s="40">
        <v>7</v>
      </c>
      <c r="AE37" s="40">
        <v>7</v>
      </c>
      <c r="AF37" s="40">
        <v>6.5</v>
      </c>
      <c r="AG37" s="40">
        <v>7</v>
      </c>
      <c r="AH37" s="40">
        <v>7</v>
      </c>
      <c r="AI37" s="40">
        <v>7</v>
      </c>
      <c r="AJ37" s="40">
        <v>4</v>
      </c>
      <c r="AK37" s="40">
        <v>4</v>
      </c>
      <c r="AL37" s="40">
        <v>4</v>
      </c>
      <c r="AM37" s="40">
        <v>4</v>
      </c>
      <c r="AN37" s="40">
        <v>4</v>
      </c>
      <c r="AO37" s="40">
        <v>4</v>
      </c>
      <c r="AP37" s="40">
        <v>4</v>
      </c>
      <c r="AQ37" s="40">
        <v>4</v>
      </c>
      <c r="AR37" s="40">
        <v>4</v>
      </c>
      <c r="AS37" s="40">
        <v>4</v>
      </c>
      <c r="AT37" s="40">
        <v>4</v>
      </c>
      <c r="AU37" s="40">
        <v>4</v>
      </c>
      <c r="AV37" s="40">
        <v>4</v>
      </c>
      <c r="AW37" s="40">
        <v>4</v>
      </c>
      <c r="AY37" t="s">
        <v>349</v>
      </c>
      <c r="AZ37" s="1" t="str">
        <f t="shared" ref="AZ37:AZ42" ca="1" si="35">AZ29</f>
        <v>\I:</v>
      </c>
      <c r="BA37" t="str">
        <f t="shared" ca="1" si="0"/>
        <v>Trd_2w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4"/>
        <v>TRADST</v>
      </c>
      <c r="D38" s="40">
        <v>7</v>
      </c>
      <c r="E38" s="40">
        <v>7</v>
      </c>
      <c r="F38" s="40">
        <v>7</v>
      </c>
      <c r="G38" s="40">
        <v>7</v>
      </c>
      <c r="H38" s="40">
        <v>7</v>
      </c>
      <c r="I38" s="40">
        <v>7</v>
      </c>
      <c r="J38" s="40">
        <v>7</v>
      </c>
      <c r="K38" s="40">
        <v>7</v>
      </c>
      <c r="L38" s="40">
        <v>7</v>
      </c>
      <c r="M38" s="40">
        <v>7</v>
      </c>
      <c r="N38" s="40">
        <v>7</v>
      </c>
      <c r="O38" s="40">
        <v>7</v>
      </c>
      <c r="P38" s="40">
        <v>7</v>
      </c>
      <c r="Q38" s="40">
        <v>7</v>
      </c>
      <c r="R38" s="40">
        <v>7</v>
      </c>
      <c r="S38" s="40">
        <v>7</v>
      </c>
      <c r="T38" s="40">
        <v>7</v>
      </c>
      <c r="U38" s="40">
        <v>7</v>
      </c>
      <c r="V38" s="40">
        <v>4</v>
      </c>
      <c r="W38" s="40">
        <v>7</v>
      </c>
      <c r="X38" s="40">
        <v>5</v>
      </c>
      <c r="Y38" s="40">
        <v>7</v>
      </c>
      <c r="Z38" s="40">
        <v>4</v>
      </c>
      <c r="AA38" s="40">
        <v>7</v>
      </c>
      <c r="AB38" s="40">
        <v>7</v>
      </c>
      <c r="AC38" s="40">
        <v>3</v>
      </c>
      <c r="AD38" s="40">
        <v>7</v>
      </c>
      <c r="AE38" s="40">
        <v>7</v>
      </c>
      <c r="AF38" s="40">
        <v>6.5</v>
      </c>
      <c r="AG38" s="40">
        <v>7</v>
      </c>
      <c r="AH38" s="40">
        <v>7</v>
      </c>
      <c r="AI38" s="40">
        <v>7</v>
      </c>
      <c r="AJ38" s="40">
        <v>4</v>
      </c>
      <c r="AK38" s="40">
        <v>4</v>
      </c>
      <c r="AL38" s="40">
        <v>4</v>
      </c>
      <c r="AM38" s="40">
        <v>4</v>
      </c>
      <c r="AN38" s="40">
        <v>4</v>
      </c>
      <c r="AO38" s="40">
        <v>4</v>
      </c>
      <c r="AP38" s="40">
        <v>4</v>
      </c>
      <c r="AQ38" s="40">
        <v>4</v>
      </c>
      <c r="AR38" s="40">
        <v>4</v>
      </c>
      <c r="AS38" s="40">
        <v>4</v>
      </c>
      <c r="AT38" s="40">
        <v>4</v>
      </c>
      <c r="AU38" s="40">
        <v>4</v>
      </c>
      <c r="AV38" s="40">
        <v>4</v>
      </c>
      <c r="AW38" s="40">
        <v>4</v>
      </c>
      <c r="AY38" t="s">
        <v>349</v>
      </c>
      <c r="AZ38" s="1" t="str">
        <f t="shared" ca="1" si="35"/>
        <v>\I:</v>
      </c>
      <c r="BA38" t="str">
        <f t="shared" ca="1" si="0"/>
        <v>Trd_2w</v>
      </c>
      <c r="BB38">
        <f t="shared" ca="1" si="1"/>
        <v>25</v>
      </c>
      <c r="BD38" t="str">
        <f t="shared" ca="1" si="3"/>
        <v>DMD</v>
      </c>
      <c r="BE38" t="str">
        <f t="shared" ca="1" si="4"/>
        <v>\I:</v>
      </c>
      <c r="BG38" t="s">
        <v>156</v>
      </c>
      <c r="BH38" t="s">
        <v>352</v>
      </c>
      <c r="BI38" t="s">
        <v>359</v>
      </c>
    </row>
    <row r="39" spans="1:61">
      <c r="C39" t="str">
        <f t="shared" si="34"/>
        <v>TRAELC</v>
      </c>
      <c r="D39" s="40">
        <v>7</v>
      </c>
      <c r="E39" s="40">
        <v>7</v>
      </c>
      <c r="F39" s="40">
        <v>7</v>
      </c>
      <c r="G39" s="40">
        <v>7</v>
      </c>
      <c r="H39" s="40">
        <v>7</v>
      </c>
      <c r="I39" s="40">
        <v>7</v>
      </c>
      <c r="J39" s="40">
        <v>7</v>
      </c>
      <c r="K39" s="40">
        <v>7</v>
      </c>
      <c r="L39" s="40">
        <v>7</v>
      </c>
      <c r="M39" s="40">
        <v>7</v>
      </c>
      <c r="N39" s="40">
        <v>7</v>
      </c>
      <c r="O39" s="40">
        <v>7</v>
      </c>
      <c r="P39" s="40">
        <v>7</v>
      </c>
      <c r="Q39" s="40">
        <v>7</v>
      </c>
      <c r="R39" s="40">
        <v>7</v>
      </c>
      <c r="S39" s="40">
        <v>7</v>
      </c>
      <c r="T39" s="40">
        <v>7</v>
      </c>
      <c r="U39" s="40">
        <v>7</v>
      </c>
      <c r="V39" s="40">
        <v>4</v>
      </c>
      <c r="W39" s="40">
        <v>7</v>
      </c>
      <c r="X39" s="40">
        <v>5</v>
      </c>
      <c r="Y39" s="40">
        <v>7</v>
      </c>
      <c r="Z39" s="40">
        <v>4</v>
      </c>
      <c r="AA39" s="40">
        <v>7</v>
      </c>
      <c r="AB39" s="40">
        <v>7</v>
      </c>
      <c r="AC39" s="40">
        <v>3</v>
      </c>
      <c r="AD39" s="40">
        <v>7</v>
      </c>
      <c r="AE39" s="40">
        <v>7</v>
      </c>
      <c r="AF39" s="40">
        <v>6.5</v>
      </c>
      <c r="AG39" s="40">
        <v>7</v>
      </c>
      <c r="AH39" s="40">
        <v>7</v>
      </c>
      <c r="AI39" s="40">
        <v>7</v>
      </c>
      <c r="AJ39" s="40">
        <v>4</v>
      </c>
      <c r="AK39" s="40">
        <v>4</v>
      </c>
      <c r="AL39" s="40">
        <v>4</v>
      </c>
      <c r="AM39" s="40">
        <v>4</v>
      </c>
      <c r="AN39" s="40">
        <v>4</v>
      </c>
      <c r="AO39" s="40">
        <v>4</v>
      </c>
      <c r="AP39" s="40">
        <v>4</v>
      </c>
      <c r="AQ39" s="40">
        <v>4</v>
      </c>
      <c r="AR39" s="40">
        <v>4</v>
      </c>
      <c r="AS39" s="40">
        <v>4</v>
      </c>
      <c r="AT39" s="40">
        <v>4</v>
      </c>
      <c r="AU39" s="40">
        <v>4</v>
      </c>
      <c r="AV39" s="40">
        <v>4</v>
      </c>
      <c r="AW39" s="40">
        <v>4</v>
      </c>
      <c r="AY39" t="s">
        <v>349</v>
      </c>
      <c r="AZ39" s="1" t="str">
        <f t="shared" ca="1" si="35"/>
        <v>\I:</v>
      </c>
      <c r="BA39" t="str">
        <f t="shared" ca="1" si="0"/>
        <v>Trd_2w</v>
      </c>
      <c r="BB39">
        <f t="shared" ca="1" si="1"/>
        <v>25</v>
      </c>
      <c r="BD39" t="str">
        <f t="shared" ca="1" si="3"/>
        <v>DMD</v>
      </c>
      <c r="BE39" t="str">
        <f t="shared" ca="1" si="4"/>
        <v>\I:</v>
      </c>
      <c r="BG39" t="s">
        <v>156</v>
      </c>
      <c r="BH39" t="s">
        <v>352</v>
      </c>
      <c r="BI39" t="s">
        <v>359</v>
      </c>
    </row>
    <row r="40" spans="1:61">
      <c r="C40" t="str">
        <f t="shared" si="34"/>
        <v>TRAGSL</v>
      </c>
      <c r="D40" s="40">
        <v>7</v>
      </c>
      <c r="E40" s="40">
        <v>7</v>
      </c>
      <c r="F40" s="40">
        <v>7</v>
      </c>
      <c r="G40" s="40">
        <v>7</v>
      </c>
      <c r="H40" s="40">
        <v>7</v>
      </c>
      <c r="I40" s="40">
        <v>7</v>
      </c>
      <c r="J40" s="40">
        <v>7</v>
      </c>
      <c r="K40" s="40">
        <v>7</v>
      </c>
      <c r="L40" s="40">
        <v>7</v>
      </c>
      <c r="M40" s="40">
        <v>7</v>
      </c>
      <c r="N40" s="40">
        <v>7</v>
      </c>
      <c r="O40" s="40">
        <v>7</v>
      </c>
      <c r="P40" s="40">
        <v>7</v>
      </c>
      <c r="Q40" s="40">
        <v>7</v>
      </c>
      <c r="R40" s="40">
        <v>7</v>
      </c>
      <c r="S40" s="40">
        <v>7</v>
      </c>
      <c r="T40" s="40">
        <v>7</v>
      </c>
      <c r="U40" s="40">
        <v>7</v>
      </c>
      <c r="V40" s="40">
        <v>4</v>
      </c>
      <c r="W40" s="40">
        <v>7</v>
      </c>
      <c r="X40" s="40">
        <v>5</v>
      </c>
      <c r="Y40" s="40">
        <v>7</v>
      </c>
      <c r="Z40" s="40">
        <v>4</v>
      </c>
      <c r="AA40" s="40">
        <v>7</v>
      </c>
      <c r="AB40" s="40">
        <v>7</v>
      </c>
      <c r="AC40" s="40">
        <v>3</v>
      </c>
      <c r="AD40" s="40">
        <v>7</v>
      </c>
      <c r="AE40" s="40">
        <v>7</v>
      </c>
      <c r="AF40" s="40">
        <v>6.5</v>
      </c>
      <c r="AG40" s="40">
        <v>7</v>
      </c>
      <c r="AH40" s="40">
        <v>7</v>
      </c>
      <c r="AI40" s="40">
        <v>7</v>
      </c>
      <c r="AJ40" s="40">
        <v>4</v>
      </c>
      <c r="AK40" s="40">
        <v>4</v>
      </c>
      <c r="AL40" s="40">
        <v>4</v>
      </c>
      <c r="AM40" s="40">
        <v>4</v>
      </c>
      <c r="AN40" s="40">
        <v>4</v>
      </c>
      <c r="AO40" s="40">
        <v>4</v>
      </c>
      <c r="AP40" s="40">
        <v>4</v>
      </c>
      <c r="AQ40" s="40">
        <v>4</v>
      </c>
      <c r="AR40" s="40">
        <v>4</v>
      </c>
      <c r="AS40" s="40">
        <v>4</v>
      </c>
      <c r="AT40" s="40">
        <v>4</v>
      </c>
      <c r="AU40" s="40">
        <v>4</v>
      </c>
      <c r="AV40" s="40">
        <v>4</v>
      </c>
      <c r="AW40" s="40">
        <v>4</v>
      </c>
      <c r="AY40" t="s">
        <v>349</v>
      </c>
      <c r="AZ40" s="1" t="str">
        <f t="shared" ca="1" si="35"/>
        <v>Trd_2w_gsl</v>
      </c>
      <c r="BA40" t="str">
        <f t="shared" ca="1" si="0"/>
        <v>Trd_2w</v>
      </c>
      <c r="BB40">
        <f t="shared" ca="1" si="1"/>
        <v>25</v>
      </c>
      <c r="BD40" t="str">
        <f t="shared" ca="1" si="3"/>
        <v>DMD</v>
      </c>
      <c r="BE40" t="str">
        <f t="shared" ca="1" si="4"/>
        <v>Trd_2w_gsl</v>
      </c>
      <c r="BG40" t="s">
        <v>156</v>
      </c>
      <c r="BH40" t="s">
        <v>352</v>
      </c>
      <c r="BI40" t="s">
        <v>359</v>
      </c>
    </row>
    <row r="41" spans="1:61">
      <c r="C41" t="str">
        <f t="shared" si="34"/>
        <v>TRALPG</v>
      </c>
      <c r="D41" s="40">
        <v>7</v>
      </c>
      <c r="E41" s="40">
        <v>7</v>
      </c>
      <c r="F41" s="40">
        <v>7</v>
      </c>
      <c r="G41" s="40">
        <v>7</v>
      </c>
      <c r="H41" s="40">
        <v>7</v>
      </c>
      <c r="I41" s="40">
        <v>7</v>
      </c>
      <c r="J41" s="40">
        <v>7</v>
      </c>
      <c r="K41" s="40">
        <v>7</v>
      </c>
      <c r="L41" s="40">
        <v>7</v>
      </c>
      <c r="M41" s="40">
        <v>7</v>
      </c>
      <c r="N41" s="40">
        <v>7</v>
      </c>
      <c r="O41" s="40">
        <v>7</v>
      </c>
      <c r="P41" s="40">
        <v>7</v>
      </c>
      <c r="Q41" s="40">
        <v>7</v>
      </c>
      <c r="R41" s="40">
        <v>7</v>
      </c>
      <c r="S41" s="40">
        <v>7</v>
      </c>
      <c r="T41" s="40">
        <v>7</v>
      </c>
      <c r="U41" s="40">
        <v>7</v>
      </c>
      <c r="V41" s="40">
        <v>4</v>
      </c>
      <c r="W41" s="40">
        <v>7</v>
      </c>
      <c r="X41" s="40">
        <v>5</v>
      </c>
      <c r="Y41" s="40">
        <v>7</v>
      </c>
      <c r="Z41" s="40">
        <v>4</v>
      </c>
      <c r="AA41" s="40">
        <v>7</v>
      </c>
      <c r="AB41" s="40">
        <v>7</v>
      </c>
      <c r="AC41" s="40">
        <v>3</v>
      </c>
      <c r="AD41" s="40">
        <v>7</v>
      </c>
      <c r="AE41" s="40">
        <v>7</v>
      </c>
      <c r="AF41" s="40">
        <v>6.5</v>
      </c>
      <c r="AG41" s="40">
        <v>7</v>
      </c>
      <c r="AH41" s="40">
        <v>7</v>
      </c>
      <c r="AI41" s="40">
        <v>7</v>
      </c>
      <c r="AJ41" s="40">
        <v>4</v>
      </c>
      <c r="AK41" s="40">
        <v>4</v>
      </c>
      <c r="AL41" s="40">
        <v>4</v>
      </c>
      <c r="AM41" s="40">
        <v>4</v>
      </c>
      <c r="AN41" s="40">
        <v>4</v>
      </c>
      <c r="AO41" s="40">
        <v>4</v>
      </c>
      <c r="AP41" s="40">
        <v>4</v>
      </c>
      <c r="AQ41" s="40">
        <v>4</v>
      </c>
      <c r="AR41" s="40">
        <v>4</v>
      </c>
      <c r="AS41" s="40">
        <v>4</v>
      </c>
      <c r="AT41" s="40">
        <v>4</v>
      </c>
      <c r="AU41" s="40">
        <v>4</v>
      </c>
      <c r="AV41" s="40">
        <v>4</v>
      </c>
      <c r="AW41" s="40">
        <v>4</v>
      </c>
      <c r="AY41" t="s">
        <v>349</v>
      </c>
      <c r="AZ41" s="1" t="str">
        <f t="shared" si="35"/>
        <v>\I:</v>
      </c>
      <c r="BA41" t="str">
        <f t="shared" si="0"/>
        <v>Trd_2w</v>
      </c>
      <c r="BB41">
        <f t="shared" si="1"/>
        <v>25</v>
      </c>
      <c r="BD41" t="str">
        <f t="shared" si="3"/>
        <v>DMD</v>
      </c>
      <c r="BE41" t="str">
        <f t="shared" si="4"/>
        <v>\I:</v>
      </c>
      <c r="BG41" t="s">
        <v>156</v>
      </c>
      <c r="BH41" t="s">
        <v>352</v>
      </c>
      <c r="BI41" t="s">
        <v>359</v>
      </c>
    </row>
    <row r="42" spans="1:61">
      <c r="C42" t="str">
        <f t="shared" si="34"/>
        <v>TRANGA</v>
      </c>
      <c r="D42" s="40">
        <v>7</v>
      </c>
      <c r="E42" s="40">
        <v>7</v>
      </c>
      <c r="F42" s="40">
        <v>7</v>
      </c>
      <c r="G42" s="40">
        <v>7</v>
      </c>
      <c r="H42" s="40">
        <v>7</v>
      </c>
      <c r="I42" s="40">
        <v>7</v>
      </c>
      <c r="J42" s="40">
        <v>7</v>
      </c>
      <c r="K42" s="40">
        <v>7</v>
      </c>
      <c r="L42" s="40">
        <v>7</v>
      </c>
      <c r="M42" s="40">
        <v>7</v>
      </c>
      <c r="N42" s="40">
        <v>7</v>
      </c>
      <c r="O42" s="40">
        <v>7</v>
      </c>
      <c r="P42" s="40">
        <v>7</v>
      </c>
      <c r="Q42" s="40">
        <v>7</v>
      </c>
      <c r="R42" s="40">
        <v>7</v>
      </c>
      <c r="S42" s="40">
        <v>7</v>
      </c>
      <c r="T42" s="40">
        <v>7</v>
      </c>
      <c r="U42" s="40">
        <v>7</v>
      </c>
      <c r="V42" s="40">
        <v>4</v>
      </c>
      <c r="W42" s="40">
        <v>7</v>
      </c>
      <c r="X42" s="40">
        <v>5</v>
      </c>
      <c r="Y42" s="40">
        <v>7</v>
      </c>
      <c r="Z42" s="40">
        <v>4</v>
      </c>
      <c r="AA42" s="40">
        <v>7</v>
      </c>
      <c r="AB42" s="40">
        <v>7</v>
      </c>
      <c r="AC42" s="40">
        <v>3</v>
      </c>
      <c r="AD42" s="40">
        <v>7</v>
      </c>
      <c r="AE42" s="40">
        <v>7</v>
      </c>
      <c r="AF42" s="40">
        <v>6.5</v>
      </c>
      <c r="AG42" s="40">
        <v>7</v>
      </c>
      <c r="AH42" s="40">
        <v>7</v>
      </c>
      <c r="AI42" s="40">
        <v>7</v>
      </c>
      <c r="AJ42" s="40">
        <v>4</v>
      </c>
      <c r="AK42" s="40">
        <v>4</v>
      </c>
      <c r="AL42" s="40">
        <v>4</v>
      </c>
      <c r="AM42" s="40">
        <v>4</v>
      </c>
      <c r="AN42" s="40">
        <v>4</v>
      </c>
      <c r="AO42" s="40">
        <v>4</v>
      </c>
      <c r="AP42" s="40">
        <v>4</v>
      </c>
      <c r="AQ42" s="40">
        <v>4</v>
      </c>
      <c r="AR42" s="40">
        <v>4</v>
      </c>
      <c r="AS42" s="40">
        <v>4</v>
      </c>
      <c r="AT42" s="40">
        <v>4</v>
      </c>
      <c r="AU42" s="40">
        <v>4</v>
      </c>
      <c r="AV42" s="40">
        <v>4</v>
      </c>
      <c r="AW42" s="40">
        <v>4</v>
      </c>
      <c r="AY42" t="s">
        <v>349</v>
      </c>
      <c r="AZ42" s="1" t="str">
        <f t="shared" si="35"/>
        <v>\I:</v>
      </c>
      <c r="BA42" t="str">
        <f t="shared" si="0"/>
        <v>Trd_2w</v>
      </c>
      <c r="BB42">
        <f t="shared" si="1"/>
        <v>25</v>
      </c>
      <c r="BD42" t="str">
        <f t="shared" si="3"/>
        <v>DMD</v>
      </c>
      <c r="BE42" t="str">
        <f t="shared" si="4"/>
        <v>\I: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6">E3</f>
        <v>Africa_Other</v>
      </c>
      <c r="F44" t="str">
        <f t="shared" si="36"/>
        <v>Australia</v>
      </c>
      <c r="G44" t="str">
        <f t="shared" si="36"/>
        <v>Austria</v>
      </c>
      <c r="H44" t="str">
        <f t="shared" si="36"/>
        <v>Baltics</v>
      </c>
      <c r="I44" t="str">
        <f t="shared" si="36"/>
        <v>BeNeLux</v>
      </c>
      <c r="J44" t="str">
        <f t="shared" si="36"/>
        <v>Brazil</v>
      </c>
      <c r="K44" t="str">
        <f t="shared" si="36"/>
        <v>China</v>
      </c>
      <c r="L44" t="str">
        <f t="shared" si="36"/>
        <v>CroSloven</v>
      </c>
      <c r="M44" t="str">
        <f t="shared" si="36"/>
        <v>CzechSlovak</v>
      </c>
      <c r="N44" t="str">
        <f t="shared" si="36"/>
        <v>France</v>
      </c>
      <c r="O44" t="str">
        <f t="shared" si="36"/>
        <v>Germany</v>
      </c>
      <c r="P44" t="str">
        <f t="shared" si="36"/>
        <v>GreeceCyp</v>
      </c>
      <c r="Q44" t="str">
        <f t="shared" si="36"/>
        <v>HunRomBul</v>
      </c>
      <c r="R44" t="str">
        <f t="shared" si="36"/>
        <v>Iceland</v>
      </c>
      <c r="S44" t="str">
        <f t="shared" si="36"/>
        <v>India</v>
      </c>
      <c r="T44" t="str">
        <f t="shared" si="36"/>
        <v>Ireland</v>
      </c>
      <c r="U44" t="str">
        <f t="shared" si="36"/>
        <v>ItalyMal</v>
      </c>
      <c r="V44" t="str">
        <f t="shared" ref="V44:AJ44" si="37">V3</f>
        <v>Japan</v>
      </c>
      <c r="W44" t="str">
        <f t="shared" si="37"/>
        <v>LatAm</v>
      </c>
      <c r="X44" t="str">
        <f t="shared" si="37"/>
        <v>MidEast</v>
      </c>
      <c r="Y44" t="str">
        <f t="shared" si="37"/>
        <v>NorthAm</v>
      </c>
      <c r="Z44" t="str">
        <f t="shared" si="37"/>
        <v>Norway</v>
      </c>
      <c r="AA44" t="str">
        <f t="shared" si="37"/>
        <v>Poland</v>
      </c>
      <c r="AB44" t="str">
        <f t="shared" si="37"/>
        <v>ROW</v>
      </c>
      <c r="AC44" t="str">
        <f t="shared" si="37"/>
        <v>Russia</v>
      </c>
      <c r="AD44" t="str">
        <f t="shared" si="37"/>
        <v>SaudiArabia</v>
      </c>
      <c r="AE44" t="str">
        <f t="shared" si="37"/>
        <v>SouthAfrica</v>
      </c>
      <c r="AF44" t="str">
        <f t="shared" si="37"/>
        <v>SpainPor</v>
      </c>
      <c r="AG44" t="str">
        <f t="shared" si="37"/>
        <v>SweFinDen</v>
      </c>
      <c r="AH44" t="str">
        <f t="shared" si="37"/>
        <v>Switzerland</v>
      </c>
      <c r="AI44" t="str">
        <f t="shared" si="37"/>
        <v>Turkey</v>
      </c>
      <c r="AJ44" t="str">
        <f t="shared" si="37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t="shared" ref="D45:AJ45" ca="1" si="39">SUMPRODUCT(D36:D42,D19:D25)</f>
        <v>247.98200000000003</v>
      </c>
      <c r="E45" s="2">
        <f t="shared" ref="E45:U45" ca="1" si="40">SUMPRODUCT(E36:E42,E19:E25)</f>
        <v>430.61199999999997</v>
      </c>
      <c r="F45" s="2">
        <f t="shared" ca="1" si="40"/>
        <v>10.135999999999999</v>
      </c>
      <c r="G45" s="2">
        <f t="shared" ca="1" si="40"/>
        <v>0.32900000000000001</v>
      </c>
      <c r="H45" s="2">
        <f t="shared" ca="1" si="40"/>
        <v>0.30099999999999999</v>
      </c>
      <c r="I45" s="2">
        <f t="shared" ca="1" si="40"/>
        <v>1.288</v>
      </c>
      <c r="J45" s="2">
        <f t="shared" ca="1" si="40"/>
        <v>12.005000000000001</v>
      </c>
      <c r="K45" s="2">
        <f t="shared" ca="1" si="40"/>
        <v>1604.3090000000002</v>
      </c>
      <c r="L45" s="2">
        <f t="shared" ca="1" si="40"/>
        <v>0.504</v>
      </c>
      <c r="M45" s="2">
        <f t="shared" ca="1" si="40"/>
        <v>1.1900000000000002</v>
      </c>
      <c r="N45" s="2">
        <f t="shared" ca="1" si="40"/>
        <v>1.5820000000000001</v>
      </c>
      <c r="O45" s="2">
        <f t="shared" ca="1" si="40"/>
        <v>3.472</v>
      </c>
      <c r="P45" s="2">
        <f t="shared" ca="1" si="40"/>
        <v>0.54600000000000004</v>
      </c>
      <c r="Q45" s="2">
        <f t="shared" ca="1" si="40"/>
        <v>1.855</v>
      </c>
      <c r="R45" s="2">
        <f t="shared" ca="1" si="40"/>
        <v>2.8000000000000001E-2</v>
      </c>
      <c r="S45" s="2">
        <f t="shared" ca="1" si="40"/>
        <v>531.7829999999999</v>
      </c>
      <c r="T45" s="2">
        <f t="shared" ca="1" si="40"/>
        <v>0.154</v>
      </c>
      <c r="U45" s="2">
        <f t="shared" ca="1" si="40"/>
        <v>1.5680000000000001</v>
      </c>
      <c r="V45" s="2">
        <f t="shared" ca="1" si="39"/>
        <v>14.12</v>
      </c>
      <c r="W45" s="2">
        <f t="shared" ca="1" si="39"/>
        <v>22.827000000000002</v>
      </c>
      <c r="X45" s="2">
        <f t="shared" ca="1" si="39"/>
        <v>32.704999999999998</v>
      </c>
      <c r="Y45" s="2">
        <f t="shared" ca="1" si="39"/>
        <v>14.532</v>
      </c>
      <c r="Z45" s="2">
        <f t="shared" ca="1" si="39"/>
        <v>0.13200000000000001</v>
      </c>
      <c r="AA45" s="2">
        <f t="shared" ca="1" si="39"/>
        <v>2.597</v>
      </c>
      <c r="AB45" s="2">
        <f t="shared" ca="1" si="39"/>
        <v>1567.223</v>
      </c>
      <c r="AC45" s="2">
        <f t="shared" ca="1" si="39"/>
        <v>16.080000000000002</v>
      </c>
      <c r="AD45" s="2">
        <f t="shared" ca="1" si="39"/>
        <v>14.125999999999998</v>
      </c>
      <c r="AE45" s="2">
        <f t="shared" ca="1" si="39"/>
        <v>109.69</v>
      </c>
      <c r="AF45" s="2">
        <f t="shared" ca="1" si="39"/>
        <v>1.3</v>
      </c>
      <c r="AG45" s="2">
        <f t="shared" ca="1" si="39"/>
        <v>0.91</v>
      </c>
      <c r="AH45" s="2">
        <f t="shared" ca="1" si="39"/>
        <v>0.48300000000000004</v>
      </c>
      <c r="AI45" s="2">
        <f t="shared" ca="1" si="39"/>
        <v>1.379</v>
      </c>
      <c r="AJ45" s="2">
        <f t="shared" ca="1" si="39"/>
        <v>2.476</v>
      </c>
      <c r="AK45" s="2">
        <f t="shared" ref="AK45:AW45" ca="1" si="41">SUMPRODUCT(AK36:AK42,AK19:AK25)</f>
        <v>0.8</v>
      </c>
      <c r="AL45" s="2">
        <f t="shared" ca="1" si="41"/>
        <v>0.52400000000000002</v>
      </c>
      <c r="AM45" s="2">
        <f t="shared" ca="1" si="41"/>
        <v>0</v>
      </c>
      <c r="AN45" s="2">
        <f t="shared" ca="1" si="41"/>
        <v>0</v>
      </c>
      <c r="AO45" s="2">
        <f t="shared" ca="1" si="41"/>
        <v>0</v>
      </c>
      <c r="AP45" s="2">
        <f t="shared" ca="1" si="41"/>
        <v>0</v>
      </c>
      <c r="AQ45" s="2">
        <f t="shared" ca="1" si="41"/>
        <v>0</v>
      </c>
      <c r="AR45" s="2">
        <f t="shared" ca="1" si="41"/>
        <v>0</v>
      </c>
      <c r="AS45" s="2">
        <f t="shared" ca="1" si="41"/>
        <v>0</v>
      </c>
      <c r="AT45" s="2">
        <f t="shared" ca="1" si="41"/>
        <v>0</v>
      </c>
      <c r="AU45" s="2">
        <f t="shared" ca="1" si="41"/>
        <v>0</v>
      </c>
      <c r="AV45" s="2">
        <f t="shared" ca="1" si="41"/>
        <v>0</v>
      </c>
      <c r="AW45" s="2">
        <f t="shared" ca="1" si="41"/>
        <v>0</v>
      </c>
      <c r="AY45" t="s">
        <v>350</v>
      </c>
      <c r="BA45" t="s">
        <v>356</v>
      </c>
      <c r="BB45" t="str">
        <f t="shared" si="1"/>
        <v/>
      </c>
    </row>
    <row r="46" spans="1:61">
      <c r="D46" s="1">
        <f ca="1">D45/'non-road'!DB20</f>
        <v>0.12286835186897321</v>
      </c>
      <c r="E46" s="1">
        <f ca="1">E45/'non-road'!DC20</f>
        <v>0.15418596149854027</v>
      </c>
      <c r="F46" s="1">
        <f ca="1">F45/'non-road'!DD20</f>
        <v>1.050383375423972E-2</v>
      </c>
      <c r="G46" s="1">
        <f ca="1">G45/'non-road'!DE20</f>
        <v>9.3767723952380816E-4</v>
      </c>
      <c r="H46" s="1">
        <f ca="1">H45/'non-road'!DF20</f>
        <v>2.1096558457442071E-3</v>
      </c>
      <c r="I46" s="1">
        <f ca="1">I45/'non-road'!DG20</f>
        <v>1.0599018158965359E-3</v>
      </c>
      <c r="J46" s="1">
        <f ca="1">J45/'non-road'!DH20</f>
        <v>4.4056177589883051E-3</v>
      </c>
      <c r="K46" s="1">
        <f ca="1">K45/'non-road'!DI20</f>
        <v>7.5288212906344298E-2</v>
      </c>
      <c r="L46" s="1">
        <f ca="1">L45/'non-road'!DJ20</f>
        <v>3.6578462253059091E-3</v>
      </c>
      <c r="M46" s="1">
        <f ca="1">M45/'non-road'!DK20</f>
        <v>2.5956293092354236E-3</v>
      </c>
      <c r="N46" s="1">
        <f ca="1">N45/'non-road'!DL20</f>
        <v>7.0301737546104963E-4</v>
      </c>
      <c r="O46" s="1">
        <f ca="1">O45/'non-road'!DM20</f>
        <v>1.0786729092168747E-3</v>
      </c>
      <c r="P46" s="1">
        <f ca="1">P45/'non-road'!DN20</f>
        <v>2.0280577706742104E-3</v>
      </c>
      <c r="Q46" s="1">
        <f ca="1">Q45/'non-road'!DO20</f>
        <v>2.777062511602283E-3</v>
      </c>
      <c r="R46" s="1">
        <f ca="1">R45/'non-road'!DP20</f>
        <v>1.7642351725485007E-3</v>
      </c>
      <c r="S46" s="1">
        <f ca="1">S45/'non-road'!DQ20</f>
        <v>6.370146321596061E-2</v>
      </c>
      <c r="T46" s="1">
        <f ca="1">T45/'non-road'!DR20</f>
        <v>5.086873224549118E-4</v>
      </c>
      <c r="U46" s="1">
        <f ca="1">U45/'non-road'!DS20</f>
        <v>8.9796947797162895E-4</v>
      </c>
      <c r="V46" s="1">
        <f ca="1">V45/'non-road'!DT20</f>
        <v>3.2096598942539809E-3</v>
      </c>
      <c r="W46" s="1">
        <f ca="1">W45/'non-road'!DU20</f>
        <v>6.1953377512737823E-3</v>
      </c>
      <c r="X46" s="1">
        <f ca="1">X45/'non-road'!DV20</f>
        <v>8.3907935715206942E-3</v>
      </c>
      <c r="Y46" s="1">
        <f ca="1">Y45/'non-road'!DW20</f>
        <v>7.2445741718866444E-4</v>
      </c>
      <c r="Z46" s="1">
        <f ca="1">Z45/'non-road'!DX20</f>
        <v>4.9729126952433337E-4</v>
      </c>
      <c r="AA46" s="1">
        <f ca="1">AA45/'non-road'!DY20</f>
        <v>2.8234889930679376E-3</v>
      </c>
      <c r="AB46" s="1">
        <f ca="1">AB45/'non-road'!DZ20</f>
        <v>0.11222264787276798</v>
      </c>
      <c r="AC46" s="1">
        <f ca="1">AC45/'non-road'!EA20</f>
        <v>6.5437222792175372E-3</v>
      </c>
      <c r="AD46" s="1">
        <f ca="1">AD45/'non-road'!EB20</f>
        <v>8.2469772954164647E-3</v>
      </c>
      <c r="AE46" s="1">
        <f ca="1">AE45/'non-road'!EC20</f>
        <v>0.17527628105565249</v>
      </c>
      <c r="AF46" s="1">
        <f ca="1">AF45/'non-road'!ED20</f>
        <v>7.8518062174225535E-4</v>
      </c>
      <c r="AG46" s="1">
        <f ca="1">AG45/'non-road'!EE20</f>
        <v>1.1108940866253235E-3</v>
      </c>
      <c r="AH46" s="1">
        <f ca="1">AH45/'non-road'!EF20</f>
        <v>1.1758605327159459E-3</v>
      </c>
      <c r="AI46" s="1">
        <f ca="1">AI45/'non-road'!EG20</f>
        <v>8.94061203319502E-4</v>
      </c>
      <c r="AJ46" s="1">
        <f ca="1">AJ45/'non-road'!EH20</f>
        <v>1.0475013961044456E-3</v>
      </c>
      <c r="AK46" s="1">
        <f ca="1">AK45/'non-road'!EI20</f>
        <v>2.0746140115799768E-3</v>
      </c>
      <c r="AL46" s="1">
        <f ca="1">AL45/'non-road'!EJ20</f>
        <v>2.7714031391958384E-3</v>
      </c>
      <c r="AM46" s="1">
        <f ca="1">AM45/'non-road'!EK20</f>
        <v>0</v>
      </c>
      <c r="AN46" s="1">
        <f ca="1">AN45/'non-road'!EL20</f>
        <v>0</v>
      </c>
      <c r="AO46" s="1">
        <f ca="1">AO45/'non-road'!EM20</f>
        <v>0</v>
      </c>
      <c r="AP46" s="1">
        <f ca="1">AP45/'non-road'!EN20</f>
        <v>0</v>
      </c>
      <c r="AQ46" s="1">
        <f ca="1">AQ45/'non-road'!EO20</f>
        <v>0</v>
      </c>
      <c r="AR46" s="1">
        <f ca="1">AR45/'non-road'!EP20</f>
        <v>0</v>
      </c>
      <c r="AS46" s="1">
        <f ca="1">AS45/'non-road'!EQ20</f>
        <v>0</v>
      </c>
      <c r="AT46" s="1">
        <f ca="1">AT45/'non-road'!ER20</f>
        <v>0</v>
      </c>
      <c r="AU46" s="1">
        <f ca="1">AU45/'non-road'!ES20</f>
        <v>0</v>
      </c>
      <c r="AV46" s="1">
        <f ca="1">AV45/'non-road'!ET20</f>
        <v>0</v>
      </c>
      <c r="AW46" s="1" t="e">
        <f ca="1">AW45/'non-road'!EU20</f>
        <v>#VALUE!</v>
      </c>
      <c r="AY46" t="s">
        <v>169</v>
      </c>
    </row>
    <row r="48" spans="1:61">
      <c r="AY48" t="s">
        <v>430</v>
      </c>
    </row>
    <row r="49" spans="51:54">
      <c r="AY49" t="s">
        <v>431</v>
      </c>
      <c r="AZ49" t="s">
        <v>146</v>
      </c>
      <c r="BA49" t="s">
        <v>432</v>
      </c>
      <c r="BB49" t="s">
        <v>433</v>
      </c>
    </row>
    <row r="50" spans="51:54">
      <c r="AY50" t="s">
        <v>434</v>
      </c>
      <c r="AZ50" t="str">
        <f>BA45</f>
        <v>Trd_2w</v>
      </c>
      <c r="BB50" t="s">
        <v>156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41480-65B1-4030-8DFB-67F25231E4AA}">
  <dimension ref="A2:BI50"/>
  <sheetViews>
    <sheetView zoomScaleNormal="100" workbookViewId="0"/>
  </sheetViews>
  <sheetFormatPr defaultRowHeight="14.25"/>
  <cols>
    <col min="1" max="1" width="10.86328125" bestFit="1" customWidth="1"/>
    <col min="2" max="2" width="2.59765625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2" width="6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5.59765625" bestFit="1" customWidth="1"/>
    <col min="57" max="57" width="11.59765625" bestFit="1" customWidth="1"/>
  </cols>
  <sheetData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SUM(SUMIFS(Assumptions!BD$3:BD$102,Assumptions!$B$3:$B$102,'3-w'!$C4,Assumptions!$G$3:$G$102,{"TRE"}))</f>
        <v>0</v>
      </c>
      <c r="E4" s="2" cm="1">
        <f t="array" aca="1" ref="E4" ca="1">SUM(SUMIFS(Assumptions!BE$3:BE$102,Assumptions!$B$3:$B$102,'3-w'!$C4,Assumptions!$G$3:$G$102,{"TRE"}))</f>
        <v>0</v>
      </c>
      <c r="F4" s="2" cm="1">
        <f t="array" aca="1" ref="F4" ca="1">SUM(SUMIFS(Assumptions!BF$3:BF$102,Assumptions!$B$3:$B$102,'3-w'!$C4,Assumptions!$G$3:$G$102,{"TRE"}))</f>
        <v>0</v>
      </c>
      <c r="G4" s="2" cm="1">
        <f t="array" aca="1" ref="G4" ca="1">SUM(SUMIFS(Assumptions!BG$3:BG$102,Assumptions!$B$3:$B$102,'3-w'!$C4,Assumptions!$G$3:$G$102,{"TRE"}))</f>
        <v>0</v>
      </c>
      <c r="H4" s="2" cm="1">
        <f t="array" aca="1" ref="H4" ca="1">SUM(SUMIFS(Assumptions!BH$3:BH$102,Assumptions!$B$3:$B$102,'3-w'!$C4,Assumptions!$G$3:$G$102,{"TRE"}))</f>
        <v>0</v>
      </c>
      <c r="I4" s="2" cm="1">
        <f t="array" aca="1" ref="I4" ca="1">SUM(SUMIFS(Assumptions!BI$3:BI$102,Assumptions!$B$3:$B$102,'3-w'!$C4,Assumptions!$G$3:$G$102,{"TRE"}))</f>
        <v>0</v>
      </c>
      <c r="J4" s="2" cm="1">
        <f t="array" aca="1" ref="J4" ca="1">SUM(SUMIFS(Assumptions!BJ$3:BJ$102,Assumptions!$B$3:$B$102,'3-w'!$C4,Assumptions!$G$3:$G$102,{"TRE"}))</f>
        <v>0.45572094700776006</v>
      </c>
      <c r="K4" s="2" cm="1">
        <f t="array" aca="1" ref="K4" ca="1">SUM(SUMIFS(Assumptions!BK$3:BK$102,Assumptions!$B$3:$B$102,'3-w'!$C4,Assumptions!$G$3:$G$102,{"TRE"}))</f>
        <v>2.2742400337199999</v>
      </c>
      <c r="L4" s="2" cm="1">
        <f t="array" aca="1" ref="L4" ca="1">SUM(SUMIFS(Assumptions!BL$3:BL$102,Assumptions!$B$3:$B$102,'3-w'!$C4,Assumptions!$G$3:$G$102,{"TRE"}))</f>
        <v>0</v>
      </c>
      <c r="M4" s="2" cm="1">
        <f t="array" aca="1" ref="M4" ca="1">SUM(SUMIFS(Assumptions!BM$3:BM$102,Assumptions!$B$3:$B$102,'3-w'!$C4,Assumptions!$G$3:$G$102,{"TRE"}))</f>
        <v>0</v>
      </c>
      <c r="N4" s="2" cm="1">
        <f t="array" aca="1" ref="N4" ca="1">SUM(SUMIFS(Assumptions!BN$3:BN$102,Assumptions!$B$3:$B$102,'3-w'!$C4,Assumptions!$G$3:$G$102,{"TRE"}))</f>
        <v>0</v>
      </c>
      <c r="O4" s="2" cm="1">
        <f t="array" aca="1" ref="O4" ca="1">SUM(SUMIFS(Assumptions!BO$3:BO$102,Assumptions!$B$3:$B$102,'3-w'!$C4,Assumptions!$G$3:$G$102,{"TRE"}))</f>
        <v>0</v>
      </c>
      <c r="P4" s="2" cm="1">
        <f t="array" aca="1" ref="P4" ca="1">SUM(SUMIFS(Assumptions!BP$3:BP$102,Assumptions!$B$3:$B$102,'3-w'!$C4,Assumptions!$G$3:$G$102,{"TRE"}))</f>
        <v>0</v>
      </c>
      <c r="Q4" s="2" cm="1">
        <f t="array" aca="1" ref="Q4" ca="1">SUM(SUMIFS(Assumptions!BQ$3:BQ$102,Assumptions!$B$3:$B$102,'3-w'!$C4,Assumptions!$G$3:$G$102,{"TRE"}))</f>
        <v>0</v>
      </c>
      <c r="R4" s="2" cm="1">
        <f t="array" aca="1" ref="R4" ca="1">SUM(SUMIFS(Assumptions!BR$3:BR$102,Assumptions!$B$3:$B$102,'3-w'!$C4,Assumptions!$G$3:$G$102,{"TRE"}))</f>
        <v>0</v>
      </c>
      <c r="S4" s="2" cm="1">
        <f t="array" aca="1" ref="S4" ca="1">SUM(SUMIFS(Assumptions!BS$3:BS$102,Assumptions!$B$3:$B$102,'3-w'!$C4,Assumptions!$G$3:$G$102,{"TRE"}))</f>
        <v>0.1023086448</v>
      </c>
      <c r="T4" s="2" cm="1">
        <f t="array" aca="1" ref="T4" ca="1">SUM(SUMIFS(Assumptions!BT$3:BT$102,Assumptions!$B$3:$B$102,'3-w'!$C4,Assumptions!$G$3:$G$102,{"TRE"}))</f>
        <v>0</v>
      </c>
      <c r="U4" s="2" cm="1">
        <f t="array" aca="1" ref="U4" ca="1">SUM(SUMIFS(Assumptions!BU$3:BU$102,Assumptions!$B$3:$B$102,'3-w'!$C4,Assumptions!$G$3:$G$102,{"TRE"}))</f>
        <v>0</v>
      </c>
      <c r="V4" s="2" cm="1">
        <f t="array" aca="1" ref="V4" ca="1">SUM(SUMIFS(Assumptions!BV$3:BV$102,Assumptions!$B$3:$B$102,'3-w'!$C4,Assumptions!$G$3:$G$102,{"TRE"}))</f>
        <v>2.5962346800000003E-4</v>
      </c>
      <c r="W4" s="2" cm="1">
        <f t="array" aca="1" ref="W4" ca="1">SUM(SUMIFS(Assumptions!BW$3:BW$102,Assumptions!$B$3:$B$102,'3-w'!$C4,Assumptions!$G$3:$G$102,{"TRE"}))</f>
        <v>5.1984469799640005E-2</v>
      </c>
      <c r="X4" s="2" cm="1">
        <f t="array" aca="1" ref="X4" ca="1">SUM(SUMIFS(Assumptions!BX$3:BX$102,Assumptions!$B$3:$B$102,'3-w'!$C4,Assumptions!$G$3:$G$102,{"TRE"}))</f>
        <v>0</v>
      </c>
      <c r="Y4" s="2" cm="1">
        <f t="array" aca="1" ref="Y4" ca="1">SUM(SUMIFS(Assumptions!BY$3:BY$102,Assumptions!$B$3:$B$102,'3-w'!$C4,Assumptions!$G$3:$G$102,{"TRE"}))</f>
        <v>0</v>
      </c>
      <c r="Z4" s="2" cm="1">
        <f t="array" aca="1" ref="Z4" ca="1">SUM(SUMIFS(Assumptions!BZ$3:BZ$102,Assumptions!$B$3:$B$102,'3-w'!$C4,Assumptions!$G$3:$G$102,{"TRE"}))</f>
        <v>0</v>
      </c>
      <c r="AA4" s="2" cm="1">
        <f t="array" aca="1" ref="AA4" ca="1">SUM(SUMIFS(Assumptions!CA$3:CA$102,Assumptions!$B$3:$B$102,'3-w'!$C4,Assumptions!$G$3:$G$102,{"TRE"}))</f>
        <v>0</v>
      </c>
      <c r="AB4" s="2" cm="1">
        <f t="array" aca="1" ref="AB4" ca="1">SUM(SUMIFS(Assumptions!CB$3:CB$102,Assumptions!$B$3:$B$102,'3-w'!$C4,Assumptions!$G$3:$G$102,{"TRE"}))</f>
        <v>0</v>
      </c>
      <c r="AC4" s="2" cm="1">
        <f t="array" aca="1" ref="AC4" ca="1">SUM(SUMIFS(Assumptions!CC$3:CC$102,Assumptions!$B$3:$B$102,'3-w'!$C4,Assumptions!$G$3:$G$102,{"TRE"}))</f>
        <v>0</v>
      </c>
      <c r="AD4" s="2" cm="1">
        <f t="array" aca="1" ref="AD4" ca="1">SUM(SUMIFS(Assumptions!CD$3:CD$102,Assumptions!$B$3:$B$102,'3-w'!$C4,Assumptions!$G$3:$G$102,{"TRE"}))</f>
        <v>0</v>
      </c>
      <c r="AE4" s="2" cm="1">
        <f t="array" aca="1" ref="AE4" ca="1">SUM(SUMIFS(Assumptions!CE$3:CE$102,Assumptions!$B$3:$B$102,'3-w'!$C4,Assumptions!$G$3:$G$102,{"TRE"}))</f>
        <v>0</v>
      </c>
      <c r="AF4" s="2" cm="1">
        <f t="array" aca="1" ref="AF4" ca="1">SUM(SUMIFS(Assumptions!CF$3:CF$102,Assumptions!$B$3:$B$102,'3-w'!$C4,Assumptions!$G$3:$G$102,{"TRE"}))</f>
        <v>0</v>
      </c>
      <c r="AG4" s="2" cm="1">
        <f t="array" aca="1" ref="AG4" ca="1">SUM(SUMIFS(Assumptions!CG$3:CG$102,Assumptions!$B$3:$B$102,'3-w'!$C4,Assumptions!$G$3:$G$102,{"TRE"}))</f>
        <v>0</v>
      </c>
      <c r="AH4" s="2" cm="1">
        <f t="array" aca="1" ref="AH4" ca="1">SUM(SUMIFS(Assumptions!CH$3:CH$102,Assumptions!$B$3:$B$102,'3-w'!$C4,Assumptions!$G$3:$G$102,{"TRE"}))</f>
        <v>0</v>
      </c>
      <c r="AI4" s="2" cm="1">
        <f t="array" aca="1" ref="AI4" ca="1">SUM(SUMIFS(Assumptions!CI$3:CI$102,Assumptions!$B$3:$B$102,'3-w'!$C4,Assumptions!$G$3:$G$102,{"TRE"}))</f>
        <v>0</v>
      </c>
      <c r="AJ4" s="2" cm="1">
        <f t="array" aca="1" ref="AJ4" ca="1">SUM(SUMIFS(Assumptions!CJ$3:CJ$102,Assumptions!$B$3:$B$102,'3-w'!$C4,Assumptions!$G$3:$G$102,{"TRE"}))</f>
        <v>0</v>
      </c>
      <c r="AK4" s="2" cm="1">
        <f t="array" aca="1" ref="AK4" ca="1">SUM(SUMIFS(Assumptions!CK$3:CK$102,Assumptions!$B$3:$B$102,'3-w'!$C4,Assumptions!$G$3:$G$102,{"TRE"}))</f>
        <v>0</v>
      </c>
      <c r="AL4" s="2" cm="1">
        <f t="array" aca="1" ref="AL4" ca="1">SUM(SUMIFS(Assumptions!CL$3:CL$102,Assumptions!$B$3:$B$102,'3-w'!$C4,Assumptions!$G$3:$G$102,{"TRE"}))</f>
        <v>0</v>
      </c>
      <c r="AM4" s="2" cm="1">
        <f t="array" aca="1" ref="AM4" ca="1">SUM(SUMIFS(Assumptions!CM$3:CM$102,Assumptions!$B$3:$B$102,'3-w'!$C4,Assumptions!$G$3:$G$102,{"TRE"}))</f>
        <v>0</v>
      </c>
      <c r="AN4" s="2" cm="1">
        <f t="array" aca="1" ref="AN4" ca="1">SUM(SUMIFS(Assumptions!CN$3:CN$102,Assumptions!$B$3:$B$102,'3-w'!$C4,Assumptions!$G$3:$G$102,{"TRE"}))</f>
        <v>0</v>
      </c>
      <c r="AO4" s="2" cm="1">
        <f t="array" aca="1" ref="AO4" ca="1">SUM(SUMIFS(Assumptions!CO$3:CO$102,Assumptions!$B$3:$B$102,'3-w'!$C4,Assumptions!$G$3:$G$102,{"TRE"}))</f>
        <v>0</v>
      </c>
      <c r="AP4" s="2" cm="1">
        <f t="array" aca="1" ref="AP4" ca="1">SUM(SUMIFS(Assumptions!CP$3:CP$102,Assumptions!$B$3:$B$102,'3-w'!$C4,Assumptions!$G$3:$G$102,{"TRE"}))</f>
        <v>0</v>
      </c>
      <c r="AQ4" s="2" cm="1">
        <f t="array" aca="1" ref="AQ4" ca="1">SUM(SUMIFS(Assumptions!CQ$3:CQ$102,Assumptions!$B$3:$B$102,'3-w'!$C4,Assumptions!$G$3:$G$102,{"TRE"}))</f>
        <v>0</v>
      </c>
      <c r="AR4" s="2" cm="1">
        <f t="array" aca="1" ref="AR4" ca="1">SUM(SUMIFS(Assumptions!CR$3:CR$102,Assumptions!$B$3:$B$102,'3-w'!$C4,Assumptions!$G$3:$G$102,{"TRE"}))</f>
        <v>0</v>
      </c>
      <c r="AS4" s="2" cm="1">
        <f t="array" aca="1" ref="AS4" ca="1">SUM(SUMIFS(Assumptions!CS$3:CS$102,Assumptions!$B$3:$B$102,'3-w'!$C4,Assumptions!$G$3:$G$102,{"TRE"}))</f>
        <v>0</v>
      </c>
      <c r="AT4" s="2" cm="1">
        <f t="array" aca="1" ref="AT4" ca="1">SUM(SUMIFS(Assumptions!CT$3:CT$102,Assumptions!$B$3:$B$102,'3-w'!$C4,Assumptions!$G$3:$G$102,{"TRE"}))</f>
        <v>0</v>
      </c>
      <c r="AU4" s="2" cm="1">
        <f t="array" aca="1" ref="AU4" ca="1">SUM(SUMIFS(Assumptions!CU$3:CU$102,Assumptions!$B$3:$B$102,'3-w'!$C4,Assumptions!$G$3:$G$102,{"TRE"}))</f>
        <v>0</v>
      </c>
      <c r="AV4" s="2" cm="1">
        <f t="array" aca="1" ref="AV4" ca="1">SUM(SUMIFS(Assumptions!CV$3:CV$102,Assumptions!$B$3:$B$102,'3-w'!$C4,Assumptions!$G$3:$G$102,{"TRE"}))</f>
        <v>0</v>
      </c>
      <c r="AW4" s="2" cm="1">
        <f t="array" aca="1" ref="AW4" ca="1">SUM(SUMIFS(Assumptions!CW$3:CW$102,Assumptions!$B$3:$B$102,'3-w'!$C4,Assumptions!$G$3:$G$102,{"TRE"}))</f>
        <v>0</v>
      </c>
      <c r="AX4" s="53" t="str">
        <f ca="1">IF(SUM(D4:AW4)=0,"zero","")</f>
        <v/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SUM(SUMIFS(Assumptions!BD$3:BD$102,Assumptions!$B$3:$B$102,'3-w'!$C5,Assumptions!$G$3:$G$102,{"TRE"}))</f>
        <v>0</v>
      </c>
      <c r="E5" s="2" cm="1">
        <f t="array" aca="1" ref="E5" ca="1">SUM(SUMIFS(Assumptions!BE$3:BE$102,Assumptions!$B$3:$B$102,'3-w'!$C5,Assumptions!$G$3:$G$102,{"TRE"}))</f>
        <v>0</v>
      </c>
      <c r="F5" s="2" cm="1">
        <f t="array" aca="1" ref="F5" ca="1">SUM(SUMIFS(Assumptions!BF$3:BF$102,Assumptions!$B$3:$B$102,'3-w'!$C5,Assumptions!$G$3:$G$102,{"TRE"}))</f>
        <v>0</v>
      </c>
      <c r="G5" s="2" cm="1">
        <f t="array" aca="1" ref="G5" ca="1">SUM(SUMIFS(Assumptions!BG$3:BG$102,Assumptions!$B$3:$B$102,'3-w'!$C5,Assumptions!$G$3:$G$102,{"TRE"}))</f>
        <v>0</v>
      </c>
      <c r="H5" s="2" cm="1">
        <f t="array" aca="1" ref="H5" ca="1">SUM(SUMIFS(Assumptions!BH$3:BH$102,Assumptions!$B$3:$B$102,'3-w'!$C5,Assumptions!$G$3:$G$102,{"TRE"}))</f>
        <v>0</v>
      </c>
      <c r="I5" s="2" cm="1">
        <f t="array" aca="1" ref="I5" ca="1">SUM(SUMIFS(Assumptions!BI$3:BI$102,Assumptions!$B$3:$B$102,'3-w'!$C5,Assumptions!$G$3:$G$102,{"TRE"}))</f>
        <v>0</v>
      </c>
      <c r="J5" s="2" cm="1">
        <f t="array" aca="1" ref="J5" ca="1">SUM(SUMIFS(Assumptions!BJ$3:BJ$102,Assumptions!$B$3:$B$102,'3-w'!$C5,Assumptions!$G$3:$G$102,{"TRE"}))</f>
        <v>0</v>
      </c>
      <c r="K5" s="2" cm="1">
        <f t="array" aca="1" ref="K5" ca="1">SUM(SUMIFS(Assumptions!BK$3:BK$102,Assumptions!$B$3:$B$102,'3-w'!$C5,Assumptions!$G$3:$G$102,{"TRE"}))</f>
        <v>0</v>
      </c>
      <c r="L5" s="2" cm="1">
        <f t="array" aca="1" ref="L5" ca="1">SUM(SUMIFS(Assumptions!BL$3:BL$102,Assumptions!$B$3:$B$102,'3-w'!$C5,Assumptions!$G$3:$G$102,{"TRE"}))</f>
        <v>0</v>
      </c>
      <c r="M5" s="2" cm="1">
        <f t="array" aca="1" ref="M5" ca="1">SUM(SUMIFS(Assumptions!BM$3:BM$102,Assumptions!$B$3:$B$102,'3-w'!$C5,Assumptions!$G$3:$G$102,{"TRE"}))</f>
        <v>0</v>
      </c>
      <c r="N5" s="2" cm="1">
        <f t="array" aca="1" ref="N5" ca="1">SUM(SUMIFS(Assumptions!BN$3:BN$102,Assumptions!$B$3:$B$102,'3-w'!$C5,Assumptions!$G$3:$G$102,{"TRE"}))</f>
        <v>0</v>
      </c>
      <c r="O5" s="2" cm="1">
        <f t="array" aca="1" ref="O5" ca="1">SUM(SUMIFS(Assumptions!BO$3:BO$102,Assumptions!$B$3:$B$102,'3-w'!$C5,Assumptions!$G$3:$G$102,{"TRE"}))</f>
        <v>0</v>
      </c>
      <c r="P5" s="2" cm="1">
        <f t="array" aca="1" ref="P5" ca="1">SUM(SUMIFS(Assumptions!BP$3:BP$102,Assumptions!$B$3:$B$102,'3-w'!$C5,Assumptions!$G$3:$G$102,{"TRE"}))</f>
        <v>0</v>
      </c>
      <c r="Q5" s="2" cm="1">
        <f t="array" aca="1" ref="Q5" ca="1">SUM(SUMIFS(Assumptions!BQ$3:BQ$102,Assumptions!$B$3:$B$102,'3-w'!$C5,Assumptions!$G$3:$G$102,{"TRE"}))</f>
        <v>0</v>
      </c>
      <c r="R5" s="2" cm="1">
        <f t="array" aca="1" ref="R5" ca="1">SUM(SUMIFS(Assumptions!BR$3:BR$102,Assumptions!$B$3:$B$102,'3-w'!$C5,Assumptions!$G$3:$G$102,{"TRE"}))</f>
        <v>0</v>
      </c>
      <c r="S5" s="2" cm="1">
        <f t="array" aca="1" ref="S5" ca="1">SUM(SUMIFS(Assumptions!BS$3:BS$102,Assumptions!$B$3:$B$102,'3-w'!$C5,Assumptions!$G$3:$G$102,{"TRE"}))</f>
        <v>0</v>
      </c>
      <c r="T5" s="2" cm="1">
        <f t="array" aca="1" ref="T5" ca="1">SUM(SUMIFS(Assumptions!BT$3:BT$102,Assumptions!$B$3:$B$102,'3-w'!$C5,Assumptions!$G$3:$G$102,{"TRE"}))</f>
        <v>0</v>
      </c>
      <c r="U5" s="2" cm="1">
        <f t="array" aca="1" ref="U5" ca="1">SUM(SUMIFS(Assumptions!BU$3:BU$102,Assumptions!$B$3:$B$102,'3-w'!$C5,Assumptions!$G$3:$G$102,{"TRE"}))</f>
        <v>0</v>
      </c>
      <c r="V5" s="2" cm="1">
        <f t="array" aca="1" ref="V5" ca="1">SUM(SUMIFS(Assumptions!BV$3:BV$102,Assumptions!$B$3:$B$102,'3-w'!$C5,Assumptions!$G$3:$G$102,{"TRE"}))</f>
        <v>0</v>
      </c>
      <c r="W5" s="2" cm="1">
        <f t="array" aca="1" ref="W5" ca="1">SUM(SUMIFS(Assumptions!BW$3:BW$102,Assumptions!$B$3:$B$102,'3-w'!$C5,Assumptions!$G$3:$G$102,{"TRE"}))</f>
        <v>0</v>
      </c>
      <c r="X5" s="2" cm="1">
        <f t="array" aca="1" ref="X5" ca="1">SUM(SUMIFS(Assumptions!BX$3:BX$102,Assumptions!$B$3:$B$102,'3-w'!$C5,Assumptions!$G$3:$G$102,{"TRE"}))</f>
        <v>0</v>
      </c>
      <c r="Y5" s="2" cm="1">
        <f t="array" aca="1" ref="Y5" ca="1">SUM(SUMIFS(Assumptions!BY$3:BY$102,Assumptions!$B$3:$B$102,'3-w'!$C5,Assumptions!$G$3:$G$102,{"TRE"}))</f>
        <v>0</v>
      </c>
      <c r="Z5" s="2" cm="1">
        <f t="array" aca="1" ref="Z5" ca="1">SUM(SUMIFS(Assumptions!BZ$3:BZ$102,Assumptions!$B$3:$B$102,'3-w'!$C5,Assumptions!$G$3:$G$102,{"TRE"}))</f>
        <v>0</v>
      </c>
      <c r="AA5" s="2" cm="1">
        <f t="array" aca="1" ref="AA5" ca="1">SUM(SUMIFS(Assumptions!CA$3:CA$102,Assumptions!$B$3:$B$102,'3-w'!$C5,Assumptions!$G$3:$G$102,{"TRE"}))</f>
        <v>0</v>
      </c>
      <c r="AB5" s="2" cm="1">
        <f t="array" aca="1" ref="AB5" ca="1">SUM(SUMIFS(Assumptions!CB$3:CB$102,Assumptions!$B$3:$B$102,'3-w'!$C5,Assumptions!$G$3:$G$102,{"TRE"}))</f>
        <v>0</v>
      </c>
      <c r="AC5" s="2" cm="1">
        <f t="array" aca="1" ref="AC5" ca="1">SUM(SUMIFS(Assumptions!CC$3:CC$102,Assumptions!$B$3:$B$102,'3-w'!$C5,Assumptions!$G$3:$G$102,{"TRE"}))</f>
        <v>0</v>
      </c>
      <c r="AD5" s="2" cm="1">
        <f t="array" aca="1" ref="AD5" ca="1">SUM(SUMIFS(Assumptions!CD$3:CD$102,Assumptions!$B$3:$B$102,'3-w'!$C5,Assumptions!$G$3:$G$102,{"TRE"}))</f>
        <v>0</v>
      </c>
      <c r="AE5" s="2" cm="1">
        <f t="array" aca="1" ref="AE5" ca="1">SUM(SUMIFS(Assumptions!CE$3:CE$102,Assumptions!$B$3:$B$102,'3-w'!$C5,Assumptions!$G$3:$G$102,{"TRE"}))</f>
        <v>0</v>
      </c>
      <c r="AF5" s="2" cm="1">
        <f t="array" aca="1" ref="AF5" ca="1">SUM(SUMIFS(Assumptions!CF$3:CF$102,Assumptions!$B$3:$B$102,'3-w'!$C5,Assumptions!$G$3:$G$102,{"TRE"}))</f>
        <v>0</v>
      </c>
      <c r="AG5" s="2" cm="1">
        <f t="array" aca="1" ref="AG5" ca="1">SUM(SUMIFS(Assumptions!CG$3:CG$102,Assumptions!$B$3:$B$102,'3-w'!$C5,Assumptions!$G$3:$G$102,{"TRE"}))</f>
        <v>0</v>
      </c>
      <c r="AH5" s="2" cm="1">
        <f t="array" aca="1" ref="AH5" ca="1">SUM(SUMIFS(Assumptions!CH$3:CH$102,Assumptions!$B$3:$B$102,'3-w'!$C5,Assumptions!$G$3:$G$102,{"TRE"}))</f>
        <v>0</v>
      </c>
      <c r="AI5" s="2" cm="1">
        <f t="array" aca="1" ref="AI5" ca="1">SUM(SUMIFS(Assumptions!CI$3:CI$102,Assumptions!$B$3:$B$102,'3-w'!$C5,Assumptions!$G$3:$G$102,{"TRE"}))</f>
        <v>0</v>
      </c>
      <c r="AJ5" s="2" cm="1">
        <f t="array" aca="1" ref="AJ5" ca="1">SUM(SUMIFS(Assumptions!CJ$3:CJ$102,Assumptions!$B$3:$B$102,'3-w'!$C5,Assumptions!$G$3:$G$102,{"TRE"}))</f>
        <v>0</v>
      </c>
      <c r="AK5" s="2" cm="1">
        <f t="array" aca="1" ref="AK5" ca="1">SUM(SUMIFS(Assumptions!CK$3:CK$102,Assumptions!$B$3:$B$102,'3-w'!$C5,Assumptions!$G$3:$G$102,{"TRE"}))</f>
        <v>0</v>
      </c>
      <c r="AL5" s="2" cm="1">
        <f t="array" aca="1" ref="AL5" ca="1">SUM(SUMIFS(Assumptions!CL$3:CL$102,Assumptions!$B$3:$B$102,'3-w'!$C5,Assumptions!$G$3:$G$102,{"TRE"}))</f>
        <v>0</v>
      </c>
      <c r="AM5" s="2" cm="1">
        <f t="array" aca="1" ref="AM5" ca="1">SUM(SUMIFS(Assumptions!CM$3:CM$102,Assumptions!$B$3:$B$102,'3-w'!$C5,Assumptions!$G$3:$G$102,{"TRE"}))</f>
        <v>0</v>
      </c>
      <c r="AN5" s="2" cm="1">
        <f t="array" aca="1" ref="AN5" ca="1">SUM(SUMIFS(Assumptions!CN$3:CN$102,Assumptions!$B$3:$B$102,'3-w'!$C5,Assumptions!$G$3:$G$102,{"TRE"}))</f>
        <v>0</v>
      </c>
      <c r="AO5" s="2" cm="1">
        <f t="array" aca="1" ref="AO5" ca="1">SUM(SUMIFS(Assumptions!CO$3:CO$102,Assumptions!$B$3:$B$102,'3-w'!$C5,Assumptions!$G$3:$G$102,{"TRE"}))</f>
        <v>0</v>
      </c>
      <c r="AP5" s="2" cm="1">
        <f t="array" aca="1" ref="AP5" ca="1">SUM(SUMIFS(Assumptions!CP$3:CP$102,Assumptions!$B$3:$B$102,'3-w'!$C5,Assumptions!$G$3:$G$102,{"TRE"}))</f>
        <v>0</v>
      </c>
      <c r="AQ5" s="2" cm="1">
        <f t="array" aca="1" ref="AQ5" ca="1">SUM(SUMIFS(Assumptions!CQ$3:CQ$102,Assumptions!$B$3:$B$102,'3-w'!$C5,Assumptions!$G$3:$G$102,{"TRE"}))</f>
        <v>0</v>
      </c>
      <c r="AR5" s="2" cm="1">
        <f t="array" aca="1" ref="AR5" ca="1">SUM(SUMIFS(Assumptions!CR$3:CR$102,Assumptions!$B$3:$B$102,'3-w'!$C5,Assumptions!$G$3:$G$102,{"TRE"}))</f>
        <v>0</v>
      </c>
      <c r="AS5" s="2" cm="1">
        <f t="array" aca="1" ref="AS5" ca="1">SUM(SUMIFS(Assumptions!CS$3:CS$102,Assumptions!$B$3:$B$102,'3-w'!$C5,Assumptions!$G$3:$G$102,{"TRE"}))</f>
        <v>0</v>
      </c>
      <c r="AT5" s="2" cm="1">
        <f t="array" aca="1" ref="AT5" ca="1">SUM(SUMIFS(Assumptions!CT$3:CT$102,Assumptions!$B$3:$B$102,'3-w'!$C5,Assumptions!$G$3:$G$102,{"TRE"}))</f>
        <v>0</v>
      </c>
      <c r="AU5" s="2" cm="1">
        <f t="array" aca="1" ref="AU5" ca="1">SUM(SUMIFS(Assumptions!CU$3:CU$102,Assumptions!$B$3:$B$102,'3-w'!$C5,Assumptions!$G$3:$G$102,{"TRE"}))</f>
        <v>0</v>
      </c>
      <c r="AV5" s="2" cm="1">
        <f t="array" aca="1" ref="AV5" ca="1">SUM(SUMIFS(Assumptions!CV$3:CV$102,Assumptions!$B$3:$B$102,'3-w'!$C5,Assumptions!$G$3:$G$102,{"TRE"}))</f>
        <v>0</v>
      </c>
      <c r="AW5" s="2" cm="1">
        <f t="array" aca="1" ref="AW5" ca="1">SUM(SUMIFS(Assumptions!CW$3:CW$102,Assumptions!$B$3:$B$102,'3-w'!$C5,Assumptions!$G$3:$G$102,{"TRE"}))</f>
        <v>0</v>
      </c>
      <c r="AX5" s="53" t="str">
        <f t="shared" ref="AX5:AX10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SUM(SUMIFS(Assumptions!BD$3:BD$102,Assumptions!$B$3:$B$102,'3-w'!$C6,Assumptions!$G$3:$G$102,{"TRE"}))</f>
        <v>0</v>
      </c>
      <c r="E6" s="2" cm="1">
        <f t="array" aca="1" ref="E6" ca="1">SUM(SUMIFS(Assumptions!BE$3:BE$102,Assumptions!$B$3:$B$102,'3-w'!$C6,Assumptions!$G$3:$G$102,{"TRE"}))</f>
        <v>0</v>
      </c>
      <c r="F6" s="2" cm="1">
        <f t="array" aca="1" ref="F6" ca="1">SUM(SUMIFS(Assumptions!BF$3:BF$102,Assumptions!$B$3:$B$102,'3-w'!$C6,Assumptions!$G$3:$G$102,{"TRE"}))</f>
        <v>0</v>
      </c>
      <c r="G6" s="2" cm="1">
        <f t="array" aca="1" ref="G6" ca="1">SUM(SUMIFS(Assumptions!BG$3:BG$102,Assumptions!$B$3:$B$102,'3-w'!$C6,Assumptions!$G$3:$G$102,{"TRE"}))</f>
        <v>0</v>
      </c>
      <c r="H6" s="2" cm="1">
        <f t="array" aca="1" ref="H6" ca="1">SUM(SUMIFS(Assumptions!BH$3:BH$102,Assumptions!$B$3:$B$102,'3-w'!$C6,Assumptions!$G$3:$G$102,{"TRE"}))</f>
        <v>0</v>
      </c>
      <c r="I6" s="2" cm="1">
        <f t="array" aca="1" ref="I6" ca="1">SUM(SUMIFS(Assumptions!BI$3:BI$102,Assumptions!$B$3:$B$102,'3-w'!$C6,Assumptions!$G$3:$G$102,{"TRE"}))</f>
        <v>0</v>
      </c>
      <c r="J6" s="2" cm="1">
        <f t="array" aca="1" ref="J6" ca="1">SUM(SUMIFS(Assumptions!BJ$3:BJ$102,Assumptions!$B$3:$B$102,'3-w'!$C6,Assumptions!$G$3:$G$102,{"TRE"}))</f>
        <v>1.0051941397780801</v>
      </c>
      <c r="K6" s="2" cm="1">
        <f t="array" aca="1" ref="K6" ca="1">SUM(SUMIFS(Assumptions!BK$3:BK$102,Assumptions!$B$3:$B$102,'3-w'!$C6,Assumptions!$G$3:$G$102,{"TRE"}))</f>
        <v>232.88229676706402</v>
      </c>
      <c r="L6" s="2" cm="1">
        <f t="array" aca="1" ref="L6" ca="1">SUM(SUMIFS(Assumptions!BL$3:BL$102,Assumptions!$B$3:$B$102,'3-w'!$C6,Assumptions!$G$3:$G$102,{"TRE"}))</f>
        <v>0</v>
      </c>
      <c r="M6" s="2" cm="1">
        <f t="array" aca="1" ref="M6" ca="1">SUM(SUMIFS(Assumptions!BM$3:BM$102,Assumptions!$B$3:$B$102,'3-w'!$C6,Assumptions!$G$3:$G$102,{"TRE"}))</f>
        <v>0</v>
      </c>
      <c r="N6" s="2" cm="1">
        <f t="array" aca="1" ref="N6" ca="1">SUM(SUMIFS(Assumptions!BN$3:BN$102,Assumptions!$B$3:$B$102,'3-w'!$C6,Assumptions!$G$3:$G$102,{"TRE"}))</f>
        <v>0</v>
      </c>
      <c r="O6" s="2" cm="1">
        <f t="array" aca="1" ref="O6" ca="1">SUM(SUMIFS(Assumptions!BO$3:BO$102,Assumptions!$B$3:$B$102,'3-w'!$C6,Assumptions!$G$3:$G$102,{"TRE"}))</f>
        <v>0</v>
      </c>
      <c r="P6" s="2" cm="1">
        <f t="array" aca="1" ref="P6" ca="1">SUM(SUMIFS(Assumptions!BP$3:BP$102,Assumptions!$B$3:$B$102,'3-w'!$C6,Assumptions!$G$3:$G$102,{"TRE"}))</f>
        <v>0</v>
      </c>
      <c r="Q6" s="2" cm="1">
        <f t="array" aca="1" ref="Q6" ca="1">SUM(SUMIFS(Assumptions!BQ$3:BQ$102,Assumptions!$B$3:$B$102,'3-w'!$C6,Assumptions!$G$3:$G$102,{"TRE"}))</f>
        <v>0</v>
      </c>
      <c r="R6" s="2" cm="1">
        <f t="array" aca="1" ref="R6" ca="1">SUM(SUMIFS(Assumptions!BR$3:BR$102,Assumptions!$B$3:$B$102,'3-w'!$C6,Assumptions!$G$3:$G$102,{"TRE"}))</f>
        <v>0</v>
      </c>
      <c r="S6" s="2" cm="1">
        <f t="array" aca="1" ref="S6" ca="1">SUM(SUMIFS(Assumptions!BS$3:BS$102,Assumptions!$B$3:$B$102,'3-w'!$C6,Assumptions!$G$3:$G$102,{"TRE"}))</f>
        <v>152.103682543725</v>
      </c>
      <c r="T6" s="2" cm="1">
        <f t="array" aca="1" ref="T6" ca="1">SUM(SUMIFS(Assumptions!BT$3:BT$102,Assumptions!$B$3:$B$102,'3-w'!$C6,Assumptions!$G$3:$G$102,{"TRE"}))</f>
        <v>0</v>
      </c>
      <c r="U6" s="2" cm="1">
        <f t="array" aca="1" ref="U6" ca="1">SUM(SUMIFS(Assumptions!BU$3:BU$102,Assumptions!$B$3:$B$102,'3-w'!$C6,Assumptions!$G$3:$G$102,{"TRE"}))</f>
        <v>0</v>
      </c>
      <c r="V6" s="2" cm="1">
        <f t="array" aca="1" ref="V6" ca="1">SUM(SUMIFS(Assumptions!BV$3:BV$102,Assumptions!$B$3:$B$102,'3-w'!$C6,Assumptions!$G$3:$G$102,{"TRE"}))</f>
        <v>0.45663549192180003</v>
      </c>
      <c r="W6" s="2" cm="1">
        <f t="array" aca="1" ref="W6" ca="1">SUM(SUMIFS(Assumptions!BW$3:BW$102,Assumptions!$B$3:$B$102,'3-w'!$C6,Assumptions!$G$3:$G$102,{"TRE"}))</f>
        <v>1.0320575562763201</v>
      </c>
      <c r="X6" s="2" cm="1">
        <f t="array" aca="1" ref="X6" ca="1">SUM(SUMIFS(Assumptions!BX$3:BX$102,Assumptions!$B$3:$B$102,'3-w'!$C6,Assumptions!$G$3:$G$102,{"TRE"}))</f>
        <v>0</v>
      </c>
      <c r="Y6" s="2" cm="1">
        <f t="array" aca="1" ref="Y6" ca="1">SUM(SUMIFS(Assumptions!BY$3:BY$102,Assumptions!$B$3:$B$102,'3-w'!$C6,Assumptions!$G$3:$G$102,{"TRE"}))</f>
        <v>0</v>
      </c>
      <c r="Z6" s="2" cm="1">
        <f t="array" aca="1" ref="Z6" ca="1">SUM(SUMIFS(Assumptions!BZ$3:BZ$102,Assumptions!$B$3:$B$102,'3-w'!$C6,Assumptions!$G$3:$G$102,{"TRE"}))</f>
        <v>0</v>
      </c>
      <c r="AA6" s="2" cm="1">
        <f t="array" aca="1" ref="AA6" ca="1">SUM(SUMIFS(Assumptions!CA$3:CA$102,Assumptions!$B$3:$B$102,'3-w'!$C6,Assumptions!$G$3:$G$102,{"TRE"}))</f>
        <v>0</v>
      </c>
      <c r="AB6" s="2" cm="1">
        <f t="array" aca="1" ref="AB6" ca="1">SUM(SUMIFS(Assumptions!CB$3:CB$102,Assumptions!$B$3:$B$102,'3-w'!$C6,Assumptions!$G$3:$G$102,{"TRE"}))</f>
        <v>0</v>
      </c>
      <c r="AC6" s="2" cm="1">
        <f t="array" aca="1" ref="AC6" ca="1">SUM(SUMIFS(Assumptions!CC$3:CC$102,Assumptions!$B$3:$B$102,'3-w'!$C6,Assumptions!$G$3:$G$102,{"TRE"}))</f>
        <v>0</v>
      </c>
      <c r="AD6" s="2" cm="1">
        <f t="array" aca="1" ref="AD6" ca="1">SUM(SUMIFS(Assumptions!CD$3:CD$102,Assumptions!$B$3:$B$102,'3-w'!$C6,Assumptions!$G$3:$G$102,{"TRE"}))</f>
        <v>0</v>
      </c>
      <c r="AE6" s="2" cm="1">
        <f t="array" aca="1" ref="AE6" ca="1">SUM(SUMIFS(Assumptions!CE$3:CE$102,Assumptions!$B$3:$B$102,'3-w'!$C6,Assumptions!$G$3:$G$102,{"TRE"}))</f>
        <v>0</v>
      </c>
      <c r="AF6" s="2" cm="1">
        <f t="array" aca="1" ref="AF6" ca="1">SUM(SUMIFS(Assumptions!CF$3:CF$102,Assumptions!$B$3:$B$102,'3-w'!$C6,Assumptions!$G$3:$G$102,{"TRE"}))</f>
        <v>0</v>
      </c>
      <c r="AG6" s="2" cm="1">
        <f t="array" aca="1" ref="AG6" ca="1">SUM(SUMIFS(Assumptions!CG$3:CG$102,Assumptions!$B$3:$B$102,'3-w'!$C6,Assumptions!$G$3:$G$102,{"TRE"}))</f>
        <v>0</v>
      </c>
      <c r="AH6" s="2" cm="1">
        <f t="array" aca="1" ref="AH6" ca="1">SUM(SUMIFS(Assumptions!CH$3:CH$102,Assumptions!$B$3:$B$102,'3-w'!$C6,Assumptions!$G$3:$G$102,{"TRE"}))</f>
        <v>0</v>
      </c>
      <c r="AI6" s="2" cm="1">
        <f t="array" aca="1" ref="AI6" ca="1">SUM(SUMIFS(Assumptions!CI$3:CI$102,Assumptions!$B$3:$B$102,'3-w'!$C6,Assumptions!$G$3:$G$102,{"TRE"}))</f>
        <v>0</v>
      </c>
      <c r="AJ6" s="2" cm="1">
        <f t="array" aca="1" ref="AJ6" ca="1">SUM(SUMIFS(Assumptions!CJ$3:CJ$102,Assumptions!$B$3:$B$102,'3-w'!$C6,Assumptions!$G$3:$G$102,{"TRE"}))</f>
        <v>0</v>
      </c>
      <c r="AK6" s="2" cm="1">
        <f t="array" aca="1" ref="AK6" ca="1">SUM(SUMIFS(Assumptions!CK$3:CK$102,Assumptions!$B$3:$B$102,'3-w'!$C6,Assumptions!$G$3:$G$102,{"TRE"}))</f>
        <v>0</v>
      </c>
      <c r="AL6" s="2" cm="1">
        <f t="array" aca="1" ref="AL6" ca="1">SUM(SUMIFS(Assumptions!CL$3:CL$102,Assumptions!$B$3:$B$102,'3-w'!$C6,Assumptions!$G$3:$G$102,{"TRE"}))</f>
        <v>0</v>
      </c>
      <c r="AM6" s="2" cm="1">
        <f t="array" aca="1" ref="AM6" ca="1">SUM(SUMIFS(Assumptions!CM$3:CM$102,Assumptions!$B$3:$B$102,'3-w'!$C6,Assumptions!$G$3:$G$102,{"TRE"}))</f>
        <v>0</v>
      </c>
      <c r="AN6" s="2" cm="1">
        <f t="array" aca="1" ref="AN6" ca="1">SUM(SUMIFS(Assumptions!CN$3:CN$102,Assumptions!$B$3:$B$102,'3-w'!$C6,Assumptions!$G$3:$G$102,{"TRE"}))</f>
        <v>0</v>
      </c>
      <c r="AO6" s="2" cm="1">
        <f t="array" aca="1" ref="AO6" ca="1">SUM(SUMIFS(Assumptions!CO$3:CO$102,Assumptions!$B$3:$B$102,'3-w'!$C6,Assumptions!$G$3:$G$102,{"TRE"}))</f>
        <v>0</v>
      </c>
      <c r="AP6" s="2" cm="1">
        <f t="array" aca="1" ref="AP6" ca="1">SUM(SUMIFS(Assumptions!CP$3:CP$102,Assumptions!$B$3:$B$102,'3-w'!$C6,Assumptions!$G$3:$G$102,{"TRE"}))</f>
        <v>0</v>
      </c>
      <c r="AQ6" s="2" cm="1">
        <f t="array" aca="1" ref="AQ6" ca="1">SUM(SUMIFS(Assumptions!CQ$3:CQ$102,Assumptions!$B$3:$B$102,'3-w'!$C6,Assumptions!$G$3:$G$102,{"TRE"}))</f>
        <v>0</v>
      </c>
      <c r="AR6" s="2" cm="1">
        <f t="array" aca="1" ref="AR6" ca="1">SUM(SUMIFS(Assumptions!CR$3:CR$102,Assumptions!$B$3:$B$102,'3-w'!$C6,Assumptions!$G$3:$G$102,{"TRE"}))</f>
        <v>0</v>
      </c>
      <c r="AS6" s="2" cm="1">
        <f t="array" aca="1" ref="AS6" ca="1">SUM(SUMIFS(Assumptions!CS$3:CS$102,Assumptions!$B$3:$B$102,'3-w'!$C6,Assumptions!$G$3:$G$102,{"TRE"}))</f>
        <v>0</v>
      </c>
      <c r="AT6" s="2" cm="1">
        <f t="array" aca="1" ref="AT6" ca="1">SUM(SUMIFS(Assumptions!CT$3:CT$102,Assumptions!$B$3:$B$102,'3-w'!$C6,Assumptions!$G$3:$G$102,{"TRE"}))</f>
        <v>0</v>
      </c>
      <c r="AU6" s="2" cm="1">
        <f t="array" aca="1" ref="AU6" ca="1">SUM(SUMIFS(Assumptions!CU$3:CU$102,Assumptions!$B$3:$B$102,'3-w'!$C6,Assumptions!$G$3:$G$102,{"TRE"}))</f>
        <v>0</v>
      </c>
      <c r="AV6" s="2" cm="1">
        <f t="array" aca="1" ref="AV6" ca="1">SUM(SUMIFS(Assumptions!CV$3:CV$102,Assumptions!$B$3:$B$102,'3-w'!$C6,Assumptions!$G$3:$G$102,{"TRE"}))</f>
        <v>0</v>
      </c>
      <c r="AW6" s="2" cm="1">
        <f t="array" aca="1" ref="AW6" ca="1">SUM(SUMIFS(Assumptions!CW$3:CW$102,Assumptions!$B$3:$B$102,'3-w'!$C6,Assumptions!$G$3:$G$102,{"TRE"}))</f>
        <v>0</v>
      </c>
      <c r="AX6" s="53" t="str">
        <f t="shared" ca="1" si="2"/>
        <v/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SUM(SUMIFS(Assumptions!BD$3:BD$102,Assumptions!$B$3:$B$102,'3-w'!$C7,Assumptions!$G$3:$G$102,{"TRE"}))</f>
        <v>0</v>
      </c>
      <c r="E7" s="2" cm="1">
        <f t="array" aca="1" ref="E7" ca="1">SUM(SUMIFS(Assumptions!BE$3:BE$102,Assumptions!$B$3:$B$102,'3-w'!$C7,Assumptions!$G$3:$G$102,{"TRE"}))</f>
        <v>0</v>
      </c>
      <c r="F7" s="2" cm="1">
        <f t="array" aca="1" ref="F7" ca="1">SUM(SUMIFS(Assumptions!BF$3:BF$102,Assumptions!$B$3:$B$102,'3-w'!$C7,Assumptions!$G$3:$G$102,{"TRE"}))</f>
        <v>0</v>
      </c>
      <c r="G7" s="2" cm="1">
        <f t="array" aca="1" ref="G7" ca="1">SUM(SUMIFS(Assumptions!BG$3:BG$102,Assumptions!$B$3:$B$102,'3-w'!$C7,Assumptions!$G$3:$G$102,{"TRE"}))</f>
        <v>0</v>
      </c>
      <c r="H7" s="2" cm="1">
        <f t="array" aca="1" ref="H7" ca="1">SUM(SUMIFS(Assumptions!BH$3:BH$102,Assumptions!$B$3:$B$102,'3-w'!$C7,Assumptions!$G$3:$G$102,{"TRE"}))</f>
        <v>0</v>
      </c>
      <c r="I7" s="2" cm="1">
        <f t="array" aca="1" ref="I7" ca="1">SUM(SUMIFS(Assumptions!BI$3:BI$102,Assumptions!$B$3:$B$102,'3-w'!$C7,Assumptions!$G$3:$G$102,{"TRE"}))</f>
        <v>0</v>
      </c>
      <c r="J7" s="2" cm="1">
        <f t="array" aca="1" ref="J7" ca="1">SUM(SUMIFS(Assumptions!BJ$3:BJ$102,Assumptions!$B$3:$B$102,'3-w'!$C7,Assumptions!$G$3:$G$102,{"TRE"}))</f>
        <v>0</v>
      </c>
      <c r="K7" s="2" cm="1">
        <f t="array" aca="1" ref="K7" ca="1">SUM(SUMIFS(Assumptions!BK$3:BK$102,Assumptions!$B$3:$B$102,'3-w'!$C7,Assumptions!$G$3:$G$102,{"TRE"}))</f>
        <v>0</v>
      </c>
      <c r="L7" s="2" cm="1">
        <f t="array" aca="1" ref="L7" ca="1">SUM(SUMIFS(Assumptions!BL$3:BL$102,Assumptions!$B$3:$B$102,'3-w'!$C7,Assumptions!$G$3:$G$102,{"TRE"}))</f>
        <v>0</v>
      </c>
      <c r="M7" s="2" cm="1">
        <f t="array" aca="1" ref="M7" ca="1">SUM(SUMIFS(Assumptions!BM$3:BM$102,Assumptions!$B$3:$B$102,'3-w'!$C7,Assumptions!$G$3:$G$102,{"TRE"}))</f>
        <v>0</v>
      </c>
      <c r="N7" s="2" cm="1">
        <f t="array" aca="1" ref="N7" ca="1">SUM(SUMIFS(Assumptions!BN$3:BN$102,Assumptions!$B$3:$B$102,'3-w'!$C7,Assumptions!$G$3:$G$102,{"TRE"}))</f>
        <v>0</v>
      </c>
      <c r="O7" s="2" cm="1">
        <f t="array" aca="1" ref="O7" ca="1">SUM(SUMIFS(Assumptions!BO$3:BO$102,Assumptions!$B$3:$B$102,'3-w'!$C7,Assumptions!$G$3:$G$102,{"TRE"}))</f>
        <v>0</v>
      </c>
      <c r="P7" s="2" cm="1">
        <f t="array" aca="1" ref="P7" ca="1">SUM(SUMIFS(Assumptions!BP$3:BP$102,Assumptions!$B$3:$B$102,'3-w'!$C7,Assumptions!$G$3:$G$102,{"TRE"}))</f>
        <v>0</v>
      </c>
      <c r="Q7" s="2" cm="1">
        <f t="array" aca="1" ref="Q7" ca="1">SUM(SUMIFS(Assumptions!BQ$3:BQ$102,Assumptions!$B$3:$B$102,'3-w'!$C7,Assumptions!$G$3:$G$102,{"TRE"}))</f>
        <v>0</v>
      </c>
      <c r="R7" s="2" cm="1">
        <f t="array" aca="1" ref="R7" ca="1">SUM(SUMIFS(Assumptions!BR$3:BR$102,Assumptions!$B$3:$B$102,'3-w'!$C7,Assumptions!$G$3:$G$102,{"TRE"}))</f>
        <v>0</v>
      </c>
      <c r="S7" s="2" cm="1">
        <f t="array" aca="1" ref="S7" ca="1">SUM(SUMIFS(Assumptions!BS$3:BS$102,Assumptions!$B$3:$B$102,'3-w'!$C7,Assumptions!$G$3:$G$102,{"TRE"}))</f>
        <v>0</v>
      </c>
      <c r="T7" s="2" cm="1">
        <f t="array" aca="1" ref="T7" ca="1">SUM(SUMIFS(Assumptions!BT$3:BT$102,Assumptions!$B$3:$B$102,'3-w'!$C7,Assumptions!$G$3:$G$102,{"TRE"}))</f>
        <v>0</v>
      </c>
      <c r="U7" s="2" cm="1">
        <f t="array" aca="1" ref="U7" ca="1">SUM(SUMIFS(Assumptions!BU$3:BU$102,Assumptions!$B$3:$B$102,'3-w'!$C7,Assumptions!$G$3:$G$102,{"TRE"}))</f>
        <v>0</v>
      </c>
      <c r="V7" s="2" cm="1">
        <f t="array" aca="1" ref="V7" ca="1">SUM(SUMIFS(Assumptions!BV$3:BV$102,Assumptions!$B$3:$B$102,'3-w'!$C7,Assumptions!$G$3:$G$102,{"TRE"}))</f>
        <v>0</v>
      </c>
      <c r="W7" s="2" cm="1">
        <f t="array" aca="1" ref="W7" ca="1">SUM(SUMIFS(Assumptions!BW$3:BW$102,Assumptions!$B$3:$B$102,'3-w'!$C7,Assumptions!$G$3:$G$102,{"TRE"}))</f>
        <v>0</v>
      </c>
      <c r="X7" s="2" cm="1">
        <f t="array" aca="1" ref="X7" ca="1">SUM(SUMIFS(Assumptions!BX$3:BX$102,Assumptions!$B$3:$B$102,'3-w'!$C7,Assumptions!$G$3:$G$102,{"TRE"}))</f>
        <v>0</v>
      </c>
      <c r="Y7" s="2" cm="1">
        <f t="array" aca="1" ref="Y7" ca="1">SUM(SUMIFS(Assumptions!BY$3:BY$102,Assumptions!$B$3:$B$102,'3-w'!$C7,Assumptions!$G$3:$G$102,{"TRE"}))</f>
        <v>0</v>
      </c>
      <c r="Z7" s="2" cm="1">
        <f t="array" aca="1" ref="Z7" ca="1">SUM(SUMIFS(Assumptions!BZ$3:BZ$102,Assumptions!$B$3:$B$102,'3-w'!$C7,Assumptions!$G$3:$G$102,{"TRE"}))</f>
        <v>0</v>
      </c>
      <c r="AA7" s="2" cm="1">
        <f t="array" aca="1" ref="AA7" ca="1">SUM(SUMIFS(Assumptions!CA$3:CA$102,Assumptions!$B$3:$B$102,'3-w'!$C7,Assumptions!$G$3:$G$102,{"TRE"}))</f>
        <v>0</v>
      </c>
      <c r="AB7" s="2" cm="1">
        <f t="array" aca="1" ref="AB7" ca="1">SUM(SUMIFS(Assumptions!CB$3:CB$102,Assumptions!$B$3:$B$102,'3-w'!$C7,Assumptions!$G$3:$G$102,{"TRE"}))</f>
        <v>0</v>
      </c>
      <c r="AC7" s="2" cm="1">
        <f t="array" aca="1" ref="AC7" ca="1">SUM(SUMIFS(Assumptions!CC$3:CC$102,Assumptions!$B$3:$B$102,'3-w'!$C7,Assumptions!$G$3:$G$102,{"TRE"}))</f>
        <v>0</v>
      </c>
      <c r="AD7" s="2" cm="1">
        <f t="array" aca="1" ref="AD7" ca="1">SUM(SUMIFS(Assumptions!CD$3:CD$102,Assumptions!$B$3:$B$102,'3-w'!$C7,Assumptions!$G$3:$G$102,{"TRE"}))</f>
        <v>0</v>
      </c>
      <c r="AE7" s="2" cm="1">
        <f t="array" aca="1" ref="AE7" ca="1">SUM(SUMIFS(Assumptions!CE$3:CE$102,Assumptions!$B$3:$B$102,'3-w'!$C7,Assumptions!$G$3:$G$102,{"TRE"}))</f>
        <v>0</v>
      </c>
      <c r="AF7" s="2" cm="1">
        <f t="array" aca="1" ref="AF7" ca="1">SUM(SUMIFS(Assumptions!CF$3:CF$102,Assumptions!$B$3:$B$102,'3-w'!$C7,Assumptions!$G$3:$G$102,{"TRE"}))</f>
        <v>0</v>
      </c>
      <c r="AG7" s="2" cm="1">
        <f t="array" aca="1" ref="AG7" ca="1">SUM(SUMIFS(Assumptions!CG$3:CG$102,Assumptions!$B$3:$B$102,'3-w'!$C7,Assumptions!$G$3:$G$102,{"TRE"}))</f>
        <v>0</v>
      </c>
      <c r="AH7" s="2" cm="1">
        <f t="array" aca="1" ref="AH7" ca="1">SUM(SUMIFS(Assumptions!CH$3:CH$102,Assumptions!$B$3:$B$102,'3-w'!$C7,Assumptions!$G$3:$G$102,{"TRE"}))</f>
        <v>0</v>
      </c>
      <c r="AI7" s="2" cm="1">
        <f t="array" aca="1" ref="AI7" ca="1">SUM(SUMIFS(Assumptions!CI$3:CI$102,Assumptions!$B$3:$B$102,'3-w'!$C7,Assumptions!$G$3:$G$102,{"TRE"}))</f>
        <v>0</v>
      </c>
      <c r="AJ7" s="2" cm="1">
        <f t="array" aca="1" ref="AJ7" ca="1">SUM(SUMIFS(Assumptions!CJ$3:CJ$102,Assumptions!$B$3:$B$102,'3-w'!$C7,Assumptions!$G$3:$G$102,{"TRE"}))</f>
        <v>0</v>
      </c>
      <c r="AK7" s="2" cm="1">
        <f t="array" aca="1" ref="AK7" ca="1">SUM(SUMIFS(Assumptions!CK$3:CK$102,Assumptions!$B$3:$B$102,'3-w'!$C7,Assumptions!$G$3:$G$102,{"TRE"}))</f>
        <v>0</v>
      </c>
      <c r="AL7" s="2" cm="1">
        <f t="array" aca="1" ref="AL7" ca="1">SUM(SUMIFS(Assumptions!CL$3:CL$102,Assumptions!$B$3:$B$102,'3-w'!$C7,Assumptions!$G$3:$G$102,{"TRE"}))</f>
        <v>0</v>
      </c>
      <c r="AM7" s="2" cm="1">
        <f t="array" aca="1" ref="AM7" ca="1">SUM(SUMIFS(Assumptions!CM$3:CM$102,Assumptions!$B$3:$B$102,'3-w'!$C7,Assumptions!$G$3:$G$102,{"TRE"}))</f>
        <v>0</v>
      </c>
      <c r="AN7" s="2" cm="1">
        <f t="array" aca="1" ref="AN7" ca="1">SUM(SUMIFS(Assumptions!CN$3:CN$102,Assumptions!$B$3:$B$102,'3-w'!$C7,Assumptions!$G$3:$G$102,{"TRE"}))</f>
        <v>0</v>
      </c>
      <c r="AO7" s="2" cm="1">
        <f t="array" aca="1" ref="AO7" ca="1">SUM(SUMIFS(Assumptions!CO$3:CO$102,Assumptions!$B$3:$B$102,'3-w'!$C7,Assumptions!$G$3:$G$102,{"TRE"}))</f>
        <v>0</v>
      </c>
      <c r="AP7" s="2" cm="1">
        <f t="array" aca="1" ref="AP7" ca="1">SUM(SUMIFS(Assumptions!CP$3:CP$102,Assumptions!$B$3:$B$102,'3-w'!$C7,Assumptions!$G$3:$G$102,{"TRE"}))</f>
        <v>0</v>
      </c>
      <c r="AQ7" s="2" cm="1">
        <f t="array" aca="1" ref="AQ7" ca="1">SUM(SUMIFS(Assumptions!CQ$3:CQ$102,Assumptions!$B$3:$B$102,'3-w'!$C7,Assumptions!$G$3:$G$102,{"TRE"}))</f>
        <v>0</v>
      </c>
      <c r="AR7" s="2" cm="1">
        <f t="array" aca="1" ref="AR7" ca="1">SUM(SUMIFS(Assumptions!CR$3:CR$102,Assumptions!$B$3:$B$102,'3-w'!$C7,Assumptions!$G$3:$G$102,{"TRE"}))</f>
        <v>0</v>
      </c>
      <c r="AS7" s="2" cm="1">
        <f t="array" aca="1" ref="AS7" ca="1">SUM(SUMIFS(Assumptions!CS$3:CS$102,Assumptions!$B$3:$B$102,'3-w'!$C7,Assumptions!$G$3:$G$102,{"TRE"}))</f>
        <v>0</v>
      </c>
      <c r="AT7" s="2" cm="1">
        <f t="array" aca="1" ref="AT7" ca="1">SUM(SUMIFS(Assumptions!CT$3:CT$102,Assumptions!$B$3:$B$102,'3-w'!$C7,Assumptions!$G$3:$G$102,{"TRE"}))</f>
        <v>0</v>
      </c>
      <c r="AU7" s="2" cm="1">
        <f t="array" aca="1" ref="AU7" ca="1">SUM(SUMIFS(Assumptions!CU$3:CU$102,Assumptions!$B$3:$B$102,'3-w'!$C7,Assumptions!$G$3:$G$102,{"TRE"}))</f>
        <v>0</v>
      </c>
      <c r="AV7" s="2" cm="1">
        <f t="array" aca="1" ref="AV7" ca="1">SUM(SUMIFS(Assumptions!CV$3:CV$102,Assumptions!$B$3:$B$102,'3-w'!$C7,Assumptions!$G$3:$G$102,{"TRE"}))</f>
        <v>0</v>
      </c>
      <c r="AW7" s="2" cm="1">
        <f t="array" aca="1" ref="AW7" ca="1">SUM(SUMIFS(Assumptions!CW$3:CW$102,Assumptions!$B$3:$B$102,'3-w'!$C7,Assumptions!$G$3:$G$102,{"TRE"}))</f>
        <v>0</v>
      </c>
      <c r="AX7" s="53" t="str">
        <f t="shared" ca="1" si="2"/>
        <v>zero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SUM(SUMIFS(Assumptions!BD$3:BD$102,Assumptions!$B$3:$B$102,'3-w'!$C8,Assumptions!$G$3:$G$102,{"TRE"}))</f>
        <v>71.567029374840004</v>
      </c>
      <c r="E8" s="2" cm="1">
        <f t="array" aca="1" ref="E8" ca="1">SUM(SUMIFS(Assumptions!BE$3:BE$102,Assumptions!$B$3:$B$102,'3-w'!$C8,Assumptions!$G$3:$G$102,{"TRE"}))</f>
        <v>124.27521769944002</v>
      </c>
      <c r="F8" s="2" cm="1">
        <f t="array" aca="1" ref="F8" ca="1">SUM(SUMIFS(Assumptions!BF$3:BF$102,Assumptions!$B$3:$B$102,'3-w'!$C8,Assumptions!$G$3:$G$102,{"TRE"}))</f>
        <v>0</v>
      </c>
      <c r="G8" s="2" cm="1">
        <f t="array" aca="1" ref="G8" ca="1">SUM(SUMIFS(Assumptions!BG$3:BG$102,Assumptions!$B$3:$B$102,'3-w'!$C8,Assumptions!$G$3:$G$102,{"TRE"}))</f>
        <v>0.33583422714228001</v>
      </c>
      <c r="H8" s="2" cm="1">
        <f t="array" aca="1" ref="H8" ca="1">SUM(SUMIFS(Assumptions!BH$3:BH$102,Assumptions!$B$3:$B$102,'3-w'!$C8,Assumptions!$G$3:$G$102,{"TRE"}))</f>
        <v>0.1012057223562</v>
      </c>
      <c r="I8" s="2" cm="1">
        <f t="array" aca="1" ref="I8" ca="1">SUM(SUMIFS(Assumptions!BI$3:BI$102,Assumptions!$B$3:$B$102,'3-w'!$C8,Assumptions!$G$3:$G$102,{"TRE"}))</f>
        <v>1.2993733856521801</v>
      </c>
      <c r="J8" s="2" cm="1">
        <f t="array" aca="1" ref="J8" ca="1">SUM(SUMIFS(Assumptions!BJ$3:BJ$102,Assumptions!$B$3:$B$102,'3-w'!$C8,Assumptions!$G$3:$G$102,{"TRE"}))</f>
        <v>4.0418182817082</v>
      </c>
      <c r="K8" s="2" cm="1">
        <f t="array" aca="1" ref="K8" ca="1">SUM(SUMIFS(Assumptions!BK$3:BK$102,Assumptions!$B$3:$B$102,'3-w'!$C8,Assumptions!$G$3:$G$102,{"TRE"}))</f>
        <v>0</v>
      </c>
      <c r="L8" s="2" cm="1">
        <f t="array" aca="1" ref="L8" ca="1">SUM(SUMIFS(Assumptions!BL$3:BL$102,Assumptions!$B$3:$B$102,'3-w'!$C8,Assumptions!$G$3:$G$102,{"TRE"}))</f>
        <v>0.16913457199980003</v>
      </c>
      <c r="M8" s="2" cm="1">
        <f t="array" aca="1" ref="M8" ca="1">SUM(SUMIFS(Assumptions!BM$3:BM$102,Assumptions!$B$3:$B$102,'3-w'!$C8,Assumptions!$G$3:$G$102,{"TRE"}))</f>
        <v>0.40095001150200005</v>
      </c>
      <c r="N8" s="2" cm="1">
        <f t="array" aca="1" ref="N8" ca="1">SUM(SUMIFS(Assumptions!BN$3:BN$102,Assumptions!$B$3:$B$102,'3-w'!$C8,Assumptions!$G$3:$G$102,{"TRE"}))</f>
        <v>1.5961506847428597</v>
      </c>
      <c r="O8" s="2" cm="1">
        <f t="array" aca="1" ref="O8" ca="1">SUM(SUMIFS(Assumptions!BO$3:BO$102,Assumptions!$B$3:$B$102,'3-w'!$C8,Assumptions!$G$3:$G$102,{"TRE"}))</f>
        <v>3.5046681989077797</v>
      </c>
      <c r="P8" s="2" cm="1">
        <f t="array" aca="1" ref="P8" ca="1">SUM(SUMIFS(Assumptions!BP$3:BP$102,Assumptions!$B$3:$B$102,'3-w'!$C8,Assumptions!$G$3:$G$102,{"TRE"}))</f>
        <v>0.54812429310510002</v>
      </c>
      <c r="Q8" s="2" cm="1">
        <f t="array" aca="1" ref="Q8" ca="1">SUM(SUMIFS(Assumptions!BQ$3:BQ$102,Assumptions!$B$3:$B$102,'3-w'!$C8,Assumptions!$G$3:$G$102,{"TRE"}))</f>
        <v>0.62490385268280002</v>
      </c>
      <c r="R8" s="2" cm="1">
        <f t="array" aca="1" ref="R8" ca="1">SUM(SUMIFS(Assumptions!BR$3:BR$102,Assumptions!$B$3:$B$102,'3-w'!$C8,Assumptions!$G$3:$G$102,{"TRE"}))</f>
        <v>2.5339974583859996E-2</v>
      </c>
      <c r="S8" s="2" cm="1">
        <f t="array" aca="1" ref="S8" ca="1">SUM(SUMIFS(Assumptions!BS$3:BS$102,Assumptions!$B$3:$B$102,'3-w'!$C8,Assumptions!$G$3:$G$102,{"TRE"}))</f>
        <v>134.28800014103999</v>
      </c>
      <c r="T8" s="2" cm="1">
        <f t="array" aca="1" ref="T8" ca="1">SUM(SUMIFS(Assumptions!BT$3:BT$102,Assumptions!$B$3:$B$102,'3-w'!$C8,Assumptions!$G$3:$G$102,{"TRE"}))</f>
        <v>0.15632851109111998</v>
      </c>
      <c r="U8" s="2" cm="1">
        <f t="array" aca="1" ref="U8" ca="1">SUM(SUMIFS(Assumptions!BU$3:BU$102,Assumptions!$B$3:$B$102,'3-w'!$C8,Assumptions!$G$3:$G$102,{"TRE"}))</f>
        <v>1.5834267140031</v>
      </c>
      <c r="V8" s="2" cm="1">
        <f t="array" aca="1" ref="V8" ca="1">SUM(SUMIFS(Assumptions!BV$3:BV$102,Assumptions!$B$3:$B$102,'3-w'!$C8,Assumptions!$G$3:$G$102,{"TRE"}))</f>
        <v>7.1304220296323999</v>
      </c>
      <c r="W8" s="2" cm="1">
        <f t="array" aca="1" ref="W8" ca="1">SUM(SUMIFS(Assumptions!BW$3:BW$102,Assumptions!$B$3:$B$102,'3-w'!$C8,Assumptions!$G$3:$G$102,{"TRE"}))</f>
        <v>7.6850577733086007</v>
      </c>
      <c r="X8" s="2" cm="1">
        <f t="array" aca="1" ref="X8" ca="1">SUM(SUMIFS(Assumptions!BX$3:BX$102,Assumptions!$B$3:$B$102,'3-w'!$C8,Assumptions!$G$3:$G$102,{"TRE"}))</f>
        <v>16.517367267786</v>
      </c>
      <c r="Y8" s="2" cm="1">
        <f t="array" aca="1" ref="Y8" ca="1">SUM(SUMIFS(Assumptions!BY$3:BY$102,Assumptions!$B$3:$B$102,'3-w'!$C8,Assumptions!$G$3:$G$102,{"TRE"}))</f>
        <v>14.677799447681283</v>
      </c>
      <c r="Z8" s="2" cm="1">
        <f t="array" aca="1" ref="Z8" ca="1">SUM(SUMIFS(Assumptions!BZ$3:BZ$102,Assumptions!$B$3:$B$102,'3-w'!$C8,Assumptions!$G$3:$G$102,{"TRE"}))</f>
        <v>0.13529496782771999</v>
      </c>
      <c r="AA8" s="2" cm="1">
        <f t="array" aca="1" ref="AA8" ca="1">SUM(SUMIFS(Assumptions!CA$3:CA$102,Assumptions!$B$3:$B$102,'3-w'!$C8,Assumptions!$G$3:$G$102,{"TRE"}))</f>
        <v>0.87442600835520012</v>
      </c>
      <c r="AB8" s="2" cm="1">
        <f t="array" aca="1" ref="AB8" ca="1">SUM(SUMIFS(Assumptions!CB$3:CB$102,Assumptions!$B$3:$B$102,'3-w'!$C8,Assumptions!$G$3:$G$102,{"TRE"}))</f>
        <v>452.30065127928003</v>
      </c>
      <c r="AC8" s="2" cm="1">
        <f t="array" aca="1" ref="AC8" ca="1">SUM(SUMIFS(Assumptions!CC$3:CC$102,Assumptions!$B$3:$B$102,'3-w'!$C8,Assumptions!$G$3:$G$102,{"TRE"}))</f>
        <v>5.4143843656518005</v>
      </c>
      <c r="AD8" s="2" cm="1">
        <f t="array" aca="1" ref="AD8" ca="1">SUM(SUMIFS(Assumptions!CD$3:CD$102,Assumptions!$B$3:$B$102,'3-w'!$C8,Assumptions!$G$3:$G$102,{"TRE"}))</f>
        <v>7.1355948168455994</v>
      </c>
      <c r="AE8" s="2" cm="1">
        <f t="array" aca="1" ref="AE8" ca="1">SUM(SUMIFS(Assumptions!CE$3:CE$102,Assumptions!$B$3:$B$102,'3-w'!$C8,Assumptions!$G$3:$G$102,{"TRE"}))</f>
        <v>31.657444849439997</v>
      </c>
      <c r="AF8" s="2" cm="1">
        <f t="array" aca="1" ref="AF8" ca="1">SUM(SUMIFS(Assumptions!CF$3:CF$102,Assumptions!$B$3:$B$102,'3-w'!$C8,Assumptions!$G$3:$G$102,{"TRE"}))</f>
        <v>1.3150226561767202</v>
      </c>
      <c r="AG8" s="2" cm="1">
        <f t="array" aca="1" ref="AG8" ca="1">SUM(SUMIFS(Assumptions!CG$3:CG$102,Assumptions!$B$3:$B$102,'3-w'!$C8,Assumptions!$G$3:$G$102,{"TRE"}))</f>
        <v>0.92229091062660007</v>
      </c>
      <c r="AH8" s="2" cm="1">
        <f t="array" aca="1" ref="AH8" ca="1">SUM(SUMIFS(Assumptions!CH$3:CH$102,Assumptions!$B$3:$B$102,'3-w'!$C8,Assumptions!$G$3:$G$102,{"TRE"}))</f>
        <v>0.48438556819938</v>
      </c>
      <c r="AI8" s="2" cm="1">
        <f t="array" aca="1" ref="AI8" ca="1">SUM(SUMIFS(Assumptions!CI$3:CI$102,Assumptions!$B$3:$B$102,'3-w'!$C8,Assumptions!$G$3:$G$102,{"TRE"}))</f>
        <v>0.69515599114079996</v>
      </c>
      <c r="AJ8" s="2" cm="1">
        <f t="array" aca="1" ref="AJ8" ca="1">SUM(SUMIFS(Assumptions!CJ$3:CJ$102,Assumptions!$B$3:$B$102,'3-w'!$C8,Assumptions!$G$3:$G$102,{"TRE"}))</f>
        <v>2.4996459538558797</v>
      </c>
      <c r="AK8" s="2" cm="1">
        <f t="array" aca="1" ref="AK8" ca="1">SUM(SUMIFS(Assumptions!CK$3:CK$102,Assumptions!$B$3:$B$102,'3-w'!$C8,Assumptions!$G$3:$G$102,{"TRE"}))</f>
        <v>0.27002668628879994</v>
      </c>
      <c r="AL8" s="2" cm="1">
        <f t="array" aca="1" ref="AL8" ca="1">SUM(SUMIFS(Assumptions!CL$3:CL$102,Assumptions!$B$3:$B$102,'3-w'!$C8,Assumptions!$G$3:$G$102,{"TRE"}))</f>
        <v>0.17603644899780002</v>
      </c>
      <c r="AM8" s="2" cm="1">
        <f t="array" aca="1" ref="AM8" ca="1">SUM(SUMIFS(Assumptions!CM$3:CM$102,Assumptions!$B$3:$B$102,'3-w'!$C8,Assumptions!$G$3:$G$102,{"TRE"}))</f>
        <v>0</v>
      </c>
      <c r="AN8" s="2" cm="1">
        <f t="array" aca="1" ref="AN8" ca="1">SUM(SUMIFS(Assumptions!CN$3:CN$102,Assumptions!$B$3:$B$102,'3-w'!$C8,Assumptions!$G$3:$G$102,{"TRE"}))</f>
        <v>0</v>
      </c>
      <c r="AO8" s="2" cm="1">
        <f t="array" aca="1" ref="AO8" ca="1">SUM(SUMIFS(Assumptions!CO$3:CO$102,Assumptions!$B$3:$B$102,'3-w'!$C8,Assumptions!$G$3:$G$102,{"TRE"}))</f>
        <v>0</v>
      </c>
      <c r="AP8" s="2" cm="1">
        <f t="array" aca="1" ref="AP8" ca="1">SUM(SUMIFS(Assumptions!CP$3:CP$102,Assumptions!$B$3:$B$102,'3-w'!$C8,Assumptions!$G$3:$G$102,{"TRE"}))</f>
        <v>0</v>
      </c>
      <c r="AQ8" s="2" cm="1">
        <f t="array" aca="1" ref="AQ8" ca="1">SUM(SUMIFS(Assumptions!CQ$3:CQ$102,Assumptions!$B$3:$B$102,'3-w'!$C8,Assumptions!$G$3:$G$102,{"TRE"}))</f>
        <v>0</v>
      </c>
      <c r="AR8" s="2" cm="1">
        <f t="array" aca="1" ref="AR8" ca="1">SUM(SUMIFS(Assumptions!CR$3:CR$102,Assumptions!$B$3:$B$102,'3-w'!$C8,Assumptions!$G$3:$G$102,{"TRE"}))</f>
        <v>0</v>
      </c>
      <c r="AS8" s="2" cm="1">
        <f t="array" aca="1" ref="AS8" ca="1">SUM(SUMIFS(Assumptions!CS$3:CS$102,Assumptions!$B$3:$B$102,'3-w'!$C8,Assumptions!$G$3:$G$102,{"TRE"}))</f>
        <v>0</v>
      </c>
      <c r="AT8" s="2" cm="1">
        <f t="array" aca="1" ref="AT8" ca="1">SUM(SUMIFS(Assumptions!CT$3:CT$102,Assumptions!$B$3:$B$102,'3-w'!$C8,Assumptions!$G$3:$G$102,{"TRE"}))</f>
        <v>0</v>
      </c>
      <c r="AU8" s="2" cm="1">
        <f t="array" aca="1" ref="AU8" ca="1">SUM(SUMIFS(Assumptions!CU$3:CU$102,Assumptions!$B$3:$B$102,'3-w'!$C8,Assumptions!$G$3:$G$102,{"TRE"}))</f>
        <v>0</v>
      </c>
      <c r="AV8" s="2" cm="1">
        <f t="array" aca="1" ref="AV8" ca="1">SUM(SUMIFS(Assumptions!CV$3:CV$102,Assumptions!$B$3:$B$102,'3-w'!$C8,Assumptions!$G$3:$G$102,{"TRE"}))</f>
        <v>0</v>
      </c>
      <c r="AW8" s="2" cm="1">
        <f t="array" aca="1" ref="AW8" ca="1">SUM(SUMIFS(Assumptions!CW$3:CW$102,Assumptions!$B$3:$B$102,'3-w'!$C8,Assumptions!$G$3:$G$102,{"TRE"}))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ref="D9">SUM(SUMIFS(Assumptions!BD$3:BD$102,Assumptions!$B$3:$B$102,'3-w'!$C9,Assumptions!$G$3:$G$102,{"TRE"}))</f>
        <v>0</v>
      </c>
      <c r="E9" s="2" cm="1">
        <f t="array" ref="E9">SUM(SUMIFS(Assumptions!BE$3:BE$102,Assumptions!$B$3:$B$102,'3-w'!$C9,Assumptions!$G$3:$G$102,{"TRE"}))</f>
        <v>0</v>
      </c>
      <c r="F9" s="2" cm="1">
        <f t="array" ref="F9">SUM(SUMIFS(Assumptions!BF$3:BF$102,Assumptions!$B$3:$B$102,'3-w'!$C9,Assumptions!$G$3:$G$102,{"TRE"}))</f>
        <v>0</v>
      </c>
      <c r="G9" s="2" cm="1">
        <f t="array" ref="G9">SUM(SUMIFS(Assumptions!BG$3:BG$102,Assumptions!$B$3:$B$102,'3-w'!$C9,Assumptions!$G$3:$G$102,{"TRE"}))</f>
        <v>0</v>
      </c>
      <c r="H9" s="2" cm="1">
        <f t="array" ref="H9">SUM(SUMIFS(Assumptions!BH$3:BH$102,Assumptions!$B$3:$B$102,'3-w'!$C9,Assumptions!$G$3:$G$102,{"TRE"}))</f>
        <v>0</v>
      </c>
      <c r="I9" s="2" cm="1">
        <f t="array" ref="I9">SUM(SUMIFS(Assumptions!BI$3:BI$102,Assumptions!$B$3:$B$102,'3-w'!$C9,Assumptions!$G$3:$G$102,{"TRE"}))</f>
        <v>0</v>
      </c>
      <c r="J9" s="2" cm="1">
        <f t="array" ref="J9">SUM(SUMIFS(Assumptions!BJ$3:BJ$102,Assumptions!$B$3:$B$102,'3-w'!$C9,Assumptions!$G$3:$G$102,{"TRE"}))</f>
        <v>0</v>
      </c>
      <c r="K9" s="2" cm="1">
        <f t="array" ref="K9">SUM(SUMIFS(Assumptions!BK$3:BK$102,Assumptions!$B$3:$B$102,'3-w'!$C9,Assumptions!$G$3:$G$102,{"TRE"}))</f>
        <v>0</v>
      </c>
      <c r="L9" s="2" cm="1">
        <f t="array" ref="L9">SUM(SUMIFS(Assumptions!BL$3:BL$102,Assumptions!$B$3:$B$102,'3-w'!$C9,Assumptions!$G$3:$G$102,{"TRE"}))</f>
        <v>0</v>
      </c>
      <c r="M9" s="2" cm="1">
        <f t="array" ref="M9">SUM(SUMIFS(Assumptions!BM$3:BM$102,Assumptions!$B$3:$B$102,'3-w'!$C9,Assumptions!$G$3:$G$102,{"TRE"}))</f>
        <v>0</v>
      </c>
      <c r="N9" s="2" cm="1">
        <f t="array" ref="N9">SUM(SUMIFS(Assumptions!BN$3:BN$102,Assumptions!$B$3:$B$102,'3-w'!$C9,Assumptions!$G$3:$G$102,{"TRE"}))</f>
        <v>0</v>
      </c>
      <c r="O9" s="2" cm="1">
        <f t="array" ref="O9">SUM(SUMIFS(Assumptions!BO$3:BO$102,Assumptions!$B$3:$B$102,'3-w'!$C9,Assumptions!$G$3:$G$102,{"TRE"}))</f>
        <v>0</v>
      </c>
      <c r="P9" s="2" cm="1">
        <f t="array" ref="P9">SUM(SUMIFS(Assumptions!BP$3:BP$102,Assumptions!$B$3:$B$102,'3-w'!$C9,Assumptions!$G$3:$G$102,{"TRE"}))</f>
        <v>0</v>
      </c>
      <c r="Q9" s="2" cm="1">
        <f t="array" ref="Q9">SUM(SUMIFS(Assumptions!BQ$3:BQ$102,Assumptions!$B$3:$B$102,'3-w'!$C9,Assumptions!$G$3:$G$102,{"TRE"}))</f>
        <v>0</v>
      </c>
      <c r="R9" s="2" cm="1">
        <f t="array" ref="R9">SUM(SUMIFS(Assumptions!BR$3:BR$102,Assumptions!$B$3:$B$102,'3-w'!$C9,Assumptions!$G$3:$G$102,{"TRE"}))</f>
        <v>0</v>
      </c>
      <c r="S9" s="2" cm="1">
        <f t="array" ref="S9">SUM(SUMIFS(Assumptions!BS$3:BS$102,Assumptions!$B$3:$B$102,'3-w'!$C9,Assumptions!$G$3:$G$102,{"TRE"}))</f>
        <v>0</v>
      </c>
      <c r="T9" s="2" cm="1">
        <f t="array" ref="T9">SUM(SUMIFS(Assumptions!BT$3:BT$102,Assumptions!$B$3:$B$102,'3-w'!$C9,Assumptions!$G$3:$G$102,{"TRE"}))</f>
        <v>0</v>
      </c>
      <c r="U9" s="2" cm="1">
        <f t="array" ref="U9">SUM(SUMIFS(Assumptions!BU$3:BU$102,Assumptions!$B$3:$B$102,'3-w'!$C9,Assumptions!$G$3:$G$102,{"TRE"}))</f>
        <v>0</v>
      </c>
      <c r="V9" s="2" cm="1">
        <f t="array" ref="V9">SUM(SUMIFS(Assumptions!BV$3:BV$102,Assumptions!$B$3:$B$102,'3-w'!$C9,Assumptions!$G$3:$G$102,{"TRE"}))</f>
        <v>0</v>
      </c>
      <c r="W9" s="2" cm="1">
        <f t="array" ref="W9">SUM(SUMIFS(Assumptions!BW$3:BW$102,Assumptions!$B$3:$B$102,'3-w'!$C9,Assumptions!$G$3:$G$102,{"TRE"}))</f>
        <v>0</v>
      </c>
      <c r="X9" s="2" cm="1">
        <f t="array" ref="X9">SUM(SUMIFS(Assumptions!BX$3:BX$102,Assumptions!$B$3:$B$102,'3-w'!$C9,Assumptions!$G$3:$G$102,{"TRE"}))</f>
        <v>0</v>
      </c>
      <c r="Y9" s="2" cm="1">
        <f t="array" ref="Y9">SUM(SUMIFS(Assumptions!BY$3:BY$102,Assumptions!$B$3:$B$102,'3-w'!$C9,Assumptions!$G$3:$G$102,{"TRE"}))</f>
        <v>0</v>
      </c>
      <c r="Z9" s="2" cm="1">
        <f t="array" ref="Z9">SUM(SUMIFS(Assumptions!BZ$3:BZ$102,Assumptions!$B$3:$B$102,'3-w'!$C9,Assumptions!$G$3:$G$102,{"TRE"}))</f>
        <v>0</v>
      </c>
      <c r="AA9" s="2" cm="1">
        <f t="array" ref="AA9">SUM(SUMIFS(Assumptions!CA$3:CA$102,Assumptions!$B$3:$B$102,'3-w'!$C9,Assumptions!$G$3:$G$102,{"TRE"}))</f>
        <v>0</v>
      </c>
      <c r="AB9" s="2" cm="1">
        <f t="array" ref="AB9">SUM(SUMIFS(Assumptions!CB$3:CB$102,Assumptions!$B$3:$B$102,'3-w'!$C9,Assumptions!$G$3:$G$102,{"TRE"}))</f>
        <v>0</v>
      </c>
      <c r="AC9" s="2" cm="1">
        <f t="array" ref="AC9">SUM(SUMIFS(Assumptions!CC$3:CC$102,Assumptions!$B$3:$B$102,'3-w'!$C9,Assumptions!$G$3:$G$102,{"TRE"}))</f>
        <v>0</v>
      </c>
      <c r="AD9" s="2" cm="1">
        <f t="array" ref="AD9">SUM(SUMIFS(Assumptions!CD$3:CD$102,Assumptions!$B$3:$B$102,'3-w'!$C9,Assumptions!$G$3:$G$102,{"TRE"}))</f>
        <v>0</v>
      </c>
      <c r="AE9" s="2" cm="1">
        <f t="array" ref="AE9">SUM(SUMIFS(Assumptions!CE$3:CE$102,Assumptions!$B$3:$B$102,'3-w'!$C9,Assumptions!$G$3:$G$102,{"TRE"}))</f>
        <v>0</v>
      </c>
      <c r="AF9" s="2" cm="1">
        <f t="array" ref="AF9">SUM(SUMIFS(Assumptions!CF$3:CF$102,Assumptions!$B$3:$B$102,'3-w'!$C9,Assumptions!$G$3:$G$102,{"TRE"}))</f>
        <v>0</v>
      </c>
      <c r="AG9" s="2" cm="1">
        <f t="array" ref="AG9">SUM(SUMIFS(Assumptions!CG$3:CG$102,Assumptions!$B$3:$B$102,'3-w'!$C9,Assumptions!$G$3:$G$102,{"TRE"}))</f>
        <v>0</v>
      </c>
      <c r="AH9" s="2" cm="1">
        <f t="array" ref="AH9">SUM(SUMIFS(Assumptions!CH$3:CH$102,Assumptions!$B$3:$B$102,'3-w'!$C9,Assumptions!$G$3:$G$102,{"TRE"}))</f>
        <v>0</v>
      </c>
      <c r="AI9" s="2" cm="1">
        <f t="array" ref="AI9">SUM(SUMIFS(Assumptions!CI$3:CI$102,Assumptions!$B$3:$B$102,'3-w'!$C9,Assumptions!$G$3:$G$102,{"TRE"}))</f>
        <v>0</v>
      </c>
      <c r="AJ9" s="2" cm="1">
        <f t="array" ref="AJ9">SUM(SUMIFS(Assumptions!CJ$3:CJ$102,Assumptions!$B$3:$B$102,'3-w'!$C9,Assumptions!$G$3:$G$102,{"TRE"}))</f>
        <v>0</v>
      </c>
      <c r="AK9" s="2" cm="1">
        <f t="array" ref="AK9">SUM(SUMIFS(Assumptions!CK$3:CK$102,Assumptions!$B$3:$B$102,'3-w'!$C9,Assumptions!$G$3:$G$102,{"TRE"}))</f>
        <v>0</v>
      </c>
      <c r="AL9" s="2" cm="1">
        <f t="array" ref="AL9">SUM(SUMIFS(Assumptions!CL$3:CL$102,Assumptions!$B$3:$B$102,'3-w'!$C9,Assumptions!$G$3:$G$102,{"TRE"}))</f>
        <v>0</v>
      </c>
      <c r="AM9" s="2" cm="1">
        <f t="array" ref="AM9">SUM(SUMIFS(Assumptions!CM$3:CM$102,Assumptions!$B$3:$B$102,'3-w'!$C9,Assumptions!$G$3:$G$102,{"TRE"}))</f>
        <v>0</v>
      </c>
      <c r="AN9" s="2" cm="1">
        <f t="array" ref="AN9">SUM(SUMIFS(Assumptions!CN$3:CN$102,Assumptions!$B$3:$B$102,'3-w'!$C9,Assumptions!$G$3:$G$102,{"TRE"}))</f>
        <v>0</v>
      </c>
      <c r="AO9" s="2" cm="1">
        <f t="array" ref="AO9">SUM(SUMIFS(Assumptions!CO$3:CO$102,Assumptions!$B$3:$B$102,'3-w'!$C9,Assumptions!$G$3:$G$102,{"TRE"}))</f>
        <v>0</v>
      </c>
      <c r="AP9" s="2" cm="1">
        <f t="array" ref="AP9">SUM(SUMIFS(Assumptions!CP$3:CP$102,Assumptions!$B$3:$B$102,'3-w'!$C9,Assumptions!$G$3:$G$102,{"TRE"}))</f>
        <v>0</v>
      </c>
      <c r="AQ9" s="2" cm="1">
        <f t="array" ref="AQ9">SUM(SUMIFS(Assumptions!CQ$3:CQ$102,Assumptions!$B$3:$B$102,'3-w'!$C9,Assumptions!$G$3:$G$102,{"TRE"}))</f>
        <v>0</v>
      </c>
      <c r="AR9" s="2" cm="1">
        <f t="array" ref="AR9">SUM(SUMIFS(Assumptions!CR$3:CR$102,Assumptions!$B$3:$B$102,'3-w'!$C9,Assumptions!$G$3:$G$102,{"TRE"}))</f>
        <v>0</v>
      </c>
      <c r="AS9" s="2" cm="1">
        <f t="array" ref="AS9">SUM(SUMIFS(Assumptions!CS$3:CS$102,Assumptions!$B$3:$B$102,'3-w'!$C9,Assumptions!$G$3:$G$102,{"TRE"}))</f>
        <v>0</v>
      </c>
      <c r="AT9" s="2" cm="1">
        <f t="array" ref="AT9">SUM(SUMIFS(Assumptions!CT$3:CT$102,Assumptions!$B$3:$B$102,'3-w'!$C9,Assumptions!$G$3:$G$102,{"TRE"}))</f>
        <v>0</v>
      </c>
      <c r="AU9" s="2" cm="1">
        <f t="array" ref="AU9">SUM(SUMIFS(Assumptions!CU$3:CU$102,Assumptions!$B$3:$B$102,'3-w'!$C9,Assumptions!$G$3:$G$102,{"TRE"}))</f>
        <v>0</v>
      </c>
      <c r="AV9" s="2" cm="1">
        <f t="array" ref="AV9">SUM(SUMIFS(Assumptions!CV$3:CV$102,Assumptions!$B$3:$B$102,'3-w'!$C9,Assumptions!$G$3:$G$102,{"TRE"}))</f>
        <v>0</v>
      </c>
      <c r="AW9" s="2" cm="1">
        <f t="array" ref="AW9">SUM(SUMIFS(Assumptions!CW$3:CW$102,Assumptions!$B$3:$B$102,'3-w'!$C9,Assumptions!$G$3:$G$102,{"TRE"}))</f>
        <v>0</v>
      </c>
      <c r="AX9" s="53" t="str">
        <f t="shared" si="2"/>
        <v>zero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ref="D10">SUM(SUMIFS(Assumptions!BD$3:BD$102,Assumptions!$B$3:$B$102,'3-w'!$C10,Assumptions!$G$3:$G$102,{"TRE"}))</f>
        <v>0</v>
      </c>
      <c r="E10" s="2" cm="1">
        <f t="array" ref="E10">SUM(SUMIFS(Assumptions!BE$3:BE$102,Assumptions!$B$3:$B$102,'3-w'!$C10,Assumptions!$G$3:$G$102,{"TRE"}))</f>
        <v>0</v>
      </c>
      <c r="F10" s="2" cm="1">
        <f t="array" ref="F10">SUM(SUMIFS(Assumptions!BF$3:BF$102,Assumptions!$B$3:$B$102,'3-w'!$C10,Assumptions!$G$3:$G$102,{"TRE"}))</f>
        <v>0</v>
      </c>
      <c r="G10" s="2" cm="1">
        <f t="array" ref="G10">SUM(SUMIFS(Assumptions!BG$3:BG$102,Assumptions!$B$3:$B$102,'3-w'!$C10,Assumptions!$G$3:$G$102,{"TRE"}))</f>
        <v>0</v>
      </c>
      <c r="H10" s="2" cm="1">
        <f t="array" ref="H10">SUM(SUMIFS(Assumptions!BH$3:BH$102,Assumptions!$B$3:$B$102,'3-w'!$C10,Assumptions!$G$3:$G$102,{"TRE"}))</f>
        <v>0</v>
      </c>
      <c r="I10" s="2" cm="1">
        <f t="array" ref="I10">SUM(SUMIFS(Assumptions!BI$3:BI$102,Assumptions!$B$3:$B$102,'3-w'!$C10,Assumptions!$G$3:$G$102,{"TRE"}))</f>
        <v>0</v>
      </c>
      <c r="J10" s="2" cm="1">
        <f t="array" ref="J10">SUM(SUMIFS(Assumptions!BJ$3:BJ$102,Assumptions!$B$3:$B$102,'3-w'!$C10,Assumptions!$G$3:$G$102,{"TRE"}))</f>
        <v>0</v>
      </c>
      <c r="K10" s="2" cm="1">
        <f t="array" ref="K10">SUM(SUMIFS(Assumptions!BK$3:BK$102,Assumptions!$B$3:$B$102,'3-w'!$C10,Assumptions!$G$3:$G$102,{"TRE"}))</f>
        <v>0</v>
      </c>
      <c r="L10" s="2" cm="1">
        <f t="array" ref="L10">SUM(SUMIFS(Assumptions!BL$3:BL$102,Assumptions!$B$3:$B$102,'3-w'!$C10,Assumptions!$G$3:$G$102,{"TRE"}))</f>
        <v>0</v>
      </c>
      <c r="M10" s="2" cm="1">
        <f t="array" ref="M10">SUM(SUMIFS(Assumptions!BM$3:BM$102,Assumptions!$B$3:$B$102,'3-w'!$C10,Assumptions!$G$3:$G$102,{"TRE"}))</f>
        <v>0</v>
      </c>
      <c r="N10" s="2" cm="1">
        <f t="array" ref="N10">SUM(SUMIFS(Assumptions!BN$3:BN$102,Assumptions!$B$3:$B$102,'3-w'!$C10,Assumptions!$G$3:$G$102,{"TRE"}))</f>
        <v>0</v>
      </c>
      <c r="O10" s="2" cm="1">
        <f t="array" ref="O10">SUM(SUMIFS(Assumptions!BO$3:BO$102,Assumptions!$B$3:$B$102,'3-w'!$C10,Assumptions!$G$3:$G$102,{"TRE"}))</f>
        <v>0</v>
      </c>
      <c r="P10" s="2" cm="1">
        <f t="array" ref="P10">SUM(SUMIFS(Assumptions!BP$3:BP$102,Assumptions!$B$3:$B$102,'3-w'!$C10,Assumptions!$G$3:$G$102,{"TRE"}))</f>
        <v>0</v>
      </c>
      <c r="Q10" s="2" cm="1">
        <f t="array" ref="Q10">SUM(SUMIFS(Assumptions!BQ$3:BQ$102,Assumptions!$B$3:$B$102,'3-w'!$C10,Assumptions!$G$3:$G$102,{"TRE"}))</f>
        <v>0</v>
      </c>
      <c r="R10" s="2" cm="1">
        <f t="array" ref="R10">SUM(SUMIFS(Assumptions!BR$3:BR$102,Assumptions!$B$3:$B$102,'3-w'!$C10,Assumptions!$G$3:$G$102,{"TRE"}))</f>
        <v>0</v>
      </c>
      <c r="S10" s="2" cm="1">
        <f t="array" ref="S10">SUM(SUMIFS(Assumptions!BS$3:BS$102,Assumptions!$B$3:$B$102,'3-w'!$C10,Assumptions!$G$3:$G$102,{"TRE"}))</f>
        <v>0</v>
      </c>
      <c r="T10" s="2" cm="1">
        <f t="array" ref="T10">SUM(SUMIFS(Assumptions!BT$3:BT$102,Assumptions!$B$3:$B$102,'3-w'!$C10,Assumptions!$G$3:$G$102,{"TRE"}))</f>
        <v>0</v>
      </c>
      <c r="U10" s="2" cm="1">
        <f t="array" ref="U10">SUM(SUMIFS(Assumptions!BU$3:BU$102,Assumptions!$B$3:$B$102,'3-w'!$C10,Assumptions!$G$3:$G$102,{"TRE"}))</f>
        <v>0</v>
      </c>
      <c r="V10" s="2" cm="1">
        <f t="array" ref="V10">SUM(SUMIFS(Assumptions!BV$3:BV$102,Assumptions!$B$3:$B$102,'3-w'!$C10,Assumptions!$G$3:$G$102,{"TRE"}))</f>
        <v>0</v>
      </c>
      <c r="W10" s="2" cm="1">
        <f t="array" ref="W10">SUM(SUMIFS(Assumptions!BW$3:BW$102,Assumptions!$B$3:$B$102,'3-w'!$C10,Assumptions!$G$3:$G$102,{"TRE"}))</f>
        <v>0</v>
      </c>
      <c r="X10" s="2" cm="1">
        <f t="array" ref="X10">SUM(SUMIFS(Assumptions!BX$3:BX$102,Assumptions!$B$3:$B$102,'3-w'!$C10,Assumptions!$G$3:$G$102,{"TRE"}))</f>
        <v>0</v>
      </c>
      <c r="Y10" s="2" cm="1">
        <f t="array" ref="Y10">SUM(SUMIFS(Assumptions!BY$3:BY$102,Assumptions!$B$3:$B$102,'3-w'!$C10,Assumptions!$G$3:$G$102,{"TRE"}))</f>
        <v>0</v>
      </c>
      <c r="Z10" s="2" cm="1">
        <f t="array" ref="Z10">SUM(SUMIFS(Assumptions!BZ$3:BZ$102,Assumptions!$B$3:$B$102,'3-w'!$C10,Assumptions!$G$3:$G$102,{"TRE"}))</f>
        <v>0</v>
      </c>
      <c r="AA10" s="2" cm="1">
        <f t="array" ref="AA10">SUM(SUMIFS(Assumptions!CA$3:CA$102,Assumptions!$B$3:$B$102,'3-w'!$C10,Assumptions!$G$3:$G$102,{"TRE"}))</f>
        <v>0</v>
      </c>
      <c r="AB10" s="2" cm="1">
        <f t="array" ref="AB10">SUM(SUMIFS(Assumptions!CB$3:CB$102,Assumptions!$B$3:$B$102,'3-w'!$C10,Assumptions!$G$3:$G$102,{"TRE"}))</f>
        <v>0</v>
      </c>
      <c r="AC10" s="2" cm="1">
        <f t="array" ref="AC10">SUM(SUMIFS(Assumptions!CC$3:CC$102,Assumptions!$B$3:$B$102,'3-w'!$C10,Assumptions!$G$3:$G$102,{"TRE"}))</f>
        <v>0</v>
      </c>
      <c r="AD10" s="2" cm="1">
        <f t="array" ref="AD10">SUM(SUMIFS(Assumptions!CD$3:CD$102,Assumptions!$B$3:$B$102,'3-w'!$C10,Assumptions!$G$3:$G$102,{"TRE"}))</f>
        <v>0</v>
      </c>
      <c r="AE10" s="2" cm="1">
        <f t="array" ref="AE10">SUM(SUMIFS(Assumptions!CE$3:CE$102,Assumptions!$B$3:$B$102,'3-w'!$C10,Assumptions!$G$3:$G$102,{"TRE"}))</f>
        <v>0</v>
      </c>
      <c r="AF10" s="2" cm="1">
        <f t="array" ref="AF10">SUM(SUMIFS(Assumptions!CF$3:CF$102,Assumptions!$B$3:$B$102,'3-w'!$C10,Assumptions!$G$3:$G$102,{"TRE"}))</f>
        <v>0</v>
      </c>
      <c r="AG10" s="2" cm="1">
        <f t="array" ref="AG10">SUM(SUMIFS(Assumptions!CG$3:CG$102,Assumptions!$B$3:$B$102,'3-w'!$C10,Assumptions!$G$3:$G$102,{"TRE"}))</f>
        <v>0</v>
      </c>
      <c r="AH10" s="2" cm="1">
        <f t="array" ref="AH10">SUM(SUMIFS(Assumptions!CH$3:CH$102,Assumptions!$B$3:$B$102,'3-w'!$C10,Assumptions!$G$3:$G$102,{"TRE"}))</f>
        <v>0</v>
      </c>
      <c r="AI10" s="2" cm="1">
        <f t="array" ref="AI10">SUM(SUMIFS(Assumptions!CI$3:CI$102,Assumptions!$B$3:$B$102,'3-w'!$C10,Assumptions!$G$3:$G$102,{"TRE"}))</f>
        <v>0</v>
      </c>
      <c r="AJ10" s="2" cm="1">
        <f t="array" ref="AJ10">SUM(SUMIFS(Assumptions!CJ$3:CJ$102,Assumptions!$B$3:$B$102,'3-w'!$C10,Assumptions!$G$3:$G$102,{"TRE"}))</f>
        <v>0</v>
      </c>
      <c r="AK10" s="2" cm="1">
        <f t="array" ref="AK10">SUM(SUMIFS(Assumptions!CK$3:CK$102,Assumptions!$B$3:$B$102,'3-w'!$C10,Assumptions!$G$3:$G$102,{"TRE"}))</f>
        <v>0</v>
      </c>
      <c r="AL10" s="2" cm="1">
        <f t="array" ref="AL10">SUM(SUMIFS(Assumptions!CL$3:CL$102,Assumptions!$B$3:$B$102,'3-w'!$C10,Assumptions!$G$3:$G$102,{"TRE"}))</f>
        <v>0</v>
      </c>
      <c r="AM10" s="2" cm="1">
        <f t="array" ref="AM10">SUM(SUMIFS(Assumptions!CM$3:CM$102,Assumptions!$B$3:$B$102,'3-w'!$C10,Assumptions!$G$3:$G$102,{"TRE"}))</f>
        <v>0</v>
      </c>
      <c r="AN10" s="2" cm="1">
        <f t="array" ref="AN10">SUM(SUMIFS(Assumptions!CN$3:CN$102,Assumptions!$B$3:$B$102,'3-w'!$C10,Assumptions!$G$3:$G$102,{"TRE"}))</f>
        <v>0</v>
      </c>
      <c r="AO10" s="2" cm="1">
        <f t="array" ref="AO10">SUM(SUMIFS(Assumptions!CO$3:CO$102,Assumptions!$B$3:$B$102,'3-w'!$C10,Assumptions!$G$3:$G$102,{"TRE"}))</f>
        <v>0</v>
      </c>
      <c r="AP10" s="2" cm="1">
        <f t="array" ref="AP10">SUM(SUMIFS(Assumptions!CP$3:CP$102,Assumptions!$B$3:$B$102,'3-w'!$C10,Assumptions!$G$3:$G$102,{"TRE"}))</f>
        <v>0</v>
      </c>
      <c r="AQ10" s="2" cm="1">
        <f t="array" ref="AQ10">SUM(SUMIFS(Assumptions!CQ$3:CQ$102,Assumptions!$B$3:$B$102,'3-w'!$C10,Assumptions!$G$3:$G$102,{"TRE"}))</f>
        <v>0</v>
      </c>
      <c r="AR10" s="2" cm="1">
        <f t="array" ref="AR10">SUM(SUMIFS(Assumptions!CR$3:CR$102,Assumptions!$B$3:$B$102,'3-w'!$C10,Assumptions!$G$3:$G$102,{"TRE"}))</f>
        <v>0</v>
      </c>
      <c r="AS10" s="2" cm="1">
        <f t="array" ref="AS10">SUM(SUMIFS(Assumptions!CS$3:CS$102,Assumptions!$B$3:$B$102,'3-w'!$C10,Assumptions!$G$3:$G$102,{"TRE"}))</f>
        <v>0</v>
      </c>
      <c r="AT10" s="2" cm="1">
        <f t="array" ref="AT10">SUM(SUMIFS(Assumptions!CT$3:CT$102,Assumptions!$B$3:$B$102,'3-w'!$C10,Assumptions!$G$3:$G$102,{"TRE"}))</f>
        <v>0</v>
      </c>
      <c r="AU10" s="2" cm="1">
        <f t="array" ref="AU10">SUM(SUMIFS(Assumptions!CU$3:CU$102,Assumptions!$B$3:$B$102,'3-w'!$C10,Assumptions!$G$3:$G$102,{"TRE"}))</f>
        <v>0</v>
      </c>
      <c r="AV10" s="2" cm="1">
        <f t="array" ref="AV10">SUM(SUMIFS(Assumptions!CV$3:CV$102,Assumptions!$B$3:$B$102,'3-w'!$C10,Assumptions!$G$3:$G$102,{"TRE"}))</f>
        <v>0</v>
      </c>
      <c r="AW10" s="2" cm="1">
        <f t="array" ref="AW10">SUM(SUMIFS(Assumptions!CW$3:CW$102,Assumptions!$B$3:$B$102,'3-w'!$C10,Assumptions!$G$3:$G$102,{"TRE"}))</f>
        <v>0</v>
      </c>
      <c r="AX10" s="53" t="str">
        <f t="shared" si="2"/>
        <v>zero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5.5723377972936257E-2</v>
      </c>
      <c r="E11" s="42">
        <f t="shared" ref="E11:U11" ca="1" si="5">SUM(E$4:E$10)/SUM($D$4:$AJ$10)</f>
        <v>9.6762922661833839E-2</v>
      </c>
      <c r="F11" s="42">
        <f t="shared" ca="1" si="5"/>
        <v>0</v>
      </c>
      <c r="G11" s="42">
        <f t="shared" ca="1" si="5"/>
        <v>2.6148657753115008E-4</v>
      </c>
      <c r="H11" s="42">
        <f t="shared" ca="1" si="5"/>
        <v>7.8800598112588433E-5</v>
      </c>
      <c r="I11" s="42">
        <f t="shared" ca="1" si="5"/>
        <v>1.0117155194110244E-3</v>
      </c>
      <c r="J11" s="42">
        <f t="shared" ca="1" si="5"/>
        <v>4.2845273033601814E-3</v>
      </c>
      <c r="K11" s="42">
        <f t="shared" ca="1" si="5"/>
        <v>0.18309711465491546</v>
      </c>
      <c r="L11" s="42">
        <f t="shared" ca="1" si="5"/>
        <v>1.316912238242071E-4</v>
      </c>
      <c r="M11" s="42">
        <f t="shared" ca="1" si="5"/>
        <v>3.1218689995024036E-4</v>
      </c>
      <c r="N11" s="42">
        <f t="shared" ca="1" si="5"/>
        <v>1.2427916693571192E-3</v>
      </c>
      <c r="O11" s="42">
        <f t="shared" ca="1" si="5"/>
        <v>2.7287977777393189E-3</v>
      </c>
      <c r="P11" s="42">
        <f t="shared" ca="1" si="5"/>
        <v>4.2677944617304118E-4</v>
      </c>
      <c r="Q11" s="42">
        <f t="shared" ca="1" si="5"/>
        <v>4.8656139403809913E-4</v>
      </c>
      <c r="R11" s="42">
        <f t="shared" ca="1" si="5"/>
        <v>1.9730160576672468E-5</v>
      </c>
      <c r="S11" s="42">
        <f t="shared" ca="1" si="5"/>
        <v>0.22306938132386558</v>
      </c>
      <c r="T11" s="42">
        <f t="shared" ca="1" si="5"/>
        <v>1.2172019416722243E-4</v>
      </c>
      <c r="U11" s="42">
        <f t="shared" ca="1" si="5"/>
        <v>1.2328845565840764E-3</v>
      </c>
      <c r="V11" s="42">
        <f t="shared" ref="V11:AW11" ca="1" si="6">SUM(V$4:V$10)/SUM($D$4:$AJ$10)</f>
        <v>5.9076217745213195E-3</v>
      </c>
      <c r="W11" s="42">
        <f t="shared" ca="1" si="6"/>
        <v>6.8277790327747247E-3</v>
      </c>
      <c r="X11" s="42">
        <f t="shared" ca="1" si="6"/>
        <v>1.2860719627748311E-2</v>
      </c>
      <c r="Y11" s="42">
        <f t="shared" ca="1" si="6"/>
        <v>1.1428398992925611E-2</v>
      </c>
      <c r="Z11" s="42">
        <f t="shared" ca="1" si="6"/>
        <v>1.0534309857425386E-4</v>
      </c>
      <c r="AA11" s="42">
        <f t="shared" ca="1" si="6"/>
        <v>6.8084383826713321E-4</v>
      </c>
      <c r="AB11" s="42">
        <f t="shared" ca="1" si="6"/>
        <v>0.35216943289113434</v>
      </c>
      <c r="AC11" s="42">
        <f t="shared" ca="1" si="6"/>
        <v>4.2157371786069962E-3</v>
      </c>
      <c r="AD11" s="42">
        <f t="shared" ca="1" si="6"/>
        <v>5.5559026344133644E-3</v>
      </c>
      <c r="AE11" s="42">
        <f t="shared" ca="1" si="6"/>
        <v>2.4649056701281768E-2</v>
      </c>
      <c r="AF11" s="42">
        <f t="shared" ca="1" si="6"/>
        <v>1.023900323280308E-3</v>
      </c>
      <c r="AG11" s="42">
        <f t="shared" ca="1" si="6"/>
        <v>7.1811231320881557E-4</v>
      </c>
      <c r="AH11" s="42">
        <f t="shared" ca="1" si="6"/>
        <v>3.7715132704528142E-4</v>
      </c>
      <c r="AI11" s="42">
        <f t="shared" ca="1" si="6"/>
        <v>5.4126097426237521E-4</v>
      </c>
      <c r="AJ11" s="42">
        <f t="shared" ca="1" si="6"/>
        <v>1.9462693575793451E-3</v>
      </c>
      <c r="AK11" s="42">
        <f t="shared" ca="1" si="6"/>
        <v>2.1024764104768214E-4</v>
      </c>
      <c r="AL11" s="42">
        <f t="shared" ca="1" si="6"/>
        <v>1.3706514955567635E-4</v>
      </c>
      <c r="AM11" s="42">
        <f t="shared" ca="1" si="6"/>
        <v>0</v>
      </c>
      <c r="AN11" s="42">
        <f t="shared" ca="1" si="6"/>
        <v>0</v>
      </c>
      <c r="AO11" s="42">
        <f t="shared" ca="1" si="6"/>
        <v>0</v>
      </c>
      <c r="AP11" s="42">
        <f t="shared" ca="1" si="6"/>
        <v>0</v>
      </c>
      <c r="AQ11" s="42">
        <f t="shared" ca="1" si="6"/>
        <v>0</v>
      </c>
      <c r="AR11" s="42">
        <f t="shared" ca="1" si="6"/>
        <v>0</v>
      </c>
      <c r="AS11" s="42">
        <f t="shared" ca="1" si="6"/>
        <v>0</v>
      </c>
      <c r="AT11" s="42">
        <f t="shared" ca="1" si="6"/>
        <v>0</v>
      </c>
      <c r="AU11" s="42">
        <f t="shared" ca="1" si="6"/>
        <v>0</v>
      </c>
      <c r="AV11" s="42">
        <f t="shared" ca="1" si="6"/>
        <v>0</v>
      </c>
      <c r="AW11" s="42">
        <f t="shared" ca="1" si="6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SUM(D13:AJ13)</f>
        <v>50.243000000000016</v>
      </c>
      <c r="D13" s="1">
        <f ca="1">SUM(D19:D25)</f>
        <v>2.8010000000000002</v>
      </c>
      <c r="E13" s="1">
        <f t="shared" ref="E13:U13" ca="1" si="7">SUM(E19:E25)</f>
        <v>4.8630000000000004</v>
      </c>
      <c r="F13" s="1">
        <f t="shared" ca="1" si="7"/>
        <v>0</v>
      </c>
      <c r="G13" s="1">
        <f t="shared" ca="1" si="7"/>
        <v>1.2999999999999999E-2</v>
      </c>
      <c r="H13" s="1">
        <f t="shared" ca="1" si="7"/>
        <v>4.0000000000000001E-3</v>
      </c>
      <c r="I13" s="1">
        <f t="shared" ca="1" si="7"/>
        <v>5.0999999999999997E-2</v>
      </c>
      <c r="J13" s="1">
        <f t="shared" ca="1" si="7"/>
        <v>0.215</v>
      </c>
      <c r="K13" s="1">
        <f t="shared" ca="1" si="7"/>
        <v>9.202</v>
      </c>
      <c r="L13" s="1">
        <f t="shared" ca="1" si="7"/>
        <v>7.0000000000000001E-3</v>
      </c>
      <c r="M13" s="1">
        <f t="shared" ca="1" si="7"/>
        <v>1.6E-2</v>
      </c>
      <c r="N13" s="1">
        <f t="shared" ca="1" si="7"/>
        <v>6.2E-2</v>
      </c>
      <c r="O13" s="1">
        <f t="shared" ca="1" si="7"/>
        <v>0.13700000000000001</v>
      </c>
      <c r="P13" s="1">
        <f t="shared" ca="1" si="7"/>
        <v>2.1000000000000001E-2</v>
      </c>
      <c r="Q13" s="1">
        <f t="shared" ca="1" si="7"/>
        <v>2.4E-2</v>
      </c>
      <c r="R13" s="1">
        <f t="shared" ca="1" si="7"/>
        <v>1E-3</v>
      </c>
      <c r="S13" s="1">
        <f t="shared" ca="1" si="7"/>
        <v>11.210999999999999</v>
      </c>
      <c r="T13" s="1">
        <f t="shared" ca="1" si="7"/>
        <v>6.0000000000000001E-3</v>
      </c>
      <c r="U13" s="1">
        <f t="shared" ca="1" si="7"/>
        <v>6.2E-2</v>
      </c>
      <c r="V13" s="1">
        <f t="shared" ref="V13:AJ13" ca="1" si="8">SUM(V19:V25)</f>
        <v>0.29700000000000004</v>
      </c>
      <c r="W13" s="1">
        <f t="shared" ca="1" si="8"/>
        <v>0.34299999999999997</v>
      </c>
      <c r="X13" s="1">
        <f t="shared" ca="1" si="8"/>
        <v>0.64600000000000002</v>
      </c>
      <c r="Y13" s="1">
        <f t="shared" ca="1" si="8"/>
        <v>0.57399999999999995</v>
      </c>
      <c r="Z13" s="1">
        <f t="shared" ca="1" si="8"/>
        <v>5.0000000000000001E-3</v>
      </c>
      <c r="AA13" s="1">
        <f t="shared" ca="1" si="8"/>
        <v>3.4000000000000002E-2</v>
      </c>
      <c r="AB13" s="1">
        <f t="shared" ca="1" si="8"/>
        <v>17.699000000000002</v>
      </c>
      <c r="AC13" s="1">
        <f t="shared" ca="1" si="8"/>
        <v>0.21199999999999999</v>
      </c>
      <c r="AD13" s="1">
        <f t="shared" ca="1" si="8"/>
        <v>0.27900000000000003</v>
      </c>
      <c r="AE13" s="1">
        <f t="shared" ca="1" si="8"/>
        <v>1.2390000000000001</v>
      </c>
      <c r="AF13" s="1">
        <f t="shared" ca="1" si="8"/>
        <v>3.9E-2</v>
      </c>
      <c r="AG13" s="1">
        <f t="shared" ca="1" si="8"/>
        <v>3.5999999999999997E-2</v>
      </c>
      <c r="AH13" s="1">
        <f t="shared" ca="1" si="8"/>
        <v>1.9E-2</v>
      </c>
      <c r="AI13" s="1">
        <f t="shared" ca="1" si="8"/>
        <v>2.7E-2</v>
      </c>
      <c r="AJ13" s="1">
        <f t="shared" ca="1" si="8"/>
        <v>9.8000000000000004E-2</v>
      </c>
      <c r="AK13" s="1">
        <f t="shared" ref="AK13:AW13" ca="1" si="9">SUM(AK19:AK25)</f>
        <v>1.0999999999999999E-2</v>
      </c>
      <c r="AL13" s="1">
        <f t="shared" ca="1" si="9"/>
        <v>7.0000000000000001E-3</v>
      </c>
      <c r="AM13" s="1">
        <f t="shared" ca="1" si="9"/>
        <v>0</v>
      </c>
      <c r="AN13" s="1">
        <f t="shared" ca="1" si="9"/>
        <v>0</v>
      </c>
      <c r="AO13" s="1">
        <f t="shared" ca="1" si="9"/>
        <v>0</v>
      </c>
      <c r="AP13" s="1">
        <f t="shared" ca="1" si="9"/>
        <v>0</v>
      </c>
      <c r="AQ13" s="1">
        <f t="shared" ca="1" si="9"/>
        <v>0</v>
      </c>
      <c r="AR13" s="1">
        <f t="shared" ca="1" si="9"/>
        <v>0</v>
      </c>
      <c r="AS13" s="1">
        <f t="shared" ca="1" si="9"/>
        <v>0</v>
      </c>
      <c r="AT13" s="1">
        <f t="shared" ca="1" si="9"/>
        <v>0</v>
      </c>
      <c r="AU13" s="1">
        <f t="shared" ca="1" si="9"/>
        <v>0</v>
      </c>
      <c r="AV13" s="1">
        <f t="shared" ca="1" si="9"/>
        <v>0</v>
      </c>
      <c r="AW13" s="1">
        <f t="shared" ca="1" si="9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D13/SUM($D$13:$AJ$13)</f>
        <v>5.5749059570487418E-2</v>
      </c>
      <c r="E14" s="42">
        <f t="shared" ref="E14:U14" ca="1" si="10">E13/SUM($D$13:$AJ$13)</f>
        <v>9.678960253169594E-2</v>
      </c>
      <c r="F14" s="42">
        <f t="shared" ca="1" si="10"/>
        <v>0</v>
      </c>
      <c r="G14" s="42">
        <f t="shared" ca="1" si="10"/>
        <v>2.5874251139462203E-4</v>
      </c>
      <c r="H14" s="42">
        <f t="shared" ca="1" si="10"/>
        <v>7.9613080429114484E-5</v>
      </c>
      <c r="I14" s="42">
        <f t="shared" ca="1" si="10"/>
        <v>1.0150667754712096E-3</v>
      </c>
      <c r="J14" s="42">
        <f t="shared" ca="1" si="10"/>
        <v>4.2792030730649027E-3</v>
      </c>
      <c r="K14" s="42">
        <f t="shared" ca="1" si="10"/>
        <v>0.18314989152717787</v>
      </c>
      <c r="L14" s="42">
        <f t="shared" ca="1" si="10"/>
        <v>1.3932289075095034E-4</v>
      </c>
      <c r="M14" s="42">
        <f t="shared" ca="1" si="10"/>
        <v>3.1845232171645794E-4</v>
      </c>
      <c r="N14" s="42">
        <f t="shared" ca="1" si="10"/>
        <v>1.2340027466512743E-3</v>
      </c>
      <c r="O14" s="42">
        <f t="shared" ca="1" si="10"/>
        <v>2.7267480046971712E-3</v>
      </c>
      <c r="P14" s="42">
        <f t="shared" ca="1" si="10"/>
        <v>4.1796867225285105E-4</v>
      </c>
      <c r="Q14" s="42">
        <f t="shared" ca="1" si="10"/>
        <v>4.7767848257468685E-4</v>
      </c>
      <c r="R14" s="42">
        <f t="shared" ca="1" si="10"/>
        <v>1.9903270107278621E-5</v>
      </c>
      <c r="S14" s="42">
        <f t="shared" ca="1" si="10"/>
        <v>0.22313556117270059</v>
      </c>
      <c r="T14" s="42">
        <f t="shared" ca="1" si="10"/>
        <v>1.1941962064367171E-4</v>
      </c>
      <c r="U14" s="42">
        <f t="shared" ca="1" si="10"/>
        <v>1.2340027466512743E-3</v>
      </c>
      <c r="V14" s="42">
        <f t="shared" ref="V14:AJ14" ca="1" si="11">V13/SUM($D$13:$AJ$13)</f>
        <v>5.9112712218617504E-3</v>
      </c>
      <c r="W14" s="42">
        <f t="shared" ca="1" si="11"/>
        <v>6.8268216467965662E-3</v>
      </c>
      <c r="X14" s="42">
        <f t="shared" ca="1" si="11"/>
        <v>1.2857512489301989E-2</v>
      </c>
      <c r="Y14" s="42">
        <f t="shared" ca="1" si="11"/>
        <v>1.1424477041577927E-2</v>
      </c>
      <c r="Z14" s="42">
        <f t="shared" ca="1" si="11"/>
        <v>9.9516350536393099E-5</v>
      </c>
      <c r="AA14" s="42">
        <f t="shared" ca="1" si="11"/>
        <v>6.7671118364747308E-4</v>
      </c>
      <c r="AB14" s="42">
        <f t="shared" ca="1" si="11"/>
        <v>0.3522679776287243</v>
      </c>
      <c r="AC14" s="42">
        <f t="shared" ca="1" si="11"/>
        <v>4.2194932627430673E-3</v>
      </c>
      <c r="AD14" s="42">
        <f t="shared" ca="1" si="11"/>
        <v>5.5530123599307349E-3</v>
      </c>
      <c r="AE14" s="42">
        <f t="shared" ca="1" si="11"/>
        <v>2.4660151662918212E-2</v>
      </c>
      <c r="AF14" s="42">
        <f t="shared" ca="1" si="11"/>
        <v>7.7622753418386619E-4</v>
      </c>
      <c r="AG14" s="42">
        <f t="shared" ca="1" si="11"/>
        <v>7.1651772386203028E-4</v>
      </c>
      <c r="AH14" s="42">
        <f t="shared" ca="1" si="11"/>
        <v>3.7816213203829374E-4</v>
      </c>
      <c r="AI14" s="42">
        <f t="shared" ca="1" si="11"/>
        <v>5.3738829289652276E-4</v>
      </c>
      <c r="AJ14" s="42">
        <f t="shared" ca="1" si="11"/>
        <v>1.9505204705133048E-3</v>
      </c>
      <c r="AK14" s="42">
        <f t="shared" ref="AK14:AW14" ca="1" si="12">AK13/SUM($D$13:$AJ$13)</f>
        <v>2.189359711800648E-4</v>
      </c>
      <c r="AL14" s="42">
        <f t="shared" ca="1" si="12"/>
        <v>1.3932289075095034E-4</v>
      </c>
      <c r="AM14" s="42">
        <f t="shared" ca="1" si="12"/>
        <v>0</v>
      </c>
      <c r="AN14" s="42">
        <f t="shared" ca="1" si="12"/>
        <v>0</v>
      </c>
      <c r="AO14" s="42">
        <f t="shared" ca="1" si="12"/>
        <v>0</v>
      </c>
      <c r="AP14" s="42">
        <f t="shared" ca="1" si="12"/>
        <v>0</v>
      </c>
      <c r="AQ14" s="42">
        <f t="shared" ca="1" si="12"/>
        <v>0</v>
      </c>
      <c r="AR14" s="42">
        <f t="shared" ca="1" si="12"/>
        <v>0</v>
      </c>
      <c r="AS14" s="42">
        <f t="shared" ca="1" si="12"/>
        <v>0</v>
      </c>
      <c r="AT14" s="42">
        <f t="shared" ca="1" si="12"/>
        <v>0</v>
      </c>
      <c r="AU14" s="42">
        <f t="shared" ca="1" si="12"/>
        <v>0</v>
      </c>
      <c r="AV14" s="42">
        <f t="shared" ca="1" si="12"/>
        <v>0</v>
      </c>
      <c r="AW14" s="42">
        <f t="shared" ca="1" si="12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IFERROR(D11/D14,"")</f>
        <v>0.99953933577088072</v>
      </c>
      <c r="E17" s="1">
        <f t="shared" ref="E17:U17" ca="1" si="13">IFERROR(E11/E14,"")</f>
        <v>0.99972435190181341</v>
      </c>
      <c r="F17" s="1" t="str">
        <f t="shared" ca="1" si="13"/>
        <v/>
      </c>
      <c r="G17" s="1">
        <f t="shared" ca="1" si="13"/>
        <v>1.0106053934536599</v>
      </c>
      <c r="H17" s="1">
        <f t="shared" ca="1" si="13"/>
        <v>0.98979461274269542</v>
      </c>
      <c r="I17" s="1">
        <f t="shared" ca="1" si="13"/>
        <v>0.99669848709349251</v>
      </c>
      <c r="J17" s="1">
        <f t="shared" ca="1" si="13"/>
        <v>1.0012442107103521</v>
      </c>
      <c r="K17" s="1">
        <f t="shared" ca="1" si="13"/>
        <v>0.99971183781861772</v>
      </c>
      <c r="L17" s="1">
        <f t="shared" ca="1" si="13"/>
        <v>0.94522316551423424</v>
      </c>
      <c r="M17" s="1">
        <f t="shared" ca="1" si="13"/>
        <v>0.98032540088749565</v>
      </c>
      <c r="N17" s="1">
        <f t="shared" ca="1" si="13"/>
        <v>1.0071222877985446</v>
      </c>
      <c r="O17" s="1">
        <f t="shared" ca="1" si="13"/>
        <v>1.0007517280799754</v>
      </c>
      <c r="P17" s="1">
        <f t="shared" ca="1" si="13"/>
        <v>1.0210799863843862</v>
      </c>
      <c r="Q17" s="1">
        <f t="shared" ca="1" si="13"/>
        <v>1.0185960050273426</v>
      </c>
      <c r="R17" s="1">
        <f t="shared" ca="1" si="13"/>
        <v>0.99130245785375504</v>
      </c>
      <c r="S17" s="1">
        <f t="shared" ca="1" si="13"/>
        <v>0.99970340967397942</v>
      </c>
      <c r="T17" s="1">
        <f t="shared" ca="1" si="13"/>
        <v>1.0192646192572932</v>
      </c>
      <c r="U17" s="1">
        <f t="shared" ca="1" si="13"/>
        <v>0.99909385123312544</v>
      </c>
      <c r="V17" s="1">
        <f t="shared" ref="V17:AJ17" ca="1" si="14">IFERROR(V11/V14,"")</f>
        <v>0.99938262901439301</v>
      </c>
      <c r="W17" s="1">
        <f t="shared" ca="1" si="14"/>
        <v>1.0001402389029173</v>
      </c>
      <c r="X17" s="1">
        <f t="shared" ca="1" si="14"/>
        <v>1.0002494369302763</v>
      </c>
      <c r="Y17" s="1">
        <f t="shared" ca="1" si="14"/>
        <v>1.0003432937309436</v>
      </c>
      <c r="Z17" s="1">
        <f t="shared" ca="1" si="14"/>
        <v>1.0585506603332477</v>
      </c>
      <c r="AA17" s="1">
        <f t="shared" ca="1" si="14"/>
        <v>1.0061069695898701</v>
      </c>
      <c r="AB17" s="1">
        <f t="shared" ca="1" si="14"/>
        <v>0.99972025632799977</v>
      </c>
      <c r="AC17" s="1">
        <f t="shared" ca="1" si="14"/>
        <v>0.99910982577712915</v>
      </c>
      <c r="AD17" s="1">
        <f t="shared" ca="1" si="14"/>
        <v>1.0005204876732285</v>
      </c>
      <c r="AE17" s="1">
        <f t="shared" ca="1" si="14"/>
        <v>0.99955008542574675</v>
      </c>
      <c r="AF17" s="1">
        <f t="shared" ca="1" si="14"/>
        <v>1.319072408783911</v>
      </c>
      <c r="AG17" s="1">
        <f t="shared" ca="1" si="14"/>
        <v>1.0022254709041816</v>
      </c>
      <c r="AH17" s="1">
        <f t="shared" ca="1" si="14"/>
        <v>0.99732705919663589</v>
      </c>
      <c r="AI17" s="1">
        <f t="shared" ca="1" si="14"/>
        <v>1.0072064862912786</v>
      </c>
      <c r="AJ17" s="1">
        <f t="shared" ca="1" si="14"/>
        <v>0.99782052380468433</v>
      </c>
      <c r="AK17" s="1">
        <f t="shared" ref="AK17:AW17" ca="1" si="15">IFERROR(AK11/AK14,"")</f>
        <v>0.96031565719624523</v>
      </c>
      <c r="AL17" s="1">
        <f t="shared" ca="1" si="15"/>
        <v>0.98379490130369263</v>
      </c>
      <c r="AM17" s="1" t="str">
        <f t="shared" ca="1" si="15"/>
        <v/>
      </c>
      <c r="AN17" s="1" t="str">
        <f t="shared" ca="1" si="15"/>
        <v/>
      </c>
      <c r="AO17" s="1" t="str">
        <f t="shared" ca="1" si="15"/>
        <v/>
      </c>
      <c r="AP17" s="1" t="str">
        <f t="shared" ca="1" si="15"/>
        <v/>
      </c>
      <c r="AQ17" s="1" t="str">
        <f t="shared" ca="1" si="15"/>
        <v/>
      </c>
      <c r="AR17" s="1" t="str">
        <f t="shared" ca="1" si="15"/>
        <v/>
      </c>
      <c r="AS17" s="1" t="str">
        <f t="shared" ca="1" si="15"/>
        <v/>
      </c>
      <c r="AT17" s="1" t="str">
        <f t="shared" ca="1" si="15"/>
        <v/>
      </c>
      <c r="AU17" s="1" t="str">
        <f t="shared" ca="1" si="15"/>
        <v/>
      </c>
      <c r="AV17" s="1" t="str">
        <f t="shared" ca="1" si="15"/>
        <v/>
      </c>
      <c r="AW17" s="1" t="str">
        <f t="shared" ca="1" si="15"/>
        <v/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6">C4</f>
        <v>TRABDS</v>
      </c>
      <c r="D19" s="40">
        <f ca="1">ROUND(D4*D28/D36,3)</f>
        <v>0</v>
      </c>
      <c r="E19" s="40">
        <f t="shared" ref="E19:U19" ca="1" si="17">ROUND(E4*E28/E36,3)</f>
        <v>0</v>
      </c>
      <c r="F19" s="40">
        <f t="shared" ca="1" si="17"/>
        <v>0</v>
      </c>
      <c r="G19" s="40">
        <f t="shared" ca="1" si="17"/>
        <v>0</v>
      </c>
      <c r="H19" s="40">
        <f t="shared" ca="1" si="17"/>
        <v>0</v>
      </c>
      <c r="I19" s="40">
        <f t="shared" ca="1" si="17"/>
        <v>0</v>
      </c>
      <c r="J19" s="40">
        <f t="shared" ca="1" si="17"/>
        <v>1.7999999999999999E-2</v>
      </c>
      <c r="K19" s="40">
        <f t="shared" ca="1" si="17"/>
        <v>8.8999999999999996E-2</v>
      </c>
      <c r="L19" s="40">
        <f t="shared" ca="1" si="17"/>
        <v>0</v>
      </c>
      <c r="M19" s="40">
        <f t="shared" ca="1" si="17"/>
        <v>0</v>
      </c>
      <c r="N19" s="40">
        <f t="shared" ca="1" si="17"/>
        <v>0</v>
      </c>
      <c r="O19" s="40">
        <f t="shared" ca="1" si="17"/>
        <v>0</v>
      </c>
      <c r="P19" s="40">
        <f t="shared" ca="1" si="17"/>
        <v>0</v>
      </c>
      <c r="Q19" s="40">
        <f t="shared" ca="1" si="17"/>
        <v>0</v>
      </c>
      <c r="R19" s="40">
        <f t="shared" ca="1" si="17"/>
        <v>0</v>
      </c>
      <c r="S19" s="40">
        <f t="shared" ca="1" si="17"/>
        <v>4.0000000000000001E-3</v>
      </c>
      <c r="T19" s="40">
        <f t="shared" ca="1" si="17"/>
        <v>0</v>
      </c>
      <c r="U19" s="40">
        <f t="shared" ca="1" si="17"/>
        <v>0</v>
      </c>
      <c r="V19" s="40">
        <f t="shared" ref="V19:AW19" ca="1" si="18">ROUND(V4*V28/V36,3)</f>
        <v>0</v>
      </c>
      <c r="W19" s="40">
        <f t="shared" ca="1" si="18"/>
        <v>2E-3</v>
      </c>
      <c r="X19" s="40">
        <f t="shared" ca="1" si="18"/>
        <v>0</v>
      </c>
      <c r="Y19" s="40">
        <f t="shared" ca="1" si="18"/>
        <v>0</v>
      </c>
      <c r="Z19" s="40">
        <f t="shared" ca="1" si="18"/>
        <v>0</v>
      </c>
      <c r="AA19" s="40">
        <f t="shared" ca="1" si="18"/>
        <v>0</v>
      </c>
      <c r="AB19" s="40">
        <f t="shared" ca="1" si="18"/>
        <v>0</v>
      </c>
      <c r="AC19" s="40">
        <f t="shared" ca="1" si="18"/>
        <v>0</v>
      </c>
      <c r="AD19" s="40">
        <f t="shared" ca="1" si="18"/>
        <v>0</v>
      </c>
      <c r="AE19" s="40">
        <f t="shared" ca="1" si="18"/>
        <v>0</v>
      </c>
      <c r="AF19" s="40">
        <f t="shared" ca="1" si="18"/>
        <v>0</v>
      </c>
      <c r="AG19" s="40">
        <f t="shared" ca="1" si="18"/>
        <v>0</v>
      </c>
      <c r="AH19" s="40">
        <f t="shared" ca="1" si="18"/>
        <v>0</v>
      </c>
      <c r="AI19" s="40">
        <f t="shared" ca="1" si="18"/>
        <v>0</v>
      </c>
      <c r="AJ19" s="40">
        <f t="shared" ca="1" si="18"/>
        <v>0</v>
      </c>
      <c r="AK19" s="40">
        <f t="shared" ca="1" si="18"/>
        <v>0</v>
      </c>
      <c r="AL19" s="40">
        <f t="shared" ca="1" si="18"/>
        <v>0</v>
      </c>
      <c r="AM19" s="40">
        <f t="shared" ca="1" si="18"/>
        <v>0</v>
      </c>
      <c r="AN19" s="40">
        <f t="shared" ca="1" si="18"/>
        <v>0</v>
      </c>
      <c r="AO19" s="40">
        <f t="shared" ca="1" si="18"/>
        <v>0</v>
      </c>
      <c r="AP19" s="40">
        <f t="shared" ca="1" si="18"/>
        <v>0</v>
      </c>
      <c r="AQ19" s="40">
        <f t="shared" ca="1" si="18"/>
        <v>0</v>
      </c>
      <c r="AR19" s="40">
        <f t="shared" ca="1" si="18"/>
        <v>0</v>
      </c>
      <c r="AS19" s="40">
        <f t="shared" ca="1" si="18"/>
        <v>0</v>
      </c>
      <c r="AT19" s="40">
        <f t="shared" ca="1" si="18"/>
        <v>0</v>
      </c>
      <c r="AU19" s="40">
        <f t="shared" ca="1" si="18"/>
        <v>0</v>
      </c>
      <c r="AV19" s="40">
        <f t="shared" ca="1" si="18"/>
        <v>0</v>
      </c>
      <c r="AW19" s="40">
        <f t="shared" ca="1" si="18"/>
        <v>0</v>
      </c>
      <c r="AY19" t="s">
        <v>358</v>
      </c>
      <c r="AZ19" t="str">
        <f ca="1">IF(AX4="zero","\I:",$BA$45&amp;"_"&amp;VLOOKUP(C19,'TRA balance'!$BB$5:$BC$15,2,FALSE))</f>
        <v>Trd_3w_bdl</v>
      </c>
      <c r="BA19" t="str">
        <f t="shared" ca="1" si="0"/>
        <v>Trd_3w</v>
      </c>
      <c r="BB19">
        <f t="shared" ca="1" si="1"/>
        <v>25</v>
      </c>
      <c r="BD19" t="str">
        <f t="shared" ca="1" si="3"/>
        <v>DMD</v>
      </c>
      <c r="BE19" t="str">
        <f t="shared" ca="1" si="4"/>
        <v>Trd_3w_bdl</v>
      </c>
      <c r="BG19" t="s">
        <v>156</v>
      </c>
      <c r="BH19" t="s">
        <v>352</v>
      </c>
      <c r="BI19" t="s">
        <v>359</v>
      </c>
    </row>
    <row r="20" spans="1:61">
      <c r="C20" t="str">
        <f t="shared" si="16"/>
        <v>TRABGS</v>
      </c>
      <c r="D20" s="40">
        <f t="shared" ref="D20:AW25" ca="1" si="19">ROUND(D5*D29/D37,3)</f>
        <v>0</v>
      </c>
      <c r="E20" s="40">
        <f t="shared" ref="E20:U20" ca="1" si="20">ROUND(E5*E29/E37,3)</f>
        <v>0</v>
      </c>
      <c r="F20" s="40">
        <f t="shared" ca="1" si="20"/>
        <v>0</v>
      </c>
      <c r="G20" s="40">
        <f t="shared" ca="1" si="20"/>
        <v>0</v>
      </c>
      <c r="H20" s="40">
        <f t="shared" ca="1" si="20"/>
        <v>0</v>
      </c>
      <c r="I20" s="40">
        <f t="shared" ca="1" si="20"/>
        <v>0</v>
      </c>
      <c r="J20" s="40">
        <f t="shared" ca="1" si="20"/>
        <v>0</v>
      </c>
      <c r="K20" s="40">
        <f t="shared" ca="1" si="20"/>
        <v>0</v>
      </c>
      <c r="L20" s="40">
        <f t="shared" ca="1" si="20"/>
        <v>0</v>
      </c>
      <c r="M20" s="40">
        <f t="shared" ca="1" si="20"/>
        <v>0</v>
      </c>
      <c r="N20" s="40">
        <f t="shared" ca="1" si="20"/>
        <v>0</v>
      </c>
      <c r="O20" s="40">
        <f t="shared" ca="1" si="20"/>
        <v>0</v>
      </c>
      <c r="P20" s="40">
        <f t="shared" ca="1" si="20"/>
        <v>0</v>
      </c>
      <c r="Q20" s="40">
        <f t="shared" ca="1" si="20"/>
        <v>0</v>
      </c>
      <c r="R20" s="40">
        <f t="shared" ca="1" si="20"/>
        <v>0</v>
      </c>
      <c r="S20" s="40">
        <f t="shared" ca="1" si="20"/>
        <v>0</v>
      </c>
      <c r="T20" s="40">
        <f t="shared" ca="1" si="20"/>
        <v>0</v>
      </c>
      <c r="U20" s="40">
        <f t="shared" ca="1" si="20"/>
        <v>0</v>
      </c>
      <c r="V20" s="40">
        <f t="shared" ca="1" si="19"/>
        <v>0</v>
      </c>
      <c r="W20" s="40">
        <f t="shared" ca="1" si="19"/>
        <v>0</v>
      </c>
      <c r="X20" s="40">
        <f t="shared" ca="1" si="19"/>
        <v>0</v>
      </c>
      <c r="Y20" s="40">
        <f t="shared" ca="1" si="19"/>
        <v>0</v>
      </c>
      <c r="Z20" s="40">
        <f t="shared" ca="1" si="19"/>
        <v>0</v>
      </c>
      <c r="AA20" s="40">
        <f t="shared" ca="1" si="19"/>
        <v>0</v>
      </c>
      <c r="AB20" s="40">
        <f t="shared" ca="1" si="19"/>
        <v>0</v>
      </c>
      <c r="AC20" s="40">
        <f t="shared" ca="1" si="19"/>
        <v>0</v>
      </c>
      <c r="AD20" s="40">
        <f t="shared" ca="1" si="19"/>
        <v>0</v>
      </c>
      <c r="AE20" s="40">
        <f t="shared" ca="1" si="19"/>
        <v>0</v>
      </c>
      <c r="AF20" s="40">
        <f t="shared" ca="1" si="19"/>
        <v>0</v>
      </c>
      <c r="AG20" s="40">
        <f t="shared" ca="1" si="19"/>
        <v>0</v>
      </c>
      <c r="AH20" s="40">
        <f t="shared" ca="1" si="19"/>
        <v>0</v>
      </c>
      <c r="AI20" s="40">
        <f t="shared" ca="1" si="19"/>
        <v>0</v>
      </c>
      <c r="AJ20" s="40">
        <f t="shared" ca="1" si="19"/>
        <v>0</v>
      </c>
      <c r="AK20" s="40">
        <f t="shared" ca="1" si="19"/>
        <v>0</v>
      </c>
      <c r="AL20" s="40">
        <f t="shared" ca="1" si="19"/>
        <v>0</v>
      </c>
      <c r="AM20" s="40">
        <f t="shared" ca="1" si="19"/>
        <v>0</v>
      </c>
      <c r="AN20" s="40">
        <f t="shared" ca="1" si="19"/>
        <v>0</v>
      </c>
      <c r="AO20" s="40">
        <f t="shared" ca="1" si="19"/>
        <v>0</v>
      </c>
      <c r="AP20" s="40">
        <f t="shared" ca="1" si="19"/>
        <v>0</v>
      </c>
      <c r="AQ20" s="40">
        <f t="shared" ca="1" si="19"/>
        <v>0</v>
      </c>
      <c r="AR20" s="40">
        <f t="shared" ca="1" si="19"/>
        <v>0</v>
      </c>
      <c r="AS20" s="40">
        <f t="shared" ca="1" si="19"/>
        <v>0</v>
      </c>
      <c r="AT20" s="40">
        <f t="shared" ca="1" si="19"/>
        <v>0</v>
      </c>
      <c r="AU20" s="40">
        <f t="shared" ca="1" si="19"/>
        <v>0</v>
      </c>
      <c r="AV20" s="40">
        <f t="shared" ca="1" si="19"/>
        <v>0</v>
      </c>
      <c r="AW20" s="40">
        <f t="shared" ca="1" si="19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Trd_3w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6"/>
        <v>TRADST</v>
      </c>
      <c r="D21" s="40">
        <f t="shared" ca="1" si="19"/>
        <v>0</v>
      </c>
      <c r="E21" s="40">
        <f t="shared" ref="E21:U21" ca="1" si="21">ROUND(E6*E30/E38,3)</f>
        <v>0</v>
      </c>
      <c r="F21" s="40">
        <f t="shared" ca="1" si="21"/>
        <v>0</v>
      </c>
      <c r="G21" s="40">
        <f t="shared" ca="1" si="21"/>
        <v>0</v>
      </c>
      <c r="H21" s="40">
        <f t="shared" ca="1" si="21"/>
        <v>0</v>
      </c>
      <c r="I21" s="40">
        <f t="shared" ca="1" si="21"/>
        <v>0</v>
      </c>
      <c r="J21" s="40">
        <f t="shared" ca="1" si="21"/>
        <v>3.9E-2</v>
      </c>
      <c r="K21" s="40">
        <f t="shared" ca="1" si="21"/>
        <v>9.1129999999999995</v>
      </c>
      <c r="L21" s="40">
        <f t="shared" ca="1" si="21"/>
        <v>0</v>
      </c>
      <c r="M21" s="40">
        <f t="shared" ca="1" si="21"/>
        <v>0</v>
      </c>
      <c r="N21" s="40">
        <f t="shared" ca="1" si="21"/>
        <v>0</v>
      </c>
      <c r="O21" s="40">
        <f t="shared" ca="1" si="21"/>
        <v>0</v>
      </c>
      <c r="P21" s="40">
        <f t="shared" ca="1" si="21"/>
        <v>0</v>
      </c>
      <c r="Q21" s="40">
        <f t="shared" ca="1" si="21"/>
        <v>0</v>
      </c>
      <c r="R21" s="40">
        <f t="shared" ca="1" si="21"/>
        <v>0</v>
      </c>
      <c r="S21" s="40">
        <f t="shared" ca="1" si="21"/>
        <v>5.952</v>
      </c>
      <c r="T21" s="40">
        <f t="shared" ca="1" si="21"/>
        <v>0</v>
      </c>
      <c r="U21" s="40">
        <f t="shared" ca="1" si="21"/>
        <v>0</v>
      </c>
      <c r="V21" s="40">
        <f t="shared" ca="1" si="19"/>
        <v>1.7999999999999999E-2</v>
      </c>
      <c r="W21" s="40">
        <f t="shared" ca="1" si="19"/>
        <v>0.04</v>
      </c>
      <c r="X21" s="40">
        <f t="shared" ca="1" si="19"/>
        <v>0</v>
      </c>
      <c r="Y21" s="40">
        <f t="shared" ca="1" si="19"/>
        <v>0</v>
      </c>
      <c r="Z21" s="40">
        <f t="shared" ca="1" si="19"/>
        <v>0</v>
      </c>
      <c r="AA21" s="40">
        <f t="shared" ca="1" si="19"/>
        <v>0</v>
      </c>
      <c r="AB21" s="40">
        <f t="shared" ca="1" si="19"/>
        <v>0</v>
      </c>
      <c r="AC21" s="40">
        <f t="shared" ca="1" si="19"/>
        <v>0</v>
      </c>
      <c r="AD21" s="40">
        <f t="shared" ca="1" si="19"/>
        <v>0</v>
      </c>
      <c r="AE21" s="40">
        <f t="shared" ca="1" si="19"/>
        <v>0</v>
      </c>
      <c r="AF21" s="40">
        <f t="shared" ca="1" si="19"/>
        <v>0</v>
      </c>
      <c r="AG21" s="40">
        <f t="shared" ca="1" si="19"/>
        <v>0</v>
      </c>
      <c r="AH21" s="40">
        <f t="shared" ca="1" si="19"/>
        <v>0</v>
      </c>
      <c r="AI21" s="40">
        <f t="shared" ca="1" si="19"/>
        <v>0</v>
      </c>
      <c r="AJ21" s="40">
        <f t="shared" ca="1" si="19"/>
        <v>0</v>
      </c>
      <c r="AK21" s="40">
        <f t="shared" ca="1" si="19"/>
        <v>0</v>
      </c>
      <c r="AL21" s="40">
        <f t="shared" ca="1" si="19"/>
        <v>0</v>
      </c>
      <c r="AM21" s="40">
        <f t="shared" ca="1" si="19"/>
        <v>0</v>
      </c>
      <c r="AN21" s="40">
        <f t="shared" ca="1" si="19"/>
        <v>0</v>
      </c>
      <c r="AO21" s="40">
        <f t="shared" ca="1" si="19"/>
        <v>0</v>
      </c>
      <c r="AP21" s="40">
        <f t="shared" ca="1" si="19"/>
        <v>0</v>
      </c>
      <c r="AQ21" s="40">
        <f t="shared" ca="1" si="19"/>
        <v>0</v>
      </c>
      <c r="AR21" s="40">
        <f t="shared" ca="1" si="19"/>
        <v>0</v>
      </c>
      <c r="AS21" s="40">
        <f t="shared" ca="1" si="19"/>
        <v>0</v>
      </c>
      <c r="AT21" s="40">
        <f t="shared" ca="1" si="19"/>
        <v>0</v>
      </c>
      <c r="AU21" s="40">
        <f t="shared" ca="1" si="19"/>
        <v>0</v>
      </c>
      <c r="AV21" s="40">
        <f t="shared" ca="1" si="19"/>
        <v>0</v>
      </c>
      <c r="AW21" s="40">
        <f t="shared" ca="1" si="19"/>
        <v>0</v>
      </c>
      <c r="AY21" t="s">
        <v>358</v>
      </c>
      <c r="AZ21" t="str">
        <f ca="1">IF(AX6="zero","\I:",$BA$45&amp;"_"&amp;VLOOKUP(C21,'TRA balance'!$BB$5:$BC$15,2,FALSE))</f>
        <v>Trd_3w_dsl</v>
      </c>
      <c r="BA21" t="str">
        <f t="shared" ca="1" si="0"/>
        <v>Trd_3w</v>
      </c>
      <c r="BB21">
        <f t="shared" ca="1" si="1"/>
        <v>25</v>
      </c>
      <c r="BD21" t="str">
        <f t="shared" ca="1" si="3"/>
        <v>DMD</v>
      </c>
      <c r="BE21" t="str">
        <f t="shared" ca="1" si="4"/>
        <v>Trd_3w_dsl</v>
      </c>
      <c r="BG21" t="s">
        <v>156</v>
      </c>
      <c r="BH21" t="s">
        <v>352</v>
      </c>
      <c r="BI21" t="s">
        <v>359</v>
      </c>
    </row>
    <row r="22" spans="1:61">
      <c r="C22" t="str">
        <f t="shared" si="16"/>
        <v>TRAELC</v>
      </c>
      <c r="D22" s="40">
        <f t="shared" ca="1" si="19"/>
        <v>0</v>
      </c>
      <c r="E22" s="40">
        <f t="shared" ref="E22:U22" ca="1" si="22">ROUND(E7*E31/E39,3)</f>
        <v>0</v>
      </c>
      <c r="F22" s="40">
        <f t="shared" ca="1" si="22"/>
        <v>0</v>
      </c>
      <c r="G22" s="40">
        <f t="shared" ca="1" si="22"/>
        <v>0</v>
      </c>
      <c r="H22" s="40">
        <f t="shared" ca="1" si="22"/>
        <v>0</v>
      </c>
      <c r="I22" s="40">
        <f t="shared" ca="1" si="22"/>
        <v>0</v>
      </c>
      <c r="J22" s="40">
        <f t="shared" ca="1" si="22"/>
        <v>0</v>
      </c>
      <c r="K22" s="40">
        <f t="shared" ca="1" si="22"/>
        <v>0</v>
      </c>
      <c r="L22" s="40">
        <f t="shared" ca="1" si="22"/>
        <v>0</v>
      </c>
      <c r="M22" s="40">
        <f t="shared" ca="1" si="22"/>
        <v>0</v>
      </c>
      <c r="N22" s="40">
        <f t="shared" ca="1" si="22"/>
        <v>0</v>
      </c>
      <c r="O22" s="40">
        <f t="shared" ca="1" si="22"/>
        <v>0</v>
      </c>
      <c r="P22" s="40">
        <f t="shared" ca="1" si="22"/>
        <v>0</v>
      </c>
      <c r="Q22" s="40">
        <f t="shared" ca="1" si="22"/>
        <v>0</v>
      </c>
      <c r="R22" s="40">
        <f t="shared" ca="1" si="22"/>
        <v>0</v>
      </c>
      <c r="S22" s="40">
        <f t="shared" ca="1" si="22"/>
        <v>0</v>
      </c>
      <c r="T22" s="40">
        <f t="shared" ca="1" si="22"/>
        <v>0</v>
      </c>
      <c r="U22" s="40">
        <f t="shared" ca="1" si="22"/>
        <v>0</v>
      </c>
      <c r="V22" s="40">
        <f t="shared" ca="1" si="19"/>
        <v>0</v>
      </c>
      <c r="W22" s="40">
        <f t="shared" ca="1" si="19"/>
        <v>0</v>
      </c>
      <c r="X22" s="40">
        <f t="shared" ca="1" si="19"/>
        <v>0</v>
      </c>
      <c r="Y22" s="40">
        <f t="shared" ca="1" si="19"/>
        <v>0</v>
      </c>
      <c r="Z22" s="40">
        <f t="shared" ca="1" si="19"/>
        <v>0</v>
      </c>
      <c r="AA22" s="40">
        <f t="shared" ca="1" si="19"/>
        <v>0</v>
      </c>
      <c r="AB22" s="40">
        <f t="shared" ca="1" si="19"/>
        <v>0</v>
      </c>
      <c r="AC22" s="40">
        <f t="shared" ca="1" si="19"/>
        <v>0</v>
      </c>
      <c r="AD22" s="40">
        <f t="shared" ca="1" si="19"/>
        <v>0</v>
      </c>
      <c r="AE22" s="40">
        <f t="shared" ca="1" si="19"/>
        <v>0</v>
      </c>
      <c r="AF22" s="40">
        <f t="shared" ca="1" si="19"/>
        <v>0</v>
      </c>
      <c r="AG22" s="40">
        <f t="shared" ca="1" si="19"/>
        <v>0</v>
      </c>
      <c r="AH22" s="40">
        <f t="shared" ca="1" si="19"/>
        <v>0</v>
      </c>
      <c r="AI22" s="40">
        <f t="shared" ca="1" si="19"/>
        <v>0</v>
      </c>
      <c r="AJ22" s="40">
        <f t="shared" ca="1" si="19"/>
        <v>0</v>
      </c>
      <c r="AK22" s="40">
        <f t="shared" ca="1" si="19"/>
        <v>0</v>
      </c>
      <c r="AL22" s="40">
        <f t="shared" ca="1" si="19"/>
        <v>0</v>
      </c>
      <c r="AM22" s="40">
        <f t="shared" ca="1" si="19"/>
        <v>0</v>
      </c>
      <c r="AN22" s="40">
        <f t="shared" ca="1" si="19"/>
        <v>0</v>
      </c>
      <c r="AO22" s="40">
        <f t="shared" ca="1" si="19"/>
        <v>0</v>
      </c>
      <c r="AP22" s="40">
        <f t="shared" ca="1" si="19"/>
        <v>0</v>
      </c>
      <c r="AQ22" s="40">
        <f t="shared" ca="1" si="19"/>
        <v>0</v>
      </c>
      <c r="AR22" s="40">
        <f t="shared" ca="1" si="19"/>
        <v>0</v>
      </c>
      <c r="AS22" s="40">
        <f t="shared" ca="1" si="19"/>
        <v>0</v>
      </c>
      <c r="AT22" s="40">
        <f t="shared" ca="1" si="19"/>
        <v>0</v>
      </c>
      <c r="AU22" s="40">
        <f t="shared" ca="1" si="19"/>
        <v>0</v>
      </c>
      <c r="AV22" s="40">
        <f t="shared" ca="1" si="19"/>
        <v>0</v>
      </c>
      <c r="AW22" s="40">
        <f t="shared" ca="1" si="19"/>
        <v>0</v>
      </c>
      <c r="AY22" t="s">
        <v>358</v>
      </c>
      <c r="AZ22" t="str">
        <f ca="1">IF(AX7="zero","\I:",$BA$45&amp;"_"&amp;VLOOKUP(C22,'TRA balance'!$BB$5:$BC$15,2,FALSE))</f>
        <v>\I:</v>
      </c>
      <c r="BA22" t="str">
        <f t="shared" ca="1" si="0"/>
        <v>Trd_3w</v>
      </c>
      <c r="BB22">
        <f t="shared" ca="1" si="1"/>
        <v>25</v>
      </c>
      <c r="BD22" t="str">
        <f t="shared" ca="1" si="3"/>
        <v>DMD</v>
      </c>
      <c r="BE22" t="str">
        <f t="shared" ca="1" si="4"/>
        <v>\I:</v>
      </c>
      <c r="BG22" t="s">
        <v>156</v>
      </c>
      <c r="BH22" t="s">
        <v>352</v>
      </c>
      <c r="BI22" t="s">
        <v>359</v>
      </c>
    </row>
    <row r="23" spans="1:61">
      <c r="C23" t="str">
        <f t="shared" si="16"/>
        <v>TRAGSL</v>
      </c>
      <c r="D23" s="40">
        <f t="shared" ca="1" si="19"/>
        <v>2.8010000000000002</v>
      </c>
      <c r="E23" s="40">
        <f t="shared" ref="E23:U23" ca="1" si="23">ROUND(E8*E32/E40,3)</f>
        <v>4.8630000000000004</v>
      </c>
      <c r="F23" s="40">
        <f t="shared" ca="1" si="23"/>
        <v>0</v>
      </c>
      <c r="G23" s="40">
        <f t="shared" ca="1" si="23"/>
        <v>1.2999999999999999E-2</v>
      </c>
      <c r="H23" s="40">
        <f t="shared" ca="1" si="23"/>
        <v>4.0000000000000001E-3</v>
      </c>
      <c r="I23" s="40">
        <f t="shared" ca="1" si="23"/>
        <v>5.0999999999999997E-2</v>
      </c>
      <c r="J23" s="40">
        <f t="shared" ca="1" si="23"/>
        <v>0.158</v>
      </c>
      <c r="K23" s="40">
        <f t="shared" ca="1" si="23"/>
        <v>0</v>
      </c>
      <c r="L23" s="40">
        <f t="shared" ca="1" si="23"/>
        <v>7.0000000000000001E-3</v>
      </c>
      <c r="M23" s="40">
        <f t="shared" ca="1" si="23"/>
        <v>1.6E-2</v>
      </c>
      <c r="N23" s="40">
        <f t="shared" ca="1" si="23"/>
        <v>6.2E-2</v>
      </c>
      <c r="O23" s="40">
        <f t="shared" ca="1" si="23"/>
        <v>0.13700000000000001</v>
      </c>
      <c r="P23" s="40">
        <f t="shared" ca="1" si="23"/>
        <v>2.1000000000000001E-2</v>
      </c>
      <c r="Q23" s="40">
        <f t="shared" ca="1" si="23"/>
        <v>2.4E-2</v>
      </c>
      <c r="R23" s="40">
        <f t="shared" ca="1" si="23"/>
        <v>1E-3</v>
      </c>
      <c r="S23" s="40">
        <f t="shared" ca="1" si="23"/>
        <v>5.2549999999999999</v>
      </c>
      <c r="T23" s="40">
        <f t="shared" ca="1" si="23"/>
        <v>6.0000000000000001E-3</v>
      </c>
      <c r="U23" s="40">
        <f t="shared" ca="1" si="23"/>
        <v>6.2E-2</v>
      </c>
      <c r="V23" s="40">
        <f t="shared" ca="1" si="19"/>
        <v>0.27900000000000003</v>
      </c>
      <c r="W23" s="40">
        <f t="shared" ca="1" si="19"/>
        <v>0.30099999999999999</v>
      </c>
      <c r="X23" s="40">
        <f t="shared" ca="1" si="19"/>
        <v>0.64600000000000002</v>
      </c>
      <c r="Y23" s="40">
        <f t="shared" ca="1" si="19"/>
        <v>0.57399999999999995</v>
      </c>
      <c r="Z23" s="40">
        <f t="shared" ca="1" si="19"/>
        <v>5.0000000000000001E-3</v>
      </c>
      <c r="AA23" s="40">
        <f t="shared" ca="1" si="19"/>
        <v>3.4000000000000002E-2</v>
      </c>
      <c r="AB23" s="40">
        <f t="shared" ca="1" si="19"/>
        <v>17.699000000000002</v>
      </c>
      <c r="AC23" s="40">
        <f t="shared" ca="1" si="19"/>
        <v>0.21199999999999999</v>
      </c>
      <c r="AD23" s="40">
        <f t="shared" ca="1" si="19"/>
        <v>0.27900000000000003</v>
      </c>
      <c r="AE23" s="40">
        <f t="shared" ca="1" si="19"/>
        <v>1.2390000000000001</v>
      </c>
      <c r="AF23" s="40">
        <f t="shared" ca="1" si="19"/>
        <v>3.9E-2</v>
      </c>
      <c r="AG23" s="40">
        <f t="shared" ca="1" si="19"/>
        <v>3.5999999999999997E-2</v>
      </c>
      <c r="AH23" s="40">
        <f t="shared" ca="1" si="19"/>
        <v>1.9E-2</v>
      </c>
      <c r="AI23" s="40">
        <f t="shared" ca="1" si="19"/>
        <v>2.7E-2</v>
      </c>
      <c r="AJ23" s="40">
        <f t="shared" ca="1" si="19"/>
        <v>9.8000000000000004E-2</v>
      </c>
      <c r="AK23" s="40">
        <f t="shared" ca="1" si="19"/>
        <v>1.0999999999999999E-2</v>
      </c>
      <c r="AL23" s="40">
        <f t="shared" ca="1" si="19"/>
        <v>7.0000000000000001E-3</v>
      </c>
      <c r="AM23" s="40">
        <f t="shared" ca="1" si="19"/>
        <v>0</v>
      </c>
      <c r="AN23" s="40">
        <f t="shared" ca="1" si="19"/>
        <v>0</v>
      </c>
      <c r="AO23" s="40">
        <f t="shared" ca="1" si="19"/>
        <v>0</v>
      </c>
      <c r="AP23" s="40">
        <f t="shared" ca="1" si="19"/>
        <v>0</v>
      </c>
      <c r="AQ23" s="40">
        <f t="shared" ca="1" si="19"/>
        <v>0</v>
      </c>
      <c r="AR23" s="40">
        <f t="shared" ca="1" si="19"/>
        <v>0</v>
      </c>
      <c r="AS23" s="40">
        <f t="shared" ca="1" si="19"/>
        <v>0</v>
      </c>
      <c r="AT23" s="40">
        <f t="shared" ca="1" si="19"/>
        <v>0</v>
      </c>
      <c r="AU23" s="40">
        <f t="shared" ca="1" si="19"/>
        <v>0</v>
      </c>
      <c r="AV23" s="40">
        <f t="shared" ca="1" si="19"/>
        <v>0</v>
      </c>
      <c r="AW23" s="40">
        <f t="shared" ca="1" si="19"/>
        <v>0</v>
      </c>
      <c r="AY23" t="s">
        <v>358</v>
      </c>
      <c r="AZ23" t="str">
        <f ca="1">IF(AX8="zero","\I:",$BA$45&amp;"_"&amp;VLOOKUP(C23,'TRA balance'!$BB$5:$BC$15,2,FALSE))</f>
        <v>Trd_3w_gsl</v>
      </c>
      <c r="BA23" t="str">
        <f t="shared" ca="1" si="0"/>
        <v>Trd_3w</v>
      </c>
      <c r="BB23">
        <f t="shared" ca="1" si="1"/>
        <v>25</v>
      </c>
      <c r="BD23" t="str">
        <f t="shared" ca="1" si="3"/>
        <v>DMD</v>
      </c>
      <c r="BE23" t="str">
        <f t="shared" ca="1" si="4"/>
        <v>Trd_3w_gsl</v>
      </c>
      <c r="BG23" t="s">
        <v>156</v>
      </c>
      <c r="BH23" t="s">
        <v>352</v>
      </c>
      <c r="BI23" t="s">
        <v>359</v>
      </c>
    </row>
    <row r="24" spans="1:61">
      <c r="C24" t="str">
        <f t="shared" si="16"/>
        <v>TRALPG</v>
      </c>
      <c r="D24" s="40">
        <f t="shared" si="19"/>
        <v>0</v>
      </c>
      <c r="E24" s="40">
        <f t="shared" ref="E24:U24" si="24">ROUND(E9*E33/E41,3)</f>
        <v>0</v>
      </c>
      <c r="F24" s="40">
        <f t="shared" si="24"/>
        <v>0</v>
      </c>
      <c r="G24" s="40">
        <f t="shared" si="24"/>
        <v>0</v>
      </c>
      <c r="H24" s="40">
        <f t="shared" si="24"/>
        <v>0</v>
      </c>
      <c r="I24" s="40">
        <f t="shared" si="24"/>
        <v>0</v>
      </c>
      <c r="J24" s="40">
        <f t="shared" si="24"/>
        <v>0</v>
      </c>
      <c r="K24" s="40">
        <f t="shared" si="24"/>
        <v>0</v>
      </c>
      <c r="L24" s="40">
        <f t="shared" si="24"/>
        <v>0</v>
      </c>
      <c r="M24" s="40">
        <f t="shared" si="24"/>
        <v>0</v>
      </c>
      <c r="N24" s="40">
        <f t="shared" si="24"/>
        <v>0</v>
      </c>
      <c r="O24" s="40">
        <f t="shared" si="24"/>
        <v>0</v>
      </c>
      <c r="P24" s="40">
        <f t="shared" si="24"/>
        <v>0</v>
      </c>
      <c r="Q24" s="40">
        <f t="shared" si="24"/>
        <v>0</v>
      </c>
      <c r="R24" s="40">
        <f t="shared" si="24"/>
        <v>0</v>
      </c>
      <c r="S24" s="40">
        <f t="shared" si="24"/>
        <v>0</v>
      </c>
      <c r="T24" s="40">
        <f t="shared" si="24"/>
        <v>0</v>
      </c>
      <c r="U24" s="40">
        <f t="shared" si="24"/>
        <v>0</v>
      </c>
      <c r="V24" s="40">
        <f t="shared" si="19"/>
        <v>0</v>
      </c>
      <c r="W24" s="40">
        <f t="shared" si="19"/>
        <v>0</v>
      </c>
      <c r="X24" s="40">
        <f t="shared" si="19"/>
        <v>0</v>
      </c>
      <c r="Y24" s="40">
        <f t="shared" si="19"/>
        <v>0</v>
      </c>
      <c r="Z24" s="40">
        <f t="shared" si="19"/>
        <v>0</v>
      </c>
      <c r="AA24" s="40">
        <f t="shared" si="19"/>
        <v>0</v>
      </c>
      <c r="AB24" s="40">
        <f t="shared" si="19"/>
        <v>0</v>
      </c>
      <c r="AC24" s="40">
        <f t="shared" si="19"/>
        <v>0</v>
      </c>
      <c r="AD24" s="40">
        <f t="shared" si="19"/>
        <v>0</v>
      </c>
      <c r="AE24" s="40">
        <f t="shared" si="19"/>
        <v>0</v>
      </c>
      <c r="AF24" s="40">
        <f t="shared" si="19"/>
        <v>0</v>
      </c>
      <c r="AG24" s="40">
        <f t="shared" si="19"/>
        <v>0</v>
      </c>
      <c r="AH24" s="40">
        <f t="shared" si="19"/>
        <v>0</v>
      </c>
      <c r="AI24" s="40">
        <f t="shared" si="19"/>
        <v>0</v>
      </c>
      <c r="AJ24" s="40">
        <f t="shared" si="19"/>
        <v>0</v>
      </c>
      <c r="AK24" s="40">
        <f t="shared" si="19"/>
        <v>0</v>
      </c>
      <c r="AL24" s="40">
        <f t="shared" si="19"/>
        <v>0</v>
      </c>
      <c r="AM24" s="40">
        <f t="shared" si="19"/>
        <v>0</v>
      </c>
      <c r="AN24" s="40">
        <f t="shared" si="19"/>
        <v>0</v>
      </c>
      <c r="AO24" s="40">
        <f t="shared" si="19"/>
        <v>0</v>
      </c>
      <c r="AP24" s="40">
        <f t="shared" si="19"/>
        <v>0</v>
      </c>
      <c r="AQ24" s="40">
        <f t="shared" si="19"/>
        <v>0</v>
      </c>
      <c r="AR24" s="40">
        <f t="shared" si="19"/>
        <v>0</v>
      </c>
      <c r="AS24" s="40">
        <f t="shared" si="19"/>
        <v>0</v>
      </c>
      <c r="AT24" s="40">
        <f t="shared" si="19"/>
        <v>0</v>
      </c>
      <c r="AU24" s="40">
        <f t="shared" si="19"/>
        <v>0</v>
      </c>
      <c r="AV24" s="40">
        <f t="shared" si="19"/>
        <v>0</v>
      </c>
      <c r="AW24" s="40">
        <f t="shared" si="19"/>
        <v>0</v>
      </c>
      <c r="AY24" t="s">
        <v>358</v>
      </c>
      <c r="AZ24" t="str">
        <f>IF(AX9="zero","\I:",$BA$45&amp;"_"&amp;VLOOKUP(C24,'TRA balance'!$BB$5:$BC$15,2,FALSE))</f>
        <v>\I:</v>
      </c>
      <c r="BA24" t="str">
        <f t="shared" si="0"/>
        <v>Trd_3w</v>
      </c>
      <c r="BB24">
        <f t="shared" si="1"/>
        <v>25</v>
      </c>
      <c r="BD24" t="str">
        <f t="shared" si="3"/>
        <v>DMD</v>
      </c>
      <c r="BE24" t="str">
        <f t="shared" si="4"/>
        <v>\I:</v>
      </c>
      <c r="BG24" t="s">
        <v>156</v>
      </c>
      <c r="BH24" t="s">
        <v>352</v>
      </c>
      <c r="BI24" t="s">
        <v>359</v>
      </c>
    </row>
    <row r="25" spans="1:61">
      <c r="C25" t="str">
        <f t="shared" si="16"/>
        <v>TRANGA</v>
      </c>
      <c r="D25" s="40">
        <f t="shared" si="19"/>
        <v>0</v>
      </c>
      <c r="E25" s="40">
        <f t="shared" ref="E25:U25" si="25">ROUND(E10*E34/E42,3)</f>
        <v>0</v>
      </c>
      <c r="F25" s="40">
        <f t="shared" si="25"/>
        <v>0</v>
      </c>
      <c r="G25" s="40">
        <f t="shared" si="25"/>
        <v>0</v>
      </c>
      <c r="H25" s="40">
        <f t="shared" si="25"/>
        <v>0</v>
      </c>
      <c r="I25" s="40">
        <f t="shared" si="25"/>
        <v>0</v>
      </c>
      <c r="J25" s="40">
        <f t="shared" si="25"/>
        <v>0</v>
      </c>
      <c r="K25" s="40">
        <f t="shared" si="25"/>
        <v>0</v>
      </c>
      <c r="L25" s="40">
        <f t="shared" si="25"/>
        <v>0</v>
      </c>
      <c r="M25" s="40">
        <f t="shared" si="25"/>
        <v>0</v>
      </c>
      <c r="N25" s="40">
        <f t="shared" si="25"/>
        <v>0</v>
      </c>
      <c r="O25" s="40">
        <f t="shared" si="25"/>
        <v>0</v>
      </c>
      <c r="P25" s="40">
        <f t="shared" si="25"/>
        <v>0</v>
      </c>
      <c r="Q25" s="40">
        <f t="shared" si="25"/>
        <v>0</v>
      </c>
      <c r="R25" s="40">
        <f t="shared" si="25"/>
        <v>0</v>
      </c>
      <c r="S25" s="40">
        <f t="shared" si="25"/>
        <v>0</v>
      </c>
      <c r="T25" s="40">
        <f t="shared" si="25"/>
        <v>0</v>
      </c>
      <c r="U25" s="40">
        <f t="shared" si="25"/>
        <v>0</v>
      </c>
      <c r="V25" s="40">
        <f t="shared" si="19"/>
        <v>0</v>
      </c>
      <c r="W25" s="40">
        <f t="shared" si="19"/>
        <v>0</v>
      </c>
      <c r="X25" s="40">
        <f t="shared" si="19"/>
        <v>0</v>
      </c>
      <c r="Y25" s="40">
        <f t="shared" si="19"/>
        <v>0</v>
      </c>
      <c r="Z25" s="40">
        <f t="shared" si="19"/>
        <v>0</v>
      </c>
      <c r="AA25" s="40">
        <f t="shared" si="19"/>
        <v>0</v>
      </c>
      <c r="AB25" s="40">
        <f t="shared" si="19"/>
        <v>0</v>
      </c>
      <c r="AC25" s="40">
        <f t="shared" si="19"/>
        <v>0</v>
      </c>
      <c r="AD25" s="40">
        <f t="shared" si="19"/>
        <v>0</v>
      </c>
      <c r="AE25" s="40">
        <f t="shared" si="19"/>
        <v>0</v>
      </c>
      <c r="AF25" s="40">
        <f t="shared" si="19"/>
        <v>0</v>
      </c>
      <c r="AG25" s="40">
        <f t="shared" si="19"/>
        <v>0</v>
      </c>
      <c r="AH25" s="40">
        <f t="shared" si="19"/>
        <v>0</v>
      </c>
      <c r="AI25" s="40">
        <f t="shared" si="19"/>
        <v>0</v>
      </c>
      <c r="AJ25" s="40">
        <f t="shared" si="19"/>
        <v>0</v>
      </c>
      <c r="AK25" s="40">
        <f t="shared" si="19"/>
        <v>0</v>
      </c>
      <c r="AL25" s="40">
        <f t="shared" si="19"/>
        <v>0</v>
      </c>
      <c r="AM25" s="40">
        <f t="shared" si="19"/>
        <v>0</v>
      </c>
      <c r="AN25" s="40">
        <f t="shared" si="19"/>
        <v>0</v>
      </c>
      <c r="AO25" s="40">
        <f t="shared" si="19"/>
        <v>0</v>
      </c>
      <c r="AP25" s="40">
        <f t="shared" si="19"/>
        <v>0</v>
      </c>
      <c r="AQ25" s="40">
        <f t="shared" si="19"/>
        <v>0</v>
      </c>
      <c r="AR25" s="40">
        <f t="shared" si="19"/>
        <v>0</v>
      </c>
      <c r="AS25" s="40">
        <f t="shared" si="19"/>
        <v>0</v>
      </c>
      <c r="AT25" s="40">
        <f t="shared" si="19"/>
        <v>0</v>
      </c>
      <c r="AU25" s="40">
        <f t="shared" si="19"/>
        <v>0</v>
      </c>
      <c r="AV25" s="40">
        <f t="shared" si="19"/>
        <v>0</v>
      </c>
      <c r="AW25" s="40">
        <f t="shared" si="19"/>
        <v>0</v>
      </c>
      <c r="AY25" t="s">
        <v>358</v>
      </c>
      <c r="AZ25" t="str">
        <f>IF(AX10="zero","\I:",$BA$45&amp;"_"&amp;VLOOKUP(C25,'TRA balance'!$BB$5:$BC$15,2,FALSE))</f>
        <v>\I:</v>
      </c>
      <c r="BA25" t="str">
        <f t="shared" si="0"/>
        <v>Trd_3w</v>
      </c>
      <c r="BB25">
        <f t="shared" si="1"/>
        <v>25</v>
      </c>
      <c r="BD25" t="str">
        <f t="shared" si="3"/>
        <v>DMD</v>
      </c>
      <c r="BE25" t="str">
        <f t="shared" si="4"/>
        <v>\I: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6">$AX28*D$27</f>
        <v>0.58696999999999999</v>
      </c>
      <c r="E28">
        <f t="shared" si="26"/>
        <v>0.58696999999999999</v>
      </c>
      <c r="F28">
        <f t="shared" si="26"/>
        <v>0.58696999999999999</v>
      </c>
      <c r="G28">
        <f t="shared" si="26"/>
        <v>0.58696999999999999</v>
      </c>
      <c r="H28">
        <f t="shared" si="26"/>
        <v>0.58696999999999999</v>
      </c>
      <c r="I28">
        <f t="shared" si="26"/>
        <v>0.58696999999999999</v>
      </c>
      <c r="J28">
        <f t="shared" si="26"/>
        <v>0.58696999999999999</v>
      </c>
      <c r="K28">
        <f t="shared" si="26"/>
        <v>0.58696999999999999</v>
      </c>
      <c r="L28">
        <f t="shared" si="26"/>
        <v>0.58696999999999999</v>
      </c>
      <c r="M28">
        <f t="shared" si="26"/>
        <v>0.58696999999999999</v>
      </c>
      <c r="N28">
        <f t="shared" si="26"/>
        <v>0.58696999999999999</v>
      </c>
      <c r="O28">
        <f t="shared" si="26"/>
        <v>0.58696999999999999</v>
      </c>
      <c r="P28">
        <f t="shared" si="26"/>
        <v>0.58696999999999999</v>
      </c>
      <c r="Q28">
        <f t="shared" si="26"/>
        <v>0.58696999999999999</v>
      </c>
      <c r="R28">
        <f t="shared" si="26"/>
        <v>0.58696999999999999</v>
      </c>
      <c r="S28">
        <f t="shared" si="26"/>
        <v>0.58696999999999999</v>
      </c>
      <c r="T28">
        <f t="shared" si="26"/>
        <v>0.58696999999999999</v>
      </c>
      <c r="U28">
        <f t="shared" si="26"/>
        <v>0.58696999999999999</v>
      </c>
      <c r="V28">
        <f t="shared" si="26"/>
        <v>0.58696999999999999</v>
      </c>
      <c r="W28">
        <f t="shared" si="26"/>
        <v>0.58696999999999999</v>
      </c>
      <c r="X28">
        <f t="shared" si="26"/>
        <v>0.58696999999999999</v>
      </c>
      <c r="Y28">
        <f t="shared" si="26"/>
        <v>0.58696999999999999</v>
      </c>
      <c r="Z28">
        <f t="shared" si="26"/>
        <v>0.58696999999999999</v>
      </c>
      <c r="AA28">
        <f t="shared" si="26"/>
        <v>0.58696999999999999</v>
      </c>
      <c r="AB28">
        <f t="shared" si="26"/>
        <v>0.58696999999999999</v>
      </c>
      <c r="AC28">
        <f t="shared" si="26"/>
        <v>0.58696999999999999</v>
      </c>
      <c r="AD28">
        <f t="shared" ref="AD28:AS34" si="27">$AX28*AD$27</f>
        <v>0.58696999999999999</v>
      </c>
      <c r="AE28">
        <f t="shared" si="27"/>
        <v>0.58696999999999999</v>
      </c>
      <c r="AF28">
        <f t="shared" si="27"/>
        <v>0.58696999999999999</v>
      </c>
      <c r="AG28">
        <f t="shared" si="27"/>
        <v>0.58696999999999999</v>
      </c>
      <c r="AH28">
        <f t="shared" si="27"/>
        <v>0.58696999999999999</v>
      </c>
      <c r="AI28">
        <f t="shared" si="27"/>
        <v>0.58696999999999999</v>
      </c>
      <c r="AJ28">
        <f t="shared" si="27"/>
        <v>0.58696999999999999</v>
      </c>
      <c r="AK28">
        <f t="shared" si="27"/>
        <v>0.58696999999999999</v>
      </c>
      <c r="AL28">
        <f t="shared" si="27"/>
        <v>0.58696999999999999</v>
      </c>
      <c r="AM28">
        <f t="shared" si="27"/>
        <v>0.58696999999999999</v>
      </c>
      <c r="AN28">
        <f t="shared" si="27"/>
        <v>0.58696999999999999</v>
      </c>
      <c r="AO28">
        <f t="shared" si="27"/>
        <v>0.58696999999999999</v>
      </c>
      <c r="AP28">
        <f t="shared" si="27"/>
        <v>0.58696999999999999</v>
      </c>
      <c r="AQ28">
        <f t="shared" si="27"/>
        <v>0.58696999999999999</v>
      </c>
      <c r="AR28">
        <f t="shared" si="27"/>
        <v>0.58696999999999999</v>
      </c>
      <c r="AS28">
        <f t="shared" si="27"/>
        <v>0.58696999999999999</v>
      </c>
      <c r="AT28">
        <f t="shared" ref="AK28:AW34" si="28">$AX28*AT$27</f>
        <v>0.58696999999999999</v>
      </c>
      <c r="AU28">
        <f t="shared" si="28"/>
        <v>0.58696999999999999</v>
      </c>
      <c r="AV28">
        <f t="shared" si="28"/>
        <v>0.58696999999999999</v>
      </c>
      <c r="AW28">
        <f t="shared" si="28"/>
        <v>0.58696999999999999</v>
      </c>
      <c r="AX28" s="56">
        <v>0.58696999999999999</v>
      </c>
      <c r="AY28" t="s">
        <v>348</v>
      </c>
      <c r="AZ28" s="1" t="str">
        <f ca="1">AZ19</f>
        <v>Trd_3w_bdl</v>
      </c>
      <c r="BA28" t="str">
        <f t="shared" ca="1" si="0"/>
        <v>Trd_3w</v>
      </c>
      <c r="BB28">
        <f t="shared" ca="1" si="1"/>
        <v>25</v>
      </c>
      <c r="BD28" t="str">
        <f t="shared" ca="1" si="3"/>
        <v>DMD</v>
      </c>
      <c r="BE28" t="str">
        <f t="shared" ca="1" si="4"/>
        <v>Trd_3w_bdl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29">C20</f>
        <v>TRABGS</v>
      </c>
      <c r="D29">
        <f t="shared" si="26"/>
        <v>0.58696999999999999</v>
      </c>
      <c r="E29">
        <f t="shared" si="26"/>
        <v>0.58696999999999999</v>
      </c>
      <c r="F29">
        <f t="shared" si="26"/>
        <v>0.58696999999999999</v>
      </c>
      <c r="G29">
        <f t="shared" si="26"/>
        <v>0.58696999999999999</v>
      </c>
      <c r="H29">
        <f t="shared" si="26"/>
        <v>0.58696999999999999</v>
      </c>
      <c r="I29">
        <f t="shared" si="26"/>
        <v>0.58696999999999999</v>
      </c>
      <c r="J29">
        <f t="shared" si="26"/>
        <v>0.58696999999999999</v>
      </c>
      <c r="K29">
        <f t="shared" si="26"/>
        <v>0.58696999999999999</v>
      </c>
      <c r="L29">
        <f t="shared" si="26"/>
        <v>0.58696999999999999</v>
      </c>
      <c r="M29">
        <f t="shared" si="26"/>
        <v>0.58696999999999999</v>
      </c>
      <c r="N29">
        <f t="shared" si="26"/>
        <v>0.58696999999999999</v>
      </c>
      <c r="O29">
        <f t="shared" si="26"/>
        <v>0.58696999999999999</v>
      </c>
      <c r="P29">
        <f t="shared" si="26"/>
        <v>0.58696999999999999</v>
      </c>
      <c r="Q29">
        <f t="shared" si="26"/>
        <v>0.58696999999999999</v>
      </c>
      <c r="R29">
        <f t="shared" si="26"/>
        <v>0.58696999999999999</v>
      </c>
      <c r="S29">
        <f t="shared" si="26"/>
        <v>0.58696999999999999</v>
      </c>
      <c r="T29">
        <f t="shared" si="26"/>
        <v>0.58696999999999999</v>
      </c>
      <c r="U29">
        <f t="shared" si="26"/>
        <v>0.58696999999999999</v>
      </c>
      <c r="V29">
        <f t="shared" si="26"/>
        <v>0.58696999999999999</v>
      </c>
      <c r="W29">
        <f t="shared" si="26"/>
        <v>0.58696999999999999</v>
      </c>
      <c r="X29">
        <f t="shared" si="26"/>
        <v>0.58696999999999999</v>
      </c>
      <c r="Y29">
        <f t="shared" si="26"/>
        <v>0.58696999999999999</v>
      </c>
      <c r="Z29">
        <f t="shared" si="26"/>
        <v>0.58696999999999999</v>
      </c>
      <c r="AA29">
        <f t="shared" si="26"/>
        <v>0.58696999999999999</v>
      </c>
      <c r="AB29">
        <f t="shared" si="26"/>
        <v>0.58696999999999999</v>
      </c>
      <c r="AC29">
        <f t="shared" si="26"/>
        <v>0.58696999999999999</v>
      </c>
      <c r="AD29">
        <f t="shared" si="27"/>
        <v>0.58696999999999999</v>
      </c>
      <c r="AE29">
        <f t="shared" si="27"/>
        <v>0.58696999999999999</v>
      </c>
      <c r="AF29">
        <f t="shared" si="27"/>
        <v>0.58696999999999999</v>
      </c>
      <c r="AG29">
        <f t="shared" si="27"/>
        <v>0.58696999999999999</v>
      </c>
      <c r="AH29">
        <f t="shared" si="27"/>
        <v>0.58696999999999999</v>
      </c>
      <c r="AI29">
        <f t="shared" si="27"/>
        <v>0.58696999999999999</v>
      </c>
      <c r="AJ29">
        <f t="shared" si="27"/>
        <v>0.58696999999999999</v>
      </c>
      <c r="AK29">
        <f t="shared" si="28"/>
        <v>0.58696999999999999</v>
      </c>
      <c r="AL29">
        <f t="shared" si="28"/>
        <v>0.58696999999999999</v>
      </c>
      <c r="AM29">
        <f t="shared" si="28"/>
        <v>0.58696999999999999</v>
      </c>
      <c r="AN29">
        <f t="shared" si="28"/>
        <v>0.58696999999999999</v>
      </c>
      <c r="AO29">
        <f t="shared" si="28"/>
        <v>0.58696999999999999</v>
      </c>
      <c r="AP29">
        <f t="shared" si="28"/>
        <v>0.58696999999999999</v>
      </c>
      <c r="AQ29">
        <f t="shared" si="28"/>
        <v>0.58696999999999999</v>
      </c>
      <c r="AR29">
        <f t="shared" si="28"/>
        <v>0.58696999999999999</v>
      </c>
      <c r="AS29">
        <f t="shared" si="28"/>
        <v>0.58696999999999999</v>
      </c>
      <c r="AT29">
        <f t="shared" si="28"/>
        <v>0.58696999999999999</v>
      </c>
      <c r="AU29">
        <f t="shared" si="28"/>
        <v>0.58696999999999999</v>
      </c>
      <c r="AV29">
        <f t="shared" si="28"/>
        <v>0.58696999999999999</v>
      </c>
      <c r="AW29">
        <f t="shared" si="28"/>
        <v>0.58696999999999999</v>
      </c>
      <c r="AX29" s="56">
        <v>0.58696999999999999</v>
      </c>
      <c r="AY29" t="s">
        <v>348</v>
      </c>
      <c r="AZ29" s="1" t="str">
        <f t="shared" ref="AZ29:AZ34" ca="1" si="30">AZ20</f>
        <v>\I:</v>
      </c>
      <c r="BA29" t="str">
        <f t="shared" ca="1" si="0"/>
        <v>Trd_3w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29"/>
        <v>TRADST</v>
      </c>
      <c r="D30">
        <f t="shared" si="26"/>
        <v>0.58696999999999999</v>
      </c>
      <c r="E30">
        <f t="shared" si="26"/>
        <v>0.58696999999999999</v>
      </c>
      <c r="F30">
        <f t="shared" si="26"/>
        <v>0.58696999999999999</v>
      </c>
      <c r="G30">
        <f t="shared" si="26"/>
        <v>0.58696999999999999</v>
      </c>
      <c r="H30">
        <f t="shared" si="26"/>
        <v>0.58696999999999999</v>
      </c>
      <c r="I30">
        <f t="shared" si="26"/>
        <v>0.58696999999999999</v>
      </c>
      <c r="J30">
        <f t="shared" si="26"/>
        <v>0.58696999999999999</v>
      </c>
      <c r="K30">
        <f t="shared" si="26"/>
        <v>0.58696999999999999</v>
      </c>
      <c r="L30">
        <f t="shared" si="26"/>
        <v>0.58696999999999999</v>
      </c>
      <c r="M30">
        <f t="shared" si="26"/>
        <v>0.58696999999999999</v>
      </c>
      <c r="N30">
        <f t="shared" si="26"/>
        <v>0.58696999999999999</v>
      </c>
      <c r="O30">
        <f t="shared" si="26"/>
        <v>0.58696999999999999</v>
      </c>
      <c r="P30">
        <f t="shared" si="26"/>
        <v>0.58696999999999999</v>
      </c>
      <c r="Q30">
        <f t="shared" si="26"/>
        <v>0.58696999999999999</v>
      </c>
      <c r="R30">
        <f t="shared" si="26"/>
        <v>0.58696999999999999</v>
      </c>
      <c r="S30">
        <f t="shared" si="26"/>
        <v>0.58696999999999999</v>
      </c>
      <c r="T30">
        <f t="shared" si="26"/>
        <v>0.58696999999999999</v>
      </c>
      <c r="U30">
        <f t="shared" si="26"/>
        <v>0.58696999999999999</v>
      </c>
      <c r="V30">
        <f t="shared" si="26"/>
        <v>0.58696999999999999</v>
      </c>
      <c r="W30">
        <f t="shared" si="26"/>
        <v>0.58696999999999999</v>
      </c>
      <c r="X30">
        <f t="shared" si="26"/>
        <v>0.58696999999999999</v>
      </c>
      <c r="Y30">
        <f t="shared" si="26"/>
        <v>0.58696999999999999</v>
      </c>
      <c r="Z30">
        <f t="shared" si="26"/>
        <v>0.58696999999999999</v>
      </c>
      <c r="AA30">
        <f t="shared" si="26"/>
        <v>0.58696999999999999</v>
      </c>
      <c r="AB30">
        <f t="shared" si="26"/>
        <v>0.58696999999999999</v>
      </c>
      <c r="AC30">
        <f t="shared" si="26"/>
        <v>0.58696999999999999</v>
      </c>
      <c r="AD30">
        <f t="shared" si="27"/>
        <v>0.58696999999999999</v>
      </c>
      <c r="AE30">
        <f t="shared" si="27"/>
        <v>0.58696999999999999</v>
      </c>
      <c r="AF30">
        <f t="shared" si="27"/>
        <v>0.58696999999999999</v>
      </c>
      <c r="AG30">
        <f t="shared" si="27"/>
        <v>0.58696999999999999</v>
      </c>
      <c r="AH30">
        <f t="shared" si="27"/>
        <v>0.58696999999999999</v>
      </c>
      <c r="AI30">
        <f t="shared" si="27"/>
        <v>0.58696999999999999</v>
      </c>
      <c r="AJ30">
        <f t="shared" si="27"/>
        <v>0.58696999999999999</v>
      </c>
      <c r="AK30">
        <f t="shared" si="28"/>
        <v>0.58696999999999999</v>
      </c>
      <c r="AL30">
        <f t="shared" si="28"/>
        <v>0.58696999999999999</v>
      </c>
      <c r="AM30">
        <f t="shared" si="28"/>
        <v>0.58696999999999999</v>
      </c>
      <c r="AN30">
        <f t="shared" si="28"/>
        <v>0.58696999999999999</v>
      </c>
      <c r="AO30">
        <f t="shared" si="28"/>
        <v>0.58696999999999999</v>
      </c>
      <c r="AP30">
        <f t="shared" si="28"/>
        <v>0.58696999999999999</v>
      </c>
      <c r="AQ30">
        <f t="shared" si="28"/>
        <v>0.58696999999999999</v>
      </c>
      <c r="AR30">
        <f t="shared" si="28"/>
        <v>0.58696999999999999</v>
      </c>
      <c r="AS30">
        <f t="shared" si="28"/>
        <v>0.58696999999999999</v>
      </c>
      <c r="AT30">
        <f t="shared" si="28"/>
        <v>0.58696999999999999</v>
      </c>
      <c r="AU30">
        <f t="shared" si="28"/>
        <v>0.58696999999999999</v>
      </c>
      <c r="AV30">
        <f t="shared" si="28"/>
        <v>0.58696999999999999</v>
      </c>
      <c r="AW30">
        <f t="shared" si="28"/>
        <v>0.58696999999999999</v>
      </c>
      <c r="AX30" s="56">
        <v>0.58696999999999999</v>
      </c>
      <c r="AY30" t="s">
        <v>348</v>
      </c>
      <c r="AZ30" s="1" t="str">
        <f t="shared" ca="1" si="30"/>
        <v>Trd_3w_dsl</v>
      </c>
      <c r="BA30" t="str">
        <f t="shared" ca="1" si="0"/>
        <v>Trd_3w</v>
      </c>
      <c r="BB30">
        <f t="shared" ca="1" si="1"/>
        <v>25</v>
      </c>
      <c r="BD30" t="str">
        <f t="shared" ca="1" si="3"/>
        <v>DMD</v>
      </c>
      <c r="BE30" t="str">
        <f t="shared" ca="1" si="4"/>
        <v>Trd_3w_dsl</v>
      </c>
      <c r="BG30" t="s">
        <v>156</v>
      </c>
      <c r="BH30" t="s">
        <v>352</v>
      </c>
      <c r="BI30" t="s">
        <v>359</v>
      </c>
    </row>
    <row r="31" spans="1:61">
      <c r="C31" t="str">
        <f t="shared" si="29"/>
        <v>TRAELC</v>
      </c>
      <c r="D31">
        <f t="shared" si="26"/>
        <v>0.58696999999999999</v>
      </c>
      <c r="E31">
        <f t="shared" si="26"/>
        <v>0.58696999999999999</v>
      </c>
      <c r="F31">
        <f t="shared" si="26"/>
        <v>0.58696999999999999</v>
      </c>
      <c r="G31">
        <f t="shared" si="26"/>
        <v>0.58696999999999999</v>
      </c>
      <c r="H31">
        <f t="shared" si="26"/>
        <v>0.58696999999999999</v>
      </c>
      <c r="I31">
        <f t="shared" si="26"/>
        <v>0.58696999999999999</v>
      </c>
      <c r="J31">
        <f t="shared" si="26"/>
        <v>0.58696999999999999</v>
      </c>
      <c r="K31">
        <f t="shared" si="26"/>
        <v>0.58696999999999999</v>
      </c>
      <c r="L31">
        <f t="shared" si="26"/>
        <v>0.58696999999999999</v>
      </c>
      <c r="M31">
        <f t="shared" si="26"/>
        <v>0.58696999999999999</v>
      </c>
      <c r="N31">
        <f t="shared" si="26"/>
        <v>0.58696999999999999</v>
      </c>
      <c r="O31">
        <f t="shared" si="26"/>
        <v>0.58696999999999999</v>
      </c>
      <c r="P31">
        <f t="shared" si="26"/>
        <v>0.58696999999999999</v>
      </c>
      <c r="Q31">
        <f t="shared" si="26"/>
        <v>0.58696999999999999</v>
      </c>
      <c r="R31">
        <f t="shared" si="26"/>
        <v>0.58696999999999999</v>
      </c>
      <c r="S31">
        <f t="shared" si="26"/>
        <v>0.58696999999999999</v>
      </c>
      <c r="T31">
        <f t="shared" si="26"/>
        <v>0.58696999999999999</v>
      </c>
      <c r="U31">
        <f t="shared" si="26"/>
        <v>0.58696999999999999</v>
      </c>
      <c r="V31">
        <f t="shared" si="26"/>
        <v>0.58696999999999999</v>
      </c>
      <c r="W31">
        <f t="shared" si="26"/>
        <v>0.58696999999999999</v>
      </c>
      <c r="X31">
        <f t="shared" si="26"/>
        <v>0.58696999999999999</v>
      </c>
      <c r="Y31">
        <f t="shared" si="26"/>
        <v>0.58696999999999999</v>
      </c>
      <c r="Z31">
        <f t="shared" si="26"/>
        <v>0.58696999999999999</v>
      </c>
      <c r="AA31">
        <f t="shared" si="26"/>
        <v>0.58696999999999999</v>
      </c>
      <c r="AB31">
        <f t="shared" si="26"/>
        <v>0.58696999999999999</v>
      </c>
      <c r="AC31">
        <f t="shared" si="26"/>
        <v>0.58696999999999999</v>
      </c>
      <c r="AD31">
        <f t="shared" si="27"/>
        <v>0.58696999999999999</v>
      </c>
      <c r="AE31">
        <f t="shared" si="27"/>
        <v>0.58696999999999999</v>
      </c>
      <c r="AF31">
        <f t="shared" si="27"/>
        <v>0.58696999999999999</v>
      </c>
      <c r="AG31">
        <f t="shared" si="27"/>
        <v>0.58696999999999999</v>
      </c>
      <c r="AH31">
        <f t="shared" si="27"/>
        <v>0.58696999999999999</v>
      </c>
      <c r="AI31">
        <f t="shared" si="27"/>
        <v>0.58696999999999999</v>
      </c>
      <c r="AJ31">
        <f t="shared" si="27"/>
        <v>0.58696999999999999</v>
      </c>
      <c r="AK31">
        <f t="shared" si="28"/>
        <v>0.58696999999999999</v>
      </c>
      <c r="AL31">
        <f t="shared" si="28"/>
        <v>0.58696999999999999</v>
      </c>
      <c r="AM31">
        <f t="shared" si="28"/>
        <v>0.58696999999999999</v>
      </c>
      <c r="AN31">
        <f t="shared" si="28"/>
        <v>0.58696999999999999</v>
      </c>
      <c r="AO31">
        <f t="shared" si="28"/>
        <v>0.58696999999999999</v>
      </c>
      <c r="AP31">
        <f t="shared" si="28"/>
        <v>0.58696999999999999</v>
      </c>
      <c r="AQ31">
        <f t="shared" si="28"/>
        <v>0.58696999999999999</v>
      </c>
      <c r="AR31">
        <f t="shared" si="28"/>
        <v>0.58696999999999999</v>
      </c>
      <c r="AS31">
        <f t="shared" si="28"/>
        <v>0.58696999999999999</v>
      </c>
      <c r="AT31">
        <f t="shared" si="28"/>
        <v>0.58696999999999999</v>
      </c>
      <c r="AU31">
        <f t="shared" si="28"/>
        <v>0.58696999999999999</v>
      </c>
      <c r="AV31">
        <f t="shared" si="28"/>
        <v>0.58696999999999999</v>
      </c>
      <c r="AW31">
        <f t="shared" si="28"/>
        <v>0.58696999999999999</v>
      </c>
      <c r="AX31" s="56">
        <v>0.58696999999999999</v>
      </c>
      <c r="AY31" t="s">
        <v>348</v>
      </c>
      <c r="AZ31" s="1" t="str">
        <f t="shared" ca="1" si="30"/>
        <v>\I:</v>
      </c>
      <c r="BA31" t="str">
        <f t="shared" ca="1" si="0"/>
        <v>Trd_3w</v>
      </c>
      <c r="BB31">
        <f t="shared" ca="1" si="1"/>
        <v>25</v>
      </c>
      <c r="BD31" t="str">
        <f t="shared" ca="1" si="3"/>
        <v>DMD</v>
      </c>
      <c r="BE31" t="str">
        <f t="shared" ca="1" si="4"/>
        <v>\I:</v>
      </c>
      <c r="BG31" t="s">
        <v>156</v>
      </c>
      <c r="BH31" t="s">
        <v>352</v>
      </c>
      <c r="BI31" t="s">
        <v>359</v>
      </c>
    </row>
    <row r="32" spans="1:61">
      <c r="C32" t="str">
        <f t="shared" si="29"/>
        <v>TRAGSL</v>
      </c>
      <c r="D32">
        <f t="shared" si="26"/>
        <v>0.58696999999999999</v>
      </c>
      <c r="E32">
        <f t="shared" si="26"/>
        <v>0.58696999999999999</v>
      </c>
      <c r="F32">
        <f t="shared" si="26"/>
        <v>0.58696999999999999</v>
      </c>
      <c r="G32">
        <f t="shared" si="26"/>
        <v>0.58696999999999999</v>
      </c>
      <c r="H32">
        <f t="shared" si="26"/>
        <v>0.58696999999999999</v>
      </c>
      <c r="I32">
        <f t="shared" si="26"/>
        <v>0.58696999999999999</v>
      </c>
      <c r="J32">
        <f t="shared" si="26"/>
        <v>0.58696999999999999</v>
      </c>
      <c r="K32">
        <f t="shared" si="26"/>
        <v>0.58696999999999999</v>
      </c>
      <c r="L32">
        <f t="shared" si="26"/>
        <v>0.58696999999999999</v>
      </c>
      <c r="M32">
        <f t="shared" si="26"/>
        <v>0.58696999999999999</v>
      </c>
      <c r="N32">
        <f t="shared" si="26"/>
        <v>0.58696999999999999</v>
      </c>
      <c r="O32">
        <f t="shared" si="26"/>
        <v>0.58696999999999999</v>
      </c>
      <c r="P32">
        <f t="shared" si="26"/>
        <v>0.58696999999999999</v>
      </c>
      <c r="Q32">
        <f t="shared" si="26"/>
        <v>0.58696999999999999</v>
      </c>
      <c r="R32">
        <f t="shared" si="26"/>
        <v>0.58696999999999999</v>
      </c>
      <c r="S32">
        <f t="shared" si="26"/>
        <v>0.58696999999999999</v>
      </c>
      <c r="T32">
        <f t="shared" si="26"/>
        <v>0.58696999999999999</v>
      </c>
      <c r="U32">
        <f t="shared" si="26"/>
        <v>0.58696999999999999</v>
      </c>
      <c r="V32">
        <f t="shared" si="26"/>
        <v>0.58696999999999999</v>
      </c>
      <c r="W32">
        <f t="shared" si="26"/>
        <v>0.58696999999999999</v>
      </c>
      <c r="X32">
        <f t="shared" si="26"/>
        <v>0.58696999999999999</v>
      </c>
      <c r="Y32">
        <f t="shared" si="26"/>
        <v>0.58696999999999999</v>
      </c>
      <c r="Z32">
        <f t="shared" si="26"/>
        <v>0.58696999999999999</v>
      </c>
      <c r="AA32">
        <f t="shared" si="26"/>
        <v>0.58696999999999999</v>
      </c>
      <c r="AB32">
        <f t="shared" si="26"/>
        <v>0.58696999999999999</v>
      </c>
      <c r="AC32">
        <f t="shared" si="26"/>
        <v>0.58696999999999999</v>
      </c>
      <c r="AD32">
        <f t="shared" si="27"/>
        <v>0.58696999999999999</v>
      </c>
      <c r="AE32">
        <f t="shared" si="27"/>
        <v>0.58696999999999999</v>
      </c>
      <c r="AF32">
        <f t="shared" si="27"/>
        <v>0.58696999999999999</v>
      </c>
      <c r="AG32">
        <f t="shared" si="27"/>
        <v>0.58696999999999999</v>
      </c>
      <c r="AH32">
        <f t="shared" si="27"/>
        <v>0.58696999999999999</v>
      </c>
      <c r="AI32">
        <f t="shared" si="27"/>
        <v>0.58696999999999999</v>
      </c>
      <c r="AJ32">
        <f t="shared" si="27"/>
        <v>0.58696999999999999</v>
      </c>
      <c r="AK32">
        <f t="shared" si="28"/>
        <v>0.58696999999999999</v>
      </c>
      <c r="AL32">
        <f t="shared" si="28"/>
        <v>0.58696999999999999</v>
      </c>
      <c r="AM32">
        <f t="shared" si="28"/>
        <v>0.58696999999999999</v>
      </c>
      <c r="AN32">
        <f t="shared" si="28"/>
        <v>0.58696999999999999</v>
      </c>
      <c r="AO32">
        <f t="shared" si="28"/>
        <v>0.58696999999999999</v>
      </c>
      <c r="AP32">
        <f t="shared" si="28"/>
        <v>0.58696999999999999</v>
      </c>
      <c r="AQ32">
        <f t="shared" si="28"/>
        <v>0.58696999999999999</v>
      </c>
      <c r="AR32">
        <f t="shared" si="28"/>
        <v>0.58696999999999999</v>
      </c>
      <c r="AS32">
        <f t="shared" si="28"/>
        <v>0.58696999999999999</v>
      </c>
      <c r="AT32">
        <f t="shared" si="28"/>
        <v>0.58696999999999999</v>
      </c>
      <c r="AU32">
        <f t="shared" si="28"/>
        <v>0.58696999999999999</v>
      </c>
      <c r="AV32">
        <f t="shared" si="28"/>
        <v>0.58696999999999999</v>
      </c>
      <c r="AW32">
        <f t="shared" si="28"/>
        <v>0.58696999999999999</v>
      </c>
      <c r="AX32" s="56">
        <v>0.58696999999999999</v>
      </c>
      <c r="AY32" t="s">
        <v>348</v>
      </c>
      <c r="AZ32" s="95" t="str">
        <f t="shared" ca="1" si="30"/>
        <v>Trd_3w_gsl</v>
      </c>
      <c r="BA32" t="str">
        <f t="shared" ca="1" si="0"/>
        <v>Trd_3w</v>
      </c>
      <c r="BB32">
        <f t="shared" ca="1" si="1"/>
        <v>25</v>
      </c>
      <c r="BD32" t="str">
        <f t="shared" ca="1" si="3"/>
        <v>DMD</v>
      </c>
      <c r="BE32" t="str">
        <f t="shared" ca="1" si="4"/>
        <v>Trd_3w_gsl</v>
      </c>
      <c r="BG32" t="s">
        <v>156</v>
      </c>
      <c r="BH32" t="s">
        <v>352</v>
      </c>
      <c r="BI32" t="s">
        <v>359</v>
      </c>
    </row>
    <row r="33" spans="1:61">
      <c r="C33" t="str">
        <f t="shared" si="29"/>
        <v>TRALPG</v>
      </c>
      <c r="D33">
        <f t="shared" si="26"/>
        <v>0.58696999999999999</v>
      </c>
      <c r="E33">
        <f t="shared" si="26"/>
        <v>0.58696999999999999</v>
      </c>
      <c r="F33">
        <f t="shared" si="26"/>
        <v>0.58696999999999999</v>
      </c>
      <c r="G33">
        <f t="shared" si="26"/>
        <v>0.58696999999999999</v>
      </c>
      <c r="H33">
        <f t="shared" si="26"/>
        <v>0.58696999999999999</v>
      </c>
      <c r="I33">
        <f t="shared" si="26"/>
        <v>0.58696999999999999</v>
      </c>
      <c r="J33">
        <f t="shared" si="26"/>
        <v>0.58696999999999999</v>
      </c>
      <c r="K33">
        <f t="shared" si="26"/>
        <v>0.58696999999999999</v>
      </c>
      <c r="L33">
        <f t="shared" si="26"/>
        <v>0.58696999999999999</v>
      </c>
      <c r="M33">
        <f t="shared" si="26"/>
        <v>0.58696999999999999</v>
      </c>
      <c r="N33">
        <f t="shared" si="26"/>
        <v>0.58696999999999999</v>
      </c>
      <c r="O33">
        <f t="shared" si="26"/>
        <v>0.58696999999999999</v>
      </c>
      <c r="P33">
        <f t="shared" si="26"/>
        <v>0.58696999999999999</v>
      </c>
      <c r="Q33">
        <f t="shared" si="26"/>
        <v>0.58696999999999999</v>
      </c>
      <c r="R33">
        <f t="shared" si="26"/>
        <v>0.58696999999999999</v>
      </c>
      <c r="S33">
        <f t="shared" si="26"/>
        <v>0.58696999999999999</v>
      </c>
      <c r="T33">
        <f t="shared" si="26"/>
        <v>0.58696999999999999</v>
      </c>
      <c r="U33">
        <f t="shared" si="26"/>
        <v>0.58696999999999999</v>
      </c>
      <c r="V33">
        <f t="shared" si="26"/>
        <v>0.58696999999999999</v>
      </c>
      <c r="W33">
        <f t="shared" si="26"/>
        <v>0.58696999999999999</v>
      </c>
      <c r="X33">
        <f t="shared" si="26"/>
        <v>0.58696999999999999</v>
      </c>
      <c r="Y33">
        <f t="shared" si="26"/>
        <v>0.58696999999999999</v>
      </c>
      <c r="Z33">
        <f t="shared" si="26"/>
        <v>0.58696999999999999</v>
      </c>
      <c r="AA33">
        <f t="shared" si="26"/>
        <v>0.58696999999999999</v>
      </c>
      <c r="AB33">
        <f t="shared" si="26"/>
        <v>0.58696999999999999</v>
      </c>
      <c r="AC33">
        <f t="shared" si="26"/>
        <v>0.58696999999999999</v>
      </c>
      <c r="AD33">
        <f t="shared" si="27"/>
        <v>0.58696999999999999</v>
      </c>
      <c r="AE33">
        <f t="shared" si="27"/>
        <v>0.58696999999999999</v>
      </c>
      <c r="AF33">
        <f t="shared" si="27"/>
        <v>0.58696999999999999</v>
      </c>
      <c r="AG33">
        <f t="shared" si="27"/>
        <v>0.58696999999999999</v>
      </c>
      <c r="AH33">
        <f t="shared" si="27"/>
        <v>0.58696999999999999</v>
      </c>
      <c r="AI33">
        <f t="shared" si="27"/>
        <v>0.58696999999999999</v>
      </c>
      <c r="AJ33">
        <f t="shared" si="27"/>
        <v>0.58696999999999999</v>
      </c>
      <c r="AK33">
        <f t="shared" si="28"/>
        <v>0.58696999999999999</v>
      </c>
      <c r="AL33">
        <f t="shared" si="28"/>
        <v>0.58696999999999999</v>
      </c>
      <c r="AM33">
        <f t="shared" si="28"/>
        <v>0.58696999999999999</v>
      </c>
      <c r="AN33">
        <f t="shared" si="28"/>
        <v>0.58696999999999999</v>
      </c>
      <c r="AO33">
        <f t="shared" si="28"/>
        <v>0.58696999999999999</v>
      </c>
      <c r="AP33">
        <f t="shared" si="28"/>
        <v>0.58696999999999999</v>
      </c>
      <c r="AQ33">
        <f t="shared" si="28"/>
        <v>0.58696999999999999</v>
      </c>
      <c r="AR33">
        <f t="shared" si="28"/>
        <v>0.58696999999999999</v>
      </c>
      <c r="AS33">
        <f t="shared" si="28"/>
        <v>0.58696999999999999</v>
      </c>
      <c r="AT33">
        <f t="shared" si="28"/>
        <v>0.58696999999999999</v>
      </c>
      <c r="AU33">
        <f t="shared" si="28"/>
        <v>0.58696999999999999</v>
      </c>
      <c r="AV33">
        <f t="shared" si="28"/>
        <v>0.58696999999999999</v>
      </c>
      <c r="AW33">
        <f t="shared" si="28"/>
        <v>0.58696999999999999</v>
      </c>
      <c r="AX33" s="56">
        <v>0.58696999999999999</v>
      </c>
      <c r="AY33" t="s">
        <v>348</v>
      </c>
      <c r="AZ33" s="1" t="str">
        <f t="shared" si="30"/>
        <v>\I:</v>
      </c>
      <c r="BA33" t="str">
        <f t="shared" si="0"/>
        <v>Trd_3w</v>
      </c>
      <c r="BB33">
        <f t="shared" si="1"/>
        <v>25</v>
      </c>
      <c r="BD33" t="str">
        <f t="shared" si="3"/>
        <v>DMD</v>
      </c>
      <c r="BE33" t="str">
        <f t="shared" si="4"/>
        <v>\I:</v>
      </c>
      <c r="BG33" t="s">
        <v>156</v>
      </c>
      <c r="BH33" t="s">
        <v>352</v>
      </c>
      <c r="BI33" t="s">
        <v>359</v>
      </c>
    </row>
    <row r="34" spans="1:61">
      <c r="C34" t="str">
        <f t="shared" si="29"/>
        <v>TRANGA</v>
      </c>
      <c r="D34">
        <f t="shared" si="26"/>
        <v>0.58696999999999999</v>
      </c>
      <c r="E34">
        <f t="shared" si="26"/>
        <v>0.58696999999999999</v>
      </c>
      <c r="F34">
        <f t="shared" si="26"/>
        <v>0.58696999999999999</v>
      </c>
      <c r="G34">
        <f t="shared" si="26"/>
        <v>0.58696999999999999</v>
      </c>
      <c r="H34">
        <f t="shared" si="26"/>
        <v>0.58696999999999999</v>
      </c>
      <c r="I34">
        <f t="shared" si="26"/>
        <v>0.58696999999999999</v>
      </c>
      <c r="J34">
        <f t="shared" si="26"/>
        <v>0.58696999999999999</v>
      </c>
      <c r="K34">
        <f t="shared" si="26"/>
        <v>0.58696999999999999</v>
      </c>
      <c r="L34">
        <f t="shared" si="26"/>
        <v>0.58696999999999999</v>
      </c>
      <c r="M34">
        <f t="shared" si="26"/>
        <v>0.58696999999999999</v>
      </c>
      <c r="N34">
        <f t="shared" si="26"/>
        <v>0.58696999999999999</v>
      </c>
      <c r="O34">
        <f t="shared" si="26"/>
        <v>0.58696999999999999</v>
      </c>
      <c r="P34">
        <f t="shared" si="26"/>
        <v>0.58696999999999999</v>
      </c>
      <c r="Q34">
        <f t="shared" si="26"/>
        <v>0.58696999999999999</v>
      </c>
      <c r="R34">
        <f t="shared" si="26"/>
        <v>0.58696999999999999</v>
      </c>
      <c r="S34">
        <f t="shared" si="26"/>
        <v>0.58696999999999999</v>
      </c>
      <c r="T34">
        <f t="shared" si="26"/>
        <v>0.58696999999999999</v>
      </c>
      <c r="U34">
        <f t="shared" si="26"/>
        <v>0.58696999999999999</v>
      </c>
      <c r="V34">
        <f t="shared" si="26"/>
        <v>0.58696999999999999</v>
      </c>
      <c r="W34">
        <f t="shared" si="26"/>
        <v>0.58696999999999999</v>
      </c>
      <c r="X34">
        <f t="shared" si="26"/>
        <v>0.58696999999999999</v>
      </c>
      <c r="Y34">
        <f t="shared" si="26"/>
        <v>0.58696999999999999</v>
      </c>
      <c r="Z34">
        <f t="shared" si="26"/>
        <v>0.58696999999999999</v>
      </c>
      <c r="AA34">
        <f t="shared" si="26"/>
        <v>0.58696999999999999</v>
      </c>
      <c r="AB34">
        <f t="shared" si="26"/>
        <v>0.58696999999999999</v>
      </c>
      <c r="AC34">
        <f t="shared" si="26"/>
        <v>0.58696999999999999</v>
      </c>
      <c r="AD34">
        <f t="shared" si="27"/>
        <v>0.58696999999999999</v>
      </c>
      <c r="AE34">
        <f t="shared" si="27"/>
        <v>0.58696999999999999</v>
      </c>
      <c r="AF34">
        <f t="shared" si="27"/>
        <v>0.58696999999999999</v>
      </c>
      <c r="AG34">
        <f t="shared" si="27"/>
        <v>0.58696999999999999</v>
      </c>
      <c r="AH34">
        <f t="shared" si="27"/>
        <v>0.58696999999999999</v>
      </c>
      <c r="AI34">
        <f t="shared" si="27"/>
        <v>0.58696999999999999</v>
      </c>
      <c r="AJ34">
        <f t="shared" si="27"/>
        <v>0.58696999999999999</v>
      </c>
      <c r="AK34">
        <f t="shared" si="28"/>
        <v>0.58696999999999999</v>
      </c>
      <c r="AL34">
        <f t="shared" si="28"/>
        <v>0.58696999999999999</v>
      </c>
      <c r="AM34">
        <f t="shared" si="28"/>
        <v>0.58696999999999999</v>
      </c>
      <c r="AN34">
        <f t="shared" si="28"/>
        <v>0.58696999999999999</v>
      </c>
      <c r="AO34">
        <f t="shared" si="28"/>
        <v>0.58696999999999999</v>
      </c>
      <c r="AP34">
        <f t="shared" si="28"/>
        <v>0.58696999999999999</v>
      </c>
      <c r="AQ34">
        <f t="shared" si="28"/>
        <v>0.58696999999999999</v>
      </c>
      <c r="AR34">
        <f t="shared" si="28"/>
        <v>0.58696999999999999</v>
      </c>
      <c r="AS34">
        <f t="shared" si="28"/>
        <v>0.58696999999999999</v>
      </c>
      <c r="AT34">
        <f t="shared" si="28"/>
        <v>0.58696999999999999</v>
      </c>
      <c r="AU34">
        <f t="shared" si="28"/>
        <v>0.58696999999999999</v>
      </c>
      <c r="AV34">
        <f t="shared" si="28"/>
        <v>0.58696999999999999</v>
      </c>
      <c r="AW34">
        <f t="shared" si="28"/>
        <v>0.58696999999999999</v>
      </c>
      <c r="AX34" s="56">
        <v>0.58696999999999999</v>
      </c>
      <c r="AY34" t="s">
        <v>348</v>
      </c>
      <c r="AZ34" s="1" t="str">
        <f t="shared" si="30"/>
        <v>\I:</v>
      </c>
      <c r="BA34" t="str">
        <f t="shared" si="0"/>
        <v>Trd_3w</v>
      </c>
      <c r="BB34">
        <f t="shared" si="1"/>
        <v>25</v>
      </c>
      <c r="BD34" t="str">
        <f t="shared" si="3"/>
        <v>DMD</v>
      </c>
      <c r="BE34" t="str">
        <f t="shared" si="4"/>
        <v>\I: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15</v>
      </c>
      <c r="E36" s="40">
        <v>15</v>
      </c>
      <c r="F36" s="40">
        <v>15</v>
      </c>
      <c r="G36" s="40">
        <v>15</v>
      </c>
      <c r="H36" s="40">
        <v>15</v>
      </c>
      <c r="I36" s="40">
        <v>15</v>
      </c>
      <c r="J36" s="40">
        <v>15</v>
      </c>
      <c r="K36" s="40">
        <v>15</v>
      </c>
      <c r="L36" s="40">
        <v>15</v>
      </c>
      <c r="M36" s="40">
        <v>15</v>
      </c>
      <c r="N36" s="40">
        <v>15</v>
      </c>
      <c r="O36" s="40">
        <v>15</v>
      </c>
      <c r="P36" s="40">
        <v>15</v>
      </c>
      <c r="Q36" s="40">
        <v>15</v>
      </c>
      <c r="R36" s="40">
        <v>15</v>
      </c>
      <c r="S36" s="40">
        <v>15</v>
      </c>
      <c r="T36" s="40">
        <v>15</v>
      </c>
      <c r="U36" s="40">
        <v>15</v>
      </c>
      <c r="V36" s="40">
        <v>15</v>
      </c>
      <c r="W36" s="40">
        <v>15</v>
      </c>
      <c r="X36" s="40">
        <v>15</v>
      </c>
      <c r="Y36" s="40">
        <v>15</v>
      </c>
      <c r="Z36" s="40">
        <v>15</v>
      </c>
      <c r="AA36" s="40">
        <v>15</v>
      </c>
      <c r="AB36" s="40">
        <v>15</v>
      </c>
      <c r="AC36" s="40">
        <v>15</v>
      </c>
      <c r="AD36" s="40">
        <v>15</v>
      </c>
      <c r="AE36" s="40">
        <v>15</v>
      </c>
      <c r="AF36" s="40">
        <v>20</v>
      </c>
      <c r="AG36" s="40">
        <v>15</v>
      </c>
      <c r="AH36" s="40">
        <v>15</v>
      </c>
      <c r="AI36" s="40">
        <v>15</v>
      </c>
      <c r="AJ36" s="40">
        <v>15</v>
      </c>
      <c r="AK36" s="40">
        <v>15</v>
      </c>
      <c r="AL36" s="40">
        <v>15</v>
      </c>
      <c r="AM36" s="40">
        <v>15</v>
      </c>
      <c r="AN36" s="40">
        <v>15</v>
      </c>
      <c r="AO36" s="40">
        <v>15</v>
      </c>
      <c r="AP36" s="40">
        <v>15</v>
      </c>
      <c r="AQ36" s="40">
        <v>15</v>
      </c>
      <c r="AR36" s="40">
        <v>15</v>
      </c>
      <c r="AS36" s="40">
        <v>15</v>
      </c>
      <c r="AT36" s="40">
        <v>15</v>
      </c>
      <c r="AU36" s="40">
        <v>15</v>
      </c>
      <c r="AV36" s="40">
        <v>15</v>
      </c>
      <c r="AW36" s="40">
        <v>15</v>
      </c>
      <c r="AY36" t="s">
        <v>349</v>
      </c>
      <c r="AZ36" s="1" t="str">
        <f ca="1">AZ28</f>
        <v>Trd_3w_bdl</v>
      </c>
      <c r="BA36" t="str">
        <f t="shared" ca="1" si="0"/>
        <v>Trd_3w</v>
      </c>
      <c r="BB36">
        <f t="shared" ca="1" si="1"/>
        <v>25</v>
      </c>
      <c r="BD36" t="str">
        <f t="shared" ca="1" si="3"/>
        <v>DMD</v>
      </c>
      <c r="BE36" t="str">
        <f t="shared" ca="1" si="4"/>
        <v>Trd_3w_bdl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1">C29</f>
        <v>TRABGS</v>
      </c>
      <c r="D37" s="40">
        <v>15</v>
      </c>
      <c r="E37" s="40">
        <v>15</v>
      </c>
      <c r="F37" s="40">
        <v>15</v>
      </c>
      <c r="G37" s="40">
        <v>15</v>
      </c>
      <c r="H37" s="40">
        <v>15</v>
      </c>
      <c r="I37" s="40">
        <v>15</v>
      </c>
      <c r="J37" s="40">
        <v>15</v>
      </c>
      <c r="K37" s="40">
        <v>15</v>
      </c>
      <c r="L37" s="40">
        <v>15</v>
      </c>
      <c r="M37" s="40">
        <v>15</v>
      </c>
      <c r="N37" s="40">
        <v>15</v>
      </c>
      <c r="O37" s="40">
        <v>15</v>
      </c>
      <c r="P37" s="40">
        <v>15</v>
      </c>
      <c r="Q37" s="40">
        <v>15</v>
      </c>
      <c r="R37" s="40">
        <v>15</v>
      </c>
      <c r="S37" s="40">
        <v>15</v>
      </c>
      <c r="T37" s="40">
        <v>15</v>
      </c>
      <c r="U37" s="40">
        <v>15</v>
      </c>
      <c r="V37" s="40">
        <v>15</v>
      </c>
      <c r="W37" s="40">
        <v>15</v>
      </c>
      <c r="X37" s="40">
        <v>15</v>
      </c>
      <c r="Y37" s="40">
        <v>15</v>
      </c>
      <c r="Z37" s="40">
        <v>15</v>
      </c>
      <c r="AA37" s="40">
        <v>15</v>
      </c>
      <c r="AB37" s="40">
        <v>15</v>
      </c>
      <c r="AC37" s="40">
        <v>15</v>
      </c>
      <c r="AD37" s="40">
        <v>15</v>
      </c>
      <c r="AE37" s="40">
        <v>15</v>
      </c>
      <c r="AF37" s="40">
        <v>20</v>
      </c>
      <c r="AG37" s="40">
        <v>15</v>
      </c>
      <c r="AH37" s="40">
        <v>15</v>
      </c>
      <c r="AI37" s="40">
        <v>15</v>
      </c>
      <c r="AJ37" s="40">
        <v>15</v>
      </c>
      <c r="AK37" s="40">
        <v>15</v>
      </c>
      <c r="AL37" s="40">
        <v>15</v>
      </c>
      <c r="AM37" s="40">
        <v>15</v>
      </c>
      <c r="AN37" s="40">
        <v>15</v>
      </c>
      <c r="AO37" s="40">
        <v>15</v>
      </c>
      <c r="AP37" s="40">
        <v>15</v>
      </c>
      <c r="AQ37" s="40">
        <v>15</v>
      </c>
      <c r="AR37" s="40">
        <v>15</v>
      </c>
      <c r="AS37" s="40">
        <v>15</v>
      </c>
      <c r="AT37" s="40">
        <v>15</v>
      </c>
      <c r="AU37" s="40">
        <v>15</v>
      </c>
      <c r="AV37" s="40">
        <v>15</v>
      </c>
      <c r="AW37" s="40">
        <v>15</v>
      </c>
      <c r="AY37" t="s">
        <v>349</v>
      </c>
      <c r="AZ37" s="1" t="str">
        <f t="shared" ref="AZ37:AZ42" ca="1" si="32">AZ29</f>
        <v>\I:</v>
      </c>
      <c r="BA37" t="str">
        <f t="shared" ca="1" si="0"/>
        <v>Trd_3w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1"/>
        <v>TRADST</v>
      </c>
      <c r="D38" s="40">
        <v>15</v>
      </c>
      <c r="E38" s="40">
        <v>15</v>
      </c>
      <c r="F38" s="40">
        <v>15</v>
      </c>
      <c r="G38" s="40">
        <v>15</v>
      </c>
      <c r="H38" s="40">
        <v>15</v>
      </c>
      <c r="I38" s="40">
        <v>15</v>
      </c>
      <c r="J38" s="40">
        <v>15</v>
      </c>
      <c r="K38" s="40">
        <v>15</v>
      </c>
      <c r="L38" s="40">
        <v>15</v>
      </c>
      <c r="M38" s="40">
        <v>15</v>
      </c>
      <c r="N38" s="40">
        <v>15</v>
      </c>
      <c r="O38" s="40">
        <v>15</v>
      </c>
      <c r="P38" s="40">
        <v>15</v>
      </c>
      <c r="Q38" s="40">
        <v>15</v>
      </c>
      <c r="R38" s="40">
        <v>15</v>
      </c>
      <c r="S38" s="40">
        <v>15</v>
      </c>
      <c r="T38" s="40">
        <v>15</v>
      </c>
      <c r="U38" s="40">
        <v>15</v>
      </c>
      <c r="V38" s="40">
        <v>15</v>
      </c>
      <c r="W38" s="40">
        <v>15</v>
      </c>
      <c r="X38" s="40">
        <v>15</v>
      </c>
      <c r="Y38" s="40">
        <v>15</v>
      </c>
      <c r="Z38" s="40">
        <v>15</v>
      </c>
      <c r="AA38" s="40">
        <v>15</v>
      </c>
      <c r="AB38" s="40">
        <v>15</v>
      </c>
      <c r="AC38" s="40">
        <v>15</v>
      </c>
      <c r="AD38" s="40">
        <v>15</v>
      </c>
      <c r="AE38" s="40">
        <v>15</v>
      </c>
      <c r="AF38" s="40">
        <v>20</v>
      </c>
      <c r="AG38" s="40">
        <v>15</v>
      </c>
      <c r="AH38" s="40">
        <v>15</v>
      </c>
      <c r="AI38" s="40">
        <v>15</v>
      </c>
      <c r="AJ38" s="40">
        <v>15</v>
      </c>
      <c r="AK38" s="40">
        <v>15</v>
      </c>
      <c r="AL38" s="40">
        <v>15</v>
      </c>
      <c r="AM38" s="40">
        <v>15</v>
      </c>
      <c r="AN38" s="40">
        <v>15</v>
      </c>
      <c r="AO38" s="40">
        <v>15</v>
      </c>
      <c r="AP38" s="40">
        <v>15</v>
      </c>
      <c r="AQ38" s="40">
        <v>15</v>
      </c>
      <c r="AR38" s="40">
        <v>15</v>
      </c>
      <c r="AS38" s="40">
        <v>15</v>
      </c>
      <c r="AT38" s="40">
        <v>15</v>
      </c>
      <c r="AU38" s="40">
        <v>15</v>
      </c>
      <c r="AV38" s="40">
        <v>15</v>
      </c>
      <c r="AW38" s="40">
        <v>15</v>
      </c>
      <c r="AY38" t="s">
        <v>349</v>
      </c>
      <c r="AZ38" s="1" t="str">
        <f t="shared" ca="1" si="32"/>
        <v>Trd_3w_dsl</v>
      </c>
      <c r="BA38" t="str">
        <f t="shared" ca="1" si="0"/>
        <v>Trd_3w</v>
      </c>
      <c r="BB38">
        <f t="shared" ca="1" si="1"/>
        <v>25</v>
      </c>
      <c r="BD38" t="str">
        <f t="shared" ca="1" si="3"/>
        <v>DMD</v>
      </c>
      <c r="BE38" t="str">
        <f t="shared" ca="1" si="4"/>
        <v>Trd_3w_dsl</v>
      </c>
      <c r="BG38" t="s">
        <v>156</v>
      </c>
      <c r="BH38" t="s">
        <v>352</v>
      </c>
      <c r="BI38" t="s">
        <v>359</v>
      </c>
    </row>
    <row r="39" spans="1:61">
      <c r="C39" t="str">
        <f t="shared" si="31"/>
        <v>TRAELC</v>
      </c>
      <c r="D39" s="40">
        <v>15</v>
      </c>
      <c r="E39" s="40">
        <v>15</v>
      </c>
      <c r="F39" s="40">
        <v>15</v>
      </c>
      <c r="G39" s="40">
        <v>15</v>
      </c>
      <c r="H39" s="40">
        <v>15</v>
      </c>
      <c r="I39" s="40">
        <v>15</v>
      </c>
      <c r="J39" s="40">
        <v>15</v>
      </c>
      <c r="K39" s="40">
        <v>15</v>
      </c>
      <c r="L39" s="40">
        <v>15</v>
      </c>
      <c r="M39" s="40">
        <v>15</v>
      </c>
      <c r="N39" s="40">
        <v>15</v>
      </c>
      <c r="O39" s="40">
        <v>15</v>
      </c>
      <c r="P39" s="40">
        <v>15</v>
      </c>
      <c r="Q39" s="40">
        <v>15</v>
      </c>
      <c r="R39" s="40">
        <v>15</v>
      </c>
      <c r="S39" s="40">
        <v>15</v>
      </c>
      <c r="T39" s="40">
        <v>15</v>
      </c>
      <c r="U39" s="40">
        <v>15</v>
      </c>
      <c r="V39" s="40">
        <v>15</v>
      </c>
      <c r="W39" s="40">
        <v>15</v>
      </c>
      <c r="X39" s="40">
        <v>15</v>
      </c>
      <c r="Y39" s="40">
        <v>15</v>
      </c>
      <c r="Z39" s="40">
        <v>15</v>
      </c>
      <c r="AA39" s="40">
        <v>15</v>
      </c>
      <c r="AB39" s="40">
        <v>15</v>
      </c>
      <c r="AC39" s="40">
        <v>15</v>
      </c>
      <c r="AD39" s="40">
        <v>15</v>
      </c>
      <c r="AE39" s="40">
        <v>15</v>
      </c>
      <c r="AF39" s="40">
        <v>20</v>
      </c>
      <c r="AG39" s="40">
        <v>15</v>
      </c>
      <c r="AH39" s="40">
        <v>15</v>
      </c>
      <c r="AI39" s="40">
        <v>15</v>
      </c>
      <c r="AJ39" s="40">
        <v>15</v>
      </c>
      <c r="AK39" s="40">
        <v>15</v>
      </c>
      <c r="AL39" s="40">
        <v>15</v>
      </c>
      <c r="AM39" s="40">
        <v>15</v>
      </c>
      <c r="AN39" s="40">
        <v>15</v>
      </c>
      <c r="AO39" s="40">
        <v>15</v>
      </c>
      <c r="AP39" s="40">
        <v>15</v>
      </c>
      <c r="AQ39" s="40">
        <v>15</v>
      </c>
      <c r="AR39" s="40">
        <v>15</v>
      </c>
      <c r="AS39" s="40">
        <v>15</v>
      </c>
      <c r="AT39" s="40">
        <v>15</v>
      </c>
      <c r="AU39" s="40">
        <v>15</v>
      </c>
      <c r="AV39" s="40">
        <v>15</v>
      </c>
      <c r="AW39" s="40">
        <v>15</v>
      </c>
      <c r="AY39" t="s">
        <v>349</v>
      </c>
      <c r="AZ39" s="1" t="str">
        <f t="shared" ca="1" si="32"/>
        <v>\I:</v>
      </c>
      <c r="BA39" t="str">
        <f t="shared" ca="1" si="0"/>
        <v>Trd_3w</v>
      </c>
      <c r="BB39">
        <f t="shared" ca="1" si="1"/>
        <v>25</v>
      </c>
      <c r="BD39" t="str">
        <f t="shared" ca="1" si="3"/>
        <v>DMD</v>
      </c>
      <c r="BE39" t="str">
        <f t="shared" ca="1" si="4"/>
        <v>\I:</v>
      </c>
      <c r="BG39" t="s">
        <v>156</v>
      </c>
      <c r="BH39" t="s">
        <v>352</v>
      </c>
      <c r="BI39" t="s">
        <v>359</v>
      </c>
    </row>
    <row r="40" spans="1:61">
      <c r="C40" t="str">
        <f t="shared" si="31"/>
        <v>TRAGSL</v>
      </c>
      <c r="D40" s="40">
        <v>15</v>
      </c>
      <c r="E40" s="40">
        <v>15</v>
      </c>
      <c r="F40" s="40">
        <v>15</v>
      </c>
      <c r="G40" s="40">
        <v>15</v>
      </c>
      <c r="H40" s="40">
        <v>15</v>
      </c>
      <c r="I40" s="40">
        <v>15</v>
      </c>
      <c r="J40" s="40">
        <v>15</v>
      </c>
      <c r="K40" s="40">
        <v>15</v>
      </c>
      <c r="L40" s="40">
        <v>15</v>
      </c>
      <c r="M40" s="40">
        <v>15</v>
      </c>
      <c r="N40" s="40">
        <v>15</v>
      </c>
      <c r="O40" s="40">
        <v>15</v>
      </c>
      <c r="P40" s="40">
        <v>15</v>
      </c>
      <c r="Q40" s="40">
        <v>15</v>
      </c>
      <c r="R40" s="40">
        <v>15</v>
      </c>
      <c r="S40" s="40">
        <v>15</v>
      </c>
      <c r="T40" s="40">
        <v>15</v>
      </c>
      <c r="U40" s="40">
        <v>15</v>
      </c>
      <c r="V40" s="40">
        <v>15</v>
      </c>
      <c r="W40" s="40">
        <v>15</v>
      </c>
      <c r="X40" s="40">
        <v>15</v>
      </c>
      <c r="Y40" s="40">
        <v>15</v>
      </c>
      <c r="Z40" s="40">
        <v>15</v>
      </c>
      <c r="AA40" s="40">
        <v>15</v>
      </c>
      <c r="AB40" s="40">
        <v>15</v>
      </c>
      <c r="AC40" s="40">
        <v>15</v>
      </c>
      <c r="AD40" s="40">
        <v>15</v>
      </c>
      <c r="AE40" s="40">
        <v>15</v>
      </c>
      <c r="AF40" s="40">
        <v>20</v>
      </c>
      <c r="AG40" s="40">
        <v>15</v>
      </c>
      <c r="AH40" s="40">
        <v>15</v>
      </c>
      <c r="AI40" s="40">
        <v>15</v>
      </c>
      <c r="AJ40" s="40">
        <v>15</v>
      </c>
      <c r="AK40" s="40">
        <v>15</v>
      </c>
      <c r="AL40" s="40">
        <v>15</v>
      </c>
      <c r="AM40" s="40">
        <v>15</v>
      </c>
      <c r="AN40" s="40">
        <v>15</v>
      </c>
      <c r="AO40" s="40">
        <v>15</v>
      </c>
      <c r="AP40" s="40">
        <v>15</v>
      </c>
      <c r="AQ40" s="40">
        <v>15</v>
      </c>
      <c r="AR40" s="40">
        <v>15</v>
      </c>
      <c r="AS40" s="40">
        <v>15</v>
      </c>
      <c r="AT40" s="40">
        <v>15</v>
      </c>
      <c r="AU40" s="40">
        <v>15</v>
      </c>
      <c r="AV40" s="40">
        <v>15</v>
      </c>
      <c r="AW40" s="40">
        <v>15</v>
      </c>
      <c r="AY40" t="s">
        <v>349</v>
      </c>
      <c r="AZ40" s="1" t="str">
        <f t="shared" ca="1" si="32"/>
        <v>Trd_3w_gsl</v>
      </c>
      <c r="BA40" t="str">
        <f t="shared" ca="1" si="0"/>
        <v>Trd_3w</v>
      </c>
      <c r="BB40">
        <f t="shared" ca="1" si="1"/>
        <v>25</v>
      </c>
      <c r="BD40" t="str">
        <f t="shared" ca="1" si="3"/>
        <v>DMD</v>
      </c>
      <c r="BE40" t="str">
        <f t="shared" ca="1" si="4"/>
        <v>Trd_3w_gsl</v>
      </c>
      <c r="BG40" t="s">
        <v>156</v>
      </c>
      <c r="BH40" t="s">
        <v>352</v>
      </c>
      <c r="BI40" t="s">
        <v>359</v>
      </c>
    </row>
    <row r="41" spans="1:61">
      <c r="C41" t="str">
        <f t="shared" si="31"/>
        <v>TRALPG</v>
      </c>
      <c r="D41" s="40">
        <v>15</v>
      </c>
      <c r="E41" s="40">
        <v>15</v>
      </c>
      <c r="F41" s="40">
        <v>15</v>
      </c>
      <c r="G41" s="40">
        <v>15</v>
      </c>
      <c r="H41" s="40">
        <v>15</v>
      </c>
      <c r="I41" s="40">
        <v>15</v>
      </c>
      <c r="J41" s="40">
        <v>15</v>
      </c>
      <c r="K41" s="40">
        <v>15</v>
      </c>
      <c r="L41" s="40">
        <v>15</v>
      </c>
      <c r="M41" s="40">
        <v>15</v>
      </c>
      <c r="N41" s="40">
        <v>15</v>
      </c>
      <c r="O41" s="40">
        <v>15</v>
      </c>
      <c r="P41" s="40">
        <v>15</v>
      </c>
      <c r="Q41" s="40">
        <v>15</v>
      </c>
      <c r="R41" s="40">
        <v>15</v>
      </c>
      <c r="S41" s="40">
        <v>15</v>
      </c>
      <c r="T41" s="40">
        <v>15</v>
      </c>
      <c r="U41" s="40">
        <v>15</v>
      </c>
      <c r="V41" s="40">
        <v>15</v>
      </c>
      <c r="W41" s="40">
        <v>15</v>
      </c>
      <c r="X41" s="40">
        <v>15</v>
      </c>
      <c r="Y41" s="40">
        <v>15</v>
      </c>
      <c r="Z41" s="40">
        <v>15</v>
      </c>
      <c r="AA41" s="40">
        <v>15</v>
      </c>
      <c r="AB41" s="40">
        <v>15</v>
      </c>
      <c r="AC41" s="40">
        <v>15</v>
      </c>
      <c r="AD41" s="40">
        <v>15</v>
      </c>
      <c r="AE41" s="40">
        <v>15</v>
      </c>
      <c r="AF41" s="40">
        <v>20</v>
      </c>
      <c r="AG41" s="40">
        <v>15</v>
      </c>
      <c r="AH41" s="40">
        <v>15</v>
      </c>
      <c r="AI41" s="40">
        <v>15</v>
      </c>
      <c r="AJ41" s="40">
        <v>15</v>
      </c>
      <c r="AK41" s="40">
        <v>15</v>
      </c>
      <c r="AL41" s="40">
        <v>15</v>
      </c>
      <c r="AM41" s="40">
        <v>15</v>
      </c>
      <c r="AN41" s="40">
        <v>15</v>
      </c>
      <c r="AO41" s="40">
        <v>15</v>
      </c>
      <c r="AP41" s="40">
        <v>15</v>
      </c>
      <c r="AQ41" s="40">
        <v>15</v>
      </c>
      <c r="AR41" s="40">
        <v>15</v>
      </c>
      <c r="AS41" s="40">
        <v>15</v>
      </c>
      <c r="AT41" s="40">
        <v>15</v>
      </c>
      <c r="AU41" s="40">
        <v>15</v>
      </c>
      <c r="AV41" s="40">
        <v>15</v>
      </c>
      <c r="AW41" s="40">
        <v>15</v>
      </c>
      <c r="AY41" t="s">
        <v>349</v>
      </c>
      <c r="AZ41" s="1" t="str">
        <f t="shared" si="32"/>
        <v>\I:</v>
      </c>
      <c r="BA41" t="str">
        <f t="shared" si="0"/>
        <v>Trd_3w</v>
      </c>
      <c r="BB41">
        <f t="shared" si="1"/>
        <v>25</v>
      </c>
      <c r="BD41" t="str">
        <f t="shared" si="3"/>
        <v>DMD</v>
      </c>
      <c r="BE41" t="str">
        <f t="shared" si="4"/>
        <v>\I:</v>
      </c>
      <c r="BG41" t="s">
        <v>156</v>
      </c>
      <c r="BH41" t="s">
        <v>352</v>
      </c>
      <c r="BI41" t="s">
        <v>359</v>
      </c>
    </row>
    <row r="42" spans="1:61">
      <c r="C42" t="str">
        <f t="shared" si="31"/>
        <v>TRANGA</v>
      </c>
      <c r="D42" s="40">
        <v>15</v>
      </c>
      <c r="E42" s="40">
        <v>15</v>
      </c>
      <c r="F42" s="40">
        <v>15</v>
      </c>
      <c r="G42" s="40">
        <v>15</v>
      </c>
      <c r="H42" s="40">
        <v>15</v>
      </c>
      <c r="I42" s="40">
        <v>15</v>
      </c>
      <c r="J42" s="40">
        <v>15</v>
      </c>
      <c r="K42" s="40">
        <v>15</v>
      </c>
      <c r="L42" s="40">
        <v>15</v>
      </c>
      <c r="M42" s="40">
        <v>15</v>
      </c>
      <c r="N42" s="40">
        <v>15</v>
      </c>
      <c r="O42" s="40">
        <v>15</v>
      </c>
      <c r="P42" s="40">
        <v>15</v>
      </c>
      <c r="Q42" s="40">
        <v>15</v>
      </c>
      <c r="R42" s="40">
        <v>15</v>
      </c>
      <c r="S42" s="40">
        <v>15</v>
      </c>
      <c r="T42" s="40">
        <v>15</v>
      </c>
      <c r="U42" s="40">
        <v>15</v>
      </c>
      <c r="V42" s="40">
        <v>15</v>
      </c>
      <c r="W42" s="40">
        <v>15</v>
      </c>
      <c r="X42" s="40">
        <v>15</v>
      </c>
      <c r="Y42" s="40">
        <v>15</v>
      </c>
      <c r="Z42" s="40">
        <v>15</v>
      </c>
      <c r="AA42" s="40">
        <v>15</v>
      </c>
      <c r="AB42" s="40">
        <v>15</v>
      </c>
      <c r="AC42" s="40">
        <v>15</v>
      </c>
      <c r="AD42" s="40">
        <v>15</v>
      </c>
      <c r="AE42" s="40">
        <v>15</v>
      </c>
      <c r="AF42" s="40">
        <v>20</v>
      </c>
      <c r="AG42" s="40">
        <v>15</v>
      </c>
      <c r="AH42" s="40">
        <v>15</v>
      </c>
      <c r="AI42" s="40">
        <v>15</v>
      </c>
      <c r="AJ42" s="40">
        <v>15</v>
      </c>
      <c r="AK42" s="40">
        <v>15</v>
      </c>
      <c r="AL42" s="40">
        <v>15</v>
      </c>
      <c r="AM42" s="40">
        <v>15</v>
      </c>
      <c r="AN42" s="40">
        <v>15</v>
      </c>
      <c r="AO42" s="40">
        <v>15</v>
      </c>
      <c r="AP42" s="40">
        <v>15</v>
      </c>
      <c r="AQ42" s="40">
        <v>15</v>
      </c>
      <c r="AR42" s="40">
        <v>15</v>
      </c>
      <c r="AS42" s="40">
        <v>15</v>
      </c>
      <c r="AT42" s="40">
        <v>15</v>
      </c>
      <c r="AU42" s="40">
        <v>15</v>
      </c>
      <c r="AV42" s="40">
        <v>15</v>
      </c>
      <c r="AW42" s="40">
        <v>15</v>
      </c>
      <c r="AY42" t="s">
        <v>349</v>
      </c>
      <c r="AZ42" s="1" t="str">
        <f t="shared" si="32"/>
        <v>\I:</v>
      </c>
      <c r="BA42" t="str">
        <f t="shared" si="0"/>
        <v>Trd_3w</v>
      </c>
      <c r="BB42">
        <f t="shared" si="1"/>
        <v>25</v>
      </c>
      <c r="BD42" t="str">
        <f t="shared" si="3"/>
        <v>DMD</v>
      </c>
      <c r="BE42" t="str">
        <f t="shared" si="4"/>
        <v>\I: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42.015000000000001</v>
      </c>
      <c r="E45" s="2">
        <f t="shared" ref="E45:U45" ca="1" si="36">SUMPRODUCT(E36:E42,E19:E25)</f>
        <v>72.945000000000007</v>
      </c>
      <c r="F45" s="2">
        <f t="shared" ca="1" si="36"/>
        <v>0</v>
      </c>
      <c r="G45" s="2">
        <f t="shared" ca="1" si="36"/>
        <v>0.19499999999999998</v>
      </c>
      <c r="H45" s="2">
        <f t="shared" ca="1" si="36"/>
        <v>0.06</v>
      </c>
      <c r="I45" s="2">
        <f t="shared" ca="1" si="36"/>
        <v>0.7649999999999999</v>
      </c>
      <c r="J45" s="2">
        <f t="shared" ca="1" si="36"/>
        <v>3.2250000000000001</v>
      </c>
      <c r="K45" s="2">
        <f t="shared" ca="1" si="36"/>
        <v>138.03</v>
      </c>
      <c r="L45" s="2">
        <f t="shared" ca="1" si="36"/>
        <v>0.105</v>
      </c>
      <c r="M45" s="2">
        <f t="shared" ca="1" si="36"/>
        <v>0.24</v>
      </c>
      <c r="N45" s="2">
        <f t="shared" ca="1" si="36"/>
        <v>0.92999999999999994</v>
      </c>
      <c r="O45" s="2">
        <f t="shared" ca="1" si="36"/>
        <v>2.0550000000000002</v>
      </c>
      <c r="P45" s="2">
        <f t="shared" ca="1" si="36"/>
        <v>0.315</v>
      </c>
      <c r="Q45" s="2">
        <f t="shared" ca="1" si="36"/>
        <v>0.36</v>
      </c>
      <c r="R45" s="2">
        <f t="shared" ca="1" si="36"/>
        <v>1.4999999999999999E-2</v>
      </c>
      <c r="S45" s="2">
        <f t="shared" ca="1" si="36"/>
        <v>168.16500000000002</v>
      </c>
      <c r="T45" s="2">
        <f t="shared" ca="1" si="36"/>
        <v>0.09</v>
      </c>
      <c r="U45" s="2">
        <f t="shared" ca="1" si="36"/>
        <v>0.92999999999999994</v>
      </c>
      <c r="V45" s="2">
        <f t="shared" ref="V45:AJ45" ca="1" si="37">SUMPRODUCT(V36:V42,V19:V25)</f>
        <v>4.4550000000000001</v>
      </c>
      <c r="W45" s="2">
        <f t="shared" ca="1" si="37"/>
        <v>5.1449999999999996</v>
      </c>
      <c r="X45" s="2">
        <f t="shared" ca="1" si="37"/>
        <v>9.69</v>
      </c>
      <c r="Y45" s="2">
        <f t="shared" ca="1" si="37"/>
        <v>8.61</v>
      </c>
      <c r="Z45" s="2">
        <f t="shared" ca="1" si="37"/>
        <v>7.4999999999999997E-2</v>
      </c>
      <c r="AA45" s="2">
        <f t="shared" ca="1" si="37"/>
        <v>0.51</v>
      </c>
      <c r="AB45" s="2">
        <f t="shared" ca="1" si="37"/>
        <v>265.48500000000001</v>
      </c>
      <c r="AC45" s="2">
        <f t="shared" ca="1" si="37"/>
        <v>3.1799999999999997</v>
      </c>
      <c r="AD45" s="2">
        <f t="shared" ca="1" si="37"/>
        <v>4.1850000000000005</v>
      </c>
      <c r="AE45" s="2">
        <f t="shared" ca="1" si="37"/>
        <v>18.585000000000001</v>
      </c>
      <c r="AF45" s="2">
        <f t="shared" ca="1" si="37"/>
        <v>0.78</v>
      </c>
      <c r="AG45" s="2">
        <f t="shared" ca="1" si="37"/>
        <v>0.53999999999999992</v>
      </c>
      <c r="AH45" s="2">
        <f t="shared" ca="1" si="37"/>
        <v>0.28499999999999998</v>
      </c>
      <c r="AI45" s="2">
        <f t="shared" ca="1" si="37"/>
        <v>0.40499999999999997</v>
      </c>
      <c r="AJ45" s="2">
        <f t="shared" ca="1" si="37"/>
        <v>1.47</v>
      </c>
      <c r="AK45" s="2">
        <f t="shared" ref="AK45:AW45" ca="1" si="38">SUMPRODUCT(AK36:AK42,AK19:AK25)</f>
        <v>0.16499999999999998</v>
      </c>
      <c r="AL45" s="2">
        <f t="shared" ca="1" si="38"/>
        <v>0.105</v>
      </c>
      <c r="AM45" s="2">
        <f t="shared" ca="1" si="38"/>
        <v>0</v>
      </c>
      <c r="AN45" s="2">
        <f t="shared" ca="1" si="38"/>
        <v>0</v>
      </c>
      <c r="AO45" s="2">
        <f t="shared" ca="1" si="38"/>
        <v>0</v>
      </c>
      <c r="AP45" s="2">
        <f t="shared" ca="1" si="38"/>
        <v>0</v>
      </c>
      <c r="AQ45" s="2">
        <f t="shared" ca="1" si="38"/>
        <v>0</v>
      </c>
      <c r="AR45" s="2">
        <f t="shared" ca="1" si="38"/>
        <v>0</v>
      </c>
      <c r="AS45" s="2">
        <f t="shared" ca="1" si="38"/>
        <v>0</v>
      </c>
      <c r="AT45" s="2">
        <f t="shared" ca="1" si="38"/>
        <v>0</v>
      </c>
      <c r="AU45" s="2">
        <f t="shared" ca="1" si="38"/>
        <v>0</v>
      </c>
      <c r="AV45" s="2">
        <f t="shared" ca="1" si="38"/>
        <v>0</v>
      </c>
      <c r="AW45" s="2">
        <f t="shared" ca="1" si="38"/>
        <v>0</v>
      </c>
      <c r="AY45" t="s">
        <v>350</v>
      </c>
      <c r="BA45" t="s">
        <v>357</v>
      </c>
      <c r="BB45" t="str">
        <f t="shared" si="1"/>
        <v/>
      </c>
    </row>
    <row r="46" spans="1:61">
      <c r="D46" s="1">
        <f ca="1">D45/'non-road'!DB20</f>
        <v>2.0817292399347168E-2</v>
      </c>
      <c r="E46" s="1">
        <f ca="1">E45/'non-road'!DC20</f>
        <v>2.6118860973477334E-2</v>
      </c>
      <c r="F46" s="1">
        <f ca="1">F45/'non-road'!DD20</f>
        <v>0</v>
      </c>
      <c r="G46" s="1">
        <f ca="1">G45/'non-road'!DE20</f>
        <v>5.557661450065123E-4</v>
      </c>
      <c r="H46" s="1">
        <f ca="1">H45/'non-road'!DF20</f>
        <v>4.2052940446728383E-4</v>
      </c>
      <c r="I46" s="1">
        <f ca="1">I45/'non-road'!DG20</f>
        <v>6.2952242947270955E-4</v>
      </c>
      <c r="J46" s="1">
        <f ca="1">J45/'non-road'!DH20</f>
        <v>1.1835166407944426E-3</v>
      </c>
      <c r="K46" s="1">
        <f ca="1">K45/'non-road'!DI20</f>
        <v>6.4775750977291175E-3</v>
      </c>
      <c r="L46" s="1">
        <f ca="1">L45/'non-road'!DJ20</f>
        <v>7.6205129693873101E-4</v>
      </c>
      <c r="M46" s="1">
        <f ca="1">M45/'non-road'!DK20</f>
        <v>5.2348826404748029E-4</v>
      </c>
      <c r="N46" s="1">
        <f ca="1">N45/'non-road'!DL20</f>
        <v>4.1327822956939067E-4</v>
      </c>
      <c r="O46" s="1">
        <f ca="1">O45/'non-road'!DM20</f>
        <v>6.3844263491955012E-4</v>
      </c>
      <c r="P46" s="1">
        <f ca="1">P45/'non-road'!DN20</f>
        <v>1.1700333292351214E-3</v>
      </c>
      <c r="Q46" s="1">
        <f ca="1">Q45/'non-road'!DO20</f>
        <v>5.3894474618696592E-4</v>
      </c>
      <c r="R46" s="1">
        <f ca="1">R45/'non-road'!DP20</f>
        <v>9.4512598529383957E-4</v>
      </c>
      <c r="S46" s="1">
        <f ca="1">S45/'non-road'!DQ20</f>
        <v>2.0144225298123517E-2</v>
      </c>
      <c r="T46" s="1">
        <f ca="1">T45/'non-road'!DR20</f>
        <v>2.9728479883728612E-4</v>
      </c>
      <c r="U46" s="1">
        <f ca="1">U45/'non-road'!DS20</f>
        <v>5.3259669292960127E-4</v>
      </c>
      <c r="V46" s="1">
        <f ca="1">V45/'non-road'!DT20</f>
        <v>1.0126795204604452E-3</v>
      </c>
      <c r="W46" s="1">
        <f ca="1">W45/'non-road'!DU20</f>
        <v>1.396373274206142E-3</v>
      </c>
      <c r="X46" s="1">
        <f ca="1">X45/'non-road'!DV20</f>
        <v>2.4860660360200436E-3</v>
      </c>
      <c r="Y46" s="1">
        <f ca="1">Y45/'non-road'!DW20</f>
        <v>4.2923055064646301E-4</v>
      </c>
      <c r="Z46" s="1">
        <f ca="1">Z45/'non-road'!DX20</f>
        <v>2.8255185768428034E-4</v>
      </c>
      <c r="AA46" s="1">
        <f ca="1">AA45/'non-road'!DY20</f>
        <v>5.5447800788011102E-4</v>
      </c>
      <c r="AB46" s="1">
        <f ca="1">AB45/'non-road'!DZ20</f>
        <v>1.9010332078141918E-2</v>
      </c>
      <c r="AC46" s="1">
        <f ca="1">AC45/'non-road'!EA20</f>
        <v>1.2940943313377964E-3</v>
      </c>
      <c r="AD46" s="1">
        <f ca="1">AD45/'non-road'!EB20</f>
        <v>2.4432677319352904E-3</v>
      </c>
      <c r="AE46" s="1">
        <f ca="1">AE45/'non-road'!EC20</f>
        <v>2.9697417115683303E-2</v>
      </c>
      <c r="AF46" s="1">
        <f ca="1">AF45/'non-road'!ED20</f>
        <v>4.7110837304535321E-4</v>
      </c>
      <c r="AG46" s="1">
        <f ca="1">AG45/'non-road'!EE20</f>
        <v>6.5921187557986224E-4</v>
      </c>
      <c r="AH46" s="1">
        <f ca="1">AH45/'non-road'!EF20</f>
        <v>6.9383074911810456E-4</v>
      </c>
      <c r="AI46" s="1">
        <f ca="1">AI45/'non-road'!EG20</f>
        <v>2.6257780082987551E-4</v>
      </c>
      <c r="AJ46" s="1">
        <f ca="1">AJ45/'non-road'!EH20</f>
        <v>6.2190107119286552E-4</v>
      </c>
      <c r="AK46" s="1">
        <f ca="1">AK45/'non-road'!EI20</f>
        <v>4.2788913988837013E-4</v>
      </c>
      <c r="AL46" s="1">
        <f ca="1">AL45/'non-road'!EJ20</f>
        <v>5.5533841529687594E-4</v>
      </c>
      <c r="AM46" s="1">
        <f ca="1">AM45/'non-road'!EK20</f>
        <v>0</v>
      </c>
      <c r="AN46" s="1">
        <f ca="1">AN45/'non-road'!EL20</f>
        <v>0</v>
      </c>
      <c r="AO46" s="1">
        <f ca="1">AO45/'non-road'!EM20</f>
        <v>0</v>
      </c>
      <c r="AP46" s="1">
        <f ca="1">AP45/'non-road'!EN20</f>
        <v>0</v>
      </c>
      <c r="AQ46" s="1">
        <f ca="1">AQ45/'non-road'!EO20</f>
        <v>0</v>
      </c>
      <c r="AR46" s="1">
        <f ca="1">AR45/'non-road'!EP20</f>
        <v>0</v>
      </c>
      <c r="AS46" s="1">
        <f ca="1">AS45/'non-road'!EQ20</f>
        <v>0</v>
      </c>
      <c r="AT46" s="1">
        <f ca="1">AT45/'non-road'!ER20</f>
        <v>0</v>
      </c>
      <c r="AU46" s="1">
        <f ca="1">AU45/'non-road'!ES20</f>
        <v>0</v>
      </c>
      <c r="AV46" s="1">
        <f ca="1">AV45/'non-road'!ET20</f>
        <v>0</v>
      </c>
      <c r="AW46" s="1" t="e">
        <f ca="1">AW45/'non-road'!EU20</f>
        <v>#VALUE!</v>
      </c>
      <c r="AY46" t="s">
        <v>169</v>
      </c>
    </row>
    <row r="48" spans="1:61">
      <c r="AY48" t="s">
        <v>430</v>
      </c>
    </row>
    <row r="49" spans="51:54">
      <c r="AY49" t="s">
        <v>431</v>
      </c>
      <c r="AZ49" t="s">
        <v>146</v>
      </c>
      <c r="BA49" t="s">
        <v>432</v>
      </c>
      <c r="BB49" t="s">
        <v>433</v>
      </c>
    </row>
    <row r="50" spans="51:54">
      <c r="AY50" t="s">
        <v>434</v>
      </c>
      <c r="AZ50" t="str">
        <f>BA45</f>
        <v>Trd_3w</v>
      </c>
      <c r="BB50" t="s">
        <v>156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110AB-10AB-4618-9A7C-073F7D1786A9}">
  <dimension ref="A2:BI49"/>
  <sheetViews>
    <sheetView tabSelected="1" topLeftCell="B1" zoomScaleNormal="100" workbookViewId="0">
      <selection activeCell="Y28" sqref="Y28"/>
    </sheetView>
  </sheetViews>
  <sheetFormatPr defaultRowHeight="14.25"/>
  <cols>
    <col min="1" max="1" width="10.86328125" bestFit="1" customWidth="1"/>
    <col min="2" max="2" width="2" bestFit="1" customWidth="1"/>
    <col min="4" max="4" width="6.265625" bestFit="1" customWidth="1"/>
    <col min="5" max="20" width="6.265625" customWidth="1"/>
    <col min="21" max="22" width="8.265625" bestFit="1" customWidth="1"/>
    <col min="23" max="23" width="5.86328125" bestFit="1" customWidth="1"/>
    <col min="24" max="24" width="9" bestFit="1" customWidth="1"/>
    <col min="25" max="25" width="8" bestFit="1" customWidth="1"/>
    <col min="26" max="26" width="7.59765625" bestFit="1" customWidth="1"/>
    <col min="27" max="27" width="6.73046875" bestFit="1" customWidth="1"/>
    <col min="28" max="28" width="5.73046875" bestFit="1" customWidth="1"/>
    <col min="29" max="29" width="6.73046875" bestFit="1" customWidth="1"/>
    <col min="30" max="30" width="7.3984375" bestFit="1" customWidth="1"/>
    <col min="31" max="31" width="6.73046875" bestFit="1" customWidth="1"/>
    <col min="32" max="32" width="5.73046875" bestFit="1" customWidth="1"/>
    <col min="33" max="33" width="7.59765625" bestFit="1" customWidth="1"/>
    <col min="34" max="34" width="8.1328125" bestFit="1" customWidth="1"/>
    <col min="35" max="35" width="7.59765625" customWidth="1"/>
    <col min="36" max="36" width="6.73046875" bestFit="1" customWidth="1"/>
    <col min="37" max="49" width="6.59765625" customWidth="1"/>
    <col min="50" max="50" width="5.59765625" bestFit="1" customWidth="1"/>
    <col min="51" max="51" width="8.86328125" bestFit="1" customWidth="1"/>
    <col min="52" max="52" width="11.265625" bestFit="1" customWidth="1"/>
    <col min="53" max="53" width="10.1328125" bestFit="1" customWidth="1"/>
    <col min="54" max="54" width="4.3984375" bestFit="1" customWidth="1"/>
    <col min="55" max="55" width="2" bestFit="1" customWidth="1"/>
    <col min="57" max="57" width="11.59765625" bestFit="1" customWidth="1"/>
    <col min="58" max="58" width="9.265625" bestFit="1" customWidth="1"/>
  </cols>
  <sheetData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SUM(SUMIFS(Assumptions!BD$3:BD$102,Assumptions!$B$3:$B$102,Cars!$C4,Assumptions!$G$3:$G$102,{"TRL","TRT"}))</f>
        <v>0</v>
      </c>
      <c r="E4" s="2" cm="1">
        <f t="array" aca="1" ref="E4" ca="1">SUM(SUMIFS(Assumptions!BE$3:BE$102,Assumptions!$B$3:$B$102,Cars!$C4,Assumptions!$G$3:$G$102,{"TRL","TRT"}))</f>
        <v>0</v>
      </c>
      <c r="F4" s="2" cm="1">
        <f t="array" aca="1" ref="F4" ca="1">SUM(SUMIFS(Assumptions!BF$3:BF$102,Assumptions!$B$3:$B$102,Cars!$C4,Assumptions!$G$3:$G$102,{"TRL","TRT"}))</f>
        <v>7.3603943999999994E-4</v>
      </c>
      <c r="G4" s="2" cm="1">
        <f t="array" aca="1" ref="G4" ca="1">SUM(SUMIFS(Assumptions!BG$3:BG$102,Assumptions!$B$3:$B$102,Cars!$C4,Assumptions!$G$3:$G$102,{"TRL","TRT"}))</f>
        <v>3.5648960774400007</v>
      </c>
      <c r="H4" s="2" cm="1">
        <f t="array" aca="1" ref="H4" ca="1">SUM(SUMIFS(Assumptions!BH$3:BH$102,Assumptions!$B$3:$B$102,Cars!$C4,Assumptions!$G$3:$G$102,{"TRL","TRT"}))</f>
        <v>0.22916701008000004</v>
      </c>
      <c r="I4" s="2" cm="1">
        <f t="array" aca="1" ref="I4" ca="1">SUM(SUMIFS(Assumptions!BI$3:BI$102,Assumptions!$B$3:$B$102,Cars!$C4,Assumptions!$G$3:$G$102,{"TRL","TRT"}))</f>
        <v>7.3859816095200017</v>
      </c>
      <c r="J4" s="2" cm="1">
        <f t="array" aca="1" ref="J4" ca="1">SUM(SUMIFS(Assumptions!BJ$3:BJ$102,Assumptions!$B$3:$B$102,Cars!$C4,Assumptions!$G$3:$G$102,{"TRL","TRT"}))</f>
        <v>45.116373753768244</v>
      </c>
      <c r="K4" s="2" cm="1">
        <f t="array" aca="1" ref="K4" ca="1">SUM(SUMIFS(Assumptions!BK$3:BK$102,Assumptions!$B$3:$B$102,Cars!$C4,Assumptions!$G$3:$G$102,{"TRL","TRT"}))</f>
        <v>1.5161600224800003</v>
      </c>
      <c r="L4" s="2" cm="1">
        <f t="array" aca="1" ref="L4" ca="1">SUM(SUMIFS(Assumptions!BL$3:BL$102,Assumptions!$B$3:$B$102,Cars!$C4,Assumptions!$G$3:$G$102,{"TRL","TRT"}))</f>
        <v>1.27665915264</v>
      </c>
      <c r="M4" s="2" cm="1">
        <f t="array" aca="1" ref="M4" ca="1">SUM(SUMIFS(Assumptions!BM$3:BM$102,Assumptions!$B$3:$B$102,Cars!$C4,Assumptions!$G$3:$G$102,{"TRL","TRT"}))</f>
        <v>3.3459699801600005</v>
      </c>
      <c r="N4" s="2" cm="1">
        <f t="array" aca="1" ref="N4" ca="1">SUM(SUMIFS(Assumptions!BN$3:BN$102,Assumptions!$B$3:$B$102,Cars!$C4,Assumptions!$G$3:$G$102,{"TRL","TRT"}))</f>
        <v>21.140651237040004</v>
      </c>
      <c r="O4" s="2" cm="1">
        <f t="array" aca="1" ref="O4" ca="1">SUM(SUMIFS(Assumptions!BO$3:BO$102,Assumptions!$B$3:$B$102,Cars!$C4,Assumptions!$G$3:$G$102,{"TRL","TRT"}))</f>
        <v>15.81877793736</v>
      </c>
      <c r="P4" s="2" cm="1">
        <f t="array" aca="1" ref="P4" ca="1">SUM(SUMIFS(Assumptions!BP$3:BP$102,Assumptions!$B$3:$B$102,Cars!$C4,Assumptions!$G$3:$G$102,{"TRL","TRT"}))</f>
        <v>1.4331466641600001</v>
      </c>
      <c r="Q4" s="2" cm="1">
        <f t="array" aca="1" ref="Q4" ca="1">SUM(SUMIFS(Assumptions!BQ$3:BQ$102,Assumptions!$B$3:$B$102,Cars!$C4,Assumptions!$G$3:$G$102,{"TRL","TRT"}))</f>
        <v>5.1823280930400006</v>
      </c>
      <c r="R4" s="2" cm="1">
        <f t="array" aca="1" ref="R4" ca="1">SUM(SUMIFS(Assumptions!BR$3:BR$102,Assumptions!$B$3:$B$102,Cars!$C4,Assumptions!$G$3:$G$102,{"TRL","TRT"}))</f>
        <v>0.12978661320000001</v>
      </c>
      <c r="S4" s="2" cm="1">
        <f t="array" aca="1" ref="S4" ca="1">SUM(SUMIFS(Assumptions!BS$3:BS$102,Assumptions!$B$3:$B$102,Cars!$C4,Assumptions!$G$3:$G$102,{"TRL","TRT"}))</f>
        <v>0.30692593440000004</v>
      </c>
      <c r="T4" s="2" cm="1">
        <f t="array" aca="1" ref="T4" ca="1">SUM(SUMIFS(Assumptions!BT$3:BT$102,Assumptions!$B$3:$B$102,Cars!$C4,Assumptions!$G$3:$G$102,{"TRL","TRT"}))</f>
        <v>1.3563641016000003</v>
      </c>
      <c r="U4" s="2" cm="1">
        <f t="array" aca="1" ref="U4" ca="1">SUM(SUMIFS(Assumptions!BU$3:BU$102,Assumptions!$B$3:$B$102,Cars!$C4,Assumptions!$G$3:$G$102,{"TRL","TRT"}))</f>
        <v>10.521856290960001</v>
      </c>
      <c r="V4" s="2" cm="1">
        <f t="array" aca="1" ref="V4" ca="1">SUM(SUMIFS(Assumptions!BV$3:BV$102,Assumptions!$B$3:$B$102,Cars!$C4,Assumptions!$G$3:$G$102,{"TRL","TRT"}))</f>
        <v>2.5702723332000008E-2</v>
      </c>
      <c r="W4" s="2" cm="1">
        <f t="array" aca="1" ref="W4" ca="1">SUM(SUMIFS(Assumptions!BW$3:BW$102,Assumptions!$B$3:$B$102,Cars!$C4,Assumptions!$G$3:$G$102,{"TRL","TRT"}))</f>
        <v>5.1464625101643602</v>
      </c>
      <c r="X4" s="2" cm="1">
        <f t="array" aca="1" ref="X4" ca="1">SUM(SUMIFS(Assumptions!BX$3:BX$102,Assumptions!$B$3:$B$102,Cars!$C4,Assumptions!$G$3:$G$102,{"TRL","TRT"}))</f>
        <v>0</v>
      </c>
      <c r="Y4" s="2" cm="1">
        <f t="array" aca="1" ref="Y4" ca="1">SUM(SUMIFS(Assumptions!BY$3:BY$102,Assumptions!$B$3:$B$102,Cars!$C4,Assumptions!$G$3:$G$102,{"TRL","TRT"}))</f>
        <v>4.9847537033565343</v>
      </c>
      <c r="Z4" s="2" cm="1">
        <f t="array" aca="1" ref="Z4" ca="1">SUM(SUMIFS(Assumptions!BZ$3:BZ$102,Assumptions!$B$3:$B$102,Cars!$C4,Assumptions!$G$3:$G$102,{"TRL","TRT"}))</f>
        <v>3.5085049056000006</v>
      </c>
      <c r="AA4" s="2" cm="1">
        <f t="array" aca="1" ref="AA4" ca="1">SUM(SUMIFS(Assumptions!CA$3:CA$102,Assumptions!$B$3:$B$102,Cars!$C4,Assumptions!$G$3:$G$102,{"TRL","TRT"}))</f>
        <v>7.0152815001600004</v>
      </c>
      <c r="AB4" s="2" cm="1">
        <f t="array" aca="1" ref="AB4" ca="1">SUM(SUMIFS(Assumptions!CB$3:CB$102,Assumptions!$B$3:$B$102,Cars!$C4,Assumptions!$G$3:$G$102,{"TRL","TRT"}))</f>
        <v>22.805167335551999</v>
      </c>
      <c r="AC4" s="2" cm="1">
        <f t="array" aca="1" ref="AC4" ca="1">SUM(SUMIFS(Assumptions!CC$3:CC$102,Assumptions!$B$3:$B$102,Cars!$C4,Assumptions!$G$3:$G$102,{"TRL","TRT"}))</f>
        <v>3.6000199800000003E-3</v>
      </c>
      <c r="AD4" s="2" cm="1">
        <f t="array" aca="1" ref="AD4" ca="1">SUM(SUMIFS(Assumptions!CD$3:CD$102,Assumptions!$B$3:$B$102,Cars!$C4,Assumptions!$G$3:$G$102,{"TRL","TRT"}))</f>
        <v>0</v>
      </c>
      <c r="AE4" s="2" cm="1">
        <f t="array" aca="1" ref="AE4" ca="1">SUM(SUMIFS(Assumptions!CE$3:CE$102,Assumptions!$B$3:$B$102,Cars!$C4,Assumptions!$G$3:$G$102,{"TRL","TRT"}))</f>
        <v>0</v>
      </c>
      <c r="AF4" s="2" cm="1">
        <f t="array" aca="1" ref="AF4" ca="1">SUM(SUMIFS(Assumptions!CF$3:CF$102,Assumptions!$B$3:$B$102,Cars!$C4,Assumptions!$G$3:$G$102,{"TRL","TRT"}))</f>
        <v>14.716934431920004</v>
      </c>
      <c r="AG4" s="2" cm="1">
        <f t="array" aca="1" ref="AG4" ca="1">SUM(SUMIFS(Assumptions!CG$3:CG$102,Assumptions!$B$3:$B$102,Cars!$C4,Assumptions!$G$3:$G$102,{"TRL","TRT"}))</f>
        <v>14.33300989608</v>
      </c>
      <c r="AH4" s="2" cm="1">
        <f t="array" aca="1" ref="AH4" ca="1">SUM(SUMIFS(Assumptions!CH$3:CH$102,Assumptions!$B$3:$B$102,Cars!$C4,Assumptions!$G$3:$G$102,{"TRL","TRT"}))</f>
        <v>1.2546499824000001</v>
      </c>
      <c r="AI4" s="2" cm="1">
        <f t="array" aca="1" ref="AI4" ca="1">SUM(SUMIFS(Assumptions!CI$3:CI$102,Assumptions!$B$3:$B$102,Cars!$C4,Assumptions!$G$3:$G$102,{"TRL","TRT"}))</f>
        <v>0.47795001552000005</v>
      </c>
      <c r="AJ4" s="2" cm="1">
        <f t="array" aca="1" ref="AJ4" ca="1">SUM(SUMIFS(Assumptions!CJ$3:CJ$102,Assumptions!$B$3:$B$102,Cars!$C4,Assumptions!$G$3:$G$102,{"TRL","TRT"}))</f>
        <v>10.577120376240002</v>
      </c>
      <c r="AK4" s="2" cm="1">
        <f t="array" aca="1" ref="AK4" ca="1">SUM(SUMIFS(Assumptions!CK$3:CK$102,Assumptions!$B$3:$B$102,Cars!$C4,Assumptions!$G$3:$G$102,{"TRL","TRT"}))</f>
        <v>0</v>
      </c>
      <c r="AL4" s="2" cm="1">
        <f t="array" aca="1" ref="AL4" ca="1">SUM(SUMIFS(Assumptions!CL$3:CL$102,Assumptions!$B$3:$B$102,Cars!$C4,Assumptions!$G$3:$G$102,{"TRL","TRT"}))</f>
        <v>1.00705184136</v>
      </c>
      <c r="AM4" s="2" cm="1">
        <f t="array" aca="1" ref="AM4" ca="1">SUM(SUMIFS(Assumptions!CM$3:CM$102,Assumptions!$B$3:$B$102,Cars!$C4,Assumptions!$G$3:$G$102,{"TRL","TRT"}))</f>
        <v>0</v>
      </c>
      <c r="AN4" s="2" cm="1">
        <f t="array" aca="1" ref="AN4" ca="1">SUM(SUMIFS(Assumptions!CN$3:CN$102,Assumptions!$B$3:$B$102,Cars!$C4,Assumptions!$G$3:$G$102,{"TRL","TRT"}))</f>
        <v>0</v>
      </c>
      <c r="AO4" s="2" cm="1">
        <f t="array" aca="1" ref="AO4" ca="1">SUM(SUMIFS(Assumptions!CO$3:CO$102,Assumptions!$B$3:$B$102,Cars!$C4,Assumptions!$G$3:$G$102,{"TRL","TRT"}))</f>
        <v>0</v>
      </c>
      <c r="AP4" s="2" cm="1">
        <f t="array" aca="1" ref="AP4" ca="1">SUM(SUMIFS(Assumptions!CP$3:CP$102,Assumptions!$B$3:$B$102,Cars!$C4,Assumptions!$G$3:$G$102,{"TRL","TRT"}))</f>
        <v>0</v>
      </c>
      <c r="AQ4" s="2" cm="1">
        <f t="array" aca="1" ref="AQ4" ca="1">SUM(SUMIFS(Assumptions!CQ$3:CQ$102,Assumptions!$B$3:$B$102,Cars!$C4,Assumptions!$G$3:$G$102,{"TRL","TRT"}))</f>
        <v>0</v>
      </c>
      <c r="AR4" s="2" cm="1">
        <f t="array" aca="1" ref="AR4" ca="1">SUM(SUMIFS(Assumptions!CR$3:CR$102,Assumptions!$B$3:$B$102,Cars!$C4,Assumptions!$G$3:$G$102,{"TRL","TRT"}))</f>
        <v>0</v>
      </c>
      <c r="AS4" s="2" cm="1">
        <f t="array" aca="1" ref="AS4" ca="1">SUM(SUMIFS(Assumptions!CS$3:CS$102,Assumptions!$B$3:$B$102,Cars!$C4,Assumptions!$G$3:$G$102,{"TRL","TRT"}))</f>
        <v>0</v>
      </c>
      <c r="AT4" s="2" cm="1">
        <f t="array" aca="1" ref="AT4" ca="1">SUM(SUMIFS(Assumptions!CT$3:CT$102,Assumptions!$B$3:$B$102,Cars!$C4,Assumptions!$G$3:$G$102,{"TRL","TRT"}))</f>
        <v>0</v>
      </c>
      <c r="AU4" s="2" cm="1">
        <f t="array" aca="1" ref="AU4" ca="1">SUM(SUMIFS(Assumptions!CU$3:CU$102,Assumptions!$B$3:$B$102,Cars!$C4,Assumptions!$G$3:$G$102,{"TRL","TRT"}))</f>
        <v>0</v>
      </c>
      <c r="AV4" s="2" cm="1">
        <f t="array" aca="1" ref="AV4" ca="1">SUM(SUMIFS(Assumptions!CV$3:CV$102,Assumptions!$B$3:$B$102,Cars!$C4,Assumptions!$G$3:$G$102,{"TRL","TRT"}))</f>
        <v>0</v>
      </c>
      <c r="AW4" s="2" cm="1">
        <f t="array" aca="1" ref="AW4" ca="1">SUM(SUMIFS(Assumptions!CW$3:CW$102,Assumptions!$B$3:$B$102,Cars!$C4,Assumptions!$G$3:$G$102,{"TRL","TRT"}))</f>
        <v>0</v>
      </c>
      <c r="AX4" s="2"/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SUM(SUMIFS(Assumptions!BD$3:BD$102,Assumptions!$B$3:$B$102,Cars!$C5,Assumptions!$G$3:$G$102,{"TRL","TRT"}))</f>
        <v>0</v>
      </c>
      <c r="E5" s="2" cm="1">
        <f t="array" aca="1" ref="E5" ca="1">SUM(SUMIFS(Assumptions!BE$3:BE$102,Assumptions!$B$3:$B$102,Cars!$C5,Assumptions!$G$3:$G$102,{"TRL","TRT"}))</f>
        <v>0</v>
      </c>
      <c r="F5" s="2" cm="1">
        <f t="array" aca="1" ref="F5" ca="1">SUM(SUMIFS(Assumptions!BF$3:BF$102,Assumptions!$B$3:$B$102,Cars!$C5,Assumptions!$G$3:$G$102,{"TRL","TRT"}))</f>
        <v>0</v>
      </c>
      <c r="G5" s="2" cm="1">
        <f t="array" aca="1" ref="G5" ca="1">SUM(SUMIFS(Assumptions!BG$3:BG$102,Assumptions!$B$3:$B$102,Cars!$C5,Assumptions!$G$3:$G$102,{"TRL","TRT"}))</f>
        <v>0</v>
      </c>
      <c r="H5" s="2" cm="1">
        <f t="array" aca="1" ref="H5" ca="1">SUM(SUMIFS(Assumptions!BH$3:BH$102,Assumptions!$B$3:$B$102,Cars!$C5,Assumptions!$G$3:$G$102,{"TRL","TRT"}))</f>
        <v>0</v>
      </c>
      <c r="I5" s="2" cm="1">
        <f t="array" aca="1" ref="I5" ca="1">SUM(SUMIFS(Assumptions!BI$3:BI$102,Assumptions!$B$3:$B$102,Cars!$C5,Assumptions!$G$3:$G$102,{"TRL","TRT"}))</f>
        <v>0</v>
      </c>
      <c r="J5" s="2" cm="1">
        <f t="array" aca="1" ref="J5" ca="1">SUM(SUMIFS(Assumptions!BJ$3:BJ$102,Assumptions!$B$3:$B$102,Cars!$C5,Assumptions!$G$3:$G$102,{"TRL","TRT"}))</f>
        <v>0</v>
      </c>
      <c r="K5" s="2" cm="1">
        <f t="array" aca="1" ref="K5" ca="1">SUM(SUMIFS(Assumptions!BK$3:BK$102,Assumptions!$B$3:$B$102,Cars!$C5,Assumptions!$G$3:$G$102,{"TRL","TRT"}))</f>
        <v>0</v>
      </c>
      <c r="L5" s="2" cm="1">
        <f t="array" aca="1" ref="L5" ca="1">SUM(SUMIFS(Assumptions!BL$3:BL$102,Assumptions!$B$3:$B$102,Cars!$C5,Assumptions!$G$3:$G$102,{"TRL","TRT"}))</f>
        <v>0</v>
      </c>
      <c r="M5" s="2" cm="1">
        <f t="array" aca="1" ref="M5" ca="1">SUM(SUMIFS(Assumptions!BM$3:BM$102,Assumptions!$B$3:$B$102,Cars!$C5,Assumptions!$G$3:$G$102,{"TRL","TRT"}))</f>
        <v>0</v>
      </c>
      <c r="N5" s="2" cm="1">
        <f t="array" aca="1" ref="N5" ca="1">SUM(SUMIFS(Assumptions!BN$3:BN$102,Assumptions!$B$3:$B$102,Cars!$C5,Assumptions!$G$3:$G$102,{"TRL","TRT"}))</f>
        <v>0</v>
      </c>
      <c r="O5" s="2" cm="1">
        <f t="array" aca="1" ref="O5" ca="1">SUM(SUMIFS(Assumptions!BO$3:BO$102,Assumptions!$B$3:$B$102,Cars!$C5,Assumptions!$G$3:$G$102,{"TRL","TRT"}))</f>
        <v>0</v>
      </c>
      <c r="P5" s="2" cm="1">
        <f t="array" aca="1" ref="P5" ca="1">SUM(SUMIFS(Assumptions!BP$3:BP$102,Assumptions!$B$3:$B$102,Cars!$C5,Assumptions!$G$3:$G$102,{"TRL","TRT"}))</f>
        <v>0</v>
      </c>
      <c r="Q5" s="2" cm="1">
        <f t="array" aca="1" ref="Q5" ca="1">SUM(SUMIFS(Assumptions!BQ$3:BQ$102,Assumptions!$B$3:$B$102,Cars!$C5,Assumptions!$G$3:$G$102,{"TRL","TRT"}))</f>
        <v>0</v>
      </c>
      <c r="R5" s="2" cm="1">
        <f t="array" aca="1" ref="R5" ca="1">SUM(SUMIFS(Assumptions!BR$3:BR$102,Assumptions!$B$3:$B$102,Cars!$C5,Assumptions!$G$3:$G$102,{"TRL","TRT"}))</f>
        <v>0</v>
      </c>
      <c r="S5" s="2" cm="1">
        <f t="array" aca="1" ref="S5" ca="1">SUM(SUMIFS(Assumptions!BS$3:BS$102,Assumptions!$B$3:$B$102,Cars!$C5,Assumptions!$G$3:$G$102,{"TRL","TRT"}))</f>
        <v>0</v>
      </c>
      <c r="T5" s="2" cm="1">
        <f t="array" aca="1" ref="T5" ca="1">SUM(SUMIFS(Assumptions!BT$3:BT$102,Assumptions!$B$3:$B$102,Cars!$C5,Assumptions!$G$3:$G$102,{"TRL","TRT"}))</f>
        <v>0</v>
      </c>
      <c r="U5" s="2" cm="1">
        <f t="array" aca="1" ref="U5" ca="1">SUM(SUMIFS(Assumptions!BU$3:BU$102,Assumptions!$B$3:$B$102,Cars!$C5,Assumptions!$G$3:$G$102,{"TRL","TRT"}))</f>
        <v>0</v>
      </c>
      <c r="V5" s="2" cm="1">
        <f t="array" aca="1" ref="V5" ca="1">SUM(SUMIFS(Assumptions!BV$3:BV$102,Assumptions!$B$3:$B$102,Cars!$C5,Assumptions!$G$3:$G$102,{"TRL","TRT"}))</f>
        <v>0</v>
      </c>
      <c r="W5" s="2" cm="1">
        <f t="array" aca="1" ref="W5" ca="1">SUM(SUMIFS(Assumptions!BW$3:BW$102,Assumptions!$B$3:$B$102,Cars!$C5,Assumptions!$G$3:$G$102,{"TRL","TRT"}))</f>
        <v>0</v>
      </c>
      <c r="X5" s="2" cm="1">
        <f t="array" aca="1" ref="X5" ca="1">SUM(SUMIFS(Assumptions!BX$3:BX$102,Assumptions!$B$3:$B$102,Cars!$C5,Assumptions!$G$3:$G$102,{"TRL","TRT"}))</f>
        <v>0</v>
      </c>
      <c r="Y5" s="2" cm="1">
        <f t="array" aca="1" ref="Y5" ca="1">SUM(SUMIFS(Assumptions!BY$3:BY$102,Assumptions!$B$3:$B$102,Cars!$C5,Assumptions!$G$3:$G$102,{"TRL","TRT"}))</f>
        <v>0</v>
      </c>
      <c r="Z5" s="2" cm="1">
        <f t="array" aca="1" ref="Z5" ca="1">SUM(SUMIFS(Assumptions!BZ$3:BZ$102,Assumptions!$B$3:$B$102,Cars!$C5,Assumptions!$G$3:$G$102,{"TRL","TRT"}))</f>
        <v>0</v>
      </c>
      <c r="AA5" s="2" cm="1">
        <f t="array" aca="1" ref="AA5" ca="1">SUM(SUMIFS(Assumptions!CA$3:CA$102,Assumptions!$B$3:$B$102,Cars!$C5,Assumptions!$G$3:$G$102,{"TRL","TRT"}))</f>
        <v>0</v>
      </c>
      <c r="AB5" s="2" cm="1">
        <f t="array" aca="1" ref="AB5" ca="1">SUM(SUMIFS(Assumptions!CB$3:CB$102,Assumptions!$B$3:$B$102,Cars!$C5,Assumptions!$G$3:$G$102,{"TRL","TRT"}))</f>
        <v>0</v>
      </c>
      <c r="AC5" s="2" cm="1">
        <f t="array" aca="1" ref="AC5" ca="1">SUM(SUMIFS(Assumptions!CC$3:CC$102,Assumptions!$B$3:$B$102,Cars!$C5,Assumptions!$G$3:$G$102,{"TRL","TRT"}))</f>
        <v>0</v>
      </c>
      <c r="AD5" s="2" cm="1">
        <f t="array" aca="1" ref="AD5" ca="1">SUM(SUMIFS(Assumptions!CD$3:CD$102,Assumptions!$B$3:$B$102,Cars!$C5,Assumptions!$G$3:$G$102,{"TRL","TRT"}))</f>
        <v>0</v>
      </c>
      <c r="AE5" s="2" cm="1">
        <f t="array" aca="1" ref="AE5" ca="1">SUM(SUMIFS(Assumptions!CE$3:CE$102,Assumptions!$B$3:$B$102,Cars!$C5,Assumptions!$G$3:$G$102,{"TRL","TRT"}))</f>
        <v>0</v>
      </c>
      <c r="AF5" s="2" cm="1">
        <f t="array" aca="1" ref="AF5" ca="1">SUM(SUMIFS(Assumptions!CF$3:CF$102,Assumptions!$B$3:$B$102,Cars!$C5,Assumptions!$G$3:$G$102,{"TRL","TRT"}))</f>
        <v>0</v>
      </c>
      <c r="AG5" s="2" cm="1">
        <f t="array" aca="1" ref="AG5" ca="1">SUM(SUMIFS(Assumptions!CG$3:CG$102,Assumptions!$B$3:$B$102,Cars!$C5,Assumptions!$G$3:$G$102,{"TRL","TRT"}))</f>
        <v>0</v>
      </c>
      <c r="AH5" s="2" cm="1">
        <f t="array" aca="1" ref="AH5" ca="1">SUM(SUMIFS(Assumptions!CH$3:CH$102,Assumptions!$B$3:$B$102,Cars!$C5,Assumptions!$G$3:$G$102,{"TRL","TRT"}))</f>
        <v>0</v>
      </c>
      <c r="AI5" s="2" cm="1">
        <f t="array" aca="1" ref="AI5" ca="1">SUM(SUMIFS(Assumptions!CI$3:CI$102,Assumptions!$B$3:$B$102,Cars!$C5,Assumptions!$G$3:$G$102,{"TRL","TRT"}))</f>
        <v>0</v>
      </c>
      <c r="AJ5" s="2" cm="1">
        <f t="array" aca="1" ref="AJ5" ca="1">SUM(SUMIFS(Assumptions!CJ$3:CJ$102,Assumptions!$B$3:$B$102,Cars!$C5,Assumptions!$G$3:$G$102,{"TRL","TRT"}))</f>
        <v>0</v>
      </c>
      <c r="AK5" s="2" cm="1">
        <f t="array" aca="1" ref="AK5" ca="1">SUM(SUMIFS(Assumptions!CK$3:CK$102,Assumptions!$B$3:$B$102,Cars!$C5,Assumptions!$G$3:$G$102,{"TRL","TRT"}))</f>
        <v>0</v>
      </c>
      <c r="AL5" s="2" cm="1">
        <f t="array" aca="1" ref="AL5" ca="1">SUM(SUMIFS(Assumptions!CL$3:CL$102,Assumptions!$B$3:$B$102,Cars!$C5,Assumptions!$G$3:$G$102,{"TRL","TRT"}))</f>
        <v>0</v>
      </c>
      <c r="AM5" s="2" cm="1">
        <f t="array" aca="1" ref="AM5" ca="1">SUM(SUMIFS(Assumptions!CM$3:CM$102,Assumptions!$B$3:$B$102,Cars!$C5,Assumptions!$G$3:$G$102,{"TRL","TRT"}))</f>
        <v>0</v>
      </c>
      <c r="AN5" s="2" cm="1">
        <f t="array" aca="1" ref="AN5" ca="1">SUM(SUMIFS(Assumptions!CN$3:CN$102,Assumptions!$B$3:$B$102,Cars!$C5,Assumptions!$G$3:$G$102,{"TRL","TRT"}))</f>
        <v>0</v>
      </c>
      <c r="AO5" s="2" cm="1">
        <f t="array" aca="1" ref="AO5" ca="1">SUM(SUMIFS(Assumptions!CO$3:CO$102,Assumptions!$B$3:$B$102,Cars!$C5,Assumptions!$G$3:$G$102,{"TRL","TRT"}))</f>
        <v>0</v>
      </c>
      <c r="AP5" s="2" cm="1">
        <f t="array" aca="1" ref="AP5" ca="1">SUM(SUMIFS(Assumptions!CP$3:CP$102,Assumptions!$B$3:$B$102,Cars!$C5,Assumptions!$G$3:$G$102,{"TRL","TRT"}))</f>
        <v>0</v>
      </c>
      <c r="AQ5" s="2" cm="1">
        <f t="array" aca="1" ref="AQ5" ca="1">SUM(SUMIFS(Assumptions!CQ$3:CQ$102,Assumptions!$B$3:$B$102,Cars!$C5,Assumptions!$G$3:$G$102,{"TRL","TRT"}))</f>
        <v>0</v>
      </c>
      <c r="AR5" s="2" cm="1">
        <f t="array" aca="1" ref="AR5" ca="1">SUM(SUMIFS(Assumptions!CR$3:CR$102,Assumptions!$B$3:$B$102,Cars!$C5,Assumptions!$G$3:$G$102,{"TRL","TRT"}))</f>
        <v>0</v>
      </c>
      <c r="AS5" s="2" cm="1">
        <f t="array" aca="1" ref="AS5" ca="1">SUM(SUMIFS(Assumptions!CS$3:CS$102,Assumptions!$B$3:$B$102,Cars!$C5,Assumptions!$G$3:$G$102,{"TRL","TRT"}))</f>
        <v>0</v>
      </c>
      <c r="AT5" s="2" cm="1">
        <f t="array" aca="1" ref="AT5" ca="1">SUM(SUMIFS(Assumptions!CT$3:CT$102,Assumptions!$B$3:$B$102,Cars!$C5,Assumptions!$G$3:$G$102,{"TRL","TRT"}))</f>
        <v>0</v>
      </c>
      <c r="AU5" s="2" cm="1">
        <f t="array" aca="1" ref="AU5" ca="1">SUM(SUMIFS(Assumptions!CU$3:CU$102,Assumptions!$B$3:$B$102,Cars!$C5,Assumptions!$G$3:$G$102,{"TRL","TRT"}))</f>
        <v>0</v>
      </c>
      <c r="AV5" s="2" cm="1">
        <f t="array" aca="1" ref="AV5" ca="1">SUM(SUMIFS(Assumptions!CV$3:CV$102,Assumptions!$B$3:$B$102,Cars!$C5,Assumptions!$G$3:$G$102,{"TRL","TRT"}))</f>
        <v>0</v>
      </c>
      <c r="AW5" s="2" cm="1">
        <f t="array" aca="1" ref="AW5" ca="1">SUM(SUMIFS(Assumptions!CW$3:CW$102,Assumptions!$B$3:$B$102,Cars!$C5,Assumptions!$G$3:$G$102,{"TRL","TRT"}))</f>
        <v>0</v>
      </c>
      <c r="AY5" s="2" t="s">
        <v>169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SUM(SUMIFS(Assumptions!BD$3:BD$102,Assumptions!$B$3:$B$102,Cars!$C6,Assumptions!$G$3:$G$102,{"TRL","TRT"}))</f>
        <v>111.2020548606</v>
      </c>
      <c r="E6" s="2" cm="1">
        <f t="array" aca="1" ref="E6" ca="1">SUM(SUMIFS(Assumptions!BE$3:BE$102,Assumptions!$B$3:$B$102,Cars!$C6,Assumptions!$G$3:$G$102,{"TRL","TRT"}))</f>
        <v>98.822762012160013</v>
      </c>
      <c r="F6" s="2" cm="1">
        <f t="array" aca="1" ref="F6" ca="1">SUM(SUMIFS(Assumptions!BF$3:BF$102,Assumptions!$B$3:$B$102,Cars!$C6,Assumptions!$G$3:$G$102,{"TRL","TRT"}))</f>
        <v>11.512758221207999</v>
      </c>
      <c r="G6" s="2" cm="1">
        <f t="array" aca="1" ref="G6" ca="1">SUM(SUMIFS(Assumptions!BG$3:BG$102,Assumptions!$B$3:$B$102,Cars!$C6,Assumptions!$G$3:$G$102,{"TRL","TRT"}))</f>
        <v>51.730108720560004</v>
      </c>
      <c r="H6" s="2" cm="1">
        <f t="array" aca="1" ref="H6" ca="1">SUM(SUMIFS(Assumptions!BH$3:BH$102,Assumptions!$B$3:$B$102,Cars!$C6,Assumptions!$G$3:$G$102,{"TRL","TRT"}))</f>
        <v>6.0635027457000001</v>
      </c>
      <c r="I6" s="2" cm="1">
        <f t="array" aca="1" ref="I6" ca="1">SUM(SUMIFS(Assumptions!BI$3:BI$102,Assumptions!$B$3:$B$102,Cars!$C6,Assumptions!$G$3:$G$102,{"TRL","TRT"}))</f>
        <v>109.64643634152003</v>
      </c>
      <c r="J6" s="2" cm="1">
        <f t="array" aca="1" ref="J6" ca="1">SUM(SUMIFS(Assumptions!BJ$3:BJ$102,Assumptions!$B$3:$B$102,Cars!$C6,Assumptions!$G$3:$G$102,{"TRL","TRT"}))</f>
        <v>99.514219838029931</v>
      </c>
      <c r="K6" s="2" cm="1">
        <f t="array" aca="1" ref="K6" ca="1">SUM(SUMIFS(Assumptions!BK$3:BK$102,Assumptions!$B$3:$B$102,Cars!$C6,Assumptions!$G$3:$G$102,{"TRL","TRT"}))</f>
        <v>155.25486451137601</v>
      </c>
      <c r="L6" s="2" cm="1">
        <f t="array" aca="1" ref="L6" ca="1">SUM(SUMIFS(Assumptions!BL$3:BL$102,Assumptions!$B$3:$B$102,Cars!$C6,Assumptions!$G$3:$G$102,{"TRL","TRT"}))</f>
        <v>24.0988063068</v>
      </c>
      <c r="M6" s="2" cm="1">
        <f t="array" aca="1" ref="M6" ca="1">SUM(SUMIFS(Assumptions!BM$3:BM$102,Assumptions!$B$3:$B$102,Cars!$C6,Assumptions!$G$3:$G$102,{"TRL","TRT"}))</f>
        <v>51.639719895360003</v>
      </c>
      <c r="N6" s="2" cm="1">
        <f t="array" aca="1" ref="N6" ca="1">SUM(SUMIFS(Assumptions!BN$3:BN$102,Assumptions!$B$3:$B$102,Cars!$C6,Assumptions!$G$3:$G$102,{"TRL","TRT"}))</f>
        <v>257.28002476776004</v>
      </c>
      <c r="O6" s="2" cm="1">
        <f t="array" aca="1" ref="O6" ca="1">SUM(SUMIFS(Assumptions!BO$3:BO$102,Assumptions!$B$3:$B$102,Cars!$C6,Assumptions!$G$3:$G$102,{"TRL","TRT"}))</f>
        <v>277.854239646</v>
      </c>
      <c r="P6" s="2" cm="1">
        <f t="array" aca="1" ref="P6" ca="1">SUM(SUMIFS(Assumptions!BP$3:BP$102,Assumptions!$B$3:$B$102,Cars!$C6,Assumptions!$G$3:$G$102,{"TRL","TRT"}))</f>
        <v>22.46955160536</v>
      </c>
      <c r="Q6" s="2" cm="1">
        <f t="array" aca="1" ref="Q6" ca="1">SUM(SUMIFS(Assumptions!BQ$3:BQ$102,Assumptions!$B$3:$B$102,Cars!$C6,Assumptions!$G$3:$G$102,{"TRL","TRT"}))</f>
        <v>80.568695010960013</v>
      </c>
      <c r="R6" s="2" cm="1">
        <f t="array" aca="1" ref="R6" ca="1">SUM(SUMIFS(Assumptions!BR$3:BR$102,Assumptions!$B$3:$B$102,Cars!$C6,Assumptions!$G$3:$G$102,{"TRL","TRT"}))</f>
        <v>1.5409190829600004</v>
      </c>
      <c r="S6" s="2" cm="1">
        <f t="array" aca="1" ref="S6" ca="1">SUM(SUMIFS(Assumptions!BS$3:BS$102,Assumptions!$B$3:$B$102,Cars!$C6,Assumptions!$G$3:$G$102,{"TRL","TRT"}))</f>
        <v>456.31104763117503</v>
      </c>
      <c r="T6" s="2" cm="1">
        <f t="array" aca="1" ref="T6" ca="1">SUM(SUMIFS(Assumptions!BT$3:BT$102,Assumptions!$B$3:$B$102,Cars!$C6,Assumptions!$G$3:$G$102,{"TRL","TRT"}))</f>
        <v>24.668927049600001</v>
      </c>
      <c r="U6" s="2" cm="1">
        <f t="array" aca="1" ref="U6" ca="1">SUM(SUMIFS(Assumptions!BU$3:BU$102,Assumptions!$B$3:$B$102,Cars!$C6,Assumptions!$G$3:$G$102,{"TRL","TRT"}))</f>
        <v>180.00899662536003</v>
      </c>
      <c r="V6" s="2" cm="1">
        <f t="array" aca="1" ref="V6" ca="1">SUM(SUMIFS(Assumptions!BV$3:BV$102,Assumptions!$B$3:$B$102,Cars!$C6,Assumptions!$G$3:$G$102,{"TRL","TRT"}))</f>
        <v>45.206913700258198</v>
      </c>
      <c r="W6" s="2" cm="1">
        <f t="array" aca="1" ref="W6" ca="1">SUM(SUMIFS(Assumptions!BW$3:BW$102,Assumptions!$B$3:$B$102,Cars!$C6,Assumptions!$G$3:$G$102,{"TRL","TRT"}))</f>
        <v>102.17369807135569</v>
      </c>
      <c r="X6" s="2" cm="1">
        <f t="array" aca="1" ref="X6" ca="1">SUM(SUMIFS(Assumptions!BX$3:BX$102,Assumptions!$B$3:$B$102,Cars!$C6,Assumptions!$G$3:$G$102,{"TRL","TRT"}))</f>
        <v>149.77659279528001</v>
      </c>
      <c r="Y6" s="2" cm="1">
        <f t="array" aca="1" ref="Y6" ca="1">SUM(SUMIFS(Assumptions!BY$3:BY$102,Assumptions!$B$3:$B$102,Cars!$C6,Assumptions!$G$3:$G$102,{"TRL","TRT"}))</f>
        <v>153.76402375746099</v>
      </c>
      <c r="Z6" s="2" cm="1">
        <f t="array" aca="1" ref="Z6" ca="1">SUM(SUMIFS(Assumptions!BZ$3:BZ$102,Assumptions!$B$3:$B$102,Cars!$C6,Assumptions!$G$3:$G$102,{"TRL","TRT"}))</f>
        <v>17.720032287600002</v>
      </c>
      <c r="AA6" s="2" cm="1">
        <f t="array" aca="1" ref="AA6" ca="1">SUM(SUMIFS(Assumptions!CA$3:CA$102,Assumptions!$B$3:$B$102,Cars!$C6,Assumptions!$G$3:$G$102,{"TRL","TRT"}))</f>
        <v>118.55964284856</v>
      </c>
      <c r="AB6" s="2" cm="1">
        <f t="array" aca="1" ref="AB6" ca="1">SUM(SUMIFS(Assumptions!CB$3:CB$102,Assumptions!$B$3:$B$102,Cars!$C6,Assumptions!$G$3:$G$102,{"TRL","TRT"}))</f>
        <v>321.22971021628803</v>
      </c>
      <c r="AC6" s="2" cm="1">
        <f t="array" aca="1" ref="AC6" ca="1">SUM(SUMIFS(Assumptions!CC$3:CC$102,Assumptions!$B$3:$B$102,Cars!$C6,Assumptions!$G$3:$G$102,{"TRL","TRT"}))</f>
        <v>35.0664764112</v>
      </c>
      <c r="AD6" s="2" cm="1">
        <f t="array" aca="1" ref="AD6" ca="1">SUM(SUMIFS(Assumptions!CD$3:CD$102,Assumptions!$B$3:$B$102,Cars!$C6,Assumptions!$G$3:$G$102,{"TRL","TRT"}))</f>
        <v>85.179872408400001</v>
      </c>
      <c r="AE6" s="2" cm="1">
        <f t="array" aca="1" ref="AE6" ca="1">SUM(SUMIFS(Assumptions!CE$3:CE$102,Assumptions!$B$3:$B$102,Cars!$C6,Assumptions!$G$3:$G$102,{"TRL","TRT"}))</f>
        <v>34.712819089919996</v>
      </c>
      <c r="AF6" s="2" cm="1">
        <f t="array" aca="1" ref="AF6" ca="1">SUM(SUMIFS(Assumptions!CF$3:CF$102,Assumptions!$B$3:$B$102,Cars!$C6,Assumptions!$G$3:$G$102,{"TRL","TRT"}))</f>
        <v>214.8364603476</v>
      </c>
      <c r="AG6" s="2" cm="1">
        <f t="array" aca="1" ref="AG6" ca="1">SUM(SUMIFS(Assumptions!CG$3:CG$102,Assumptions!$B$3:$B$102,Cars!$C6,Assumptions!$G$3:$G$102,{"TRL","TRT"}))</f>
        <v>64.492582947840006</v>
      </c>
      <c r="AH6" s="2" cm="1">
        <f t="array" aca="1" ref="AH6" ca="1">SUM(SUMIFS(Assumptions!CH$3:CH$102,Assumptions!$B$3:$B$102,Cars!$C6,Assumptions!$G$3:$G$102,{"TRL","TRT"}))</f>
        <v>22.763037074400003</v>
      </c>
      <c r="AI6" s="2" cm="1">
        <f t="array" aca="1" ref="AI6" ca="1">SUM(SUMIFS(Assumptions!CI$3:CI$102,Assumptions!$B$3:$B$102,Cars!$C6,Assumptions!$G$3:$G$102,{"TRL","TRT"}))</f>
        <v>82.23504015492</v>
      </c>
      <c r="AJ6" s="2" cm="1">
        <f t="array" aca="1" ref="AJ6" ca="1">SUM(SUMIFS(Assumptions!CJ$3:CJ$102,Assumptions!$B$3:$B$102,Cars!$C6,Assumptions!$G$3:$G$102,{"TRL","TRT"}))</f>
        <v>202.82788644912003</v>
      </c>
      <c r="AK6" s="2" cm="1">
        <f t="array" aca="1" ref="AK6" ca="1">SUM(SUMIFS(Assumptions!CK$3:CK$102,Assumptions!$B$3:$B$102,Cars!$C6,Assumptions!$G$3:$G$102,{"TRL","TRT"}))</f>
        <v>9.0897201109800001</v>
      </c>
      <c r="AL6" s="2" cm="1">
        <f t="array" aca="1" ref="AL6" ca="1">SUM(SUMIFS(Assumptions!CL$3:CL$102,Assumptions!$B$3:$B$102,Cars!$C6,Assumptions!$G$3:$G$102,{"TRL","TRT"}))</f>
        <v>37.544119981199998</v>
      </c>
      <c r="AM6" s="2" cm="1">
        <f t="array" aca="1" ref="AM6" ca="1">SUM(SUMIFS(Assumptions!CM$3:CM$102,Assumptions!$B$3:$B$102,Cars!$C6,Assumptions!$G$3:$G$102,{"TRL","TRT"}))</f>
        <v>0</v>
      </c>
      <c r="AN6" s="2" cm="1">
        <f t="array" aca="1" ref="AN6" ca="1">SUM(SUMIFS(Assumptions!CN$3:CN$102,Assumptions!$B$3:$B$102,Cars!$C6,Assumptions!$G$3:$G$102,{"TRL","TRT"}))</f>
        <v>0</v>
      </c>
      <c r="AO6" s="2" cm="1">
        <f t="array" aca="1" ref="AO6" ca="1">SUM(SUMIFS(Assumptions!CO$3:CO$102,Assumptions!$B$3:$B$102,Cars!$C6,Assumptions!$G$3:$G$102,{"TRL","TRT"}))</f>
        <v>0</v>
      </c>
      <c r="AP6" s="2" cm="1">
        <f t="array" aca="1" ref="AP6" ca="1">SUM(SUMIFS(Assumptions!CP$3:CP$102,Assumptions!$B$3:$B$102,Cars!$C6,Assumptions!$G$3:$G$102,{"TRL","TRT"}))</f>
        <v>0</v>
      </c>
      <c r="AQ6" s="2" cm="1">
        <f t="array" aca="1" ref="AQ6" ca="1">SUM(SUMIFS(Assumptions!CQ$3:CQ$102,Assumptions!$B$3:$B$102,Cars!$C6,Assumptions!$G$3:$G$102,{"TRL","TRT"}))</f>
        <v>0</v>
      </c>
      <c r="AR6" s="2" cm="1">
        <f t="array" aca="1" ref="AR6" ca="1">SUM(SUMIFS(Assumptions!CR$3:CR$102,Assumptions!$B$3:$B$102,Cars!$C6,Assumptions!$G$3:$G$102,{"TRL","TRT"}))</f>
        <v>0</v>
      </c>
      <c r="AS6" s="2" cm="1">
        <f t="array" aca="1" ref="AS6" ca="1">SUM(SUMIFS(Assumptions!CS$3:CS$102,Assumptions!$B$3:$B$102,Cars!$C6,Assumptions!$G$3:$G$102,{"TRL","TRT"}))</f>
        <v>0</v>
      </c>
      <c r="AT6" s="2" cm="1">
        <f t="array" aca="1" ref="AT6" ca="1">SUM(SUMIFS(Assumptions!CT$3:CT$102,Assumptions!$B$3:$B$102,Cars!$C6,Assumptions!$G$3:$G$102,{"TRL","TRT"}))</f>
        <v>0</v>
      </c>
      <c r="AU6" s="2" cm="1">
        <f t="array" aca="1" ref="AU6" ca="1">SUM(SUMIFS(Assumptions!CU$3:CU$102,Assumptions!$B$3:$B$102,Cars!$C6,Assumptions!$G$3:$G$102,{"TRL","TRT"}))</f>
        <v>0</v>
      </c>
      <c r="AV6" s="2" cm="1">
        <f t="array" aca="1" ref="AV6" ca="1">SUM(SUMIFS(Assumptions!CV$3:CV$102,Assumptions!$B$3:$B$102,Cars!$C6,Assumptions!$G$3:$G$102,{"TRL","TRT"}))</f>
        <v>0</v>
      </c>
      <c r="AW6" s="2" cm="1">
        <f t="array" aca="1" ref="AW6" ca="1">SUM(SUMIFS(Assumptions!CW$3:CW$102,Assumptions!$B$3:$B$102,Cars!$C6,Assumptions!$G$3:$G$102,{"TRL","TRT"}))</f>
        <v>0</v>
      </c>
      <c r="AY6" s="2" t="s">
        <v>169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SUM(SUMIFS(Assumptions!BD$3:BD$102,Assumptions!$B$3:$B$102,Cars!$C7,Assumptions!$G$3:$G$102,{"TRL","TRT"}))</f>
        <v>0</v>
      </c>
      <c r="E7" s="2" cm="1">
        <f t="array" aca="1" ref="E7" ca="1">SUM(SUMIFS(Assumptions!BE$3:BE$102,Assumptions!$B$3:$B$102,Cars!$C7,Assumptions!$G$3:$G$102,{"TRL","TRT"}))</f>
        <v>0</v>
      </c>
      <c r="F7" s="2" cm="1">
        <f t="array" aca="1" ref="F7" ca="1">SUM(SUMIFS(Assumptions!BF$3:BF$102,Assumptions!$B$3:$B$102,Cars!$C7,Assumptions!$G$3:$G$102,{"TRL","TRT"}))</f>
        <v>8.6398804800000006E-2</v>
      </c>
      <c r="G7" s="2" cm="1">
        <f t="array" aca="1" ref="G7" ca="1">SUM(SUMIFS(Assumptions!BG$3:BG$102,Assumptions!$B$3:$B$102,Cars!$C7,Assumptions!$G$3:$G$102,{"TRL","TRT"}))</f>
        <v>5.135528880000001E-2</v>
      </c>
      <c r="H7" s="2" cm="1">
        <f t="array" aca="1" ref="H7" ca="1">SUM(SUMIFS(Assumptions!BH$3:BH$102,Assumptions!$B$3:$B$102,Cars!$C7,Assumptions!$G$3:$G$102,{"TRL","TRT"}))</f>
        <v>0</v>
      </c>
      <c r="I7" s="2" cm="1">
        <f t="array" aca="1" ref="I7" ca="1">SUM(SUMIFS(Assumptions!BI$3:BI$102,Assumptions!$B$3:$B$102,Cars!$C7,Assumptions!$G$3:$G$102,{"TRL","TRT"}))</f>
        <v>2.3190266519999998</v>
      </c>
      <c r="J7" s="2" cm="1">
        <f t="array" aca="1" ref="J7" ca="1">SUM(SUMIFS(Assumptions!BJ$3:BJ$102,Assumptions!$B$3:$B$102,Cars!$C7,Assumptions!$G$3:$G$102,{"TRL","TRT"}))</f>
        <v>0</v>
      </c>
      <c r="K7" s="2" cm="1">
        <f t="array" aca="1" ref="K7" ca="1">SUM(SUMIFS(Assumptions!BK$3:BK$102,Assumptions!$B$3:$B$102,Cars!$C7,Assumptions!$G$3:$G$102,{"TRL","TRT"}))</f>
        <v>196.29041093856</v>
      </c>
      <c r="L7" s="2" cm="1">
        <f t="array" aca="1" ref="L7" ca="1">SUM(SUMIFS(Assumptions!BL$3:BL$102,Assumptions!$B$3:$B$102,Cars!$C7,Assumptions!$G$3:$G$102,{"TRL","TRT"}))</f>
        <v>0</v>
      </c>
      <c r="M7" s="2" cm="1">
        <f t="array" aca="1" ref="M7" ca="1">SUM(SUMIFS(Assumptions!BM$3:BM$102,Assumptions!$B$3:$B$102,Cars!$C7,Assumptions!$G$3:$G$102,{"TRL","TRT"}))</f>
        <v>0</v>
      </c>
      <c r="N7" s="2" cm="1">
        <f t="array" aca="1" ref="N7" ca="1">SUM(SUMIFS(Assumptions!BN$3:BN$102,Assumptions!$B$3:$B$102,Cars!$C7,Assumptions!$G$3:$G$102,{"TRL","TRT"}))</f>
        <v>1.1790573084</v>
      </c>
      <c r="O7" s="2" cm="1">
        <f t="array" aca="1" ref="O7" ca="1">SUM(SUMIFS(Assumptions!BO$3:BO$102,Assumptions!$B$3:$B$102,Cars!$C7,Assumptions!$G$3:$G$102,{"TRL","TRT"}))</f>
        <v>1.2096000144000001</v>
      </c>
      <c r="P7" s="2" cm="1">
        <f t="array" aca="1" ref="P7" ca="1">SUM(SUMIFS(Assumptions!BP$3:BP$102,Assumptions!$B$3:$B$102,Cars!$C7,Assumptions!$G$3:$G$102,{"TRL","TRT"}))</f>
        <v>7.3859338800000007E-2</v>
      </c>
      <c r="Q7" s="2" cm="1">
        <f t="array" aca="1" ref="Q7" ca="1">SUM(SUMIFS(Assumptions!BQ$3:BQ$102,Assumptions!$B$3:$B$102,Cars!$C7,Assumptions!$G$3:$G$102,{"TRL","TRT"}))</f>
        <v>0</v>
      </c>
      <c r="R7" s="2" cm="1">
        <f t="array" aca="1" ref="R7" ca="1">SUM(SUMIFS(Assumptions!BR$3:BR$102,Assumptions!$B$3:$B$102,Cars!$C7,Assumptions!$G$3:$G$102,{"TRL","TRT"}))</f>
        <v>8.1198799200000005E-2</v>
      </c>
      <c r="S7" s="2" cm="1">
        <f t="array" aca="1" ref="S7" ca="1">SUM(SUMIFS(Assumptions!BS$3:BS$102,Assumptions!$B$3:$B$102,Cars!$C7,Assumptions!$G$3:$G$102,{"TRL","TRT"}))</f>
        <v>0</v>
      </c>
      <c r="T7" s="2" cm="1">
        <f t="array" aca="1" ref="T7" ca="1">SUM(SUMIFS(Assumptions!BT$3:BT$102,Assumptions!$B$3:$B$102,Cars!$C7,Assumptions!$G$3:$G$102,{"TRL","TRT"}))</f>
        <v>9.7590121200000005E-2</v>
      </c>
      <c r="U7" s="2" cm="1">
        <f t="array" aca="1" ref="U7" ca="1">SUM(SUMIFS(Assumptions!BU$3:BU$102,Assumptions!$B$3:$B$102,Cars!$C7,Assumptions!$G$3:$G$102,{"TRL","TRT"}))</f>
        <v>0.4974462684</v>
      </c>
      <c r="V7" s="2" cm="1">
        <f t="array" aca="1" ref="V7" ca="1">SUM(SUMIFS(Assumptions!BV$3:BV$102,Assumptions!$B$3:$B$102,Cars!$C7,Assumptions!$G$3:$G$102,{"TRL","TRT"}))</f>
        <v>0</v>
      </c>
      <c r="W7" s="2" cm="1">
        <f t="array" aca="1" ref="W7" ca="1">SUM(SUMIFS(Assumptions!BW$3:BW$102,Assumptions!$B$3:$B$102,Cars!$C7,Assumptions!$G$3:$G$102,{"TRL","TRT"}))</f>
        <v>1.4705548848000001</v>
      </c>
      <c r="X7" s="2" cm="1">
        <f t="array" aca="1" ref="X7" ca="1">SUM(SUMIFS(Assumptions!BX$3:BX$102,Assumptions!$B$3:$B$102,Cars!$C7,Assumptions!$G$3:$G$102,{"TRL","TRT"}))</f>
        <v>0</v>
      </c>
      <c r="Y7" s="2" cm="1">
        <f t="array" aca="1" ref="Y7" ca="1">SUM(SUMIFS(Assumptions!BY$3:BY$102,Assumptions!$B$3:$B$102,Cars!$C7,Assumptions!$G$3:$G$102,{"TRL","TRT"}))</f>
        <v>28.044513615599996</v>
      </c>
      <c r="Z7" s="2" cm="1">
        <f t="array" aca="1" ref="Z7" ca="1">SUM(SUMIFS(Assumptions!BZ$3:BZ$102,Assumptions!$B$3:$B$102,Cars!$C7,Assumptions!$G$3:$G$102,{"TRL","TRT"}))</f>
        <v>3.0923997875999998</v>
      </c>
      <c r="AA7" s="2" cm="1">
        <f t="array" aca="1" ref="AA7" ca="1">SUM(SUMIFS(Assumptions!CA$3:CA$102,Assumptions!$B$3:$B$102,Cars!$C7,Assumptions!$G$3:$G$102,{"TRL","TRT"}))</f>
        <v>0</v>
      </c>
      <c r="AB7" s="2" cm="1">
        <f t="array" aca="1" ref="AB7" ca="1">SUM(SUMIFS(Assumptions!CB$3:CB$102,Assumptions!$B$3:$B$102,Cars!$C7,Assumptions!$G$3:$G$102,{"TRL","TRT"}))</f>
        <v>1.7672650271999999</v>
      </c>
      <c r="AC7" s="2" cm="1">
        <f t="array" aca="1" ref="AC7" ca="1">SUM(SUMIFS(Assumptions!CC$3:CC$102,Assumptions!$B$3:$B$102,Cars!$C7,Assumptions!$G$3:$G$102,{"TRL","TRT"}))</f>
        <v>0</v>
      </c>
      <c r="AD7" s="2" cm="1">
        <f t="array" aca="1" ref="AD7" ca="1">SUM(SUMIFS(Assumptions!CD$3:CD$102,Assumptions!$B$3:$B$102,Cars!$C7,Assumptions!$G$3:$G$102,{"TRL","TRT"}))</f>
        <v>0</v>
      </c>
      <c r="AE7" s="2" cm="1">
        <f t="array" aca="1" ref="AE7" ca="1">SUM(SUMIFS(Assumptions!CE$3:CE$102,Assumptions!$B$3:$B$102,Cars!$C7,Assumptions!$G$3:$G$102,{"TRL","TRT"}))</f>
        <v>0</v>
      </c>
      <c r="AF7" s="2" cm="1">
        <f t="array" aca="1" ref="AF7" ca="1">SUM(SUMIFS(Assumptions!CF$3:CF$102,Assumptions!$B$3:$B$102,Cars!$C7,Assumptions!$G$3:$G$102,{"TRL","TRT"}))</f>
        <v>0.60042061440000005</v>
      </c>
      <c r="AG7" s="2" cm="1">
        <f t="array" aca="1" ref="AG7" ca="1">SUM(SUMIFS(Assumptions!CG$3:CG$102,Assumptions!$B$3:$B$102,Cars!$C7,Assumptions!$G$3:$G$102,{"TRL","TRT"}))</f>
        <v>1.3584365676000001</v>
      </c>
      <c r="AH7" s="2" cm="1">
        <f t="array" aca="1" ref="AH7" ca="1">SUM(SUMIFS(Assumptions!CH$3:CH$102,Assumptions!$B$3:$B$102,Cars!$C7,Assumptions!$G$3:$G$102,{"TRL","TRT"}))</f>
        <v>0</v>
      </c>
      <c r="AI7" s="2" cm="1">
        <f t="array" aca="1" ref="AI7" ca="1">SUM(SUMIFS(Assumptions!CI$3:CI$102,Assumptions!$B$3:$B$102,Cars!$C7,Assumptions!$G$3:$G$102,{"TRL","TRT"}))</f>
        <v>0</v>
      </c>
      <c r="AJ7" s="2" cm="1">
        <f t="array" aca="1" ref="AJ7" ca="1">SUM(SUMIFS(Assumptions!CJ$3:CJ$102,Assumptions!$B$3:$B$102,Cars!$C7,Assumptions!$G$3:$G$102,{"TRL","TRT"}))</f>
        <v>1.31936535</v>
      </c>
      <c r="AK7" s="2" cm="1">
        <f t="array" aca="1" ref="AK7" ca="1">SUM(SUMIFS(Assumptions!CK$3:CK$102,Assumptions!$B$3:$B$102,Cars!$C7,Assumptions!$G$3:$G$102,{"TRL","TRT"}))</f>
        <v>0</v>
      </c>
      <c r="AL7" s="2" cm="1">
        <f t="array" aca="1" ref="AL7" ca="1">SUM(SUMIFS(Assumptions!CL$3:CL$102,Assumptions!$B$3:$B$102,Cars!$C7,Assumptions!$G$3:$G$102,{"TRL","TRT"}))</f>
        <v>0</v>
      </c>
      <c r="AM7" s="2" cm="1">
        <f t="array" aca="1" ref="AM7" ca="1">SUM(SUMIFS(Assumptions!CM$3:CM$102,Assumptions!$B$3:$B$102,Cars!$C7,Assumptions!$G$3:$G$102,{"TRL","TRT"}))</f>
        <v>0</v>
      </c>
      <c r="AN7" s="2" cm="1">
        <f t="array" aca="1" ref="AN7" ca="1">SUM(SUMIFS(Assumptions!CN$3:CN$102,Assumptions!$B$3:$B$102,Cars!$C7,Assumptions!$G$3:$G$102,{"TRL","TRT"}))</f>
        <v>0</v>
      </c>
      <c r="AO7" s="2" cm="1">
        <f t="array" aca="1" ref="AO7" ca="1">SUM(SUMIFS(Assumptions!CO$3:CO$102,Assumptions!$B$3:$B$102,Cars!$C7,Assumptions!$G$3:$G$102,{"TRL","TRT"}))</f>
        <v>0</v>
      </c>
      <c r="AP7" s="2" cm="1">
        <f t="array" aca="1" ref="AP7" ca="1">SUM(SUMIFS(Assumptions!CP$3:CP$102,Assumptions!$B$3:$B$102,Cars!$C7,Assumptions!$G$3:$G$102,{"TRL","TRT"}))</f>
        <v>0</v>
      </c>
      <c r="AQ7" s="2" cm="1">
        <f t="array" aca="1" ref="AQ7" ca="1">SUM(SUMIFS(Assumptions!CQ$3:CQ$102,Assumptions!$B$3:$B$102,Cars!$C7,Assumptions!$G$3:$G$102,{"TRL","TRT"}))</f>
        <v>0</v>
      </c>
      <c r="AR7" s="2" cm="1">
        <f t="array" aca="1" ref="AR7" ca="1">SUM(SUMIFS(Assumptions!CR$3:CR$102,Assumptions!$B$3:$B$102,Cars!$C7,Assumptions!$G$3:$G$102,{"TRL","TRT"}))</f>
        <v>0</v>
      </c>
      <c r="AS7" s="2" cm="1">
        <f t="array" aca="1" ref="AS7" ca="1">SUM(SUMIFS(Assumptions!CS$3:CS$102,Assumptions!$B$3:$B$102,Cars!$C7,Assumptions!$G$3:$G$102,{"TRL","TRT"}))</f>
        <v>0</v>
      </c>
      <c r="AT7" s="2" cm="1">
        <f t="array" aca="1" ref="AT7" ca="1">SUM(SUMIFS(Assumptions!CT$3:CT$102,Assumptions!$B$3:$B$102,Cars!$C7,Assumptions!$G$3:$G$102,{"TRL","TRT"}))</f>
        <v>0</v>
      </c>
      <c r="AU7" s="2" cm="1">
        <f t="array" aca="1" ref="AU7" ca="1">SUM(SUMIFS(Assumptions!CU$3:CU$102,Assumptions!$B$3:$B$102,Cars!$C7,Assumptions!$G$3:$G$102,{"TRL","TRT"}))</f>
        <v>0</v>
      </c>
      <c r="AV7" s="2" cm="1">
        <f t="array" aca="1" ref="AV7" ca="1">SUM(SUMIFS(Assumptions!CV$3:CV$102,Assumptions!$B$3:$B$102,Cars!$C7,Assumptions!$G$3:$G$102,{"TRL","TRT"}))</f>
        <v>0</v>
      </c>
      <c r="AW7" s="2" cm="1">
        <f t="array" aca="1" ref="AW7" ca="1">SUM(SUMIFS(Assumptions!CW$3:CW$102,Assumptions!$B$3:$B$102,Cars!$C7,Assumptions!$G$3:$G$102,{"TRL","TRT"}))</f>
        <v>0</v>
      </c>
      <c r="AY7" s="2" t="s">
        <v>169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SUM(SUMIFS(Assumptions!BD$3:BD$102,Assumptions!$B$3:$B$102,Cars!$C8,Assumptions!$G$3:$G$102,{"TRL","TRT"}))</f>
        <v>393.61866156162</v>
      </c>
      <c r="E8" s="2" cm="1">
        <f t="array" aca="1" ref="E8" ca="1">SUM(SUMIFS(Assumptions!BE$3:BE$102,Assumptions!$B$3:$B$102,Cars!$C8,Assumptions!$G$3:$G$102,{"TRL","TRT"}))</f>
        <v>683.51369734692003</v>
      </c>
      <c r="F8" s="2" cm="1">
        <f t="array" aca="1" ref="F8" ca="1">SUM(SUMIFS(Assumptions!BF$3:BF$102,Assumptions!$B$3:$B$102,Cars!$C8,Assumptions!$G$3:$G$102,{"TRL","TRT"}))</f>
        <v>501.7890592398096</v>
      </c>
      <c r="G8" s="2" cm="1">
        <f t="array" aca="1" ref="G8" ca="1">SUM(SUMIFS(Assumptions!BG$3:BG$102,Assumptions!$B$3:$B$102,Cars!$C8,Assumptions!$G$3:$G$102,{"TRL","TRT"}))</f>
        <v>66.495176974171443</v>
      </c>
      <c r="H8" s="2" cm="1">
        <f t="array" aca="1" ref="H8" ca="1">SUM(SUMIFS(Assumptions!BH$3:BH$102,Assumptions!$B$3:$B$102,Cars!$C8,Assumptions!$G$3:$G$102,{"TRL","TRT"}))</f>
        <v>19.836321581815199</v>
      </c>
      <c r="I8" s="2" cm="1">
        <f t="array" aca="1" ref="I8" ca="1">SUM(SUMIFS(Assumptions!BI$3:BI$102,Assumptions!$B$3:$B$102,Cars!$C8,Assumptions!$G$3:$G$102,{"TRL","TRT"}))</f>
        <v>257.27593035913162</v>
      </c>
      <c r="J8" s="2" cm="1">
        <f t="array" aca="1" ref="J8" ca="1">SUM(SUMIFS(Assumptions!BJ$3:BJ$102,Assumptions!$B$3:$B$102,Cars!$C8,Assumptions!$G$3:$G$102,{"TRL","TRT"}))</f>
        <v>792.19638321480716</v>
      </c>
      <c r="K8" s="2" cm="1">
        <f t="array" aca="1" ref="K8" ca="1">SUM(SUMIFS(Assumptions!BK$3:BK$102,Assumptions!$B$3:$B$102,Cars!$C8,Assumptions!$G$3:$G$102,{"TRL","TRT"}))</f>
        <v>3781.1936845141199</v>
      </c>
      <c r="L8" s="2" cm="1">
        <f t="array" aca="1" ref="L8" ca="1">SUM(SUMIFS(Assumptions!BL$3:BL$102,Assumptions!$B$3:$B$102,Cars!$C8,Assumptions!$G$3:$G$102,{"TRL","TRT"}))</f>
        <v>33.15037611196081</v>
      </c>
      <c r="M8" s="2" cm="1">
        <f t="array" aca="1" ref="M8" ca="1">SUM(SUMIFS(Assumptions!BM$3:BM$102,Assumptions!$B$3:$B$102,Cars!$C8,Assumptions!$G$3:$G$102,{"TRL","TRT"}))</f>
        <v>78.58620225439202</v>
      </c>
      <c r="N8" s="2" cm="1">
        <f t="array" aca="1" ref="N8" ca="1">SUM(SUMIFS(Assumptions!BN$3:BN$102,Assumptions!$B$3:$B$102,Cars!$C8,Assumptions!$G$3:$G$102,{"TRL","TRT"}))</f>
        <v>316.03783557908622</v>
      </c>
      <c r="O8" s="2" cm="1">
        <f t="array" aca="1" ref="O8" ca="1">SUM(SUMIFS(Assumptions!BO$3:BO$102,Assumptions!$B$3:$B$102,Cars!$C8,Assumptions!$G$3:$G$102,{"TRL","TRT"}))</f>
        <v>693.92430338374038</v>
      </c>
      <c r="P8" s="2" cm="1">
        <f t="array" aca="1" ref="P8" ca="1">SUM(SUMIFS(Assumptions!BP$3:BP$102,Assumptions!$B$3:$B$102,Cars!$C8,Assumptions!$G$3:$G$102,{"TRL","TRT"}))</f>
        <v>108.5286100348098</v>
      </c>
      <c r="Q8" s="2" cm="1">
        <f t="array" aca="1" ref="Q8" ca="1">SUM(SUMIFS(Assumptions!BQ$3:BQ$102,Assumptions!$B$3:$B$102,Cars!$C8,Assumptions!$G$3:$G$102,{"TRL","TRT"}))</f>
        <v>122.48115512582879</v>
      </c>
      <c r="R8" s="2" cm="1">
        <f t="array" aca="1" ref="R8" ca="1">SUM(SUMIFS(Assumptions!BR$3:BR$102,Assumptions!$B$3:$B$102,Cars!$C8,Assumptions!$G$3:$G$102,{"TRL","TRT"}))</f>
        <v>5.0173149676042792</v>
      </c>
      <c r="S8" s="2" cm="1">
        <f t="array" aca="1" ref="S8" ca="1">SUM(SUMIFS(Assumptions!BS$3:BS$102,Assumptions!$B$3:$B$102,Cars!$C8,Assumptions!$G$3:$G$102,{"TRL","TRT"}))</f>
        <v>671.44000070519996</v>
      </c>
      <c r="T8" s="2" cm="1">
        <f t="array" aca="1" ref="T8" ca="1">SUM(SUMIFS(Assumptions!BT$3:BT$102,Assumptions!$B$3:$B$102,Cars!$C8,Assumptions!$G$3:$G$102,{"TRL","TRT"}))</f>
        <v>30.953045196041757</v>
      </c>
      <c r="U8" s="2" cm="1">
        <f t="array" aca="1" ref="U8" ca="1">SUM(SUMIFS(Assumptions!BU$3:BU$102,Assumptions!$B$3:$B$102,Cars!$C8,Assumptions!$G$3:$G$102,{"TRL","TRT"}))</f>
        <v>313.51848937261377</v>
      </c>
      <c r="V8" s="2" cm="1">
        <f t="array" aca="1" ref="V8" ca="1">SUM(SUMIFS(Assumptions!BV$3:BV$102,Assumptions!$B$3:$B$102,Cars!$C8,Assumptions!$G$3:$G$102,{"TRL","TRT"}))</f>
        <v>1404.6931398375827</v>
      </c>
      <c r="W8" s="2" cm="1">
        <f t="array" aca="1" ref="W8" ca="1">SUM(SUMIFS(Assumptions!BW$3:BW$102,Assumptions!$B$3:$B$102,Cars!$C8,Assumptions!$G$3:$G$102,{"TRL","TRT"}))</f>
        <v>1506.2713235684857</v>
      </c>
      <c r="X8" s="2" cm="1">
        <f t="array" aca="1" ref="X8" ca="1">SUM(SUMIFS(Assumptions!BX$3:BX$102,Assumptions!$B$3:$B$102,Cars!$C8,Assumptions!$G$3:$G$102,{"TRL","TRT"}))</f>
        <v>1602.1846249752421</v>
      </c>
      <c r="Y8" s="2" cm="1">
        <f t="array" aca="1" ref="Y8" ca="1">SUM(SUMIFS(Assumptions!BY$3:BY$102,Assumptions!$B$3:$B$102,Cars!$C8,Assumptions!$G$3:$G$102,{"TRL","TRT"}))</f>
        <v>14648.443848785919</v>
      </c>
      <c r="Z8" s="2" cm="1">
        <f t="array" aca="1" ref="Z8" ca="1">SUM(SUMIFS(Assumptions!BZ$3:BZ$102,Assumptions!$B$3:$B$102,Cars!$C8,Assumptions!$G$3:$G$102,{"TRL","TRT"}))</f>
        <v>26.788403629888556</v>
      </c>
      <c r="AA8" s="2" cm="1">
        <f t="array" aca="1" ref="AA8" ca="1">SUM(SUMIFS(Assumptions!CA$3:CA$102,Assumptions!$B$3:$B$102,Cars!$C8,Assumptions!$G$3:$G$102,{"TRL","TRT"}))</f>
        <v>171.38749763761922</v>
      </c>
      <c r="AB8" s="2" cm="1">
        <f t="array" aca="1" ref="AB8" ca="1">SUM(SUMIFS(Assumptions!CB$3:CB$102,Assumptions!$B$3:$B$102,Cars!$C8,Assumptions!$G$3:$G$102,{"TRL","TRT"}))</f>
        <v>2487.65358203604</v>
      </c>
      <c r="AC8" s="2" cm="1">
        <f t="array" aca="1" ref="AC8" ca="1">SUM(SUMIFS(Assumptions!CC$3:CC$102,Assumptions!$B$3:$B$102,Cars!$C8,Assumptions!$G$3:$G$102,{"TRL","TRT"}))</f>
        <v>1061.2193356677531</v>
      </c>
      <c r="AD8" s="2" cm="1">
        <f t="array" aca="1" ref="AD8" ca="1">SUM(SUMIFS(Assumptions!CD$3:CD$102,Assumptions!$B$3:$B$102,Cars!$C8,Assumptions!$G$3:$G$102,{"TRL","TRT"}))</f>
        <v>692.15269723402321</v>
      </c>
      <c r="AE8" s="2" cm="1">
        <f t="array" aca="1" ref="AE8" ca="1">SUM(SUMIFS(Assumptions!CE$3:CE$102,Assumptions!$B$3:$B$102,Cars!$C8,Assumptions!$G$3:$G$102,{"TRL","TRT"}))</f>
        <v>174.11594667192</v>
      </c>
      <c r="AF8" s="2" cm="1">
        <f t="array" aca="1" ref="AF8" ca="1">SUM(SUMIFS(Assumptions!CF$3:CF$102,Assumptions!$B$3:$B$102,Cars!$C8,Assumptions!$G$3:$G$102,{"TRL","TRT"}))</f>
        <v>260.37448592299057</v>
      </c>
      <c r="AG8" s="2" cm="1">
        <f t="array" aca="1" ref="AG8" ca="1">SUM(SUMIFS(Assumptions!CG$3:CG$102,Assumptions!$B$3:$B$102,Cars!$C8,Assumptions!$G$3:$G$102,{"TRL","TRT"}))</f>
        <v>182.61360030406681</v>
      </c>
      <c r="AH8" s="2" cm="1">
        <f t="array" aca="1" ref="AH8" ca="1">SUM(SUMIFS(Assumptions!CH$3:CH$102,Assumptions!$B$3:$B$102,Cars!$C8,Assumptions!$G$3:$G$102,{"TRL","TRT"}))</f>
        <v>95.908342503477229</v>
      </c>
      <c r="AI8" s="2" cm="1">
        <f t="array" aca="1" ref="AI8" ca="1">SUM(SUMIFS(Assumptions!CI$3:CI$102,Assumptions!$B$3:$B$102,Cars!$C8,Assumptions!$G$3:$G$102,{"TRL","TRT"}))</f>
        <v>67.430131140657593</v>
      </c>
      <c r="AJ8" s="2" cm="1">
        <f t="array" aca="1" ref="AJ8" ca="1">SUM(SUMIFS(Assumptions!CJ$3:CJ$102,Assumptions!$B$3:$B$102,Cars!$C8,Assumptions!$G$3:$G$102,{"TRL","TRT"}))</f>
        <v>494.92989886346419</v>
      </c>
      <c r="AK8" s="2" cm="1">
        <f t="array" aca="1" ref="AK8" ca="1">SUM(SUMIFS(Assumptions!CK$3:CK$102,Assumptions!$B$3:$B$102,Cars!$C8,Assumptions!$G$3:$G$102,{"TRL","TRT"}))</f>
        <v>52.925230512604799</v>
      </c>
      <c r="AL8" s="2" cm="1">
        <f t="array" aca="1" ref="AL8" ca="1">SUM(SUMIFS(Assumptions!CL$3:CL$102,Assumptions!$B$3:$B$102,Cars!$C8,Assumptions!$G$3:$G$102,{"TRL","TRT"}))</f>
        <v>34.503144003568799</v>
      </c>
      <c r="AM8" s="2" cm="1">
        <f t="array" aca="1" ref="AM8" ca="1">SUM(SUMIFS(Assumptions!CM$3:CM$102,Assumptions!$B$3:$B$102,Cars!$C8,Assumptions!$G$3:$G$102,{"TRL","TRT"}))</f>
        <v>0</v>
      </c>
      <c r="AN8" s="2" cm="1">
        <f t="array" aca="1" ref="AN8" ca="1">SUM(SUMIFS(Assumptions!CN$3:CN$102,Assumptions!$B$3:$B$102,Cars!$C8,Assumptions!$G$3:$G$102,{"TRL","TRT"}))</f>
        <v>0</v>
      </c>
      <c r="AO8" s="2" cm="1">
        <f t="array" aca="1" ref="AO8" ca="1">SUM(SUMIFS(Assumptions!CO$3:CO$102,Assumptions!$B$3:$B$102,Cars!$C8,Assumptions!$G$3:$G$102,{"TRL","TRT"}))</f>
        <v>0</v>
      </c>
      <c r="AP8" s="2" cm="1">
        <f t="array" aca="1" ref="AP8" ca="1">SUM(SUMIFS(Assumptions!CP$3:CP$102,Assumptions!$B$3:$B$102,Cars!$C8,Assumptions!$G$3:$G$102,{"TRL","TRT"}))</f>
        <v>0</v>
      </c>
      <c r="AQ8" s="2" cm="1">
        <f t="array" aca="1" ref="AQ8" ca="1">SUM(SUMIFS(Assumptions!CQ$3:CQ$102,Assumptions!$B$3:$B$102,Cars!$C8,Assumptions!$G$3:$G$102,{"TRL","TRT"}))</f>
        <v>0</v>
      </c>
      <c r="AR8" s="2" cm="1">
        <f t="array" aca="1" ref="AR8" ca="1">SUM(SUMIFS(Assumptions!CR$3:CR$102,Assumptions!$B$3:$B$102,Cars!$C8,Assumptions!$G$3:$G$102,{"TRL","TRT"}))</f>
        <v>0</v>
      </c>
      <c r="AS8" s="2" cm="1">
        <f t="array" aca="1" ref="AS8" ca="1">SUM(SUMIFS(Assumptions!CS$3:CS$102,Assumptions!$B$3:$B$102,Cars!$C8,Assumptions!$G$3:$G$102,{"TRL","TRT"}))</f>
        <v>0</v>
      </c>
      <c r="AT8" s="2" cm="1">
        <f t="array" aca="1" ref="AT8" ca="1">SUM(SUMIFS(Assumptions!CT$3:CT$102,Assumptions!$B$3:$B$102,Cars!$C8,Assumptions!$G$3:$G$102,{"TRL","TRT"}))</f>
        <v>0</v>
      </c>
      <c r="AU8" s="2" cm="1">
        <f t="array" aca="1" ref="AU8" ca="1">SUM(SUMIFS(Assumptions!CU$3:CU$102,Assumptions!$B$3:$B$102,Cars!$C8,Assumptions!$G$3:$G$102,{"TRL","TRT"}))</f>
        <v>0</v>
      </c>
      <c r="AV8" s="2" cm="1">
        <f t="array" aca="1" ref="AV8" ca="1">SUM(SUMIFS(Assumptions!CV$3:CV$102,Assumptions!$B$3:$B$102,Cars!$C8,Assumptions!$G$3:$G$102,{"TRL","TRT"}))</f>
        <v>0</v>
      </c>
      <c r="AW8" s="2" cm="1">
        <f t="array" aca="1" ref="AW8" ca="1">SUM(SUMIFS(Assumptions!CW$3:CW$102,Assumptions!$B$3:$B$102,Cars!$C8,Assumptions!$G$3:$G$102,{"TRL","TRT"}))</f>
        <v>0</v>
      </c>
      <c r="AY8" s="2" t="s">
        <v>169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SUM(SUMIFS(Assumptions!BD$3:BD$102,Assumptions!$B$3:$B$102,Cars!$C9,Assumptions!$G$3:$G$102,{"TRL","TRT"}))</f>
        <v>25.763995475279994</v>
      </c>
      <c r="E9" s="2" cm="1">
        <f t="array" aca="1" ref="E9" ca="1">SUM(SUMIFS(Assumptions!BE$3:BE$102,Assumptions!$B$3:$B$102,Cars!$C9,Assumptions!$G$3:$G$102,{"TRL","TRT"}))</f>
        <v>1.4786102879999999E-2</v>
      </c>
      <c r="F9" s="2" cm="1">
        <f t="array" aca="1" ref="F9" ca="1">SUM(SUMIFS(Assumptions!BF$3:BF$102,Assumptions!$B$3:$B$102,Cars!$C9,Assumptions!$G$3:$G$102,{"TRL","TRT"}))</f>
        <v>3.8019399237</v>
      </c>
      <c r="G9" s="2" cm="1">
        <f t="array" aca="1" ref="G9" ca="1">SUM(SUMIFS(Assumptions!BG$3:BG$102,Assumptions!$B$3:$B$102,Cars!$C9,Assumptions!$G$3:$G$102,{"TRL","TRT"}))</f>
        <v>0.1645318197</v>
      </c>
      <c r="H9" s="2" cm="1">
        <f t="array" aca="1" ref="H9" ca="1">SUM(SUMIFS(Assumptions!BH$3:BH$102,Assumptions!$B$3:$B$102,Cars!$C9,Assumptions!$G$3:$G$102,{"TRL","TRT"}))</f>
        <v>3.9434081694479999</v>
      </c>
      <c r="I9" s="2" cm="1">
        <f t="array" aca="1" ref="I9" ca="1">SUM(SUMIFS(Assumptions!BI$3:BI$102,Assumptions!$B$3:$B$102,Cars!$C9,Assumptions!$G$3:$G$102,{"TRL","TRT"}))</f>
        <v>6.1417247301</v>
      </c>
      <c r="J9" s="2" cm="1">
        <f t="array" aca="1" ref="J9" ca="1">SUM(SUMIFS(Assumptions!BJ$3:BJ$102,Assumptions!$B$3:$B$102,Cars!$C9,Assumptions!$G$3:$G$102,{"TRL","TRT"}))</f>
        <v>0</v>
      </c>
      <c r="K9" s="2" cm="1">
        <f t="array" aca="1" ref="K9" ca="1">SUM(SUMIFS(Assumptions!BK$3:BK$102,Assumptions!$B$3:$B$102,Cars!$C9,Assumptions!$G$3:$G$102,{"TRL","TRT"}))</f>
        <v>31.320862973280001</v>
      </c>
      <c r="L9" s="2" cm="1">
        <f t="array" aca="1" ref="L9" ca="1">SUM(SUMIFS(Assumptions!BL$3:BL$102,Assumptions!$B$3:$B$102,Cars!$C9,Assumptions!$G$3:$G$102,{"TRL","TRT"}))</f>
        <v>2.1032633471760001</v>
      </c>
      <c r="M9" s="2" cm="1">
        <f t="array" aca="1" ref="M9" ca="1">SUM(SUMIFS(Assumptions!BM$3:BM$102,Assumptions!$B$3:$B$102,Cars!$C9,Assumptions!$G$3:$G$102,{"TRL","TRT"}))</f>
        <v>2.3073595476479998</v>
      </c>
      <c r="N9" s="2" cm="1">
        <f t="array" aca="1" ref="N9" ca="1">SUM(SUMIFS(Assumptions!BN$3:BN$102,Assumptions!$B$3:$B$102,Cars!$C9,Assumptions!$G$3:$G$102,{"TRL","TRT"}))</f>
        <v>1.8154236941999997</v>
      </c>
      <c r="O9" s="2" cm="1">
        <f t="array" aca="1" ref="O9" ca="1">SUM(SUMIFS(Assumptions!BO$3:BO$102,Assumptions!$B$3:$B$102,Cars!$C9,Assumptions!$G$3:$G$102,{"TRL","TRT"}))</f>
        <v>11.695500276299999</v>
      </c>
      <c r="P9" s="2" cm="1">
        <f t="array" aca="1" ref="P9" ca="1">SUM(SUMIFS(Assumptions!BP$3:BP$102,Assumptions!$B$3:$B$102,Cars!$C9,Assumptions!$G$3:$G$102,{"TRL","TRT"}))</f>
        <v>7.5634521065999998</v>
      </c>
      <c r="Q9" s="2" cm="1">
        <f t="array" aca="1" ref="Q9" ca="1">SUM(SUMIFS(Assumptions!BQ$3:BQ$102,Assumptions!$B$3:$B$102,Cars!$C9,Assumptions!$G$3:$G$102,{"TRL","TRT"}))</f>
        <v>13.290564061691999</v>
      </c>
      <c r="R9" s="2" cm="1">
        <f t="array" aca="1" ref="R9" ca="1">SUM(SUMIFS(Assumptions!BR$3:BR$102,Assumptions!$B$3:$B$102,Cars!$C9,Assumptions!$G$3:$G$102,{"TRL","TRT"}))</f>
        <v>0</v>
      </c>
      <c r="S9" s="2" cm="1">
        <f t="array" aca="1" ref="S9" ca="1">SUM(SUMIFS(Assumptions!BS$3:BS$102,Assumptions!$B$3:$B$102,Cars!$C9,Assumptions!$G$3:$G$102,{"TRL","TRT"}))</f>
        <v>2.0327175675000002</v>
      </c>
      <c r="T9" s="2" cm="1">
        <f t="array" aca="1" ref="T9" ca="1">SUM(SUMIFS(Assumptions!BT$3:BT$102,Assumptions!$B$3:$B$102,Cars!$C9,Assumptions!$G$3:$G$102,{"TRL","TRT"}))</f>
        <v>4.98867687E-2</v>
      </c>
      <c r="U9" s="2" cm="1">
        <f t="array" aca="1" ref="U9" ca="1">SUM(SUMIFS(Assumptions!BU$3:BU$102,Assumptions!$B$3:$B$102,Cars!$C9,Assumptions!$G$3:$G$102,{"TRL","TRT"}))</f>
        <v>57.053824002900001</v>
      </c>
      <c r="V9" s="2" cm="1">
        <f t="array" aca="1" ref="V9" ca="1">SUM(SUMIFS(Assumptions!BV$3:BV$102,Assumptions!$B$3:$B$102,Cars!$C9,Assumptions!$G$3:$G$102,{"TRL","TRT"}))</f>
        <v>17.013516737687997</v>
      </c>
      <c r="W9" s="2" cm="1">
        <f t="array" aca="1" ref="W9" ca="1">SUM(SUMIFS(Assumptions!BW$3:BW$102,Assumptions!$B$3:$B$102,Cars!$C9,Assumptions!$G$3:$G$102,{"TRL","TRT"}))</f>
        <v>17.298570159000001</v>
      </c>
      <c r="X9" s="2" cm="1">
        <f t="array" aca="1" ref="X9" ca="1">SUM(SUMIFS(Assumptions!BX$3:BX$102,Assumptions!$B$3:$B$102,Cars!$C9,Assumptions!$G$3:$G$102,{"TRL","TRT"}))</f>
        <v>1.68512084856</v>
      </c>
      <c r="Y9" s="2" cm="1">
        <f t="array" aca="1" ref="Y9" ca="1">SUM(SUMIFS(Assumptions!BY$3:BY$102,Assumptions!$B$3:$B$102,Cars!$C9,Assumptions!$G$3:$G$102,{"TRL","TRT"}))</f>
        <v>53.097109569813149</v>
      </c>
      <c r="Z9" s="2" cm="1">
        <f t="array" aca="1" ref="Z9" ca="1">SUM(SUMIFS(Assumptions!BZ$3:BZ$102,Assumptions!$B$3:$B$102,Cars!$C9,Assumptions!$G$3:$G$102,{"TRL","TRT"}))</f>
        <v>0.1610463087</v>
      </c>
      <c r="AA9" s="2" cm="1">
        <f t="array" aca="1" ref="AA9" ca="1">SUM(SUMIFS(Assumptions!CA$3:CA$102,Assumptions!$B$3:$B$102,Cars!$C9,Assumptions!$G$3:$G$102,{"TRL","TRT"}))</f>
        <v>50.735699382348002</v>
      </c>
      <c r="AB9" s="2" cm="1">
        <f t="array" aca="1" ref="AB9" ca="1">SUM(SUMIFS(Assumptions!CB$3:CB$102,Assumptions!$B$3:$B$102,Cars!$C9,Assumptions!$G$3:$G$102,{"TRL","TRT"}))</f>
        <v>162.56222630676001</v>
      </c>
      <c r="AC9" s="2" cm="1">
        <f t="array" aca="1" ref="AC9" ca="1">SUM(SUMIFS(Assumptions!CC$3:CC$102,Assumptions!$B$3:$B$102,Cars!$C9,Assumptions!$G$3:$G$102,{"TRL","TRT"}))</f>
        <v>33.928157001743998</v>
      </c>
      <c r="AD9" s="2" cm="1">
        <f t="array" aca="1" ref="AD9" ca="1">SUM(SUMIFS(Assumptions!CD$3:CD$102,Assumptions!$B$3:$B$102,Cars!$C9,Assumptions!$G$3:$G$102,{"TRL","TRT"}))</f>
        <v>0</v>
      </c>
      <c r="AE9" s="2" cm="1">
        <f t="array" aca="1" ref="AE9" ca="1">SUM(SUMIFS(Assumptions!CE$3:CE$102,Assumptions!$B$3:$B$102,Cars!$C9,Assumptions!$G$3:$G$102,{"TRL","TRT"}))</f>
        <v>0.39244969799999996</v>
      </c>
      <c r="AF9" s="2" cm="1">
        <f t="array" aca="1" ref="AF9" ca="1">SUM(SUMIFS(Assumptions!CF$3:CF$102,Assumptions!$B$3:$B$102,Cars!$C9,Assumptions!$G$3:$G$102,{"TRL","TRT"}))</f>
        <v>4.2493968467999998</v>
      </c>
      <c r="AG9" s="2" cm="1">
        <f t="array" aca="1" ref="AG9" ca="1">SUM(SUMIFS(Assumptions!CG$3:CG$102,Assumptions!$B$3:$B$102,Cars!$C9,Assumptions!$G$3:$G$102,{"TRL","TRT"}))</f>
        <v>0</v>
      </c>
      <c r="AH9" s="2" cm="1">
        <f t="array" aca="1" ref="AH9" ca="1">SUM(SUMIFS(Assumptions!CH$3:CH$102,Assumptions!$B$3:$B$102,Cars!$C9,Assumptions!$G$3:$G$102,{"TRL","TRT"}))</f>
        <v>5.3061409800000001E-2</v>
      </c>
      <c r="AI9" s="2" cm="1">
        <f t="array" aca="1" ref="AI9" ca="1">SUM(SUMIFS(Assumptions!CI$3:CI$102,Assumptions!$B$3:$B$102,Cars!$C9,Assumptions!$G$3:$G$102,{"TRL","TRT"}))</f>
        <v>92.570399207999998</v>
      </c>
      <c r="AJ9" s="2" cm="1">
        <f t="array" aca="1" ref="AJ9" ca="1">SUM(SUMIFS(Assumptions!CJ$3:CJ$102,Assumptions!$B$3:$B$102,Cars!$C9,Assumptions!$G$3:$G$102,{"TRL","TRT"}))</f>
        <v>2.1734987174999998</v>
      </c>
      <c r="AK9" s="2" cm="1">
        <f t="array" aca="1" ref="AK9" ca="1">SUM(SUMIFS(Assumptions!CK$3:CK$102,Assumptions!$B$3:$B$102,Cars!$C9,Assumptions!$G$3:$G$102,{"TRL","TRT"}))</f>
        <v>47.500573424940001</v>
      </c>
      <c r="AL9" s="2" cm="1">
        <f t="array" aca="1" ref="AL9" ca="1">SUM(SUMIFS(Assumptions!CL$3:CL$102,Assumptions!$B$3:$B$102,Cars!$C9,Assumptions!$G$3:$G$102,{"TRL","TRT"}))</f>
        <v>5.9743636803000006</v>
      </c>
      <c r="AM9" s="2" cm="1">
        <f t="array" aca="1" ref="AM9" ca="1">SUM(SUMIFS(Assumptions!CM$3:CM$102,Assumptions!$B$3:$B$102,Cars!$C9,Assumptions!$G$3:$G$102,{"TRL","TRT"}))</f>
        <v>0</v>
      </c>
      <c r="AN9" s="2" cm="1">
        <f t="array" aca="1" ref="AN9" ca="1">SUM(SUMIFS(Assumptions!CN$3:CN$102,Assumptions!$B$3:$B$102,Cars!$C9,Assumptions!$G$3:$G$102,{"TRL","TRT"}))</f>
        <v>0</v>
      </c>
      <c r="AO9" s="2" cm="1">
        <f t="array" aca="1" ref="AO9" ca="1">SUM(SUMIFS(Assumptions!CO$3:CO$102,Assumptions!$B$3:$B$102,Cars!$C9,Assumptions!$G$3:$G$102,{"TRL","TRT"}))</f>
        <v>0</v>
      </c>
      <c r="AP9" s="2" cm="1">
        <f t="array" aca="1" ref="AP9" ca="1">SUM(SUMIFS(Assumptions!CP$3:CP$102,Assumptions!$B$3:$B$102,Cars!$C9,Assumptions!$G$3:$G$102,{"TRL","TRT"}))</f>
        <v>0</v>
      </c>
      <c r="AQ9" s="2" cm="1">
        <f t="array" aca="1" ref="AQ9" ca="1">SUM(SUMIFS(Assumptions!CQ$3:CQ$102,Assumptions!$B$3:$B$102,Cars!$C9,Assumptions!$G$3:$G$102,{"TRL","TRT"}))</f>
        <v>0</v>
      </c>
      <c r="AR9" s="2" cm="1">
        <f t="array" aca="1" ref="AR9" ca="1">SUM(SUMIFS(Assumptions!CR$3:CR$102,Assumptions!$B$3:$B$102,Cars!$C9,Assumptions!$G$3:$G$102,{"TRL","TRT"}))</f>
        <v>0</v>
      </c>
      <c r="AS9" s="2" cm="1">
        <f t="array" aca="1" ref="AS9" ca="1">SUM(SUMIFS(Assumptions!CS$3:CS$102,Assumptions!$B$3:$B$102,Cars!$C9,Assumptions!$G$3:$G$102,{"TRL","TRT"}))</f>
        <v>0</v>
      </c>
      <c r="AT9" s="2" cm="1">
        <f t="array" aca="1" ref="AT9" ca="1">SUM(SUMIFS(Assumptions!CT$3:CT$102,Assumptions!$B$3:$B$102,Cars!$C9,Assumptions!$G$3:$G$102,{"TRL","TRT"}))</f>
        <v>0</v>
      </c>
      <c r="AU9" s="2" cm="1">
        <f t="array" aca="1" ref="AU9" ca="1">SUM(SUMIFS(Assumptions!CU$3:CU$102,Assumptions!$B$3:$B$102,Cars!$C9,Assumptions!$G$3:$G$102,{"TRL","TRT"}))</f>
        <v>0</v>
      </c>
      <c r="AV9" s="2" cm="1">
        <f t="array" aca="1" ref="AV9" ca="1">SUM(SUMIFS(Assumptions!CV$3:CV$102,Assumptions!$B$3:$B$102,Cars!$C9,Assumptions!$G$3:$G$102,{"TRL","TRT"}))</f>
        <v>0</v>
      </c>
      <c r="AW9" s="2" cm="1">
        <f t="array" aca="1" ref="AW9" ca="1">SUM(SUMIFS(Assumptions!CW$3:CW$102,Assumptions!$B$3:$B$102,Cars!$C9,Assumptions!$G$3:$G$102,{"TRL","TRT"}))</f>
        <v>0</v>
      </c>
      <c r="AY9" s="2" t="s">
        <v>169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SUM(SUMIFS(Assumptions!BD$3:BD$102,Assumptions!$B$3:$B$102,Cars!$C10,Assumptions!$G$3:$G$102,{"TRL","TRT"}))</f>
        <v>5.0870132882999997</v>
      </c>
      <c r="E10" s="2" cm="1">
        <f t="array" aca="1" ref="E10" ca="1">SUM(SUMIFS(Assumptions!BE$3:BE$102,Assumptions!$B$3:$B$102,Cars!$C10,Assumptions!$G$3:$G$102,{"TRL","TRT"}))</f>
        <v>1.8672081300000001E-2</v>
      </c>
      <c r="F10" s="2" cm="1">
        <f t="array" aca="1" ref="F10" ca="1">SUM(SUMIFS(Assumptions!BF$3:BF$102,Assumptions!$B$3:$B$102,Cars!$C10,Assumptions!$G$3:$G$102,{"TRL","TRT"}))</f>
        <v>0.78086332079999998</v>
      </c>
      <c r="G10" s="2" cm="1">
        <f t="array" aca="1" ref="G10" ca="1">SUM(SUMIFS(Assumptions!BG$3:BG$102,Assumptions!$B$3:$B$102,Cars!$C10,Assumptions!$G$3:$G$102,{"TRL","TRT"}))</f>
        <v>0.53467891139519996</v>
      </c>
      <c r="H10" s="2" cm="1">
        <f t="array" aca="1" ref="H10" ca="1">SUM(SUMIFS(Assumptions!BH$3:BH$102,Assumptions!$B$3:$B$102,Cars!$C10,Assumptions!$G$3:$G$102,{"TRL","TRT"}))</f>
        <v>0.56297554991999998</v>
      </c>
      <c r="I10" s="2" cm="1">
        <f t="array" aca="1" ref="I10" ca="1">SUM(SUMIFS(Assumptions!BI$3:BI$102,Assumptions!$B$3:$B$102,Cars!$C10,Assumptions!$G$3:$G$102,{"TRL","TRT"}))</f>
        <v>2.6167577455800002</v>
      </c>
      <c r="J10" s="2" cm="1">
        <f t="array" aca="1" ref="J10" ca="1">SUM(SUMIFS(Assumptions!BJ$3:BJ$102,Assumptions!$B$3:$B$102,Cars!$C10,Assumptions!$G$3:$G$102,{"TRL","TRT"}))</f>
        <v>42.086534212799997</v>
      </c>
      <c r="K10" s="2" cm="1">
        <f t="array" aca="1" ref="K10" ca="1">SUM(SUMIFS(Assumptions!BK$3:BK$102,Assumptions!$B$3:$B$102,Cars!$C10,Assumptions!$G$3:$G$102,{"TRL","TRT"}))</f>
        <v>411.33613173696006</v>
      </c>
      <c r="L10" s="2" cm="1">
        <f t="array" aca="1" ref="L10" ca="1">SUM(SUMIFS(Assumptions!BL$3:BL$102,Assumptions!$B$3:$B$102,Cars!$C10,Assumptions!$G$3:$G$102,{"TRL","TRT"}))</f>
        <v>0</v>
      </c>
      <c r="M10" s="2" cm="1">
        <f t="array" aca="1" ref="M10" ca="1">SUM(SUMIFS(Assumptions!BM$3:BM$102,Assumptions!$B$3:$B$102,Cars!$C10,Assumptions!$G$3:$G$102,{"TRL","TRT"}))</f>
        <v>0</v>
      </c>
      <c r="N10" s="2" cm="1">
        <f t="array" aca="1" ref="N10" ca="1">SUM(SUMIFS(Assumptions!BN$3:BN$102,Assumptions!$B$3:$B$102,Cars!$C10,Assumptions!$G$3:$G$102,{"TRL","TRT"}))</f>
        <v>4.6458318341160005</v>
      </c>
      <c r="O10" s="2" cm="1">
        <f t="array" aca="1" ref="O10" ca="1">SUM(SUMIFS(Assumptions!BO$3:BO$102,Assumptions!$B$3:$B$102,Cars!$C10,Assumptions!$G$3:$G$102,{"TRL","TRT"}))</f>
        <v>5.6855277866376008</v>
      </c>
      <c r="P10" s="2" cm="1">
        <f t="array" aca="1" ref="P10" ca="1">SUM(SUMIFS(Assumptions!BP$3:BP$102,Assumptions!$B$3:$B$102,Cars!$C10,Assumptions!$G$3:$G$102,{"TRL","TRT"}))</f>
        <v>0.51085918461599999</v>
      </c>
      <c r="Q10" s="2" cm="1">
        <f t="array" aca="1" ref="Q10" ca="1">SUM(SUMIFS(Assumptions!BQ$3:BQ$102,Assumptions!$B$3:$B$102,Cars!$C10,Assumptions!$G$3:$G$102,{"TRL","TRT"}))</f>
        <v>0</v>
      </c>
      <c r="R10" s="2" cm="1">
        <f t="array" aca="1" ref="R10" ca="1">SUM(SUMIFS(Assumptions!BR$3:BR$102,Assumptions!$B$3:$B$102,Cars!$C10,Assumptions!$G$3:$G$102,{"TRL","TRT"}))</f>
        <v>5.0768969328000006E-2</v>
      </c>
      <c r="S10" s="2" cm="1">
        <f t="array" aca="1" ref="S10" ca="1">SUM(SUMIFS(Assumptions!BS$3:BS$102,Assumptions!$B$3:$B$102,Cars!$C10,Assumptions!$G$3:$G$102,{"TRL","TRT"}))</f>
        <v>30.8451855528</v>
      </c>
      <c r="T10" s="2" cm="1">
        <f t="array" aca="1" ref="T10" ca="1">SUM(SUMIFS(Assumptions!BT$3:BT$102,Assumptions!$B$3:$B$102,Cars!$C10,Assumptions!$G$3:$G$102,{"TRL","TRT"}))</f>
        <v>0</v>
      </c>
      <c r="U10" s="2" cm="1">
        <f t="array" aca="1" ref="U10" ca="1">SUM(SUMIFS(Assumptions!BU$3:BU$102,Assumptions!$B$3:$B$102,Cars!$C10,Assumptions!$G$3:$G$102,{"TRL","TRT"}))</f>
        <v>27.408815937122405</v>
      </c>
      <c r="V10" s="2" cm="1">
        <f t="array" aca="1" ref="V10" ca="1">SUM(SUMIFS(Assumptions!BV$3:BV$102,Assumptions!$B$3:$B$102,Cars!$C10,Assumptions!$G$3:$G$102,{"TRL","TRT"}))</f>
        <v>1.32905632662</v>
      </c>
      <c r="W10" s="2" cm="1">
        <f t="array" aca="1" ref="W10" ca="1">SUM(SUMIFS(Assumptions!BW$3:BW$102,Assumptions!$B$3:$B$102,Cars!$C10,Assumptions!$G$3:$G$102,{"TRL","TRT"}))</f>
        <v>80.940980242799995</v>
      </c>
      <c r="X10" s="2" cm="1">
        <f t="array" aca="1" ref="X10" ca="1">SUM(SUMIFS(Assumptions!BX$3:BX$102,Assumptions!$B$3:$B$102,Cars!$C10,Assumptions!$G$3:$G$102,{"TRL","TRT"}))</f>
        <v>190.58020340618165</v>
      </c>
      <c r="Y10" s="2" cm="1">
        <f t="array" aca="1" ref="Y10" ca="1">SUM(SUMIFS(Assumptions!BY$3:BY$102,Assumptions!$B$3:$B$102,Cars!$C10,Assumptions!$G$3:$G$102,{"TRL","TRT"}))</f>
        <v>53.21635541235139</v>
      </c>
      <c r="Z10" s="2" cm="1">
        <f t="array" aca="1" ref="Z10" ca="1">SUM(SUMIFS(Assumptions!BZ$3:BZ$102,Assumptions!$B$3:$B$102,Cars!$C10,Assumptions!$G$3:$G$102,{"TRL","TRT"}))</f>
        <v>1.6162207157448003</v>
      </c>
      <c r="AA10" s="2" cm="1">
        <f t="array" aca="1" ref="AA10" ca="1">SUM(SUMIFS(Assumptions!CA$3:CA$102,Assumptions!$B$3:$B$102,Cars!$C10,Assumptions!$G$3:$G$102,{"TRL","TRT"}))</f>
        <v>0</v>
      </c>
      <c r="AB10" s="2" cm="1">
        <f t="array" aca="1" ref="AB10" ca="1">SUM(SUMIFS(Assumptions!CB$3:CB$102,Assumptions!$B$3:$B$102,Cars!$C10,Assumptions!$G$3:$G$102,{"TRL","TRT"}))</f>
        <v>328.40553221784</v>
      </c>
      <c r="AC10" s="2" cm="1">
        <f t="array" aca="1" ref="AC10" ca="1">SUM(SUMIFS(Assumptions!CC$3:CC$102,Assumptions!$B$3:$B$102,Cars!$C10,Assumptions!$G$3:$G$102,{"TRL","TRT"}))</f>
        <v>6.233931673199999</v>
      </c>
      <c r="AD10" s="2" cm="1">
        <f t="array" aca="1" ref="AD10" ca="1">SUM(SUMIFS(Assumptions!CD$3:CD$102,Assumptions!$B$3:$B$102,Cars!$C10,Assumptions!$G$3:$G$102,{"TRL","TRT"}))</f>
        <v>0</v>
      </c>
      <c r="AE10" s="2" cm="1">
        <f t="array" aca="1" ref="AE10" ca="1">SUM(SUMIFS(Assumptions!CE$3:CE$102,Assumptions!$B$3:$B$102,Cars!$C10,Assumptions!$G$3:$G$102,{"TRL","TRT"}))</f>
        <v>1.8327717E-3</v>
      </c>
      <c r="AF10" s="2" cm="1">
        <f t="array" aca="1" ref="AF10" ca="1">SUM(SUMIFS(Assumptions!CF$3:CF$102,Assumptions!$B$3:$B$102,Cars!$C10,Assumptions!$G$3:$G$102,{"TRL","TRT"}))</f>
        <v>6.0480890415000008</v>
      </c>
      <c r="AG10" s="2" cm="1">
        <f t="array" aca="1" ref="AG10" ca="1">SUM(SUMIFS(Assumptions!CG$3:CG$102,Assumptions!$B$3:$B$102,Cars!$C10,Assumptions!$G$3:$G$102,{"TRL","TRT"}))</f>
        <v>3.5982749720016001</v>
      </c>
      <c r="AH10" s="2" cm="1">
        <f t="array" aca="1" ref="AH10" ca="1">SUM(SUMIFS(Assumptions!CH$3:CH$102,Assumptions!$B$3:$B$102,Cars!$C10,Assumptions!$G$3:$G$102,{"TRL","TRT"}))</f>
        <v>0.39834795298320008</v>
      </c>
      <c r="AI10" s="2" cm="1">
        <f t="array" aca="1" ref="AI10" ca="1">SUM(SUMIFS(Assumptions!CI$3:CI$102,Assumptions!$B$3:$B$102,Cars!$C10,Assumptions!$G$3:$G$102,{"TRL","TRT"}))</f>
        <v>2.2803290895528003</v>
      </c>
      <c r="AJ10" s="2" cm="1">
        <f t="array" aca="1" ref="AJ10" ca="1">SUM(SUMIFS(Assumptions!CJ$3:CJ$102,Assumptions!$B$3:$B$102,Cars!$C10,Assumptions!$G$3:$G$102,{"TRL","TRT"}))</f>
        <v>0.38853680682960007</v>
      </c>
      <c r="AK10" s="2" cm="1">
        <f t="array" aca="1" ref="AK10" ca="1">SUM(SUMIFS(Assumptions!CK$3:CK$102,Assumptions!$B$3:$B$102,Cars!$C10,Assumptions!$G$3:$G$102,{"TRL","TRT"}))</f>
        <v>0.94184954891999983</v>
      </c>
      <c r="AL10" s="2" cm="1">
        <f t="array" aca="1" ref="AL10" ca="1">SUM(SUMIFS(Assumptions!CL$3:CL$102,Assumptions!$B$3:$B$102,Cars!$C10,Assumptions!$G$3:$G$102,{"TRL","TRT"}))</f>
        <v>0</v>
      </c>
      <c r="AM10" s="2" cm="1">
        <f t="array" aca="1" ref="AM10" ca="1">SUM(SUMIFS(Assumptions!CM$3:CM$102,Assumptions!$B$3:$B$102,Cars!$C10,Assumptions!$G$3:$G$102,{"TRL","TRT"}))</f>
        <v>0</v>
      </c>
      <c r="AN10" s="2" cm="1">
        <f t="array" aca="1" ref="AN10" ca="1">SUM(SUMIFS(Assumptions!CN$3:CN$102,Assumptions!$B$3:$B$102,Cars!$C10,Assumptions!$G$3:$G$102,{"TRL","TRT"}))</f>
        <v>0</v>
      </c>
      <c r="AO10" s="2" cm="1">
        <f t="array" aca="1" ref="AO10" ca="1">SUM(SUMIFS(Assumptions!CO$3:CO$102,Assumptions!$B$3:$B$102,Cars!$C10,Assumptions!$G$3:$G$102,{"TRL","TRT"}))</f>
        <v>0</v>
      </c>
      <c r="AP10" s="2" cm="1">
        <f t="array" aca="1" ref="AP10" ca="1">SUM(SUMIFS(Assumptions!CP$3:CP$102,Assumptions!$B$3:$B$102,Cars!$C10,Assumptions!$G$3:$G$102,{"TRL","TRT"}))</f>
        <v>0</v>
      </c>
      <c r="AQ10" s="2" cm="1">
        <f t="array" aca="1" ref="AQ10" ca="1">SUM(SUMIFS(Assumptions!CQ$3:CQ$102,Assumptions!$B$3:$B$102,Cars!$C10,Assumptions!$G$3:$G$102,{"TRL","TRT"}))</f>
        <v>0</v>
      </c>
      <c r="AR10" s="2" cm="1">
        <f t="array" aca="1" ref="AR10" ca="1">SUM(SUMIFS(Assumptions!CR$3:CR$102,Assumptions!$B$3:$B$102,Cars!$C10,Assumptions!$G$3:$G$102,{"TRL","TRT"}))</f>
        <v>0</v>
      </c>
      <c r="AS10" s="2" cm="1">
        <f t="array" aca="1" ref="AS10" ca="1">SUM(SUMIFS(Assumptions!CS$3:CS$102,Assumptions!$B$3:$B$102,Cars!$C10,Assumptions!$G$3:$G$102,{"TRL","TRT"}))</f>
        <v>0</v>
      </c>
      <c r="AT10" s="2" cm="1">
        <f t="array" aca="1" ref="AT10" ca="1">SUM(SUMIFS(Assumptions!CT$3:CT$102,Assumptions!$B$3:$B$102,Cars!$C10,Assumptions!$G$3:$G$102,{"TRL","TRT"}))</f>
        <v>0</v>
      </c>
      <c r="AU10" s="2" cm="1">
        <f t="array" aca="1" ref="AU10" ca="1">SUM(SUMIFS(Assumptions!CU$3:CU$102,Assumptions!$B$3:$B$102,Cars!$C10,Assumptions!$G$3:$G$102,{"TRL","TRT"}))</f>
        <v>0</v>
      </c>
      <c r="AV10" s="2" cm="1">
        <f t="array" aca="1" ref="AV10" ca="1">SUM(SUMIFS(Assumptions!CV$3:CV$102,Assumptions!$B$3:$B$102,Cars!$C10,Assumptions!$G$3:$G$102,{"TRL","TRT"}))</f>
        <v>0</v>
      </c>
      <c r="AW10" s="2" cm="1">
        <f t="array" aca="1" ref="AW10" ca="1">SUM(SUMIFS(Assumptions!CW$3:CW$102,Assumptions!$B$3:$B$102,Cars!$C10,Assumptions!$G$3:$G$102,{"TRL","TRT"}))</f>
        <v>0</v>
      </c>
      <c r="AY10" s="2" t="s">
        <v>169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1.350273118200159E-2</v>
      </c>
      <c r="E11" s="42">
        <f t="shared" ref="E11:AW11" ca="1" si="4">SUM(E$4:E$10)/SUM($D$4:$AJ$10)</f>
        <v>1.9721277388324306E-2</v>
      </c>
      <c r="F11" s="42">
        <f t="shared" ca="1" si="4"/>
        <v>1.3056566262913927E-2</v>
      </c>
      <c r="G11" s="42">
        <f t="shared" ca="1" si="4"/>
        <v>3.0888969838828322E-3</v>
      </c>
      <c r="H11" s="42">
        <f t="shared" ca="1" si="4"/>
        <v>7.7222898765188803E-4</v>
      </c>
      <c r="I11" s="42">
        <f t="shared" ca="1" si="4"/>
        <v>9.7144601621889821E-3</v>
      </c>
      <c r="J11" s="42">
        <f t="shared" ca="1" si="4"/>
        <v>2.4675571564169566E-2</v>
      </c>
      <c r="K11" s="42">
        <f t="shared" ca="1" si="4"/>
        <v>0.11537068510935707</v>
      </c>
      <c r="L11" s="42">
        <f t="shared" ca="1" si="4"/>
        <v>1.5282839601753443E-3</v>
      </c>
      <c r="M11" s="42">
        <f t="shared" ca="1" si="4"/>
        <v>3.425121996083037E-3</v>
      </c>
      <c r="N11" s="42">
        <f t="shared" ca="1" si="4"/>
        <v>1.5177165769447044E-2</v>
      </c>
      <c r="O11" s="42">
        <f t="shared" ca="1" si="4"/>
        <v>2.5363081073215311E-2</v>
      </c>
      <c r="P11" s="42">
        <f t="shared" ca="1" si="4"/>
        <v>3.5436010984113931E-3</v>
      </c>
      <c r="Q11" s="42">
        <f t="shared" ca="1" si="4"/>
        <v>5.583946098377179E-3</v>
      </c>
      <c r="R11" s="42">
        <f t="shared" ca="1" si="4"/>
        <v>1.7191213598899928E-4</v>
      </c>
      <c r="S11" s="42">
        <f t="shared" ca="1" si="4"/>
        <v>2.9263827704394188E-2</v>
      </c>
      <c r="T11" s="42">
        <f t="shared" ca="1" si="4"/>
        <v>1.439976133567262E-3</v>
      </c>
      <c r="U11" s="42">
        <f t="shared" ca="1" si="4"/>
        <v>1.4847220046765721E-2</v>
      </c>
      <c r="V11" s="42">
        <f t="shared" ca="1" si="4"/>
        <v>3.7010787804885439E-2</v>
      </c>
      <c r="W11" s="42">
        <f t="shared" ca="1" si="4"/>
        <v>4.3187365896219986E-2</v>
      </c>
      <c r="X11" s="42">
        <f t="shared" ca="1" si="4"/>
        <v>4.9008314457467228E-2</v>
      </c>
      <c r="Y11" s="42">
        <f t="shared" ca="1" si="4"/>
        <v>0.37663317247052774</v>
      </c>
      <c r="Z11" s="42">
        <f t="shared" ca="1" si="4"/>
        <v>1.3331180505700676E-3</v>
      </c>
      <c r="AA11" s="42">
        <f t="shared" ca="1" si="4"/>
        <v>8.7644615994990384E-3</v>
      </c>
      <c r="AB11" s="42">
        <f t="shared" ca="1" si="4"/>
        <v>8.3799077900553035E-2</v>
      </c>
      <c r="AC11" s="42">
        <f t="shared" ca="1" si="4"/>
        <v>2.8646647554543572E-2</v>
      </c>
      <c r="AD11" s="42">
        <f t="shared" ca="1" si="4"/>
        <v>1.9594300451933597E-2</v>
      </c>
      <c r="AE11" s="42">
        <f t="shared" ca="1" si="4"/>
        <v>5.2739064701791873E-3</v>
      </c>
      <c r="AF11" s="42">
        <f t="shared" ca="1" si="4"/>
        <v>1.2624366110234179E-2</v>
      </c>
      <c r="AG11" s="42">
        <f t="shared" ca="1" si="4"/>
        <v>6.7150684269082226E-3</v>
      </c>
      <c r="AH11" s="42">
        <f t="shared" ca="1" si="4"/>
        <v>3.0343662391217581E-3</v>
      </c>
      <c r="AI11" s="42">
        <f t="shared" ca="1" si="4"/>
        <v>6.1755846668253914E-3</v>
      </c>
      <c r="AJ11" s="42">
        <f t="shared" ca="1" si="4"/>
        <v>1.7952908243616273E-2</v>
      </c>
      <c r="AK11" s="42">
        <f t="shared" ca="1" si="4"/>
        <v>2.7843101523398351E-3</v>
      </c>
      <c r="AL11" s="42">
        <f t="shared" ca="1" si="4"/>
        <v>1.992083891815901E-3</v>
      </c>
      <c r="AM11" s="42">
        <f t="shared" ca="1" si="4"/>
        <v>0</v>
      </c>
      <c r="AN11" s="42">
        <f t="shared" ca="1" si="4"/>
        <v>0</v>
      </c>
      <c r="AO11" s="42">
        <f t="shared" ca="1" si="4"/>
        <v>0</v>
      </c>
      <c r="AP11" s="42">
        <f t="shared" ca="1" si="4"/>
        <v>0</v>
      </c>
      <c r="AQ11" s="42">
        <f t="shared" ca="1" si="4"/>
        <v>0</v>
      </c>
      <c r="AR11" s="42">
        <f t="shared" ca="1" si="4"/>
        <v>0</v>
      </c>
      <c r="AS11" s="42">
        <f t="shared" ca="1" si="4"/>
        <v>0</v>
      </c>
      <c r="AT11" s="42">
        <f t="shared" ca="1" si="4"/>
        <v>0</v>
      </c>
      <c r="AU11" s="42">
        <f t="shared" ca="1" si="4"/>
        <v>0</v>
      </c>
      <c r="AV11" s="42">
        <f t="shared" ca="1" si="4"/>
        <v>0</v>
      </c>
      <c r="AW11" s="42">
        <f t="shared" ca="1" si="4"/>
        <v>0</v>
      </c>
      <c r="AY11" s="2" t="s">
        <v>169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156</v>
      </c>
      <c r="BH11" t="s">
        <v>352</v>
      </c>
      <c r="BI11" t="s">
        <v>359</v>
      </c>
    </row>
    <row r="12" spans="1:61">
      <c r="C12" s="97">
        <f>SUM(D12:AW12)</f>
        <v>1082.9230362149985</v>
      </c>
      <c r="D12" s="98">
        <f>IFERROR('vehicle population data'!G45,"")</f>
        <v>16.480099200000041</v>
      </c>
      <c r="E12" s="98">
        <f>IFERROR('vehicle population data'!H45,"")</f>
        <v>12.648213599999849</v>
      </c>
      <c r="F12" s="98">
        <f>IFERROR('vehicle population data'!I45,"")</f>
        <v>14.647346800000037</v>
      </c>
      <c r="G12" s="98">
        <f>IFERROR('vehicle population data'!J45,"")</f>
        <v>4.984865599999992</v>
      </c>
      <c r="H12" s="98">
        <f>IFERROR('vehicle population data'!K45,"")</f>
        <v>2.178047399999997</v>
      </c>
      <c r="I12" s="98">
        <f>IFERROR('vehicle population data'!L45,"")</f>
        <v>15.049033800000018</v>
      </c>
      <c r="J12" s="98">
        <f>IFERROR('vehicle population data'!M45,"")</f>
        <v>42.624361414999839</v>
      </c>
      <c r="K12" s="98">
        <f>IFERROR('vehicle population data'!N45,"")</f>
        <v>194.58405660000062</v>
      </c>
      <c r="L12" s="98">
        <f>IFERROR('vehicle population data'!O45,"")</f>
        <v>2.5679092000000003</v>
      </c>
      <c r="M12" s="98">
        <f>IFERROR('vehicle population data'!P45,"")</f>
        <v>7.9847447999999872</v>
      </c>
      <c r="N12" s="98">
        <f>IFERROR('vehicle population data'!Q45,"")</f>
        <v>32.379999999999995</v>
      </c>
      <c r="O12" s="98">
        <f>IFERROR('vehicle population data'!R45,"")</f>
        <v>47.092037800000185</v>
      </c>
      <c r="P12" s="98">
        <f>IFERROR('vehicle population data'!S45,"")</f>
        <v>5.4833360000000013</v>
      </c>
      <c r="Q12" s="98">
        <f>IFERROR('vehicle population data'!T45,"")</f>
        <v>12.958834199999956</v>
      </c>
      <c r="R12" s="98">
        <f>IFERROR('vehicle population data'!U45,"")</f>
        <v>0.2432951999999986</v>
      </c>
      <c r="S12" s="98">
        <f>IFERROR('vehicle population data'!V45,"")</f>
        <v>29.806999999999789</v>
      </c>
      <c r="T12" s="98">
        <f>IFERROR('vehicle population data'!W45,"")</f>
        <v>2.075479399999999</v>
      </c>
      <c r="U12" s="98">
        <f>IFERROR('vehicle population data'!X45,"")</f>
        <v>37.714381799999998</v>
      </c>
      <c r="V12" s="98">
        <f>IFERROR('vehicle population data'!Y45,"")</f>
        <v>63.486261799999966</v>
      </c>
      <c r="W12" s="98">
        <f>IFERROR('vehicle population data'!Z45,"")</f>
        <v>36.884204799999679</v>
      </c>
      <c r="X12" s="98">
        <f>IFERROR('vehicle population data'!AA45,"")</f>
        <v>36.99071640000011</v>
      </c>
      <c r="Y12" s="98">
        <f>IFERROR('vehicle population data'!AB45,"")</f>
        <v>171.11450239999988</v>
      </c>
      <c r="Z12" s="98">
        <f>IFERROR('vehicle population data'!AC45,"")</f>
        <v>2.8152581999999882</v>
      </c>
      <c r="AA12" s="98">
        <f>IFERROR('vehicle population data'!AD45,"")</f>
        <v>23.445138799999768</v>
      </c>
      <c r="AB12" s="98">
        <f>IFERROR('vehicle population data'!AE45,"")</f>
        <v>94.902087799999208</v>
      </c>
      <c r="AC12" s="98">
        <f>IFERROR('vehicle population data'!AF45,"")</f>
        <v>56.410269199999675</v>
      </c>
      <c r="AD12" s="98">
        <f>IFERROR('vehicle population data'!AG45,"")</f>
        <v>5.3359000000000378</v>
      </c>
      <c r="AE12" s="98">
        <f>IFERROR('vehicle population data'!AH45,"")</f>
        <v>7.2811207999999965</v>
      </c>
      <c r="AF12" s="98">
        <f>IFERROR('vehicle population data'!AI45,"")</f>
        <v>26.752504199999997</v>
      </c>
      <c r="AG12" s="98">
        <f>IFERROR('vehicle population data'!AJ45,"")</f>
        <v>10.180607199999997</v>
      </c>
      <c r="AH12" s="98">
        <f>IFERROR('vehicle population data'!AK45,"")</f>
        <v>4.7934035999999764</v>
      </c>
      <c r="AI12" s="98">
        <f>IFERROR('vehicle population data'!AL45,"")</f>
        <v>12.995588400000088</v>
      </c>
      <c r="AJ12" s="98">
        <f>IFERROR('vehicle population data'!AM45,"")</f>
        <v>35.514736800000037</v>
      </c>
      <c r="AK12" s="98">
        <f>IFERROR('vehicle population data'!AN45,"")</f>
        <v>8.5857459999999719</v>
      </c>
      <c r="AL12" s="98">
        <f>IFERROR('vehicle population data'!AO45,"")</f>
        <v>3.9319469999999797</v>
      </c>
      <c r="AM12" s="98" t="str">
        <f>IFERROR('vehicle population data'!AP45,"")</f>
        <v/>
      </c>
      <c r="AN12" s="98" t="str">
        <f>IFERROR('vehicle population data'!AQ45,"")</f>
        <v/>
      </c>
      <c r="AO12" s="98" t="str">
        <f>IFERROR('vehicle population data'!AR45,"")</f>
        <v/>
      </c>
      <c r="AP12" s="98" t="str">
        <f>IFERROR('vehicle population data'!AS45,"")</f>
        <v/>
      </c>
      <c r="AQ12" s="98" t="str">
        <f>IFERROR('vehicle population data'!AT45,"")</f>
        <v/>
      </c>
      <c r="AR12" s="98" t="str">
        <f>IFERROR('vehicle population data'!AU45,"")</f>
        <v/>
      </c>
      <c r="AS12" s="98" t="str">
        <f>IFERROR('vehicle population data'!AV45,"")</f>
        <v/>
      </c>
      <c r="AT12" s="98" t="str">
        <f>IFERROR('vehicle population data'!AW45,"")</f>
        <v/>
      </c>
      <c r="AU12" s="98" t="str">
        <f>IFERROR('vehicle population data'!AX45,"")</f>
        <v/>
      </c>
      <c r="AV12" s="98">
        <f>IFERROR('vehicle population data'!AY45,"")</f>
        <v>0</v>
      </c>
      <c r="AW12" s="98">
        <f>IFERROR('vehicle population data'!AZ45,"")</f>
        <v>0</v>
      </c>
      <c r="AY12" s="2" t="s">
        <v>169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SUM(D13:AW13)</f>
        <v>1238.8970000000002</v>
      </c>
      <c r="D13" s="1">
        <f ca="1">SUM(D19:D25)</f>
        <v>21.38</v>
      </c>
      <c r="E13" s="1">
        <f t="shared" ref="E13:U13" ca="1" si="5">SUM(E19:E25)</f>
        <v>30.894000000000002</v>
      </c>
      <c r="F13" s="1">
        <f t="shared" ca="1" si="5"/>
        <v>20.180999999999997</v>
      </c>
      <c r="G13" s="1">
        <f t="shared" ca="1" si="5"/>
        <v>5.0459999999999994</v>
      </c>
      <c r="H13" s="1">
        <f t="shared" ca="1" si="5"/>
        <v>1.2230000000000001</v>
      </c>
      <c r="I13" s="1">
        <f t="shared" ca="1" si="5"/>
        <v>15.701000000000001</v>
      </c>
      <c r="J13" s="1">
        <f t="shared" ca="1" si="5"/>
        <v>38.633000000000003</v>
      </c>
      <c r="K13" s="1">
        <f t="shared" ca="1" si="5"/>
        <v>198.203</v>
      </c>
      <c r="L13" s="1">
        <f t="shared" ca="1" si="5"/>
        <v>2.4860000000000002</v>
      </c>
      <c r="M13" s="1">
        <f t="shared" ca="1" si="5"/>
        <v>5.5609999999999999</v>
      </c>
      <c r="N13" s="1">
        <f t="shared" ca="1" si="5"/>
        <v>24.869999999999997</v>
      </c>
      <c r="O13" s="1">
        <f t="shared" ca="1" si="5"/>
        <v>40.648000000000003</v>
      </c>
      <c r="P13" s="1">
        <f t="shared" ca="1" si="5"/>
        <v>5.5909999999999993</v>
      </c>
      <c r="Q13" s="1">
        <f t="shared" ca="1" si="5"/>
        <v>9.0549999999999997</v>
      </c>
      <c r="R13" s="1">
        <f t="shared" ca="1" si="5"/>
        <v>0.27900000000000003</v>
      </c>
      <c r="S13" s="1">
        <f t="shared" ca="1" si="5"/>
        <v>47.342000000000006</v>
      </c>
      <c r="T13" s="1">
        <f t="shared" ca="1" si="5"/>
        <v>2.3579999999999997</v>
      </c>
      <c r="U13" s="1">
        <f t="shared" ca="1" si="5"/>
        <v>23.845000000000002</v>
      </c>
      <c r="V13" s="1">
        <f t="shared" ref="V13:AW13" ca="1" si="6">SUM(V19:V25)</f>
        <v>57.265999999999998</v>
      </c>
      <c r="W13" s="1">
        <f t="shared" ca="1" si="6"/>
        <v>66.944000000000003</v>
      </c>
      <c r="X13" s="1">
        <f t="shared" ca="1" si="6"/>
        <v>75.697999999999993</v>
      </c>
      <c r="Y13" s="1">
        <f t="shared" ca="1" si="6"/>
        <v>233.05100000000002</v>
      </c>
      <c r="Z13" s="1">
        <f t="shared" ca="1" si="6"/>
        <v>2.3369999999999997</v>
      </c>
      <c r="AA13" s="1">
        <f t="shared" ca="1" si="6"/>
        <v>14.190000000000001</v>
      </c>
      <c r="AB13" s="1">
        <f t="shared" ca="1" si="6"/>
        <v>130.10900000000001</v>
      </c>
      <c r="AC13" s="1">
        <f t="shared" ca="1" si="6"/>
        <v>44.324000000000005</v>
      </c>
      <c r="AD13" s="1">
        <f t="shared" ca="1" si="6"/>
        <v>30.628</v>
      </c>
      <c r="AE13" s="1">
        <f t="shared" ca="1" si="6"/>
        <v>8.3049999999999997</v>
      </c>
      <c r="AF13" s="1">
        <f t="shared" ca="1" si="6"/>
        <v>20.649000000000001</v>
      </c>
      <c r="AG13" s="1">
        <f t="shared" ca="1" si="6"/>
        <v>10.818999999999999</v>
      </c>
      <c r="AH13" s="1">
        <f t="shared" ca="1" si="6"/>
        <v>4.7969999999999997</v>
      </c>
      <c r="AI13" s="1">
        <f t="shared" ca="1" si="6"/>
        <v>10.006</v>
      </c>
      <c r="AJ13" s="1">
        <f t="shared" ca="1" si="6"/>
        <v>28.834999999999997</v>
      </c>
      <c r="AK13" s="1">
        <f t="shared" ca="1" si="6"/>
        <v>4.3709999999999996</v>
      </c>
      <c r="AL13" s="1">
        <f t="shared" ca="1" si="6"/>
        <v>3.2720000000000002</v>
      </c>
      <c r="AM13" s="1">
        <f t="shared" ca="1" si="6"/>
        <v>0</v>
      </c>
      <c r="AN13" s="1">
        <f t="shared" ca="1" si="6"/>
        <v>0</v>
      </c>
      <c r="AO13" s="1">
        <f t="shared" ca="1" si="6"/>
        <v>0</v>
      </c>
      <c r="AP13" s="1">
        <f t="shared" ca="1" si="6"/>
        <v>0</v>
      </c>
      <c r="AQ13" s="1">
        <f t="shared" ca="1" si="6"/>
        <v>0</v>
      </c>
      <c r="AR13" s="1">
        <f t="shared" ca="1" si="6"/>
        <v>0</v>
      </c>
      <c r="AS13" s="1">
        <f t="shared" ca="1" si="6"/>
        <v>0</v>
      </c>
      <c r="AT13" s="1">
        <f t="shared" ca="1" si="6"/>
        <v>0</v>
      </c>
      <c r="AU13" s="1">
        <f t="shared" ca="1" si="6"/>
        <v>0</v>
      </c>
      <c r="AV13" s="1">
        <f t="shared" ca="1" si="6"/>
        <v>0</v>
      </c>
      <c r="AW13" s="1">
        <f t="shared" ca="1" si="6"/>
        <v>0</v>
      </c>
      <c r="AY13" s="2" t="s">
        <v>169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D13/SUM($D$13:$AW$13)</f>
        <v>1.7257286118216444E-2</v>
      </c>
      <c r="E14" s="42">
        <f t="shared" ref="E14:AW14" ca="1" si="7">E13/SUM($D$13:$AW$13)</f>
        <v>2.4936697723862433E-2</v>
      </c>
      <c r="F14" s="42">
        <f t="shared" ca="1" si="7"/>
        <v>1.6289489763878673E-2</v>
      </c>
      <c r="G14" s="42">
        <f t="shared" ca="1" si="7"/>
        <v>4.0729778181721309E-3</v>
      </c>
      <c r="H14" s="42">
        <f t="shared" ca="1" si="7"/>
        <v>9.8716842481659083E-4</v>
      </c>
      <c r="I14" s="42">
        <f t="shared" ca="1" si="7"/>
        <v>1.2673369941165406E-2</v>
      </c>
      <c r="J14" s="42">
        <f t="shared" ca="1" si="7"/>
        <v>3.1183383283678947E-2</v>
      </c>
      <c r="K14" s="42">
        <f t="shared" ca="1" si="7"/>
        <v>0.15998343687974059</v>
      </c>
      <c r="L14" s="42">
        <f t="shared" ca="1" si="7"/>
        <v>2.0066236337645503E-3</v>
      </c>
      <c r="M14" s="42">
        <f t="shared" ca="1" si="7"/>
        <v>4.4886701638635002E-3</v>
      </c>
      <c r="N14" s="42">
        <f t="shared" ca="1" si="7"/>
        <v>2.007430803367834E-2</v>
      </c>
      <c r="O14" s="42">
        <f t="shared" ca="1" si="7"/>
        <v>3.2809830034296633E-2</v>
      </c>
      <c r="P14" s="42">
        <f t="shared" ca="1" si="7"/>
        <v>4.5128852519620262E-3</v>
      </c>
      <c r="Q14" s="42">
        <f t="shared" ca="1" si="7"/>
        <v>7.308920757738536E-3</v>
      </c>
      <c r="R14" s="42">
        <f t="shared" ca="1" si="7"/>
        <v>2.2520031931629506E-4</v>
      </c>
      <c r="S14" s="42">
        <f t="shared" ca="1" si="7"/>
        <v>3.8213023358681146E-2</v>
      </c>
      <c r="T14" s="42">
        <f t="shared" ca="1" si="7"/>
        <v>1.9033059245441707E-3</v>
      </c>
      <c r="U14" s="42">
        <f t="shared" ca="1" si="7"/>
        <v>1.9246959190312028E-2</v>
      </c>
      <c r="V14" s="42">
        <f t="shared" ca="1" si="7"/>
        <v>4.6223374501673659E-2</v>
      </c>
      <c r="W14" s="42">
        <f t="shared" ca="1" si="7"/>
        <v>5.4035161922258261E-2</v>
      </c>
      <c r="X14" s="42">
        <f t="shared" ca="1" si="7"/>
        <v>6.1101124629408241E-2</v>
      </c>
      <c r="Y14" s="42">
        <f t="shared" ca="1" si="7"/>
        <v>0.18811168321498881</v>
      </c>
      <c r="Z14" s="42">
        <f t="shared" ca="1" si="7"/>
        <v>1.8863553628752023E-3</v>
      </c>
      <c r="AA14" s="42">
        <f t="shared" ca="1" si="7"/>
        <v>1.1453736670602963E-2</v>
      </c>
      <c r="AB14" s="42">
        <f t="shared" ca="1" si="7"/>
        <v>0.10502002991370549</v>
      </c>
      <c r="AC14" s="42">
        <f t="shared" ca="1" si="7"/>
        <v>3.5776985495969395E-2</v>
      </c>
      <c r="AD14" s="42">
        <f t="shared" ca="1" si="7"/>
        <v>2.4721990609388834E-2</v>
      </c>
      <c r="AE14" s="42">
        <f t="shared" ca="1" si="7"/>
        <v>6.7035435552753771E-3</v>
      </c>
      <c r="AF14" s="42">
        <f t="shared" ca="1" si="7"/>
        <v>1.6667245138215686E-2</v>
      </c>
      <c r="AG14" s="42">
        <f t="shared" ca="1" si="7"/>
        <v>8.7327679379318839E-3</v>
      </c>
      <c r="AH14" s="42">
        <f t="shared" ca="1" si="7"/>
        <v>3.8719925869543626E-3</v>
      </c>
      <c r="AI14" s="42">
        <f t="shared" ca="1" si="7"/>
        <v>8.0765390504618211E-3</v>
      </c>
      <c r="AJ14" s="42">
        <f t="shared" ca="1" si="7"/>
        <v>2.327473551070024E-2</v>
      </c>
      <c r="AK14" s="42">
        <f t="shared" ca="1" si="7"/>
        <v>3.5281383359552884E-3</v>
      </c>
      <c r="AL14" s="42">
        <f t="shared" ca="1" si="7"/>
        <v>2.6410589419459405E-3</v>
      </c>
      <c r="AM14" s="42">
        <f t="shared" ca="1" si="7"/>
        <v>0</v>
      </c>
      <c r="AN14" s="42">
        <f t="shared" ca="1" si="7"/>
        <v>0</v>
      </c>
      <c r="AO14" s="42">
        <f t="shared" ca="1" si="7"/>
        <v>0</v>
      </c>
      <c r="AP14" s="42">
        <f t="shared" ca="1" si="7"/>
        <v>0</v>
      </c>
      <c r="AQ14" s="42">
        <f t="shared" ca="1" si="7"/>
        <v>0</v>
      </c>
      <c r="AR14" s="42">
        <f t="shared" ca="1" si="7"/>
        <v>0</v>
      </c>
      <c r="AS14" s="42">
        <f t="shared" ca="1" si="7"/>
        <v>0</v>
      </c>
      <c r="AT14" s="42">
        <f t="shared" ca="1" si="7"/>
        <v>0</v>
      </c>
      <c r="AU14" s="42">
        <f t="shared" ca="1" si="7"/>
        <v>0</v>
      </c>
      <c r="AV14" s="42">
        <f t="shared" ca="1" si="7"/>
        <v>0</v>
      </c>
      <c r="AW14" s="42">
        <f t="shared" ca="1" si="7"/>
        <v>0</v>
      </c>
      <c r="AY14" s="2" t="s">
        <v>169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>
        <f ca="1">D13/'non-road'!DB21</f>
        <v>0.10777021756427714</v>
      </c>
      <c r="E15" s="42">
        <f ca="1">E13/'non-road'!DC21</f>
        <v>2.9729869034441692E-2</v>
      </c>
      <c r="F15" s="42">
        <f ca="1">F13/'non-road'!DD21</f>
        <v>0.79560193489633624</v>
      </c>
      <c r="G15" s="42">
        <f ca="1">G13/'non-road'!DE21</f>
        <v>0.56824836259786116</v>
      </c>
      <c r="H15" s="42">
        <f ca="1">H13/'non-road'!DF21</f>
        <v>0.20265590253957838</v>
      </c>
      <c r="I15" s="42">
        <f ca="1">I13/'non-road'!DG21</f>
        <v>0.5330703053561564</v>
      </c>
      <c r="J15" s="42">
        <f ca="1">J13/'non-road'!DH21</f>
        <v>0.1830514096185738</v>
      </c>
      <c r="K15" s="42">
        <f ca="1">K13/'non-road'!DI21</f>
        <v>0.14180451020232951</v>
      </c>
      <c r="L15" s="42">
        <f ca="1">L13/'non-road'!DJ21</f>
        <v>0.40398853361587617</v>
      </c>
      <c r="M15" s="42">
        <f ca="1">M13/'non-road'!DK21</f>
        <v>0.34484576198139039</v>
      </c>
      <c r="N15" s="42">
        <f ca="1">N13/'non-road'!DL21</f>
        <v>0.36982017549729429</v>
      </c>
      <c r="O15" s="42">
        <f ca="1">O13/'non-road'!DM21</f>
        <v>0.48918681477380765</v>
      </c>
      <c r="P15" s="42">
        <f ca="1">P13/'non-road'!DN21</f>
        <v>0.46903693487592868</v>
      </c>
      <c r="Q15" s="42">
        <f ca="1">Q13/'non-road'!DO21</f>
        <v>0.25070254855544943</v>
      </c>
      <c r="R15" s="42">
        <f ca="1">R13/'non-road'!DP21</f>
        <v>0.7737898786065126</v>
      </c>
      <c r="S15" s="42">
        <f ca="1">S13/'non-road'!DQ21</f>
        <v>3.464674111912882E-2</v>
      </c>
      <c r="T15" s="42">
        <f ca="1">T13/'non-road'!DR21</f>
        <v>0.47787546054791519</v>
      </c>
      <c r="U15" s="42">
        <f ca="1">U13/'non-road'!DS21</f>
        <v>0.39587827051151658</v>
      </c>
      <c r="V15" s="42">
        <f ca="1">V13/'non-road'!DT21</f>
        <v>0.4535381934819625</v>
      </c>
      <c r="W15" s="42">
        <f ca="1">W13/'non-road'!DU21</f>
        <v>0.2167724780552113</v>
      </c>
      <c r="X15" s="42">
        <f ca="1">X13/'non-road'!DV21</f>
        <v>0.3400961234981405</v>
      </c>
      <c r="Y15" s="42">
        <f ca="1">Y13/'non-road'!DW21</f>
        <v>0.47224170890582651</v>
      </c>
      <c r="Z15" s="42">
        <f ca="1">Z13/'non-road'!DX21</f>
        <v>0.43699396024607784</v>
      </c>
      <c r="AA15" s="42">
        <f ca="1">AA13/'non-road'!DY21</f>
        <v>0.37376038772043046</v>
      </c>
      <c r="AB15" s="42">
        <f ca="1">AB13/'non-road'!DZ21</f>
        <v>9.6415430982902936E-2</v>
      </c>
      <c r="AC15" s="42">
        <f ca="1">AC13/'non-road'!EA21</f>
        <v>0.28814777422356813</v>
      </c>
      <c r="AD15" s="42">
        <f ca="1">AD13/'non-road'!EB21</f>
        <v>0.89376541138363208</v>
      </c>
      <c r="AE15" s="42">
        <f ca="1">AE13/'non-road'!EC21</f>
        <v>0.14182447236343951</v>
      </c>
      <c r="AF15" s="42">
        <f ca="1">AF13/'non-road'!ED21</f>
        <v>0.3596146277068189</v>
      </c>
      <c r="AG15" s="42">
        <f ca="1">AG13/'non-road'!EE21</f>
        <v>0.50053365891076207</v>
      </c>
      <c r="AH15" s="42">
        <f ca="1">AH13/'non-road'!EF21</f>
        <v>0.55939864354283475</v>
      </c>
      <c r="AI15" s="42">
        <f ca="1">AI13/'non-road'!EG21</f>
        <v>0.11993345287523853</v>
      </c>
      <c r="AJ15" s="42">
        <f ca="1">AJ13/'non-road'!EH21</f>
        <v>0.43142723340460198</v>
      </c>
      <c r="AK15" s="42">
        <f ca="1">AK13/'non-road'!EI21</f>
        <v>9.2902254967911407E-2</v>
      </c>
      <c r="AL15" s="42">
        <f ca="1">AL13/'non-road'!EJ21</f>
        <v>0.20701120112808452</v>
      </c>
      <c r="AM15" s="42">
        <f ca="1">AM13/'non-road'!EK21</f>
        <v>0</v>
      </c>
      <c r="AN15" s="42">
        <f ca="1">AN13/'non-road'!EL21</f>
        <v>0</v>
      </c>
      <c r="AO15" s="42">
        <f ca="1">AO13/'non-road'!EM21</f>
        <v>0</v>
      </c>
      <c r="AP15" s="42">
        <f ca="1">AP13/'non-road'!EN21</f>
        <v>0</v>
      </c>
      <c r="AQ15" s="42">
        <f ca="1">AQ13/'non-road'!EO21</f>
        <v>0</v>
      </c>
      <c r="AR15" s="42">
        <f ca="1">AR13/'non-road'!EP21</f>
        <v>0</v>
      </c>
      <c r="AS15" s="42">
        <f ca="1">AS13/'non-road'!EQ21</f>
        <v>0</v>
      </c>
      <c r="AT15" s="42">
        <f ca="1">AT13/'non-road'!ER21</f>
        <v>0</v>
      </c>
      <c r="AU15" s="42">
        <f ca="1">AU13/'non-road'!ES21</f>
        <v>0</v>
      </c>
      <c r="AV15" s="42">
        <f ca="1">AV13/'non-road'!ET21</f>
        <v>0</v>
      </c>
      <c r="AW15" s="42" t="e">
        <f ca="1">AW13/'non-road'!EU21</f>
        <v>#VALUE!</v>
      </c>
      <c r="AY15" s="2" t="s">
        <v>169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156</v>
      </c>
      <c r="BH15" t="s">
        <v>352</v>
      </c>
      <c r="BI15" t="s">
        <v>359</v>
      </c>
    </row>
    <row r="16" spans="1:61">
      <c r="AY16" s="2" t="s">
        <v>169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D11/D14</f>
        <v>0.782436536631816</v>
      </c>
      <c r="E17" s="1">
        <f t="shared" ref="E17:U17" ca="1" si="8">E11/E14</f>
        <v>0.79085360887430634</v>
      </c>
      <c r="F17" s="1">
        <f t="shared" ca="1" si="8"/>
        <v>0.80153316354121595</v>
      </c>
      <c r="G17" s="1">
        <f t="shared" ca="1" si="8"/>
        <v>0.75838787289763976</v>
      </c>
      <c r="H17" s="1">
        <f t="shared" ca="1" si="8"/>
        <v>0.78226670164755618</v>
      </c>
      <c r="I17" s="1">
        <f t="shared" ca="1" si="8"/>
        <v>0.76652541567769217</v>
      </c>
      <c r="J17" s="1">
        <f t="shared" ca="1" si="8"/>
        <v>0.79130514286063691</v>
      </c>
      <c r="K17" s="1">
        <f t="shared" ca="1" si="8"/>
        <v>0.72114143413534182</v>
      </c>
      <c r="L17" s="1">
        <f t="shared" ca="1" si="8"/>
        <v>0.76161963532154198</v>
      </c>
      <c r="M17" s="1">
        <f t="shared" ca="1" si="8"/>
        <v>0.76305940758519819</v>
      </c>
      <c r="N17" s="1">
        <f t="shared" ca="1" si="8"/>
        <v>0.75604926177204013</v>
      </c>
      <c r="O17" s="1">
        <f t="shared" ca="1" si="8"/>
        <v>0.77303299184125251</v>
      </c>
      <c r="P17" s="1">
        <f t="shared" ca="1" si="8"/>
        <v>0.78521852441756057</v>
      </c>
      <c r="Q17" s="1">
        <f t="shared" ca="1" si="8"/>
        <v>0.76399051015363806</v>
      </c>
      <c r="R17" s="1">
        <f t="shared" ca="1" si="8"/>
        <v>0.7633742994278252</v>
      </c>
      <c r="S17" s="1">
        <f t="shared" ca="1" si="8"/>
        <v>0.76580770460670966</v>
      </c>
      <c r="T17" s="1">
        <f t="shared" ca="1" si="8"/>
        <v>0.75656578114846507</v>
      </c>
      <c r="U17" s="1">
        <f t="shared" ca="1" si="8"/>
        <v>0.7714060127606589</v>
      </c>
      <c r="V17" s="1">
        <f t="shared" ref="V17:AJ17" ca="1" si="9">V11/V14</f>
        <v>0.80069419863634905</v>
      </c>
      <c r="W17" s="1">
        <f t="shared" ca="1" si="9"/>
        <v>0.79924560896763353</v>
      </c>
      <c r="X17" s="1">
        <f t="shared" ca="1" si="9"/>
        <v>0.80208530947201762</v>
      </c>
      <c r="Y17" s="1">
        <f t="shared" ca="1" si="9"/>
        <v>2.0021785251907067</v>
      </c>
      <c r="Z17" s="1">
        <f t="shared" ca="1" si="9"/>
        <v>0.70671628305396039</v>
      </c>
      <c r="AA17" s="1">
        <f t="shared" ca="1" si="9"/>
        <v>0.76520543919905293</v>
      </c>
      <c r="AB17" s="1">
        <f t="shared" ca="1" si="9"/>
        <v>0.79793424139576408</v>
      </c>
      <c r="AC17" s="1">
        <f t="shared" ca="1" si="9"/>
        <v>0.80070042675258035</v>
      </c>
      <c r="AD17" s="1">
        <f t="shared" ca="1" si="9"/>
        <v>0.79258587067386632</v>
      </c>
      <c r="AE17" s="1">
        <f t="shared" ca="1" si="9"/>
        <v>0.7867341245256575</v>
      </c>
      <c r="AF17" s="1">
        <f t="shared" ca="1" si="9"/>
        <v>0.75743567731467842</v>
      </c>
      <c r="AG17" s="1">
        <f t="shared" ref="AG17" ca="1" si="10">AG11/AG14</f>
        <v>0.76895074673179764</v>
      </c>
      <c r="AH17" s="1">
        <f t="shared" ca="1" si="9"/>
        <v>0.78367046707301014</v>
      </c>
      <c r="AI17" s="1">
        <f t="shared" ca="1" si="9"/>
        <v>0.764632552166298</v>
      </c>
      <c r="AJ17" s="1">
        <f t="shared" ca="1" si="9"/>
        <v>0.77134746538205212</v>
      </c>
      <c r="AK17" s="1">
        <f t="shared" ref="AK17:AW17" ca="1" si="11">AK11/AK14</f>
        <v>0.78917261377336201</v>
      </c>
      <c r="AL17" s="1">
        <f t="shared" ca="1" si="11"/>
        <v>0.7542746813322263</v>
      </c>
      <c r="AM17" s="1" t="e">
        <f t="shared" ca="1" si="11"/>
        <v>#DIV/0!</v>
      </c>
      <c r="AN17" s="1" t="e">
        <f t="shared" ca="1" si="11"/>
        <v>#DIV/0!</v>
      </c>
      <c r="AO17" s="1" t="e">
        <f t="shared" ca="1" si="11"/>
        <v>#DIV/0!</v>
      </c>
      <c r="AP17" s="1" t="e">
        <f t="shared" ca="1" si="11"/>
        <v>#DIV/0!</v>
      </c>
      <c r="AQ17" s="1" t="e">
        <f t="shared" ca="1" si="11"/>
        <v>#DIV/0!</v>
      </c>
      <c r="AR17" s="1" t="e">
        <f t="shared" ca="1" si="11"/>
        <v>#DIV/0!</v>
      </c>
      <c r="AS17" s="1" t="e">
        <f t="shared" ca="1" si="11"/>
        <v>#DIV/0!</v>
      </c>
      <c r="AT17" s="1" t="e">
        <f t="shared" ca="1" si="11"/>
        <v>#DIV/0!</v>
      </c>
      <c r="AU17" s="1" t="e">
        <f t="shared" ca="1" si="11"/>
        <v>#DIV/0!</v>
      </c>
      <c r="AV17" s="1" t="e">
        <f t="shared" ca="1" si="11"/>
        <v>#DIV/0!</v>
      </c>
      <c r="AW17" s="1" t="e">
        <f t="shared" ca="1" si="11"/>
        <v>#DIV/0!</v>
      </c>
      <c r="AY17" s="2" t="s">
        <v>169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156</v>
      </c>
      <c r="BH17" t="s">
        <v>352</v>
      </c>
      <c r="BI17" t="s">
        <v>359</v>
      </c>
    </row>
    <row r="18" spans="1:61">
      <c r="AY18" s="2" t="s">
        <v>169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2">C4</f>
        <v>TRABDS</v>
      </c>
      <c r="D19" s="40">
        <f ca="1">ROUND(D4*D28/D36,3)</f>
        <v>0</v>
      </c>
      <c r="E19" s="40">
        <f t="shared" ref="E19:U19" ca="1" si="13">ROUND(E4*E28/E36,3)</f>
        <v>0</v>
      </c>
      <c r="F19" s="40">
        <f t="shared" ca="1" si="13"/>
        <v>0</v>
      </c>
      <c r="G19" s="40">
        <f t="shared" ca="1" si="13"/>
        <v>0.157</v>
      </c>
      <c r="H19" s="40">
        <f t="shared" ca="1" si="13"/>
        <v>0.01</v>
      </c>
      <c r="I19" s="40">
        <f t="shared" ca="1" si="13"/>
        <v>0.32500000000000001</v>
      </c>
      <c r="J19" s="40">
        <f t="shared" ca="1" si="13"/>
        <v>1.984</v>
      </c>
      <c r="K19" s="40">
        <f t="shared" ca="1" si="13"/>
        <v>7.0000000000000007E-2</v>
      </c>
      <c r="L19" s="40">
        <f t="shared" ca="1" si="13"/>
        <v>5.6000000000000001E-2</v>
      </c>
      <c r="M19" s="40">
        <f t="shared" ca="1" si="13"/>
        <v>0.14699999999999999</v>
      </c>
      <c r="N19" s="40">
        <f t="shared" ca="1" si="13"/>
        <v>0.93</v>
      </c>
      <c r="O19" s="40">
        <f t="shared" ca="1" si="13"/>
        <v>0.69599999999999995</v>
      </c>
      <c r="P19" s="40">
        <f t="shared" ca="1" si="13"/>
        <v>6.3E-2</v>
      </c>
      <c r="Q19" s="40">
        <f t="shared" ca="1" si="13"/>
        <v>0.22800000000000001</v>
      </c>
      <c r="R19" s="40">
        <f t="shared" ca="1" si="13"/>
        <v>6.0000000000000001E-3</v>
      </c>
      <c r="S19" s="40">
        <f t="shared" ca="1" si="13"/>
        <v>1.2999999999999999E-2</v>
      </c>
      <c r="T19" s="40">
        <f t="shared" ca="1" si="13"/>
        <v>0.06</v>
      </c>
      <c r="U19" s="40">
        <f t="shared" ca="1" si="13"/>
        <v>0.46300000000000002</v>
      </c>
      <c r="V19" s="40">
        <f t="shared" ref="V19:AW19" ca="1" si="14">ROUND(V4*V28/V36,3)</f>
        <v>1E-3</v>
      </c>
      <c r="W19" s="40">
        <f t="shared" ca="1" si="14"/>
        <v>0.22600000000000001</v>
      </c>
      <c r="X19" s="40">
        <f t="shared" ca="1" si="14"/>
        <v>0</v>
      </c>
      <c r="Y19" s="40">
        <f t="shared" ca="1" si="14"/>
        <v>8.7999999999999995E-2</v>
      </c>
      <c r="Z19" s="40">
        <f t="shared" ca="1" si="14"/>
        <v>0.154</v>
      </c>
      <c r="AA19" s="40">
        <f t="shared" ca="1" si="14"/>
        <v>0.309</v>
      </c>
      <c r="AB19" s="40">
        <f t="shared" ca="1" si="14"/>
        <v>1.0029999999999999</v>
      </c>
      <c r="AC19" s="40">
        <f t="shared" ca="1" si="14"/>
        <v>0</v>
      </c>
      <c r="AD19" s="40">
        <f t="shared" ca="1" si="14"/>
        <v>0</v>
      </c>
      <c r="AE19" s="40">
        <f t="shared" ca="1" si="14"/>
        <v>0</v>
      </c>
      <c r="AF19" s="40">
        <f t="shared" ca="1" si="14"/>
        <v>0.64700000000000002</v>
      </c>
      <c r="AG19" s="40">
        <f t="shared" ca="1" si="14"/>
        <v>0.63</v>
      </c>
      <c r="AH19" s="40">
        <f t="shared" ca="1" si="14"/>
        <v>5.5E-2</v>
      </c>
      <c r="AI19" s="40">
        <f t="shared" ca="1" si="14"/>
        <v>2.1000000000000001E-2</v>
      </c>
      <c r="AJ19" s="40">
        <f t="shared" ca="1" si="14"/>
        <v>0.46500000000000002</v>
      </c>
      <c r="AK19" s="40">
        <f t="shared" ca="1" si="14"/>
        <v>0</v>
      </c>
      <c r="AL19" s="40">
        <f t="shared" ca="1" si="14"/>
        <v>4.3999999999999997E-2</v>
      </c>
      <c r="AM19" s="40">
        <f t="shared" ca="1" si="14"/>
        <v>0</v>
      </c>
      <c r="AN19" s="40">
        <f t="shared" ca="1" si="14"/>
        <v>0</v>
      </c>
      <c r="AO19" s="40">
        <f t="shared" ca="1" si="14"/>
        <v>0</v>
      </c>
      <c r="AP19" s="40">
        <f t="shared" ca="1" si="14"/>
        <v>0</v>
      </c>
      <c r="AQ19" s="40">
        <f t="shared" ca="1" si="14"/>
        <v>0</v>
      </c>
      <c r="AR19" s="40">
        <f t="shared" ca="1" si="14"/>
        <v>0</v>
      </c>
      <c r="AS19" s="40">
        <f t="shared" ca="1" si="14"/>
        <v>0</v>
      </c>
      <c r="AT19" s="40">
        <f t="shared" ca="1" si="14"/>
        <v>0</v>
      </c>
      <c r="AU19" s="40">
        <f t="shared" ca="1" si="14"/>
        <v>0</v>
      </c>
      <c r="AV19" s="40">
        <f t="shared" ca="1" si="14"/>
        <v>0</v>
      </c>
      <c r="AW19" s="40">
        <f t="shared" ca="1" si="14"/>
        <v>0</v>
      </c>
      <c r="AY19" s="2" t="s">
        <v>358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156</v>
      </c>
      <c r="BH19" t="s">
        <v>352</v>
      </c>
      <c r="BI19" t="s">
        <v>359</v>
      </c>
    </row>
    <row r="20" spans="1:61">
      <c r="C20" t="str">
        <f t="shared" si="12"/>
        <v>TRABGS</v>
      </c>
      <c r="D20" s="40">
        <f t="shared" ref="D20:AW25" ca="1" si="15">ROUND(D5*D29/D37,3)</f>
        <v>0</v>
      </c>
      <c r="E20" s="40">
        <f t="shared" ref="E20:U20" ca="1" si="16">ROUND(E5*E29/E37,3)</f>
        <v>0</v>
      </c>
      <c r="F20" s="40">
        <f t="shared" ca="1" si="16"/>
        <v>0</v>
      </c>
      <c r="G20" s="40">
        <f t="shared" ca="1" si="16"/>
        <v>0</v>
      </c>
      <c r="H20" s="40">
        <f t="shared" ca="1" si="16"/>
        <v>0</v>
      </c>
      <c r="I20" s="40">
        <f t="shared" ca="1" si="16"/>
        <v>0</v>
      </c>
      <c r="J20" s="40">
        <f t="shared" ca="1" si="16"/>
        <v>0</v>
      </c>
      <c r="K20" s="40">
        <f t="shared" ca="1" si="16"/>
        <v>0</v>
      </c>
      <c r="L20" s="40">
        <f t="shared" ca="1" si="16"/>
        <v>0</v>
      </c>
      <c r="M20" s="40">
        <f t="shared" ca="1" si="16"/>
        <v>0</v>
      </c>
      <c r="N20" s="40">
        <f t="shared" ca="1" si="16"/>
        <v>0</v>
      </c>
      <c r="O20" s="40">
        <f t="shared" ca="1" si="16"/>
        <v>0</v>
      </c>
      <c r="P20" s="40">
        <f t="shared" ca="1" si="16"/>
        <v>0</v>
      </c>
      <c r="Q20" s="40">
        <f t="shared" ca="1" si="16"/>
        <v>0</v>
      </c>
      <c r="R20" s="40">
        <f t="shared" ca="1" si="16"/>
        <v>0</v>
      </c>
      <c r="S20" s="40">
        <f t="shared" ca="1" si="16"/>
        <v>0</v>
      </c>
      <c r="T20" s="40">
        <f t="shared" ca="1" si="16"/>
        <v>0</v>
      </c>
      <c r="U20" s="40">
        <f t="shared" ca="1" si="16"/>
        <v>0</v>
      </c>
      <c r="V20" s="40">
        <f t="shared" ca="1" si="15"/>
        <v>0</v>
      </c>
      <c r="W20" s="40">
        <f t="shared" ca="1" si="15"/>
        <v>0</v>
      </c>
      <c r="X20" s="40">
        <f t="shared" ca="1" si="15"/>
        <v>0</v>
      </c>
      <c r="Y20" s="40">
        <f t="shared" ca="1" si="15"/>
        <v>0</v>
      </c>
      <c r="Z20" s="40">
        <f t="shared" ca="1" si="15"/>
        <v>0</v>
      </c>
      <c r="AA20" s="40">
        <f t="shared" ca="1" si="15"/>
        <v>0</v>
      </c>
      <c r="AB20" s="40">
        <f t="shared" ca="1" si="15"/>
        <v>0</v>
      </c>
      <c r="AC20" s="40">
        <f t="shared" ca="1" si="15"/>
        <v>0</v>
      </c>
      <c r="AD20" s="40">
        <f t="shared" ca="1" si="15"/>
        <v>0</v>
      </c>
      <c r="AE20" s="40">
        <f t="shared" ca="1" si="15"/>
        <v>0</v>
      </c>
      <c r="AF20" s="40">
        <f t="shared" ca="1" si="15"/>
        <v>0</v>
      </c>
      <c r="AG20" s="40">
        <f t="shared" ca="1" si="15"/>
        <v>0</v>
      </c>
      <c r="AH20" s="40">
        <f t="shared" ca="1" si="15"/>
        <v>0</v>
      </c>
      <c r="AI20" s="40">
        <f t="shared" ca="1" si="15"/>
        <v>0</v>
      </c>
      <c r="AJ20" s="40">
        <f t="shared" ca="1" si="15"/>
        <v>0</v>
      </c>
      <c r="AK20" s="40">
        <f t="shared" ca="1" si="15"/>
        <v>0</v>
      </c>
      <c r="AL20" s="40">
        <f t="shared" ca="1" si="15"/>
        <v>0</v>
      </c>
      <c r="AM20" s="40">
        <f t="shared" ca="1" si="15"/>
        <v>0</v>
      </c>
      <c r="AN20" s="40">
        <f t="shared" ca="1" si="15"/>
        <v>0</v>
      </c>
      <c r="AO20" s="40">
        <f t="shared" ca="1" si="15"/>
        <v>0</v>
      </c>
      <c r="AP20" s="40">
        <f t="shared" ca="1" si="15"/>
        <v>0</v>
      </c>
      <c r="AQ20" s="40">
        <f t="shared" ca="1" si="15"/>
        <v>0</v>
      </c>
      <c r="AR20" s="40">
        <f t="shared" ca="1" si="15"/>
        <v>0</v>
      </c>
      <c r="AS20" s="40">
        <f t="shared" ca="1" si="15"/>
        <v>0</v>
      </c>
      <c r="AT20" s="40">
        <f t="shared" ca="1" si="15"/>
        <v>0</v>
      </c>
      <c r="AU20" s="40">
        <f t="shared" ca="1" si="15"/>
        <v>0</v>
      </c>
      <c r="AV20" s="40">
        <f t="shared" ca="1" si="15"/>
        <v>0</v>
      </c>
      <c r="AW20" s="40">
        <f t="shared" ca="1" si="15"/>
        <v>0</v>
      </c>
      <c r="AY20" s="2" t="s">
        <v>358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156</v>
      </c>
      <c r="BH20" t="s">
        <v>352</v>
      </c>
      <c r="BI20" t="s">
        <v>359</v>
      </c>
    </row>
    <row r="21" spans="1:61">
      <c r="C21" t="str">
        <f t="shared" si="12"/>
        <v>TRADST</v>
      </c>
      <c r="D21" s="40">
        <f t="shared" ca="1" si="15"/>
        <v>4.8899999999999997</v>
      </c>
      <c r="E21" s="40">
        <f t="shared" ref="E21:U21" ca="1" si="17">ROUND(E6*E30/E38,3)</f>
        <v>4.3460000000000001</v>
      </c>
      <c r="F21" s="40">
        <f t="shared" ca="1" si="17"/>
        <v>0.50600000000000001</v>
      </c>
      <c r="G21" s="40">
        <f t="shared" ca="1" si="17"/>
        <v>2.2749999999999999</v>
      </c>
      <c r="H21" s="40">
        <f t="shared" ca="1" si="17"/>
        <v>0.26700000000000002</v>
      </c>
      <c r="I21" s="40">
        <f t="shared" ca="1" si="17"/>
        <v>4.8220000000000001</v>
      </c>
      <c r="J21" s="40">
        <f t="shared" ca="1" si="17"/>
        <v>4.3760000000000003</v>
      </c>
      <c r="K21" s="40">
        <f t="shared" ca="1" si="17"/>
        <v>7.1689999999999996</v>
      </c>
      <c r="L21" s="40">
        <f t="shared" ca="1" si="17"/>
        <v>1.06</v>
      </c>
      <c r="M21" s="40">
        <f t="shared" ca="1" si="17"/>
        <v>2.2709999999999999</v>
      </c>
      <c r="N21" s="40">
        <f t="shared" ca="1" si="17"/>
        <v>11.314</v>
      </c>
      <c r="O21" s="40">
        <f t="shared" ca="1" si="17"/>
        <v>12.218999999999999</v>
      </c>
      <c r="P21" s="40">
        <f t="shared" ca="1" si="17"/>
        <v>0.98799999999999999</v>
      </c>
      <c r="Q21" s="40">
        <f t="shared" ca="1" si="17"/>
        <v>3.5430000000000001</v>
      </c>
      <c r="R21" s="40">
        <f t="shared" ca="1" si="17"/>
        <v>6.8000000000000005E-2</v>
      </c>
      <c r="S21" s="40">
        <f t="shared" ca="1" si="17"/>
        <v>20.067</v>
      </c>
      <c r="T21" s="40">
        <f t="shared" ca="1" si="17"/>
        <v>1.085</v>
      </c>
      <c r="U21" s="40">
        <f t="shared" ca="1" si="17"/>
        <v>7.9160000000000004</v>
      </c>
      <c r="V21" s="40">
        <f t="shared" ca="1" si="15"/>
        <v>1.988</v>
      </c>
      <c r="W21" s="40">
        <f t="shared" ca="1" si="15"/>
        <v>4.4930000000000003</v>
      </c>
      <c r="X21" s="40">
        <f t="shared" ca="1" si="15"/>
        <v>6.5869999999999997</v>
      </c>
      <c r="Y21" s="40">
        <f t="shared" ca="1" si="15"/>
        <v>2.7050000000000001</v>
      </c>
      <c r="Z21" s="40">
        <f t="shared" ca="1" si="15"/>
        <v>0.77900000000000003</v>
      </c>
      <c r="AA21" s="40">
        <f t="shared" ca="1" si="15"/>
        <v>5.2140000000000004</v>
      </c>
      <c r="AB21" s="40">
        <f t="shared" ca="1" si="15"/>
        <v>14.127000000000001</v>
      </c>
      <c r="AC21" s="40">
        <f t="shared" ca="1" si="15"/>
        <v>1.542</v>
      </c>
      <c r="AD21" s="40">
        <f t="shared" ca="1" si="15"/>
        <v>3.746</v>
      </c>
      <c r="AE21" s="40">
        <f t="shared" ca="1" si="15"/>
        <v>1.5269999999999999</v>
      </c>
      <c r="AF21" s="40">
        <f t="shared" ca="1" si="15"/>
        <v>9.4480000000000004</v>
      </c>
      <c r="AG21" s="40">
        <f t="shared" ca="1" si="15"/>
        <v>2.8359999999999999</v>
      </c>
      <c r="AH21" s="40">
        <f t="shared" ca="1" si="15"/>
        <v>1.0009999999999999</v>
      </c>
      <c r="AI21" s="40">
        <f t="shared" ca="1" si="15"/>
        <v>3.6160000000000001</v>
      </c>
      <c r="AJ21" s="40">
        <f t="shared" ca="1" si="15"/>
        <v>8.92</v>
      </c>
      <c r="AK21" s="40">
        <f t="shared" ca="1" si="15"/>
        <v>0.4</v>
      </c>
      <c r="AL21" s="40">
        <f t="shared" ca="1" si="15"/>
        <v>1.651</v>
      </c>
      <c r="AM21" s="40">
        <f t="shared" ca="1" si="15"/>
        <v>0</v>
      </c>
      <c r="AN21" s="40">
        <f t="shared" ca="1" si="15"/>
        <v>0</v>
      </c>
      <c r="AO21" s="40">
        <f t="shared" ca="1" si="15"/>
        <v>0</v>
      </c>
      <c r="AP21" s="40">
        <f t="shared" ca="1" si="15"/>
        <v>0</v>
      </c>
      <c r="AQ21" s="40">
        <f t="shared" ca="1" si="15"/>
        <v>0</v>
      </c>
      <c r="AR21" s="40">
        <f t="shared" ca="1" si="15"/>
        <v>0</v>
      </c>
      <c r="AS21" s="40">
        <f t="shared" ca="1" si="15"/>
        <v>0</v>
      </c>
      <c r="AT21" s="40">
        <f t="shared" ca="1" si="15"/>
        <v>0</v>
      </c>
      <c r="AU21" s="40">
        <f t="shared" ca="1" si="15"/>
        <v>0</v>
      </c>
      <c r="AV21" s="40">
        <f t="shared" ca="1" si="15"/>
        <v>0</v>
      </c>
      <c r="AW21" s="40">
        <f t="shared" ca="1" si="15"/>
        <v>0</v>
      </c>
      <c r="AY21" s="2" t="s">
        <v>358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156</v>
      </c>
      <c r="BH21" t="s">
        <v>352</v>
      </c>
      <c r="BI21" t="s">
        <v>359</v>
      </c>
    </row>
    <row r="22" spans="1:61">
      <c r="C22" t="str">
        <f t="shared" si="12"/>
        <v>TRAELC</v>
      </c>
      <c r="D22" s="40">
        <f t="shared" ca="1" si="15"/>
        <v>0</v>
      </c>
      <c r="E22" s="40">
        <f t="shared" ref="E22:U22" ca="1" si="18">ROUND(E7*E31/E39,3)</f>
        <v>0</v>
      </c>
      <c r="F22" s="40">
        <f t="shared" ca="1" si="18"/>
        <v>8.0000000000000002E-3</v>
      </c>
      <c r="G22" s="40">
        <f t="shared" ca="1" si="18"/>
        <v>5.0000000000000001E-3</v>
      </c>
      <c r="H22" s="40">
        <f t="shared" ca="1" si="18"/>
        <v>0</v>
      </c>
      <c r="I22" s="40">
        <f t="shared" ca="1" si="18"/>
        <v>0.22500000000000001</v>
      </c>
      <c r="J22" s="40">
        <f t="shared" ca="1" si="18"/>
        <v>0</v>
      </c>
      <c r="K22" s="40">
        <f t="shared" ca="1" si="18"/>
        <v>20.012</v>
      </c>
      <c r="L22" s="40">
        <f t="shared" ca="1" si="18"/>
        <v>0</v>
      </c>
      <c r="M22" s="40">
        <f t="shared" ca="1" si="18"/>
        <v>0</v>
      </c>
      <c r="N22" s="40">
        <f t="shared" ca="1" si="18"/>
        <v>0.114</v>
      </c>
      <c r="O22" s="40">
        <f t="shared" ca="1" si="18"/>
        <v>0.11700000000000001</v>
      </c>
      <c r="P22" s="40">
        <f t="shared" ca="1" si="18"/>
        <v>7.0000000000000001E-3</v>
      </c>
      <c r="Q22" s="40">
        <f t="shared" ca="1" si="18"/>
        <v>0</v>
      </c>
      <c r="R22" s="40">
        <f t="shared" ca="1" si="18"/>
        <v>8.0000000000000002E-3</v>
      </c>
      <c r="S22" s="40">
        <f t="shared" ca="1" si="18"/>
        <v>0</v>
      </c>
      <c r="T22" s="40">
        <f t="shared" ca="1" si="18"/>
        <v>8.9999999999999993E-3</v>
      </c>
      <c r="U22" s="40">
        <f t="shared" ca="1" si="18"/>
        <v>4.8000000000000001E-2</v>
      </c>
      <c r="V22" s="40">
        <f t="shared" ca="1" si="15"/>
        <v>0</v>
      </c>
      <c r="W22" s="40">
        <f t="shared" ca="1" si="15"/>
        <v>0.14299999999999999</v>
      </c>
      <c r="X22" s="40">
        <f t="shared" ca="1" si="15"/>
        <v>0</v>
      </c>
      <c r="Y22" s="40">
        <f t="shared" ca="1" si="15"/>
        <v>1.089</v>
      </c>
      <c r="Z22" s="40">
        <f t="shared" ca="1" si="15"/>
        <v>0.3</v>
      </c>
      <c r="AA22" s="40">
        <f t="shared" ca="1" si="15"/>
        <v>0</v>
      </c>
      <c r="AB22" s="40">
        <f t="shared" ca="1" si="15"/>
        <v>0.17199999999999999</v>
      </c>
      <c r="AC22" s="40">
        <f t="shared" ca="1" si="15"/>
        <v>0</v>
      </c>
      <c r="AD22" s="40">
        <f t="shared" ca="1" si="15"/>
        <v>0</v>
      </c>
      <c r="AE22" s="40">
        <f t="shared" ca="1" si="15"/>
        <v>0</v>
      </c>
      <c r="AF22" s="40">
        <f t="shared" ca="1" si="15"/>
        <v>5.8000000000000003E-2</v>
      </c>
      <c r="AG22" s="40">
        <f t="shared" ca="1" si="15"/>
        <v>0.13200000000000001</v>
      </c>
      <c r="AH22" s="40">
        <f t="shared" ca="1" si="15"/>
        <v>0</v>
      </c>
      <c r="AI22" s="40">
        <f t="shared" ca="1" si="15"/>
        <v>0</v>
      </c>
      <c r="AJ22" s="40">
        <f t="shared" ca="1" si="15"/>
        <v>0.128</v>
      </c>
      <c r="AK22" s="40">
        <f t="shared" ca="1" si="15"/>
        <v>0</v>
      </c>
      <c r="AL22" s="40">
        <f t="shared" ca="1" si="15"/>
        <v>0</v>
      </c>
      <c r="AM22" s="40">
        <f t="shared" ca="1" si="15"/>
        <v>0</v>
      </c>
      <c r="AN22" s="40">
        <f t="shared" ca="1" si="15"/>
        <v>0</v>
      </c>
      <c r="AO22" s="40">
        <f t="shared" ca="1" si="15"/>
        <v>0</v>
      </c>
      <c r="AP22" s="40">
        <f t="shared" ca="1" si="15"/>
        <v>0</v>
      </c>
      <c r="AQ22" s="40">
        <f t="shared" ca="1" si="15"/>
        <v>0</v>
      </c>
      <c r="AR22" s="40">
        <f t="shared" ca="1" si="15"/>
        <v>0</v>
      </c>
      <c r="AS22" s="40">
        <f t="shared" ca="1" si="15"/>
        <v>0</v>
      </c>
      <c r="AT22" s="40">
        <f t="shared" ca="1" si="15"/>
        <v>0</v>
      </c>
      <c r="AU22" s="40">
        <f t="shared" ca="1" si="15"/>
        <v>0</v>
      </c>
      <c r="AV22" s="40">
        <f t="shared" ca="1" si="15"/>
        <v>0</v>
      </c>
      <c r="AW22" s="40">
        <f t="shared" ca="1" si="15"/>
        <v>0</v>
      </c>
      <c r="AY22" s="2" t="s">
        <v>358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156</v>
      </c>
      <c r="BH22" t="s">
        <v>352</v>
      </c>
      <c r="BI22" t="s">
        <v>359</v>
      </c>
    </row>
    <row r="23" spans="1:61">
      <c r="C23" t="str">
        <f t="shared" si="12"/>
        <v>TRAGSL</v>
      </c>
      <c r="D23" s="40">
        <f t="shared" ca="1" si="15"/>
        <v>15.287000000000001</v>
      </c>
      <c r="E23" s="40">
        <f t="shared" ref="E23:U23" ca="1" si="19">ROUND(E8*E32/E40,3)</f>
        <v>26.545999999999999</v>
      </c>
      <c r="F23" s="40">
        <f t="shared" ca="1" si="19"/>
        <v>19.488</v>
      </c>
      <c r="G23" s="40">
        <f t="shared" ca="1" si="19"/>
        <v>2.5830000000000002</v>
      </c>
      <c r="H23" s="40">
        <f t="shared" ca="1" si="19"/>
        <v>0.77</v>
      </c>
      <c r="I23" s="40">
        <f t="shared" ca="1" si="19"/>
        <v>9.9920000000000009</v>
      </c>
      <c r="J23" s="40">
        <f t="shared" ca="1" si="19"/>
        <v>30.766999999999999</v>
      </c>
      <c r="K23" s="40">
        <f t="shared" ca="1" si="19"/>
        <v>154.196</v>
      </c>
      <c r="L23" s="40">
        <f t="shared" ca="1" si="19"/>
        <v>1.2869999999999999</v>
      </c>
      <c r="M23" s="40">
        <f t="shared" ca="1" si="19"/>
        <v>3.052</v>
      </c>
      <c r="N23" s="40">
        <f t="shared" ca="1" si="19"/>
        <v>12.273999999999999</v>
      </c>
      <c r="O23" s="40">
        <f t="shared" ca="1" si="19"/>
        <v>26.95</v>
      </c>
      <c r="P23" s="40">
        <f t="shared" ca="1" si="19"/>
        <v>4.2149999999999999</v>
      </c>
      <c r="Q23" s="40">
        <f t="shared" ca="1" si="19"/>
        <v>4.7569999999999997</v>
      </c>
      <c r="R23" s="40">
        <f t="shared" ca="1" si="19"/>
        <v>0.19500000000000001</v>
      </c>
      <c r="S23" s="40">
        <f t="shared" ca="1" si="19"/>
        <v>26.077000000000002</v>
      </c>
      <c r="T23" s="40">
        <f t="shared" ca="1" si="19"/>
        <v>1.202</v>
      </c>
      <c r="U23" s="40">
        <f t="shared" ca="1" si="19"/>
        <v>12.176</v>
      </c>
      <c r="V23" s="40">
        <f t="shared" ca="1" si="15"/>
        <v>54.555</v>
      </c>
      <c r="W23" s="40">
        <f t="shared" ca="1" si="15"/>
        <v>58.5</v>
      </c>
      <c r="X23" s="40">
        <f t="shared" ca="1" si="15"/>
        <v>62.225000000000001</v>
      </c>
      <c r="Y23" s="40">
        <f t="shared" ca="1" si="15"/>
        <v>227.565</v>
      </c>
      <c r="Z23" s="40">
        <f t="shared" ca="1" si="15"/>
        <v>1.04</v>
      </c>
      <c r="AA23" s="40">
        <f t="shared" ca="1" si="15"/>
        <v>6.6559999999999997</v>
      </c>
      <c r="AB23" s="40">
        <f t="shared" ca="1" si="15"/>
        <v>96.614999999999995</v>
      </c>
      <c r="AC23" s="40">
        <f t="shared" ca="1" si="15"/>
        <v>41.215000000000003</v>
      </c>
      <c r="AD23" s="40">
        <f t="shared" ca="1" si="15"/>
        <v>26.882000000000001</v>
      </c>
      <c r="AE23" s="40">
        <f t="shared" ca="1" si="15"/>
        <v>6.7619999999999996</v>
      </c>
      <c r="AF23" s="40">
        <f t="shared" ca="1" si="15"/>
        <v>10.112</v>
      </c>
      <c r="AG23" s="40">
        <f t="shared" ca="1" si="15"/>
        <v>7.0919999999999996</v>
      </c>
      <c r="AH23" s="40">
        <f t="shared" ca="1" si="15"/>
        <v>3.7250000000000001</v>
      </c>
      <c r="AI23" s="40">
        <f t="shared" ca="1" si="15"/>
        <v>2.6190000000000002</v>
      </c>
      <c r="AJ23" s="40">
        <f t="shared" ca="1" si="15"/>
        <v>19.222000000000001</v>
      </c>
      <c r="AK23" s="40">
        <f t="shared" ca="1" si="15"/>
        <v>2.0550000000000002</v>
      </c>
      <c r="AL23" s="40">
        <f t="shared" ca="1" si="15"/>
        <v>1.34</v>
      </c>
      <c r="AM23" s="40">
        <f t="shared" ca="1" si="15"/>
        <v>0</v>
      </c>
      <c r="AN23" s="40">
        <f t="shared" ca="1" si="15"/>
        <v>0</v>
      </c>
      <c r="AO23" s="40">
        <f t="shared" ca="1" si="15"/>
        <v>0</v>
      </c>
      <c r="AP23" s="40">
        <f t="shared" ca="1" si="15"/>
        <v>0</v>
      </c>
      <c r="AQ23" s="40">
        <f t="shared" ca="1" si="15"/>
        <v>0</v>
      </c>
      <c r="AR23" s="40">
        <f t="shared" ca="1" si="15"/>
        <v>0</v>
      </c>
      <c r="AS23" s="40">
        <f t="shared" ca="1" si="15"/>
        <v>0</v>
      </c>
      <c r="AT23" s="40">
        <f t="shared" ca="1" si="15"/>
        <v>0</v>
      </c>
      <c r="AU23" s="40">
        <f t="shared" ca="1" si="15"/>
        <v>0</v>
      </c>
      <c r="AV23" s="40">
        <f t="shared" ca="1" si="15"/>
        <v>0</v>
      </c>
      <c r="AW23" s="40">
        <f t="shared" ca="1" si="15"/>
        <v>0</v>
      </c>
      <c r="AY23" s="2" t="s">
        <v>358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156</v>
      </c>
      <c r="BH23" t="s">
        <v>352</v>
      </c>
      <c r="BI23" t="s">
        <v>359</v>
      </c>
    </row>
    <row r="24" spans="1:61">
      <c r="C24" t="str">
        <f t="shared" si="12"/>
        <v>TRALPG</v>
      </c>
      <c r="D24" s="40">
        <f t="shared" ca="1" si="15"/>
        <v>1.0209999999999999</v>
      </c>
      <c r="E24" s="40">
        <f t="shared" ref="E24:U24" ca="1" si="20">ROUND(E9*E33/E41,3)</f>
        <v>1E-3</v>
      </c>
      <c r="F24" s="40">
        <f t="shared" ca="1" si="20"/>
        <v>0.151</v>
      </c>
      <c r="G24" s="40">
        <f t="shared" ca="1" si="20"/>
        <v>7.0000000000000001E-3</v>
      </c>
      <c r="H24" s="40">
        <f t="shared" ca="1" si="20"/>
        <v>0.156</v>
      </c>
      <c r="I24" s="40">
        <f t="shared" ca="1" si="20"/>
        <v>0.24299999999999999</v>
      </c>
      <c r="J24" s="40">
        <f t="shared" ca="1" si="20"/>
        <v>0</v>
      </c>
      <c r="K24" s="40">
        <f t="shared" ca="1" si="20"/>
        <v>1.3029999999999999</v>
      </c>
      <c r="L24" s="40">
        <f t="shared" ca="1" si="20"/>
        <v>8.3000000000000004E-2</v>
      </c>
      <c r="M24" s="40">
        <f t="shared" ca="1" si="20"/>
        <v>9.0999999999999998E-2</v>
      </c>
      <c r="N24" s="40">
        <f t="shared" ca="1" si="20"/>
        <v>7.1999999999999995E-2</v>
      </c>
      <c r="O24" s="40">
        <f t="shared" ca="1" si="20"/>
        <v>0.46300000000000002</v>
      </c>
      <c r="P24" s="40">
        <f t="shared" ca="1" si="20"/>
        <v>0.3</v>
      </c>
      <c r="Q24" s="40">
        <f t="shared" ca="1" si="20"/>
        <v>0.52700000000000002</v>
      </c>
      <c r="R24" s="40">
        <f t="shared" ca="1" si="20"/>
        <v>0</v>
      </c>
      <c r="S24" s="40">
        <f t="shared" ca="1" si="20"/>
        <v>8.1000000000000003E-2</v>
      </c>
      <c r="T24" s="40">
        <f t="shared" ca="1" si="20"/>
        <v>2E-3</v>
      </c>
      <c r="U24" s="40">
        <f t="shared" ca="1" si="20"/>
        <v>2.2610000000000001</v>
      </c>
      <c r="V24" s="40">
        <f t="shared" ca="1" si="15"/>
        <v>0.67400000000000004</v>
      </c>
      <c r="W24" s="40">
        <f t="shared" ca="1" si="15"/>
        <v>0.68600000000000005</v>
      </c>
      <c r="X24" s="40">
        <f t="shared" ca="1" si="15"/>
        <v>6.7000000000000004E-2</v>
      </c>
      <c r="Y24" s="40">
        <f t="shared" ca="1" si="15"/>
        <v>0.84199999999999997</v>
      </c>
      <c r="Z24" s="40">
        <f t="shared" ca="1" si="15"/>
        <v>6.0000000000000001E-3</v>
      </c>
      <c r="AA24" s="40">
        <f t="shared" ca="1" si="15"/>
        <v>2.0110000000000001</v>
      </c>
      <c r="AB24" s="40">
        <f t="shared" ca="1" si="15"/>
        <v>6.4420000000000002</v>
      </c>
      <c r="AC24" s="40">
        <f t="shared" ca="1" si="15"/>
        <v>1.3440000000000001</v>
      </c>
      <c r="AD24" s="40">
        <f t="shared" ca="1" si="15"/>
        <v>0</v>
      </c>
      <c r="AE24" s="40">
        <f t="shared" ca="1" si="15"/>
        <v>1.6E-2</v>
      </c>
      <c r="AF24" s="40">
        <f t="shared" ca="1" si="15"/>
        <v>0.16800000000000001</v>
      </c>
      <c r="AG24" s="40">
        <f t="shared" ca="1" si="15"/>
        <v>0</v>
      </c>
      <c r="AH24" s="40">
        <f t="shared" ca="1" si="15"/>
        <v>2E-3</v>
      </c>
      <c r="AI24" s="40">
        <f t="shared" ca="1" si="15"/>
        <v>3.6680000000000001</v>
      </c>
      <c r="AJ24" s="40">
        <f t="shared" ca="1" si="15"/>
        <v>8.5999999999999993E-2</v>
      </c>
      <c r="AK24" s="40">
        <f t="shared" ca="1" si="15"/>
        <v>1.8819999999999999</v>
      </c>
      <c r="AL24" s="40">
        <f t="shared" ca="1" si="15"/>
        <v>0.23699999999999999</v>
      </c>
      <c r="AM24" s="40">
        <f t="shared" ca="1" si="15"/>
        <v>0</v>
      </c>
      <c r="AN24" s="40">
        <f t="shared" ca="1" si="15"/>
        <v>0</v>
      </c>
      <c r="AO24" s="40">
        <f t="shared" ca="1" si="15"/>
        <v>0</v>
      </c>
      <c r="AP24" s="40">
        <f t="shared" ca="1" si="15"/>
        <v>0</v>
      </c>
      <c r="AQ24" s="40">
        <f t="shared" ca="1" si="15"/>
        <v>0</v>
      </c>
      <c r="AR24" s="40">
        <f t="shared" ca="1" si="15"/>
        <v>0</v>
      </c>
      <c r="AS24" s="40">
        <f t="shared" ca="1" si="15"/>
        <v>0</v>
      </c>
      <c r="AT24" s="40">
        <f t="shared" ca="1" si="15"/>
        <v>0</v>
      </c>
      <c r="AU24" s="40">
        <f t="shared" ca="1" si="15"/>
        <v>0</v>
      </c>
      <c r="AV24" s="40">
        <f t="shared" ca="1" si="15"/>
        <v>0</v>
      </c>
      <c r="AW24" s="40">
        <f t="shared" ca="1" si="15"/>
        <v>0</v>
      </c>
      <c r="AY24" s="2" t="s">
        <v>358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156</v>
      </c>
      <c r="BH24" t="s">
        <v>352</v>
      </c>
      <c r="BI24" t="s">
        <v>359</v>
      </c>
    </row>
    <row r="25" spans="1:61">
      <c r="C25" t="str">
        <f t="shared" si="12"/>
        <v>TRANGA</v>
      </c>
      <c r="D25" s="40">
        <f t="shared" ca="1" si="15"/>
        <v>0.182</v>
      </c>
      <c r="E25" s="40">
        <f t="shared" ref="E25:U25" ca="1" si="21">ROUND(E10*E34/E42,3)</f>
        <v>1E-3</v>
      </c>
      <c r="F25" s="40">
        <f t="shared" ca="1" si="21"/>
        <v>2.8000000000000001E-2</v>
      </c>
      <c r="G25" s="40">
        <f t="shared" ca="1" si="21"/>
        <v>1.9E-2</v>
      </c>
      <c r="H25" s="40">
        <f t="shared" ca="1" si="21"/>
        <v>0.02</v>
      </c>
      <c r="I25" s="40">
        <f t="shared" ca="1" si="21"/>
        <v>9.4E-2</v>
      </c>
      <c r="J25" s="40">
        <f t="shared" ca="1" si="21"/>
        <v>1.506</v>
      </c>
      <c r="K25" s="40">
        <f t="shared" ca="1" si="21"/>
        <v>15.452999999999999</v>
      </c>
      <c r="L25" s="40">
        <f t="shared" ca="1" si="21"/>
        <v>0</v>
      </c>
      <c r="M25" s="40">
        <f t="shared" ca="1" si="21"/>
        <v>0</v>
      </c>
      <c r="N25" s="40">
        <f t="shared" ca="1" si="21"/>
        <v>0.16600000000000001</v>
      </c>
      <c r="O25" s="40">
        <f t="shared" ca="1" si="21"/>
        <v>0.20300000000000001</v>
      </c>
      <c r="P25" s="40">
        <f t="shared" ca="1" si="21"/>
        <v>1.7999999999999999E-2</v>
      </c>
      <c r="Q25" s="40">
        <f t="shared" ca="1" si="21"/>
        <v>0</v>
      </c>
      <c r="R25" s="40">
        <f t="shared" ca="1" si="21"/>
        <v>2E-3</v>
      </c>
      <c r="S25" s="40">
        <f t="shared" ca="1" si="21"/>
        <v>1.1040000000000001</v>
      </c>
      <c r="T25" s="40">
        <f t="shared" ca="1" si="21"/>
        <v>0</v>
      </c>
      <c r="U25" s="40">
        <f t="shared" ca="1" si="21"/>
        <v>0.98099999999999998</v>
      </c>
      <c r="V25" s="40">
        <f t="shared" ca="1" si="15"/>
        <v>4.8000000000000001E-2</v>
      </c>
      <c r="W25" s="40">
        <f t="shared" ca="1" si="15"/>
        <v>2.8959999999999999</v>
      </c>
      <c r="X25" s="40">
        <f t="shared" ca="1" si="15"/>
        <v>6.819</v>
      </c>
      <c r="Y25" s="40">
        <f t="shared" ca="1" si="15"/>
        <v>0.76200000000000001</v>
      </c>
      <c r="Z25" s="40">
        <f t="shared" ca="1" si="15"/>
        <v>5.8000000000000003E-2</v>
      </c>
      <c r="AA25" s="40">
        <f t="shared" ca="1" si="15"/>
        <v>0</v>
      </c>
      <c r="AB25" s="40">
        <f t="shared" ca="1" si="15"/>
        <v>11.75</v>
      </c>
      <c r="AC25" s="40">
        <f t="shared" ca="1" si="15"/>
        <v>0.223</v>
      </c>
      <c r="AD25" s="40">
        <f t="shared" ca="1" si="15"/>
        <v>0</v>
      </c>
      <c r="AE25" s="40">
        <f t="shared" ca="1" si="15"/>
        <v>0</v>
      </c>
      <c r="AF25" s="40">
        <f t="shared" ca="1" si="15"/>
        <v>0.216</v>
      </c>
      <c r="AG25" s="40">
        <f t="shared" ca="1" si="15"/>
        <v>0.129</v>
      </c>
      <c r="AH25" s="40">
        <f t="shared" ca="1" si="15"/>
        <v>1.4E-2</v>
      </c>
      <c r="AI25" s="40">
        <f t="shared" ca="1" si="15"/>
        <v>8.2000000000000003E-2</v>
      </c>
      <c r="AJ25" s="40">
        <f t="shared" ca="1" si="15"/>
        <v>1.4E-2</v>
      </c>
      <c r="AK25" s="40">
        <f t="shared" ca="1" si="15"/>
        <v>3.4000000000000002E-2</v>
      </c>
      <c r="AL25" s="40">
        <f t="shared" ca="1" si="15"/>
        <v>0</v>
      </c>
      <c r="AM25" s="40">
        <f t="shared" ca="1" si="15"/>
        <v>0</v>
      </c>
      <c r="AN25" s="40">
        <f t="shared" ca="1" si="15"/>
        <v>0</v>
      </c>
      <c r="AO25" s="40">
        <f t="shared" ca="1" si="15"/>
        <v>0</v>
      </c>
      <c r="AP25" s="40">
        <f t="shared" ca="1" si="15"/>
        <v>0</v>
      </c>
      <c r="AQ25" s="40">
        <f t="shared" ca="1" si="15"/>
        <v>0</v>
      </c>
      <c r="AR25" s="40">
        <f t="shared" ca="1" si="15"/>
        <v>0</v>
      </c>
      <c r="AS25" s="40">
        <f t="shared" ca="1" si="15"/>
        <v>0</v>
      </c>
      <c r="AT25" s="40">
        <f t="shared" ca="1" si="15"/>
        <v>0</v>
      </c>
      <c r="AU25" s="40">
        <f t="shared" ca="1" si="15"/>
        <v>0</v>
      </c>
      <c r="AV25" s="40">
        <f t="shared" ca="1" si="15"/>
        <v>0</v>
      </c>
      <c r="AW25" s="40">
        <f t="shared" ca="1" si="15"/>
        <v>0</v>
      </c>
      <c r="AY25" s="2" t="s">
        <v>358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s="2" t="s">
        <v>169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1.05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2" t="s">
        <v>169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 s="1">
        <f t="shared" ref="D28:AC34" si="22">$AX28*D$27</f>
        <v>0.52772280688712847</v>
      </c>
      <c r="E28" s="1">
        <f t="shared" si="22"/>
        <v>0.52772280688712847</v>
      </c>
      <c r="F28" s="1">
        <f t="shared" si="22"/>
        <v>0.52772280688712847</v>
      </c>
      <c r="G28" s="1">
        <f t="shared" si="22"/>
        <v>0.52772280688712847</v>
      </c>
      <c r="H28" s="1">
        <f t="shared" si="22"/>
        <v>0.52772280688712847</v>
      </c>
      <c r="I28" s="1">
        <f t="shared" si="22"/>
        <v>0.52772280688712847</v>
      </c>
      <c r="J28" s="1">
        <f t="shared" si="22"/>
        <v>0.52772280688712847</v>
      </c>
      <c r="K28" s="1">
        <f t="shared" si="22"/>
        <v>0.55410894723148496</v>
      </c>
      <c r="L28" s="1">
        <f t="shared" si="22"/>
        <v>0.52772280688712847</v>
      </c>
      <c r="M28" s="1">
        <f t="shared" si="22"/>
        <v>0.52772280688712847</v>
      </c>
      <c r="N28" s="1">
        <f t="shared" si="22"/>
        <v>0.52772280688712847</v>
      </c>
      <c r="O28" s="1">
        <f t="shared" si="22"/>
        <v>0.52772280688712847</v>
      </c>
      <c r="P28" s="1">
        <f t="shared" si="22"/>
        <v>0.52772280688712847</v>
      </c>
      <c r="Q28" s="1">
        <f t="shared" si="22"/>
        <v>0.52772280688712847</v>
      </c>
      <c r="R28" s="1">
        <f t="shared" si="22"/>
        <v>0.52772280688712847</v>
      </c>
      <c r="S28" s="1">
        <f t="shared" si="22"/>
        <v>0.52772280688712847</v>
      </c>
      <c r="T28" s="1">
        <f t="shared" si="22"/>
        <v>0.52772280688712847</v>
      </c>
      <c r="U28" s="1">
        <f t="shared" si="22"/>
        <v>0.52772280688712847</v>
      </c>
      <c r="V28" s="1">
        <f t="shared" si="22"/>
        <v>0.52772280688712847</v>
      </c>
      <c r="W28" s="1">
        <f t="shared" si="22"/>
        <v>0.52772280688712847</v>
      </c>
      <c r="X28" s="1">
        <f t="shared" si="22"/>
        <v>0.52772280688712847</v>
      </c>
      <c r="Y28" s="1">
        <f t="shared" si="22"/>
        <v>0.31663368413227705</v>
      </c>
      <c r="Z28" s="1">
        <f t="shared" si="22"/>
        <v>0.52772280688712847</v>
      </c>
      <c r="AA28" s="1">
        <f t="shared" si="22"/>
        <v>0.52772280688712847</v>
      </c>
      <c r="AB28" s="1">
        <f t="shared" si="22"/>
        <v>0.52772280688712847</v>
      </c>
      <c r="AC28" s="1">
        <f t="shared" si="22"/>
        <v>0.52772280688712847</v>
      </c>
      <c r="AD28" s="1">
        <f t="shared" ref="AD28:AS34" si="23">$AX28*AD$27</f>
        <v>0.52772280688712847</v>
      </c>
      <c r="AE28" s="1">
        <f t="shared" si="23"/>
        <v>0.52772280688712847</v>
      </c>
      <c r="AF28" s="1">
        <f t="shared" si="23"/>
        <v>0.52772280688712847</v>
      </c>
      <c r="AG28" s="1">
        <f t="shared" si="23"/>
        <v>0.52772280688712847</v>
      </c>
      <c r="AH28" s="1">
        <f t="shared" si="23"/>
        <v>0.52772280688712847</v>
      </c>
      <c r="AI28" s="1">
        <f t="shared" si="23"/>
        <v>0.52772280688712847</v>
      </c>
      <c r="AJ28" s="1">
        <f t="shared" si="23"/>
        <v>0.52772280688712847</v>
      </c>
      <c r="AK28" s="1">
        <f t="shared" si="23"/>
        <v>0.52772280688712847</v>
      </c>
      <c r="AL28" s="1">
        <f t="shared" si="23"/>
        <v>0.52772280688712847</v>
      </c>
      <c r="AM28" s="1">
        <f t="shared" si="23"/>
        <v>0.52772280688712847</v>
      </c>
      <c r="AN28" s="1">
        <f t="shared" si="23"/>
        <v>0.52772280688712847</v>
      </c>
      <c r="AO28" s="1">
        <f t="shared" si="23"/>
        <v>0.52772280688712847</v>
      </c>
      <c r="AP28" s="1">
        <f t="shared" si="23"/>
        <v>0.52772280688712847</v>
      </c>
      <c r="AQ28" s="1">
        <f t="shared" si="23"/>
        <v>0.52772280688712847</v>
      </c>
      <c r="AR28" s="1">
        <f t="shared" si="23"/>
        <v>0.52772280688712847</v>
      </c>
      <c r="AS28" s="1">
        <f t="shared" si="23"/>
        <v>0.52772280688712847</v>
      </c>
      <c r="AT28" s="1">
        <f t="shared" ref="AK28:AW34" si="24">$AX28*AT$27</f>
        <v>0.52772280688712847</v>
      </c>
      <c r="AU28" s="1">
        <f t="shared" si="24"/>
        <v>0.52772280688712847</v>
      </c>
      <c r="AV28" s="1">
        <f t="shared" si="24"/>
        <v>0.52772280688712847</v>
      </c>
      <c r="AW28" s="1">
        <f t="shared" si="24"/>
        <v>0.52772280688712847</v>
      </c>
      <c r="AX28" s="52">
        <f>AX30</f>
        <v>0.52772280688712847</v>
      </c>
      <c r="AY28" s="2" t="s">
        <v>348</v>
      </c>
      <c r="AZ28" s="1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25">C20</f>
        <v>TRABGS</v>
      </c>
      <c r="D29" s="1">
        <f t="shared" si="22"/>
        <v>0.46605286801155565</v>
      </c>
      <c r="E29" s="1">
        <f t="shared" si="22"/>
        <v>0.46605286801155565</v>
      </c>
      <c r="F29" s="1">
        <f t="shared" si="22"/>
        <v>0.46605286801155565</v>
      </c>
      <c r="G29" s="1">
        <f t="shared" si="22"/>
        <v>0.46605286801155565</v>
      </c>
      <c r="H29" s="1">
        <f t="shared" si="22"/>
        <v>0.46605286801155565</v>
      </c>
      <c r="I29" s="1">
        <f t="shared" si="22"/>
        <v>0.46605286801155565</v>
      </c>
      <c r="J29" s="1">
        <f t="shared" si="22"/>
        <v>0.46605286801155565</v>
      </c>
      <c r="K29" s="1">
        <f t="shared" si="22"/>
        <v>0.48935551141213346</v>
      </c>
      <c r="L29" s="1">
        <f t="shared" si="22"/>
        <v>0.46605286801155565</v>
      </c>
      <c r="M29" s="1">
        <f t="shared" si="22"/>
        <v>0.46605286801155565</v>
      </c>
      <c r="N29" s="1">
        <f t="shared" si="22"/>
        <v>0.46605286801155565</v>
      </c>
      <c r="O29" s="1">
        <f t="shared" si="22"/>
        <v>0.46605286801155565</v>
      </c>
      <c r="P29" s="1">
        <f t="shared" si="22"/>
        <v>0.46605286801155565</v>
      </c>
      <c r="Q29" s="1">
        <f t="shared" si="22"/>
        <v>0.46605286801155565</v>
      </c>
      <c r="R29" s="1">
        <f t="shared" si="22"/>
        <v>0.46605286801155565</v>
      </c>
      <c r="S29" s="1">
        <f t="shared" si="22"/>
        <v>0.46605286801155565</v>
      </c>
      <c r="T29" s="1">
        <f t="shared" si="22"/>
        <v>0.46605286801155565</v>
      </c>
      <c r="U29" s="1">
        <f t="shared" si="22"/>
        <v>0.46605286801155565</v>
      </c>
      <c r="V29" s="1">
        <f t="shared" si="22"/>
        <v>0.46605286801155565</v>
      </c>
      <c r="W29" s="1">
        <f t="shared" si="22"/>
        <v>0.46605286801155565</v>
      </c>
      <c r="X29" s="1">
        <f t="shared" si="22"/>
        <v>0.46605286801155565</v>
      </c>
      <c r="Y29" s="1">
        <f t="shared" si="22"/>
        <v>0.27963172080693338</v>
      </c>
      <c r="Z29" s="1">
        <f t="shared" si="22"/>
        <v>0.46605286801155565</v>
      </c>
      <c r="AA29" s="1">
        <f t="shared" si="22"/>
        <v>0.46605286801155565</v>
      </c>
      <c r="AB29" s="1">
        <f t="shared" si="22"/>
        <v>0.46605286801155565</v>
      </c>
      <c r="AC29" s="1">
        <f t="shared" si="22"/>
        <v>0.46605286801155565</v>
      </c>
      <c r="AD29" s="1">
        <f t="shared" si="23"/>
        <v>0.46605286801155565</v>
      </c>
      <c r="AE29" s="1">
        <f t="shared" si="23"/>
        <v>0.46605286801155565</v>
      </c>
      <c r="AF29" s="1">
        <f t="shared" si="23"/>
        <v>0.46605286801155565</v>
      </c>
      <c r="AG29" s="1">
        <f t="shared" si="23"/>
        <v>0.46605286801155565</v>
      </c>
      <c r="AH29" s="1">
        <f t="shared" si="23"/>
        <v>0.46605286801155565</v>
      </c>
      <c r="AI29" s="1">
        <f t="shared" si="23"/>
        <v>0.46605286801155565</v>
      </c>
      <c r="AJ29" s="1">
        <f t="shared" si="23"/>
        <v>0.46605286801155565</v>
      </c>
      <c r="AK29" s="1">
        <f t="shared" si="24"/>
        <v>0.46605286801155565</v>
      </c>
      <c r="AL29" s="1">
        <f t="shared" si="23"/>
        <v>0.46605286801155565</v>
      </c>
      <c r="AM29" s="1">
        <f t="shared" si="24"/>
        <v>0.46605286801155565</v>
      </c>
      <c r="AN29" s="1">
        <f t="shared" si="24"/>
        <v>0.46605286801155565</v>
      </c>
      <c r="AO29" s="1">
        <f t="shared" si="24"/>
        <v>0.46605286801155565</v>
      </c>
      <c r="AP29" s="1">
        <f t="shared" si="24"/>
        <v>0.46605286801155565</v>
      </c>
      <c r="AQ29" s="1">
        <f t="shared" si="24"/>
        <v>0.46605286801155565</v>
      </c>
      <c r="AR29" s="1">
        <f t="shared" si="24"/>
        <v>0.46605286801155565</v>
      </c>
      <c r="AS29" s="1">
        <f t="shared" si="24"/>
        <v>0.46605286801155565</v>
      </c>
      <c r="AT29" s="1">
        <f t="shared" si="24"/>
        <v>0.46605286801155565</v>
      </c>
      <c r="AU29" s="1">
        <f t="shared" si="24"/>
        <v>0.46605286801155565</v>
      </c>
      <c r="AV29" s="1">
        <f t="shared" si="24"/>
        <v>0.46605286801155565</v>
      </c>
      <c r="AW29" s="1">
        <f t="shared" si="24"/>
        <v>0.46605286801155565</v>
      </c>
      <c r="AX29" s="52">
        <f>AX32</f>
        <v>0.46605286801155565</v>
      </c>
      <c r="AY29" s="2" t="s">
        <v>348</v>
      </c>
      <c r="AZ29" s="1" t="str">
        <f t="shared" ref="AZ29:AZ34" si="26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156</v>
      </c>
      <c r="BH29" t="s">
        <v>352</v>
      </c>
      <c r="BI29" t="s">
        <v>359</v>
      </c>
    </row>
    <row r="30" spans="1:61">
      <c r="C30" t="str">
        <f t="shared" si="25"/>
        <v>TRADST</v>
      </c>
      <c r="D30" s="1">
        <f t="shared" si="22"/>
        <v>0.52772280688712847</v>
      </c>
      <c r="E30" s="1">
        <f t="shared" si="22"/>
        <v>0.52772280688712847</v>
      </c>
      <c r="F30" s="1">
        <f t="shared" si="22"/>
        <v>0.52772280688712847</v>
      </c>
      <c r="G30" s="1">
        <f t="shared" si="22"/>
        <v>0.52772280688712847</v>
      </c>
      <c r="H30" s="1">
        <f t="shared" si="22"/>
        <v>0.52772280688712847</v>
      </c>
      <c r="I30" s="1">
        <f t="shared" si="22"/>
        <v>0.52772280688712847</v>
      </c>
      <c r="J30" s="1">
        <f t="shared" si="22"/>
        <v>0.52772280688712847</v>
      </c>
      <c r="K30" s="1">
        <f t="shared" si="22"/>
        <v>0.55410894723148496</v>
      </c>
      <c r="L30" s="1">
        <f t="shared" si="22"/>
        <v>0.52772280688712847</v>
      </c>
      <c r="M30" s="1">
        <f t="shared" si="22"/>
        <v>0.52772280688712847</v>
      </c>
      <c r="N30" s="1">
        <f t="shared" si="22"/>
        <v>0.52772280688712847</v>
      </c>
      <c r="O30" s="1">
        <f t="shared" si="22"/>
        <v>0.52772280688712847</v>
      </c>
      <c r="P30" s="1">
        <f t="shared" si="22"/>
        <v>0.52772280688712847</v>
      </c>
      <c r="Q30" s="1">
        <f t="shared" si="22"/>
        <v>0.52772280688712847</v>
      </c>
      <c r="R30" s="1">
        <f t="shared" si="22"/>
        <v>0.52772280688712847</v>
      </c>
      <c r="S30" s="1">
        <f t="shared" si="22"/>
        <v>0.52772280688712847</v>
      </c>
      <c r="T30" s="1">
        <f t="shared" si="22"/>
        <v>0.52772280688712847</v>
      </c>
      <c r="U30" s="1">
        <f t="shared" si="22"/>
        <v>0.52772280688712847</v>
      </c>
      <c r="V30" s="1">
        <f t="shared" si="22"/>
        <v>0.52772280688712847</v>
      </c>
      <c r="W30" s="1">
        <f t="shared" si="22"/>
        <v>0.52772280688712847</v>
      </c>
      <c r="X30" s="1">
        <f t="shared" si="22"/>
        <v>0.52772280688712847</v>
      </c>
      <c r="Y30" s="1">
        <f t="shared" si="22"/>
        <v>0.31663368413227705</v>
      </c>
      <c r="Z30" s="1">
        <f t="shared" si="22"/>
        <v>0.52772280688712847</v>
      </c>
      <c r="AA30" s="1">
        <f t="shared" si="22"/>
        <v>0.52772280688712847</v>
      </c>
      <c r="AB30" s="1">
        <f t="shared" si="22"/>
        <v>0.52772280688712847</v>
      </c>
      <c r="AC30" s="1">
        <f t="shared" si="22"/>
        <v>0.52772280688712847</v>
      </c>
      <c r="AD30" s="1">
        <f t="shared" si="23"/>
        <v>0.52772280688712847</v>
      </c>
      <c r="AE30" s="1">
        <f t="shared" si="23"/>
        <v>0.52772280688712847</v>
      </c>
      <c r="AF30" s="1">
        <f t="shared" si="23"/>
        <v>0.52772280688712847</v>
      </c>
      <c r="AG30" s="1">
        <f t="shared" si="23"/>
        <v>0.52772280688712847</v>
      </c>
      <c r="AH30" s="1">
        <f t="shared" si="23"/>
        <v>0.52772280688712847</v>
      </c>
      <c r="AI30" s="1">
        <f t="shared" si="23"/>
        <v>0.52772280688712847</v>
      </c>
      <c r="AJ30" s="1">
        <f t="shared" si="23"/>
        <v>0.52772280688712847</v>
      </c>
      <c r="AK30" s="1">
        <f t="shared" si="24"/>
        <v>0.52772280688712847</v>
      </c>
      <c r="AL30" s="1">
        <f t="shared" si="23"/>
        <v>0.52772280688712847</v>
      </c>
      <c r="AM30" s="1">
        <f t="shared" si="24"/>
        <v>0.52772280688712847</v>
      </c>
      <c r="AN30" s="1">
        <f t="shared" si="24"/>
        <v>0.52772280688712847</v>
      </c>
      <c r="AO30" s="1">
        <f t="shared" si="24"/>
        <v>0.52772280688712847</v>
      </c>
      <c r="AP30" s="1">
        <f t="shared" si="24"/>
        <v>0.52772280688712847</v>
      </c>
      <c r="AQ30" s="1">
        <f t="shared" si="24"/>
        <v>0.52772280688712847</v>
      </c>
      <c r="AR30" s="1">
        <f t="shared" si="24"/>
        <v>0.52772280688712847</v>
      </c>
      <c r="AS30" s="1">
        <f t="shared" si="24"/>
        <v>0.52772280688712847</v>
      </c>
      <c r="AT30" s="1">
        <f t="shared" si="24"/>
        <v>0.52772280688712847</v>
      </c>
      <c r="AU30" s="1">
        <f t="shared" si="24"/>
        <v>0.52772280688712847</v>
      </c>
      <c r="AV30" s="1">
        <f t="shared" si="24"/>
        <v>0.52772280688712847</v>
      </c>
      <c r="AW30" s="1">
        <f t="shared" si="24"/>
        <v>0.52772280688712847</v>
      </c>
      <c r="AX30" s="52">
        <v>0.52772280688712847</v>
      </c>
      <c r="AY30" s="2" t="s">
        <v>348</v>
      </c>
      <c r="AZ30" s="1" t="str">
        <f t="shared" si="26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156</v>
      </c>
      <c r="BH30" t="s">
        <v>352</v>
      </c>
      <c r="BI30" t="s">
        <v>359</v>
      </c>
    </row>
    <row r="31" spans="1:61">
      <c r="C31" t="str">
        <f t="shared" si="25"/>
        <v>TRAELC</v>
      </c>
      <c r="D31" s="1">
        <f t="shared" si="22"/>
        <v>1.165132170028889</v>
      </c>
      <c r="E31" s="1">
        <f t="shared" si="22"/>
        <v>1.165132170028889</v>
      </c>
      <c r="F31" s="1">
        <f t="shared" si="22"/>
        <v>1.165132170028889</v>
      </c>
      <c r="G31" s="1">
        <f t="shared" si="22"/>
        <v>1.165132170028889</v>
      </c>
      <c r="H31" s="1">
        <f t="shared" si="22"/>
        <v>1.165132170028889</v>
      </c>
      <c r="I31" s="1">
        <f t="shared" si="22"/>
        <v>1.165132170028889</v>
      </c>
      <c r="J31" s="1">
        <f t="shared" si="22"/>
        <v>1.165132170028889</v>
      </c>
      <c r="K31" s="1">
        <f t="shared" si="22"/>
        <v>1.2233887785303335</v>
      </c>
      <c r="L31" s="1">
        <f t="shared" si="22"/>
        <v>1.165132170028889</v>
      </c>
      <c r="M31" s="1">
        <f t="shared" si="22"/>
        <v>1.165132170028889</v>
      </c>
      <c r="N31" s="1">
        <f t="shared" si="22"/>
        <v>1.165132170028889</v>
      </c>
      <c r="O31" s="1">
        <f t="shared" si="22"/>
        <v>1.165132170028889</v>
      </c>
      <c r="P31" s="1">
        <f t="shared" si="22"/>
        <v>1.165132170028889</v>
      </c>
      <c r="Q31" s="1">
        <f t="shared" si="22"/>
        <v>1.165132170028889</v>
      </c>
      <c r="R31" s="1">
        <f t="shared" si="22"/>
        <v>1.165132170028889</v>
      </c>
      <c r="S31" s="1">
        <f t="shared" si="22"/>
        <v>1.165132170028889</v>
      </c>
      <c r="T31" s="1">
        <f t="shared" si="22"/>
        <v>1.165132170028889</v>
      </c>
      <c r="U31" s="1">
        <f t="shared" si="22"/>
        <v>1.165132170028889</v>
      </c>
      <c r="V31" s="1">
        <f t="shared" si="22"/>
        <v>1.165132170028889</v>
      </c>
      <c r="W31" s="1">
        <f t="shared" si="22"/>
        <v>1.165132170028889</v>
      </c>
      <c r="X31" s="1">
        <f t="shared" si="22"/>
        <v>1.165132170028889</v>
      </c>
      <c r="Y31" s="1">
        <f t="shared" si="22"/>
        <v>0.69907930201733337</v>
      </c>
      <c r="Z31" s="1">
        <f t="shared" si="22"/>
        <v>1.165132170028889</v>
      </c>
      <c r="AA31" s="1">
        <f t="shared" si="22"/>
        <v>1.165132170028889</v>
      </c>
      <c r="AB31" s="1">
        <f t="shared" si="22"/>
        <v>1.165132170028889</v>
      </c>
      <c r="AC31" s="1">
        <f t="shared" si="22"/>
        <v>1.165132170028889</v>
      </c>
      <c r="AD31" s="1">
        <f t="shared" si="23"/>
        <v>1.165132170028889</v>
      </c>
      <c r="AE31" s="1">
        <f t="shared" si="23"/>
        <v>1.165132170028889</v>
      </c>
      <c r="AF31" s="1">
        <f t="shared" si="23"/>
        <v>1.165132170028889</v>
      </c>
      <c r="AG31" s="1">
        <f t="shared" si="23"/>
        <v>1.165132170028889</v>
      </c>
      <c r="AH31" s="1">
        <f t="shared" si="23"/>
        <v>1.165132170028889</v>
      </c>
      <c r="AI31" s="1">
        <f t="shared" si="23"/>
        <v>1.165132170028889</v>
      </c>
      <c r="AJ31" s="1">
        <f t="shared" si="23"/>
        <v>1.165132170028889</v>
      </c>
      <c r="AK31" s="1">
        <f t="shared" si="24"/>
        <v>1.165132170028889</v>
      </c>
      <c r="AL31" s="1">
        <f t="shared" si="23"/>
        <v>1.165132170028889</v>
      </c>
      <c r="AM31" s="1">
        <f t="shared" si="24"/>
        <v>1.165132170028889</v>
      </c>
      <c r="AN31" s="1">
        <f t="shared" si="24"/>
        <v>1.165132170028889</v>
      </c>
      <c r="AO31" s="1">
        <f t="shared" si="24"/>
        <v>1.165132170028889</v>
      </c>
      <c r="AP31" s="1">
        <f t="shared" si="24"/>
        <v>1.165132170028889</v>
      </c>
      <c r="AQ31" s="1">
        <f t="shared" si="24"/>
        <v>1.165132170028889</v>
      </c>
      <c r="AR31" s="1">
        <f t="shared" si="24"/>
        <v>1.165132170028889</v>
      </c>
      <c r="AS31" s="1">
        <f t="shared" si="24"/>
        <v>1.165132170028889</v>
      </c>
      <c r="AT31" s="1">
        <f t="shared" si="24"/>
        <v>1.165132170028889</v>
      </c>
      <c r="AU31" s="1">
        <f t="shared" si="24"/>
        <v>1.165132170028889</v>
      </c>
      <c r="AV31" s="1">
        <f t="shared" si="24"/>
        <v>1.165132170028889</v>
      </c>
      <c r="AW31" s="1">
        <f t="shared" si="24"/>
        <v>1.165132170028889</v>
      </c>
      <c r="AX31" s="52">
        <f>AX32*2.5</f>
        <v>1.165132170028889</v>
      </c>
      <c r="AY31" s="2" t="s">
        <v>348</v>
      </c>
      <c r="AZ31" s="1" t="str">
        <f t="shared" si="26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156</v>
      </c>
      <c r="BH31" t="s">
        <v>352</v>
      </c>
      <c r="BI31" t="s">
        <v>359</v>
      </c>
    </row>
    <row r="32" spans="1:61">
      <c r="C32" t="str">
        <f t="shared" si="25"/>
        <v>TRAGSL</v>
      </c>
      <c r="D32" s="1">
        <f t="shared" si="22"/>
        <v>0.46605286801155565</v>
      </c>
      <c r="E32" s="1">
        <f t="shared" si="22"/>
        <v>0.46605286801155565</v>
      </c>
      <c r="F32" s="1">
        <f t="shared" si="22"/>
        <v>0.46605286801155565</v>
      </c>
      <c r="G32" s="1">
        <f t="shared" si="22"/>
        <v>0.46605286801155565</v>
      </c>
      <c r="H32" s="1">
        <f t="shared" si="22"/>
        <v>0.46605286801155565</v>
      </c>
      <c r="I32" s="1">
        <f t="shared" si="22"/>
        <v>0.46605286801155565</v>
      </c>
      <c r="J32" s="1">
        <f t="shared" si="22"/>
        <v>0.46605286801155565</v>
      </c>
      <c r="K32" s="1">
        <f t="shared" si="22"/>
        <v>0.48935551141213346</v>
      </c>
      <c r="L32" s="1">
        <f t="shared" si="22"/>
        <v>0.46605286801155565</v>
      </c>
      <c r="M32" s="1">
        <f t="shared" si="22"/>
        <v>0.46605286801155565</v>
      </c>
      <c r="N32" s="1">
        <f t="shared" si="22"/>
        <v>0.46605286801155565</v>
      </c>
      <c r="O32" s="1">
        <f t="shared" si="22"/>
        <v>0.46605286801155565</v>
      </c>
      <c r="P32" s="1">
        <f t="shared" si="22"/>
        <v>0.46605286801155565</v>
      </c>
      <c r="Q32" s="1">
        <f t="shared" si="22"/>
        <v>0.46605286801155565</v>
      </c>
      <c r="R32" s="1">
        <f t="shared" si="22"/>
        <v>0.46605286801155565</v>
      </c>
      <c r="S32" s="1">
        <f t="shared" si="22"/>
        <v>0.46605286801155565</v>
      </c>
      <c r="T32" s="1">
        <f t="shared" si="22"/>
        <v>0.46605286801155565</v>
      </c>
      <c r="U32" s="1">
        <f t="shared" si="22"/>
        <v>0.46605286801155565</v>
      </c>
      <c r="V32" s="1">
        <f t="shared" si="22"/>
        <v>0.46605286801155565</v>
      </c>
      <c r="W32" s="1">
        <f t="shared" si="22"/>
        <v>0.46605286801155565</v>
      </c>
      <c r="X32" s="1">
        <f t="shared" si="22"/>
        <v>0.46605286801155565</v>
      </c>
      <c r="Y32" s="1">
        <f t="shared" si="22"/>
        <v>0.27963172080693338</v>
      </c>
      <c r="Z32" s="1">
        <f t="shared" si="22"/>
        <v>0.46605286801155565</v>
      </c>
      <c r="AA32" s="1">
        <f t="shared" si="22"/>
        <v>0.46605286801155565</v>
      </c>
      <c r="AB32" s="1">
        <f t="shared" si="22"/>
        <v>0.46605286801155565</v>
      </c>
      <c r="AC32" s="1">
        <f t="shared" si="22"/>
        <v>0.46605286801155565</v>
      </c>
      <c r="AD32" s="1">
        <f t="shared" si="23"/>
        <v>0.46605286801155565</v>
      </c>
      <c r="AE32" s="1">
        <f t="shared" si="23"/>
        <v>0.46605286801155565</v>
      </c>
      <c r="AF32" s="1">
        <f t="shared" si="23"/>
        <v>0.46605286801155565</v>
      </c>
      <c r="AG32" s="1">
        <f t="shared" si="23"/>
        <v>0.46605286801155565</v>
      </c>
      <c r="AH32" s="1">
        <f t="shared" si="23"/>
        <v>0.46605286801155565</v>
      </c>
      <c r="AI32" s="1">
        <f t="shared" si="23"/>
        <v>0.46605286801155565</v>
      </c>
      <c r="AJ32" s="1">
        <f t="shared" si="23"/>
        <v>0.46605286801155565</v>
      </c>
      <c r="AK32" s="1">
        <f t="shared" si="24"/>
        <v>0.46605286801155565</v>
      </c>
      <c r="AL32" s="1">
        <f t="shared" si="23"/>
        <v>0.46605286801155565</v>
      </c>
      <c r="AM32" s="1">
        <f t="shared" si="24"/>
        <v>0.46605286801155565</v>
      </c>
      <c r="AN32" s="1">
        <f t="shared" si="24"/>
        <v>0.46605286801155565</v>
      </c>
      <c r="AO32" s="1">
        <f t="shared" si="24"/>
        <v>0.46605286801155565</v>
      </c>
      <c r="AP32" s="1">
        <f t="shared" si="24"/>
        <v>0.46605286801155565</v>
      </c>
      <c r="AQ32" s="1">
        <f t="shared" si="24"/>
        <v>0.46605286801155565</v>
      </c>
      <c r="AR32" s="1">
        <f t="shared" si="24"/>
        <v>0.46605286801155565</v>
      </c>
      <c r="AS32" s="1">
        <f t="shared" si="24"/>
        <v>0.46605286801155565</v>
      </c>
      <c r="AT32" s="1">
        <f t="shared" si="24"/>
        <v>0.46605286801155565</v>
      </c>
      <c r="AU32" s="1">
        <f t="shared" si="24"/>
        <v>0.46605286801155565</v>
      </c>
      <c r="AV32" s="1">
        <f t="shared" si="24"/>
        <v>0.46605286801155565</v>
      </c>
      <c r="AW32" s="1">
        <f t="shared" si="24"/>
        <v>0.46605286801155565</v>
      </c>
      <c r="AX32" s="52">
        <v>0.46605286801155565</v>
      </c>
      <c r="AY32" s="2" t="s">
        <v>348</v>
      </c>
      <c r="AZ32" s="95" t="str">
        <f t="shared" si="26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156</v>
      </c>
      <c r="BH32" t="s">
        <v>352</v>
      </c>
      <c r="BI32" t="s">
        <v>359</v>
      </c>
    </row>
    <row r="33" spans="1:61">
      <c r="C33" t="str">
        <f t="shared" si="25"/>
        <v>TRALPG</v>
      </c>
      <c r="D33" s="1">
        <f t="shared" si="22"/>
        <v>0.47553149117899546</v>
      </c>
      <c r="E33" s="1">
        <f t="shared" si="22"/>
        <v>0.47553149117899546</v>
      </c>
      <c r="F33" s="1">
        <f t="shared" si="22"/>
        <v>0.47553149117899546</v>
      </c>
      <c r="G33" s="1">
        <f t="shared" si="22"/>
        <v>0.47553149117899546</v>
      </c>
      <c r="H33" s="1">
        <f t="shared" si="22"/>
        <v>0.47553149117899546</v>
      </c>
      <c r="I33" s="1">
        <f t="shared" si="22"/>
        <v>0.47553149117899546</v>
      </c>
      <c r="J33" s="1">
        <f t="shared" si="22"/>
        <v>0.47553149117899546</v>
      </c>
      <c r="K33" s="1">
        <f t="shared" si="22"/>
        <v>0.49930806573794523</v>
      </c>
      <c r="L33" s="1">
        <f t="shared" si="22"/>
        <v>0.47553149117899546</v>
      </c>
      <c r="M33" s="1">
        <f t="shared" si="22"/>
        <v>0.47553149117899546</v>
      </c>
      <c r="N33" s="1">
        <f t="shared" si="22"/>
        <v>0.47553149117899546</v>
      </c>
      <c r="O33" s="1">
        <f t="shared" si="22"/>
        <v>0.47553149117899546</v>
      </c>
      <c r="P33" s="1">
        <f t="shared" si="22"/>
        <v>0.47553149117899546</v>
      </c>
      <c r="Q33" s="1">
        <f t="shared" si="22"/>
        <v>0.47553149117899546</v>
      </c>
      <c r="R33" s="1">
        <f t="shared" si="22"/>
        <v>0.47553149117899546</v>
      </c>
      <c r="S33" s="1">
        <f t="shared" si="22"/>
        <v>0.47553149117899546</v>
      </c>
      <c r="T33" s="1">
        <f t="shared" si="22"/>
        <v>0.47553149117899546</v>
      </c>
      <c r="U33" s="1">
        <f t="shared" si="22"/>
        <v>0.47553149117899546</v>
      </c>
      <c r="V33" s="1">
        <f t="shared" si="22"/>
        <v>0.47553149117899546</v>
      </c>
      <c r="W33" s="1">
        <f t="shared" si="22"/>
        <v>0.47553149117899546</v>
      </c>
      <c r="X33" s="1">
        <f t="shared" si="22"/>
        <v>0.47553149117899546</v>
      </c>
      <c r="Y33" s="1">
        <f t="shared" si="22"/>
        <v>0.28531889470739724</v>
      </c>
      <c r="Z33" s="1">
        <f t="shared" si="22"/>
        <v>0.47553149117899546</v>
      </c>
      <c r="AA33" s="1">
        <f t="shared" si="22"/>
        <v>0.47553149117899546</v>
      </c>
      <c r="AB33" s="1">
        <f t="shared" si="22"/>
        <v>0.47553149117899546</v>
      </c>
      <c r="AC33" s="1">
        <f t="shared" si="22"/>
        <v>0.47553149117899546</v>
      </c>
      <c r="AD33" s="1">
        <f t="shared" si="23"/>
        <v>0.47553149117899546</v>
      </c>
      <c r="AE33" s="1">
        <f t="shared" si="23"/>
        <v>0.47553149117899546</v>
      </c>
      <c r="AF33" s="1">
        <f t="shared" si="23"/>
        <v>0.47553149117899546</v>
      </c>
      <c r="AG33" s="1">
        <f t="shared" si="23"/>
        <v>0.47553149117899546</v>
      </c>
      <c r="AH33" s="1">
        <f t="shared" si="23"/>
        <v>0.47553149117899546</v>
      </c>
      <c r="AI33" s="1">
        <f t="shared" si="23"/>
        <v>0.47553149117899546</v>
      </c>
      <c r="AJ33" s="1">
        <f t="shared" si="23"/>
        <v>0.47553149117899546</v>
      </c>
      <c r="AK33" s="1">
        <f t="shared" si="24"/>
        <v>0.47553149117899546</v>
      </c>
      <c r="AL33" s="1">
        <f t="shared" si="23"/>
        <v>0.47553149117899546</v>
      </c>
      <c r="AM33" s="1">
        <f t="shared" si="24"/>
        <v>0.47553149117899546</v>
      </c>
      <c r="AN33" s="1">
        <f t="shared" si="24"/>
        <v>0.47553149117899546</v>
      </c>
      <c r="AO33" s="1">
        <f t="shared" si="24"/>
        <v>0.47553149117899546</v>
      </c>
      <c r="AP33" s="1">
        <f t="shared" si="24"/>
        <v>0.47553149117899546</v>
      </c>
      <c r="AQ33" s="1">
        <f t="shared" si="24"/>
        <v>0.47553149117899546</v>
      </c>
      <c r="AR33" s="1">
        <f t="shared" si="24"/>
        <v>0.47553149117899546</v>
      </c>
      <c r="AS33" s="1">
        <f t="shared" si="24"/>
        <v>0.47553149117899546</v>
      </c>
      <c r="AT33" s="1">
        <f t="shared" si="24"/>
        <v>0.47553149117899546</v>
      </c>
      <c r="AU33" s="1">
        <f t="shared" si="24"/>
        <v>0.47553149117899546</v>
      </c>
      <c r="AV33" s="1">
        <f t="shared" si="24"/>
        <v>0.47553149117899546</v>
      </c>
      <c r="AW33" s="1">
        <f t="shared" si="24"/>
        <v>0.47553149117899546</v>
      </c>
      <c r="AX33" s="52">
        <v>0.47553149117899546</v>
      </c>
      <c r="AY33" s="2" t="s">
        <v>348</v>
      </c>
      <c r="AZ33" s="1" t="str">
        <f t="shared" si="26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156</v>
      </c>
      <c r="BH33" t="s">
        <v>352</v>
      </c>
      <c r="BI33" t="s">
        <v>359</v>
      </c>
    </row>
    <row r="34" spans="1:61">
      <c r="C34" t="str">
        <f t="shared" si="25"/>
        <v>TRANGA</v>
      </c>
      <c r="D34" s="1">
        <f t="shared" si="22"/>
        <v>0.42934543946517889</v>
      </c>
      <c r="E34" s="1">
        <f t="shared" si="22"/>
        <v>0.42934543946517889</v>
      </c>
      <c r="F34" s="1">
        <f t="shared" si="22"/>
        <v>0.42934543946517889</v>
      </c>
      <c r="G34" s="1">
        <f t="shared" si="22"/>
        <v>0.42934543946517889</v>
      </c>
      <c r="H34" s="1">
        <f t="shared" si="22"/>
        <v>0.42934543946517889</v>
      </c>
      <c r="I34" s="1">
        <f t="shared" si="22"/>
        <v>0.42934543946517889</v>
      </c>
      <c r="J34" s="1">
        <f t="shared" si="22"/>
        <v>0.42934543946517889</v>
      </c>
      <c r="K34" s="1">
        <f t="shared" si="22"/>
        <v>0.45081271143843787</v>
      </c>
      <c r="L34" s="1">
        <f t="shared" si="22"/>
        <v>0.42934543946517889</v>
      </c>
      <c r="M34" s="1">
        <f t="shared" si="22"/>
        <v>0.42934543946517889</v>
      </c>
      <c r="N34" s="1">
        <f t="shared" si="22"/>
        <v>0.42934543946517889</v>
      </c>
      <c r="O34" s="1">
        <f t="shared" si="22"/>
        <v>0.42934543946517889</v>
      </c>
      <c r="P34" s="1">
        <f t="shared" si="22"/>
        <v>0.42934543946517889</v>
      </c>
      <c r="Q34" s="1">
        <f t="shared" si="22"/>
        <v>0.42934543946517889</v>
      </c>
      <c r="R34" s="1">
        <f t="shared" si="22"/>
        <v>0.42934543946517889</v>
      </c>
      <c r="S34" s="1">
        <f t="shared" si="22"/>
        <v>0.42934543946517889</v>
      </c>
      <c r="T34" s="1">
        <f t="shared" si="22"/>
        <v>0.42934543946517889</v>
      </c>
      <c r="U34" s="1">
        <f t="shared" si="22"/>
        <v>0.42934543946517889</v>
      </c>
      <c r="V34" s="1">
        <f t="shared" si="22"/>
        <v>0.42934543946517889</v>
      </c>
      <c r="W34" s="1">
        <f t="shared" si="22"/>
        <v>0.42934543946517889</v>
      </c>
      <c r="X34" s="1">
        <f t="shared" si="22"/>
        <v>0.42934543946517889</v>
      </c>
      <c r="Y34" s="1">
        <f t="shared" si="22"/>
        <v>0.2576072636791073</v>
      </c>
      <c r="Z34" s="1">
        <f t="shared" si="22"/>
        <v>0.42934543946517889</v>
      </c>
      <c r="AA34" s="1">
        <f t="shared" si="22"/>
        <v>0.42934543946517889</v>
      </c>
      <c r="AB34" s="1">
        <f t="shared" si="22"/>
        <v>0.42934543946517889</v>
      </c>
      <c r="AC34" s="1">
        <f t="shared" si="22"/>
        <v>0.42934543946517889</v>
      </c>
      <c r="AD34" s="1">
        <f t="shared" si="23"/>
        <v>0.42934543946517889</v>
      </c>
      <c r="AE34" s="1">
        <f t="shared" si="23"/>
        <v>0.42934543946517889</v>
      </c>
      <c r="AF34" s="1">
        <f t="shared" si="23"/>
        <v>0.42934543946517889</v>
      </c>
      <c r="AG34" s="1">
        <f t="shared" si="23"/>
        <v>0.42934543946517889</v>
      </c>
      <c r="AH34" s="1">
        <f t="shared" si="23"/>
        <v>0.42934543946517889</v>
      </c>
      <c r="AI34" s="1">
        <f t="shared" si="23"/>
        <v>0.42934543946517889</v>
      </c>
      <c r="AJ34" s="1">
        <f t="shared" si="23"/>
        <v>0.42934543946517889</v>
      </c>
      <c r="AK34" s="1">
        <f t="shared" si="24"/>
        <v>0.42934543946517889</v>
      </c>
      <c r="AL34" s="1">
        <f t="shared" si="23"/>
        <v>0.42934543946517889</v>
      </c>
      <c r="AM34" s="1">
        <f t="shared" si="24"/>
        <v>0.42934543946517889</v>
      </c>
      <c r="AN34" s="1">
        <f t="shared" si="24"/>
        <v>0.42934543946517889</v>
      </c>
      <c r="AO34" s="1">
        <f t="shared" si="24"/>
        <v>0.42934543946517889</v>
      </c>
      <c r="AP34" s="1">
        <f t="shared" si="24"/>
        <v>0.42934543946517889</v>
      </c>
      <c r="AQ34" s="1">
        <f t="shared" si="24"/>
        <v>0.42934543946517889</v>
      </c>
      <c r="AR34" s="1">
        <f t="shared" si="24"/>
        <v>0.42934543946517889</v>
      </c>
      <c r="AS34" s="1">
        <f t="shared" si="24"/>
        <v>0.42934543946517889</v>
      </c>
      <c r="AT34" s="1">
        <f t="shared" si="24"/>
        <v>0.42934543946517889</v>
      </c>
      <c r="AU34" s="1">
        <f t="shared" si="24"/>
        <v>0.42934543946517889</v>
      </c>
      <c r="AV34" s="1">
        <f t="shared" si="24"/>
        <v>0.42934543946517889</v>
      </c>
      <c r="AW34" s="1">
        <f t="shared" si="24"/>
        <v>0.42934543946517889</v>
      </c>
      <c r="AX34" s="52">
        <v>0.42934543946517889</v>
      </c>
      <c r="AY34" s="2" t="s">
        <v>348</v>
      </c>
      <c r="AZ34" s="1" t="str">
        <f t="shared" si="26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156</v>
      </c>
      <c r="BH34" t="s">
        <v>352</v>
      </c>
      <c r="BI34" t="s">
        <v>359</v>
      </c>
    </row>
    <row r="35" spans="1:61">
      <c r="AY35" s="2" t="s">
        <v>169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12</v>
      </c>
      <c r="E36" s="40">
        <v>12</v>
      </c>
      <c r="F36" s="40">
        <v>12</v>
      </c>
      <c r="G36" s="40">
        <v>12</v>
      </c>
      <c r="H36" s="40">
        <v>12</v>
      </c>
      <c r="I36" s="40">
        <v>12</v>
      </c>
      <c r="J36" s="40">
        <v>12</v>
      </c>
      <c r="K36" s="40">
        <v>12</v>
      </c>
      <c r="L36" s="40">
        <v>12</v>
      </c>
      <c r="M36" s="40">
        <v>12</v>
      </c>
      <c r="N36" s="40">
        <v>12</v>
      </c>
      <c r="O36" s="40">
        <v>12</v>
      </c>
      <c r="P36" s="40">
        <v>12</v>
      </c>
      <c r="Q36" s="40">
        <v>12</v>
      </c>
      <c r="R36" s="40">
        <v>12</v>
      </c>
      <c r="S36" s="40">
        <v>12</v>
      </c>
      <c r="T36" s="40">
        <v>12</v>
      </c>
      <c r="U36" s="40">
        <v>12</v>
      </c>
      <c r="V36" s="40">
        <v>12</v>
      </c>
      <c r="W36" s="40">
        <v>12</v>
      </c>
      <c r="X36" s="40">
        <v>12</v>
      </c>
      <c r="Y36" s="40">
        <v>18</v>
      </c>
      <c r="Z36" s="40">
        <v>12</v>
      </c>
      <c r="AA36" s="40">
        <v>12</v>
      </c>
      <c r="AB36" s="40">
        <v>12</v>
      </c>
      <c r="AC36" s="40">
        <v>12</v>
      </c>
      <c r="AD36" s="40">
        <v>12</v>
      </c>
      <c r="AE36" s="40">
        <v>12</v>
      </c>
      <c r="AF36" s="40">
        <v>12</v>
      </c>
      <c r="AG36" s="40">
        <v>12</v>
      </c>
      <c r="AH36" s="40">
        <v>12</v>
      </c>
      <c r="AI36" s="40">
        <v>12</v>
      </c>
      <c r="AJ36" s="40">
        <v>12</v>
      </c>
      <c r="AK36" s="40">
        <v>12</v>
      </c>
      <c r="AL36" s="40">
        <v>12</v>
      </c>
      <c r="AM36" s="40">
        <v>12</v>
      </c>
      <c r="AN36" s="40">
        <v>12</v>
      </c>
      <c r="AO36" s="40">
        <v>12</v>
      </c>
      <c r="AP36" s="40">
        <v>12</v>
      </c>
      <c r="AQ36" s="40">
        <v>12</v>
      </c>
      <c r="AR36" s="40">
        <v>12</v>
      </c>
      <c r="AS36" s="40">
        <v>12</v>
      </c>
      <c r="AT36" s="40">
        <v>12</v>
      </c>
      <c r="AU36" s="40">
        <v>12</v>
      </c>
      <c r="AV36" s="40">
        <v>12</v>
      </c>
      <c r="AW36" s="40">
        <v>12</v>
      </c>
      <c r="AY36" s="2" t="s">
        <v>349</v>
      </c>
      <c r="AZ36" s="1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27">C29</f>
        <v>TRABGS</v>
      </c>
      <c r="D37" s="40">
        <f>D$36</f>
        <v>12</v>
      </c>
      <c r="E37" s="40">
        <f t="shared" ref="E37:U42" si="28">E$36</f>
        <v>12</v>
      </c>
      <c r="F37" s="40">
        <f t="shared" si="28"/>
        <v>12</v>
      </c>
      <c r="G37" s="40">
        <f t="shared" si="28"/>
        <v>12</v>
      </c>
      <c r="H37" s="40">
        <f t="shared" si="28"/>
        <v>12</v>
      </c>
      <c r="I37" s="40">
        <f t="shared" si="28"/>
        <v>12</v>
      </c>
      <c r="J37" s="40">
        <f t="shared" si="28"/>
        <v>12</v>
      </c>
      <c r="K37" s="40">
        <f t="shared" si="28"/>
        <v>12</v>
      </c>
      <c r="L37" s="40">
        <f t="shared" si="28"/>
        <v>12</v>
      </c>
      <c r="M37" s="40">
        <f t="shared" si="28"/>
        <v>12</v>
      </c>
      <c r="N37" s="40">
        <f t="shared" si="28"/>
        <v>12</v>
      </c>
      <c r="O37" s="40">
        <f t="shared" si="28"/>
        <v>12</v>
      </c>
      <c r="P37" s="40">
        <f t="shared" si="28"/>
        <v>12</v>
      </c>
      <c r="Q37" s="40">
        <f t="shared" si="28"/>
        <v>12</v>
      </c>
      <c r="R37" s="40">
        <f t="shared" si="28"/>
        <v>12</v>
      </c>
      <c r="S37" s="40">
        <f t="shared" si="28"/>
        <v>12</v>
      </c>
      <c r="T37" s="40">
        <f t="shared" si="28"/>
        <v>12</v>
      </c>
      <c r="U37" s="40">
        <f t="shared" si="28"/>
        <v>12</v>
      </c>
      <c r="V37" s="40">
        <f t="shared" ref="V37:AJ42" si="29">V$36</f>
        <v>12</v>
      </c>
      <c r="W37" s="40">
        <f t="shared" si="29"/>
        <v>12</v>
      </c>
      <c r="X37" s="40">
        <f t="shared" si="29"/>
        <v>12</v>
      </c>
      <c r="Y37" s="40">
        <f t="shared" si="29"/>
        <v>18</v>
      </c>
      <c r="Z37" s="40">
        <f t="shared" si="29"/>
        <v>12</v>
      </c>
      <c r="AA37" s="40">
        <f t="shared" si="29"/>
        <v>12</v>
      </c>
      <c r="AB37" s="40">
        <f t="shared" si="29"/>
        <v>12</v>
      </c>
      <c r="AC37" s="40">
        <f t="shared" si="29"/>
        <v>12</v>
      </c>
      <c r="AD37" s="40">
        <f t="shared" si="29"/>
        <v>12</v>
      </c>
      <c r="AE37" s="40">
        <f t="shared" si="29"/>
        <v>12</v>
      </c>
      <c r="AF37" s="40">
        <f t="shared" si="29"/>
        <v>12</v>
      </c>
      <c r="AG37" s="40">
        <f t="shared" si="29"/>
        <v>12</v>
      </c>
      <c r="AH37" s="40">
        <f t="shared" si="29"/>
        <v>12</v>
      </c>
      <c r="AI37" s="40">
        <f t="shared" si="29"/>
        <v>12</v>
      </c>
      <c r="AJ37" s="40">
        <f t="shared" si="29"/>
        <v>12</v>
      </c>
      <c r="AK37" s="40">
        <f t="shared" ref="AK37:AW42" si="30">AK$36</f>
        <v>12</v>
      </c>
      <c r="AL37" s="40">
        <f t="shared" si="30"/>
        <v>12</v>
      </c>
      <c r="AM37" s="40">
        <f t="shared" si="30"/>
        <v>12</v>
      </c>
      <c r="AN37" s="40">
        <f t="shared" si="30"/>
        <v>12</v>
      </c>
      <c r="AO37" s="40">
        <f t="shared" si="30"/>
        <v>12</v>
      </c>
      <c r="AP37" s="40">
        <f t="shared" si="30"/>
        <v>12</v>
      </c>
      <c r="AQ37" s="40">
        <f t="shared" si="30"/>
        <v>12</v>
      </c>
      <c r="AR37" s="40">
        <f t="shared" si="30"/>
        <v>12</v>
      </c>
      <c r="AS37" s="40">
        <f t="shared" si="30"/>
        <v>12</v>
      </c>
      <c r="AT37" s="40">
        <f t="shared" si="30"/>
        <v>12</v>
      </c>
      <c r="AU37" s="40">
        <f t="shared" si="30"/>
        <v>12</v>
      </c>
      <c r="AV37" s="40">
        <f t="shared" si="30"/>
        <v>12</v>
      </c>
      <c r="AW37" s="40">
        <f t="shared" si="30"/>
        <v>12</v>
      </c>
      <c r="AY37" s="2" t="s">
        <v>349</v>
      </c>
      <c r="AZ37" s="1" t="str">
        <f t="shared" ref="AZ37:AZ42" si="31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156</v>
      </c>
      <c r="BH37" t="s">
        <v>352</v>
      </c>
      <c r="BI37" t="s">
        <v>359</v>
      </c>
    </row>
    <row r="38" spans="1:61">
      <c r="C38" t="str">
        <f t="shared" si="27"/>
        <v>TRADST</v>
      </c>
      <c r="D38" s="40">
        <f t="shared" ref="D38:S42" si="32">D$36</f>
        <v>12</v>
      </c>
      <c r="E38" s="40">
        <f t="shared" si="32"/>
        <v>12</v>
      </c>
      <c r="F38" s="40">
        <f t="shared" si="32"/>
        <v>12</v>
      </c>
      <c r="G38" s="40">
        <f t="shared" si="32"/>
        <v>12</v>
      </c>
      <c r="H38" s="40">
        <f t="shared" si="32"/>
        <v>12</v>
      </c>
      <c r="I38" s="40">
        <f t="shared" si="32"/>
        <v>12</v>
      </c>
      <c r="J38" s="40">
        <f t="shared" si="32"/>
        <v>12</v>
      </c>
      <c r="K38" s="40">
        <f t="shared" si="32"/>
        <v>12</v>
      </c>
      <c r="L38" s="40">
        <f t="shared" si="32"/>
        <v>12</v>
      </c>
      <c r="M38" s="40">
        <f t="shared" si="32"/>
        <v>12</v>
      </c>
      <c r="N38" s="40">
        <f t="shared" si="32"/>
        <v>12</v>
      </c>
      <c r="O38" s="40">
        <f t="shared" si="32"/>
        <v>12</v>
      </c>
      <c r="P38" s="40">
        <f t="shared" si="32"/>
        <v>12</v>
      </c>
      <c r="Q38" s="40">
        <f t="shared" si="32"/>
        <v>12</v>
      </c>
      <c r="R38" s="40">
        <f t="shared" si="32"/>
        <v>12</v>
      </c>
      <c r="S38" s="40">
        <f t="shared" si="32"/>
        <v>12</v>
      </c>
      <c r="T38" s="40">
        <f t="shared" si="28"/>
        <v>12</v>
      </c>
      <c r="U38" s="40">
        <f t="shared" si="28"/>
        <v>12</v>
      </c>
      <c r="V38" s="40">
        <f t="shared" si="29"/>
        <v>12</v>
      </c>
      <c r="W38" s="40">
        <f t="shared" si="29"/>
        <v>12</v>
      </c>
      <c r="X38" s="40">
        <f t="shared" si="29"/>
        <v>12</v>
      </c>
      <c r="Y38" s="40">
        <f t="shared" si="29"/>
        <v>18</v>
      </c>
      <c r="Z38" s="40">
        <f t="shared" si="29"/>
        <v>12</v>
      </c>
      <c r="AA38" s="40">
        <f t="shared" si="29"/>
        <v>12</v>
      </c>
      <c r="AB38" s="40">
        <f t="shared" si="29"/>
        <v>12</v>
      </c>
      <c r="AC38" s="40">
        <f t="shared" si="29"/>
        <v>12</v>
      </c>
      <c r="AD38" s="40">
        <f t="shared" si="29"/>
        <v>12</v>
      </c>
      <c r="AE38" s="40">
        <f t="shared" si="29"/>
        <v>12</v>
      </c>
      <c r="AF38" s="40">
        <f t="shared" si="29"/>
        <v>12</v>
      </c>
      <c r="AG38" s="40">
        <f t="shared" si="29"/>
        <v>12</v>
      </c>
      <c r="AH38" s="40">
        <f t="shared" si="29"/>
        <v>12</v>
      </c>
      <c r="AI38" s="40">
        <f t="shared" si="29"/>
        <v>12</v>
      </c>
      <c r="AJ38" s="40">
        <f t="shared" si="29"/>
        <v>12</v>
      </c>
      <c r="AK38" s="40">
        <f t="shared" si="30"/>
        <v>12</v>
      </c>
      <c r="AL38" s="40">
        <f t="shared" si="30"/>
        <v>12</v>
      </c>
      <c r="AM38" s="40">
        <f t="shared" si="30"/>
        <v>12</v>
      </c>
      <c r="AN38" s="40">
        <f t="shared" si="30"/>
        <v>12</v>
      </c>
      <c r="AO38" s="40">
        <f t="shared" si="30"/>
        <v>12</v>
      </c>
      <c r="AP38" s="40">
        <f t="shared" si="30"/>
        <v>12</v>
      </c>
      <c r="AQ38" s="40">
        <f t="shared" si="30"/>
        <v>12</v>
      </c>
      <c r="AR38" s="40">
        <f t="shared" si="30"/>
        <v>12</v>
      </c>
      <c r="AS38" s="40">
        <f t="shared" si="30"/>
        <v>12</v>
      </c>
      <c r="AT38" s="40">
        <f t="shared" si="30"/>
        <v>12</v>
      </c>
      <c r="AU38" s="40">
        <f t="shared" si="30"/>
        <v>12</v>
      </c>
      <c r="AV38" s="40">
        <f t="shared" si="30"/>
        <v>12</v>
      </c>
      <c r="AW38" s="40">
        <f t="shared" si="30"/>
        <v>12</v>
      </c>
      <c r="AY38" s="2" t="s">
        <v>349</v>
      </c>
      <c r="AZ38" s="1" t="str">
        <f t="shared" si="31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156</v>
      </c>
      <c r="BH38" t="s">
        <v>352</v>
      </c>
      <c r="BI38" t="s">
        <v>359</v>
      </c>
    </row>
    <row r="39" spans="1:61">
      <c r="C39" t="str">
        <f t="shared" si="27"/>
        <v>TRAELC</v>
      </c>
      <c r="D39" s="40">
        <f t="shared" si="32"/>
        <v>12</v>
      </c>
      <c r="E39" s="40">
        <f t="shared" si="28"/>
        <v>12</v>
      </c>
      <c r="F39" s="40">
        <f t="shared" si="28"/>
        <v>12</v>
      </c>
      <c r="G39" s="40">
        <f t="shared" si="28"/>
        <v>12</v>
      </c>
      <c r="H39" s="40">
        <f t="shared" si="28"/>
        <v>12</v>
      </c>
      <c r="I39" s="40">
        <f t="shared" si="28"/>
        <v>12</v>
      </c>
      <c r="J39" s="40">
        <f t="shared" si="28"/>
        <v>12</v>
      </c>
      <c r="K39" s="40">
        <f t="shared" si="28"/>
        <v>12</v>
      </c>
      <c r="L39" s="40">
        <f t="shared" si="28"/>
        <v>12</v>
      </c>
      <c r="M39" s="40">
        <f t="shared" si="28"/>
        <v>12</v>
      </c>
      <c r="N39" s="40">
        <f t="shared" si="28"/>
        <v>12</v>
      </c>
      <c r="O39" s="40">
        <f t="shared" si="28"/>
        <v>12</v>
      </c>
      <c r="P39" s="40">
        <f t="shared" si="28"/>
        <v>12</v>
      </c>
      <c r="Q39" s="40">
        <f t="shared" si="28"/>
        <v>12</v>
      </c>
      <c r="R39" s="40">
        <f t="shared" si="28"/>
        <v>12</v>
      </c>
      <c r="S39" s="40">
        <f t="shared" si="28"/>
        <v>12</v>
      </c>
      <c r="T39" s="40">
        <f t="shared" si="28"/>
        <v>12</v>
      </c>
      <c r="U39" s="40">
        <f t="shared" si="28"/>
        <v>12</v>
      </c>
      <c r="V39" s="40">
        <f t="shared" si="29"/>
        <v>12</v>
      </c>
      <c r="W39" s="40">
        <f t="shared" si="29"/>
        <v>12</v>
      </c>
      <c r="X39" s="40">
        <f t="shared" si="29"/>
        <v>12</v>
      </c>
      <c r="Y39" s="40">
        <f t="shared" si="29"/>
        <v>18</v>
      </c>
      <c r="Z39" s="40">
        <f t="shared" si="29"/>
        <v>12</v>
      </c>
      <c r="AA39" s="40">
        <f t="shared" si="29"/>
        <v>12</v>
      </c>
      <c r="AB39" s="40">
        <f t="shared" si="29"/>
        <v>12</v>
      </c>
      <c r="AC39" s="40">
        <f t="shared" si="29"/>
        <v>12</v>
      </c>
      <c r="AD39" s="40">
        <f t="shared" si="29"/>
        <v>12</v>
      </c>
      <c r="AE39" s="40">
        <f t="shared" si="29"/>
        <v>12</v>
      </c>
      <c r="AF39" s="40">
        <f t="shared" si="29"/>
        <v>12</v>
      </c>
      <c r="AG39" s="40">
        <f t="shared" si="29"/>
        <v>12</v>
      </c>
      <c r="AH39" s="40">
        <f t="shared" si="29"/>
        <v>12</v>
      </c>
      <c r="AI39" s="40">
        <f t="shared" si="29"/>
        <v>12</v>
      </c>
      <c r="AJ39" s="40">
        <f t="shared" si="29"/>
        <v>12</v>
      </c>
      <c r="AK39" s="40">
        <f t="shared" si="30"/>
        <v>12</v>
      </c>
      <c r="AL39" s="40">
        <f t="shared" si="30"/>
        <v>12</v>
      </c>
      <c r="AM39" s="40">
        <f t="shared" si="30"/>
        <v>12</v>
      </c>
      <c r="AN39" s="40">
        <f t="shared" si="30"/>
        <v>12</v>
      </c>
      <c r="AO39" s="40">
        <f t="shared" si="30"/>
        <v>12</v>
      </c>
      <c r="AP39" s="40">
        <f t="shared" si="30"/>
        <v>12</v>
      </c>
      <c r="AQ39" s="40">
        <f t="shared" si="30"/>
        <v>12</v>
      </c>
      <c r="AR39" s="40">
        <f t="shared" si="30"/>
        <v>12</v>
      </c>
      <c r="AS39" s="40">
        <f t="shared" si="30"/>
        <v>12</v>
      </c>
      <c r="AT39" s="40">
        <f t="shared" si="30"/>
        <v>12</v>
      </c>
      <c r="AU39" s="40">
        <f t="shared" si="30"/>
        <v>12</v>
      </c>
      <c r="AV39" s="40">
        <f t="shared" si="30"/>
        <v>12</v>
      </c>
      <c r="AW39" s="40">
        <f t="shared" si="30"/>
        <v>12</v>
      </c>
      <c r="AY39" s="2" t="s">
        <v>349</v>
      </c>
      <c r="AZ39" s="1" t="str">
        <f t="shared" si="31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156</v>
      </c>
      <c r="BH39" t="s">
        <v>352</v>
      </c>
      <c r="BI39" t="s">
        <v>359</v>
      </c>
    </row>
    <row r="40" spans="1:61">
      <c r="C40" t="str">
        <f t="shared" si="27"/>
        <v>TRAGSL</v>
      </c>
      <c r="D40" s="40">
        <f t="shared" si="32"/>
        <v>12</v>
      </c>
      <c r="E40" s="40">
        <f t="shared" si="28"/>
        <v>12</v>
      </c>
      <c r="F40" s="40">
        <f t="shared" si="28"/>
        <v>12</v>
      </c>
      <c r="G40" s="40">
        <f t="shared" si="28"/>
        <v>12</v>
      </c>
      <c r="H40" s="40">
        <f t="shared" si="28"/>
        <v>12</v>
      </c>
      <c r="I40" s="40">
        <f t="shared" si="28"/>
        <v>12</v>
      </c>
      <c r="J40" s="40">
        <f t="shared" si="28"/>
        <v>12</v>
      </c>
      <c r="K40" s="40">
        <f t="shared" si="28"/>
        <v>12</v>
      </c>
      <c r="L40" s="40">
        <f t="shared" si="28"/>
        <v>12</v>
      </c>
      <c r="M40" s="40">
        <f t="shared" si="28"/>
        <v>12</v>
      </c>
      <c r="N40" s="40">
        <f t="shared" si="28"/>
        <v>12</v>
      </c>
      <c r="O40" s="40">
        <f t="shared" si="28"/>
        <v>12</v>
      </c>
      <c r="P40" s="40">
        <f t="shared" si="28"/>
        <v>12</v>
      </c>
      <c r="Q40" s="40">
        <f t="shared" si="28"/>
        <v>12</v>
      </c>
      <c r="R40" s="40">
        <f t="shared" si="28"/>
        <v>12</v>
      </c>
      <c r="S40" s="40">
        <f t="shared" si="28"/>
        <v>12</v>
      </c>
      <c r="T40" s="40">
        <f t="shared" si="28"/>
        <v>12</v>
      </c>
      <c r="U40" s="40">
        <f t="shared" si="28"/>
        <v>12</v>
      </c>
      <c r="V40" s="40">
        <f t="shared" si="29"/>
        <v>12</v>
      </c>
      <c r="W40" s="40">
        <f t="shared" si="29"/>
        <v>12</v>
      </c>
      <c r="X40" s="40">
        <f t="shared" si="29"/>
        <v>12</v>
      </c>
      <c r="Y40" s="40">
        <f t="shared" si="29"/>
        <v>18</v>
      </c>
      <c r="Z40" s="40">
        <f t="shared" si="29"/>
        <v>12</v>
      </c>
      <c r="AA40" s="40">
        <f t="shared" si="29"/>
        <v>12</v>
      </c>
      <c r="AB40" s="40">
        <f t="shared" si="29"/>
        <v>12</v>
      </c>
      <c r="AC40" s="40">
        <f t="shared" si="29"/>
        <v>12</v>
      </c>
      <c r="AD40" s="40">
        <f t="shared" si="29"/>
        <v>12</v>
      </c>
      <c r="AE40" s="40">
        <f t="shared" si="29"/>
        <v>12</v>
      </c>
      <c r="AF40" s="40">
        <f t="shared" si="29"/>
        <v>12</v>
      </c>
      <c r="AG40" s="40">
        <f t="shared" si="29"/>
        <v>12</v>
      </c>
      <c r="AH40" s="40">
        <f t="shared" si="29"/>
        <v>12</v>
      </c>
      <c r="AI40" s="40">
        <f t="shared" si="29"/>
        <v>12</v>
      </c>
      <c r="AJ40" s="40">
        <f t="shared" si="29"/>
        <v>12</v>
      </c>
      <c r="AK40" s="40">
        <f t="shared" si="30"/>
        <v>12</v>
      </c>
      <c r="AL40" s="40">
        <f t="shared" si="30"/>
        <v>12</v>
      </c>
      <c r="AM40" s="40">
        <f t="shared" si="30"/>
        <v>12</v>
      </c>
      <c r="AN40" s="40">
        <f t="shared" si="30"/>
        <v>12</v>
      </c>
      <c r="AO40" s="40">
        <f t="shared" si="30"/>
        <v>12</v>
      </c>
      <c r="AP40" s="40">
        <f t="shared" si="30"/>
        <v>12</v>
      </c>
      <c r="AQ40" s="40">
        <f t="shared" si="30"/>
        <v>12</v>
      </c>
      <c r="AR40" s="40">
        <f t="shared" si="30"/>
        <v>12</v>
      </c>
      <c r="AS40" s="40">
        <f t="shared" si="30"/>
        <v>12</v>
      </c>
      <c r="AT40" s="40">
        <f t="shared" si="30"/>
        <v>12</v>
      </c>
      <c r="AU40" s="40">
        <f t="shared" si="30"/>
        <v>12</v>
      </c>
      <c r="AV40" s="40">
        <f t="shared" si="30"/>
        <v>12</v>
      </c>
      <c r="AW40" s="40">
        <f t="shared" si="30"/>
        <v>12</v>
      </c>
      <c r="AY40" s="2" t="s">
        <v>349</v>
      </c>
      <c r="AZ40" s="1" t="str">
        <f t="shared" si="31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156</v>
      </c>
      <c r="BH40" t="s">
        <v>352</v>
      </c>
      <c r="BI40" t="s">
        <v>359</v>
      </c>
    </row>
    <row r="41" spans="1:61">
      <c r="C41" t="str">
        <f t="shared" si="27"/>
        <v>TRALPG</v>
      </c>
      <c r="D41" s="40">
        <f t="shared" si="32"/>
        <v>12</v>
      </c>
      <c r="E41" s="40">
        <f t="shared" si="28"/>
        <v>12</v>
      </c>
      <c r="F41" s="40">
        <f t="shared" si="28"/>
        <v>12</v>
      </c>
      <c r="G41" s="40">
        <f t="shared" si="28"/>
        <v>12</v>
      </c>
      <c r="H41" s="40">
        <f t="shared" si="28"/>
        <v>12</v>
      </c>
      <c r="I41" s="40">
        <f t="shared" si="28"/>
        <v>12</v>
      </c>
      <c r="J41" s="40">
        <f t="shared" si="28"/>
        <v>12</v>
      </c>
      <c r="K41" s="40">
        <f t="shared" si="28"/>
        <v>12</v>
      </c>
      <c r="L41" s="40">
        <f t="shared" si="28"/>
        <v>12</v>
      </c>
      <c r="M41" s="40">
        <f t="shared" si="28"/>
        <v>12</v>
      </c>
      <c r="N41" s="40">
        <f t="shared" si="28"/>
        <v>12</v>
      </c>
      <c r="O41" s="40">
        <f t="shared" si="28"/>
        <v>12</v>
      </c>
      <c r="P41" s="40">
        <f t="shared" si="28"/>
        <v>12</v>
      </c>
      <c r="Q41" s="40">
        <f t="shared" si="28"/>
        <v>12</v>
      </c>
      <c r="R41" s="40">
        <f t="shared" si="28"/>
        <v>12</v>
      </c>
      <c r="S41" s="40">
        <f t="shared" si="28"/>
        <v>12</v>
      </c>
      <c r="T41" s="40">
        <f t="shared" si="28"/>
        <v>12</v>
      </c>
      <c r="U41" s="40">
        <f t="shared" si="28"/>
        <v>12</v>
      </c>
      <c r="V41" s="40">
        <f t="shared" si="29"/>
        <v>12</v>
      </c>
      <c r="W41" s="40">
        <f t="shared" si="29"/>
        <v>12</v>
      </c>
      <c r="X41" s="40">
        <f t="shared" si="29"/>
        <v>12</v>
      </c>
      <c r="Y41" s="40">
        <f t="shared" si="29"/>
        <v>18</v>
      </c>
      <c r="Z41" s="40">
        <f t="shared" si="29"/>
        <v>12</v>
      </c>
      <c r="AA41" s="40">
        <f t="shared" si="29"/>
        <v>12</v>
      </c>
      <c r="AB41" s="40">
        <f t="shared" si="29"/>
        <v>12</v>
      </c>
      <c r="AC41" s="40">
        <f t="shared" si="29"/>
        <v>12</v>
      </c>
      <c r="AD41" s="40">
        <f t="shared" si="29"/>
        <v>12</v>
      </c>
      <c r="AE41" s="40">
        <f t="shared" si="29"/>
        <v>12</v>
      </c>
      <c r="AF41" s="40">
        <f t="shared" si="29"/>
        <v>12</v>
      </c>
      <c r="AG41" s="40">
        <f t="shared" si="29"/>
        <v>12</v>
      </c>
      <c r="AH41" s="40">
        <f t="shared" si="29"/>
        <v>12</v>
      </c>
      <c r="AI41" s="40">
        <f t="shared" si="29"/>
        <v>12</v>
      </c>
      <c r="AJ41" s="40">
        <f t="shared" si="29"/>
        <v>12</v>
      </c>
      <c r="AK41" s="40">
        <f t="shared" si="30"/>
        <v>12</v>
      </c>
      <c r="AL41" s="40">
        <f t="shared" si="30"/>
        <v>12</v>
      </c>
      <c r="AM41" s="40">
        <f t="shared" si="30"/>
        <v>12</v>
      </c>
      <c r="AN41" s="40">
        <f t="shared" si="30"/>
        <v>12</v>
      </c>
      <c r="AO41" s="40">
        <f t="shared" si="30"/>
        <v>12</v>
      </c>
      <c r="AP41" s="40">
        <f t="shared" si="30"/>
        <v>12</v>
      </c>
      <c r="AQ41" s="40">
        <f t="shared" si="30"/>
        <v>12</v>
      </c>
      <c r="AR41" s="40">
        <f t="shared" si="30"/>
        <v>12</v>
      </c>
      <c r="AS41" s="40">
        <f t="shared" si="30"/>
        <v>12</v>
      </c>
      <c r="AT41" s="40">
        <f t="shared" si="30"/>
        <v>12</v>
      </c>
      <c r="AU41" s="40">
        <f t="shared" si="30"/>
        <v>12</v>
      </c>
      <c r="AV41" s="40">
        <f t="shared" si="30"/>
        <v>12</v>
      </c>
      <c r="AW41" s="40">
        <f t="shared" si="30"/>
        <v>12</v>
      </c>
      <c r="AY41" s="2" t="s">
        <v>349</v>
      </c>
      <c r="AZ41" s="1" t="str">
        <f t="shared" si="31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156</v>
      </c>
      <c r="BH41" t="s">
        <v>352</v>
      </c>
      <c r="BI41" t="s">
        <v>359</v>
      </c>
    </row>
    <row r="42" spans="1:61">
      <c r="C42" t="str">
        <f t="shared" si="27"/>
        <v>TRANGA</v>
      </c>
      <c r="D42" s="40">
        <f t="shared" si="32"/>
        <v>12</v>
      </c>
      <c r="E42" s="40">
        <f t="shared" si="28"/>
        <v>12</v>
      </c>
      <c r="F42" s="40">
        <f t="shared" si="28"/>
        <v>12</v>
      </c>
      <c r="G42" s="40">
        <f t="shared" si="28"/>
        <v>12</v>
      </c>
      <c r="H42" s="40">
        <f t="shared" si="28"/>
        <v>12</v>
      </c>
      <c r="I42" s="40">
        <f t="shared" si="28"/>
        <v>12</v>
      </c>
      <c r="J42" s="40">
        <f t="shared" si="28"/>
        <v>12</v>
      </c>
      <c r="K42" s="40">
        <f t="shared" si="28"/>
        <v>12</v>
      </c>
      <c r="L42" s="40">
        <f t="shared" si="28"/>
        <v>12</v>
      </c>
      <c r="M42" s="40">
        <f t="shared" si="28"/>
        <v>12</v>
      </c>
      <c r="N42" s="40">
        <f t="shared" si="28"/>
        <v>12</v>
      </c>
      <c r="O42" s="40">
        <f t="shared" si="28"/>
        <v>12</v>
      </c>
      <c r="P42" s="40">
        <f t="shared" si="28"/>
        <v>12</v>
      </c>
      <c r="Q42" s="40">
        <f t="shared" si="28"/>
        <v>12</v>
      </c>
      <c r="R42" s="40">
        <f t="shared" si="28"/>
        <v>12</v>
      </c>
      <c r="S42" s="40">
        <f t="shared" si="28"/>
        <v>12</v>
      </c>
      <c r="T42" s="40">
        <f t="shared" si="28"/>
        <v>12</v>
      </c>
      <c r="U42" s="40">
        <f t="shared" si="28"/>
        <v>12</v>
      </c>
      <c r="V42" s="40">
        <f t="shared" si="29"/>
        <v>12</v>
      </c>
      <c r="W42" s="40">
        <f t="shared" si="29"/>
        <v>12</v>
      </c>
      <c r="X42" s="40">
        <f t="shared" si="29"/>
        <v>12</v>
      </c>
      <c r="Y42" s="40">
        <f t="shared" si="29"/>
        <v>18</v>
      </c>
      <c r="Z42" s="40">
        <f t="shared" si="29"/>
        <v>12</v>
      </c>
      <c r="AA42" s="40">
        <f t="shared" si="29"/>
        <v>12</v>
      </c>
      <c r="AB42" s="40">
        <f t="shared" si="29"/>
        <v>12</v>
      </c>
      <c r="AC42" s="40">
        <f t="shared" si="29"/>
        <v>12</v>
      </c>
      <c r="AD42" s="40">
        <f t="shared" si="29"/>
        <v>12</v>
      </c>
      <c r="AE42" s="40">
        <f t="shared" si="29"/>
        <v>12</v>
      </c>
      <c r="AF42" s="40">
        <f t="shared" si="29"/>
        <v>12</v>
      </c>
      <c r="AG42" s="40">
        <f t="shared" si="29"/>
        <v>12</v>
      </c>
      <c r="AH42" s="40">
        <f t="shared" si="29"/>
        <v>12</v>
      </c>
      <c r="AI42" s="40">
        <f t="shared" si="29"/>
        <v>12</v>
      </c>
      <c r="AJ42" s="40">
        <f t="shared" si="29"/>
        <v>12</v>
      </c>
      <c r="AK42" s="40">
        <f t="shared" si="30"/>
        <v>12</v>
      </c>
      <c r="AL42" s="40">
        <f t="shared" si="30"/>
        <v>12</v>
      </c>
      <c r="AM42" s="40">
        <f t="shared" si="30"/>
        <v>12</v>
      </c>
      <c r="AN42" s="40">
        <f t="shared" si="30"/>
        <v>12</v>
      </c>
      <c r="AO42" s="40">
        <f t="shared" si="30"/>
        <v>12</v>
      </c>
      <c r="AP42" s="40">
        <f t="shared" si="30"/>
        <v>12</v>
      </c>
      <c r="AQ42" s="40">
        <f t="shared" si="30"/>
        <v>12</v>
      </c>
      <c r="AR42" s="40">
        <f t="shared" si="30"/>
        <v>12</v>
      </c>
      <c r="AS42" s="40">
        <f t="shared" si="30"/>
        <v>12</v>
      </c>
      <c r="AT42" s="40">
        <f t="shared" si="30"/>
        <v>12</v>
      </c>
      <c r="AU42" s="40">
        <f t="shared" si="30"/>
        <v>12</v>
      </c>
      <c r="AV42" s="40">
        <f t="shared" si="30"/>
        <v>12</v>
      </c>
      <c r="AW42" s="40">
        <f t="shared" si="30"/>
        <v>12</v>
      </c>
      <c r="AY42" s="2" t="s">
        <v>349</v>
      </c>
      <c r="AZ42" s="1" t="str">
        <f t="shared" si="31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156</v>
      </c>
      <c r="BH42" t="s">
        <v>352</v>
      </c>
      <c r="BI42" t="s">
        <v>359</v>
      </c>
    </row>
    <row r="43" spans="1:61">
      <c r="AY43" s="2" t="s">
        <v>169</v>
      </c>
      <c r="BB43" t="str">
        <f t="shared" si="1"/>
        <v/>
      </c>
    </row>
    <row r="44" spans="1:61">
      <c r="D44" s="40" t="str">
        <f>D3</f>
        <v>Africa_North</v>
      </c>
      <c r="E44" s="40" t="str">
        <f t="shared" ref="E44:U44" si="33">E3</f>
        <v>Africa_Other</v>
      </c>
      <c r="F44" s="40" t="str">
        <f t="shared" si="33"/>
        <v>Australia</v>
      </c>
      <c r="G44" s="40" t="str">
        <f t="shared" si="33"/>
        <v>Austria</v>
      </c>
      <c r="H44" s="40" t="str">
        <f t="shared" si="33"/>
        <v>Baltics</v>
      </c>
      <c r="I44" s="40" t="str">
        <f t="shared" si="33"/>
        <v>BeNeLux</v>
      </c>
      <c r="J44" s="40" t="str">
        <f t="shared" si="33"/>
        <v>Brazil</v>
      </c>
      <c r="K44" s="40" t="str">
        <f t="shared" si="33"/>
        <v>China</v>
      </c>
      <c r="L44" s="40" t="str">
        <f t="shared" si="33"/>
        <v>CroSloven</v>
      </c>
      <c r="M44" s="40" t="str">
        <f t="shared" si="33"/>
        <v>CzechSlovak</v>
      </c>
      <c r="N44" s="40" t="str">
        <f t="shared" si="33"/>
        <v>France</v>
      </c>
      <c r="O44" s="40" t="str">
        <f t="shared" si="33"/>
        <v>Germany</v>
      </c>
      <c r="P44" s="40" t="str">
        <f t="shared" si="33"/>
        <v>GreeceCyp</v>
      </c>
      <c r="Q44" s="40" t="str">
        <f t="shared" si="33"/>
        <v>HunRomBul</v>
      </c>
      <c r="R44" s="40" t="str">
        <f t="shared" si="33"/>
        <v>Iceland</v>
      </c>
      <c r="S44" s="40" t="str">
        <f t="shared" si="33"/>
        <v>India</v>
      </c>
      <c r="T44" s="40" t="str">
        <f t="shared" si="33"/>
        <v>Ireland</v>
      </c>
      <c r="U44" s="40" t="str">
        <f t="shared" si="33"/>
        <v>ItalyMal</v>
      </c>
      <c r="V44" s="40" t="str">
        <f t="shared" ref="V44:AJ44" si="34">V3</f>
        <v>Japan</v>
      </c>
      <c r="W44" s="40" t="str">
        <f t="shared" si="34"/>
        <v>LatAm</v>
      </c>
      <c r="X44" s="40" t="str">
        <f t="shared" si="34"/>
        <v>MidEast</v>
      </c>
      <c r="Y44" s="40" t="str">
        <f t="shared" si="34"/>
        <v>NorthAm</v>
      </c>
      <c r="Z44" s="40" t="str">
        <f t="shared" si="34"/>
        <v>Norway</v>
      </c>
      <c r="AA44" s="40" t="str">
        <f t="shared" si="34"/>
        <v>Poland</v>
      </c>
      <c r="AB44" s="40" t="str">
        <f t="shared" si="34"/>
        <v>ROW</v>
      </c>
      <c r="AC44" s="40" t="str">
        <f t="shared" si="34"/>
        <v>Russia</v>
      </c>
      <c r="AD44" s="40" t="str">
        <f t="shared" si="34"/>
        <v>SaudiArabia</v>
      </c>
      <c r="AE44" s="40" t="str">
        <f t="shared" si="34"/>
        <v>SouthAfrica</v>
      </c>
      <c r="AF44" s="40" t="str">
        <f t="shared" si="34"/>
        <v>SpainPor</v>
      </c>
      <c r="AG44" s="40" t="str">
        <f t="shared" ref="AG44" si="35">AG3</f>
        <v>SweFinDen</v>
      </c>
      <c r="AH44" s="40" t="str">
        <f t="shared" si="34"/>
        <v>Switzerland</v>
      </c>
      <c r="AI44" s="40" t="str">
        <f t="shared" si="34"/>
        <v>Turkey</v>
      </c>
      <c r="AJ44" s="40" t="str">
        <f t="shared" si="34"/>
        <v>UK</v>
      </c>
      <c r="AK44" s="40" t="str">
        <f t="shared" ref="AK44:AW44" si="36">AK3</f>
        <v>Ukraine</v>
      </c>
      <c r="AL44" s="40" t="str">
        <f t="shared" si="36"/>
        <v>WestBalkans</v>
      </c>
      <c r="AM44" s="40" t="str">
        <f t="shared" si="36"/>
        <v>\I:</v>
      </c>
      <c r="AN44" s="40" t="str">
        <f t="shared" si="36"/>
        <v>\I:</v>
      </c>
      <c r="AO44" s="40" t="str">
        <f t="shared" si="36"/>
        <v>\I:</v>
      </c>
      <c r="AP44" s="40" t="str">
        <f t="shared" si="36"/>
        <v>\I:</v>
      </c>
      <c r="AQ44" s="40" t="str">
        <f t="shared" si="36"/>
        <v>\I:</v>
      </c>
      <c r="AR44" s="40" t="str">
        <f t="shared" si="36"/>
        <v>\I:</v>
      </c>
      <c r="AS44" s="40" t="str">
        <f t="shared" si="36"/>
        <v>\I:</v>
      </c>
      <c r="AT44" s="40" t="str">
        <f t="shared" si="36"/>
        <v>\I:</v>
      </c>
      <c r="AU44" s="40" t="str">
        <f t="shared" si="36"/>
        <v>\I:</v>
      </c>
      <c r="AV44" s="40" t="str">
        <f t="shared" si="36"/>
        <v>\I:</v>
      </c>
      <c r="AW44" s="40" t="str">
        <f t="shared" si="36"/>
        <v>\I:</v>
      </c>
      <c r="AY44" s="2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256.56000000000006</v>
      </c>
      <c r="E45" s="2">
        <f t="shared" ref="E45:U45" ca="1" si="37">SUMPRODUCT(E36:E42,E19:E25)</f>
        <v>370.72800000000001</v>
      </c>
      <c r="F45" s="2">
        <f t="shared" ca="1" si="37"/>
        <v>242.17200000000003</v>
      </c>
      <c r="G45" s="2">
        <f t="shared" ca="1" si="37"/>
        <v>60.552</v>
      </c>
      <c r="H45" s="2">
        <f t="shared" ca="1" si="37"/>
        <v>14.676</v>
      </c>
      <c r="I45" s="2">
        <f t="shared" ca="1" si="37"/>
        <v>188.41199999999998</v>
      </c>
      <c r="J45" s="2">
        <f t="shared" ca="1" si="37"/>
        <v>463.596</v>
      </c>
      <c r="K45" s="2">
        <f t="shared" ca="1" si="37"/>
        <v>2378.4360000000001</v>
      </c>
      <c r="L45" s="2">
        <f t="shared" ca="1" si="37"/>
        <v>29.831999999999997</v>
      </c>
      <c r="M45" s="2">
        <f t="shared" ca="1" si="37"/>
        <v>66.731999999999999</v>
      </c>
      <c r="N45" s="2">
        <f t="shared" ca="1" si="37"/>
        <v>298.43999999999994</v>
      </c>
      <c r="O45" s="2">
        <f t="shared" ca="1" si="37"/>
        <v>487.77599999999995</v>
      </c>
      <c r="P45" s="2">
        <f t="shared" ca="1" si="37"/>
        <v>67.091999999999985</v>
      </c>
      <c r="Q45" s="2">
        <f t="shared" ca="1" si="37"/>
        <v>108.66</v>
      </c>
      <c r="R45" s="2">
        <f t="shared" ca="1" si="37"/>
        <v>3.3479999999999999</v>
      </c>
      <c r="S45" s="2">
        <f t="shared" ca="1" si="37"/>
        <v>568.10400000000004</v>
      </c>
      <c r="T45" s="2">
        <f t="shared" ca="1" si="37"/>
        <v>28.295999999999999</v>
      </c>
      <c r="U45" s="2">
        <f t="shared" ca="1" si="37"/>
        <v>286.14</v>
      </c>
      <c r="V45" s="2">
        <f t="shared" ref="V45:AJ45" ca="1" si="38">SUMPRODUCT(V36:V42,V19:V25)</f>
        <v>687.19200000000001</v>
      </c>
      <c r="W45" s="2">
        <f t="shared" ca="1" si="38"/>
        <v>803.32799999999997</v>
      </c>
      <c r="X45" s="2">
        <f t="shared" ca="1" si="38"/>
        <v>908.37599999999998</v>
      </c>
      <c r="Y45" s="2">
        <f t="shared" ca="1" si="38"/>
        <v>4194.9180000000006</v>
      </c>
      <c r="Z45" s="2">
        <f t="shared" ca="1" si="38"/>
        <v>28.044000000000004</v>
      </c>
      <c r="AA45" s="2">
        <f t="shared" ca="1" si="38"/>
        <v>170.28000000000003</v>
      </c>
      <c r="AB45" s="2">
        <f t="shared" ca="1" si="38"/>
        <v>1561.308</v>
      </c>
      <c r="AC45" s="2">
        <f t="shared" ca="1" si="38"/>
        <v>531.88800000000015</v>
      </c>
      <c r="AD45" s="2">
        <f t="shared" ca="1" si="38"/>
        <v>367.536</v>
      </c>
      <c r="AE45" s="2">
        <f t="shared" ca="1" si="38"/>
        <v>99.659999999999982</v>
      </c>
      <c r="AF45" s="2">
        <f t="shared" ca="1" si="38"/>
        <v>247.78800000000001</v>
      </c>
      <c r="AG45" s="2">
        <f t="shared" ref="AG45" ca="1" si="39">SUMPRODUCT(AG36:AG42,AG19:AG25)</f>
        <v>129.828</v>
      </c>
      <c r="AH45" s="2">
        <f t="shared" ca="1" si="38"/>
        <v>57.564</v>
      </c>
      <c r="AI45" s="2">
        <f t="shared" ca="1" si="38"/>
        <v>120.072</v>
      </c>
      <c r="AJ45" s="2">
        <f t="shared" ca="1" si="38"/>
        <v>346.02</v>
      </c>
      <c r="AK45" s="2">
        <f t="shared" ref="AK45:AW45" ca="1" si="40">SUMPRODUCT(AK36:AK42,AK19:AK25)</f>
        <v>52.452000000000005</v>
      </c>
      <c r="AL45" s="2">
        <f t="shared" ca="1" si="40"/>
        <v>39.264000000000003</v>
      </c>
      <c r="AM45" s="2">
        <f t="shared" ca="1" si="40"/>
        <v>0</v>
      </c>
      <c r="AN45" s="2">
        <f t="shared" ca="1" si="40"/>
        <v>0</v>
      </c>
      <c r="AO45" s="2">
        <f t="shared" ca="1" si="40"/>
        <v>0</v>
      </c>
      <c r="AP45" s="2">
        <f t="shared" ca="1" si="40"/>
        <v>0</v>
      </c>
      <c r="AQ45" s="2">
        <f t="shared" ca="1" si="40"/>
        <v>0</v>
      </c>
      <c r="AR45" s="2">
        <f t="shared" ca="1" si="40"/>
        <v>0</v>
      </c>
      <c r="AS45" s="2">
        <f t="shared" ca="1" si="40"/>
        <v>0</v>
      </c>
      <c r="AT45" s="2">
        <f t="shared" ca="1" si="40"/>
        <v>0</v>
      </c>
      <c r="AU45" s="2">
        <f t="shared" ca="1" si="40"/>
        <v>0</v>
      </c>
      <c r="AV45" s="2">
        <f t="shared" ca="1" si="40"/>
        <v>0</v>
      </c>
      <c r="AW45" s="2">
        <f t="shared" ca="1" si="40"/>
        <v>0</v>
      </c>
      <c r="AY45" s="2" t="s">
        <v>350</v>
      </c>
      <c r="BA45" t="s">
        <v>346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33:54">
      <c r="AG49">
        <f ca="1">AG36*AG23/AG32*1000/41.868</f>
        <v>4361.4668166965157</v>
      </c>
      <c r="AY49" t="s">
        <v>434</v>
      </c>
      <c r="AZ49" t="str">
        <f>BA45</f>
        <v>Trd_car</v>
      </c>
      <c r="BB49" t="s">
        <v>156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B999E-685E-4727-9729-645E6DAADC14}">
  <dimension ref="A2:BI49"/>
  <sheetViews>
    <sheetView zoomScaleNormal="100" workbookViewId="0"/>
  </sheetViews>
  <sheetFormatPr defaultRowHeight="14.25"/>
  <cols>
    <col min="1" max="1" width="10.86328125" bestFit="1" customWidth="1"/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1" width="6.59765625" bestFit="1" customWidth="1"/>
    <col min="32" max="32" width="5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6" bestFit="1" customWidth="1"/>
    <col min="51" max="51" width="8.86328125" bestFit="1" customWidth="1"/>
    <col min="52" max="52" width="12.1328125" bestFit="1" customWidth="1"/>
  </cols>
  <sheetData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SUM(SUMIFS(Assumptions!BD$3:BD$102,Assumptions!$B$3:$B$102,Bus!$C4,Assumptions!$G$3:$G$102,{"TRB"}))</f>
        <v>0</v>
      </c>
      <c r="E4" s="2" cm="1">
        <f t="array" aca="1" ref="E4" ca="1">SUM(SUMIFS(Assumptions!BE$3:BE$102,Assumptions!$B$3:$B$102,Bus!$C4,Assumptions!$G$3:$G$102,{"TRB"}))</f>
        <v>0</v>
      </c>
      <c r="F4" s="2" cm="1">
        <f t="array" aca="1" ref="F4" ca="1">SUM(SUMIFS(Assumptions!BF$3:BF$102,Assumptions!$B$3:$B$102,Bus!$C4,Assumptions!$G$3:$G$102,{"TRB"}))</f>
        <v>5.4098898840000001E-3</v>
      </c>
      <c r="G4" s="2" cm="1">
        <f t="array" aca="1" ref="G4" ca="1">SUM(SUMIFS(Assumptions!BG$3:BG$102,Assumptions!$B$3:$B$102,Bus!$C4,Assumptions!$G$3:$G$102,{"TRB"}))</f>
        <v>0.71297921548800014</v>
      </c>
      <c r="H4" s="2" cm="1">
        <f t="array" aca="1" ref="H4" ca="1">SUM(SUMIFS(Assumptions!BH$3:BH$102,Assumptions!$B$3:$B$102,Bus!$C4,Assumptions!$G$3:$G$102,{"TRB"}))</f>
        <v>0.43541731915200005</v>
      </c>
      <c r="I4" s="2" cm="1">
        <f t="array" aca="1" ref="I4" ca="1">SUM(SUMIFS(Assumptions!BI$3:BI$102,Assumptions!$B$3:$B$102,Bus!$C4,Assumptions!$G$3:$G$102,{"TRB"}))</f>
        <v>1.4771963219040003</v>
      </c>
      <c r="J4" s="2" cm="1">
        <f t="array" aca="1" ref="J4" ca="1">SUM(SUMIFS(Assumptions!BJ$3:BJ$102,Assumptions!$B$3:$B$102,Bus!$C4,Assumptions!$G$3:$G$102,{"TRB"}))</f>
        <v>60.545782959602406</v>
      </c>
      <c r="K4" s="2" cm="1">
        <f t="array" aca="1" ref="K4" ca="1">SUM(SUMIFS(Assumptions!BK$3:BK$102,Assumptions!$B$3:$B$102,Bus!$C4,Assumptions!$G$3:$G$102,{"TRB"}))</f>
        <v>11.939760177029999</v>
      </c>
      <c r="L4" s="2" cm="1">
        <f t="array" aca="1" ref="L4" ca="1">SUM(SUMIFS(Assumptions!BL$3:BL$102,Assumptions!$B$3:$B$102,Bus!$C4,Assumptions!$G$3:$G$102,{"TRB"}))</f>
        <v>0.51066366105600003</v>
      </c>
      <c r="M4" s="2" cm="1">
        <f t="array" aca="1" ref="M4" ca="1">SUM(SUMIFS(Assumptions!BM$3:BM$102,Assumptions!$B$3:$B$102,Bus!$C4,Assumptions!$G$3:$G$102,{"TRB"}))</f>
        <v>1.3383879920640003</v>
      </c>
      <c r="N4" s="2" cm="1">
        <f t="array" aca="1" ref="N4" ca="1">SUM(SUMIFS(Assumptions!BN$3:BN$102,Assumptions!$B$3:$B$102,Bus!$C4,Assumptions!$G$3:$G$102,{"TRB"}))</f>
        <v>4.2281302474080009</v>
      </c>
      <c r="O4" s="2" cm="1">
        <f t="array" aca="1" ref="O4" ca="1">SUM(SUMIFS(Assumptions!BO$3:BO$102,Assumptions!$B$3:$B$102,Bus!$C4,Assumptions!$G$3:$G$102,{"TRB"}))</f>
        <v>3.163755587472</v>
      </c>
      <c r="P4" s="2" cm="1">
        <f t="array" aca="1" ref="P4" ca="1">SUM(SUMIFS(Assumptions!BP$3:BP$102,Assumptions!$B$3:$B$102,Bus!$C4,Assumptions!$G$3:$G$102,{"TRB"}))</f>
        <v>0.28662933283200004</v>
      </c>
      <c r="Q4" s="2" cm="1">
        <f t="array" aca="1" ref="Q4" ca="1">SUM(SUMIFS(Assumptions!BQ$3:BQ$102,Assumptions!$B$3:$B$102,Bus!$C4,Assumptions!$G$3:$G$102,{"TRB"}))</f>
        <v>2.0729312372160003</v>
      </c>
      <c r="R4" s="2" cm="1">
        <f t="array" aca="1" ref="R4" ca="1">SUM(SUMIFS(Assumptions!BR$3:BR$102,Assumptions!$B$3:$B$102,Bus!$C4,Assumptions!$G$3:$G$102,{"TRB"}))</f>
        <v>2.5957322640000002E-2</v>
      </c>
      <c r="S4" s="2" cm="1">
        <f t="array" aca="1" ref="S4" ca="1">SUM(SUMIFS(Assumptions!BS$3:BS$102,Assumptions!$B$3:$B$102,Bus!$C4,Assumptions!$G$3:$G$102,{"TRB"}))</f>
        <v>0.30692593439999999</v>
      </c>
      <c r="T4" s="2" cm="1">
        <f t="array" aca="1" ref="T4" ca="1">SUM(SUMIFS(Assumptions!BT$3:BT$102,Assumptions!$B$3:$B$102,Bus!$C4,Assumptions!$G$3:$G$102,{"TRB"}))</f>
        <v>0.27127282032000005</v>
      </c>
      <c r="U4" s="2" cm="1">
        <f t="array" aca="1" ref="U4" ca="1">SUM(SUMIFS(Assumptions!BU$3:BU$102,Assumptions!$B$3:$B$102,Bus!$C4,Assumptions!$G$3:$G$102,{"TRB"}))</f>
        <v>2.1043712581920002</v>
      </c>
      <c r="V4" s="2" cm="1">
        <f t="array" aca="1" ref="V4" ca="1">SUM(SUMIFS(Assumptions!BV$3:BV$102,Assumptions!$B$3:$B$102,Bus!$C4,Assumptions!$G$3:$G$102,{"TRB"}))</f>
        <v>2.4664229460000003E-2</v>
      </c>
      <c r="W4" s="2" cm="1">
        <f t="array" aca="1" ref="W4" ca="1">SUM(SUMIFS(Assumptions!BW$3:BW$102,Assumptions!$B$3:$B$102,Bus!$C4,Assumptions!$G$3:$G$102,{"TRB"}))</f>
        <v>6.9065081305235996</v>
      </c>
      <c r="X4" s="2" cm="1">
        <f t="array" aca="1" ref="X4" ca="1">SUM(SUMIFS(Assumptions!BX$3:BX$102,Assumptions!$B$3:$B$102,Bus!$C4,Assumptions!$G$3:$G$102,{"TRB"}))</f>
        <v>0</v>
      </c>
      <c r="Y4" s="2" cm="1">
        <f t="array" aca="1" ref="Y4" ca="1">SUM(SUMIFS(Assumptions!BY$3:BY$102,Assumptions!$B$3:$B$102,Bus!$C4,Assumptions!$G$3:$G$102,{"TRB"}))</f>
        <v>7.9701870878657388</v>
      </c>
      <c r="Z4" s="2" cm="1">
        <f t="array" aca="1" ref="Z4" ca="1">SUM(SUMIFS(Assumptions!BZ$3:BZ$102,Assumptions!$B$3:$B$102,Bus!$C4,Assumptions!$G$3:$G$102,{"TRB"}))</f>
        <v>0.70170098112000012</v>
      </c>
      <c r="AA4" s="2" cm="1">
        <f t="array" aca="1" ref="AA4" ca="1">SUM(SUMIFS(Assumptions!CA$3:CA$102,Assumptions!$B$3:$B$102,Bus!$C4,Assumptions!$G$3:$G$102,{"TRB"}))</f>
        <v>2.8061126000640004</v>
      </c>
      <c r="AB4" s="2" cm="1">
        <f t="array" aca="1" ref="AB4" ca="1">SUM(SUMIFS(Assumptions!CB$3:CB$102,Assumptions!$B$3:$B$102,Bus!$C4,Assumptions!$G$3:$G$102,{"TRB"}))</f>
        <v>39.338913653827206</v>
      </c>
      <c r="AC4" s="2" cm="1">
        <f t="array" aca="1" ref="AC4" ca="1">SUM(SUMIFS(Assumptions!CC$3:CC$102,Assumptions!$B$3:$B$102,Bus!$C4,Assumptions!$G$3:$G$102,{"TRB"}))</f>
        <v>6.8400379619999998E-3</v>
      </c>
      <c r="AD4" s="2" cm="1">
        <f t="array" aca="1" ref="AD4" ca="1">SUM(SUMIFS(Assumptions!CD$3:CD$102,Assumptions!$B$3:$B$102,Bus!$C4,Assumptions!$G$3:$G$102,{"TRB"}))</f>
        <v>0</v>
      </c>
      <c r="AE4" s="2" cm="1">
        <f t="array" aca="1" ref="AE4" ca="1">SUM(SUMIFS(Assumptions!CE$3:CE$102,Assumptions!$B$3:$B$102,Bus!$C4,Assumptions!$G$3:$G$102,{"TRB"}))</f>
        <v>0</v>
      </c>
      <c r="AF4" s="2" cm="1">
        <f t="array" aca="1" ref="AF4" ca="1">SUM(SUMIFS(Assumptions!CF$3:CF$102,Assumptions!$B$3:$B$102,Bus!$C4,Assumptions!$G$3:$G$102,{"TRB"}))</f>
        <v>2.9433868863840007</v>
      </c>
      <c r="AG4" s="2" cm="1">
        <f t="array" aca="1" ref="AG4" ca="1">SUM(SUMIFS(Assumptions!CG$3:CG$102,Assumptions!$B$3:$B$102,Bus!$C4,Assumptions!$G$3:$G$102,{"TRB"}))</f>
        <v>2.866601979216</v>
      </c>
      <c r="AH4" s="2" cm="1">
        <f t="array" aca="1" ref="AH4" ca="1">SUM(SUMIFS(Assumptions!CH$3:CH$102,Assumptions!$B$3:$B$102,Bus!$C4,Assumptions!$G$3:$G$102,{"TRB"}))</f>
        <v>0.25092999648000003</v>
      </c>
      <c r="AI4" s="2" cm="1">
        <f t="array" aca="1" ref="AI4" ca="1">SUM(SUMIFS(Assumptions!CI$3:CI$102,Assumptions!$B$3:$B$102,Bus!$C4,Assumptions!$G$3:$G$102,{"TRB"}))</f>
        <v>0.43015501396799999</v>
      </c>
      <c r="AJ4" s="2" cm="1">
        <f t="array" aca="1" ref="AJ4" ca="1">SUM(SUMIFS(Assumptions!CJ$3:CJ$102,Assumptions!$B$3:$B$102,Bus!$C4,Assumptions!$G$3:$G$102,{"TRB"}))</f>
        <v>2.1154240752480002</v>
      </c>
      <c r="AK4" s="2" cm="1">
        <f t="array" aca="1" ref="AK4" ca="1">SUM(SUMIFS(Assumptions!CK$3:CK$102,Assumptions!$B$3:$B$102,Bus!$C4,Assumptions!$G$3:$G$102,{"TRB"}))</f>
        <v>0</v>
      </c>
      <c r="AL4" s="2" cm="1">
        <f t="array" aca="1" ref="AL4" ca="1">SUM(SUMIFS(Assumptions!CL$3:CL$102,Assumptions!$B$3:$B$102,Bus!$C4,Assumptions!$G$3:$G$102,{"TRB"}))</f>
        <v>0.40282073654400002</v>
      </c>
      <c r="AM4" s="2" cm="1">
        <f t="array" aca="1" ref="AM4" ca="1">SUM(SUMIFS(Assumptions!CM$3:CM$102,Assumptions!$B$3:$B$102,Bus!$C4,Assumptions!$G$3:$G$102,{"TRB"}))</f>
        <v>0</v>
      </c>
      <c r="AN4" s="2" cm="1">
        <f t="array" aca="1" ref="AN4" ca="1">SUM(SUMIFS(Assumptions!CN$3:CN$102,Assumptions!$B$3:$B$102,Bus!$C4,Assumptions!$G$3:$G$102,{"TRB"}))</f>
        <v>0</v>
      </c>
      <c r="AO4" s="2" cm="1">
        <f t="array" aca="1" ref="AO4" ca="1">SUM(SUMIFS(Assumptions!CO$3:CO$102,Assumptions!$B$3:$B$102,Bus!$C4,Assumptions!$G$3:$G$102,{"TRB"}))</f>
        <v>0</v>
      </c>
      <c r="AP4" s="2" cm="1">
        <f t="array" aca="1" ref="AP4" ca="1">SUM(SUMIFS(Assumptions!CP$3:CP$102,Assumptions!$B$3:$B$102,Bus!$C4,Assumptions!$G$3:$G$102,{"TRB"}))</f>
        <v>0</v>
      </c>
      <c r="AQ4" s="2" cm="1">
        <f t="array" aca="1" ref="AQ4" ca="1">SUM(SUMIFS(Assumptions!CQ$3:CQ$102,Assumptions!$B$3:$B$102,Bus!$C4,Assumptions!$G$3:$G$102,{"TRB"}))</f>
        <v>0</v>
      </c>
      <c r="AR4" s="2" cm="1">
        <f t="array" aca="1" ref="AR4" ca="1">SUM(SUMIFS(Assumptions!CR$3:CR$102,Assumptions!$B$3:$B$102,Bus!$C4,Assumptions!$G$3:$G$102,{"TRB"}))</f>
        <v>0</v>
      </c>
      <c r="AS4" s="2" cm="1">
        <f t="array" aca="1" ref="AS4" ca="1">SUM(SUMIFS(Assumptions!CS$3:CS$102,Assumptions!$B$3:$B$102,Bus!$C4,Assumptions!$G$3:$G$102,{"TRB"}))</f>
        <v>0</v>
      </c>
      <c r="AT4" s="2" cm="1">
        <f t="array" aca="1" ref="AT4" ca="1">SUM(SUMIFS(Assumptions!CT$3:CT$102,Assumptions!$B$3:$B$102,Bus!$C4,Assumptions!$G$3:$G$102,{"TRB"}))</f>
        <v>0</v>
      </c>
      <c r="AU4" s="2" cm="1">
        <f t="array" aca="1" ref="AU4" ca="1">SUM(SUMIFS(Assumptions!CU$3:CU$102,Assumptions!$B$3:$B$102,Bus!$C4,Assumptions!$G$3:$G$102,{"TRB"}))</f>
        <v>0</v>
      </c>
      <c r="AV4" s="2" cm="1">
        <f t="array" aca="1" ref="AV4" ca="1">SUM(SUMIFS(Assumptions!CV$3:CV$102,Assumptions!$B$3:$B$102,Bus!$C4,Assumptions!$G$3:$G$102,{"TRB"}))</f>
        <v>0</v>
      </c>
      <c r="AW4" s="2" cm="1">
        <f t="array" aca="1" ref="AW4" ca="1">SUM(SUMIFS(Assumptions!CW$3:CW$102,Assumptions!$B$3:$B$102,Bus!$C4,Assumptions!$G$3:$G$102,{"TRB"}))</f>
        <v>0</v>
      </c>
      <c r="AX4" s="2"/>
      <c r="AY4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SUM(SUMIFS(Assumptions!BD$3:BD$102,Assumptions!$B$3:$B$102,Bus!$C5,Assumptions!$G$3:$G$102,{"TRB"}))</f>
        <v>0</v>
      </c>
      <c r="E5" s="2" cm="1">
        <f t="array" aca="1" ref="E5" ca="1">SUM(SUMIFS(Assumptions!BE$3:BE$102,Assumptions!$B$3:$B$102,Bus!$C5,Assumptions!$G$3:$G$102,{"TRB"}))</f>
        <v>0</v>
      </c>
      <c r="F5" s="2" cm="1">
        <f t="array" aca="1" ref="F5" ca="1">SUM(SUMIFS(Assumptions!BF$3:BF$102,Assumptions!$B$3:$B$102,Bus!$C5,Assumptions!$G$3:$G$102,{"TRB"}))</f>
        <v>0</v>
      </c>
      <c r="G5" s="2" cm="1">
        <f t="array" aca="1" ref="G5" ca="1">SUM(SUMIFS(Assumptions!BG$3:BG$102,Assumptions!$B$3:$B$102,Bus!$C5,Assumptions!$G$3:$G$102,{"TRB"}))</f>
        <v>0</v>
      </c>
      <c r="H5" s="2" cm="1">
        <f t="array" aca="1" ref="H5" ca="1">SUM(SUMIFS(Assumptions!BH$3:BH$102,Assumptions!$B$3:$B$102,Bus!$C5,Assumptions!$G$3:$G$102,{"TRB"}))</f>
        <v>0</v>
      </c>
      <c r="I5" s="2" cm="1">
        <f t="array" aca="1" ref="I5" ca="1">SUM(SUMIFS(Assumptions!BI$3:BI$102,Assumptions!$B$3:$B$102,Bus!$C5,Assumptions!$G$3:$G$102,{"TRB"}))</f>
        <v>0</v>
      </c>
      <c r="J5" s="2" cm="1">
        <f t="array" aca="1" ref="J5" ca="1">SUM(SUMIFS(Assumptions!BJ$3:BJ$102,Assumptions!$B$3:$B$102,Bus!$C5,Assumptions!$G$3:$G$102,{"TRB"}))</f>
        <v>0</v>
      </c>
      <c r="K5" s="2" cm="1">
        <f t="array" aca="1" ref="K5" ca="1">SUM(SUMIFS(Assumptions!BK$3:BK$102,Assumptions!$B$3:$B$102,Bus!$C5,Assumptions!$G$3:$G$102,{"TRB"}))</f>
        <v>0</v>
      </c>
      <c r="L5" s="2" cm="1">
        <f t="array" aca="1" ref="L5" ca="1">SUM(SUMIFS(Assumptions!BL$3:BL$102,Assumptions!$B$3:$B$102,Bus!$C5,Assumptions!$G$3:$G$102,{"TRB"}))</f>
        <v>0</v>
      </c>
      <c r="M5" s="2" cm="1">
        <f t="array" aca="1" ref="M5" ca="1">SUM(SUMIFS(Assumptions!BM$3:BM$102,Assumptions!$B$3:$B$102,Bus!$C5,Assumptions!$G$3:$G$102,{"TRB"}))</f>
        <v>0</v>
      </c>
      <c r="N5" s="2" cm="1">
        <f t="array" aca="1" ref="N5" ca="1">SUM(SUMIFS(Assumptions!BN$3:BN$102,Assumptions!$B$3:$B$102,Bus!$C5,Assumptions!$G$3:$G$102,{"TRB"}))</f>
        <v>0</v>
      </c>
      <c r="O5" s="2" cm="1">
        <f t="array" aca="1" ref="O5" ca="1">SUM(SUMIFS(Assumptions!BO$3:BO$102,Assumptions!$B$3:$B$102,Bus!$C5,Assumptions!$G$3:$G$102,{"TRB"}))</f>
        <v>0</v>
      </c>
      <c r="P5" s="2" cm="1">
        <f t="array" aca="1" ref="P5" ca="1">SUM(SUMIFS(Assumptions!BP$3:BP$102,Assumptions!$B$3:$B$102,Bus!$C5,Assumptions!$G$3:$G$102,{"TRB"}))</f>
        <v>0</v>
      </c>
      <c r="Q5" s="2" cm="1">
        <f t="array" aca="1" ref="Q5" ca="1">SUM(SUMIFS(Assumptions!BQ$3:BQ$102,Assumptions!$B$3:$B$102,Bus!$C5,Assumptions!$G$3:$G$102,{"TRB"}))</f>
        <v>0</v>
      </c>
      <c r="R5" s="2" cm="1">
        <f t="array" aca="1" ref="R5" ca="1">SUM(SUMIFS(Assumptions!BR$3:BR$102,Assumptions!$B$3:$B$102,Bus!$C5,Assumptions!$G$3:$G$102,{"TRB"}))</f>
        <v>0</v>
      </c>
      <c r="S5" s="2" cm="1">
        <f t="array" aca="1" ref="S5" ca="1">SUM(SUMIFS(Assumptions!BS$3:BS$102,Assumptions!$B$3:$B$102,Bus!$C5,Assumptions!$G$3:$G$102,{"TRB"}))</f>
        <v>0</v>
      </c>
      <c r="T5" s="2" cm="1">
        <f t="array" aca="1" ref="T5" ca="1">SUM(SUMIFS(Assumptions!BT$3:BT$102,Assumptions!$B$3:$B$102,Bus!$C5,Assumptions!$G$3:$G$102,{"TRB"}))</f>
        <v>0</v>
      </c>
      <c r="U5" s="2" cm="1">
        <f t="array" aca="1" ref="U5" ca="1">SUM(SUMIFS(Assumptions!BU$3:BU$102,Assumptions!$B$3:$B$102,Bus!$C5,Assumptions!$G$3:$G$102,{"TRB"}))</f>
        <v>0</v>
      </c>
      <c r="V5" s="2" cm="1">
        <f t="array" aca="1" ref="V5" ca="1">SUM(SUMIFS(Assumptions!BV$3:BV$102,Assumptions!$B$3:$B$102,Bus!$C5,Assumptions!$G$3:$G$102,{"TRB"}))</f>
        <v>0</v>
      </c>
      <c r="W5" s="2" cm="1">
        <f t="array" aca="1" ref="W5" ca="1">SUM(SUMIFS(Assumptions!BW$3:BW$102,Assumptions!$B$3:$B$102,Bus!$C5,Assumptions!$G$3:$G$102,{"TRB"}))</f>
        <v>0</v>
      </c>
      <c r="X5" s="2" cm="1">
        <f t="array" aca="1" ref="X5" ca="1">SUM(SUMIFS(Assumptions!BX$3:BX$102,Assumptions!$B$3:$B$102,Bus!$C5,Assumptions!$G$3:$G$102,{"TRB"}))</f>
        <v>0</v>
      </c>
      <c r="Y5" s="2" cm="1">
        <f t="array" aca="1" ref="Y5" ca="1">SUM(SUMIFS(Assumptions!BY$3:BY$102,Assumptions!$B$3:$B$102,Bus!$C5,Assumptions!$G$3:$G$102,{"TRB"}))</f>
        <v>0</v>
      </c>
      <c r="Z5" s="2" cm="1">
        <f t="array" aca="1" ref="Z5" ca="1">SUM(SUMIFS(Assumptions!BZ$3:BZ$102,Assumptions!$B$3:$B$102,Bus!$C5,Assumptions!$G$3:$G$102,{"TRB"}))</f>
        <v>0</v>
      </c>
      <c r="AA5" s="2" cm="1">
        <f t="array" aca="1" ref="AA5" ca="1">SUM(SUMIFS(Assumptions!CA$3:CA$102,Assumptions!$B$3:$B$102,Bus!$C5,Assumptions!$G$3:$G$102,{"TRB"}))</f>
        <v>0</v>
      </c>
      <c r="AB5" s="2" cm="1">
        <f t="array" aca="1" ref="AB5" ca="1">SUM(SUMIFS(Assumptions!CB$3:CB$102,Assumptions!$B$3:$B$102,Bus!$C5,Assumptions!$G$3:$G$102,{"TRB"}))</f>
        <v>0</v>
      </c>
      <c r="AC5" s="2" cm="1">
        <f t="array" aca="1" ref="AC5" ca="1">SUM(SUMIFS(Assumptions!CC$3:CC$102,Assumptions!$B$3:$B$102,Bus!$C5,Assumptions!$G$3:$G$102,{"TRB"}))</f>
        <v>0</v>
      </c>
      <c r="AD5" s="2" cm="1">
        <f t="array" aca="1" ref="AD5" ca="1">SUM(SUMIFS(Assumptions!CD$3:CD$102,Assumptions!$B$3:$B$102,Bus!$C5,Assumptions!$G$3:$G$102,{"TRB"}))</f>
        <v>0</v>
      </c>
      <c r="AE5" s="2" cm="1">
        <f t="array" aca="1" ref="AE5" ca="1">SUM(SUMIFS(Assumptions!CE$3:CE$102,Assumptions!$B$3:$B$102,Bus!$C5,Assumptions!$G$3:$G$102,{"TRB"}))</f>
        <v>0</v>
      </c>
      <c r="AF5" s="2" cm="1">
        <f t="array" aca="1" ref="AF5" ca="1">SUM(SUMIFS(Assumptions!CF$3:CF$102,Assumptions!$B$3:$B$102,Bus!$C5,Assumptions!$G$3:$G$102,{"TRB"}))</f>
        <v>0</v>
      </c>
      <c r="AG5" s="2" cm="1">
        <f t="array" aca="1" ref="AG5" ca="1">SUM(SUMIFS(Assumptions!CG$3:CG$102,Assumptions!$B$3:$B$102,Bus!$C5,Assumptions!$G$3:$G$102,{"TRB"}))</f>
        <v>0</v>
      </c>
      <c r="AH5" s="2" cm="1">
        <f t="array" aca="1" ref="AH5" ca="1">SUM(SUMIFS(Assumptions!CH$3:CH$102,Assumptions!$B$3:$B$102,Bus!$C5,Assumptions!$G$3:$G$102,{"TRB"}))</f>
        <v>0</v>
      </c>
      <c r="AI5" s="2" cm="1">
        <f t="array" aca="1" ref="AI5" ca="1">SUM(SUMIFS(Assumptions!CI$3:CI$102,Assumptions!$B$3:$B$102,Bus!$C5,Assumptions!$G$3:$G$102,{"TRB"}))</f>
        <v>0</v>
      </c>
      <c r="AJ5" s="2" cm="1">
        <f t="array" aca="1" ref="AJ5" ca="1">SUM(SUMIFS(Assumptions!CJ$3:CJ$102,Assumptions!$B$3:$B$102,Bus!$C5,Assumptions!$G$3:$G$102,{"TRB"}))</f>
        <v>0</v>
      </c>
      <c r="AK5" s="2" cm="1">
        <f t="array" aca="1" ref="AK5" ca="1">SUM(SUMIFS(Assumptions!CK$3:CK$102,Assumptions!$B$3:$B$102,Bus!$C5,Assumptions!$G$3:$G$102,{"TRB"}))</f>
        <v>0</v>
      </c>
      <c r="AL5" s="2" cm="1">
        <f t="array" aca="1" ref="AL5" ca="1">SUM(SUMIFS(Assumptions!CL$3:CL$102,Assumptions!$B$3:$B$102,Bus!$C5,Assumptions!$G$3:$G$102,{"TRB"}))</f>
        <v>0</v>
      </c>
      <c r="AM5" s="2" cm="1">
        <f t="array" aca="1" ref="AM5" ca="1">SUM(SUMIFS(Assumptions!CM$3:CM$102,Assumptions!$B$3:$B$102,Bus!$C5,Assumptions!$G$3:$G$102,{"TRB"}))</f>
        <v>0</v>
      </c>
      <c r="AN5" s="2" cm="1">
        <f t="array" aca="1" ref="AN5" ca="1">SUM(SUMIFS(Assumptions!CN$3:CN$102,Assumptions!$B$3:$B$102,Bus!$C5,Assumptions!$G$3:$G$102,{"TRB"}))</f>
        <v>0</v>
      </c>
      <c r="AO5" s="2" cm="1">
        <f t="array" aca="1" ref="AO5" ca="1">SUM(SUMIFS(Assumptions!CO$3:CO$102,Assumptions!$B$3:$B$102,Bus!$C5,Assumptions!$G$3:$G$102,{"TRB"}))</f>
        <v>0</v>
      </c>
      <c r="AP5" s="2" cm="1">
        <f t="array" aca="1" ref="AP5" ca="1">SUM(SUMIFS(Assumptions!CP$3:CP$102,Assumptions!$B$3:$B$102,Bus!$C5,Assumptions!$G$3:$G$102,{"TRB"}))</f>
        <v>0</v>
      </c>
      <c r="AQ5" s="2" cm="1">
        <f t="array" aca="1" ref="AQ5" ca="1">SUM(SUMIFS(Assumptions!CQ$3:CQ$102,Assumptions!$B$3:$B$102,Bus!$C5,Assumptions!$G$3:$G$102,{"TRB"}))</f>
        <v>0</v>
      </c>
      <c r="AR5" s="2" cm="1">
        <f t="array" aca="1" ref="AR5" ca="1">SUM(SUMIFS(Assumptions!CR$3:CR$102,Assumptions!$B$3:$B$102,Bus!$C5,Assumptions!$G$3:$G$102,{"TRB"}))</f>
        <v>0</v>
      </c>
      <c r="AS5" s="2" cm="1">
        <f t="array" aca="1" ref="AS5" ca="1">SUM(SUMIFS(Assumptions!CS$3:CS$102,Assumptions!$B$3:$B$102,Bus!$C5,Assumptions!$G$3:$G$102,{"TRB"}))</f>
        <v>0</v>
      </c>
      <c r="AT5" s="2" cm="1">
        <f t="array" aca="1" ref="AT5" ca="1">SUM(SUMIFS(Assumptions!CT$3:CT$102,Assumptions!$B$3:$B$102,Bus!$C5,Assumptions!$G$3:$G$102,{"TRB"}))</f>
        <v>0</v>
      </c>
      <c r="AU5" s="2" cm="1">
        <f t="array" aca="1" ref="AU5" ca="1">SUM(SUMIFS(Assumptions!CU$3:CU$102,Assumptions!$B$3:$B$102,Bus!$C5,Assumptions!$G$3:$G$102,{"TRB"}))</f>
        <v>0</v>
      </c>
      <c r="AV5" s="2" cm="1">
        <f t="array" aca="1" ref="AV5" ca="1">SUM(SUMIFS(Assumptions!CV$3:CV$102,Assumptions!$B$3:$B$102,Bus!$C5,Assumptions!$G$3:$G$102,{"TRB"}))</f>
        <v>0</v>
      </c>
      <c r="AW5" s="2" cm="1">
        <f t="array" aca="1" ref="AW5" ca="1">SUM(SUMIFS(Assumptions!CW$3:CW$102,Assumptions!$B$3:$B$102,Bus!$C5,Assumptions!$G$3:$G$102,{"TRB"}))</f>
        <v>0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SUM(SUMIFS(Assumptions!BD$3:BD$102,Assumptions!$B$3:$B$102,Bus!$C6,Assumptions!$G$3:$G$102,{"TRB"}))</f>
        <v>350.28647281088996</v>
      </c>
      <c r="E6" s="2" cm="1">
        <f t="array" aca="1" ref="E6" ca="1">SUM(SUMIFS(Assumptions!BE$3:BE$102,Assumptions!$B$3:$B$102,Bus!$C6,Assumptions!$G$3:$G$102,{"TRB"}))</f>
        <v>311.291700338304</v>
      </c>
      <c r="F6" s="2" cm="1">
        <f t="array" aca="1" ref="F6" ca="1">SUM(SUMIFS(Assumptions!BF$3:BF$102,Assumptions!$B$3:$B$102,Bus!$C6,Assumptions!$G$3:$G$102,{"TRB"}))</f>
        <v>84.618772925878787</v>
      </c>
      <c r="G6" s="2" cm="1">
        <f t="array" aca="1" ref="G6" ca="1">SUM(SUMIFS(Assumptions!BG$3:BG$102,Assumptions!$B$3:$B$102,Bus!$C6,Assumptions!$G$3:$G$102,{"TRB"}))</f>
        <v>10.346021744112001</v>
      </c>
      <c r="H6" s="2" cm="1">
        <f t="array" aca="1" ref="H6" ca="1">SUM(SUMIFS(Assumptions!BH$3:BH$102,Assumptions!$B$3:$B$102,Bus!$C6,Assumptions!$G$3:$G$102,{"TRB"}))</f>
        <v>11.520655216830001</v>
      </c>
      <c r="I6" s="2" cm="1">
        <f t="array" aca="1" ref="I6" ca="1">SUM(SUMIFS(Assumptions!BI$3:BI$102,Assumptions!$B$3:$B$102,Bus!$C6,Assumptions!$G$3:$G$102,{"TRB"}))</f>
        <v>21.929287268304005</v>
      </c>
      <c r="J6" s="2" cm="1">
        <f t="array" aca="1" ref="J6" ca="1">SUM(SUMIFS(Assumptions!BJ$3:BJ$102,Assumptions!$B$3:$B$102,Bus!$C6,Assumptions!$G$3:$G$102,{"TRB"}))</f>
        <v>133.5472214276592</v>
      </c>
      <c r="K6" s="2" cm="1">
        <f t="array" aca="1" ref="K6" ca="1">SUM(SUMIFS(Assumptions!BK$3:BK$102,Assumptions!$B$3:$B$102,Bus!$C6,Assumptions!$G$3:$G$102,{"TRB"}))</f>
        <v>1222.6320580270858</v>
      </c>
      <c r="L6" s="2" cm="1">
        <f t="array" aca="1" ref="L6" ca="1">SUM(SUMIFS(Assumptions!BL$3:BL$102,Assumptions!$B$3:$B$102,Bus!$C6,Assumptions!$G$3:$G$102,{"TRB"}))</f>
        <v>9.6395225227200001</v>
      </c>
      <c r="M6" s="2" cm="1">
        <f t="array" aca="1" ref="M6" ca="1">SUM(SUMIFS(Assumptions!BM$3:BM$102,Assumptions!$B$3:$B$102,Bus!$C6,Assumptions!$G$3:$G$102,{"TRB"}))</f>
        <v>20.655887958144003</v>
      </c>
      <c r="N6" s="2" cm="1">
        <f t="array" aca="1" ref="N6" ca="1">SUM(SUMIFS(Assumptions!BN$3:BN$102,Assumptions!$B$3:$B$102,Bus!$C6,Assumptions!$G$3:$G$102,{"TRB"}))</f>
        <v>51.456004953552011</v>
      </c>
      <c r="O6" s="2" cm="1">
        <f t="array" aca="1" ref="O6" ca="1">SUM(SUMIFS(Assumptions!BO$3:BO$102,Assumptions!$B$3:$B$102,Bus!$C6,Assumptions!$G$3:$G$102,{"TRB"}))</f>
        <v>55.570847929199999</v>
      </c>
      <c r="P6" s="2" cm="1">
        <f t="array" aca="1" ref="P6" ca="1">SUM(SUMIFS(Assumptions!BP$3:BP$102,Assumptions!$B$3:$B$102,Bus!$C6,Assumptions!$G$3:$G$102,{"TRB"}))</f>
        <v>4.4939103210719997</v>
      </c>
      <c r="Q6" s="2" cm="1">
        <f t="array" aca="1" ref="Q6" ca="1">SUM(SUMIFS(Assumptions!BQ$3:BQ$102,Assumptions!$B$3:$B$102,Bus!$C6,Assumptions!$G$3:$G$102,{"TRB"}))</f>
        <v>32.227478004384004</v>
      </c>
      <c r="R6" s="2" cm="1">
        <f t="array" aca="1" ref="R6" ca="1">SUM(SUMIFS(Assumptions!BR$3:BR$102,Assumptions!$B$3:$B$102,Bus!$C6,Assumptions!$G$3:$G$102,{"TRB"}))</f>
        <v>0.30818381659200006</v>
      </c>
      <c r="S6" s="2" cm="1">
        <f t="array" aca="1" ref="S6" ca="1">SUM(SUMIFS(Assumptions!BS$3:BS$102,Assumptions!$B$3:$B$102,Bus!$C6,Assumptions!$G$3:$G$102,{"TRB"}))</f>
        <v>456.31104763117503</v>
      </c>
      <c r="T6" s="2" cm="1">
        <f t="array" aca="1" ref="T6" ca="1">SUM(SUMIFS(Assumptions!BT$3:BT$102,Assumptions!$B$3:$B$102,Bus!$C6,Assumptions!$G$3:$G$102,{"TRB"}))</f>
        <v>4.9337854099200005</v>
      </c>
      <c r="U6" s="2" cm="1">
        <f t="array" aca="1" ref="U6" ca="1">SUM(SUMIFS(Assumptions!BU$3:BU$102,Assumptions!$B$3:$B$102,Bus!$C6,Assumptions!$G$3:$G$102,{"TRB"}))</f>
        <v>36.001799325072007</v>
      </c>
      <c r="V6" s="2" cm="1">
        <f t="array" aca="1" ref="V6" ca="1">SUM(SUMIFS(Assumptions!BV$3:BV$102,Assumptions!$B$3:$B$102,Bus!$C6,Assumptions!$G$3:$G$102,{"TRB"}))</f>
        <v>43.380371732571</v>
      </c>
      <c r="W6" s="2" cm="1">
        <f t="array" aca="1" ref="W6" ca="1">SUM(SUMIFS(Assumptions!BW$3:BW$102,Assumptions!$B$3:$B$102,Bus!$C6,Assumptions!$G$3:$G$102,{"TRB"}))</f>
        <v>137.11621819099682</v>
      </c>
      <c r="X6" s="2" cm="1">
        <f t="array" aca="1" ref="X6" ca="1">SUM(SUMIFS(Assumptions!BX$3:BX$102,Assumptions!$B$3:$B$102,Bus!$C6,Assumptions!$G$3:$G$102,{"TRB"}))</f>
        <v>134.798933515752</v>
      </c>
      <c r="Y6" s="2" cm="1">
        <f t="array" aca="1" ref="Y6" ca="1">SUM(SUMIFS(Assumptions!BY$3:BY$102,Assumptions!$B$3:$B$102,Bus!$C6,Assumptions!$G$3:$G$102,{"TRB"}))</f>
        <v>245.85528386382953</v>
      </c>
      <c r="Z6" s="2" cm="1">
        <f t="array" aca="1" ref="Z6" ca="1">SUM(SUMIFS(Assumptions!BZ$3:BZ$102,Assumptions!$B$3:$B$102,Bus!$C6,Assumptions!$G$3:$G$102,{"TRB"}))</f>
        <v>3.5440064575200005</v>
      </c>
      <c r="AA6" s="2" cm="1">
        <f t="array" aca="1" ref="AA6" ca="1">SUM(SUMIFS(Assumptions!CA$3:CA$102,Assumptions!$B$3:$B$102,Bus!$C6,Assumptions!$G$3:$G$102,{"TRB"}))</f>
        <v>47.423857139424001</v>
      </c>
      <c r="AB6" s="2" cm="1">
        <f t="array" aca="1" ref="AB6" ca="1">SUM(SUMIFS(Assumptions!CB$3:CB$102,Assumptions!$B$3:$B$102,Bus!$C6,Assumptions!$G$3:$G$102,{"TRB"}))</f>
        <v>554.12125012309684</v>
      </c>
      <c r="AC6" s="2" cm="1">
        <f t="array" aca="1" ref="AC6" ca="1">SUM(SUMIFS(Assumptions!CC$3:CC$102,Assumptions!$B$3:$B$102,Bus!$C6,Assumptions!$G$3:$G$102,{"TRB"}))</f>
        <v>66.626305181280003</v>
      </c>
      <c r="AD6" s="2" cm="1">
        <f t="array" aca="1" ref="AD6" ca="1">SUM(SUMIFS(Assumptions!CD$3:CD$102,Assumptions!$B$3:$B$102,Bus!$C6,Assumptions!$G$3:$G$102,{"TRB"}))</f>
        <v>76.661885167560001</v>
      </c>
      <c r="AE6" s="2" cm="1">
        <f t="array" aca="1" ref="AE6" ca="1">SUM(SUMIFS(Assumptions!CE$3:CE$102,Assumptions!$B$3:$B$102,Bus!$C6,Assumptions!$G$3:$G$102,{"TRB"}))</f>
        <v>109.34538013324799</v>
      </c>
      <c r="AF6" s="2" cm="1">
        <f t="array" aca="1" ref="AF6" ca="1">SUM(SUMIFS(Assumptions!CF$3:CF$102,Assumptions!$B$3:$B$102,Bus!$C6,Assumptions!$G$3:$G$102,{"TRB"}))</f>
        <v>42.967292069519999</v>
      </c>
      <c r="AG6" s="2" cm="1">
        <f t="array" aca="1" ref="AG6" ca="1">SUM(SUMIFS(Assumptions!CG$3:CG$102,Assumptions!$B$3:$B$102,Bus!$C6,Assumptions!$G$3:$G$102,{"TRB"}))</f>
        <v>12.898516589568002</v>
      </c>
      <c r="AH6" s="2" cm="1">
        <f t="array" aca="1" ref="AH6" ca="1">SUM(SUMIFS(Assumptions!CH$3:CH$102,Assumptions!$B$3:$B$102,Bus!$C6,Assumptions!$G$3:$G$102,{"TRB"}))</f>
        <v>4.5526074148800006</v>
      </c>
      <c r="AI6" s="2" cm="1">
        <f t="array" aca="1" ref="AI6" ca="1">SUM(SUMIFS(Assumptions!CI$3:CI$102,Assumptions!$B$3:$B$102,Bus!$C6,Assumptions!$G$3:$G$102,{"TRB"}))</f>
        <v>74.011536139428003</v>
      </c>
      <c r="AJ6" s="2" cm="1">
        <f t="array" aca="1" ref="AJ6" ca="1">SUM(SUMIFS(Assumptions!CJ$3:CJ$102,Assumptions!$B$3:$B$102,Bus!$C6,Assumptions!$G$3:$G$102,{"TRB"}))</f>
        <v>40.565577289824006</v>
      </c>
      <c r="AK6" s="2" cm="1">
        <f t="array" aca="1" ref="AK6" ca="1">SUM(SUMIFS(Assumptions!CK$3:CK$102,Assumptions!$B$3:$B$102,Bus!$C6,Assumptions!$G$3:$G$102,{"TRB"}))</f>
        <v>17.270468210861999</v>
      </c>
      <c r="AL6" s="2" cm="1">
        <f t="array" aca="1" ref="AL6" ca="1">SUM(SUMIFS(Assumptions!CL$3:CL$102,Assumptions!$B$3:$B$102,Bus!$C6,Assumptions!$G$3:$G$102,{"TRB"}))</f>
        <v>15.017647992480001</v>
      </c>
      <c r="AM6" s="2" cm="1">
        <f t="array" aca="1" ref="AM6" ca="1">SUM(SUMIFS(Assumptions!CM$3:CM$102,Assumptions!$B$3:$B$102,Bus!$C6,Assumptions!$G$3:$G$102,{"TRB"}))</f>
        <v>0</v>
      </c>
      <c r="AN6" s="2" cm="1">
        <f t="array" aca="1" ref="AN6" ca="1">SUM(SUMIFS(Assumptions!CN$3:CN$102,Assumptions!$B$3:$B$102,Bus!$C6,Assumptions!$G$3:$G$102,{"TRB"}))</f>
        <v>0</v>
      </c>
      <c r="AO6" s="2" cm="1">
        <f t="array" aca="1" ref="AO6" ca="1">SUM(SUMIFS(Assumptions!CO$3:CO$102,Assumptions!$B$3:$B$102,Bus!$C6,Assumptions!$G$3:$G$102,{"TRB"}))</f>
        <v>0</v>
      </c>
      <c r="AP6" s="2" cm="1">
        <f t="array" aca="1" ref="AP6" ca="1">SUM(SUMIFS(Assumptions!CP$3:CP$102,Assumptions!$B$3:$B$102,Bus!$C6,Assumptions!$G$3:$G$102,{"TRB"}))</f>
        <v>0</v>
      </c>
      <c r="AQ6" s="2" cm="1">
        <f t="array" aca="1" ref="AQ6" ca="1">SUM(SUMIFS(Assumptions!CQ$3:CQ$102,Assumptions!$B$3:$B$102,Bus!$C6,Assumptions!$G$3:$G$102,{"TRB"}))</f>
        <v>0</v>
      </c>
      <c r="AR6" s="2" cm="1">
        <f t="array" aca="1" ref="AR6" ca="1">SUM(SUMIFS(Assumptions!CR$3:CR$102,Assumptions!$B$3:$B$102,Bus!$C6,Assumptions!$G$3:$G$102,{"TRB"}))</f>
        <v>0</v>
      </c>
      <c r="AS6" s="2" cm="1">
        <f t="array" aca="1" ref="AS6" ca="1">SUM(SUMIFS(Assumptions!CS$3:CS$102,Assumptions!$B$3:$B$102,Bus!$C6,Assumptions!$G$3:$G$102,{"TRB"}))</f>
        <v>0</v>
      </c>
      <c r="AT6" s="2" cm="1">
        <f t="array" aca="1" ref="AT6" ca="1">SUM(SUMIFS(Assumptions!CT$3:CT$102,Assumptions!$B$3:$B$102,Bus!$C6,Assumptions!$G$3:$G$102,{"TRB"}))</f>
        <v>0</v>
      </c>
      <c r="AU6" s="2" cm="1">
        <f t="array" aca="1" ref="AU6" ca="1">SUM(SUMIFS(Assumptions!CU$3:CU$102,Assumptions!$B$3:$B$102,Bus!$C6,Assumptions!$G$3:$G$102,{"TRB"}))</f>
        <v>0</v>
      </c>
      <c r="AV6" s="2" cm="1">
        <f t="array" aca="1" ref="AV6" ca="1">SUM(SUMIFS(Assumptions!CV$3:CV$102,Assumptions!$B$3:$B$102,Bus!$C6,Assumptions!$G$3:$G$102,{"TRB"}))</f>
        <v>0</v>
      </c>
      <c r="AW6" s="2" cm="1">
        <f t="array" aca="1" ref="AW6" ca="1">SUM(SUMIFS(Assumptions!CW$3:CW$102,Assumptions!$B$3:$B$102,Bus!$C6,Assumptions!$G$3:$G$102,{"TRB"}))</f>
        <v>0</v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SUM(SUMIFS(Assumptions!BD$3:BD$102,Assumptions!$B$3:$B$102,Bus!$C7,Assumptions!$G$3:$G$102,{"TRB"}))</f>
        <v>0</v>
      </c>
      <c r="E7" s="2" cm="1">
        <f t="array" aca="1" ref="E7" ca="1">SUM(SUMIFS(Assumptions!BE$3:BE$102,Assumptions!$B$3:$B$102,Bus!$C7,Assumptions!$G$3:$G$102,{"TRB"}))</f>
        <v>0</v>
      </c>
      <c r="F7" s="2" cm="1">
        <f t="array" aca="1" ref="F7" ca="1">SUM(SUMIFS(Assumptions!BF$3:BF$102,Assumptions!$B$3:$B$102,Bus!$C7,Assumptions!$G$3:$G$102,{"TRB"}))</f>
        <v>0</v>
      </c>
      <c r="G7" s="2" cm="1">
        <f t="array" aca="1" ref="G7" ca="1">SUM(SUMIFS(Assumptions!BG$3:BG$102,Assumptions!$B$3:$B$102,Bus!$C7,Assumptions!$G$3:$G$102,{"TRB"}))</f>
        <v>0</v>
      </c>
      <c r="H7" s="2" cm="1">
        <f t="array" aca="1" ref="H7" ca="1">SUM(SUMIFS(Assumptions!BH$3:BH$102,Assumptions!$B$3:$B$102,Bus!$C7,Assumptions!$G$3:$G$102,{"TRB"}))</f>
        <v>0.29186601480000002</v>
      </c>
      <c r="I7" s="2" cm="1">
        <f t="array" aca="1" ref="I7" ca="1">SUM(SUMIFS(Assumptions!BI$3:BI$102,Assumptions!$B$3:$B$102,Bus!$C7,Assumptions!$G$3:$G$102,{"TRB"}))</f>
        <v>0</v>
      </c>
      <c r="J7" s="2" cm="1">
        <f t="array" aca="1" ref="J7" ca="1">SUM(SUMIFS(Assumptions!BJ$3:BJ$102,Assumptions!$B$3:$B$102,Bus!$C7,Assumptions!$G$3:$G$102,{"TRB"}))</f>
        <v>0</v>
      </c>
      <c r="K7" s="2" cm="1">
        <f t="array" aca="1" ref="K7" ca="1">SUM(SUMIFS(Assumptions!BK$3:BK$102,Assumptions!$B$3:$B$102,Bus!$C7,Assumptions!$G$3:$G$102,{"TRB"}))</f>
        <v>24.536301367319993</v>
      </c>
      <c r="L7" s="2" cm="1">
        <f t="array" aca="1" ref="L7" ca="1">SUM(SUMIFS(Assumptions!BL$3:BL$102,Assumptions!$B$3:$B$102,Bus!$C7,Assumptions!$G$3:$G$102,{"TRB"}))</f>
        <v>1.2886970399999999E-2</v>
      </c>
      <c r="M7" s="2" cm="1">
        <f t="array" aca="1" ref="M7" ca="1">SUM(SUMIFS(Assumptions!BM$3:BM$102,Assumptions!$B$3:$B$102,Bus!$C7,Assumptions!$G$3:$G$102,{"TRB"}))</f>
        <v>0.33488538480000002</v>
      </c>
      <c r="N7" s="2" cm="1">
        <f t="array" aca="1" ref="N7" ca="1">SUM(SUMIFS(Assumptions!BN$3:BN$102,Assumptions!$B$3:$B$102,Bus!$C7,Assumptions!$G$3:$G$102,{"TRB"}))</f>
        <v>0</v>
      </c>
      <c r="O7" s="2" cm="1">
        <f t="array" aca="1" ref="O7" ca="1">SUM(SUMIFS(Assumptions!BO$3:BO$102,Assumptions!$B$3:$B$102,Bus!$C7,Assumptions!$G$3:$G$102,{"TRB"}))</f>
        <v>0</v>
      </c>
      <c r="P7" s="2" cm="1">
        <f t="array" aca="1" ref="P7" ca="1">SUM(SUMIFS(Assumptions!BP$3:BP$102,Assumptions!$B$3:$B$102,Bus!$C7,Assumptions!$G$3:$G$102,{"TRB"}))</f>
        <v>0</v>
      </c>
      <c r="Q7" s="2" cm="1">
        <f t="array" aca="1" ref="Q7" ca="1">SUM(SUMIFS(Assumptions!BQ$3:BQ$102,Assumptions!$B$3:$B$102,Bus!$C7,Assumptions!$G$3:$G$102,{"TRB"}))</f>
        <v>0.42334828200000002</v>
      </c>
      <c r="R7" s="2" cm="1">
        <f t="array" aca="1" ref="R7" ca="1">SUM(SUMIFS(Assumptions!BR$3:BR$102,Assumptions!$B$3:$B$102,Bus!$C7,Assumptions!$G$3:$G$102,{"TRB"}))</f>
        <v>0</v>
      </c>
      <c r="S7" s="2" cm="1">
        <f t="array" aca="1" ref="S7" ca="1">SUM(SUMIFS(Assumptions!BS$3:BS$102,Assumptions!$B$3:$B$102,Bus!$C7,Assumptions!$G$3:$G$102,{"TRB"}))</f>
        <v>0</v>
      </c>
      <c r="T7" s="2" cm="1">
        <f t="array" aca="1" ref="T7" ca="1">SUM(SUMIFS(Assumptions!BT$3:BT$102,Assumptions!$B$3:$B$102,Bus!$C7,Assumptions!$G$3:$G$102,{"TRB"}))</f>
        <v>0</v>
      </c>
      <c r="U7" s="2" cm="1">
        <f t="array" aca="1" ref="U7" ca="1">SUM(SUMIFS(Assumptions!BU$3:BU$102,Assumptions!$B$3:$B$102,Bus!$C7,Assumptions!$G$3:$G$102,{"TRB"}))</f>
        <v>0</v>
      </c>
      <c r="V7" s="2" cm="1">
        <f t="array" aca="1" ref="V7" ca="1">SUM(SUMIFS(Assumptions!BV$3:BV$102,Assumptions!$B$3:$B$102,Bus!$C7,Assumptions!$G$3:$G$102,{"TRB"}))</f>
        <v>0</v>
      </c>
      <c r="W7" s="2" cm="1">
        <f t="array" aca="1" ref="W7" ca="1">SUM(SUMIFS(Assumptions!BW$3:BW$102,Assumptions!$B$3:$B$102,Bus!$C7,Assumptions!$G$3:$G$102,{"TRB"}))</f>
        <v>1.4705548848000001</v>
      </c>
      <c r="X7" s="2" cm="1">
        <f t="array" aca="1" ref="X7" ca="1">SUM(SUMIFS(Assumptions!BX$3:BX$102,Assumptions!$B$3:$B$102,Bus!$C7,Assumptions!$G$3:$G$102,{"TRB"}))</f>
        <v>0</v>
      </c>
      <c r="Y7" s="2" cm="1">
        <f t="array" aca="1" ref="Y7" ca="1">SUM(SUMIFS(Assumptions!BY$3:BY$102,Assumptions!$B$3:$B$102,Bus!$C7,Assumptions!$G$3:$G$102,{"TRB"}))</f>
        <v>0</v>
      </c>
      <c r="Z7" s="2" cm="1">
        <f t="array" aca="1" ref="Z7" ca="1">SUM(SUMIFS(Assumptions!BZ$3:BZ$102,Assumptions!$B$3:$B$102,Bus!$C7,Assumptions!$G$3:$G$102,{"TRB"}))</f>
        <v>0</v>
      </c>
      <c r="AA7" s="2" cm="1">
        <f t="array" aca="1" ref="AA7" ca="1">SUM(SUMIFS(Assumptions!CA$3:CA$102,Assumptions!$B$3:$B$102,Bus!$C7,Assumptions!$G$3:$G$102,{"TRB"}))</f>
        <v>0.11810544119999999</v>
      </c>
      <c r="AB7" s="2" cm="1">
        <f t="array" aca="1" ref="AB7" ca="1">SUM(SUMIFS(Assumptions!CB$3:CB$102,Assumptions!$B$3:$B$102,Bus!$C7,Assumptions!$G$3:$G$102,{"TRB"}))</f>
        <v>0</v>
      </c>
      <c r="AC7" s="2" cm="1">
        <f t="array" aca="1" ref="AC7" ca="1">SUM(SUMIFS(Assumptions!CC$3:CC$102,Assumptions!$B$3:$B$102,Bus!$C7,Assumptions!$G$3:$G$102,{"TRB"}))</f>
        <v>0.55079866079999995</v>
      </c>
      <c r="AD7" s="2" cm="1">
        <f t="array" aca="1" ref="AD7" ca="1">SUM(SUMIFS(Assumptions!CD$3:CD$102,Assumptions!$B$3:$B$102,Bus!$C7,Assumptions!$G$3:$G$102,{"TRB"}))</f>
        <v>0</v>
      </c>
      <c r="AE7" s="2" cm="1">
        <f t="array" aca="1" ref="AE7" ca="1">SUM(SUMIFS(Assumptions!CE$3:CE$102,Assumptions!$B$3:$B$102,Bus!$C7,Assumptions!$G$3:$G$102,{"TRB"}))</f>
        <v>0.19335061079999999</v>
      </c>
      <c r="AF7" s="2" cm="1">
        <f t="array" aca="1" ref="AF7" ca="1">SUM(SUMIFS(Assumptions!CF$3:CF$102,Assumptions!$B$3:$B$102,Bus!$C7,Assumptions!$G$3:$G$102,{"TRB"}))</f>
        <v>0</v>
      </c>
      <c r="AG7" s="2" cm="1">
        <f t="array" aca="1" ref="AG7" ca="1">SUM(SUMIFS(Assumptions!CG$3:CG$102,Assumptions!$B$3:$B$102,Bus!$C7,Assumptions!$G$3:$G$102,{"TRB"}))</f>
        <v>0</v>
      </c>
      <c r="AH7" s="2" cm="1">
        <f t="array" aca="1" ref="AH7" ca="1">SUM(SUMIFS(Assumptions!CH$3:CH$102,Assumptions!$B$3:$B$102,Bus!$C7,Assumptions!$G$3:$G$102,{"TRB"}))</f>
        <v>0</v>
      </c>
      <c r="AI7" s="2" cm="1">
        <f t="array" aca="1" ref="AI7" ca="1">SUM(SUMIFS(Assumptions!CI$3:CI$102,Assumptions!$B$3:$B$102,Bus!$C7,Assumptions!$G$3:$G$102,{"TRB"}))</f>
        <v>0</v>
      </c>
      <c r="AJ7" s="2" cm="1">
        <f t="array" aca="1" ref="AJ7" ca="1">SUM(SUMIFS(Assumptions!CJ$3:CJ$102,Assumptions!$B$3:$B$102,Bus!$C7,Assumptions!$G$3:$G$102,{"TRB"}))</f>
        <v>0</v>
      </c>
      <c r="AK7" s="2" cm="1">
        <f t="array" aca="1" ref="AK7" ca="1">SUM(SUMIFS(Assumptions!CK$3:CK$102,Assumptions!$B$3:$B$102,Bus!$C7,Assumptions!$G$3:$G$102,{"TRB"}))</f>
        <v>0</v>
      </c>
      <c r="AL7" s="2" cm="1">
        <f t="array" aca="1" ref="AL7" ca="1">SUM(SUMIFS(Assumptions!CL$3:CL$102,Assumptions!$B$3:$B$102,Bus!$C7,Assumptions!$G$3:$G$102,{"TRB"}))</f>
        <v>1.31381784E-2</v>
      </c>
      <c r="AM7" s="2" cm="1">
        <f t="array" aca="1" ref="AM7" ca="1">SUM(SUMIFS(Assumptions!CM$3:CM$102,Assumptions!$B$3:$B$102,Bus!$C7,Assumptions!$G$3:$G$102,{"TRB"}))</f>
        <v>0</v>
      </c>
      <c r="AN7" s="2" cm="1">
        <f t="array" aca="1" ref="AN7" ca="1">SUM(SUMIFS(Assumptions!CN$3:CN$102,Assumptions!$B$3:$B$102,Bus!$C7,Assumptions!$G$3:$G$102,{"TRB"}))</f>
        <v>0</v>
      </c>
      <c r="AO7" s="2" cm="1">
        <f t="array" aca="1" ref="AO7" ca="1">SUM(SUMIFS(Assumptions!CO$3:CO$102,Assumptions!$B$3:$B$102,Bus!$C7,Assumptions!$G$3:$G$102,{"TRB"}))</f>
        <v>0</v>
      </c>
      <c r="AP7" s="2" cm="1">
        <f t="array" aca="1" ref="AP7" ca="1">SUM(SUMIFS(Assumptions!CP$3:CP$102,Assumptions!$B$3:$B$102,Bus!$C7,Assumptions!$G$3:$G$102,{"TRB"}))</f>
        <v>0</v>
      </c>
      <c r="AQ7" s="2" cm="1">
        <f t="array" aca="1" ref="AQ7" ca="1">SUM(SUMIFS(Assumptions!CQ$3:CQ$102,Assumptions!$B$3:$B$102,Bus!$C7,Assumptions!$G$3:$G$102,{"TRB"}))</f>
        <v>0</v>
      </c>
      <c r="AR7" s="2" cm="1">
        <f t="array" aca="1" ref="AR7" ca="1">SUM(SUMIFS(Assumptions!CR$3:CR$102,Assumptions!$B$3:$B$102,Bus!$C7,Assumptions!$G$3:$G$102,{"TRB"}))</f>
        <v>0</v>
      </c>
      <c r="AS7" s="2" cm="1">
        <f t="array" aca="1" ref="AS7" ca="1">SUM(SUMIFS(Assumptions!CS$3:CS$102,Assumptions!$B$3:$B$102,Bus!$C7,Assumptions!$G$3:$G$102,{"TRB"}))</f>
        <v>0</v>
      </c>
      <c r="AT7" s="2" cm="1">
        <f t="array" aca="1" ref="AT7" ca="1">SUM(SUMIFS(Assumptions!CT$3:CT$102,Assumptions!$B$3:$B$102,Bus!$C7,Assumptions!$G$3:$G$102,{"TRB"}))</f>
        <v>0</v>
      </c>
      <c r="AU7" s="2" cm="1">
        <f t="array" aca="1" ref="AU7" ca="1">SUM(SUMIFS(Assumptions!CU$3:CU$102,Assumptions!$B$3:$B$102,Bus!$C7,Assumptions!$G$3:$G$102,{"TRB"}))</f>
        <v>0</v>
      </c>
      <c r="AV7" s="2" cm="1">
        <f t="array" aca="1" ref="AV7" ca="1">SUM(SUMIFS(Assumptions!CV$3:CV$102,Assumptions!$B$3:$B$102,Bus!$C7,Assumptions!$G$3:$G$102,{"TRB"}))</f>
        <v>0</v>
      </c>
      <c r="AW7" s="2" cm="1">
        <f t="array" aca="1" ref="AW7" ca="1">SUM(SUMIFS(Assumptions!CW$3:CW$102,Assumptions!$B$3:$B$102,Bus!$C7,Assumptions!$G$3:$G$102,{"TRB"}))</f>
        <v>0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SUM(SUMIFS(Assumptions!BD$3:BD$102,Assumptions!$B$3:$B$102,Bus!$C8,Assumptions!$G$3:$G$102,{"TRB"}))</f>
        <v>0</v>
      </c>
      <c r="E8" s="2" cm="1">
        <f t="array" aca="1" ref="E8" ca="1">SUM(SUMIFS(Assumptions!BE$3:BE$102,Assumptions!$B$3:$B$102,Bus!$C8,Assumptions!$G$3:$G$102,{"TRB"}))</f>
        <v>0</v>
      </c>
      <c r="F8" s="2" cm="1">
        <f t="array" aca="1" ref="F8" ca="1">SUM(SUMIFS(Assumptions!BF$3:BF$102,Assumptions!$B$3:$B$102,Bus!$C8,Assumptions!$G$3:$G$102,{"TRB"}))</f>
        <v>2.8446091793639994</v>
      </c>
      <c r="G8" s="2" cm="1">
        <f t="array" aca="1" ref="G8" ca="1">SUM(SUMIFS(Assumptions!BG$3:BG$102,Assumptions!$B$3:$B$102,Bus!$C8,Assumptions!$G$3:$G$102,{"TRB"}))</f>
        <v>0.10386625581720009</v>
      </c>
      <c r="H8" s="2" cm="1">
        <f t="array" aca="1" ref="H8" ca="1">SUM(SUMIFS(Assumptions!BH$3:BH$102,Assumptions!$B$3:$B$102,Bus!$C8,Assumptions!$G$3:$G$102,{"TRB"}))</f>
        <v>0.43373881009800003</v>
      </c>
      <c r="I8" s="2" cm="1">
        <f t="array" aca="1" ref="I8" ca="1">SUM(SUMIFS(Assumptions!BI$3:BI$102,Assumptions!$B$3:$B$102,Bus!$C8,Assumptions!$G$3:$G$102,{"TRB"}))</f>
        <v>0.40186805741820042</v>
      </c>
      <c r="J8" s="2" cm="1">
        <f t="array" aca="1" ref="J8" ca="1">SUM(SUMIFS(Assumptions!BJ$3:BJ$102,Assumptions!$B$3:$B$102,Bus!$C8,Assumptions!$G$3:$G$102,{"TRB"}))</f>
        <v>10.778182084555198</v>
      </c>
      <c r="K8" s="2" cm="1">
        <f t="array" aca="1" ref="K8" ca="1">SUM(SUMIFS(Assumptions!BK$3:BK$102,Assumptions!$B$3:$B$102,Bus!$C8,Assumptions!$G$3:$G$102,{"TRB"}))</f>
        <v>60.018947373239989</v>
      </c>
      <c r="L8" s="2" cm="1">
        <f t="array" aca="1" ref="L8" ca="1">SUM(SUMIFS(Assumptions!BL$3:BL$102,Assumptions!$B$3:$B$102,Bus!$C8,Assumptions!$G$3:$G$102,{"TRB"}))</f>
        <v>0.37585460444399993</v>
      </c>
      <c r="M8" s="2" cm="1">
        <f t="array" aca="1" ref="M8" ca="1">SUM(SUMIFS(Assumptions!BM$3:BM$102,Assumptions!$B$3:$B$102,Bus!$C8,Assumptions!$G$3:$G$102,{"TRB"}))</f>
        <v>0.89100002555999991</v>
      </c>
      <c r="N8" s="2" cm="1">
        <f t="array" aca="1" ref="N8" ca="1">SUM(SUMIFS(Assumptions!BN$3:BN$102,Assumptions!$B$3:$B$102,Bus!$C8,Assumptions!$G$3:$G$102,{"TRB"}))</f>
        <v>0.49365485095140038</v>
      </c>
      <c r="O8" s="2" cm="1">
        <f t="array" aca="1" ref="O8" ca="1">SUM(SUMIFS(Assumptions!BO$3:BO$102,Assumptions!$B$3:$B$102,Bus!$C8,Assumptions!$G$3:$G$102,{"TRB"}))</f>
        <v>1.083917999662201</v>
      </c>
      <c r="P8" s="2" cm="1">
        <f t="array" aca="1" ref="P8" ca="1">SUM(SUMIFS(Assumptions!BP$3:BP$102,Assumptions!$B$3:$B$102,Bus!$C8,Assumptions!$G$3:$G$102,{"TRB"}))</f>
        <v>0.16952297724900017</v>
      </c>
      <c r="Q8" s="2" cm="1">
        <f t="array" aca="1" ref="Q8" ca="1">SUM(SUMIFS(Assumptions!BQ$3:BQ$102,Assumptions!$B$3:$B$102,Bus!$C8,Assumptions!$G$3:$G$102,{"TRB"}))</f>
        <v>1.3886752281839998</v>
      </c>
      <c r="R8" s="2" cm="1">
        <f t="array" aca="1" ref="R8" ca="1">SUM(SUMIFS(Assumptions!BR$3:BR$102,Assumptions!$B$3:$B$102,Bus!$C8,Assumptions!$G$3:$G$102,{"TRB"}))</f>
        <v>7.8371055414000069E-3</v>
      </c>
      <c r="S8" s="2" cm="1">
        <f t="array" aca="1" ref="S8" ca="1">SUM(SUMIFS(Assumptions!BS$3:BS$102,Assumptions!$B$3:$B$102,Bus!$C8,Assumptions!$G$3:$G$102,{"TRB"}))</f>
        <v>0</v>
      </c>
      <c r="T8" s="2" cm="1">
        <f t="array" aca="1" ref="T8" ca="1">SUM(SUMIFS(Assumptions!BT$3:BT$102,Assumptions!$B$3:$B$102,Bus!$C8,Assumptions!$G$3:$G$102,{"TRB"}))</f>
        <v>4.8349024048800038E-2</v>
      </c>
      <c r="U8" s="2" cm="1">
        <f t="array" aca="1" ref="U8" ca="1">SUM(SUMIFS(Assumptions!BU$3:BU$102,Assumptions!$B$3:$B$102,Bus!$C8,Assumptions!$G$3:$G$102,{"TRB"}))</f>
        <v>0.48971960226900041</v>
      </c>
      <c r="V8" s="2" cm="1">
        <f t="array" aca="1" ref="V8" ca="1">SUM(SUMIFS(Assumptions!BV$3:BV$102,Assumptions!$B$3:$B$102,Bus!$C8,Assumptions!$G$3:$G$102,{"TRB"}))</f>
        <v>0</v>
      </c>
      <c r="W8" s="2" cm="1">
        <f t="array" aca="1" ref="W8" ca="1">SUM(SUMIFS(Assumptions!BW$3:BW$102,Assumptions!$B$3:$B$102,Bus!$C8,Assumptions!$G$3:$G$102,{"TRB"}))</f>
        <v>20.493487395489595</v>
      </c>
      <c r="X8" s="2" cm="1">
        <f t="array" aca="1" ref="X8" ca="1">SUM(SUMIFS(Assumptions!BX$3:BX$102,Assumptions!$B$3:$B$102,Bus!$C8,Assumptions!$G$3:$G$102,{"TRB"}))</f>
        <v>70.788716861940017</v>
      </c>
      <c r="Y8" s="2" cm="1">
        <f t="array" aca="1" ref="Y8" ca="1">SUM(SUMIFS(Assumptions!BY$3:BY$102,Assumptions!$B$3:$B$102,Bus!$C8,Assumptions!$G$3:$G$102,{"TRB"}))</f>
        <v>18.347249309601597</v>
      </c>
      <c r="Z8" s="2" cm="1">
        <f t="array" aca="1" ref="Z8" ca="1">SUM(SUMIFS(Assumptions!BZ$3:BZ$102,Assumptions!$B$3:$B$102,Bus!$C8,Assumptions!$G$3:$G$102,{"TRB"}))</f>
        <v>4.1843804482800034E-2</v>
      </c>
      <c r="AA8" s="2" cm="1">
        <f t="array" aca="1" ref="AA8" ca="1">SUM(SUMIFS(Assumptions!CA$3:CA$102,Assumptions!$B$3:$B$102,Bus!$C8,Assumptions!$G$3:$G$102,{"TRB"}))</f>
        <v>1.9431689074559999</v>
      </c>
      <c r="AB8" s="2" cm="1">
        <f t="array" aca="1" ref="AB8" ca="1">SUM(SUMIFS(Assumptions!CB$3:CB$102,Assumptions!$B$3:$B$102,Bus!$C8,Assumptions!$G$3:$G$102,{"TRB"}))</f>
        <v>0</v>
      </c>
      <c r="AC8" s="2" cm="1">
        <f t="array" aca="1" ref="AC8" ca="1">SUM(SUMIFS(Assumptions!CC$3:CC$102,Assumptions!$B$3:$B$102,Bus!$C8,Assumptions!$G$3:$G$102,{"TRB"}))</f>
        <v>23.204504424222009</v>
      </c>
      <c r="AD8" s="2" cm="1">
        <f t="array" aca="1" ref="AD8" ca="1">SUM(SUMIFS(Assumptions!CD$3:CD$102,Assumptions!$B$3:$B$102,Bus!$C8,Assumptions!$G$3:$G$102,{"TRB"}))</f>
        <v>30.581120643624004</v>
      </c>
      <c r="AE8" s="2" cm="1">
        <f t="array" aca="1" ref="AE8" ca="1">SUM(SUMIFS(Assumptions!CE$3:CE$102,Assumptions!$B$3:$B$102,Bus!$C8,Assumptions!$G$3:$G$102,{"TRB"}))</f>
        <v>0</v>
      </c>
      <c r="AF8" s="2" cm="1">
        <f t="array" aca="1" ref="AF8" ca="1">SUM(SUMIFS(Assumptions!CF$3:CF$102,Assumptions!$B$3:$B$102,Bus!$C8,Assumptions!$G$3:$G$102,{"TRB"}))</f>
        <v>0.40670803799280036</v>
      </c>
      <c r="AG8" s="2" cm="1">
        <f t="array" aca="1" ref="AG8" ca="1">SUM(SUMIFS(Assumptions!CG$3:CG$102,Assumptions!$B$3:$B$102,Bus!$C8,Assumptions!$G$3:$G$102,{"TRB"}))</f>
        <v>0.28524461153400027</v>
      </c>
      <c r="AH8" s="2" cm="1">
        <f t="array" aca="1" ref="AH8" ca="1">SUM(SUMIFS(Assumptions!CH$3:CH$102,Assumptions!$B$3:$B$102,Bus!$C8,Assumptions!$G$3:$G$102,{"TRB"}))</f>
        <v>0.14980996954620016</v>
      </c>
      <c r="AI8" s="2" cm="1">
        <f t="array" aca="1" ref="AI8" ca="1">SUM(SUMIFS(Assumptions!CI$3:CI$102,Assumptions!$B$3:$B$102,Bus!$C8,Assumptions!$G$3:$G$102,{"TRB"}))</f>
        <v>2.9792399620320005</v>
      </c>
      <c r="AJ8" s="2" cm="1">
        <f t="array" aca="1" ref="AJ8" ca="1">SUM(SUMIFS(Assumptions!CJ$3:CJ$102,Assumptions!$B$3:$B$102,Bus!$C8,Assumptions!$G$3:$G$102,{"TRB"}))</f>
        <v>0.77308637748120068</v>
      </c>
      <c r="AK8" s="2" cm="1">
        <f t="array" aca="1" ref="AK8" ca="1">SUM(SUMIFS(Assumptions!CK$3:CK$102,Assumptions!$B$3:$B$102,Bus!$C8,Assumptions!$G$3:$G$102,{"TRB"}))</f>
        <v>1.1572572269520001</v>
      </c>
      <c r="AL8" s="2" cm="1">
        <f t="array" aca="1" ref="AL8" ca="1">SUM(SUMIFS(Assumptions!CL$3:CL$102,Assumptions!$B$3:$B$102,Bus!$C8,Assumptions!$G$3:$G$102,{"TRB"}))</f>
        <v>0.39119210888399991</v>
      </c>
      <c r="AM8" s="2" cm="1">
        <f t="array" aca="1" ref="AM8" ca="1">SUM(SUMIFS(Assumptions!CM$3:CM$102,Assumptions!$B$3:$B$102,Bus!$C8,Assumptions!$G$3:$G$102,{"TRB"}))</f>
        <v>0</v>
      </c>
      <c r="AN8" s="2" cm="1">
        <f t="array" aca="1" ref="AN8" ca="1">SUM(SUMIFS(Assumptions!CN$3:CN$102,Assumptions!$B$3:$B$102,Bus!$C8,Assumptions!$G$3:$G$102,{"TRB"}))</f>
        <v>0</v>
      </c>
      <c r="AO8" s="2" cm="1">
        <f t="array" aca="1" ref="AO8" ca="1">SUM(SUMIFS(Assumptions!CO$3:CO$102,Assumptions!$B$3:$B$102,Bus!$C8,Assumptions!$G$3:$G$102,{"TRB"}))</f>
        <v>0</v>
      </c>
      <c r="AP8" s="2" cm="1">
        <f t="array" aca="1" ref="AP8" ca="1">SUM(SUMIFS(Assumptions!CP$3:CP$102,Assumptions!$B$3:$B$102,Bus!$C8,Assumptions!$G$3:$G$102,{"TRB"}))</f>
        <v>0</v>
      </c>
      <c r="AQ8" s="2" cm="1">
        <f t="array" aca="1" ref="AQ8" ca="1">SUM(SUMIFS(Assumptions!CQ$3:CQ$102,Assumptions!$B$3:$B$102,Bus!$C8,Assumptions!$G$3:$G$102,{"TRB"}))</f>
        <v>0</v>
      </c>
      <c r="AR8" s="2" cm="1">
        <f t="array" aca="1" ref="AR8" ca="1">SUM(SUMIFS(Assumptions!CR$3:CR$102,Assumptions!$B$3:$B$102,Bus!$C8,Assumptions!$G$3:$G$102,{"TRB"}))</f>
        <v>0</v>
      </c>
      <c r="AS8" s="2" cm="1">
        <f t="array" aca="1" ref="AS8" ca="1">SUM(SUMIFS(Assumptions!CS$3:CS$102,Assumptions!$B$3:$B$102,Bus!$C8,Assumptions!$G$3:$G$102,{"TRB"}))</f>
        <v>0</v>
      </c>
      <c r="AT8" s="2" cm="1">
        <f t="array" aca="1" ref="AT8" ca="1">SUM(SUMIFS(Assumptions!CT$3:CT$102,Assumptions!$B$3:$B$102,Bus!$C8,Assumptions!$G$3:$G$102,{"TRB"}))</f>
        <v>0</v>
      </c>
      <c r="AU8" s="2" cm="1">
        <f t="array" aca="1" ref="AU8" ca="1">SUM(SUMIFS(Assumptions!CU$3:CU$102,Assumptions!$B$3:$B$102,Bus!$C8,Assumptions!$G$3:$G$102,{"TRB"}))</f>
        <v>0</v>
      </c>
      <c r="AV8" s="2" cm="1">
        <f t="array" aca="1" ref="AV8" ca="1">SUM(SUMIFS(Assumptions!CV$3:CV$102,Assumptions!$B$3:$B$102,Bus!$C8,Assumptions!$G$3:$G$102,{"TRB"}))</f>
        <v>0</v>
      </c>
      <c r="AW8" s="2" cm="1">
        <f t="array" aca="1" ref="AW8" ca="1">SUM(SUMIFS(Assumptions!CW$3:CW$102,Assumptions!$B$3:$B$102,Bus!$C8,Assumptions!$G$3:$G$102,{"TRB"}))</f>
        <v>0</v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SUM(SUMIFS(Assumptions!BD$3:BD$102,Assumptions!$B$3:$B$102,Bus!$C9,Assumptions!$G$3:$G$102,{"TRB"}))</f>
        <v>5.1527990950560003</v>
      </c>
      <c r="E9" s="2" cm="1">
        <f t="array" aca="1" ref="E9" ca="1">SUM(SUMIFS(Assumptions!BE$3:BE$102,Assumptions!$B$3:$B$102,Bus!$C9,Assumptions!$G$3:$G$102,{"TRB"}))</f>
        <v>2.9572205760000003E-3</v>
      </c>
      <c r="F9" s="2" cm="1">
        <f t="array" aca="1" ref="F9" ca="1">SUM(SUMIFS(Assumptions!BF$3:BF$102,Assumptions!$B$3:$B$102,Bus!$C9,Assumptions!$G$3:$G$102,{"TRB"}))</f>
        <v>9.1246558168799989</v>
      </c>
      <c r="G9" s="2" cm="1">
        <f t="array" aca="1" ref="G9" ca="1">SUM(SUMIFS(Assumptions!BG$3:BG$102,Assumptions!$B$3:$B$102,Bus!$C9,Assumptions!$G$3:$G$102,{"TRB"}))</f>
        <v>0</v>
      </c>
      <c r="H9" s="2" cm="1">
        <f t="array" aca="1" ref="H9" ca="1">SUM(SUMIFS(Assumptions!BH$3:BH$102,Assumptions!$B$3:$B$102,Bus!$C9,Assumptions!$G$3:$G$102,{"TRB"}))</f>
        <v>0</v>
      </c>
      <c r="I9" s="2" cm="1">
        <f t="array" aca="1" ref="I9" ca="1">SUM(SUMIFS(Assumptions!BI$3:BI$102,Assumptions!$B$3:$B$102,Bus!$C9,Assumptions!$G$3:$G$102,{"TRB"}))</f>
        <v>0</v>
      </c>
      <c r="J9" s="2" cm="1">
        <f t="array" aca="1" ref="J9" ca="1">SUM(SUMIFS(Assumptions!BJ$3:BJ$102,Assumptions!$B$3:$B$102,Bus!$C9,Assumptions!$G$3:$G$102,{"TRB"}))</f>
        <v>0</v>
      </c>
      <c r="K9" s="2" cm="1">
        <f t="array" aca="1" ref="K9" ca="1">SUM(SUMIFS(Assumptions!BK$3:BK$102,Assumptions!$B$3:$B$102,Bus!$C9,Assumptions!$G$3:$G$102,{"TRB"}))</f>
        <v>37.585035567935996</v>
      </c>
      <c r="L9" s="2" cm="1">
        <f t="array" aca="1" ref="L9" ca="1">SUM(SUMIFS(Assumptions!BL$3:BL$102,Assumptions!$B$3:$B$102,Bus!$C9,Assumptions!$G$3:$G$102,{"TRB"}))</f>
        <v>0</v>
      </c>
      <c r="M9" s="2" cm="1">
        <f t="array" aca="1" ref="M9" ca="1">SUM(SUMIFS(Assumptions!BM$3:BM$102,Assumptions!$B$3:$B$102,Bus!$C9,Assumptions!$G$3:$G$102,{"TRB"}))</f>
        <v>0</v>
      </c>
      <c r="N9" s="2" cm="1">
        <f t="array" aca="1" ref="N9" ca="1">SUM(SUMIFS(Assumptions!BN$3:BN$102,Assumptions!$B$3:$B$102,Bus!$C9,Assumptions!$G$3:$G$102,{"TRB"}))</f>
        <v>0</v>
      </c>
      <c r="O9" s="2" cm="1">
        <f t="array" aca="1" ref="O9" ca="1">SUM(SUMIFS(Assumptions!BO$3:BO$102,Assumptions!$B$3:$B$102,Bus!$C9,Assumptions!$G$3:$G$102,{"TRB"}))</f>
        <v>0</v>
      </c>
      <c r="P9" s="2" cm="1">
        <f t="array" aca="1" ref="P9" ca="1">SUM(SUMIFS(Assumptions!BP$3:BP$102,Assumptions!$B$3:$B$102,Bus!$C9,Assumptions!$G$3:$G$102,{"TRB"}))</f>
        <v>0</v>
      </c>
      <c r="Q9" s="2" cm="1">
        <f t="array" aca="1" ref="Q9" ca="1">SUM(SUMIFS(Assumptions!BQ$3:BQ$102,Assumptions!$B$3:$B$102,Bus!$C9,Assumptions!$G$3:$G$102,{"TRB"}))</f>
        <v>0</v>
      </c>
      <c r="R9" s="2" cm="1">
        <f t="array" aca="1" ref="R9" ca="1">SUM(SUMIFS(Assumptions!BR$3:BR$102,Assumptions!$B$3:$B$102,Bus!$C9,Assumptions!$G$3:$G$102,{"TRB"}))</f>
        <v>0</v>
      </c>
      <c r="S9" s="2" cm="1">
        <f t="array" aca="1" ref="S9" ca="1">SUM(SUMIFS(Assumptions!BS$3:BS$102,Assumptions!$B$3:$B$102,Bus!$C9,Assumptions!$G$3:$G$102,{"TRB"}))</f>
        <v>4.8785221620000003</v>
      </c>
      <c r="T9" s="2" cm="1">
        <f t="array" aca="1" ref="T9" ca="1">SUM(SUMIFS(Assumptions!BT$3:BT$102,Assumptions!$B$3:$B$102,Bus!$C9,Assumptions!$G$3:$G$102,{"TRB"}))</f>
        <v>0</v>
      </c>
      <c r="U9" s="2" cm="1">
        <f t="array" aca="1" ref="U9" ca="1">SUM(SUMIFS(Assumptions!BU$3:BU$102,Assumptions!$B$3:$B$102,Bus!$C9,Assumptions!$G$3:$G$102,{"TRB"}))</f>
        <v>0</v>
      </c>
      <c r="V9" s="2" cm="1">
        <f t="array" aca="1" ref="V9" ca="1">SUM(SUMIFS(Assumptions!BV$3:BV$102,Assumptions!$B$3:$B$102,Bus!$C9,Assumptions!$G$3:$G$102,{"TRB"}))</f>
        <v>0</v>
      </c>
      <c r="W9" s="2" cm="1">
        <f t="array" aca="1" ref="W9" ca="1">SUM(SUMIFS(Assumptions!BW$3:BW$102,Assumptions!$B$3:$B$102,Bus!$C9,Assumptions!$G$3:$G$102,{"TRB"}))</f>
        <v>17.298570159000001</v>
      </c>
      <c r="X9" s="2" cm="1">
        <f t="array" aca="1" ref="X9" ca="1">SUM(SUMIFS(Assumptions!BX$3:BX$102,Assumptions!$B$3:$B$102,Bus!$C9,Assumptions!$G$3:$G$102,{"TRB"}))</f>
        <v>0.337024169712</v>
      </c>
      <c r="Y9" s="2" cm="1">
        <f t="array" aca="1" ref="Y9" ca="1">SUM(SUMIFS(Assumptions!BY$3:BY$102,Assumptions!$B$3:$B$102,Bus!$C9,Assumptions!$G$3:$G$102,{"TRB"}))</f>
        <v>0.41458792689173701</v>
      </c>
      <c r="Z9" s="2" cm="1">
        <f t="array" aca="1" ref="Z9" ca="1">SUM(SUMIFS(Assumptions!BZ$3:BZ$102,Assumptions!$B$3:$B$102,Bus!$C9,Assumptions!$G$3:$G$102,{"TRB"}))</f>
        <v>0</v>
      </c>
      <c r="AA9" s="2" cm="1">
        <f t="array" aca="1" ref="AA9" ca="1">SUM(SUMIFS(Assumptions!CA$3:CA$102,Assumptions!$B$3:$B$102,Bus!$C9,Assumptions!$G$3:$G$102,{"TRB"}))</f>
        <v>0</v>
      </c>
      <c r="AB9" s="2" cm="1">
        <f t="array" aca="1" ref="AB9" ca="1">SUM(SUMIFS(Assumptions!CB$3:CB$102,Assumptions!$B$3:$B$102,Bus!$C9,Assumptions!$G$3:$G$102,{"TRB"}))</f>
        <v>48.768667892028006</v>
      </c>
      <c r="AC9" s="2" cm="1">
        <f t="array" aca="1" ref="AC9" ca="1">SUM(SUMIFS(Assumptions!CC$3:CC$102,Assumptions!$B$3:$B$102,Bus!$C9,Assumptions!$G$3:$G$102,{"TRB"}))</f>
        <v>0</v>
      </c>
      <c r="AD9" s="2" cm="1">
        <f t="array" aca="1" ref="AD9" ca="1">SUM(SUMIFS(Assumptions!CD$3:CD$102,Assumptions!$B$3:$B$102,Bus!$C9,Assumptions!$G$3:$G$102,{"TRB"}))</f>
        <v>0</v>
      </c>
      <c r="AE9" s="2" cm="1">
        <f t="array" aca="1" ref="AE9" ca="1">SUM(SUMIFS(Assumptions!CE$3:CE$102,Assumptions!$B$3:$B$102,Bus!$C9,Assumptions!$G$3:$G$102,{"TRB"}))</f>
        <v>7.8489939599999989E-2</v>
      </c>
      <c r="AF9" s="2" cm="1">
        <f t="array" aca="1" ref="AF9" ca="1">SUM(SUMIFS(Assumptions!CF$3:CF$102,Assumptions!$B$3:$B$102,Bus!$C9,Assumptions!$G$3:$G$102,{"TRB"}))</f>
        <v>0</v>
      </c>
      <c r="AG9" s="2" cm="1">
        <f t="array" aca="1" ref="AG9" ca="1">SUM(SUMIFS(Assumptions!CG$3:CG$102,Assumptions!$B$3:$B$102,Bus!$C9,Assumptions!$G$3:$G$102,{"TRB"}))</f>
        <v>0</v>
      </c>
      <c r="AH9" s="2" cm="1">
        <f t="array" aca="1" ref="AH9" ca="1">SUM(SUMIFS(Assumptions!CH$3:CH$102,Assumptions!$B$3:$B$102,Bus!$C9,Assumptions!$G$3:$G$102,{"TRB"}))</f>
        <v>0</v>
      </c>
      <c r="AI9" s="2" cm="1">
        <f t="array" aca="1" ref="AI9" ca="1">SUM(SUMIFS(Assumptions!CI$3:CI$102,Assumptions!$B$3:$B$102,Bus!$C9,Assumptions!$G$3:$G$102,{"TRB"}))</f>
        <v>18.514079841599997</v>
      </c>
      <c r="AJ9" s="2" cm="1">
        <f t="array" aca="1" ref="AJ9" ca="1">SUM(SUMIFS(Assumptions!CJ$3:CJ$102,Assumptions!$B$3:$B$102,Bus!$C9,Assumptions!$G$3:$G$102,{"TRB"}))</f>
        <v>0</v>
      </c>
      <c r="AK9" s="2" cm="1">
        <f t="array" aca="1" ref="AK9" ca="1">SUM(SUMIFS(Assumptions!CK$3:CK$102,Assumptions!$B$3:$B$102,Bus!$C9,Assumptions!$G$3:$G$102,{"TRB"}))</f>
        <v>0</v>
      </c>
      <c r="AL9" s="2" cm="1">
        <f t="array" aca="1" ref="AL9" ca="1">SUM(SUMIFS(Assumptions!CL$3:CL$102,Assumptions!$B$3:$B$102,Bus!$C9,Assumptions!$G$3:$G$102,{"TRB"}))</f>
        <v>0</v>
      </c>
      <c r="AM9" s="2" cm="1">
        <f t="array" aca="1" ref="AM9" ca="1">SUM(SUMIFS(Assumptions!CM$3:CM$102,Assumptions!$B$3:$B$102,Bus!$C9,Assumptions!$G$3:$G$102,{"TRB"}))</f>
        <v>0</v>
      </c>
      <c r="AN9" s="2" cm="1">
        <f t="array" aca="1" ref="AN9" ca="1">SUM(SUMIFS(Assumptions!CN$3:CN$102,Assumptions!$B$3:$B$102,Bus!$C9,Assumptions!$G$3:$G$102,{"TRB"}))</f>
        <v>0</v>
      </c>
      <c r="AO9" s="2" cm="1">
        <f t="array" aca="1" ref="AO9" ca="1">SUM(SUMIFS(Assumptions!CO$3:CO$102,Assumptions!$B$3:$B$102,Bus!$C9,Assumptions!$G$3:$G$102,{"TRB"}))</f>
        <v>0</v>
      </c>
      <c r="AP9" s="2" cm="1">
        <f t="array" aca="1" ref="AP9" ca="1">SUM(SUMIFS(Assumptions!CP$3:CP$102,Assumptions!$B$3:$B$102,Bus!$C9,Assumptions!$G$3:$G$102,{"TRB"}))</f>
        <v>0</v>
      </c>
      <c r="AQ9" s="2" cm="1">
        <f t="array" aca="1" ref="AQ9" ca="1">SUM(SUMIFS(Assumptions!CQ$3:CQ$102,Assumptions!$B$3:$B$102,Bus!$C9,Assumptions!$G$3:$G$102,{"TRB"}))</f>
        <v>0</v>
      </c>
      <c r="AR9" s="2" cm="1">
        <f t="array" aca="1" ref="AR9" ca="1">SUM(SUMIFS(Assumptions!CR$3:CR$102,Assumptions!$B$3:$B$102,Bus!$C9,Assumptions!$G$3:$G$102,{"TRB"}))</f>
        <v>0</v>
      </c>
      <c r="AS9" s="2" cm="1">
        <f t="array" aca="1" ref="AS9" ca="1">SUM(SUMIFS(Assumptions!CS$3:CS$102,Assumptions!$B$3:$B$102,Bus!$C9,Assumptions!$G$3:$G$102,{"TRB"}))</f>
        <v>0</v>
      </c>
      <c r="AT9" s="2" cm="1">
        <f t="array" aca="1" ref="AT9" ca="1">SUM(SUMIFS(Assumptions!CT$3:CT$102,Assumptions!$B$3:$B$102,Bus!$C9,Assumptions!$G$3:$G$102,{"TRB"}))</f>
        <v>0</v>
      </c>
      <c r="AU9" s="2" cm="1">
        <f t="array" aca="1" ref="AU9" ca="1">SUM(SUMIFS(Assumptions!CU$3:CU$102,Assumptions!$B$3:$B$102,Bus!$C9,Assumptions!$G$3:$G$102,{"TRB"}))</f>
        <v>0</v>
      </c>
      <c r="AV9" s="2" cm="1">
        <f t="array" aca="1" ref="AV9" ca="1">SUM(SUMIFS(Assumptions!CV$3:CV$102,Assumptions!$B$3:$B$102,Bus!$C9,Assumptions!$G$3:$G$102,{"TRB"}))</f>
        <v>0</v>
      </c>
      <c r="AW9" s="2" cm="1">
        <f t="array" aca="1" ref="AW9" ca="1">SUM(SUMIFS(Assumptions!CW$3:CW$102,Assumptions!$B$3:$B$102,Bus!$C9,Assumptions!$G$3:$G$102,{"TRB"}))</f>
        <v>0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SUM(SUMIFS(Assumptions!BD$3:BD$102,Assumptions!$B$3:$B$102,Bus!$C10,Assumptions!$G$3:$G$102,{"TRB"}))</f>
        <v>12.208831891919999</v>
      </c>
      <c r="E10" s="2" cm="1">
        <f t="array" aca="1" ref="E10" ca="1">SUM(SUMIFS(Assumptions!BE$3:BE$102,Assumptions!$B$3:$B$102,Bus!$C10,Assumptions!$G$3:$G$102,{"TRB"}))</f>
        <v>4.4812995120000004E-2</v>
      </c>
      <c r="F10" s="2" cm="1">
        <f t="array" aca="1" ref="F10" ca="1">SUM(SUMIFS(Assumptions!BF$3:BF$102,Assumptions!$B$3:$B$102,Bus!$C10,Assumptions!$G$3:$G$102,{"TRB"}))</f>
        <v>1.8740719699200001</v>
      </c>
      <c r="G10" s="2" cm="1">
        <f t="array" aca="1" ref="G10" ca="1">SUM(SUMIFS(Assumptions!BG$3:BG$102,Assumptions!$B$3:$B$102,Bus!$C10,Assumptions!$G$3:$G$102,{"TRB"}))</f>
        <v>0.24930776220479994</v>
      </c>
      <c r="H10" s="2" cm="1">
        <f t="array" aca="1" ref="H10" ca="1">SUM(SUMIFS(Assumptions!BH$3:BH$102,Assumptions!$B$3:$B$102,Bus!$C10,Assumptions!$G$3:$G$102,{"TRB"}))</f>
        <v>0</v>
      </c>
      <c r="I10" s="2" cm="1">
        <f t="array" aca="1" ref="I10" ca="1">SUM(SUMIFS(Assumptions!BI$3:BI$102,Assumptions!$B$3:$B$102,Bus!$C10,Assumptions!$G$3:$G$102,{"TRB"}))</f>
        <v>1.2201304444199998</v>
      </c>
      <c r="J10" s="2" cm="1">
        <f t="array" aca="1" ref="J10" ca="1">SUM(SUMIFS(Assumptions!BJ$3:BJ$102,Assumptions!$B$3:$B$102,Bus!$C10,Assumptions!$G$3:$G$102,{"TRB"}))</f>
        <v>25.251920527679996</v>
      </c>
      <c r="K10" s="2" cm="1">
        <f t="array" aca="1" ref="K10" ca="1">SUM(SUMIFS(Assumptions!BK$3:BK$102,Assumptions!$B$3:$B$102,Bus!$C10,Assumptions!$G$3:$G$102,{"TRB"}))</f>
        <v>493.60335808435207</v>
      </c>
      <c r="L10" s="2" cm="1">
        <f t="array" aca="1" ref="L10" ca="1">SUM(SUMIFS(Assumptions!BL$3:BL$102,Assumptions!$B$3:$B$102,Bus!$C10,Assumptions!$G$3:$G$102,{"TRB"}))</f>
        <v>0.3512432124</v>
      </c>
      <c r="M10" s="2" cm="1">
        <f t="array" aca="1" ref="M10" ca="1">SUM(SUMIFS(Assumptions!BM$3:BM$102,Assumptions!$B$3:$B$102,Bus!$C10,Assumptions!$G$3:$G$102,{"TRB"}))</f>
        <v>3.1564536408000001</v>
      </c>
      <c r="N10" s="2" cm="1">
        <f t="array" aca="1" ref="N10" ca="1">SUM(SUMIFS(Assumptions!BN$3:BN$102,Assumptions!$B$3:$B$102,Bus!$C10,Assumptions!$G$3:$G$102,{"TRB"}))</f>
        <v>2.1662383038839996</v>
      </c>
      <c r="O10" s="2" cm="1">
        <f t="array" aca="1" ref="O10" ca="1">SUM(SUMIFS(Assumptions!BO$3:BO$102,Assumptions!$B$3:$B$102,Bus!$C10,Assumptions!$G$3:$G$102,{"TRB"}))</f>
        <v>2.6510232201623998</v>
      </c>
      <c r="P10" s="2" cm="1">
        <f t="array" aca="1" ref="P10" ca="1">SUM(SUMIFS(Assumptions!BP$3:BP$102,Assumptions!$B$3:$B$102,Bus!$C10,Assumptions!$G$3:$G$102,{"TRB"}))</f>
        <v>0.23820120338399994</v>
      </c>
      <c r="Q10" s="2" cm="1">
        <f t="array" aca="1" ref="Q10" ca="1">SUM(SUMIFS(Assumptions!BQ$3:BQ$102,Assumptions!$B$3:$B$102,Bus!$C10,Assumptions!$G$3:$G$102,{"TRB"}))</f>
        <v>4.0482462276</v>
      </c>
      <c r="R10" s="2" cm="1">
        <f t="array" aca="1" ref="R10" ca="1">SUM(SUMIFS(Assumptions!BR$3:BR$102,Assumptions!$B$3:$B$102,Bus!$C10,Assumptions!$G$3:$G$102,{"TRB"}))</f>
        <v>2.3672334671999997E-2</v>
      </c>
      <c r="S10" s="2" cm="1">
        <f t="array" aca="1" ref="S10" ca="1">SUM(SUMIFS(Assumptions!BS$3:BS$102,Assumptions!$B$3:$B$102,Bus!$C10,Assumptions!$G$3:$G$102,{"TRB"}))</f>
        <v>74.028445326720004</v>
      </c>
      <c r="T10" s="2" cm="1">
        <f t="array" aca="1" ref="T10" ca="1">SUM(SUMIFS(Assumptions!BT$3:BT$102,Assumptions!$B$3:$B$102,Bus!$C10,Assumptions!$G$3:$G$102,{"TRB"}))</f>
        <v>0</v>
      </c>
      <c r="U10" s="2" cm="1">
        <f t="array" aca="1" ref="U10" ca="1">SUM(SUMIFS(Assumptions!BU$3:BU$102,Assumptions!$B$3:$B$102,Bus!$C10,Assumptions!$G$3:$G$102,{"TRB"}))</f>
        <v>12.780063736077597</v>
      </c>
      <c r="V10" s="2" cm="1">
        <f t="array" aca="1" ref="V10" ca="1">SUM(SUMIFS(Assumptions!BV$3:BV$102,Assumptions!$B$3:$B$102,Bus!$C10,Assumptions!$G$3:$G$102,{"TRB"}))</f>
        <v>0</v>
      </c>
      <c r="W10" s="2" cm="1">
        <f t="array" aca="1" ref="W10" ca="1">SUM(SUMIFS(Assumptions!BW$3:BW$102,Assumptions!$B$3:$B$102,Bus!$C10,Assumptions!$G$3:$G$102,{"TRB"}))</f>
        <v>48.564588145679998</v>
      </c>
      <c r="X10" s="2" cm="1">
        <f t="array" aca="1" ref="X10" ca="1">SUM(SUMIFS(Assumptions!BX$3:BX$102,Assumptions!$B$3:$B$102,Bus!$C10,Assumptions!$G$3:$G$102,{"TRB"}))</f>
        <v>88.862910092618392</v>
      </c>
      <c r="Y10" s="2" cm="1">
        <f t="array" aca="1" ref="Y10" ca="1">SUM(SUMIFS(Assumptions!BY$3:BY$102,Assumptions!$B$3:$B$102,Bus!$C10,Assumptions!$G$3:$G$102,{"TRB"}))</f>
        <v>2.2641785360972132E-2</v>
      </c>
      <c r="Z10" s="2" cm="1">
        <f t="array" aca="1" ref="Z10" ca="1">SUM(SUMIFS(Assumptions!BZ$3:BZ$102,Assumptions!$B$3:$B$102,Bus!$C10,Assumptions!$G$3:$G$102,{"TRB"}))</f>
        <v>0.75360438065519986</v>
      </c>
      <c r="AA10" s="2" cm="1">
        <f t="array" aca="1" ref="AA10" ca="1">SUM(SUMIFS(Assumptions!CA$3:CA$102,Assumptions!$B$3:$B$102,Bus!$C10,Assumptions!$G$3:$G$102,{"TRB"}))</f>
        <v>0.71836695719999999</v>
      </c>
      <c r="AB10" s="2" cm="1">
        <f t="array" aca="1" ref="AB10" ca="1">SUM(SUMIFS(Assumptions!CB$3:CB$102,Assumptions!$B$3:$B$102,Bus!$C10,Assumptions!$G$3:$G$102,{"TRB"}))</f>
        <v>25.542652505831992</v>
      </c>
      <c r="AC10" s="2" cm="1">
        <f t="array" aca="1" ref="AC10" ca="1">SUM(SUMIFS(Assumptions!CC$3:CC$102,Assumptions!$B$3:$B$102,Bus!$C10,Assumptions!$G$3:$G$102,{"TRB"}))</f>
        <v>0</v>
      </c>
      <c r="AD10" s="2" cm="1">
        <f t="array" aca="1" ref="AD10" ca="1">SUM(SUMIFS(Assumptions!CD$3:CD$102,Assumptions!$B$3:$B$102,Bus!$C10,Assumptions!$G$3:$G$102,{"TRB"}))</f>
        <v>0</v>
      </c>
      <c r="AE10" s="2" cm="1">
        <f t="array" aca="1" ref="AE10" ca="1">SUM(SUMIFS(Assumptions!CE$3:CE$102,Assumptions!$B$3:$B$102,Bus!$C10,Assumptions!$G$3:$G$102,{"TRB"}))</f>
        <v>4.39865208E-3</v>
      </c>
      <c r="AF10" s="2" cm="1">
        <f t="array" aca="1" ref="AF10" ca="1">SUM(SUMIFS(Assumptions!CF$3:CF$102,Assumptions!$B$3:$B$102,Bus!$C10,Assumptions!$G$3:$G$102,{"TRB"}))</f>
        <v>2.8200767084999994</v>
      </c>
      <c r="AG10" s="2" cm="1">
        <f t="array" aca="1" ref="AG10" ca="1">SUM(SUMIFS(Assumptions!CG$3:CG$102,Assumptions!$B$3:$B$102,Bus!$C10,Assumptions!$G$3:$G$102,{"TRB"}))</f>
        <v>1.6777880367983995</v>
      </c>
      <c r="AH10" s="2" cm="1">
        <f t="array" aca="1" ref="AH10" ca="1">SUM(SUMIFS(Assumptions!CH$3:CH$102,Assumptions!$B$3:$B$102,Bus!$C10,Assumptions!$G$3:$G$102,{"TRB"}))</f>
        <v>0.18573995461679996</v>
      </c>
      <c r="AI10" s="2" cm="1">
        <f t="array" aca="1" ref="AI10" ca="1">SUM(SUMIFS(Assumptions!CI$3:CI$102,Assumptions!$B$3:$B$102,Bus!$C10,Assumptions!$G$3:$G$102,{"TRB"}))</f>
        <v>1.0632619508471999</v>
      </c>
      <c r="AJ10" s="2" cm="1">
        <f t="array" aca="1" ref="AJ10" ca="1">SUM(SUMIFS(Assumptions!CJ$3:CJ$102,Assumptions!$B$3:$B$102,Bus!$C10,Assumptions!$G$3:$G$102,{"TRB"}))</f>
        <v>0.18116525597039998</v>
      </c>
      <c r="AK10" s="2" cm="1">
        <f t="array" aca="1" ref="AK10" ca="1">SUM(SUMIFS(Assumptions!CK$3:CK$102,Assumptions!$B$3:$B$102,Bus!$C10,Assumptions!$G$3:$G$102,{"TRB"}))</f>
        <v>0</v>
      </c>
      <c r="AL10" s="2" cm="1">
        <f t="array" aca="1" ref="AL10" ca="1">SUM(SUMIFS(Assumptions!CL$3:CL$102,Assumptions!$B$3:$B$102,Bus!$C10,Assumptions!$G$3:$G$102,{"TRB"}))</f>
        <v>0.54971846639999999</v>
      </c>
      <c r="AM10" s="2" cm="1">
        <f t="array" aca="1" ref="AM10" ca="1">SUM(SUMIFS(Assumptions!CM$3:CM$102,Assumptions!$B$3:$B$102,Bus!$C10,Assumptions!$G$3:$G$102,{"TRB"}))</f>
        <v>0</v>
      </c>
      <c r="AN10" s="2" cm="1">
        <f t="array" aca="1" ref="AN10" ca="1">SUM(SUMIFS(Assumptions!CN$3:CN$102,Assumptions!$B$3:$B$102,Bus!$C10,Assumptions!$G$3:$G$102,{"TRB"}))</f>
        <v>0</v>
      </c>
      <c r="AO10" s="2" cm="1">
        <f t="array" aca="1" ref="AO10" ca="1">SUM(SUMIFS(Assumptions!CO$3:CO$102,Assumptions!$B$3:$B$102,Bus!$C10,Assumptions!$G$3:$G$102,{"TRB"}))</f>
        <v>0</v>
      </c>
      <c r="AP10" s="2" cm="1">
        <f t="array" aca="1" ref="AP10" ca="1">SUM(SUMIFS(Assumptions!CP$3:CP$102,Assumptions!$B$3:$B$102,Bus!$C10,Assumptions!$G$3:$G$102,{"TRB"}))</f>
        <v>0</v>
      </c>
      <c r="AQ10" s="2" cm="1">
        <f t="array" aca="1" ref="AQ10" ca="1">SUM(SUMIFS(Assumptions!CQ$3:CQ$102,Assumptions!$B$3:$B$102,Bus!$C10,Assumptions!$G$3:$G$102,{"TRB"}))</f>
        <v>0</v>
      </c>
      <c r="AR10" s="2" cm="1">
        <f t="array" aca="1" ref="AR10" ca="1">SUM(SUMIFS(Assumptions!CR$3:CR$102,Assumptions!$B$3:$B$102,Bus!$C10,Assumptions!$G$3:$G$102,{"TRB"}))</f>
        <v>0</v>
      </c>
      <c r="AS10" s="2" cm="1">
        <f t="array" aca="1" ref="AS10" ca="1">SUM(SUMIFS(Assumptions!CS$3:CS$102,Assumptions!$B$3:$B$102,Bus!$C10,Assumptions!$G$3:$G$102,{"TRB"}))</f>
        <v>0</v>
      </c>
      <c r="AT10" s="2" cm="1">
        <f t="array" aca="1" ref="AT10" ca="1">SUM(SUMIFS(Assumptions!CT$3:CT$102,Assumptions!$B$3:$B$102,Bus!$C10,Assumptions!$G$3:$G$102,{"TRB"}))</f>
        <v>0</v>
      </c>
      <c r="AU10" s="2" cm="1">
        <f t="array" aca="1" ref="AU10" ca="1">SUM(SUMIFS(Assumptions!CU$3:CU$102,Assumptions!$B$3:$B$102,Bus!$C10,Assumptions!$G$3:$G$102,{"TRB"}))</f>
        <v>0</v>
      </c>
      <c r="AV10" s="2" cm="1">
        <f t="array" aca="1" ref="AV10" ca="1">SUM(SUMIFS(Assumptions!CV$3:CV$102,Assumptions!$B$3:$B$102,Bus!$C10,Assumptions!$G$3:$G$102,{"TRB"}))</f>
        <v>0</v>
      </c>
      <c r="AW10" s="2" cm="1">
        <f t="array" aca="1" ref="AW10" ca="1">SUM(SUMIFS(Assumptions!CW$3:CW$102,Assumptions!$B$3:$B$102,Bus!$C10,Assumptions!$G$3:$G$102,{"TRB"}))</f>
        <v>0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6.3482485235797831E-2</v>
      </c>
      <c r="E11" s="42">
        <f t="shared" ref="E11:U11" ca="1" si="4">SUM(E$4:E$10)/SUM($D$4:$AJ$10)</f>
        <v>5.3759568289877692E-2</v>
      </c>
      <c r="F11" s="42">
        <f t="shared" ca="1" si="4"/>
        <v>1.7002570681552042E-2</v>
      </c>
      <c r="G11" s="42">
        <f t="shared" ca="1" si="4"/>
        <v>1.9705615833219355E-3</v>
      </c>
      <c r="H11" s="42">
        <f t="shared" ca="1" si="4"/>
        <v>2.18976893260367E-3</v>
      </c>
      <c r="I11" s="42">
        <f t="shared" ca="1" si="4"/>
        <v>4.3217147823406679E-3</v>
      </c>
      <c r="J11" s="42">
        <f t="shared" ca="1" si="4"/>
        <v>3.9735786997404002E-2</v>
      </c>
      <c r="K11" s="42">
        <f t="shared" ca="1" si="4"/>
        <v>0.31949742891505983</v>
      </c>
      <c r="L11" s="42">
        <f t="shared" ca="1" si="4"/>
        <v>1.8804261758499083E-3</v>
      </c>
      <c r="M11" s="42">
        <f t="shared" ca="1" si="4"/>
        <v>4.5544994115222937E-3</v>
      </c>
      <c r="N11" s="42">
        <f t="shared" ca="1" si="4"/>
        <v>1.0074372424154066E-2</v>
      </c>
      <c r="O11" s="42">
        <f t="shared" ca="1" si="4"/>
        <v>1.0786733048409854E-2</v>
      </c>
      <c r="P11" s="42">
        <f t="shared" ca="1" si="4"/>
        <v>8.9586721343870752E-4</v>
      </c>
      <c r="Q11" s="42">
        <f t="shared" ca="1" si="4"/>
        <v>6.934619501723539E-3</v>
      </c>
      <c r="R11" s="42">
        <f t="shared" ca="1" si="4"/>
        <v>6.3137568972382842E-5</v>
      </c>
      <c r="S11" s="42">
        <f t="shared" ca="1" si="4"/>
        <v>9.2470092495219661E-2</v>
      </c>
      <c r="T11" s="42">
        <f t="shared" ca="1" si="4"/>
        <v>9.0711564948361858E-4</v>
      </c>
      <c r="U11" s="42">
        <f t="shared" ca="1" si="4"/>
        <v>8.8711819879175608E-3</v>
      </c>
      <c r="V11" s="42">
        <f t="shared" ref="V11:AW11" ca="1" si="5">SUM(V$4:V$10)/SUM($D$4:$AJ$10)</f>
        <v>7.4948286857855432E-3</v>
      </c>
      <c r="W11" s="42">
        <f t="shared" ca="1" si="5"/>
        <v>4.0033960218258828E-2</v>
      </c>
      <c r="X11" s="42">
        <f t="shared" ca="1" si="5"/>
        <v>5.0901523212793863E-2</v>
      </c>
      <c r="Y11" s="42">
        <f t="shared" ca="1" si="5"/>
        <v>4.7072069583805908E-2</v>
      </c>
      <c r="Z11" s="42">
        <f t="shared" ca="1" si="5"/>
        <v>8.704657637342171E-4</v>
      </c>
      <c r="AA11" s="42">
        <f t="shared" ca="1" si="5"/>
        <v>9.1532686168609278E-3</v>
      </c>
      <c r="AB11" s="42">
        <f t="shared" ca="1" si="5"/>
        <v>0.1153053502713553</v>
      </c>
      <c r="AC11" s="42">
        <f t="shared" ca="1" si="5"/>
        <v>1.560754230930817E-2</v>
      </c>
      <c r="AD11" s="42">
        <f t="shared" ca="1" si="5"/>
        <v>1.8517850256053972E-2</v>
      </c>
      <c r="AE11" s="42">
        <f t="shared" ca="1" si="5"/>
        <v>1.8928569899086735E-2</v>
      </c>
      <c r="AF11" s="42">
        <f t="shared" ca="1" si="5"/>
        <v>8.4846576979137472E-3</v>
      </c>
      <c r="AG11" s="42">
        <f t="shared" ca="1" si="5"/>
        <v>3.0611530054765264E-3</v>
      </c>
      <c r="AH11" s="42">
        <f t="shared" ca="1" si="5"/>
        <v>8.8737581544058044E-4</v>
      </c>
      <c r="AI11" s="42">
        <f t="shared" ca="1" si="5"/>
        <v>1.6748873077712358E-2</v>
      </c>
      <c r="AJ11" s="42">
        <f t="shared" ca="1" si="5"/>
        <v>7.5345806917640808E-3</v>
      </c>
      <c r="AK11" s="42">
        <f t="shared" ca="1" si="5"/>
        <v>3.1819497937042094E-3</v>
      </c>
      <c r="AL11" s="42">
        <f t="shared" ca="1" si="5"/>
        <v>2.8274185385458741E-3</v>
      </c>
      <c r="AM11" s="42">
        <f t="shared" ca="1" si="5"/>
        <v>0</v>
      </c>
      <c r="AN11" s="42">
        <f t="shared" ca="1" si="5"/>
        <v>0</v>
      </c>
      <c r="AO11" s="42">
        <f t="shared" ca="1" si="5"/>
        <v>0</v>
      </c>
      <c r="AP11" s="42">
        <f t="shared" ca="1" si="5"/>
        <v>0</v>
      </c>
      <c r="AQ11" s="42">
        <f t="shared" ca="1" si="5"/>
        <v>0</v>
      </c>
      <c r="AR11" s="42">
        <f t="shared" ca="1" si="5"/>
        <v>0</v>
      </c>
      <c r="AS11" s="42">
        <f t="shared" ca="1" si="5"/>
        <v>0</v>
      </c>
      <c r="AT11" s="42">
        <f t="shared" ca="1" si="5"/>
        <v>0</v>
      </c>
      <c r="AU11" s="42">
        <f t="shared" ca="1" si="5"/>
        <v>0</v>
      </c>
      <c r="AV11" s="42">
        <f t="shared" ca="1" si="5"/>
        <v>0</v>
      </c>
      <c r="AW11" s="42">
        <f t="shared" ca="1" si="5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SUM(D13:AJ13)</f>
        <v>11.938999999999998</v>
      </c>
      <c r="D13" s="1">
        <f ca="1">SUM(D19:D25)</f>
        <v>0.753</v>
      </c>
      <c r="E13" s="1">
        <f t="shared" ref="E13:U13" ca="1" si="6">SUM(E19:E25)</f>
        <v>0.64100000000000001</v>
      </c>
      <c r="F13" s="1">
        <f t="shared" ca="1" si="6"/>
        <v>0.20399999999999999</v>
      </c>
      <c r="G13" s="1">
        <f t="shared" ca="1" si="6"/>
        <v>2.2000000000000002E-2</v>
      </c>
      <c r="H13" s="1">
        <f t="shared" ca="1" si="6"/>
        <v>2.9000000000000001E-2</v>
      </c>
      <c r="I13" s="1">
        <f t="shared" ca="1" si="6"/>
        <v>5.1000000000000004E-2</v>
      </c>
      <c r="J13" s="1">
        <f t="shared" ca="1" si="6"/>
        <v>0.46900000000000003</v>
      </c>
      <c r="K13" s="1">
        <f t="shared" ca="1" si="6"/>
        <v>3.8439999999999994</v>
      </c>
      <c r="L13" s="1">
        <f t="shared" ca="1" si="6"/>
        <v>2.3000000000000003E-2</v>
      </c>
      <c r="M13" s="1">
        <f t="shared" ca="1" si="6"/>
        <v>5.7000000000000002E-2</v>
      </c>
      <c r="N13" s="1">
        <f t="shared" ca="1" si="6"/>
        <v>0.12</v>
      </c>
      <c r="O13" s="1">
        <f t="shared" ca="1" si="6"/>
        <v>0.128</v>
      </c>
      <c r="P13" s="1">
        <f t="shared" ca="1" si="6"/>
        <v>9.9999999999999985E-3</v>
      </c>
      <c r="Q13" s="1">
        <f t="shared" ca="1" si="6"/>
        <v>8.4000000000000019E-2</v>
      </c>
      <c r="R13" s="1">
        <f t="shared" ca="1" si="6"/>
        <v>1E-3</v>
      </c>
      <c r="S13" s="1">
        <f t="shared" ca="1" si="6"/>
        <v>1.081</v>
      </c>
      <c r="T13" s="1">
        <f t="shared" ca="1" si="6"/>
        <v>1.0999999999999999E-2</v>
      </c>
      <c r="U13" s="1">
        <f t="shared" ca="1" si="6"/>
        <v>0.10100000000000001</v>
      </c>
      <c r="V13" s="1">
        <f t="shared" ref="V13:AJ13" ca="1" si="7">SUM(V19:V25)</f>
        <v>8.8999999999999996E-2</v>
      </c>
      <c r="W13" s="1">
        <f t="shared" ca="1" si="7"/>
        <v>0.47899999999999998</v>
      </c>
      <c r="X13" s="1">
        <f t="shared" ca="1" si="7"/>
        <v>0.59600000000000009</v>
      </c>
      <c r="Y13" s="1">
        <f t="shared" ca="1" si="7"/>
        <v>0.56500000000000006</v>
      </c>
      <c r="Z13" s="1">
        <f t="shared" ca="1" si="7"/>
        <v>9.0000000000000011E-3</v>
      </c>
      <c r="AA13" s="1">
        <f t="shared" ca="1" si="7"/>
        <v>0.11000000000000001</v>
      </c>
      <c r="AB13" s="1">
        <f t="shared" ca="1" si="7"/>
        <v>1.373</v>
      </c>
      <c r="AC13" s="1">
        <f t="shared" ca="1" si="7"/>
        <v>0.19500000000000001</v>
      </c>
      <c r="AD13" s="1">
        <f t="shared" ca="1" si="7"/>
        <v>0.22800000000000001</v>
      </c>
      <c r="AE13" s="1">
        <f t="shared" ca="1" si="7"/>
        <v>0.22700000000000001</v>
      </c>
      <c r="AF13" s="1">
        <f t="shared" ca="1" si="7"/>
        <v>0.1</v>
      </c>
      <c r="AG13" s="1">
        <f t="shared" ca="1" si="7"/>
        <v>3.7000000000000005E-2</v>
      </c>
      <c r="AH13" s="1">
        <f t="shared" ca="1" si="7"/>
        <v>9.9999999999999985E-3</v>
      </c>
      <c r="AI13" s="1">
        <f t="shared" ca="1" si="7"/>
        <v>0.20200000000000001</v>
      </c>
      <c r="AJ13" s="1">
        <f t="shared" ca="1" si="7"/>
        <v>9.0000000000000011E-2</v>
      </c>
      <c r="AK13" s="1">
        <f t="shared" ref="AK13:AW13" ca="1" si="8">SUM(AK19:AK25)</f>
        <v>3.9E-2</v>
      </c>
      <c r="AL13" s="1">
        <f t="shared" ca="1" si="8"/>
        <v>5.9000000000000004E-2</v>
      </c>
      <c r="AM13" s="1">
        <f t="shared" ca="1" si="8"/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D13/SUM($D$13:$AW$13)</f>
        <v>6.2557115560355592E-2</v>
      </c>
      <c r="E14" s="42">
        <f t="shared" ref="E14:AW14" ca="1" si="9">E13/SUM($D$13:$AW$13)</f>
        <v>5.3252471546066306E-2</v>
      </c>
      <c r="F14" s="42">
        <f t="shared" ca="1" si="9"/>
        <v>1.6947744454598325E-2</v>
      </c>
      <c r="G14" s="42">
        <f t="shared" ca="1" si="9"/>
        <v>1.8276979313782511E-3</v>
      </c>
      <c r="H14" s="42">
        <f t="shared" ca="1" si="9"/>
        <v>2.4092381822713306E-3</v>
      </c>
      <c r="I14" s="42">
        <f t="shared" ca="1" si="9"/>
        <v>4.2369361136495821E-3</v>
      </c>
      <c r="J14" s="42">
        <f t="shared" ca="1" si="9"/>
        <v>3.8963196809836349E-2</v>
      </c>
      <c r="K14" s="42">
        <f t="shared" ca="1" si="9"/>
        <v>0.31934867491899976</v>
      </c>
      <c r="L14" s="42">
        <f t="shared" ca="1" si="9"/>
        <v>1.9107751100772624E-3</v>
      </c>
      <c r="M14" s="42">
        <f t="shared" ca="1" si="9"/>
        <v>4.7353991858436499E-3</v>
      </c>
      <c r="N14" s="42">
        <f t="shared" ca="1" si="9"/>
        <v>9.9692614438813675E-3</v>
      </c>
      <c r="O14" s="42">
        <f t="shared" ca="1" si="9"/>
        <v>1.063387887347346E-2</v>
      </c>
      <c r="P14" s="42">
        <f t="shared" ca="1" si="9"/>
        <v>8.3077178699011392E-4</v>
      </c>
      <c r="Q14" s="42">
        <f t="shared" ca="1" si="9"/>
        <v>6.9784830107169592E-3</v>
      </c>
      <c r="R14" s="42">
        <f t="shared" ca="1" si="9"/>
        <v>8.3077178699011403E-5</v>
      </c>
      <c r="S14" s="42">
        <f t="shared" ca="1" si="9"/>
        <v>8.9806430173631324E-2</v>
      </c>
      <c r="T14" s="42">
        <f t="shared" ca="1" si="9"/>
        <v>9.1384896568912533E-4</v>
      </c>
      <c r="U14" s="42">
        <f t="shared" ca="1" si="9"/>
        <v>8.3907950486001512E-3</v>
      </c>
      <c r="V14" s="42">
        <f t="shared" ca="1" si="9"/>
        <v>7.3938689042120139E-3</v>
      </c>
      <c r="W14" s="42">
        <f t="shared" ca="1" si="9"/>
        <v>3.9793968596826462E-2</v>
      </c>
      <c r="X14" s="42">
        <f t="shared" ca="1" si="9"/>
        <v>4.9513998504610801E-2</v>
      </c>
      <c r="Y14" s="42">
        <f t="shared" ca="1" si="9"/>
        <v>4.6938605964941447E-2</v>
      </c>
      <c r="Z14" s="42">
        <f t="shared" ca="1" si="9"/>
        <v>7.4769460829110274E-4</v>
      </c>
      <c r="AA14" s="42">
        <f t="shared" ca="1" si="9"/>
        <v>9.1384896568912546E-3</v>
      </c>
      <c r="AB14" s="42">
        <f t="shared" ca="1" si="9"/>
        <v>0.11406496635374265</v>
      </c>
      <c r="AC14" s="42">
        <f t="shared" ca="1" si="9"/>
        <v>1.6200049846307223E-2</v>
      </c>
      <c r="AD14" s="42">
        <f t="shared" ca="1" si="9"/>
        <v>1.89415967433746E-2</v>
      </c>
      <c r="AE14" s="42">
        <f t="shared" ca="1" si="9"/>
        <v>1.8858519564675588E-2</v>
      </c>
      <c r="AF14" s="42">
        <f t="shared" ca="1" si="9"/>
        <v>8.3077178699011399E-3</v>
      </c>
      <c r="AG14" s="42">
        <f t="shared" ca="1" si="9"/>
        <v>3.0738556118634222E-3</v>
      </c>
      <c r="AH14" s="42">
        <f t="shared" ca="1" si="9"/>
        <v>8.3077178699011392E-4</v>
      </c>
      <c r="AI14" s="42">
        <f t="shared" ca="1" si="9"/>
        <v>1.6781590097200302E-2</v>
      </c>
      <c r="AJ14" s="42">
        <f t="shared" ca="1" si="9"/>
        <v>7.4769460829110269E-3</v>
      </c>
      <c r="AK14" s="42">
        <f t="shared" ca="1" si="9"/>
        <v>3.2400099692614444E-3</v>
      </c>
      <c r="AL14" s="42">
        <f t="shared" ca="1" si="9"/>
        <v>4.9015535432416733E-3</v>
      </c>
      <c r="AM14" s="42">
        <f t="shared" ca="1" si="9"/>
        <v>0</v>
      </c>
      <c r="AN14" s="42">
        <f t="shared" ca="1" si="9"/>
        <v>0</v>
      </c>
      <c r="AO14" s="42">
        <f t="shared" ca="1" si="9"/>
        <v>0</v>
      </c>
      <c r="AP14" s="42">
        <f t="shared" ca="1" si="9"/>
        <v>0</v>
      </c>
      <c r="AQ14" s="42">
        <f t="shared" ca="1" si="9"/>
        <v>0</v>
      </c>
      <c r="AR14" s="42">
        <f t="shared" ca="1" si="9"/>
        <v>0</v>
      </c>
      <c r="AS14" s="42">
        <f t="shared" ca="1" si="9"/>
        <v>0</v>
      </c>
      <c r="AT14" s="42">
        <f t="shared" ca="1" si="9"/>
        <v>0</v>
      </c>
      <c r="AU14" s="42">
        <f t="shared" ca="1" si="9"/>
        <v>0</v>
      </c>
      <c r="AV14" s="42">
        <f t="shared" ca="1" si="9"/>
        <v>0</v>
      </c>
      <c r="AW14" s="42">
        <f t="shared" ca="1" si="9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Y15" t="s">
        <v>169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IFERROR(D11/D14,"")</f>
        <v>1.0147923967905688</v>
      </c>
      <c r="E17" s="1">
        <f t="shared" ref="E17:U17" ca="1" si="10">IFERROR(E11/E14,"")</f>
        <v>1.0095225015682647</v>
      </c>
      <c r="F17" s="1">
        <f t="shared" ca="1" si="10"/>
        <v>1.0032350161462837</v>
      </c>
      <c r="G17" s="1">
        <f t="shared" ca="1" si="10"/>
        <v>1.0781658990202785</v>
      </c>
      <c r="H17" s="1">
        <f t="shared" ca="1" si="10"/>
        <v>0.90890512557759895</v>
      </c>
      <c r="I17" s="1">
        <f t="shared" ca="1" si="10"/>
        <v>1.0200094281379333</v>
      </c>
      <c r="J17" s="1">
        <f t="shared" ca="1" si="10"/>
        <v>1.0198287166050146</v>
      </c>
      <c r="K17" s="1">
        <f t="shared" ca="1" si="10"/>
        <v>1.0004658043315753</v>
      </c>
      <c r="L17" s="1">
        <f t="shared" ca="1" si="10"/>
        <v>0.9841169512480582</v>
      </c>
      <c r="M17" s="1">
        <f t="shared" ca="1" si="10"/>
        <v>0.96179841081568129</v>
      </c>
      <c r="N17" s="1">
        <f t="shared" ca="1" si="10"/>
        <v>1.0105435072461872</v>
      </c>
      <c r="O17" s="1">
        <f t="shared" ca="1" si="10"/>
        <v>1.0143742633102295</v>
      </c>
      <c r="P17" s="1">
        <f t="shared" ca="1" si="10"/>
        <v>1.0783553648161721</v>
      </c>
      <c r="Q17" s="1">
        <f t="shared" ca="1" si="10"/>
        <v>0.99371446359816906</v>
      </c>
      <c r="R17" s="1">
        <f t="shared" ca="1" si="10"/>
        <v>0.75998691772057203</v>
      </c>
      <c r="S17" s="1">
        <f t="shared" ca="1" si="10"/>
        <v>1.0296600401155955</v>
      </c>
      <c r="T17" s="1">
        <f t="shared" ca="1" si="10"/>
        <v>0.99263191571221043</v>
      </c>
      <c r="U17" s="1">
        <f t="shared" ca="1" si="10"/>
        <v>1.0572516592927095</v>
      </c>
      <c r="V17" s="1">
        <f t="shared" ref="V17:AW17" ca="1" si="11">IFERROR(V11/V14,"")</f>
        <v>1.0136545268629278</v>
      </c>
      <c r="W17" s="1">
        <f t="shared" ca="1" si="11"/>
        <v>1.0060308541694809</v>
      </c>
      <c r="X17" s="1">
        <f t="shared" ca="1" si="11"/>
        <v>1.0280228773697979</v>
      </c>
      <c r="Y17" s="1">
        <f t="shared" ca="1" si="11"/>
        <v>1.0028433656287992</v>
      </c>
      <c r="Z17" s="1">
        <f t="shared" ca="1" si="11"/>
        <v>1.1641995997854186</v>
      </c>
      <c r="AA17" s="1">
        <f t="shared" ca="1" si="11"/>
        <v>1.0016172212832268</v>
      </c>
      <c r="AB17" s="1">
        <f t="shared" ca="1" si="11"/>
        <v>1.0108743635952684</v>
      </c>
      <c r="AC17" s="1">
        <f t="shared" ca="1" si="11"/>
        <v>0.96342557321611488</v>
      </c>
      <c r="AD17" s="1">
        <f t="shared" ca="1" si="11"/>
        <v>0.97762878742158599</v>
      </c>
      <c r="AE17" s="1">
        <f t="shared" ca="1" si="11"/>
        <v>1.0037145192744801</v>
      </c>
      <c r="AF17" s="1">
        <f t="shared" ca="1" si="11"/>
        <v>1.0212982470978775</v>
      </c>
      <c r="AG17" s="1">
        <f t="shared" ca="1" si="11"/>
        <v>0.9958675331600253</v>
      </c>
      <c r="AH17" s="1">
        <f t="shared" ca="1" si="11"/>
        <v>1.0681342690458264</v>
      </c>
      <c r="AI17" s="1">
        <f t="shared" ca="1" si="11"/>
        <v>0.99805042196249316</v>
      </c>
      <c r="AJ17" s="1">
        <f t="shared" ca="1" si="11"/>
        <v>1.0077083087418246</v>
      </c>
      <c r="AK17" s="1">
        <f t="shared" ca="1" si="11"/>
        <v>0.98208024786711701</v>
      </c>
      <c r="AL17" s="1">
        <f t="shared" ca="1" si="11"/>
        <v>0.57684130421146906</v>
      </c>
      <c r="AM17" s="1" t="str">
        <f t="shared" ca="1" si="11"/>
        <v/>
      </c>
      <c r="AN17" s="1" t="str">
        <f t="shared" ca="1" si="11"/>
        <v/>
      </c>
      <c r="AO17" s="1" t="str">
        <f t="shared" ca="1" si="11"/>
        <v/>
      </c>
      <c r="AP17" s="1" t="str">
        <f t="shared" ca="1" si="11"/>
        <v/>
      </c>
      <c r="AQ17" s="1" t="str">
        <f t="shared" ca="1" si="11"/>
        <v/>
      </c>
      <c r="AR17" s="1" t="str">
        <f t="shared" ca="1" si="11"/>
        <v/>
      </c>
      <c r="AS17" s="1" t="str">
        <f t="shared" ca="1" si="11"/>
        <v/>
      </c>
      <c r="AT17" s="1" t="str">
        <f t="shared" ca="1" si="11"/>
        <v/>
      </c>
      <c r="AU17" s="1" t="str">
        <f t="shared" ca="1" si="11"/>
        <v/>
      </c>
      <c r="AV17" s="1" t="str">
        <f t="shared" ca="1" si="11"/>
        <v/>
      </c>
      <c r="AW17" s="1" t="str">
        <f t="shared" ca="1" si="11"/>
        <v/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2">C4</f>
        <v>TRABDS</v>
      </c>
      <c r="D19" s="40">
        <f ca="1">ROUND(D4*D28/D36,3)</f>
        <v>0</v>
      </c>
      <c r="E19" s="40">
        <f t="shared" ref="E19:U19" ca="1" si="13">ROUND(E4*E28/E36,3)</f>
        <v>0</v>
      </c>
      <c r="F19" s="40">
        <f t="shared" ca="1" si="13"/>
        <v>0</v>
      </c>
      <c r="G19" s="40">
        <f t="shared" ca="1" si="13"/>
        <v>1E-3</v>
      </c>
      <c r="H19" s="40">
        <f t="shared" ca="1" si="13"/>
        <v>1E-3</v>
      </c>
      <c r="I19" s="40">
        <f t="shared" ca="1" si="13"/>
        <v>3.0000000000000001E-3</v>
      </c>
      <c r="J19" s="40">
        <f t="shared" ca="1" si="13"/>
        <v>0.125</v>
      </c>
      <c r="K19" s="40">
        <f t="shared" ca="1" si="13"/>
        <v>2.5000000000000001E-2</v>
      </c>
      <c r="L19" s="40">
        <f t="shared" ca="1" si="13"/>
        <v>1E-3</v>
      </c>
      <c r="M19" s="40">
        <f t="shared" ca="1" si="13"/>
        <v>3.0000000000000001E-3</v>
      </c>
      <c r="N19" s="40">
        <f t="shared" ca="1" si="13"/>
        <v>8.9999999999999993E-3</v>
      </c>
      <c r="O19" s="40">
        <f t="shared" ca="1" si="13"/>
        <v>7.0000000000000001E-3</v>
      </c>
      <c r="P19" s="40">
        <f t="shared" ca="1" si="13"/>
        <v>1E-3</v>
      </c>
      <c r="Q19" s="40">
        <f t="shared" ca="1" si="13"/>
        <v>4.0000000000000001E-3</v>
      </c>
      <c r="R19" s="40">
        <f t="shared" ca="1" si="13"/>
        <v>0</v>
      </c>
      <c r="S19" s="40">
        <f t="shared" ca="1" si="13"/>
        <v>1E-3</v>
      </c>
      <c r="T19" s="40">
        <f t="shared" ca="1" si="13"/>
        <v>1E-3</v>
      </c>
      <c r="U19" s="40">
        <f t="shared" ca="1" si="13"/>
        <v>4.0000000000000001E-3</v>
      </c>
      <c r="V19" s="40">
        <f t="shared" ref="V19:AW19" ca="1" si="14">ROUND(V4*V28/V36,3)</f>
        <v>0</v>
      </c>
      <c r="W19" s="40">
        <f t="shared" ca="1" si="14"/>
        <v>1.4E-2</v>
      </c>
      <c r="X19" s="40">
        <f t="shared" ca="1" si="14"/>
        <v>0</v>
      </c>
      <c r="Y19" s="40">
        <f t="shared" ca="1" si="14"/>
        <v>1.6E-2</v>
      </c>
      <c r="Z19" s="40">
        <f t="shared" ca="1" si="14"/>
        <v>1E-3</v>
      </c>
      <c r="AA19" s="40">
        <f t="shared" ca="1" si="14"/>
        <v>6.0000000000000001E-3</v>
      </c>
      <c r="AB19" s="40">
        <f t="shared" ca="1" si="14"/>
        <v>8.1000000000000003E-2</v>
      </c>
      <c r="AC19" s="40">
        <f t="shared" ca="1" si="14"/>
        <v>0</v>
      </c>
      <c r="AD19" s="40">
        <f t="shared" ca="1" si="14"/>
        <v>0</v>
      </c>
      <c r="AE19" s="40">
        <f t="shared" ca="1" si="14"/>
        <v>0</v>
      </c>
      <c r="AF19" s="40">
        <f t="shared" ca="1" si="14"/>
        <v>6.0000000000000001E-3</v>
      </c>
      <c r="AG19" s="40">
        <f t="shared" ca="1" si="14"/>
        <v>6.0000000000000001E-3</v>
      </c>
      <c r="AH19" s="40">
        <f t="shared" ca="1" si="14"/>
        <v>1E-3</v>
      </c>
      <c r="AI19" s="40">
        <f t="shared" ca="1" si="14"/>
        <v>1E-3</v>
      </c>
      <c r="AJ19" s="40">
        <f t="shared" ca="1" si="14"/>
        <v>4.0000000000000001E-3</v>
      </c>
      <c r="AK19" s="40">
        <f t="shared" ca="1" si="14"/>
        <v>0</v>
      </c>
      <c r="AL19" s="40">
        <f t="shared" ca="1" si="14"/>
        <v>1E-3</v>
      </c>
      <c r="AM19" s="40">
        <f t="shared" ca="1" si="14"/>
        <v>0</v>
      </c>
      <c r="AN19" s="40">
        <f t="shared" ca="1" si="14"/>
        <v>0</v>
      </c>
      <c r="AO19" s="40">
        <f t="shared" ca="1" si="14"/>
        <v>0</v>
      </c>
      <c r="AP19" s="40">
        <f t="shared" ca="1" si="14"/>
        <v>0</v>
      </c>
      <c r="AQ19" s="40">
        <f t="shared" ca="1" si="14"/>
        <v>0</v>
      </c>
      <c r="AR19" s="40">
        <f t="shared" ca="1" si="14"/>
        <v>0</v>
      </c>
      <c r="AS19" s="40">
        <f t="shared" ca="1" si="14"/>
        <v>0</v>
      </c>
      <c r="AT19" s="40">
        <f t="shared" ca="1" si="14"/>
        <v>0</v>
      </c>
      <c r="AU19" s="40">
        <f t="shared" ca="1" si="14"/>
        <v>0</v>
      </c>
      <c r="AV19" s="40">
        <f t="shared" ca="1" si="14"/>
        <v>0</v>
      </c>
      <c r="AW19" s="40">
        <f t="shared" ca="1" si="14"/>
        <v>0</v>
      </c>
      <c r="AY19" t="s">
        <v>358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156</v>
      </c>
      <c r="BH19" t="s">
        <v>352</v>
      </c>
      <c r="BI19" t="s">
        <v>359</v>
      </c>
    </row>
    <row r="20" spans="1:61">
      <c r="C20" t="str">
        <f t="shared" si="12"/>
        <v>TRABGS</v>
      </c>
      <c r="D20" s="40">
        <f t="shared" ref="D20:AW25" ca="1" si="15">ROUND(D5*D29/D37,3)</f>
        <v>0</v>
      </c>
      <c r="E20" s="40">
        <f t="shared" ref="E20:U20" ca="1" si="16">ROUND(E5*E29/E37,3)</f>
        <v>0</v>
      </c>
      <c r="F20" s="40">
        <f t="shared" ca="1" si="16"/>
        <v>0</v>
      </c>
      <c r="G20" s="40">
        <f t="shared" ca="1" si="16"/>
        <v>0</v>
      </c>
      <c r="H20" s="40">
        <f t="shared" ca="1" si="16"/>
        <v>0</v>
      </c>
      <c r="I20" s="40">
        <f t="shared" ca="1" si="16"/>
        <v>0</v>
      </c>
      <c r="J20" s="40">
        <f t="shared" ca="1" si="16"/>
        <v>0</v>
      </c>
      <c r="K20" s="40">
        <f t="shared" ca="1" si="16"/>
        <v>0</v>
      </c>
      <c r="L20" s="40">
        <f t="shared" ca="1" si="16"/>
        <v>0</v>
      </c>
      <c r="M20" s="40">
        <f t="shared" ca="1" si="16"/>
        <v>0</v>
      </c>
      <c r="N20" s="40">
        <f t="shared" ca="1" si="16"/>
        <v>0</v>
      </c>
      <c r="O20" s="40">
        <f t="shared" ca="1" si="16"/>
        <v>0</v>
      </c>
      <c r="P20" s="40">
        <f t="shared" ca="1" si="16"/>
        <v>0</v>
      </c>
      <c r="Q20" s="40">
        <f t="shared" ca="1" si="16"/>
        <v>0</v>
      </c>
      <c r="R20" s="40">
        <f t="shared" ca="1" si="16"/>
        <v>0</v>
      </c>
      <c r="S20" s="40">
        <f t="shared" ca="1" si="16"/>
        <v>0</v>
      </c>
      <c r="T20" s="40">
        <f t="shared" ca="1" si="16"/>
        <v>0</v>
      </c>
      <c r="U20" s="40">
        <f t="shared" ca="1" si="16"/>
        <v>0</v>
      </c>
      <c r="V20" s="40">
        <f t="shared" ca="1" si="15"/>
        <v>0</v>
      </c>
      <c r="W20" s="40">
        <f t="shared" ca="1" si="15"/>
        <v>0</v>
      </c>
      <c r="X20" s="40">
        <f t="shared" ca="1" si="15"/>
        <v>0</v>
      </c>
      <c r="Y20" s="40">
        <f t="shared" ca="1" si="15"/>
        <v>0</v>
      </c>
      <c r="Z20" s="40">
        <f t="shared" ca="1" si="15"/>
        <v>0</v>
      </c>
      <c r="AA20" s="40">
        <f t="shared" ca="1" si="15"/>
        <v>0</v>
      </c>
      <c r="AB20" s="40">
        <f t="shared" ca="1" si="15"/>
        <v>0</v>
      </c>
      <c r="AC20" s="40">
        <f t="shared" ca="1" si="15"/>
        <v>0</v>
      </c>
      <c r="AD20" s="40">
        <f t="shared" ca="1" si="15"/>
        <v>0</v>
      </c>
      <c r="AE20" s="40">
        <f t="shared" ca="1" si="15"/>
        <v>0</v>
      </c>
      <c r="AF20" s="40">
        <f t="shared" ca="1" si="15"/>
        <v>0</v>
      </c>
      <c r="AG20" s="40">
        <f t="shared" ca="1" si="15"/>
        <v>0</v>
      </c>
      <c r="AH20" s="40">
        <f t="shared" ca="1" si="15"/>
        <v>0</v>
      </c>
      <c r="AI20" s="40">
        <f t="shared" ca="1" si="15"/>
        <v>0</v>
      </c>
      <c r="AJ20" s="40">
        <f t="shared" ca="1" si="15"/>
        <v>0</v>
      </c>
      <c r="AK20" s="40">
        <f t="shared" ca="1" si="15"/>
        <v>0</v>
      </c>
      <c r="AL20" s="40">
        <f t="shared" ca="1" si="15"/>
        <v>0</v>
      </c>
      <c r="AM20" s="40">
        <f t="shared" ca="1" si="15"/>
        <v>0</v>
      </c>
      <c r="AN20" s="40">
        <f t="shared" ca="1" si="15"/>
        <v>0</v>
      </c>
      <c r="AO20" s="40">
        <f t="shared" ca="1" si="15"/>
        <v>0</v>
      </c>
      <c r="AP20" s="40">
        <f t="shared" ca="1" si="15"/>
        <v>0</v>
      </c>
      <c r="AQ20" s="40">
        <f t="shared" ca="1" si="15"/>
        <v>0</v>
      </c>
      <c r="AR20" s="40">
        <f t="shared" ca="1" si="15"/>
        <v>0</v>
      </c>
      <c r="AS20" s="40">
        <f t="shared" ca="1" si="15"/>
        <v>0</v>
      </c>
      <c r="AT20" s="40">
        <f t="shared" ca="1" si="15"/>
        <v>0</v>
      </c>
      <c r="AU20" s="40">
        <f t="shared" ca="1" si="15"/>
        <v>0</v>
      </c>
      <c r="AV20" s="40">
        <f t="shared" ca="1" si="15"/>
        <v>0</v>
      </c>
      <c r="AW20" s="40">
        <f t="shared" ca="1" si="15"/>
        <v>0</v>
      </c>
      <c r="AY20" t="s">
        <v>358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156</v>
      </c>
      <c r="BH20" t="s">
        <v>352</v>
      </c>
      <c r="BI20" t="s">
        <v>359</v>
      </c>
    </row>
    <row r="21" spans="1:61">
      <c r="C21" t="str">
        <f t="shared" si="12"/>
        <v>TRADST</v>
      </c>
      <c r="D21" s="40">
        <f t="shared" ca="1" si="15"/>
        <v>0.72099999999999997</v>
      </c>
      <c r="E21" s="40">
        <f t="shared" ref="E21:U21" ca="1" si="17">ROUND(E6*E30/E38,3)</f>
        <v>0.64100000000000001</v>
      </c>
      <c r="F21" s="40">
        <f t="shared" ca="1" si="17"/>
        <v>0.17399999999999999</v>
      </c>
      <c r="G21" s="40">
        <f t="shared" ca="1" si="17"/>
        <v>2.1000000000000001E-2</v>
      </c>
      <c r="H21" s="40">
        <f t="shared" ca="1" si="17"/>
        <v>2.4E-2</v>
      </c>
      <c r="I21" s="40">
        <f t="shared" ca="1" si="17"/>
        <v>4.4999999999999998E-2</v>
      </c>
      <c r="J21" s="40">
        <f t="shared" ca="1" si="17"/>
        <v>0.27500000000000002</v>
      </c>
      <c r="K21" s="40">
        <f t="shared" ca="1" si="17"/>
        <v>2.5179999999999998</v>
      </c>
      <c r="L21" s="40">
        <f t="shared" ca="1" si="17"/>
        <v>0.02</v>
      </c>
      <c r="M21" s="40">
        <f t="shared" ca="1" si="17"/>
        <v>4.2999999999999997E-2</v>
      </c>
      <c r="N21" s="40">
        <f t="shared" ca="1" si="17"/>
        <v>0.106</v>
      </c>
      <c r="O21" s="40">
        <f t="shared" ca="1" si="17"/>
        <v>0.114</v>
      </c>
      <c r="P21" s="40">
        <f t="shared" ca="1" si="17"/>
        <v>8.9999999999999993E-3</v>
      </c>
      <c r="Q21" s="40">
        <f t="shared" ca="1" si="17"/>
        <v>6.6000000000000003E-2</v>
      </c>
      <c r="R21" s="40">
        <f t="shared" ca="1" si="17"/>
        <v>1E-3</v>
      </c>
      <c r="S21" s="40">
        <f t="shared" ca="1" si="17"/>
        <v>0.94</v>
      </c>
      <c r="T21" s="40">
        <f t="shared" ca="1" si="17"/>
        <v>0.01</v>
      </c>
      <c r="U21" s="40">
        <f t="shared" ca="1" si="17"/>
        <v>7.3999999999999996E-2</v>
      </c>
      <c r="V21" s="40">
        <f t="shared" ca="1" si="15"/>
        <v>8.8999999999999996E-2</v>
      </c>
      <c r="W21" s="40">
        <f t="shared" ca="1" si="15"/>
        <v>0.28199999999999997</v>
      </c>
      <c r="X21" s="40">
        <f t="shared" ca="1" si="15"/>
        <v>0.27800000000000002</v>
      </c>
      <c r="Y21" s="40">
        <f t="shared" ca="1" si="15"/>
        <v>0.50600000000000001</v>
      </c>
      <c r="Z21" s="40">
        <f t="shared" ca="1" si="15"/>
        <v>7.0000000000000001E-3</v>
      </c>
      <c r="AA21" s="40">
        <f t="shared" ca="1" si="15"/>
        <v>9.8000000000000004E-2</v>
      </c>
      <c r="AB21" s="40">
        <f t="shared" ca="1" si="15"/>
        <v>1.141</v>
      </c>
      <c r="AC21" s="40">
        <f t="shared" ca="1" si="15"/>
        <v>0.13700000000000001</v>
      </c>
      <c r="AD21" s="40">
        <f t="shared" ca="1" si="15"/>
        <v>0.158</v>
      </c>
      <c r="AE21" s="40">
        <f t="shared" ca="1" si="15"/>
        <v>0.22500000000000001</v>
      </c>
      <c r="AF21" s="40">
        <f t="shared" ca="1" si="15"/>
        <v>8.7999999999999995E-2</v>
      </c>
      <c r="AG21" s="40">
        <f t="shared" ca="1" si="15"/>
        <v>2.7E-2</v>
      </c>
      <c r="AH21" s="40">
        <f t="shared" ca="1" si="15"/>
        <v>8.9999999999999993E-3</v>
      </c>
      <c r="AI21" s="40">
        <f t="shared" ca="1" si="15"/>
        <v>0.152</v>
      </c>
      <c r="AJ21" s="40">
        <f t="shared" ca="1" si="15"/>
        <v>8.4000000000000005E-2</v>
      </c>
      <c r="AK21" s="40">
        <f t="shared" ca="1" si="15"/>
        <v>3.5999999999999997E-2</v>
      </c>
      <c r="AL21" s="40">
        <f t="shared" ca="1" si="15"/>
        <v>5.3999999999999999E-2</v>
      </c>
      <c r="AM21" s="40">
        <f t="shared" ca="1" si="15"/>
        <v>0</v>
      </c>
      <c r="AN21" s="40">
        <f t="shared" ca="1" si="15"/>
        <v>0</v>
      </c>
      <c r="AO21" s="40">
        <f t="shared" ca="1" si="15"/>
        <v>0</v>
      </c>
      <c r="AP21" s="40">
        <f t="shared" ca="1" si="15"/>
        <v>0</v>
      </c>
      <c r="AQ21" s="40">
        <f t="shared" ca="1" si="15"/>
        <v>0</v>
      </c>
      <c r="AR21" s="40">
        <f t="shared" ca="1" si="15"/>
        <v>0</v>
      </c>
      <c r="AS21" s="40">
        <f t="shared" ca="1" si="15"/>
        <v>0</v>
      </c>
      <c r="AT21" s="40">
        <f t="shared" ca="1" si="15"/>
        <v>0</v>
      </c>
      <c r="AU21" s="40">
        <f t="shared" ca="1" si="15"/>
        <v>0</v>
      </c>
      <c r="AV21" s="40">
        <f t="shared" ca="1" si="15"/>
        <v>0</v>
      </c>
      <c r="AW21" s="40">
        <f t="shared" ca="1" si="15"/>
        <v>0</v>
      </c>
      <c r="AY21" t="s">
        <v>358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156</v>
      </c>
      <c r="BH21" t="s">
        <v>352</v>
      </c>
      <c r="BI21" t="s">
        <v>359</v>
      </c>
    </row>
    <row r="22" spans="1:61">
      <c r="C22" t="str">
        <f t="shared" si="12"/>
        <v>TRAELC</v>
      </c>
      <c r="D22" s="40">
        <f t="shared" ca="1" si="15"/>
        <v>0</v>
      </c>
      <c r="E22" s="40">
        <f t="shared" ref="E22:U22" ca="1" si="18">ROUND(E7*E31/E39,3)</f>
        <v>0</v>
      </c>
      <c r="F22" s="40">
        <f t="shared" ca="1" si="18"/>
        <v>0</v>
      </c>
      <c r="G22" s="40">
        <f t="shared" ca="1" si="18"/>
        <v>0</v>
      </c>
      <c r="H22" s="40">
        <f t="shared" ca="1" si="18"/>
        <v>3.0000000000000001E-3</v>
      </c>
      <c r="I22" s="40">
        <f t="shared" ca="1" si="18"/>
        <v>0</v>
      </c>
      <c r="J22" s="40">
        <f t="shared" ca="1" si="18"/>
        <v>0</v>
      </c>
      <c r="K22" s="40">
        <f t="shared" ca="1" si="18"/>
        <v>0.219</v>
      </c>
      <c r="L22" s="40">
        <f t="shared" ca="1" si="18"/>
        <v>0</v>
      </c>
      <c r="M22" s="40">
        <f t="shared" ca="1" si="18"/>
        <v>3.0000000000000001E-3</v>
      </c>
      <c r="N22" s="40">
        <f t="shared" ca="1" si="18"/>
        <v>0</v>
      </c>
      <c r="O22" s="40">
        <f t="shared" ca="1" si="18"/>
        <v>0</v>
      </c>
      <c r="P22" s="40">
        <f t="shared" ca="1" si="18"/>
        <v>0</v>
      </c>
      <c r="Q22" s="40">
        <f t="shared" ca="1" si="18"/>
        <v>4.0000000000000001E-3</v>
      </c>
      <c r="R22" s="40">
        <f t="shared" ca="1" si="18"/>
        <v>0</v>
      </c>
      <c r="S22" s="40">
        <f t="shared" ca="1" si="18"/>
        <v>0</v>
      </c>
      <c r="T22" s="40">
        <f t="shared" ca="1" si="18"/>
        <v>0</v>
      </c>
      <c r="U22" s="40">
        <f t="shared" ca="1" si="18"/>
        <v>0</v>
      </c>
      <c r="V22" s="40">
        <f t="shared" ca="1" si="15"/>
        <v>0</v>
      </c>
      <c r="W22" s="40">
        <f t="shared" ca="1" si="15"/>
        <v>1.2999999999999999E-2</v>
      </c>
      <c r="X22" s="40">
        <f t="shared" ca="1" si="15"/>
        <v>0</v>
      </c>
      <c r="Y22" s="40">
        <f t="shared" ca="1" si="15"/>
        <v>0</v>
      </c>
      <c r="Z22" s="40">
        <f t="shared" ca="1" si="15"/>
        <v>0</v>
      </c>
      <c r="AA22" s="40">
        <f t="shared" ca="1" si="15"/>
        <v>1E-3</v>
      </c>
      <c r="AB22" s="40">
        <f t="shared" ca="1" si="15"/>
        <v>0</v>
      </c>
      <c r="AC22" s="40">
        <f t="shared" ca="1" si="15"/>
        <v>5.0000000000000001E-3</v>
      </c>
      <c r="AD22" s="40">
        <f t="shared" ca="1" si="15"/>
        <v>0</v>
      </c>
      <c r="AE22" s="40">
        <f t="shared" ca="1" si="15"/>
        <v>2E-3</v>
      </c>
      <c r="AF22" s="40">
        <f t="shared" ca="1" si="15"/>
        <v>0</v>
      </c>
      <c r="AG22" s="40">
        <f t="shared" ca="1" si="15"/>
        <v>0</v>
      </c>
      <c r="AH22" s="40">
        <f t="shared" ca="1" si="15"/>
        <v>0</v>
      </c>
      <c r="AI22" s="40">
        <f t="shared" ca="1" si="15"/>
        <v>0</v>
      </c>
      <c r="AJ22" s="40">
        <f t="shared" ca="1" si="15"/>
        <v>0</v>
      </c>
      <c r="AK22" s="40">
        <f t="shared" ca="1" si="15"/>
        <v>0</v>
      </c>
      <c r="AL22" s="40">
        <f t="shared" ca="1" si="15"/>
        <v>0</v>
      </c>
      <c r="AM22" s="40">
        <f t="shared" ca="1" si="15"/>
        <v>0</v>
      </c>
      <c r="AN22" s="40">
        <f t="shared" ca="1" si="15"/>
        <v>0</v>
      </c>
      <c r="AO22" s="40">
        <f t="shared" ca="1" si="15"/>
        <v>0</v>
      </c>
      <c r="AP22" s="40">
        <f t="shared" ca="1" si="15"/>
        <v>0</v>
      </c>
      <c r="AQ22" s="40">
        <f t="shared" ca="1" si="15"/>
        <v>0</v>
      </c>
      <c r="AR22" s="40">
        <f t="shared" ca="1" si="15"/>
        <v>0</v>
      </c>
      <c r="AS22" s="40">
        <f t="shared" ca="1" si="15"/>
        <v>0</v>
      </c>
      <c r="AT22" s="40">
        <f t="shared" ca="1" si="15"/>
        <v>0</v>
      </c>
      <c r="AU22" s="40">
        <f t="shared" ca="1" si="15"/>
        <v>0</v>
      </c>
      <c r="AV22" s="40">
        <f t="shared" ca="1" si="15"/>
        <v>0</v>
      </c>
      <c r="AW22" s="40">
        <f t="shared" ca="1" si="15"/>
        <v>0</v>
      </c>
      <c r="AY22" t="s">
        <v>358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156</v>
      </c>
      <c r="BH22" t="s">
        <v>352</v>
      </c>
      <c r="BI22" t="s">
        <v>359</v>
      </c>
    </row>
    <row r="23" spans="1:61">
      <c r="C23" t="str">
        <f t="shared" si="12"/>
        <v>TRAGSL</v>
      </c>
      <c r="D23" s="40">
        <f t="shared" ca="1" si="15"/>
        <v>0</v>
      </c>
      <c r="E23" s="40">
        <f t="shared" ref="E23:U23" ca="1" si="19">ROUND(E8*E32/E40,3)</f>
        <v>0</v>
      </c>
      <c r="F23" s="40">
        <f t="shared" ca="1" si="19"/>
        <v>7.0000000000000001E-3</v>
      </c>
      <c r="G23" s="40">
        <f t="shared" ca="1" si="19"/>
        <v>0</v>
      </c>
      <c r="H23" s="40">
        <f t="shared" ca="1" si="19"/>
        <v>1E-3</v>
      </c>
      <c r="I23" s="40">
        <f t="shared" ca="1" si="19"/>
        <v>1E-3</v>
      </c>
      <c r="J23" s="40">
        <f t="shared" ca="1" si="19"/>
        <v>2.5000000000000001E-2</v>
      </c>
      <c r="K23" s="40">
        <f t="shared" ca="1" si="19"/>
        <v>0.13700000000000001</v>
      </c>
      <c r="L23" s="40">
        <f t="shared" ca="1" si="19"/>
        <v>1E-3</v>
      </c>
      <c r="M23" s="40">
        <f t="shared" ca="1" si="19"/>
        <v>2E-3</v>
      </c>
      <c r="N23" s="40">
        <f t="shared" ca="1" si="19"/>
        <v>1E-3</v>
      </c>
      <c r="O23" s="40">
        <f t="shared" ca="1" si="19"/>
        <v>2E-3</v>
      </c>
      <c r="P23" s="40">
        <f t="shared" ca="1" si="19"/>
        <v>0</v>
      </c>
      <c r="Q23" s="40">
        <f t="shared" ca="1" si="19"/>
        <v>3.0000000000000001E-3</v>
      </c>
      <c r="R23" s="40">
        <f t="shared" ca="1" si="19"/>
        <v>0</v>
      </c>
      <c r="S23" s="40">
        <f t="shared" ca="1" si="19"/>
        <v>0</v>
      </c>
      <c r="T23" s="40">
        <f t="shared" ca="1" si="19"/>
        <v>0</v>
      </c>
      <c r="U23" s="40">
        <f t="shared" ca="1" si="19"/>
        <v>1E-3</v>
      </c>
      <c r="V23" s="40">
        <f t="shared" ca="1" si="15"/>
        <v>0</v>
      </c>
      <c r="W23" s="40">
        <f t="shared" ca="1" si="15"/>
        <v>4.7E-2</v>
      </c>
      <c r="X23" s="40">
        <f t="shared" ca="1" si="15"/>
        <v>0.16200000000000001</v>
      </c>
      <c r="Y23" s="40">
        <f t="shared" ca="1" si="15"/>
        <v>4.2000000000000003E-2</v>
      </c>
      <c r="Z23" s="40">
        <f t="shared" ca="1" si="15"/>
        <v>0</v>
      </c>
      <c r="AA23" s="40">
        <f t="shared" ca="1" si="15"/>
        <v>4.0000000000000001E-3</v>
      </c>
      <c r="AB23" s="40">
        <f t="shared" ca="1" si="15"/>
        <v>0</v>
      </c>
      <c r="AC23" s="40">
        <f t="shared" ca="1" si="15"/>
        <v>5.2999999999999999E-2</v>
      </c>
      <c r="AD23" s="40">
        <f t="shared" ca="1" si="15"/>
        <v>7.0000000000000007E-2</v>
      </c>
      <c r="AE23" s="40">
        <f t="shared" ca="1" si="15"/>
        <v>0</v>
      </c>
      <c r="AF23" s="40">
        <f t="shared" ca="1" si="15"/>
        <v>1E-3</v>
      </c>
      <c r="AG23" s="40">
        <f t="shared" ca="1" si="15"/>
        <v>1E-3</v>
      </c>
      <c r="AH23" s="40">
        <f t="shared" ca="1" si="15"/>
        <v>0</v>
      </c>
      <c r="AI23" s="40">
        <f t="shared" ca="1" si="15"/>
        <v>7.0000000000000001E-3</v>
      </c>
      <c r="AJ23" s="40">
        <f t="shared" ca="1" si="15"/>
        <v>2E-3</v>
      </c>
      <c r="AK23" s="40">
        <f t="shared" ca="1" si="15"/>
        <v>3.0000000000000001E-3</v>
      </c>
      <c r="AL23" s="40">
        <f t="shared" ca="1" si="15"/>
        <v>2E-3</v>
      </c>
      <c r="AM23" s="40">
        <f t="shared" ca="1" si="15"/>
        <v>0</v>
      </c>
      <c r="AN23" s="40">
        <f t="shared" ca="1" si="15"/>
        <v>0</v>
      </c>
      <c r="AO23" s="40">
        <f t="shared" ca="1" si="15"/>
        <v>0</v>
      </c>
      <c r="AP23" s="40">
        <f t="shared" ca="1" si="15"/>
        <v>0</v>
      </c>
      <c r="AQ23" s="40">
        <f t="shared" ca="1" si="15"/>
        <v>0</v>
      </c>
      <c r="AR23" s="40">
        <f t="shared" ca="1" si="15"/>
        <v>0</v>
      </c>
      <c r="AS23" s="40">
        <f t="shared" ca="1" si="15"/>
        <v>0</v>
      </c>
      <c r="AT23" s="40">
        <f t="shared" ca="1" si="15"/>
        <v>0</v>
      </c>
      <c r="AU23" s="40">
        <f t="shared" ca="1" si="15"/>
        <v>0</v>
      </c>
      <c r="AV23" s="40">
        <f t="shared" ca="1" si="15"/>
        <v>0</v>
      </c>
      <c r="AW23" s="40">
        <f t="shared" ca="1" si="15"/>
        <v>0</v>
      </c>
      <c r="AY23" t="s">
        <v>358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156</v>
      </c>
      <c r="BH23" t="s">
        <v>352</v>
      </c>
      <c r="BI23" t="s">
        <v>359</v>
      </c>
    </row>
    <row r="24" spans="1:61">
      <c r="C24" t="str">
        <f t="shared" si="12"/>
        <v>TRALPG</v>
      </c>
      <c r="D24" s="40">
        <f t="shared" ca="1" si="15"/>
        <v>1.0999999999999999E-2</v>
      </c>
      <c r="E24" s="40">
        <f t="shared" ref="E24:U24" ca="1" si="20">ROUND(E9*E33/E41,3)</f>
        <v>0</v>
      </c>
      <c r="F24" s="40">
        <f t="shared" ca="1" si="20"/>
        <v>0.02</v>
      </c>
      <c r="G24" s="40">
        <f t="shared" ca="1" si="20"/>
        <v>0</v>
      </c>
      <c r="H24" s="40">
        <f t="shared" ca="1" si="20"/>
        <v>0</v>
      </c>
      <c r="I24" s="40">
        <f t="shared" ca="1" si="20"/>
        <v>0</v>
      </c>
      <c r="J24" s="40">
        <f t="shared" ca="1" si="20"/>
        <v>0</v>
      </c>
      <c r="K24" s="40">
        <f t="shared" ca="1" si="20"/>
        <v>8.2000000000000003E-2</v>
      </c>
      <c r="L24" s="40">
        <f t="shared" ca="1" si="20"/>
        <v>0</v>
      </c>
      <c r="M24" s="40">
        <f t="shared" ca="1" si="20"/>
        <v>0</v>
      </c>
      <c r="N24" s="40">
        <f t="shared" ca="1" si="20"/>
        <v>0</v>
      </c>
      <c r="O24" s="40">
        <f t="shared" ca="1" si="20"/>
        <v>0</v>
      </c>
      <c r="P24" s="40">
        <f t="shared" ca="1" si="20"/>
        <v>0</v>
      </c>
      <c r="Q24" s="40">
        <f t="shared" ca="1" si="20"/>
        <v>0</v>
      </c>
      <c r="R24" s="40">
        <f t="shared" ca="1" si="20"/>
        <v>0</v>
      </c>
      <c r="S24" s="40">
        <f t="shared" ca="1" si="20"/>
        <v>1.0999999999999999E-2</v>
      </c>
      <c r="T24" s="40">
        <f t="shared" ca="1" si="20"/>
        <v>0</v>
      </c>
      <c r="U24" s="40">
        <f t="shared" ca="1" si="20"/>
        <v>0</v>
      </c>
      <c r="V24" s="40">
        <f t="shared" ca="1" si="15"/>
        <v>0</v>
      </c>
      <c r="W24" s="40">
        <f t="shared" ca="1" si="15"/>
        <v>3.7999999999999999E-2</v>
      </c>
      <c r="X24" s="40">
        <f t="shared" ca="1" si="15"/>
        <v>1E-3</v>
      </c>
      <c r="Y24" s="40">
        <f t="shared" ca="1" si="15"/>
        <v>1E-3</v>
      </c>
      <c r="Z24" s="40">
        <f t="shared" ca="1" si="15"/>
        <v>0</v>
      </c>
      <c r="AA24" s="40">
        <f t="shared" ca="1" si="15"/>
        <v>0</v>
      </c>
      <c r="AB24" s="40">
        <f t="shared" ca="1" si="15"/>
        <v>0.106</v>
      </c>
      <c r="AC24" s="40">
        <f t="shared" ca="1" si="15"/>
        <v>0</v>
      </c>
      <c r="AD24" s="40">
        <f t="shared" ca="1" si="15"/>
        <v>0</v>
      </c>
      <c r="AE24" s="40">
        <f t="shared" ca="1" si="15"/>
        <v>0</v>
      </c>
      <c r="AF24" s="40">
        <f t="shared" ca="1" si="15"/>
        <v>0</v>
      </c>
      <c r="AG24" s="40">
        <f t="shared" ca="1" si="15"/>
        <v>0</v>
      </c>
      <c r="AH24" s="40">
        <f t="shared" ca="1" si="15"/>
        <v>0</v>
      </c>
      <c r="AI24" s="40">
        <f t="shared" ca="1" si="15"/>
        <v>0.04</v>
      </c>
      <c r="AJ24" s="40">
        <f t="shared" ca="1" si="15"/>
        <v>0</v>
      </c>
      <c r="AK24" s="40">
        <f t="shared" ca="1" si="15"/>
        <v>0</v>
      </c>
      <c r="AL24" s="40">
        <f t="shared" ca="1" si="15"/>
        <v>0</v>
      </c>
      <c r="AM24" s="40">
        <f t="shared" ca="1" si="15"/>
        <v>0</v>
      </c>
      <c r="AN24" s="40">
        <f t="shared" ca="1" si="15"/>
        <v>0</v>
      </c>
      <c r="AO24" s="40">
        <f t="shared" ca="1" si="15"/>
        <v>0</v>
      </c>
      <c r="AP24" s="40">
        <f t="shared" ca="1" si="15"/>
        <v>0</v>
      </c>
      <c r="AQ24" s="40">
        <f t="shared" ca="1" si="15"/>
        <v>0</v>
      </c>
      <c r="AR24" s="40">
        <f t="shared" ca="1" si="15"/>
        <v>0</v>
      </c>
      <c r="AS24" s="40">
        <f t="shared" ca="1" si="15"/>
        <v>0</v>
      </c>
      <c r="AT24" s="40">
        <f t="shared" ca="1" si="15"/>
        <v>0</v>
      </c>
      <c r="AU24" s="40">
        <f t="shared" ca="1" si="15"/>
        <v>0</v>
      </c>
      <c r="AV24" s="40">
        <f t="shared" ca="1" si="15"/>
        <v>0</v>
      </c>
      <c r="AW24" s="40">
        <f t="shared" ca="1" si="15"/>
        <v>0</v>
      </c>
      <c r="AY24" t="s">
        <v>358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156</v>
      </c>
      <c r="BH24" t="s">
        <v>352</v>
      </c>
      <c r="BI24" t="s">
        <v>359</v>
      </c>
    </row>
    <row r="25" spans="1:61">
      <c r="C25" t="str">
        <f t="shared" si="12"/>
        <v>TRANGA</v>
      </c>
      <c r="D25" s="40">
        <f t="shared" ca="1" si="15"/>
        <v>2.1000000000000001E-2</v>
      </c>
      <c r="E25" s="40">
        <f t="shared" ref="E25:U25" ca="1" si="21">ROUND(E10*E34/E42,3)</f>
        <v>0</v>
      </c>
      <c r="F25" s="40">
        <f t="shared" ca="1" si="21"/>
        <v>3.0000000000000001E-3</v>
      </c>
      <c r="G25" s="40">
        <f t="shared" ca="1" si="21"/>
        <v>0</v>
      </c>
      <c r="H25" s="40">
        <f t="shared" ca="1" si="21"/>
        <v>0</v>
      </c>
      <c r="I25" s="40">
        <f t="shared" ca="1" si="21"/>
        <v>2E-3</v>
      </c>
      <c r="J25" s="40">
        <f t="shared" ca="1" si="21"/>
        <v>4.3999999999999997E-2</v>
      </c>
      <c r="K25" s="40">
        <f t="shared" ca="1" si="21"/>
        <v>0.86299999999999999</v>
      </c>
      <c r="L25" s="40">
        <f t="shared" ca="1" si="21"/>
        <v>1E-3</v>
      </c>
      <c r="M25" s="40">
        <f t="shared" ca="1" si="21"/>
        <v>6.0000000000000001E-3</v>
      </c>
      <c r="N25" s="40">
        <f t="shared" ca="1" si="21"/>
        <v>4.0000000000000001E-3</v>
      </c>
      <c r="O25" s="40">
        <f t="shared" ca="1" si="21"/>
        <v>5.0000000000000001E-3</v>
      </c>
      <c r="P25" s="40">
        <f t="shared" ca="1" si="21"/>
        <v>0</v>
      </c>
      <c r="Q25" s="40">
        <f t="shared" ca="1" si="21"/>
        <v>7.0000000000000001E-3</v>
      </c>
      <c r="R25" s="40">
        <f t="shared" ca="1" si="21"/>
        <v>0</v>
      </c>
      <c r="S25" s="40">
        <f t="shared" ca="1" si="21"/>
        <v>0.129</v>
      </c>
      <c r="T25" s="40">
        <f t="shared" ca="1" si="21"/>
        <v>0</v>
      </c>
      <c r="U25" s="40">
        <f t="shared" ca="1" si="21"/>
        <v>2.1999999999999999E-2</v>
      </c>
      <c r="V25" s="40">
        <f t="shared" ca="1" si="15"/>
        <v>0</v>
      </c>
      <c r="W25" s="40">
        <f t="shared" ca="1" si="15"/>
        <v>8.5000000000000006E-2</v>
      </c>
      <c r="X25" s="40">
        <f t="shared" ca="1" si="15"/>
        <v>0.155</v>
      </c>
      <c r="Y25" s="40">
        <f t="shared" ca="1" si="15"/>
        <v>0</v>
      </c>
      <c r="Z25" s="40">
        <f t="shared" ca="1" si="15"/>
        <v>1E-3</v>
      </c>
      <c r="AA25" s="40">
        <f t="shared" ca="1" si="15"/>
        <v>1E-3</v>
      </c>
      <c r="AB25" s="40">
        <f t="shared" ca="1" si="15"/>
        <v>4.4999999999999998E-2</v>
      </c>
      <c r="AC25" s="40">
        <f t="shared" ca="1" si="15"/>
        <v>0</v>
      </c>
      <c r="AD25" s="40">
        <f t="shared" ca="1" si="15"/>
        <v>0</v>
      </c>
      <c r="AE25" s="40">
        <f t="shared" ca="1" si="15"/>
        <v>0</v>
      </c>
      <c r="AF25" s="40">
        <f t="shared" ca="1" si="15"/>
        <v>5.0000000000000001E-3</v>
      </c>
      <c r="AG25" s="40">
        <f t="shared" ca="1" si="15"/>
        <v>3.0000000000000001E-3</v>
      </c>
      <c r="AH25" s="40">
        <f t="shared" ca="1" si="15"/>
        <v>0</v>
      </c>
      <c r="AI25" s="40">
        <f t="shared" ca="1" si="15"/>
        <v>2E-3</v>
      </c>
      <c r="AJ25" s="40">
        <f t="shared" ca="1" si="15"/>
        <v>0</v>
      </c>
      <c r="AK25" s="40">
        <f t="shared" ca="1" si="15"/>
        <v>0</v>
      </c>
      <c r="AL25" s="40">
        <f t="shared" ca="1" si="15"/>
        <v>2E-3</v>
      </c>
      <c r="AM25" s="40">
        <f t="shared" ca="1" si="15"/>
        <v>0</v>
      </c>
      <c r="AN25" s="40">
        <f t="shared" ca="1" si="15"/>
        <v>0</v>
      </c>
      <c r="AO25" s="40">
        <f t="shared" ca="1" si="15"/>
        <v>0</v>
      </c>
      <c r="AP25" s="40">
        <f t="shared" ca="1" si="15"/>
        <v>0</v>
      </c>
      <c r="AQ25" s="40">
        <f t="shared" ca="1" si="15"/>
        <v>0</v>
      </c>
      <c r="AR25" s="40">
        <f t="shared" ca="1" si="15"/>
        <v>0</v>
      </c>
      <c r="AS25" s="40">
        <f t="shared" ca="1" si="15"/>
        <v>0</v>
      </c>
      <c r="AT25" s="40">
        <f t="shared" ca="1" si="15"/>
        <v>0</v>
      </c>
      <c r="AU25" s="40">
        <f t="shared" ca="1" si="15"/>
        <v>0</v>
      </c>
      <c r="AV25" s="40">
        <f t="shared" ca="1" si="15"/>
        <v>0</v>
      </c>
      <c r="AW25" s="40">
        <f t="shared" ca="1" si="15"/>
        <v>0</v>
      </c>
      <c r="AY25" t="s">
        <v>358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2">$AX28*D$27</f>
        <v>7.2069999999999995E-2</v>
      </c>
      <c r="E28">
        <f t="shared" si="22"/>
        <v>7.2069999999999995E-2</v>
      </c>
      <c r="F28">
        <f t="shared" si="22"/>
        <v>7.2069999999999995E-2</v>
      </c>
      <c r="G28">
        <f t="shared" si="22"/>
        <v>7.2069999999999995E-2</v>
      </c>
      <c r="H28">
        <f t="shared" si="22"/>
        <v>7.2069999999999995E-2</v>
      </c>
      <c r="I28">
        <f t="shared" si="22"/>
        <v>7.2069999999999995E-2</v>
      </c>
      <c r="J28">
        <f t="shared" si="22"/>
        <v>7.2069999999999995E-2</v>
      </c>
      <c r="K28">
        <f t="shared" si="22"/>
        <v>7.2069999999999995E-2</v>
      </c>
      <c r="L28">
        <f t="shared" si="22"/>
        <v>7.2069999999999995E-2</v>
      </c>
      <c r="M28">
        <f t="shared" si="22"/>
        <v>7.2069999999999995E-2</v>
      </c>
      <c r="N28">
        <f t="shared" si="22"/>
        <v>7.2069999999999995E-2</v>
      </c>
      <c r="O28">
        <f t="shared" si="22"/>
        <v>7.2069999999999995E-2</v>
      </c>
      <c r="P28">
        <f t="shared" si="22"/>
        <v>7.2069999999999995E-2</v>
      </c>
      <c r="Q28">
        <f t="shared" si="22"/>
        <v>7.2069999999999995E-2</v>
      </c>
      <c r="R28">
        <f t="shared" si="22"/>
        <v>7.2069999999999995E-2</v>
      </c>
      <c r="S28">
        <f t="shared" si="22"/>
        <v>7.2069999999999995E-2</v>
      </c>
      <c r="T28">
        <f t="shared" si="22"/>
        <v>7.2069999999999995E-2</v>
      </c>
      <c r="U28">
        <f t="shared" si="22"/>
        <v>7.2069999999999995E-2</v>
      </c>
      <c r="V28">
        <f t="shared" si="22"/>
        <v>7.2069999999999995E-2</v>
      </c>
      <c r="W28">
        <f t="shared" si="22"/>
        <v>7.2069999999999995E-2</v>
      </c>
      <c r="X28">
        <f t="shared" si="22"/>
        <v>7.2069999999999995E-2</v>
      </c>
      <c r="Y28">
        <f t="shared" si="22"/>
        <v>7.2069999999999995E-2</v>
      </c>
      <c r="Z28">
        <f t="shared" si="22"/>
        <v>7.2069999999999995E-2</v>
      </c>
      <c r="AA28">
        <f t="shared" si="22"/>
        <v>7.2069999999999995E-2</v>
      </c>
      <c r="AB28">
        <f t="shared" si="22"/>
        <v>7.2069999999999995E-2</v>
      </c>
      <c r="AC28">
        <f t="shared" si="22"/>
        <v>7.2069999999999995E-2</v>
      </c>
      <c r="AD28">
        <f t="shared" ref="AD28:AS34" si="23">$AX28*AD$27</f>
        <v>7.2069999999999995E-2</v>
      </c>
      <c r="AE28">
        <f t="shared" si="23"/>
        <v>7.2069999999999995E-2</v>
      </c>
      <c r="AF28">
        <f t="shared" si="23"/>
        <v>7.2069999999999995E-2</v>
      </c>
      <c r="AG28">
        <f t="shared" si="23"/>
        <v>7.2069999999999995E-2</v>
      </c>
      <c r="AH28">
        <f t="shared" si="23"/>
        <v>7.2069999999999995E-2</v>
      </c>
      <c r="AI28">
        <f t="shared" si="23"/>
        <v>7.2069999999999995E-2</v>
      </c>
      <c r="AJ28">
        <f t="shared" si="23"/>
        <v>7.2069999999999995E-2</v>
      </c>
      <c r="AK28">
        <f t="shared" si="23"/>
        <v>7.2069999999999995E-2</v>
      </c>
      <c r="AL28">
        <f t="shared" si="23"/>
        <v>7.2069999999999995E-2</v>
      </c>
      <c r="AM28">
        <f t="shared" si="23"/>
        <v>7.2069999999999995E-2</v>
      </c>
      <c r="AN28">
        <f t="shared" si="23"/>
        <v>7.2069999999999995E-2</v>
      </c>
      <c r="AO28">
        <f t="shared" si="23"/>
        <v>7.2069999999999995E-2</v>
      </c>
      <c r="AP28">
        <f t="shared" si="23"/>
        <v>7.2069999999999995E-2</v>
      </c>
      <c r="AQ28">
        <f t="shared" si="23"/>
        <v>7.2069999999999995E-2</v>
      </c>
      <c r="AR28">
        <f t="shared" si="23"/>
        <v>7.2069999999999995E-2</v>
      </c>
      <c r="AS28">
        <f t="shared" si="23"/>
        <v>7.2069999999999995E-2</v>
      </c>
      <c r="AT28">
        <f t="shared" ref="AK28:AW34" si="24">$AX28*AT$27</f>
        <v>7.2069999999999995E-2</v>
      </c>
      <c r="AU28">
        <f t="shared" si="24"/>
        <v>7.2069999999999995E-2</v>
      </c>
      <c r="AV28">
        <f t="shared" si="24"/>
        <v>7.2069999999999995E-2</v>
      </c>
      <c r="AW28">
        <f t="shared" si="24"/>
        <v>7.2069999999999995E-2</v>
      </c>
      <c r="AX28" s="56">
        <f>AX30</f>
        <v>7.2069999999999995E-2</v>
      </c>
      <c r="AY28" s="1" t="s">
        <v>348</v>
      </c>
      <c r="AZ28" s="1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56">
        <f>AX32</f>
        <v>0.08</v>
      </c>
      <c r="AY29" s="1" t="s">
        <v>348</v>
      </c>
      <c r="AZ29" s="1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156</v>
      </c>
      <c r="BH29" t="s">
        <v>352</v>
      </c>
      <c r="BI29" t="s">
        <v>359</v>
      </c>
    </row>
    <row r="30" spans="1:61">
      <c r="C30" t="str">
        <f t="shared" si="25"/>
        <v>TRADST</v>
      </c>
      <c r="D30">
        <f t="shared" si="22"/>
        <v>7.2069999999999995E-2</v>
      </c>
      <c r="E30">
        <f t="shared" si="22"/>
        <v>7.2069999999999995E-2</v>
      </c>
      <c r="F30">
        <f t="shared" si="22"/>
        <v>7.2069999999999995E-2</v>
      </c>
      <c r="G30">
        <f t="shared" si="22"/>
        <v>7.2069999999999995E-2</v>
      </c>
      <c r="H30">
        <f t="shared" si="22"/>
        <v>7.2069999999999995E-2</v>
      </c>
      <c r="I30">
        <f t="shared" si="22"/>
        <v>7.2069999999999995E-2</v>
      </c>
      <c r="J30">
        <f t="shared" si="22"/>
        <v>7.2069999999999995E-2</v>
      </c>
      <c r="K30">
        <f t="shared" si="22"/>
        <v>7.2069999999999995E-2</v>
      </c>
      <c r="L30">
        <f t="shared" si="22"/>
        <v>7.2069999999999995E-2</v>
      </c>
      <c r="M30">
        <f t="shared" si="22"/>
        <v>7.2069999999999995E-2</v>
      </c>
      <c r="N30">
        <f t="shared" si="22"/>
        <v>7.2069999999999995E-2</v>
      </c>
      <c r="O30">
        <f t="shared" si="22"/>
        <v>7.2069999999999995E-2</v>
      </c>
      <c r="P30">
        <f t="shared" si="22"/>
        <v>7.2069999999999995E-2</v>
      </c>
      <c r="Q30">
        <f t="shared" si="22"/>
        <v>7.2069999999999995E-2</v>
      </c>
      <c r="R30">
        <f t="shared" si="22"/>
        <v>7.2069999999999995E-2</v>
      </c>
      <c r="S30">
        <f t="shared" si="22"/>
        <v>7.2069999999999995E-2</v>
      </c>
      <c r="T30">
        <f t="shared" si="22"/>
        <v>7.2069999999999995E-2</v>
      </c>
      <c r="U30">
        <f t="shared" si="22"/>
        <v>7.2069999999999995E-2</v>
      </c>
      <c r="V30">
        <f t="shared" si="22"/>
        <v>7.2069999999999995E-2</v>
      </c>
      <c r="W30">
        <f t="shared" si="22"/>
        <v>7.2069999999999995E-2</v>
      </c>
      <c r="X30">
        <f t="shared" si="22"/>
        <v>7.2069999999999995E-2</v>
      </c>
      <c r="Y30">
        <f t="shared" si="22"/>
        <v>7.2069999999999995E-2</v>
      </c>
      <c r="Z30">
        <f t="shared" si="22"/>
        <v>7.2069999999999995E-2</v>
      </c>
      <c r="AA30">
        <f t="shared" si="22"/>
        <v>7.2069999999999995E-2</v>
      </c>
      <c r="AB30">
        <f t="shared" si="22"/>
        <v>7.2069999999999995E-2</v>
      </c>
      <c r="AC30">
        <f t="shared" si="22"/>
        <v>7.2069999999999995E-2</v>
      </c>
      <c r="AD30">
        <f t="shared" si="23"/>
        <v>7.2069999999999995E-2</v>
      </c>
      <c r="AE30">
        <f t="shared" si="23"/>
        <v>7.2069999999999995E-2</v>
      </c>
      <c r="AF30">
        <f t="shared" si="23"/>
        <v>7.2069999999999995E-2</v>
      </c>
      <c r="AG30">
        <f t="shared" si="23"/>
        <v>7.2069999999999995E-2</v>
      </c>
      <c r="AH30">
        <f t="shared" si="23"/>
        <v>7.2069999999999995E-2</v>
      </c>
      <c r="AI30">
        <f t="shared" si="23"/>
        <v>7.2069999999999995E-2</v>
      </c>
      <c r="AJ30">
        <f t="shared" si="23"/>
        <v>7.2069999999999995E-2</v>
      </c>
      <c r="AK30">
        <f t="shared" si="24"/>
        <v>7.2069999999999995E-2</v>
      </c>
      <c r="AL30">
        <f t="shared" si="24"/>
        <v>7.2069999999999995E-2</v>
      </c>
      <c r="AM30">
        <f t="shared" si="24"/>
        <v>7.2069999999999995E-2</v>
      </c>
      <c r="AN30">
        <f t="shared" si="24"/>
        <v>7.2069999999999995E-2</v>
      </c>
      <c r="AO30">
        <f t="shared" si="24"/>
        <v>7.2069999999999995E-2</v>
      </c>
      <c r="AP30">
        <f t="shared" si="24"/>
        <v>7.2069999999999995E-2</v>
      </c>
      <c r="AQ30">
        <f t="shared" si="24"/>
        <v>7.2069999999999995E-2</v>
      </c>
      <c r="AR30">
        <f t="shared" si="24"/>
        <v>7.2069999999999995E-2</v>
      </c>
      <c r="AS30">
        <f t="shared" si="24"/>
        <v>7.2069999999999995E-2</v>
      </c>
      <c r="AT30">
        <f t="shared" si="24"/>
        <v>7.2069999999999995E-2</v>
      </c>
      <c r="AU30">
        <f t="shared" si="24"/>
        <v>7.2069999999999995E-2</v>
      </c>
      <c r="AV30">
        <f t="shared" si="24"/>
        <v>7.2069999999999995E-2</v>
      </c>
      <c r="AW30">
        <f t="shared" si="24"/>
        <v>7.2069999999999995E-2</v>
      </c>
      <c r="AX30" s="56">
        <v>7.2069999999999995E-2</v>
      </c>
      <c r="AY30" s="1" t="s">
        <v>348</v>
      </c>
      <c r="AZ30" s="1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156</v>
      </c>
      <c r="BH30" t="s">
        <v>352</v>
      </c>
      <c r="BI30" t="s">
        <v>359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56">
        <v>0.313</v>
      </c>
      <c r="AY31" s="1" t="s">
        <v>348</v>
      </c>
      <c r="AZ31" s="1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156</v>
      </c>
      <c r="BH31" t="s">
        <v>352</v>
      </c>
      <c r="BI31" t="s">
        <v>359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56">
        <v>0.08</v>
      </c>
      <c r="AY32" s="1" t="s">
        <v>348</v>
      </c>
      <c r="AZ32" s="1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156</v>
      </c>
      <c r="BH32" t="s">
        <v>352</v>
      </c>
      <c r="BI32" t="s">
        <v>359</v>
      </c>
    </row>
    <row r="33" spans="1:61">
      <c r="C33" t="str">
        <f t="shared" si="25"/>
        <v>TRALPG</v>
      </c>
      <c r="D33">
        <f t="shared" si="22"/>
        <v>7.5999999999999998E-2</v>
      </c>
      <c r="E33">
        <f t="shared" si="22"/>
        <v>7.5999999999999998E-2</v>
      </c>
      <c r="F33">
        <f t="shared" si="22"/>
        <v>7.5999999999999998E-2</v>
      </c>
      <c r="G33">
        <f t="shared" si="22"/>
        <v>7.5999999999999998E-2</v>
      </c>
      <c r="H33">
        <f t="shared" si="22"/>
        <v>7.5999999999999998E-2</v>
      </c>
      <c r="I33">
        <f t="shared" si="22"/>
        <v>7.5999999999999998E-2</v>
      </c>
      <c r="J33">
        <f t="shared" si="22"/>
        <v>7.5999999999999998E-2</v>
      </c>
      <c r="K33">
        <f t="shared" si="22"/>
        <v>7.5999999999999998E-2</v>
      </c>
      <c r="L33">
        <f t="shared" si="22"/>
        <v>7.5999999999999998E-2</v>
      </c>
      <c r="M33">
        <f t="shared" si="22"/>
        <v>7.5999999999999998E-2</v>
      </c>
      <c r="N33">
        <f t="shared" si="22"/>
        <v>7.5999999999999998E-2</v>
      </c>
      <c r="O33">
        <f t="shared" si="22"/>
        <v>7.5999999999999998E-2</v>
      </c>
      <c r="P33">
        <f t="shared" si="22"/>
        <v>7.5999999999999998E-2</v>
      </c>
      <c r="Q33">
        <f t="shared" si="22"/>
        <v>7.5999999999999998E-2</v>
      </c>
      <c r="R33">
        <f t="shared" si="22"/>
        <v>7.5999999999999998E-2</v>
      </c>
      <c r="S33">
        <f t="shared" si="22"/>
        <v>7.5999999999999998E-2</v>
      </c>
      <c r="T33">
        <f t="shared" si="22"/>
        <v>7.5999999999999998E-2</v>
      </c>
      <c r="U33">
        <f t="shared" si="22"/>
        <v>7.5999999999999998E-2</v>
      </c>
      <c r="V33">
        <f t="shared" si="22"/>
        <v>7.5999999999999998E-2</v>
      </c>
      <c r="W33">
        <f t="shared" si="22"/>
        <v>7.5999999999999998E-2</v>
      </c>
      <c r="X33">
        <f t="shared" si="22"/>
        <v>7.5999999999999998E-2</v>
      </c>
      <c r="Y33">
        <f t="shared" si="22"/>
        <v>7.5999999999999998E-2</v>
      </c>
      <c r="Z33">
        <f t="shared" si="22"/>
        <v>7.5999999999999998E-2</v>
      </c>
      <c r="AA33">
        <f t="shared" si="22"/>
        <v>7.5999999999999998E-2</v>
      </c>
      <c r="AB33">
        <f t="shared" si="22"/>
        <v>7.5999999999999998E-2</v>
      </c>
      <c r="AC33">
        <f t="shared" si="22"/>
        <v>7.5999999999999998E-2</v>
      </c>
      <c r="AD33">
        <f t="shared" si="23"/>
        <v>7.5999999999999998E-2</v>
      </c>
      <c r="AE33">
        <f t="shared" si="23"/>
        <v>7.5999999999999998E-2</v>
      </c>
      <c r="AF33">
        <f t="shared" si="23"/>
        <v>7.5999999999999998E-2</v>
      </c>
      <c r="AG33">
        <f t="shared" si="23"/>
        <v>7.5999999999999998E-2</v>
      </c>
      <c r="AH33">
        <f t="shared" si="23"/>
        <v>7.5999999999999998E-2</v>
      </c>
      <c r="AI33">
        <f t="shared" si="23"/>
        <v>7.5999999999999998E-2</v>
      </c>
      <c r="AJ33">
        <f t="shared" si="23"/>
        <v>7.5999999999999998E-2</v>
      </c>
      <c r="AK33">
        <f t="shared" si="24"/>
        <v>7.5999999999999998E-2</v>
      </c>
      <c r="AL33">
        <f t="shared" si="24"/>
        <v>7.5999999999999998E-2</v>
      </c>
      <c r="AM33">
        <f t="shared" si="24"/>
        <v>7.5999999999999998E-2</v>
      </c>
      <c r="AN33">
        <f t="shared" si="24"/>
        <v>7.5999999999999998E-2</v>
      </c>
      <c r="AO33">
        <f t="shared" si="24"/>
        <v>7.5999999999999998E-2</v>
      </c>
      <c r="AP33">
        <f t="shared" si="24"/>
        <v>7.5999999999999998E-2</v>
      </c>
      <c r="AQ33">
        <f t="shared" si="24"/>
        <v>7.5999999999999998E-2</v>
      </c>
      <c r="AR33">
        <f t="shared" si="24"/>
        <v>7.5999999999999998E-2</v>
      </c>
      <c r="AS33">
        <f t="shared" si="24"/>
        <v>7.5999999999999998E-2</v>
      </c>
      <c r="AT33">
        <f t="shared" si="24"/>
        <v>7.5999999999999998E-2</v>
      </c>
      <c r="AU33">
        <f t="shared" si="24"/>
        <v>7.5999999999999998E-2</v>
      </c>
      <c r="AV33">
        <f t="shared" si="24"/>
        <v>7.5999999999999998E-2</v>
      </c>
      <c r="AW33">
        <f t="shared" si="24"/>
        <v>7.5999999999999998E-2</v>
      </c>
      <c r="AX33" s="56">
        <v>7.5999999999999998E-2</v>
      </c>
      <c r="AY33" s="1" t="s">
        <v>348</v>
      </c>
      <c r="AZ33" s="1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156</v>
      </c>
      <c r="BH33" t="s">
        <v>352</v>
      </c>
      <c r="BI33" t="s">
        <v>359</v>
      </c>
    </row>
    <row r="34" spans="1:61">
      <c r="C34" t="str">
        <f t="shared" si="25"/>
        <v>TRANGA</v>
      </c>
      <c r="D34">
        <f t="shared" si="22"/>
        <v>6.1199999999999997E-2</v>
      </c>
      <c r="E34">
        <f t="shared" si="22"/>
        <v>6.1199999999999997E-2</v>
      </c>
      <c r="F34">
        <f t="shared" si="22"/>
        <v>6.1199999999999997E-2</v>
      </c>
      <c r="G34">
        <f t="shared" si="22"/>
        <v>6.1199999999999997E-2</v>
      </c>
      <c r="H34">
        <f t="shared" si="22"/>
        <v>6.1199999999999997E-2</v>
      </c>
      <c r="I34">
        <f t="shared" si="22"/>
        <v>6.1199999999999997E-2</v>
      </c>
      <c r="J34">
        <f t="shared" si="22"/>
        <v>6.1199999999999997E-2</v>
      </c>
      <c r="K34">
        <f t="shared" si="22"/>
        <v>6.1199999999999997E-2</v>
      </c>
      <c r="L34">
        <f t="shared" si="22"/>
        <v>6.1199999999999997E-2</v>
      </c>
      <c r="M34">
        <f t="shared" si="22"/>
        <v>6.1199999999999997E-2</v>
      </c>
      <c r="N34">
        <f t="shared" si="22"/>
        <v>6.1199999999999997E-2</v>
      </c>
      <c r="O34">
        <f t="shared" si="22"/>
        <v>6.1199999999999997E-2</v>
      </c>
      <c r="P34">
        <f t="shared" si="22"/>
        <v>6.1199999999999997E-2</v>
      </c>
      <c r="Q34">
        <f t="shared" si="22"/>
        <v>6.1199999999999997E-2</v>
      </c>
      <c r="R34">
        <f t="shared" si="22"/>
        <v>6.1199999999999997E-2</v>
      </c>
      <c r="S34">
        <f t="shared" si="22"/>
        <v>6.1199999999999997E-2</v>
      </c>
      <c r="T34">
        <f t="shared" si="22"/>
        <v>6.1199999999999997E-2</v>
      </c>
      <c r="U34">
        <f t="shared" si="22"/>
        <v>6.1199999999999997E-2</v>
      </c>
      <c r="V34">
        <f t="shared" si="22"/>
        <v>6.1199999999999997E-2</v>
      </c>
      <c r="W34">
        <f t="shared" si="22"/>
        <v>6.1199999999999997E-2</v>
      </c>
      <c r="X34">
        <f t="shared" si="22"/>
        <v>6.1199999999999997E-2</v>
      </c>
      <c r="Y34">
        <f t="shared" si="22"/>
        <v>6.1199999999999997E-2</v>
      </c>
      <c r="Z34">
        <f t="shared" si="22"/>
        <v>6.1199999999999997E-2</v>
      </c>
      <c r="AA34">
        <f t="shared" si="22"/>
        <v>6.1199999999999997E-2</v>
      </c>
      <c r="AB34">
        <f t="shared" si="22"/>
        <v>6.1199999999999997E-2</v>
      </c>
      <c r="AC34">
        <f t="shared" si="22"/>
        <v>6.1199999999999997E-2</v>
      </c>
      <c r="AD34">
        <f t="shared" si="23"/>
        <v>6.1199999999999997E-2</v>
      </c>
      <c r="AE34">
        <f t="shared" si="23"/>
        <v>6.1199999999999997E-2</v>
      </c>
      <c r="AF34">
        <f t="shared" si="23"/>
        <v>6.1199999999999997E-2</v>
      </c>
      <c r="AG34">
        <f t="shared" si="23"/>
        <v>6.1199999999999997E-2</v>
      </c>
      <c r="AH34">
        <f t="shared" si="23"/>
        <v>6.1199999999999997E-2</v>
      </c>
      <c r="AI34">
        <f t="shared" si="23"/>
        <v>6.1199999999999997E-2</v>
      </c>
      <c r="AJ34">
        <f t="shared" si="23"/>
        <v>6.1199999999999997E-2</v>
      </c>
      <c r="AK34">
        <f t="shared" si="24"/>
        <v>6.1199999999999997E-2</v>
      </c>
      <c r="AL34">
        <f t="shared" si="24"/>
        <v>6.1199999999999997E-2</v>
      </c>
      <c r="AM34">
        <f t="shared" si="24"/>
        <v>6.1199999999999997E-2</v>
      </c>
      <c r="AN34">
        <f t="shared" si="24"/>
        <v>6.1199999999999997E-2</v>
      </c>
      <c r="AO34">
        <f t="shared" si="24"/>
        <v>6.1199999999999997E-2</v>
      </c>
      <c r="AP34">
        <f t="shared" si="24"/>
        <v>6.1199999999999997E-2</v>
      </c>
      <c r="AQ34">
        <f t="shared" si="24"/>
        <v>6.1199999999999997E-2</v>
      </c>
      <c r="AR34">
        <f t="shared" si="24"/>
        <v>6.1199999999999997E-2</v>
      </c>
      <c r="AS34">
        <f t="shared" si="24"/>
        <v>6.1199999999999997E-2</v>
      </c>
      <c r="AT34">
        <f t="shared" si="24"/>
        <v>6.1199999999999997E-2</v>
      </c>
      <c r="AU34">
        <f t="shared" si="24"/>
        <v>6.1199999999999997E-2</v>
      </c>
      <c r="AV34">
        <f t="shared" si="24"/>
        <v>6.1199999999999997E-2</v>
      </c>
      <c r="AW34">
        <f t="shared" si="24"/>
        <v>6.1199999999999997E-2</v>
      </c>
      <c r="AX34" s="56">
        <v>6.1199999999999997E-2</v>
      </c>
      <c r="AY34" s="1" t="s">
        <v>348</v>
      </c>
      <c r="AZ34" s="1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35</v>
      </c>
      <c r="E36" s="40">
        <v>35</v>
      </c>
      <c r="F36" s="40">
        <v>35</v>
      </c>
      <c r="G36" s="40">
        <v>35</v>
      </c>
      <c r="H36" s="40">
        <v>35</v>
      </c>
      <c r="I36" s="40">
        <v>35</v>
      </c>
      <c r="J36" s="40">
        <v>35</v>
      </c>
      <c r="K36" s="40">
        <v>35</v>
      </c>
      <c r="L36" s="40">
        <v>35</v>
      </c>
      <c r="M36" s="40">
        <v>35</v>
      </c>
      <c r="N36" s="40">
        <v>35</v>
      </c>
      <c r="O36" s="40">
        <v>35</v>
      </c>
      <c r="P36" s="40">
        <v>35</v>
      </c>
      <c r="Q36" s="40">
        <v>35</v>
      </c>
      <c r="R36" s="40">
        <v>35</v>
      </c>
      <c r="S36" s="40">
        <v>35</v>
      </c>
      <c r="T36" s="40">
        <v>35</v>
      </c>
      <c r="U36" s="40">
        <v>35</v>
      </c>
      <c r="V36" s="40">
        <v>35</v>
      </c>
      <c r="W36" s="40">
        <v>35</v>
      </c>
      <c r="X36" s="40">
        <v>35</v>
      </c>
      <c r="Y36" s="40">
        <v>35</v>
      </c>
      <c r="Z36" s="40">
        <v>35</v>
      </c>
      <c r="AA36" s="40">
        <v>35</v>
      </c>
      <c r="AB36" s="40">
        <v>35</v>
      </c>
      <c r="AC36" s="40">
        <v>35</v>
      </c>
      <c r="AD36" s="40">
        <v>35</v>
      </c>
      <c r="AE36" s="40">
        <v>35</v>
      </c>
      <c r="AF36" s="40">
        <v>35</v>
      </c>
      <c r="AG36" s="40">
        <v>35</v>
      </c>
      <c r="AH36" s="40">
        <v>35</v>
      </c>
      <c r="AI36" s="40">
        <v>35</v>
      </c>
      <c r="AJ36" s="40">
        <v>35</v>
      </c>
      <c r="AK36" s="40">
        <v>35</v>
      </c>
      <c r="AL36" s="40">
        <v>20</v>
      </c>
      <c r="AM36" s="40">
        <v>35</v>
      </c>
      <c r="AN36" s="40">
        <v>35</v>
      </c>
      <c r="AO36" s="40">
        <v>35</v>
      </c>
      <c r="AP36" s="40">
        <v>35</v>
      </c>
      <c r="AQ36" s="40">
        <v>35</v>
      </c>
      <c r="AR36" s="40">
        <v>35</v>
      </c>
      <c r="AS36" s="40">
        <v>35</v>
      </c>
      <c r="AT36" s="40">
        <v>35</v>
      </c>
      <c r="AU36" s="40">
        <v>35</v>
      </c>
      <c r="AV36" s="40">
        <v>35</v>
      </c>
      <c r="AW36" s="40">
        <v>35</v>
      </c>
      <c r="AY36" t="s">
        <v>349</v>
      </c>
      <c r="AZ36" s="1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27">C29</f>
        <v>TRABGS</v>
      </c>
      <c r="D37" s="40">
        <v>35</v>
      </c>
      <c r="E37" s="40">
        <v>35</v>
      </c>
      <c r="F37" s="40">
        <v>35</v>
      </c>
      <c r="G37" s="40">
        <v>35</v>
      </c>
      <c r="H37" s="40">
        <v>35</v>
      </c>
      <c r="I37" s="40">
        <v>35</v>
      </c>
      <c r="J37" s="40">
        <v>35</v>
      </c>
      <c r="K37" s="40">
        <v>35</v>
      </c>
      <c r="L37" s="40">
        <v>35</v>
      </c>
      <c r="M37" s="40">
        <v>35</v>
      </c>
      <c r="N37" s="40">
        <v>35</v>
      </c>
      <c r="O37" s="40">
        <v>35</v>
      </c>
      <c r="P37" s="40">
        <v>35</v>
      </c>
      <c r="Q37" s="40">
        <v>35</v>
      </c>
      <c r="R37" s="40">
        <v>35</v>
      </c>
      <c r="S37" s="40">
        <v>35</v>
      </c>
      <c r="T37" s="40">
        <v>35</v>
      </c>
      <c r="U37" s="40">
        <v>35</v>
      </c>
      <c r="V37" s="40">
        <v>35</v>
      </c>
      <c r="W37" s="40">
        <v>35</v>
      </c>
      <c r="X37" s="40">
        <v>35</v>
      </c>
      <c r="Y37" s="40">
        <v>35</v>
      </c>
      <c r="Z37" s="40">
        <v>35</v>
      </c>
      <c r="AA37" s="40">
        <v>35</v>
      </c>
      <c r="AB37" s="40">
        <v>35</v>
      </c>
      <c r="AC37" s="40">
        <v>35</v>
      </c>
      <c r="AD37" s="40">
        <v>35</v>
      </c>
      <c r="AE37" s="40">
        <v>35</v>
      </c>
      <c r="AF37" s="40">
        <v>35</v>
      </c>
      <c r="AG37" s="40">
        <v>35</v>
      </c>
      <c r="AH37" s="40">
        <v>35</v>
      </c>
      <c r="AI37" s="40">
        <v>35</v>
      </c>
      <c r="AJ37" s="40">
        <v>35</v>
      </c>
      <c r="AK37" s="40">
        <v>35</v>
      </c>
      <c r="AL37" s="40">
        <v>20</v>
      </c>
      <c r="AM37" s="40">
        <v>35</v>
      </c>
      <c r="AN37" s="40">
        <v>35</v>
      </c>
      <c r="AO37" s="40">
        <v>35</v>
      </c>
      <c r="AP37" s="40">
        <v>35</v>
      </c>
      <c r="AQ37" s="40">
        <v>35</v>
      </c>
      <c r="AR37" s="40">
        <v>35</v>
      </c>
      <c r="AS37" s="40">
        <v>35</v>
      </c>
      <c r="AT37" s="40">
        <v>35</v>
      </c>
      <c r="AU37" s="40">
        <v>35</v>
      </c>
      <c r="AV37" s="40">
        <v>35</v>
      </c>
      <c r="AW37" s="40">
        <v>35</v>
      </c>
      <c r="AY37" t="s">
        <v>349</v>
      </c>
      <c r="AZ37" s="1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156</v>
      </c>
      <c r="BH37" t="s">
        <v>352</v>
      </c>
      <c r="BI37" t="s">
        <v>359</v>
      </c>
    </row>
    <row r="38" spans="1:61">
      <c r="C38" t="str">
        <f t="shared" si="27"/>
        <v>TRADST</v>
      </c>
      <c r="D38" s="40">
        <v>35</v>
      </c>
      <c r="E38" s="40">
        <v>35</v>
      </c>
      <c r="F38" s="40">
        <v>35</v>
      </c>
      <c r="G38" s="40">
        <v>35</v>
      </c>
      <c r="H38" s="40">
        <v>35</v>
      </c>
      <c r="I38" s="40">
        <v>35</v>
      </c>
      <c r="J38" s="40">
        <v>35</v>
      </c>
      <c r="K38" s="40">
        <v>35</v>
      </c>
      <c r="L38" s="40">
        <v>35</v>
      </c>
      <c r="M38" s="40">
        <v>35</v>
      </c>
      <c r="N38" s="40">
        <v>35</v>
      </c>
      <c r="O38" s="40">
        <v>35</v>
      </c>
      <c r="P38" s="40">
        <v>35</v>
      </c>
      <c r="Q38" s="40">
        <v>35</v>
      </c>
      <c r="R38" s="40">
        <v>35</v>
      </c>
      <c r="S38" s="40">
        <v>35</v>
      </c>
      <c r="T38" s="40">
        <v>35</v>
      </c>
      <c r="U38" s="40">
        <v>35</v>
      </c>
      <c r="V38" s="40">
        <v>35</v>
      </c>
      <c r="W38" s="40">
        <v>35</v>
      </c>
      <c r="X38" s="40">
        <v>35</v>
      </c>
      <c r="Y38" s="40">
        <v>35</v>
      </c>
      <c r="Z38" s="40">
        <v>35</v>
      </c>
      <c r="AA38" s="40">
        <v>35</v>
      </c>
      <c r="AB38" s="40">
        <v>35</v>
      </c>
      <c r="AC38" s="40">
        <v>35</v>
      </c>
      <c r="AD38" s="40">
        <v>35</v>
      </c>
      <c r="AE38" s="40">
        <v>35</v>
      </c>
      <c r="AF38" s="40">
        <v>35</v>
      </c>
      <c r="AG38" s="40">
        <v>35</v>
      </c>
      <c r="AH38" s="40">
        <v>35</v>
      </c>
      <c r="AI38" s="40">
        <v>35</v>
      </c>
      <c r="AJ38" s="40">
        <v>35</v>
      </c>
      <c r="AK38" s="40">
        <v>35</v>
      </c>
      <c r="AL38" s="40">
        <v>20</v>
      </c>
      <c r="AM38" s="40">
        <v>35</v>
      </c>
      <c r="AN38" s="40">
        <v>35</v>
      </c>
      <c r="AO38" s="40">
        <v>35</v>
      </c>
      <c r="AP38" s="40">
        <v>35</v>
      </c>
      <c r="AQ38" s="40">
        <v>35</v>
      </c>
      <c r="AR38" s="40">
        <v>35</v>
      </c>
      <c r="AS38" s="40">
        <v>35</v>
      </c>
      <c r="AT38" s="40">
        <v>35</v>
      </c>
      <c r="AU38" s="40">
        <v>35</v>
      </c>
      <c r="AV38" s="40">
        <v>35</v>
      </c>
      <c r="AW38" s="40">
        <v>35</v>
      </c>
      <c r="AY38" t="s">
        <v>349</v>
      </c>
      <c r="AZ38" s="1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156</v>
      </c>
      <c r="BH38" t="s">
        <v>352</v>
      </c>
      <c r="BI38" t="s">
        <v>359</v>
      </c>
    </row>
    <row r="39" spans="1:61">
      <c r="C39" t="str">
        <f t="shared" si="27"/>
        <v>TRAELC</v>
      </c>
      <c r="D39" s="40">
        <v>35</v>
      </c>
      <c r="E39" s="40">
        <v>35</v>
      </c>
      <c r="F39" s="40">
        <v>35</v>
      </c>
      <c r="G39" s="40">
        <v>35</v>
      </c>
      <c r="H39" s="40">
        <v>35</v>
      </c>
      <c r="I39" s="40">
        <v>35</v>
      </c>
      <c r="J39" s="40">
        <v>35</v>
      </c>
      <c r="K39" s="40">
        <v>35</v>
      </c>
      <c r="L39" s="40">
        <v>35</v>
      </c>
      <c r="M39" s="40">
        <v>35</v>
      </c>
      <c r="N39" s="40">
        <v>35</v>
      </c>
      <c r="O39" s="40">
        <v>35</v>
      </c>
      <c r="P39" s="40">
        <v>35</v>
      </c>
      <c r="Q39" s="40">
        <v>35</v>
      </c>
      <c r="R39" s="40">
        <v>35</v>
      </c>
      <c r="S39" s="40">
        <v>35</v>
      </c>
      <c r="T39" s="40">
        <v>35</v>
      </c>
      <c r="U39" s="40">
        <v>35</v>
      </c>
      <c r="V39" s="40">
        <v>35</v>
      </c>
      <c r="W39" s="40">
        <v>35</v>
      </c>
      <c r="X39" s="40">
        <v>35</v>
      </c>
      <c r="Y39" s="40">
        <v>35</v>
      </c>
      <c r="Z39" s="40">
        <v>35</v>
      </c>
      <c r="AA39" s="40">
        <v>35</v>
      </c>
      <c r="AB39" s="40">
        <v>35</v>
      </c>
      <c r="AC39" s="40">
        <v>35</v>
      </c>
      <c r="AD39" s="40">
        <v>35</v>
      </c>
      <c r="AE39" s="40">
        <v>35</v>
      </c>
      <c r="AF39" s="40">
        <v>35</v>
      </c>
      <c r="AG39" s="40">
        <v>35</v>
      </c>
      <c r="AH39" s="40">
        <v>35</v>
      </c>
      <c r="AI39" s="40">
        <v>35</v>
      </c>
      <c r="AJ39" s="40">
        <v>35</v>
      </c>
      <c r="AK39" s="40">
        <v>35</v>
      </c>
      <c r="AL39" s="40">
        <v>20</v>
      </c>
      <c r="AM39" s="40">
        <v>35</v>
      </c>
      <c r="AN39" s="40">
        <v>35</v>
      </c>
      <c r="AO39" s="40">
        <v>35</v>
      </c>
      <c r="AP39" s="40">
        <v>35</v>
      </c>
      <c r="AQ39" s="40">
        <v>35</v>
      </c>
      <c r="AR39" s="40">
        <v>35</v>
      </c>
      <c r="AS39" s="40">
        <v>35</v>
      </c>
      <c r="AT39" s="40">
        <v>35</v>
      </c>
      <c r="AU39" s="40">
        <v>35</v>
      </c>
      <c r="AV39" s="40">
        <v>35</v>
      </c>
      <c r="AW39" s="40">
        <v>35</v>
      </c>
      <c r="AY39" t="s">
        <v>349</v>
      </c>
      <c r="AZ39" s="1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156</v>
      </c>
      <c r="BH39" t="s">
        <v>352</v>
      </c>
      <c r="BI39" t="s">
        <v>359</v>
      </c>
    </row>
    <row r="40" spans="1:61">
      <c r="C40" t="str">
        <f t="shared" si="27"/>
        <v>TRAGSL</v>
      </c>
      <c r="D40" s="40">
        <v>35</v>
      </c>
      <c r="E40" s="40">
        <v>35</v>
      </c>
      <c r="F40" s="40">
        <v>35</v>
      </c>
      <c r="G40" s="40">
        <v>35</v>
      </c>
      <c r="H40" s="40">
        <v>35</v>
      </c>
      <c r="I40" s="40">
        <v>35</v>
      </c>
      <c r="J40" s="40">
        <v>35</v>
      </c>
      <c r="K40" s="40">
        <v>35</v>
      </c>
      <c r="L40" s="40">
        <v>35</v>
      </c>
      <c r="M40" s="40">
        <v>35</v>
      </c>
      <c r="N40" s="40">
        <v>35</v>
      </c>
      <c r="O40" s="40">
        <v>35</v>
      </c>
      <c r="P40" s="40">
        <v>35</v>
      </c>
      <c r="Q40" s="40">
        <v>35</v>
      </c>
      <c r="R40" s="40">
        <v>35</v>
      </c>
      <c r="S40" s="40">
        <v>35</v>
      </c>
      <c r="T40" s="40">
        <v>35</v>
      </c>
      <c r="U40" s="40">
        <v>35</v>
      </c>
      <c r="V40" s="40">
        <v>35</v>
      </c>
      <c r="W40" s="40">
        <v>35</v>
      </c>
      <c r="X40" s="40">
        <v>35</v>
      </c>
      <c r="Y40" s="40">
        <v>35</v>
      </c>
      <c r="Z40" s="40">
        <v>35</v>
      </c>
      <c r="AA40" s="40">
        <v>35</v>
      </c>
      <c r="AB40" s="40">
        <v>35</v>
      </c>
      <c r="AC40" s="40">
        <v>35</v>
      </c>
      <c r="AD40" s="40">
        <v>35</v>
      </c>
      <c r="AE40" s="40">
        <v>35</v>
      </c>
      <c r="AF40" s="40">
        <v>35</v>
      </c>
      <c r="AG40" s="40">
        <v>35</v>
      </c>
      <c r="AH40" s="40">
        <v>35</v>
      </c>
      <c r="AI40" s="40">
        <v>35</v>
      </c>
      <c r="AJ40" s="40">
        <v>35</v>
      </c>
      <c r="AK40" s="40">
        <v>35</v>
      </c>
      <c r="AL40" s="40">
        <v>20</v>
      </c>
      <c r="AM40" s="40">
        <v>35</v>
      </c>
      <c r="AN40" s="40">
        <v>35</v>
      </c>
      <c r="AO40" s="40">
        <v>35</v>
      </c>
      <c r="AP40" s="40">
        <v>35</v>
      </c>
      <c r="AQ40" s="40">
        <v>35</v>
      </c>
      <c r="AR40" s="40">
        <v>35</v>
      </c>
      <c r="AS40" s="40">
        <v>35</v>
      </c>
      <c r="AT40" s="40">
        <v>35</v>
      </c>
      <c r="AU40" s="40">
        <v>35</v>
      </c>
      <c r="AV40" s="40">
        <v>35</v>
      </c>
      <c r="AW40" s="40">
        <v>35</v>
      </c>
      <c r="AY40" t="s">
        <v>349</v>
      </c>
      <c r="AZ40" s="1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156</v>
      </c>
      <c r="BH40" t="s">
        <v>352</v>
      </c>
      <c r="BI40" t="s">
        <v>359</v>
      </c>
    </row>
    <row r="41" spans="1:61">
      <c r="C41" t="str">
        <f t="shared" si="27"/>
        <v>TRALPG</v>
      </c>
      <c r="D41" s="40">
        <v>35</v>
      </c>
      <c r="E41" s="40">
        <v>35</v>
      </c>
      <c r="F41" s="40">
        <v>35</v>
      </c>
      <c r="G41" s="40">
        <v>35</v>
      </c>
      <c r="H41" s="40">
        <v>35</v>
      </c>
      <c r="I41" s="40">
        <v>35</v>
      </c>
      <c r="J41" s="40">
        <v>35</v>
      </c>
      <c r="K41" s="40">
        <v>35</v>
      </c>
      <c r="L41" s="40">
        <v>35</v>
      </c>
      <c r="M41" s="40">
        <v>35</v>
      </c>
      <c r="N41" s="40">
        <v>35</v>
      </c>
      <c r="O41" s="40">
        <v>35</v>
      </c>
      <c r="P41" s="40">
        <v>35</v>
      </c>
      <c r="Q41" s="40">
        <v>35</v>
      </c>
      <c r="R41" s="40">
        <v>35</v>
      </c>
      <c r="S41" s="40">
        <v>35</v>
      </c>
      <c r="T41" s="40">
        <v>35</v>
      </c>
      <c r="U41" s="40">
        <v>35</v>
      </c>
      <c r="V41" s="40">
        <v>35</v>
      </c>
      <c r="W41" s="40">
        <v>35</v>
      </c>
      <c r="X41" s="40">
        <v>35</v>
      </c>
      <c r="Y41" s="40">
        <v>35</v>
      </c>
      <c r="Z41" s="40">
        <v>35</v>
      </c>
      <c r="AA41" s="40">
        <v>35</v>
      </c>
      <c r="AB41" s="40">
        <v>35</v>
      </c>
      <c r="AC41" s="40">
        <v>35</v>
      </c>
      <c r="AD41" s="40">
        <v>35</v>
      </c>
      <c r="AE41" s="40">
        <v>35</v>
      </c>
      <c r="AF41" s="40">
        <v>35</v>
      </c>
      <c r="AG41" s="40">
        <v>35</v>
      </c>
      <c r="AH41" s="40">
        <v>35</v>
      </c>
      <c r="AI41" s="40">
        <v>35</v>
      </c>
      <c r="AJ41" s="40">
        <v>35</v>
      </c>
      <c r="AK41" s="40">
        <v>35</v>
      </c>
      <c r="AL41" s="40">
        <v>20</v>
      </c>
      <c r="AM41" s="40">
        <v>35</v>
      </c>
      <c r="AN41" s="40">
        <v>35</v>
      </c>
      <c r="AO41" s="40">
        <v>35</v>
      </c>
      <c r="AP41" s="40">
        <v>35</v>
      </c>
      <c r="AQ41" s="40">
        <v>35</v>
      </c>
      <c r="AR41" s="40">
        <v>35</v>
      </c>
      <c r="AS41" s="40">
        <v>35</v>
      </c>
      <c r="AT41" s="40">
        <v>35</v>
      </c>
      <c r="AU41" s="40">
        <v>35</v>
      </c>
      <c r="AV41" s="40">
        <v>35</v>
      </c>
      <c r="AW41" s="40">
        <v>35</v>
      </c>
      <c r="AY41" t="s">
        <v>349</v>
      </c>
      <c r="AZ41" s="1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156</v>
      </c>
      <c r="BH41" t="s">
        <v>352</v>
      </c>
      <c r="BI41" t="s">
        <v>359</v>
      </c>
    </row>
    <row r="42" spans="1:61">
      <c r="C42" t="str">
        <f t="shared" si="27"/>
        <v>TRANGA</v>
      </c>
      <c r="D42" s="40">
        <v>35</v>
      </c>
      <c r="E42" s="40">
        <v>35</v>
      </c>
      <c r="F42" s="40">
        <v>35</v>
      </c>
      <c r="G42" s="40">
        <v>35</v>
      </c>
      <c r="H42" s="40">
        <v>35</v>
      </c>
      <c r="I42" s="40">
        <v>35</v>
      </c>
      <c r="J42" s="40">
        <v>35</v>
      </c>
      <c r="K42" s="40">
        <v>35</v>
      </c>
      <c r="L42" s="40">
        <v>35</v>
      </c>
      <c r="M42" s="40">
        <v>35</v>
      </c>
      <c r="N42" s="40">
        <v>35</v>
      </c>
      <c r="O42" s="40">
        <v>35</v>
      </c>
      <c r="P42" s="40">
        <v>35</v>
      </c>
      <c r="Q42" s="40">
        <v>35</v>
      </c>
      <c r="R42" s="40">
        <v>35</v>
      </c>
      <c r="S42" s="40">
        <v>35</v>
      </c>
      <c r="T42" s="40">
        <v>35</v>
      </c>
      <c r="U42" s="40">
        <v>35</v>
      </c>
      <c r="V42" s="40">
        <v>35</v>
      </c>
      <c r="W42" s="40">
        <v>35</v>
      </c>
      <c r="X42" s="40">
        <v>35</v>
      </c>
      <c r="Y42" s="40">
        <v>35</v>
      </c>
      <c r="Z42" s="40">
        <v>35</v>
      </c>
      <c r="AA42" s="40">
        <v>35</v>
      </c>
      <c r="AB42" s="40">
        <v>35</v>
      </c>
      <c r="AC42" s="40">
        <v>35</v>
      </c>
      <c r="AD42" s="40">
        <v>35</v>
      </c>
      <c r="AE42" s="40">
        <v>35</v>
      </c>
      <c r="AF42" s="40">
        <v>35</v>
      </c>
      <c r="AG42" s="40">
        <v>35</v>
      </c>
      <c r="AH42" s="40">
        <v>35</v>
      </c>
      <c r="AI42" s="40">
        <v>35</v>
      </c>
      <c r="AJ42" s="40">
        <v>35</v>
      </c>
      <c r="AK42" s="40">
        <v>35</v>
      </c>
      <c r="AL42" s="40">
        <v>20</v>
      </c>
      <c r="AM42" s="40">
        <v>35</v>
      </c>
      <c r="AN42" s="40">
        <v>35</v>
      </c>
      <c r="AO42" s="40">
        <v>35</v>
      </c>
      <c r="AP42" s="40">
        <v>35</v>
      </c>
      <c r="AQ42" s="40">
        <v>35</v>
      </c>
      <c r="AR42" s="40">
        <v>35</v>
      </c>
      <c r="AS42" s="40">
        <v>35</v>
      </c>
      <c r="AT42" s="40">
        <v>35</v>
      </c>
      <c r="AU42" s="40">
        <v>35</v>
      </c>
      <c r="AV42" s="40">
        <v>35</v>
      </c>
      <c r="AW42" s="40">
        <v>35</v>
      </c>
      <c r="AY42" t="s">
        <v>349</v>
      </c>
      <c r="AZ42" s="1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26.355</v>
      </c>
      <c r="E45" s="2">
        <f t="shared" ref="E45:U45" ca="1" si="32">SUMPRODUCT(E36:E42,E19:E25)</f>
        <v>22.435000000000002</v>
      </c>
      <c r="F45" s="2">
        <f t="shared" ca="1" si="32"/>
        <v>7.1400000000000006</v>
      </c>
      <c r="G45" s="2">
        <f t="shared" ca="1" si="32"/>
        <v>0.77000000000000013</v>
      </c>
      <c r="H45" s="2">
        <f t="shared" ca="1" si="32"/>
        <v>1.0149999999999999</v>
      </c>
      <c r="I45" s="2">
        <f t="shared" ca="1" si="32"/>
        <v>1.7849999999999999</v>
      </c>
      <c r="J45" s="2">
        <f t="shared" ca="1" si="32"/>
        <v>16.414999999999999</v>
      </c>
      <c r="K45" s="2">
        <f t="shared" ca="1" si="32"/>
        <v>134.54000000000002</v>
      </c>
      <c r="L45" s="2">
        <f t="shared" ca="1" si="32"/>
        <v>0.80500000000000016</v>
      </c>
      <c r="M45" s="2">
        <f t="shared" ca="1" si="32"/>
        <v>1.9949999999999999</v>
      </c>
      <c r="N45" s="2">
        <f t="shared" ca="1" si="32"/>
        <v>4.2</v>
      </c>
      <c r="O45" s="2">
        <f t="shared" ca="1" si="32"/>
        <v>4.4800000000000004</v>
      </c>
      <c r="P45" s="2">
        <f t="shared" ca="1" si="32"/>
        <v>0.35</v>
      </c>
      <c r="Q45" s="2">
        <f t="shared" ca="1" si="32"/>
        <v>2.9400000000000004</v>
      </c>
      <c r="R45" s="2">
        <f t="shared" ca="1" si="32"/>
        <v>3.5000000000000003E-2</v>
      </c>
      <c r="S45" s="2">
        <f t="shared" ca="1" si="32"/>
        <v>37.834999999999994</v>
      </c>
      <c r="T45" s="2">
        <f t="shared" ca="1" si="32"/>
        <v>0.38500000000000001</v>
      </c>
      <c r="U45" s="2">
        <f t="shared" ca="1" si="32"/>
        <v>3.5350000000000001</v>
      </c>
      <c r="V45" s="2">
        <f t="shared" ref="V45:AJ45" ca="1" si="33">SUMPRODUCT(V36:V42,V19:V25)</f>
        <v>3.1149999999999998</v>
      </c>
      <c r="W45" s="2">
        <f t="shared" ca="1" si="33"/>
        <v>16.765000000000001</v>
      </c>
      <c r="X45" s="2">
        <f t="shared" ca="1" si="33"/>
        <v>20.86</v>
      </c>
      <c r="Y45" s="2">
        <f t="shared" ca="1" si="33"/>
        <v>19.774999999999999</v>
      </c>
      <c r="Z45" s="2">
        <f t="shared" ca="1" si="33"/>
        <v>0.31500000000000006</v>
      </c>
      <c r="AA45" s="2">
        <f t="shared" ca="1" si="33"/>
        <v>3.8500000000000005</v>
      </c>
      <c r="AB45" s="2">
        <f t="shared" ca="1" si="33"/>
        <v>48.055000000000007</v>
      </c>
      <c r="AC45" s="2">
        <f t="shared" ca="1" si="33"/>
        <v>6.8249999999999993</v>
      </c>
      <c r="AD45" s="2">
        <f t="shared" ca="1" si="33"/>
        <v>7.98</v>
      </c>
      <c r="AE45" s="2">
        <f t="shared" ca="1" si="33"/>
        <v>7.9450000000000003</v>
      </c>
      <c r="AF45" s="2">
        <f t="shared" ca="1" si="33"/>
        <v>3.4999999999999996</v>
      </c>
      <c r="AG45" s="2">
        <f t="shared" ca="1" si="33"/>
        <v>1.2949999999999999</v>
      </c>
      <c r="AH45" s="2">
        <f t="shared" ca="1" si="33"/>
        <v>0.35</v>
      </c>
      <c r="AI45" s="2">
        <f t="shared" ca="1" si="33"/>
        <v>7.0700000000000012</v>
      </c>
      <c r="AJ45" s="2">
        <f t="shared" ca="1" si="33"/>
        <v>3.1500000000000004</v>
      </c>
      <c r="AK45" s="2">
        <f t="shared" ref="AK45:AW45" ca="1" si="34">SUMPRODUCT(AK36:AK42,AK19:AK25)</f>
        <v>1.365</v>
      </c>
      <c r="AL45" s="2">
        <f t="shared" ca="1" si="34"/>
        <v>1.1800000000000002</v>
      </c>
      <c r="AM45" s="2">
        <f t="shared" ca="1" si="34"/>
        <v>0</v>
      </c>
      <c r="AN45" s="2">
        <f t="shared" ca="1" si="34"/>
        <v>0</v>
      </c>
      <c r="AO45" s="2">
        <f t="shared" ca="1" si="34"/>
        <v>0</v>
      </c>
      <c r="AP45" s="2">
        <f t="shared" ca="1" si="34"/>
        <v>0</v>
      </c>
      <c r="AQ45" s="2">
        <f t="shared" ca="1" si="34"/>
        <v>0</v>
      </c>
      <c r="AR45" s="2">
        <f t="shared" ca="1" si="34"/>
        <v>0</v>
      </c>
      <c r="AS45" s="2">
        <f t="shared" ca="1" si="34"/>
        <v>0</v>
      </c>
      <c r="AT45" s="2">
        <f t="shared" ca="1" si="34"/>
        <v>0</v>
      </c>
      <c r="AU45" s="2">
        <f t="shared" ca="1" si="34"/>
        <v>0</v>
      </c>
      <c r="AV45" s="2">
        <f t="shared" ca="1" si="34"/>
        <v>0</v>
      </c>
      <c r="AW45" s="2">
        <f t="shared" ca="1" si="34"/>
        <v>0</v>
      </c>
      <c r="AY45" t="s">
        <v>350</v>
      </c>
      <c r="BA45" t="s">
        <v>353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51:54">
      <c r="AY49" t="s">
        <v>434</v>
      </c>
      <c r="AZ49" t="str">
        <f>BA45</f>
        <v>Trd_bus</v>
      </c>
      <c r="BB49" t="s">
        <v>156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7315F-8D47-4C57-AECC-875EE363FB01}">
  <dimension ref="A1:BI49"/>
  <sheetViews>
    <sheetView zoomScaleNormal="100" workbookViewId="0">
      <selection activeCell="G13" sqref="G13"/>
    </sheetView>
  </sheetViews>
  <sheetFormatPr defaultRowHeight="14.25"/>
  <cols>
    <col min="1" max="1" width="10.86328125" bestFit="1" customWidth="1"/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1" width="6.59765625" bestFit="1" customWidth="1"/>
    <col min="32" max="32" width="5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5.59765625" bestFit="1" customWidth="1"/>
    <col min="52" max="52" width="11.3984375" bestFit="1" customWidth="1"/>
    <col min="57" max="57" width="11.3984375" bestFit="1" customWidth="1"/>
  </cols>
  <sheetData>
    <row r="1" spans="1:61">
      <c r="A1" s="48">
        <v>0.5</v>
      </c>
    </row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SUM(SUMIFS(Assumptions!BD$3:BD$102,Assumptions!$B$3:$B$102,'Trucks-lcv'!$C4,Assumptions!$G$3:$G$102,{"TRC"}))</f>
        <v>0</v>
      </c>
      <c r="E4" s="2" cm="1">
        <f t="array" aca="1" ref="E4" ca="1">SUM(SUMIFS(Assumptions!BE$3:BE$102,Assumptions!$B$3:$B$102,'Trucks-lcv'!$C4,Assumptions!$G$3:$G$102,{"TRC"}))</f>
        <v>0</v>
      </c>
      <c r="F4" s="2" cm="1">
        <f t="array" aca="1" ref="F4" ca="1">SUM(SUMIFS(Assumptions!BF$3:BF$102,Assumptions!$B$3:$B$102,'Trucks-lcv'!$C4,Assumptions!$G$3:$G$102,{"TRC"}))</f>
        <v>7.2131865120000005E-3</v>
      </c>
      <c r="G4" s="2" cm="1">
        <f t="array" aca="1" ref="G4" ca="1">SUM(SUMIFS(Assumptions!BG$3:BG$102,Assumptions!$B$3:$B$102,'Trucks-lcv'!$C4,Assumptions!$G$3:$G$102,{"TRC"}))</f>
        <v>2.138937646464</v>
      </c>
      <c r="H4" s="2" cm="1">
        <f t="array" aca="1" ref="H4" ca="1">SUM(SUMIFS(Assumptions!BH$3:BH$102,Assumptions!$B$3:$B$102,'Trucks-lcv'!$C4,Assumptions!$G$3:$G$102,{"TRC"}))</f>
        <v>0.43541731915200005</v>
      </c>
      <c r="I4" s="2" cm="1">
        <f t="array" aca="1" ref="I4" ca="1">SUM(SUMIFS(Assumptions!BI$3:BI$102,Assumptions!$B$3:$B$102,'Trucks-lcv'!$C4,Assumptions!$G$3:$G$102,{"TRC"}))</f>
        <v>4.4315889657120007</v>
      </c>
      <c r="J4" s="2" cm="1">
        <f t="array" aca="1" ref="J4" ca="1">SUM(SUMIFS(Assumptions!BJ$3:BJ$102,Assumptions!$B$3:$B$102,'Trucks-lcv'!$C4,Assumptions!$G$3:$G$102,{"TRC"}))</f>
        <v>60.545782959602406</v>
      </c>
      <c r="K4" s="2" cm="1">
        <f t="array" aca="1" ref="K4" ca="1">SUM(SUMIFS(Assumptions!BK$3:BK$102,Assumptions!$B$3:$B$102,'Trucks-lcv'!$C4,Assumptions!$G$3:$G$102,{"TRC"}))</f>
        <v>3.4113600505800004</v>
      </c>
      <c r="L4" s="2" cm="1">
        <f t="array" aca="1" ref="L4" ca="1">SUM(SUMIFS(Assumptions!BL$3:BL$102,Assumptions!$B$3:$B$102,'Trucks-lcv'!$C4,Assumptions!$G$3:$G$102,{"TRC"}))</f>
        <v>0.76599549158399993</v>
      </c>
      <c r="M4" s="2" cm="1">
        <f t="array" aca="1" ref="M4" ca="1">SUM(SUMIFS(Assumptions!BM$3:BM$102,Assumptions!$B$3:$B$102,'Trucks-lcv'!$C4,Assumptions!$G$3:$G$102,{"TRC"}))</f>
        <v>2.0075819880960002</v>
      </c>
      <c r="N4" s="2" cm="1">
        <f t="array" aca="1" ref="N4" ca="1">SUM(SUMIFS(Assumptions!BN$3:BN$102,Assumptions!$B$3:$B$102,'Trucks-lcv'!$C4,Assumptions!$G$3:$G$102,{"TRC"}))</f>
        <v>12.684390742224002</v>
      </c>
      <c r="O4" s="2" cm="1">
        <f t="array" aca="1" ref="O4" ca="1">SUM(SUMIFS(Assumptions!BO$3:BO$102,Assumptions!$B$3:$B$102,'Trucks-lcv'!$C4,Assumptions!$G$3:$G$102,{"TRC"}))</f>
        <v>9.4912667624160001</v>
      </c>
      <c r="P4" s="2" cm="1">
        <f t="array" aca="1" ref="P4" ca="1">SUM(SUMIFS(Assumptions!BP$3:BP$102,Assumptions!$B$3:$B$102,'Trucks-lcv'!$C4,Assumptions!$G$3:$G$102,{"TRC"}))</f>
        <v>0.85988799849600006</v>
      </c>
      <c r="Q4" s="2" cm="1">
        <f t="array" aca="1" ref="Q4" ca="1">SUM(SUMIFS(Assumptions!BQ$3:BQ$102,Assumptions!$B$3:$B$102,'Trucks-lcv'!$C4,Assumptions!$G$3:$G$102,{"TRC"}))</f>
        <v>3.1093968558240004</v>
      </c>
      <c r="R4" s="2" cm="1">
        <f t="array" aca="1" ref="R4" ca="1">SUM(SUMIFS(Assumptions!BR$3:BR$102,Assumptions!$B$3:$B$102,'Trucks-lcv'!$C4,Assumptions!$G$3:$G$102,{"TRC"}))</f>
        <v>7.7871967920000007E-2</v>
      </c>
      <c r="S4" s="2" cm="1">
        <f t="array" aca="1" ref="S4" ca="1">SUM(SUMIFS(Assumptions!BS$3:BS$102,Assumptions!$B$3:$B$102,'Trucks-lcv'!$C4,Assumptions!$G$3:$G$102,{"TRC"}))</f>
        <v>0.30692593439999999</v>
      </c>
      <c r="T4" s="2" cm="1">
        <f t="array" aca="1" ref="T4" ca="1">SUM(SUMIFS(Assumptions!BT$3:BT$102,Assumptions!$B$3:$B$102,'Trucks-lcv'!$C4,Assumptions!$G$3:$G$102,{"TRC"}))</f>
        <v>0.81381846095999999</v>
      </c>
      <c r="U4" s="2" cm="1">
        <f t="array" aca="1" ref="U4" ca="1">SUM(SUMIFS(Assumptions!BU$3:BU$102,Assumptions!$B$3:$B$102,'Trucks-lcv'!$C4,Assumptions!$G$3:$G$102,{"TRC"}))</f>
        <v>6.3131137745760002</v>
      </c>
      <c r="V4" s="2" cm="1">
        <f t="array" aca="1" ref="V4" ca="1">SUM(SUMIFS(Assumptions!BV$3:BV$102,Assumptions!$B$3:$B$102,'Trucks-lcv'!$C4,Assumptions!$G$3:$G$102,{"TRC"}))</f>
        <v>7.3992688380000005E-2</v>
      </c>
      <c r="W4" s="2" cm="1">
        <f t="array" aca="1" ref="W4" ca="1">SUM(SUMIFS(Assumptions!BW$3:BW$102,Assumptions!$B$3:$B$102,'Trucks-lcv'!$C4,Assumptions!$G$3:$G$102,{"TRC"}))</f>
        <v>6.9065081305235996</v>
      </c>
      <c r="X4" s="2" cm="1">
        <f t="array" aca="1" ref="X4" ca="1">SUM(SUMIFS(Assumptions!BX$3:BX$102,Assumptions!$B$3:$B$102,'Trucks-lcv'!$C4,Assumptions!$G$3:$G$102,{"TRC"}))</f>
        <v>0</v>
      </c>
      <c r="Y4" s="2" cm="1">
        <f t="array" aca="1" ref="Y4" ca="1">SUM(SUMIFS(Assumptions!BY$3:BY$102,Assumptions!$B$3:$B$102,'Trucks-lcv'!$C4,Assumptions!$G$3:$G$102,{"TRC"}))</f>
        <v>9.9627338598321735</v>
      </c>
      <c r="Z4" s="2" cm="1">
        <f t="array" aca="1" ref="Z4" ca="1">SUM(SUMIFS(Assumptions!BZ$3:BZ$102,Assumptions!$B$3:$B$102,'Trucks-lcv'!$C4,Assumptions!$G$3:$G$102,{"TRC"}))</f>
        <v>2.1051029433600004</v>
      </c>
      <c r="AA4" s="2" cm="1">
        <f t="array" aca="1" ref="AA4" ca="1">SUM(SUMIFS(Assumptions!CA$3:CA$102,Assumptions!$B$3:$B$102,'Trucks-lcv'!$C4,Assumptions!$G$3:$G$102,{"TRC"}))</f>
        <v>4.2091689000960004</v>
      </c>
      <c r="AB4" s="2" cm="1">
        <f t="array" aca="1" ref="AB4" ca="1">SUM(SUMIFS(Assumptions!CB$3:CB$102,Assumptions!$B$3:$B$102,'Trucks-lcv'!$C4,Assumptions!$G$3:$G$102,{"TRC"}))</f>
        <v>26.225942435884804</v>
      </c>
      <c r="AC4" s="2" cm="1">
        <f t="array" aca="1" ref="AC4" ca="1">SUM(SUMIFS(Assumptions!CC$3:CC$102,Assumptions!$B$3:$B$102,'Trucks-lcv'!$C4,Assumptions!$G$3:$G$102,{"TRC"}))</f>
        <v>6.8400379619999998E-3</v>
      </c>
      <c r="AD4" s="2" cm="1">
        <f t="array" aca="1" ref="AD4" ca="1">SUM(SUMIFS(Assumptions!CD$3:CD$102,Assumptions!$B$3:$B$102,'Trucks-lcv'!$C4,Assumptions!$G$3:$G$102,{"TRC"}))</f>
        <v>0</v>
      </c>
      <c r="AE4" s="2" cm="1">
        <f t="array" aca="1" ref="AE4" ca="1">SUM(SUMIFS(Assumptions!CE$3:CE$102,Assumptions!$B$3:$B$102,'Trucks-lcv'!$C4,Assumptions!$G$3:$G$102,{"TRC"}))</f>
        <v>0</v>
      </c>
      <c r="AF4" s="2" cm="1">
        <f t="array" aca="1" ref="AF4" ca="1">SUM(SUMIFS(Assumptions!CF$3:CF$102,Assumptions!$B$3:$B$102,'Trucks-lcv'!$C4,Assumptions!$G$3:$G$102,{"TRC"}))</f>
        <v>8.8301606591520017</v>
      </c>
      <c r="AG4" s="2" cm="1">
        <f t="array" aca="1" ref="AG4" ca="1">SUM(SUMIFS(Assumptions!CG$3:CG$102,Assumptions!$B$3:$B$102,'Trucks-lcv'!$C4,Assumptions!$G$3:$G$102,{"TRC"}))</f>
        <v>8.5998059376480001</v>
      </c>
      <c r="AH4" s="2" cm="1">
        <f t="array" aca="1" ref="AH4" ca="1">SUM(SUMIFS(Assumptions!CH$3:CH$102,Assumptions!$B$3:$B$102,'Trucks-lcv'!$C4,Assumptions!$G$3:$G$102,{"TRC"}))</f>
        <v>0.75278998944000008</v>
      </c>
      <c r="AI4" s="2" cm="1">
        <f t="array" aca="1" ref="AI4" ca="1">SUM(SUMIFS(Assumptions!CI$3:CI$102,Assumptions!$B$3:$B$102,'Trucks-lcv'!$C4,Assumptions!$G$3:$G$102,{"TRC"}))</f>
        <v>0.6452325209519999</v>
      </c>
      <c r="AJ4" s="2" cm="1">
        <f t="array" aca="1" ref="AJ4" ca="1">SUM(SUMIFS(Assumptions!CJ$3:CJ$102,Assumptions!$B$3:$B$102,'Trucks-lcv'!$C4,Assumptions!$G$3:$G$102,{"TRC"}))</f>
        <v>6.3462722257440012</v>
      </c>
      <c r="AK4" s="2" cm="1">
        <f t="array" aca="1" ref="AK4" ca="1">SUM(SUMIFS(Assumptions!CK$3:CK$102,Assumptions!$B$3:$B$102,'Trucks-lcv'!$C4,Assumptions!$G$3:$G$102,{"TRC"}))</f>
        <v>0</v>
      </c>
      <c r="AL4" s="2" cm="1">
        <f t="array" aca="1" ref="AL4" ca="1">SUM(SUMIFS(Assumptions!CL$3:CL$102,Assumptions!$B$3:$B$102,'Trucks-lcv'!$C4,Assumptions!$G$3:$G$102,{"TRC"}))</f>
        <v>0.60423110481599995</v>
      </c>
      <c r="AM4" s="2" cm="1">
        <f t="array" aca="1" ref="AM4" ca="1">SUM(SUMIFS(Assumptions!CM$3:CM$102,Assumptions!$B$3:$B$102,'Trucks-lcv'!$C4,Assumptions!$G$3:$G$102,{"TRC"}))</f>
        <v>0</v>
      </c>
      <c r="AN4" s="2" cm="1">
        <f t="array" aca="1" ref="AN4" ca="1">SUM(SUMIFS(Assumptions!CN$3:CN$102,Assumptions!$B$3:$B$102,'Trucks-lcv'!$C4,Assumptions!$G$3:$G$102,{"TRC"}))</f>
        <v>0</v>
      </c>
      <c r="AO4" s="2" cm="1">
        <f t="array" aca="1" ref="AO4" ca="1">SUM(SUMIFS(Assumptions!CO$3:CO$102,Assumptions!$B$3:$B$102,'Trucks-lcv'!$C4,Assumptions!$G$3:$G$102,{"TRC"}))</f>
        <v>0</v>
      </c>
      <c r="AP4" s="2" cm="1">
        <f t="array" aca="1" ref="AP4" ca="1">SUM(SUMIFS(Assumptions!CP$3:CP$102,Assumptions!$B$3:$B$102,'Trucks-lcv'!$C4,Assumptions!$G$3:$G$102,{"TRC"}))</f>
        <v>0</v>
      </c>
      <c r="AQ4" s="2" cm="1">
        <f t="array" aca="1" ref="AQ4" ca="1">SUM(SUMIFS(Assumptions!CQ$3:CQ$102,Assumptions!$B$3:$B$102,'Trucks-lcv'!$C4,Assumptions!$G$3:$G$102,{"TRC"}))</f>
        <v>0</v>
      </c>
      <c r="AR4" s="2" cm="1">
        <f t="array" aca="1" ref="AR4" ca="1">SUM(SUMIFS(Assumptions!CR$3:CR$102,Assumptions!$B$3:$B$102,'Trucks-lcv'!$C4,Assumptions!$G$3:$G$102,{"TRC"}))</f>
        <v>0</v>
      </c>
      <c r="AS4" s="2" cm="1">
        <f t="array" aca="1" ref="AS4" ca="1">SUM(SUMIFS(Assumptions!CS$3:CS$102,Assumptions!$B$3:$B$102,'Trucks-lcv'!$C4,Assumptions!$G$3:$G$102,{"TRC"}))</f>
        <v>0</v>
      </c>
      <c r="AT4" s="2" cm="1">
        <f t="array" aca="1" ref="AT4" ca="1">SUM(SUMIFS(Assumptions!CT$3:CT$102,Assumptions!$B$3:$B$102,'Trucks-lcv'!$C4,Assumptions!$G$3:$G$102,{"TRC"}))</f>
        <v>0</v>
      </c>
      <c r="AU4" s="2" cm="1">
        <f t="array" aca="1" ref="AU4" ca="1">SUM(SUMIFS(Assumptions!CU$3:CU$102,Assumptions!$B$3:$B$102,'Trucks-lcv'!$C4,Assumptions!$G$3:$G$102,{"TRC"}))</f>
        <v>0</v>
      </c>
      <c r="AV4" s="2" cm="1">
        <f t="array" aca="1" ref="AV4" ca="1">SUM(SUMIFS(Assumptions!CV$3:CV$102,Assumptions!$B$3:$B$102,'Trucks-lcv'!$C4,Assumptions!$G$3:$G$102,{"TRC"}))</f>
        <v>0</v>
      </c>
      <c r="AW4" s="2" cm="1">
        <f t="array" aca="1" ref="AW4" ca="1">SUM(SUMIFS(Assumptions!CW$3:CW$102,Assumptions!$B$3:$B$102,'Trucks-lcv'!$C4,Assumptions!$G$3:$G$102,{"TRC"}))</f>
        <v>0</v>
      </c>
      <c r="AX4" s="53" t="str">
        <f ca="1">IF(SUM(D4:AW4)=0,"zero","")</f>
        <v/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SUM(SUMIFS(Assumptions!BD$3:BD$102,Assumptions!$B$3:$B$102,'Trucks-lcv'!$C5,Assumptions!$G$3:$G$102,{"TRC"}))</f>
        <v>0</v>
      </c>
      <c r="E5" s="2" cm="1">
        <f t="array" aca="1" ref="E5" ca="1">SUM(SUMIFS(Assumptions!BE$3:BE$102,Assumptions!$B$3:$B$102,'Trucks-lcv'!$C5,Assumptions!$G$3:$G$102,{"TRC"}))</f>
        <v>0</v>
      </c>
      <c r="F5" s="2" cm="1">
        <f t="array" aca="1" ref="F5" ca="1">SUM(SUMIFS(Assumptions!BF$3:BF$102,Assumptions!$B$3:$B$102,'Trucks-lcv'!$C5,Assumptions!$G$3:$G$102,{"TRC"}))</f>
        <v>0</v>
      </c>
      <c r="G5" s="2" cm="1">
        <f t="array" aca="1" ref="G5" ca="1">SUM(SUMIFS(Assumptions!BG$3:BG$102,Assumptions!$B$3:$B$102,'Trucks-lcv'!$C5,Assumptions!$G$3:$G$102,{"TRC"}))</f>
        <v>0</v>
      </c>
      <c r="H5" s="2" cm="1">
        <f t="array" aca="1" ref="H5" ca="1">SUM(SUMIFS(Assumptions!BH$3:BH$102,Assumptions!$B$3:$B$102,'Trucks-lcv'!$C5,Assumptions!$G$3:$G$102,{"TRC"}))</f>
        <v>0</v>
      </c>
      <c r="I5" s="2" cm="1">
        <f t="array" aca="1" ref="I5" ca="1">SUM(SUMIFS(Assumptions!BI$3:BI$102,Assumptions!$B$3:$B$102,'Trucks-lcv'!$C5,Assumptions!$G$3:$G$102,{"TRC"}))</f>
        <v>0</v>
      </c>
      <c r="J5" s="2" cm="1">
        <f t="array" aca="1" ref="J5" ca="1">SUM(SUMIFS(Assumptions!BJ$3:BJ$102,Assumptions!$B$3:$B$102,'Trucks-lcv'!$C5,Assumptions!$G$3:$G$102,{"TRC"}))</f>
        <v>0</v>
      </c>
      <c r="K5" s="2" cm="1">
        <f t="array" aca="1" ref="K5" ca="1">SUM(SUMIFS(Assumptions!BK$3:BK$102,Assumptions!$B$3:$B$102,'Trucks-lcv'!$C5,Assumptions!$G$3:$G$102,{"TRC"}))</f>
        <v>0</v>
      </c>
      <c r="L5" s="2" cm="1">
        <f t="array" aca="1" ref="L5" ca="1">SUM(SUMIFS(Assumptions!BL$3:BL$102,Assumptions!$B$3:$B$102,'Trucks-lcv'!$C5,Assumptions!$G$3:$G$102,{"TRC"}))</f>
        <v>0</v>
      </c>
      <c r="M5" s="2" cm="1">
        <f t="array" aca="1" ref="M5" ca="1">SUM(SUMIFS(Assumptions!BM$3:BM$102,Assumptions!$B$3:$B$102,'Trucks-lcv'!$C5,Assumptions!$G$3:$G$102,{"TRC"}))</f>
        <v>0</v>
      </c>
      <c r="N5" s="2" cm="1">
        <f t="array" aca="1" ref="N5" ca="1">SUM(SUMIFS(Assumptions!BN$3:BN$102,Assumptions!$B$3:$B$102,'Trucks-lcv'!$C5,Assumptions!$G$3:$G$102,{"TRC"}))</f>
        <v>0</v>
      </c>
      <c r="O5" s="2" cm="1">
        <f t="array" aca="1" ref="O5" ca="1">SUM(SUMIFS(Assumptions!BO$3:BO$102,Assumptions!$B$3:$B$102,'Trucks-lcv'!$C5,Assumptions!$G$3:$G$102,{"TRC"}))</f>
        <v>0</v>
      </c>
      <c r="P5" s="2" cm="1">
        <f t="array" aca="1" ref="P5" ca="1">SUM(SUMIFS(Assumptions!BP$3:BP$102,Assumptions!$B$3:$B$102,'Trucks-lcv'!$C5,Assumptions!$G$3:$G$102,{"TRC"}))</f>
        <v>0</v>
      </c>
      <c r="Q5" s="2" cm="1">
        <f t="array" aca="1" ref="Q5" ca="1">SUM(SUMIFS(Assumptions!BQ$3:BQ$102,Assumptions!$B$3:$B$102,'Trucks-lcv'!$C5,Assumptions!$G$3:$G$102,{"TRC"}))</f>
        <v>0</v>
      </c>
      <c r="R5" s="2" cm="1">
        <f t="array" aca="1" ref="R5" ca="1">SUM(SUMIFS(Assumptions!BR$3:BR$102,Assumptions!$B$3:$B$102,'Trucks-lcv'!$C5,Assumptions!$G$3:$G$102,{"TRC"}))</f>
        <v>0</v>
      </c>
      <c r="S5" s="2" cm="1">
        <f t="array" aca="1" ref="S5" ca="1">SUM(SUMIFS(Assumptions!BS$3:BS$102,Assumptions!$B$3:$B$102,'Trucks-lcv'!$C5,Assumptions!$G$3:$G$102,{"TRC"}))</f>
        <v>0</v>
      </c>
      <c r="T5" s="2" cm="1">
        <f t="array" aca="1" ref="T5" ca="1">SUM(SUMIFS(Assumptions!BT$3:BT$102,Assumptions!$B$3:$B$102,'Trucks-lcv'!$C5,Assumptions!$G$3:$G$102,{"TRC"}))</f>
        <v>0</v>
      </c>
      <c r="U5" s="2" cm="1">
        <f t="array" aca="1" ref="U5" ca="1">SUM(SUMIFS(Assumptions!BU$3:BU$102,Assumptions!$B$3:$B$102,'Trucks-lcv'!$C5,Assumptions!$G$3:$G$102,{"TRC"}))</f>
        <v>0</v>
      </c>
      <c r="V5" s="2" cm="1">
        <f t="array" aca="1" ref="V5" ca="1">SUM(SUMIFS(Assumptions!BV$3:BV$102,Assumptions!$B$3:$B$102,'Trucks-lcv'!$C5,Assumptions!$G$3:$G$102,{"TRC"}))</f>
        <v>0</v>
      </c>
      <c r="W5" s="2" cm="1">
        <f t="array" aca="1" ref="W5" ca="1">SUM(SUMIFS(Assumptions!BW$3:BW$102,Assumptions!$B$3:$B$102,'Trucks-lcv'!$C5,Assumptions!$G$3:$G$102,{"TRC"}))</f>
        <v>0</v>
      </c>
      <c r="X5" s="2" cm="1">
        <f t="array" aca="1" ref="X5" ca="1">SUM(SUMIFS(Assumptions!BX$3:BX$102,Assumptions!$B$3:$B$102,'Trucks-lcv'!$C5,Assumptions!$G$3:$G$102,{"TRC"}))</f>
        <v>0</v>
      </c>
      <c r="Y5" s="2" cm="1">
        <f t="array" aca="1" ref="Y5" ca="1">SUM(SUMIFS(Assumptions!BY$3:BY$102,Assumptions!$B$3:$B$102,'Trucks-lcv'!$C5,Assumptions!$G$3:$G$102,{"TRC"}))</f>
        <v>0</v>
      </c>
      <c r="Z5" s="2" cm="1">
        <f t="array" aca="1" ref="Z5" ca="1">SUM(SUMIFS(Assumptions!BZ$3:BZ$102,Assumptions!$B$3:$B$102,'Trucks-lcv'!$C5,Assumptions!$G$3:$G$102,{"TRC"}))</f>
        <v>0</v>
      </c>
      <c r="AA5" s="2" cm="1">
        <f t="array" aca="1" ref="AA5" ca="1">SUM(SUMIFS(Assumptions!CA$3:CA$102,Assumptions!$B$3:$B$102,'Trucks-lcv'!$C5,Assumptions!$G$3:$G$102,{"TRC"}))</f>
        <v>0</v>
      </c>
      <c r="AB5" s="2" cm="1">
        <f t="array" aca="1" ref="AB5" ca="1">SUM(SUMIFS(Assumptions!CB$3:CB$102,Assumptions!$B$3:$B$102,'Trucks-lcv'!$C5,Assumptions!$G$3:$G$102,{"TRC"}))</f>
        <v>0</v>
      </c>
      <c r="AC5" s="2" cm="1">
        <f t="array" aca="1" ref="AC5" ca="1">SUM(SUMIFS(Assumptions!CC$3:CC$102,Assumptions!$B$3:$B$102,'Trucks-lcv'!$C5,Assumptions!$G$3:$G$102,{"TRC"}))</f>
        <v>0</v>
      </c>
      <c r="AD5" s="2" cm="1">
        <f t="array" aca="1" ref="AD5" ca="1">SUM(SUMIFS(Assumptions!CD$3:CD$102,Assumptions!$B$3:$B$102,'Trucks-lcv'!$C5,Assumptions!$G$3:$G$102,{"TRC"}))</f>
        <v>0</v>
      </c>
      <c r="AE5" s="2" cm="1">
        <f t="array" aca="1" ref="AE5" ca="1">SUM(SUMIFS(Assumptions!CE$3:CE$102,Assumptions!$B$3:$B$102,'Trucks-lcv'!$C5,Assumptions!$G$3:$G$102,{"TRC"}))</f>
        <v>0</v>
      </c>
      <c r="AF5" s="2" cm="1">
        <f t="array" aca="1" ref="AF5" ca="1">SUM(SUMIFS(Assumptions!CF$3:CF$102,Assumptions!$B$3:$B$102,'Trucks-lcv'!$C5,Assumptions!$G$3:$G$102,{"TRC"}))</f>
        <v>0</v>
      </c>
      <c r="AG5" s="2" cm="1">
        <f t="array" aca="1" ref="AG5" ca="1">SUM(SUMIFS(Assumptions!CG$3:CG$102,Assumptions!$B$3:$B$102,'Trucks-lcv'!$C5,Assumptions!$G$3:$G$102,{"TRC"}))</f>
        <v>0</v>
      </c>
      <c r="AH5" s="2" cm="1">
        <f t="array" aca="1" ref="AH5" ca="1">SUM(SUMIFS(Assumptions!CH$3:CH$102,Assumptions!$B$3:$B$102,'Trucks-lcv'!$C5,Assumptions!$G$3:$G$102,{"TRC"}))</f>
        <v>0</v>
      </c>
      <c r="AI5" s="2" cm="1">
        <f t="array" aca="1" ref="AI5" ca="1">SUM(SUMIFS(Assumptions!CI$3:CI$102,Assumptions!$B$3:$B$102,'Trucks-lcv'!$C5,Assumptions!$G$3:$G$102,{"TRC"}))</f>
        <v>0</v>
      </c>
      <c r="AJ5" s="2" cm="1">
        <f t="array" aca="1" ref="AJ5" ca="1">SUM(SUMIFS(Assumptions!CJ$3:CJ$102,Assumptions!$B$3:$B$102,'Trucks-lcv'!$C5,Assumptions!$G$3:$G$102,{"TRC"}))</f>
        <v>0</v>
      </c>
      <c r="AK5" s="2" cm="1">
        <f t="array" aca="1" ref="AK5" ca="1">SUM(SUMIFS(Assumptions!CK$3:CK$102,Assumptions!$B$3:$B$102,'Trucks-lcv'!$C5,Assumptions!$G$3:$G$102,{"TRC"}))</f>
        <v>0</v>
      </c>
      <c r="AL5" s="2" cm="1">
        <f t="array" aca="1" ref="AL5" ca="1">SUM(SUMIFS(Assumptions!CL$3:CL$102,Assumptions!$B$3:$B$102,'Trucks-lcv'!$C5,Assumptions!$G$3:$G$102,{"TRC"}))</f>
        <v>0</v>
      </c>
      <c r="AM5" s="2" cm="1">
        <f t="array" aca="1" ref="AM5" ca="1">SUM(SUMIFS(Assumptions!CM$3:CM$102,Assumptions!$B$3:$B$102,'Trucks-lcv'!$C5,Assumptions!$G$3:$G$102,{"TRC"}))</f>
        <v>0</v>
      </c>
      <c r="AN5" s="2" cm="1">
        <f t="array" aca="1" ref="AN5" ca="1">SUM(SUMIFS(Assumptions!CN$3:CN$102,Assumptions!$B$3:$B$102,'Trucks-lcv'!$C5,Assumptions!$G$3:$G$102,{"TRC"}))</f>
        <v>0</v>
      </c>
      <c r="AO5" s="2" cm="1">
        <f t="array" aca="1" ref="AO5" ca="1">SUM(SUMIFS(Assumptions!CO$3:CO$102,Assumptions!$B$3:$B$102,'Trucks-lcv'!$C5,Assumptions!$G$3:$G$102,{"TRC"}))</f>
        <v>0</v>
      </c>
      <c r="AP5" s="2" cm="1">
        <f t="array" aca="1" ref="AP5" ca="1">SUM(SUMIFS(Assumptions!CP$3:CP$102,Assumptions!$B$3:$B$102,'Trucks-lcv'!$C5,Assumptions!$G$3:$G$102,{"TRC"}))</f>
        <v>0</v>
      </c>
      <c r="AQ5" s="2" cm="1">
        <f t="array" aca="1" ref="AQ5" ca="1">SUM(SUMIFS(Assumptions!CQ$3:CQ$102,Assumptions!$B$3:$B$102,'Trucks-lcv'!$C5,Assumptions!$G$3:$G$102,{"TRC"}))</f>
        <v>0</v>
      </c>
      <c r="AR5" s="2" cm="1">
        <f t="array" aca="1" ref="AR5" ca="1">SUM(SUMIFS(Assumptions!CR$3:CR$102,Assumptions!$B$3:$B$102,'Trucks-lcv'!$C5,Assumptions!$G$3:$G$102,{"TRC"}))</f>
        <v>0</v>
      </c>
      <c r="AS5" s="2" cm="1">
        <f t="array" aca="1" ref="AS5" ca="1">SUM(SUMIFS(Assumptions!CS$3:CS$102,Assumptions!$B$3:$B$102,'Trucks-lcv'!$C5,Assumptions!$G$3:$G$102,{"TRC"}))</f>
        <v>0</v>
      </c>
      <c r="AT5" s="2" cm="1">
        <f t="array" aca="1" ref="AT5" ca="1">SUM(SUMIFS(Assumptions!CT$3:CT$102,Assumptions!$B$3:$B$102,'Trucks-lcv'!$C5,Assumptions!$G$3:$G$102,{"TRC"}))</f>
        <v>0</v>
      </c>
      <c r="AU5" s="2" cm="1">
        <f t="array" aca="1" ref="AU5" ca="1">SUM(SUMIFS(Assumptions!CU$3:CU$102,Assumptions!$B$3:$B$102,'Trucks-lcv'!$C5,Assumptions!$G$3:$G$102,{"TRC"}))</f>
        <v>0</v>
      </c>
      <c r="AV5" s="2" cm="1">
        <f t="array" aca="1" ref="AV5" ca="1">SUM(SUMIFS(Assumptions!CV$3:CV$102,Assumptions!$B$3:$B$102,'Trucks-lcv'!$C5,Assumptions!$G$3:$G$102,{"TRC"}))</f>
        <v>0</v>
      </c>
      <c r="AW5" s="2" cm="1">
        <f t="array" aca="1" ref="AW5" ca="1">SUM(SUMIFS(Assumptions!CW$3:CW$102,Assumptions!$B$3:$B$102,'Trucks-lcv'!$C5,Assumptions!$G$3:$G$102,{"TRC"}))</f>
        <v>0</v>
      </c>
      <c r="AX5" s="53" t="str">
        <f t="shared" ref="AX5:AX11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SUM(SUMIFS(Assumptions!BD$3:BD$102,Assumptions!$B$3:$B$102,'Trucks-lcv'!$C6,Assumptions!$G$3:$G$102,{"TRC"}))</f>
        <v>200.16369874908</v>
      </c>
      <c r="E6" s="2" cm="1">
        <f t="array" aca="1" ref="E6" ca="1">SUM(SUMIFS(Assumptions!BE$3:BE$102,Assumptions!$B$3:$B$102,'Trucks-lcv'!$C6,Assumptions!$G$3:$G$102,{"TRC"}))</f>
        <v>177.88097162188802</v>
      </c>
      <c r="F6" s="2" cm="1">
        <f t="array" aca="1" ref="F6" ca="1">SUM(SUMIFS(Assumptions!BF$3:BF$102,Assumptions!$B$3:$B$102,'Trucks-lcv'!$C6,Assumptions!$G$3:$G$102,{"TRC"}))</f>
        <v>112.8250305678384</v>
      </c>
      <c r="G6" s="2" cm="1">
        <f t="array" aca="1" ref="G6" ca="1">SUM(SUMIFS(Assumptions!BG$3:BG$102,Assumptions!$B$3:$B$102,'Trucks-lcv'!$C6,Assumptions!$G$3:$G$102,{"TRC"}))</f>
        <v>31.038065232335995</v>
      </c>
      <c r="H6" s="2" cm="1">
        <f t="array" aca="1" ref="H6" ca="1">SUM(SUMIFS(Assumptions!BH$3:BH$102,Assumptions!$B$3:$B$102,'Trucks-lcv'!$C6,Assumptions!$G$3:$G$102,{"TRC"}))</f>
        <v>11.520655216830001</v>
      </c>
      <c r="I6" s="2" cm="1">
        <f t="array" aca="1" ref="I6" ca="1">SUM(SUMIFS(Assumptions!BI$3:BI$102,Assumptions!$B$3:$B$102,'Trucks-lcv'!$C6,Assumptions!$G$3:$G$102,{"TRC"}))</f>
        <v>65.787861804912012</v>
      </c>
      <c r="J6" s="2" cm="1">
        <f t="array" aca="1" ref="J6" ca="1">SUM(SUMIFS(Assumptions!BJ$3:BJ$102,Assumptions!$B$3:$B$102,'Trucks-lcv'!$C6,Assumptions!$G$3:$G$102,{"TRC"}))</f>
        <v>133.5472214276592</v>
      </c>
      <c r="K6" s="2" cm="1">
        <f t="array" aca="1" ref="K6" ca="1">SUM(SUMIFS(Assumptions!BK$3:BK$102,Assumptions!$B$3:$B$102,'Trucks-lcv'!$C6,Assumptions!$G$3:$G$102,{"TRC"}))</f>
        <v>349.323445150596</v>
      </c>
      <c r="L6" s="2" cm="1">
        <f t="array" aca="1" ref="L6" ca="1">SUM(SUMIFS(Assumptions!BL$3:BL$102,Assumptions!$B$3:$B$102,'Trucks-lcv'!$C6,Assumptions!$G$3:$G$102,{"TRC"}))</f>
        <v>14.45928378408</v>
      </c>
      <c r="M6" s="2" cm="1">
        <f t="array" aca="1" ref="M6" ca="1">SUM(SUMIFS(Assumptions!BM$3:BM$102,Assumptions!$B$3:$B$102,'Trucks-lcv'!$C6,Assumptions!$G$3:$G$102,{"TRC"}))</f>
        <v>30.983831937215999</v>
      </c>
      <c r="N6" s="2" cm="1">
        <f t="array" aca="1" ref="N6" ca="1">SUM(SUMIFS(Assumptions!BN$3:BN$102,Assumptions!$B$3:$B$102,'Trucks-lcv'!$C6,Assumptions!$G$3:$G$102,{"TRC"}))</f>
        <v>154.36801486065602</v>
      </c>
      <c r="O6" s="2" cm="1">
        <f t="array" aca="1" ref="O6" ca="1">SUM(SUMIFS(Assumptions!BO$3:BO$102,Assumptions!$B$3:$B$102,'Trucks-lcv'!$C6,Assumptions!$G$3:$G$102,{"TRC"}))</f>
        <v>166.7125437876</v>
      </c>
      <c r="P6" s="2" cm="1">
        <f t="array" aca="1" ref="P6" ca="1">SUM(SUMIFS(Assumptions!BP$3:BP$102,Assumptions!$B$3:$B$102,'Trucks-lcv'!$C6,Assumptions!$G$3:$G$102,{"TRC"}))</f>
        <v>13.481730963216</v>
      </c>
      <c r="Q6" s="2" cm="1">
        <f t="array" aca="1" ref="Q6" ca="1">SUM(SUMIFS(Assumptions!BQ$3:BQ$102,Assumptions!$B$3:$B$102,'Trucks-lcv'!$C6,Assumptions!$G$3:$G$102,{"TRC"}))</f>
        <v>48.341217006576009</v>
      </c>
      <c r="R6" s="2" cm="1">
        <f t="array" aca="1" ref="R6" ca="1">SUM(SUMIFS(Assumptions!BR$3:BR$102,Assumptions!$B$3:$B$102,'Trucks-lcv'!$C6,Assumptions!$G$3:$G$102,{"TRC"}))</f>
        <v>0.92455144977600001</v>
      </c>
      <c r="S6" s="2" cm="1">
        <f t="array" aca="1" ref="S6" ca="1">SUM(SUMIFS(Assumptions!BS$3:BS$102,Assumptions!$B$3:$B$102,'Trucks-lcv'!$C6,Assumptions!$G$3:$G$102,{"TRC"}))</f>
        <v>456.31104763117503</v>
      </c>
      <c r="T6" s="2" cm="1">
        <f t="array" aca="1" ref="T6" ca="1">SUM(SUMIFS(Assumptions!BT$3:BT$102,Assumptions!$B$3:$B$102,'Trucks-lcv'!$C6,Assumptions!$G$3:$G$102,{"TRC"}))</f>
        <v>14.80135622976</v>
      </c>
      <c r="U6" s="2" cm="1">
        <f t="array" aca="1" ref="U6" ca="1">SUM(SUMIFS(Assumptions!BU$3:BU$102,Assumptions!$B$3:$B$102,'Trucks-lcv'!$C6,Assumptions!$G$3:$G$102,{"TRC"}))</f>
        <v>108.00539797521601</v>
      </c>
      <c r="V6" s="2" cm="1">
        <f t="array" aca="1" ref="V6" ca="1">SUM(SUMIFS(Assumptions!BV$3:BV$102,Assumptions!$B$3:$B$102,'Trucks-lcv'!$C6,Assumptions!$G$3:$G$102,{"TRC"}))</f>
        <v>130.14111519771299</v>
      </c>
      <c r="W6" s="2" cm="1">
        <f t="array" aca="1" ref="W6" ca="1">SUM(SUMIFS(Assumptions!BW$3:BW$102,Assumptions!$B$3:$B$102,'Trucks-lcv'!$C6,Assumptions!$G$3:$G$102,{"TRC"}))</f>
        <v>137.11621819099682</v>
      </c>
      <c r="X6" s="2" cm="1">
        <f t="array" aca="1" ref="X6" ca="1">SUM(SUMIFS(Assumptions!BX$3:BX$102,Assumptions!$B$3:$B$102,'Trucks-lcv'!$C6,Assumptions!$G$3:$G$102,{"TRC"}))</f>
        <v>202.19840027362798</v>
      </c>
      <c r="Y6" s="2" cm="1">
        <f t="array" aca="1" ref="Y6" ca="1">SUM(SUMIFS(Assumptions!BY$3:BY$102,Assumptions!$B$3:$B$102,'Trucks-lcv'!$C6,Assumptions!$G$3:$G$102,{"TRC"}))</f>
        <v>307.31910482978697</v>
      </c>
      <c r="Z6" s="2" cm="1">
        <f t="array" aca="1" ref="Z6" ca="1">SUM(SUMIFS(Assumptions!BZ$3:BZ$102,Assumptions!$B$3:$B$102,'Trucks-lcv'!$C6,Assumptions!$G$3:$G$102,{"TRC"}))</f>
        <v>10.63201937256</v>
      </c>
      <c r="AA6" s="2" cm="1">
        <f t="array" aca="1" ref="AA6" ca="1">SUM(SUMIFS(Assumptions!CA$3:CA$102,Assumptions!$B$3:$B$102,'Trucks-lcv'!$C6,Assumptions!$G$3:$G$102,{"TRC"}))</f>
        <v>71.135785709136002</v>
      </c>
      <c r="AB6" s="2" cm="1">
        <f t="array" aca="1" ref="AB6" ca="1">SUM(SUMIFS(Assumptions!CB$3:CB$102,Assumptions!$B$3:$B$102,'Trucks-lcv'!$C6,Assumptions!$G$3:$G$102,{"TRC"}))</f>
        <v>369.41416674873125</v>
      </c>
      <c r="AC6" s="2" cm="1">
        <f t="array" aca="1" ref="AC6" ca="1">SUM(SUMIFS(Assumptions!CC$3:CC$102,Assumptions!$B$3:$B$102,'Trucks-lcv'!$C6,Assumptions!$G$3:$G$102,{"TRC"}))</f>
        <v>66.626305181280003</v>
      </c>
      <c r="AD6" s="2" cm="1">
        <f t="array" aca="1" ref="AD6" ca="1">SUM(SUMIFS(Assumptions!CD$3:CD$102,Assumptions!$B$3:$B$102,'Trucks-lcv'!$C6,Assumptions!$G$3:$G$102,{"TRC"}))</f>
        <v>114.99282775134</v>
      </c>
      <c r="AE6" s="2" cm="1">
        <f t="array" aca="1" ref="AE6" ca="1">SUM(SUMIFS(Assumptions!CE$3:CE$102,Assumptions!$B$3:$B$102,'Trucks-lcv'!$C6,Assumptions!$G$3:$G$102,{"TRC"}))</f>
        <v>62.483074361855998</v>
      </c>
      <c r="AF6" s="2" cm="1">
        <f t="array" aca="1" ref="AF6" ca="1">SUM(SUMIFS(Assumptions!CF$3:CF$102,Assumptions!$B$3:$B$102,'Trucks-lcv'!$C6,Assumptions!$G$3:$G$102,{"TRC"}))</f>
        <v>128.90187620856</v>
      </c>
      <c r="AG6" s="2" cm="1">
        <f t="array" aca="1" ref="AG6" ca="1">SUM(SUMIFS(Assumptions!CG$3:CG$102,Assumptions!$B$3:$B$102,'Trucks-lcv'!$C6,Assumptions!$G$3:$G$102,{"TRC"}))</f>
        <v>38.695549768704005</v>
      </c>
      <c r="AH6" s="2" cm="1">
        <f t="array" aca="1" ref="AH6" ca="1">SUM(SUMIFS(Assumptions!CH$3:CH$102,Assumptions!$B$3:$B$102,'Trucks-lcv'!$C6,Assumptions!$G$3:$G$102,{"TRC"}))</f>
        <v>13.657822244640002</v>
      </c>
      <c r="AI6" s="2" cm="1">
        <f t="array" aca="1" ref="AI6" ca="1">SUM(SUMIFS(Assumptions!CI$3:CI$102,Assumptions!$B$3:$B$102,'Trucks-lcv'!$C6,Assumptions!$G$3:$G$102,{"TRC"}))</f>
        <v>111.01730420914201</v>
      </c>
      <c r="AJ6" s="2" cm="1">
        <f t="array" aca="1" ref="AJ6" ca="1">SUM(SUMIFS(Assumptions!CJ$3:CJ$102,Assumptions!$B$3:$B$102,'Trucks-lcv'!$C6,Assumptions!$G$3:$G$102,{"TRC"}))</f>
        <v>121.69673186947199</v>
      </c>
      <c r="AK6" s="2" cm="1">
        <f t="array" aca="1" ref="AK6" ca="1">SUM(SUMIFS(Assumptions!CK$3:CK$102,Assumptions!$B$3:$B$102,'Trucks-lcv'!$C6,Assumptions!$G$3:$G$102,{"TRC"}))</f>
        <v>17.270468210861999</v>
      </c>
      <c r="AL6" s="2" cm="1">
        <f t="array" aca="1" ref="AL6" ca="1">SUM(SUMIFS(Assumptions!CL$3:CL$102,Assumptions!$B$3:$B$102,'Trucks-lcv'!$C6,Assumptions!$G$3:$G$102,{"TRC"}))</f>
        <v>22.526471988719997</v>
      </c>
      <c r="AM6" s="2" cm="1">
        <f t="array" aca="1" ref="AM6" ca="1">SUM(SUMIFS(Assumptions!CM$3:CM$102,Assumptions!$B$3:$B$102,'Trucks-lcv'!$C6,Assumptions!$G$3:$G$102,{"TRC"}))</f>
        <v>0</v>
      </c>
      <c r="AN6" s="2" cm="1">
        <f t="array" aca="1" ref="AN6" ca="1">SUM(SUMIFS(Assumptions!CN$3:CN$102,Assumptions!$B$3:$B$102,'Trucks-lcv'!$C6,Assumptions!$G$3:$G$102,{"TRC"}))</f>
        <v>0</v>
      </c>
      <c r="AO6" s="2" cm="1">
        <f t="array" aca="1" ref="AO6" ca="1">SUM(SUMIFS(Assumptions!CO$3:CO$102,Assumptions!$B$3:$B$102,'Trucks-lcv'!$C6,Assumptions!$G$3:$G$102,{"TRC"}))</f>
        <v>0</v>
      </c>
      <c r="AP6" s="2" cm="1">
        <f t="array" aca="1" ref="AP6" ca="1">SUM(SUMIFS(Assumptions!CP$3:CP$102,Assumptions!$B$3:$B$102,'Trucks-lcv'!$C6,Assumptions!$G$3:$G$102,{"TRC"}))</f>
        <v>0</v>
      </c>
      <c r="AQ6" s="2" cm="1">
        <f t="array" aca="1" ref="AQ6" ca="1">SUM(SUMIFS(Assumptions!CQ$3:CQ$102,Assumptions!$B$3:$B$102,'Trucks-lcv'!$C6,Assumptions!$G$3:$G$102,{"TRC"}))</f>
        <v>0</v>
      </c>
      <c r="AR6" s="2" cm="1">
        <f t="array" aca="1" ref="AR6" ca="1">SUM(SUMIFS(Assumptions!CR$3:CR$102,Assumptions!$B$3:$B$102,'Trucks-lcv'!$C6,Assumptions!$G$3:$G$102,{"TRC"}))</f>
        <v>0</v>
      </c>
      <c r="AS6" s="2" cm="1">
        <f t="array" aca="1" ref="AS6" ca="1">SUM(SUMIFS(Assumptions!CS$3:CS$102,Assumptions!$B$3:$B$102,'Trucks-lcv'!$C6,Assumptions!$G$3:$G$102,{"TRC"}))</f>
        <v>0</v>
      </c>
      <c r="AT6" s="2" cm="1">
        <f t="array" aca="1" ref="AT6" ca="1">SUM(SUMIFS(Assumptions!CT$3:CT$102,Assumptions!$B$3:$B$102,'Trucks-lcv'!$C6,Assumptions!$G$3:$G$102,{"TRC"}))</f>
        <v>0</v>
      </c>
      <c r="AU6" s="2" cm="1">
        <f t="array" aca="1" ref="AU6" ca="1">SUM(SUMIFS(Assumptions!CU$3:CU$102,Assumptions!$B$3:$B$102,'Trucks-lcv'!$C6,Assumptions!$G$3:$G$102,{"TRC"}))</f>
        <v>0</v>
      </c>
      <c r="AV6" s="2" cm="1">
        <f t="array" aca="1" ref="AV6" ca="1">SUM(SUMIFS(Assumptions!CV$3:CV$102,Assumptions!$B$3:$B$102,'Trucks-lcv'!$C6,Assumptions!$G$3:$G$102,{"TRC"}))</f>
        <v>0</v>
      </c>
      <c r="AW6" s="2" cm="1">
        <f t="array" aca="1" ref="AW6" ca="1">SUM(SUMIFS(Assumptions!CW$3:CW$102,Assumptions!$B$3:$B$102,'Trucks-lcv'!$C6,Assumptions!$G$3:$G$102,{"TRC"}))</f>
        <v>0</v>
      </c>
      <c r="AX6" s="53" t="str">
        <f t="shared" ca="1" si="2"/>
        <v/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SUM(SUMIFS(Assumptions!BD$3:BD$102,Assumptions!$B$3:$B$102,'Trucks-lcv'!$C7,Assumptions!$G$3:$G$102,{"TRC"}))</f>
        <v>0</v>
      </c>
      <c r="E7" s="2" cm="1">
        <f t="array" aca="1" ref="E7" ca="1">SUM(SUMIFS(Assumptions!BE$3:BE$102,Assumptions!$B$3:$B$102,'Trucks-lcv'!$C7,Assumptions!$G$3:$G$102,{"TRC"}))</f>
        <v>0</v>
      </c>
      <c r="F7" s="2" cm="1">
        <f t="array" aca="1" ref="F7" ca="1">SUM(SUMIFS(Assumptions!BF$3:BF$102,Assumptions!$B$3:$B$102,'Trucks-lcv'!$C7,Assumptions!$G$3:$G$102,{"TRC"}))</f>
        <v>0</v>
      </c>
      <c r="G7" s="2" cm="1">
        <f t="array" aca="1" ref="G7" ca="1">SUM(SUMIFS(Assumptions!BG$3:BG$102,Assumptions!$B$3:$B$102,'Trucks-lcv'!$C7,Assumptions!$G$3:$G$102,{"TRC"}))</f>
        <v>0</v>
      </c>
      <c r="H7" s="2" cm="1">
        <f t="array" aca="1" ref="H7" ca="1">SUM(SUMIFS(Assumptions!BH$3:BH$102,Assumptions!$B$3:$B$102,'Trucks-lcv'!$C7,Assumptions!$G$3:$G$102,{"TRC"}))</f>
        <v>0</v>
      </c>
      <c r="I7" s="2" cm="1">
        <f t="array" aca="1" ref="I7" ca="1">SUM(SUMIFS(Assumptions!BI$3:BI$102,Assumptions!$B$3:$B$102,'Trucks-lcv'!$C7,Assumptions!$G$3:$G$102,{"TRC"}))</f>
        <v>0</v>
      </c>
      <c r="J7" s="2" cm="1">
        <f t="array" aca="1" ref="J7" ca="1">SUM(SUMIFS(Assumptions!BJ$3:BJ$102,Assumptions!$B$3:$B$102,'Trucks-lcv'!$C7,Assumptions!$G$3:$G$102,{"TRC"}))</f>
        <v>0</v>
      </c>
      <c r="K7" s="2" cm="1">
        <f t="array" aca="1" ref="K7" ca="1">SUM(SUMIFS(Assumptions!BK$3:BK$102,Assumptions!$B$3:$B$102,'Trucks-lcv'!$C7,Assumptions!$G$3:$G$102,{"TRC"}))</f>
        <v>24.536301367319993</v>
      </c>
      <c r="L7" s="2" cm="1">
        <f t="array" aca="1" ref="L7" ca="1">SUM(SUMIFS(Assumptions!BL$3:BL$102,Assumptions!$B$3:$B$102,'Trucks-lcv'!$C7,Assumptions!$G$3:$G$102,{"TRC"}))</f>
        <v>0</v>
      </c>
      <c r="M7" s="2" cm="1">
        <f t="array" aca="1" ref="M7" ca="1">SUM(SUMIFS(Assumptions!BM$3:BM$102,Assumptions!$B$3:$B$102,'Trucks-lcv'!$C7,Assumptions!$G$3:$G$102,{"TRC"}))</f>
        <v>0</v>
      </c>
      <c r="N7" s="2" cm="1">
        <f t="array" aca="1" ref="N7" ca="1">SUM(SUMIFS(Assumptions!BN$3:BN$102,Assumptions!$B$3:$B$102,'Trucks-lcv'!$C7,Assumptions!$G$3:$G$102,{"TRC"}))</f>
        <v>0</v>
      </c>
      <c r="O7" s="2" cm="1">
        <f t="array" aca="1" ref="O7" ca="1">SUM(SUMIFS(Assumptions!BO$3:BO$102,Assumptions!$B$3:$B$102,'Trucks-lcv'!$C7,Assumptions!$G$3:$G$102,{"TRC"}))</f>
        <v>0</v>
      </c>
      <c r="P7" s="2" cm="1">
        <f t="array" aca="1" ref="P7" ca="1">SUM(SUMIFS(Assumptions!BP$3:BP$102,Assumptions!$B$3:$B$102,'Trucks-lcv'!$C7,Assumptions!$G$3:$G$102,{"TRC"}))</f>
        <v>0</v>
      </c>
      <c r="Q7" s="2" cm="1">
        <f t="array" aca="1" ref="Q7" ca="1">SUM(SUMIFS(Assumptions!BQ$3:BQ$102,Assumptions!$B$3:$B$102,'Trucks-lcv'!$C7,Assumptions!$G$3:$G$102,{"TRC"}))</f>
        <v>0</v>
      </c>
      <c r="R7" s="2" cm="1">
        <f t="array" aca="1" ref="R7" ca="1">SUM(SUMIFS(Assumptions!BR$3:BR$102,Assumptions!$B$3:$B$102,'Trucks-lcv'!$C7,Assumptions!$G$3:$G$102,{"TRC"}))</f>
        <v>0</v>
      </c>
      <c r="S7" s="2" cm="1">
        <f t="array" aca="1" ref="S7" ca="1">SUM(SUMIFS(Assumptions!BS$3:BS$102,Assumptions!$B$3:$B$102,'Trucks-lcv'!$C7,Assumptions!$G$3:$G$102,{"TRC"}))</f>
        <v>0</v>
      </c>
      <c r="T7" s="2" cm="1">
        <f t="array" aca="1" ref="T7" ca="1">SUM(SUMIFS(Assumptions!BT$3:BT$102,Assumptions!$B$3:$B$102,'Trucks-lcv'!$C7,Assumptions!$G$3:$G$102,{"TRC"}))</f>
        <v>0</v>
      </c>
      <c r="U7" s="2" cm="1">
        <f t="array" aca="1" ref="U7" ca="1">SUM(SUMIFS(Assumptions!BU$3:BU$102,Assumptions!$B$3:$B$102,'Trucks-lcv'!$C7,Assumptions!$G$3:$G$102,{"TRC"}))</f>
        <v>0</v>
      </c>
      <c r="V7" s="2" cm="1">
        <f t="array" aca="1" ref="V7" ca="1">SUM(SUMIFS(Assumptions!BV$3:BV$102,Assumptions!$B$3:$B$102,'Trucks-lcv'!$C7,Assumptions!$G$3:$G$102,{"TRC"}))</f>
        <v>0</v>
      </c>
      <c r="W7" s="2" cm="1">
        <f t="array" aca="1" ref="W7" ca="1">SUM(SUMIFS(Assumptions!BW$3:BW$102,Assumptions!$B$3:$B$102,'Trucks-lcv'!$C7,Assumptions!$G$3:$G$102,{"TRC"}))</f>
        <v>0</v>
      </c>
      <c r="X7" s="2" cm="1">
        <f t="array" aca="1" ref="X7" ca="1">SUM(SUMIFS(Assumptions!BX$3:BX$102,Assumptions!$B$3:$B$102,'Trucks-lcv'!$C7,Assumptions!$G$3:$G$102,{"TRC"}))</f>
        <v>0</v>
      </c>
      <c r="Y7" s="2" cm="1">
        <f t="array" aca="1" ref="Y7" ca="1">SUM(SUMIFS(Assumptions!BY$3:BY$102,Assumptions!$B$3:$B$102,'Trucks-lcv'!$C7,Assumptions!$G$3:$G$102,{"TRC"}))</f>
        <v>0</v>
      </c>
      <c r="Z7" s="2" cm="1">
        <f t="array" aca="1" ref="Z7" ca="1">SUM(SUMIFS(Assumptions!BZ$3:BZ$102,Assumptions!$B$3:$B$102,'Trucks-lcv'!$C7,Assumptions!$G$3:$G$102,{"TRC"}))</f>
        <v>0</v>
      </c>
      <c r="AA7" s="2" cm="1">
        <f t="array" aca="1" ref="AA7" ca="1">SUM(SUMIFS(Assumptions!CA$3:CA$102,Assumptions!$B$3:$B$102,'Trucks-lcv'!$C7,Assumptions!$G$3:$G$102,{"TRC"}))</f>
        <v>0</v>
      </c>
      <c r="AB7" s="2" cm="1">
        <f t="array" aca="1" ref="AB7" ca="1">SUM(SUMIFS(Assumptions!CB$3:CB$102,Assumptions!$B$3:$B$102,'Trucks-lcv'!$C7,Assumptions!$G$3:$G$102,{"TRC"}))</f>
        <v>0</v>
      </c>
      <c r="AC7" s="2" cm="1">
        <f t="array" aca="1" ref="AC7" ca="1">SUM(SUMIFS(Assumptions!CC$3:CC$102,Assumptions!$B$3:$B$102,'Trucks-lcv'!$C7,Assumptions!$G$3:$G$102,{"TRC"}))</f>
        <v>0</v>
      </c>
      <c r="AD7" s="2" cm="1">
        <f t="array" aca="1" ref="AD7" ca="1">SUM(SUMIFS(Assumptions!CD$3:CD$102,Assumptions!$B$3:$B$102,'Trucks-lcv'!$C7,Assumptions!$G$3:$G$102,{"TRC"}))</f>
        <v>0</v>
      </c>
      <c r="AE7" s="2" cm="1">
        <f t="array" aca="1" ref="AE7" ca="1">SUM(SUMIFS(Assumptions!CE$3:CE$102,Assumptions!$B$3:$B$102,'Trucks-lcv'!$C7,Assumptions!$G$3:$G$102,{"TRC"}))</f>
        <v>0</v>
      </c>
      <c r="AF7" s="2" cm="1">
        <f t="array" aca="1" ref="AF7" ca="1">SUM(SUMIFS(Assumptions!CF$3:CF$102,Assumptions!$B$3:$B$102,'Trucks-lcv'!$C7,Assumptions!$G$3:$G$102,{"TRC"}))</f>
        <v>0</v>
      </c>
      <c r="AG7" s="2" cm="1">
        <f t="array" aca="1" ref="AG7" ca="1">SUM(SUMIFS(Assumptions!CG$3:CG$102,Assumptions!$B$3:$B$102,'Trucks-lcv'!$C7,Assumptions!$G$3:$G$102,{"TRC"}))</f>
        <v>0</v>
      </c>
      <c r="AH7" s="2" cm="1">
        <f t="array" aca="1" ref="AH7" ca="1">SUM(SUMIFS(Assumptions!CH$3:CH$102,Assumptions!$B$3:$B$102,'Trucks-lcv'!$C7,Assumptions!$G$3:$G$102,{"TRC"}))</f>
        <v>0</v>
      </c>
      <c r="AI7" s="2" cm="1">
        <f t="array" aca="1" ref="AI7" ca="1">SUM(SUMIFS(Assumptions!CI$3:CI$102,Assumptions!$B$3:$B$102,'Trucks-lcv'!$C7,Assumptions!$G$3:$G$102,{"TRC"}))</f>
        <v>0</v>
      </c>
      <c r="AJ7" s="2" cm="1">
        <f t="array" aca="1" ref="AJ7" ca="1">SUM(SUMIFS(Assumptions!CJ$3:CJ$102,Assumptions!$B$3:$B$102,'Trucks-lcv'!$C7,Assumptions!$G$3:$G$102,{"TRC"}))</f>
        <v>0</v>
      </c>
      <c r="AK7" s="2" cm="1">
        <f t="array" aca="1" ref="AK7" ca="1">SUM(SUMIFS(Assumptions!CK$3:CK$102,Assumptions!$B$3:$B$102,'Trucks-lcv'!$C7,Assumptions!$G$3:$G$102,{"TRC"}))</f>
        <v>0</v>
      </c>
      <c r="AL7" s="2" cm="1">
        <f t="array" aca="1" ref="AL7" ca="1">SUM(SUMIFS(Assumptions!CL$3:CL$102,Assumptions!$B$3:$B$102,'Trucks-lcv'!$C7,Assumptions!$G$3:$G$102,{"TRC"}))</f>
        <v>0</v>
      </c>
      <c r="AM7" s="2" cm="1">
        <f t="array" aca="1" ref="AM7" ca="1">SUM(SUMIFS(Assumptions!CM$3:CM$102,Assumptions!$B$3:$B$102,'Trucks-lcv'!$C7,Assumptions!$G$3:$G$102,{"TRC"}))</f>
        <v>0</v>
      </c>
      <c r="AN7" s="2" cm="1">
        <f t="array" aca="1" ref="AN7" ca="1">SUM(SUMIFS(Assumptions!CN$3:CN$102,Assumptions!$B$3:$B$102,'Trucks-lcv'!$C7,Assumptions!$G$3:$G$102,{"TRC"}))</f>
        <v>0</v>
      </c>
      <c r="AO7" s="2" cm="1">
        <f t="array" aca="1" ref="AO7" ca="1">SUM(SUMIFS(Assumptions!CO$3:CO$102,Assumptions!$B$3:$B$102,'Trucks-lcv'!$C7,Assumptions!$G$3:$G$102,{"TRC"}))</f>
        <v>0</v>
      </c>
      <c r="AP7" s="2" cm="1">
        <f t="array" aca="1" ref="AP7" ca="1">SUM(SUMIFS(Assumptions!CP$3:CP$102,Assumptions!$B$3:$B$102,'Trucks-lcv'!$C7,Assumptions!$G$3:$G$102,{"TRC"}))</f>
        <v>0</v>
      </c>
      <c r="AQ7" s="2" cm="1">
        <f t="array" aca="1" ref="AQ7" ca="1">SUM(SUMIFS(Assumptions!CQ$3:CQ$102,Assumptions!$B$3:$B$102,'Trucks-lcv'!$C7,Assumptions!$G$3:$G$102,{"TRC"}))</f>
        <v>0</v>
      </c>
      <c r="AR7" s="2" cm="1">
        <f t="array" aca="1" ref="AR7" ca="1">SUM(SUMIFS(Assumptions!CR$3:CR$102,Assumptions!$B$3:$B$102,'Trucks-lcv'!$C7,Assumptions!$G$3:$G$102,{"TRC"}))</f>
        <v>0</v>
      </c>
      <c r="AS7" s="2" cm="1">
        <f t="array" aca="1" ref="AS7" ca="1">SUM(SUMIFS(Assumptions!CS$3:CS$102,Assumptions!$B$3:$B$102,'Trucks-lcv'!$C7,Assumptions!$G$3:$G$102,{"TRC"}))</f>
        <v>0</v>
      </c>
      <c r="AT7" s="2" cm="1">
        <f t="array" aca="1" ref="AT7" ca="1">SUM(SUMIFS(Assumptions!CT$3:CT$102,Assumptions!$B$3:$B$102,'Trucks-lcv'!$C7,Assumptions!$G$3:$G$102,{"TRC"}))</f>
        <v>0</v>
      </c>
      <c r="AU7" s="2" cm="1">
        <f t="array" aca="1" ref="AU7" ca="1">SUM(SUMIFS(Assumptions!CU$3:CU$102,Assumptions!$B$3:$B$102,'Trucks-lcv'!$C7,Assumptions!$G$3:$G$102,{"TRC"}))</f>
        <v>0</v>
      </c>
      <c r="AV7" s="2" cm="1">
        <f t="array" aca="1" ref="AV7" ca="1">SUM(SUMIFS(Assumptions!CV$3:CV$102,Assumptions!$B$3:$B$102,'Trucks-lcv'!$C7,Assumptions!$G$3:$G$102,{"TRC"}))</f>
        <v>0</v>
      </c>
      <c r="AW7" s="2" cm="1">
        <f t="array" aca="1" ref="AW7" ca="1">SUM(SUMIFS(Assumptions!CW$3:CW$102,Assumptions!$B$3:$B$102,'Trucks-lcv'!$C7,Assumptions!$G$3:$G$102,{"TRC"}))</f>
        <v>0</v>
      </c>
      <c r="AX7" s="53" t="str">
        <f t="shared" ca="1" si="2"/>
        <v/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SUM(SUMIFS(Assumptions!BD$3:BD$102,Assumptions!$B$3:$B$102,'Trucks-lcv'!$C8,Assumptions!$G$3:$G$102,{"TRC"}))</f>
        <v>0</v>
      </c>
      <c r="E8" s="2" cm="1">
        <f t="array" aca="1" ref="E8" ca="1">SUM(SUMIFS(Assumptions!BE$3:BE$102,Assumptions!$B$3:$B$102,'Trucks-lcv'!$C8,Assumptions!$G$3:$G$102,{"TRC"}))</f>
        <v>0</v>
      </c>
      <c r="F8" s="2" cm="1">
        <f t="array" aca="1" ref="F8" ca="1">SUM(SUMIFS(Assumptions!BF$3:BF$102,Assumptions!$B$3:$B$102,'Trucks-lcv'!$C8,Assumptions!$G$3:$G$102,{"TRC"}))</f>
        <v>54.047574407915988</v>
      </c>
      <c r="G8" s="2" cm="1">
        <f t="array" aca="1" ref="G8" ca="1">SUM(SUMIFS(Assumptions!BG$3:BG$102,Assumptions!$B$3:$B$102,'Trucks-lcv'!$C8,Assumptions!$G$3:$G$102,{"TRC"}))</f>
        <v>1.9734588605268015</v>
      </c>
      <c r="H8" s="2" cm="1">
        <f t="array" aca="1" ref="H8" ca="1">SUM(SUMIFS(Assumptions!BH$3:BH$102,Assumptions!$B$3:$B$102,'Trucks-lcv'!$C8,Assumptions!$G$3:$G$102,{"TRC"}))</f>
        <v>4.7711269110780004</v>
      </c>
      <c r="I8" s="2" cm="1">
        <f t="array" aca="1" ref="I8" ca="1">SUM(SUMIFS(Assumptions!BI$3:BI$102,Assumptions!$B$3:$B$102,'Trucks-lcv'!$C8,Assumptions!$G$3:$G$102,{"TRC"}))</f>
        <v>7.6354930909458067</v>
      </c>
      <c r="J8" s="2" cm="1">
        <f t="array" aca="1" ref="J8" ca="1">SUM(SUMIFS(Assumptions!BJ$3:BJ$102,Assumptions!$B$3:$B$102,'Trucks-lcv'!$C8,Assumptions!$G$3:$G$102,{"TRC"}))</f>
        <v>52.094546742016796</v>
      </c>
      <c r="K8" s="2" cm="1">
        <f t="array" aca="1" ref="K8" ca="1">SUM(SUMIFS(Assumptions!BK$3:BK$102,Assumptions!$B$3:$B$102,'Trucks-lcv'!$C8,Assumptions!$G$3:$G$102,{"TRC"}))</f>
        <v>480.15157898591991</v>
      </c>
      <c r="L8" s="2" cm="1">
        <f t="array" aca="1" ref="L8" ca="1">SUM(SUMIFS(Assumptions!BL$3:BL$102,Assumptions!$B$3:$B$102,'Trucks-lcv'!$C8,Assumptions!$G$3:$G$102,{"TRC"}))</f>
        <v>1.8792730222199996</v>
      </c>
      <c r="M8" s="2" cm="1">
        <f t="array" aca="1" ref="M8" ca="1">SUM(SUMIFS(Assumptions!BM$3:BM$102,Assumptions!$B$3:$B$102,'Trucks-lcv'!$C8,Assumptions!$G$3:$G$102,{"TRC"}))</f>
        <v>4.4550001277999991</v>
      </c>
      <c r="N8" s="2" cm="1">
        <f t="array" aca="1" ref="N8" ca="1">SUM(SUMIFS(Assumptions!BN$3:BN$102,Assumptions!$B$3:$B$102,'Trucks-lcv'!$C8,Assumptions!$G$3:$G$102,{"TRC"}))</f>
        <v>9.379442168076606</v>
      </c>
      <c r="O8" s="2" cm="1">
        <f t="array" aca="1" ref="O8" ca="1">SUM(SUMIFS(Assumptions!BO$3:BO$102,Assumptions!$B$3:$B$102,'Trucks-lcv'!$C8,Assumptions!$G$3:$G$102,{"TRC"}))</f>
        <v>20.594441993581817</v>
      </c>
      <c r="P8" s="2" cm="1">
        <f t="array" aca="1" ref="P8" ca="1">SUM(SUMIFS(Assumptions!BP$3:BP$102,Assumptions!$B$3:$B$102,'Trucks-lcv'!$C8,Assumptions!$G$3:$G$102,{"TRC"}))</f>
        <v>3.2209365677310031</v>
      </c>
      <c r="Q8" s="2" cm="1">
        <f t="array" aca="1" ref="Q8" ca="1">SUM(SUMIFS(Assumptions!BQ$3:BQ$102,Assumptions!$B$3:$B$102,'Trucks-lcv'!$C8,Assumptions!$G$3:$G$102,{"TRC"}))</f>
        <v>6.943376140919999</v>
      </c>
      <c r="R8" s="2" cm="1">
        <f t="array" aca="1" ref="R8" ca="1">SUM(SUMIFS(Assumptions!BR$3:BR$102,Assumptions!$B$3:$B$102,'Trucks-lcv'!$C8,Assumptions!$G$3:$G$102,{"TRC"}))</f>
        <v>0.14890500528660011</v>
      </c>
      <c r="S8" s="2" cm="1">
        <f t="array" aca="1" ref="S8" ca="1">SUM(SUMIFS(Assumptions!BS$3:BS$102,Assumptions!$B$3:$B$102,'Trucks-lcv'!$C8,Assumptions!$G$3:$G$102,{"TRC"}))</f>
        <v>0</v>
      </c>
      <c r="T8" s="2" cm="1">
        <f t="array" aca="1" ref="T8" ca="1">SUM(SUMIFS(Assumptions!BT$3:BT$102,Assumptions!$B$3:$B$102,'Trucks-lcv'!$C8,Assumptions!$G$3:$G$102,{"TRC"}))</f>
        <v>0.91863145692720072</v>
      </c>
      <c r="U8" s="2" cm="1">
        <f t="array" aca="1" ref="U8" ca="1">SUM(SUMIFS(Assumptions!BU$3:BU$102,Assumptions!$B$3:$B$102,'Trucks-lcv'!$C8,Assumptions!$G$3:$G$102,{"TRC"}))</f>
        <v>9.3046724431110075</v>
      </c>
      <c r="V8" s="2" cm="1">
        <f t="array" aca="1" ref="V8" ca="1">SUM(SUMIFS(Assumptions!BV$3:BV$102,Assumptions!$B$3:$B$102,'Trucks-lcv'!$C8,Assumptions!$G$3:$G$102,{"TRC"}))</f>
        <v>158.45382288071997</v>
      </c>
      <c r="W8" s="2" cm="1">
        <f t="array" aca="1" ref="W8" ca="1">SUM(SUMIFS(Assumptions!BW$3:BW$102,Assumptions!$B$3:$B$102,'Trucks-lcv'!$C8,Assumptions!$G$3:$G$102,{"TRC"}))</f>
        <v>99.051855744866387</v>
      </c>
      <c r="X8" s="2" cm="1">
        <f t="array" aca="1" ref="X8" ca="1">SUM(SUMIFS(Assumptions!BX$3:BX$102,Assumptions!$B$3:$B$102,'Trucks-lcv'!$C8,Assumptions!$G$3:$G$102,{"TRC"}))</f>
        <v>389.33794274067009</v>
      </c>
      <c r="Y8" s="2" cm="1">
        <f t="array" aca="1" ref="Y8" ca="1">SUM(SUMIFS(Assumptions!BY$3:BY$102,Assumptions!$B$3:$B$102,'Trucks-lcv'!$C8,Assumptions!$G$3:$G$102,{"TRC"}))</f>
        <v>2550.267654034622</v>
      </c>
      <c r="Z8" s="2" cm="1">
        <f t="array" aca="1" ref="Z8" ca="1">SUM(SUMIFS(Assumptions!BZ$3:BZ$102,Assumptions!$B$3:$B$102,'Trucks-lcv'!$C8,Assumptions!$G$3:$G$102,{"TRC"}))</f>
        <v>0.79503228517320057</v>
      </c>
      <c r="AA8" s="2" cm="1">
        <f t="array" aca="1" ref="AA8" ca="1">SUM(SUMIFS(Assumptions!CA$3:CA$102,Assumptions!$B$3:$B$102,'Trucks-lcv'!$C8,Assumptions!$G$3:$G$102,{"TRC"}))</f>
        <v>9.7158445372799989</v>
      </c>
      <c r="AB8" s="2" cm="1">
        <f t="array" aca="1" ref="AB8" ca="1">SUM(SUMIFS(Assumptions!CB$3:CB$102,Assumptions!$B$3:$B$102,'Trucks-lcv'!$C8,Assumptions!$G$3:$G$102,{"TRC"}))</f>
        <v>0</v>
      </c>
      <c r="AC8" s="2" cm="1">
        <f t="array" aca="1" ref="AC8" ca="1">SUM(SUMIFS(Assumptions!CC$3:CC$102,Assumptions!$B$3:$B$102,'Trucks-lcv'!$C8,Assumptions!$G$3:$G$102,{"TRC"}))</f>
        <v>255.24954866644208</v>
      </c>
      <c r="AD8" s="2" cm="1">
        <f t="array" aca="1" ref="AD8" ca="1">SUM(SUMIFS(Assumptions!CD$3:CD$102,Assumptions!$B$3:$B$102,'Trucks-lcv'!$C8,Assumptions!$G$3:$G$102,{"TRC"}))</f>
        <v>168.19616353993203</v>
      </c>
      <c r="AE8" s="2" cm="1">
        <f t="array" aca="1" ref="AE8" ca="1">SUM(SUMIFS(Assumptions!CE$3:CE$102,Assumptions!$B$3:$B$102,'Trucks-lcv'!$C8,Assumptions!$G$3:$G$102,{"TRC"}))</f>
        <v>0</v>
      </c>
      <c r="AF8" s="2" cm="1">
        <f t="array" aca="1" ref="AF8" ca="1">SUM(SUMIFS(Assumptions!CF$3:CF$102,Assumptions!$B$3:$B$102,'Trucks-lcv'!$C8,Assumptions!$G$3:$G$102,{"TRC"}))</f>
        <v>7.7274527218632061</v>
      </c>
      <c r="AG8" s="2" cm="1">
        <f t="array" aca="1" ref="AG8" ca="1">SUM(SUMIFS(Assumptions!CG$3:CG$102,Assumptions!$B$3:$B$102,'Trucks-lcv'!$C8,Assumptions!$G$3:$G$102,{"TRC"}))</f>
        <v>5.4196476191460041</v>
      </c>
      <c r="AH8" s="2" cm="1">
        <f t="array" aca="1" ref="AH8" ca="1">SUM(SUMIFS(Assumptions!CH$3:CH$102,Assumptions!$B$3:$B$102,'Trucks-lcv'!$C8,Assumptions!$G$3:$G$102,{"TRC"}))</f>
        <v>2.8463894213778027</v>
      </c>
      <c r="AI8" s="2" cm="1">
        <f t="array" aca="1" ref="AI8" ca="1">SUM(SUMIFS(Assumptions!CI$3:CI$102,Assumptions!$B$3:$B$102,'Trucks-lcv'!$C8,Assumptions!$G$3:$G$102,{"TRC"}))</f>
        <v>16.385819791176004</v>
      </c>
      <c r="AJ8" s="2" cm="1">
        <f t="array" aca="1" ref="AJ8" ca="1">SUM(SUMIFS(Assumptions!CJ$3:CJ$102,Assumptions!$B$3:$B$102,'Trucks-lcv'!$C8,Assumptions!$G$3:$G$102,{"TRC"}))</f>
        <v>14.688641172142813</v>
      </c>
      <c r="AK8" s="2" cm="1">
        <f t="array" aca="1" ref="AK8" ca="1">SUM(SUMIFS(Assumptions!CK$3:CK$102,Assumptions!$B$3:$B$102,'Trucks-lcv'!$C8,Assumptions!$G$3:$G$102,{"TRC"}))</f>
        <v>12.729829496472002</v>
      </c>
      <c r="AL8" s="2" cm="1">
        <f t="array" aca="1" ref="AL8" ca="1">SUM(SUMIFS(Assumptions!CL$3:CL$102,Assumptions!$B$3:$B$102,'Trucks-lcv'!$C8,Assumptions!$G$3:$G$102,{"TRC"}))</f>
        <v>1.9559605444199994</v>
      </c>
      <c r="AM8" s="2" cm="1">
        <f t="array" aca="1" ref="AM8" ca="1">SUM(SUMIFS(Assumptions!CM$3:CM$102,Assumptions!$B$3:$B$102,'Trucks-lcv'!$C8,Assumptions!$G$3:$G$102,{"TRC"}))</f>
        <v>0</v>
      </c>
      <c r="AN8" s="2" cm="1">
        <f t="array" aca="1" ref="AN8" ca="1">SUM(SUMIFS(Assumptions!CN$3:CN$102,Assumptions!$B$3:$B$102,'Trucks-lcv'!$C8,Assumptions!$G$3:$G$102,{"TRC"}))</f>
        <v>0</v>
      </c>
      <c r="AO8" s="2" cm="1">
        <f t="array" aca="1" ref="AO8" ca="1">SUM(SUMIFS(Assumptions!CO$3:CO$102,Assumptions!$B$3:$B$102,'Trucks-lcv'!$C8,Assumptions!$G$3:$G$102,{"TRC"}))</f>
        <v>0</v>
      </c>
      <c r="AP8" s="2" cm="1">
        <f t="array" aca="1" ref="AP8" ca="1">SUM(SUMIFS(Assumptions!CP$3:CP$102,Assumptions!$B$3:$B$102,'Trucks-lcv'!$C8,Assumptions!$G$3:$G$102,{"TRC"}))</f>
        <v>0</v>
      </c>
      <c r="AQ8" s="2" cm="1">
        <f t="array" aca="1" ref="AQ8" ca="1">SUM(SUMIFS(Assumptions!CQ$3:CQ$102,Assumptions!$B$3:$B$102,'Trucks-lcv'!$C8,Assumptions!$G$3:$G$102,{"TRC"}))</f>
        <v>0</v>
      </c>
      <c r="AR8" s="2" cm="1">
        <f t="array" aca="1" ref="AR8" ca="1">SUM(SUMIFS(Assumptions!CR$3:CR$102,Assumptions!$B$3:$B$102,'Trucks-lcv'!$C8,Assumptions!$G$3:$G$102,{"TRC"}))</f>
        <v>0</v>
      </c>
      <c r="AS8" s="2" cm="1">
        <f t="array" aca="1" ref="AS8" ca="1">SUM(SUMIFS(Assumptions!CS$3:CS$102,Assumptions!$B$3:$B$102,'Trucks-lcv'!$C8,Assumptions!$G$3:$G$102,{"TRC"}))</f>
        <v>0</v>
      </c>
      <c r="AT8" s="2" cm="1">
        <f t="array" aca="1" ref="AT8" ca="1">SUM(SUMIFS(Assumptions!CT$3:CT$102,Assumptions!$B$3:$B$102,'Trucks-lcv'!$C8,Assumptions!$G$3:$G$102,{"TRC"}))</f>
        <v>0</v>
      </c>
      <c r="AU8" s="2" cm="1">
        <f t="array" aca="1" ref="AU8" ca="1">SUM(SUMIFS(Assumptions!CU$3:CU$102,Assumptions!$B$3:$B$102,'Trucks-lcv'!$C8,Assumptions!$G$3:$G$102,{"TRC"}))</f>
        <v>0</v>
      </c>
      <c r="AV8" s="2" cm="1">
        <f t="array" aca="1" ref="AV8" ca="1">SUM(SUMIFS(Assumptions!CV$3:CV$102,Assumptions!$B$3:$B$102,'Trucks-lcv'!$C8,Assumptions!$G$3:$G$102,{"TRC"}))</f>
        <v>0</v>
      </c>
      <c r="AW8" s="2" cm="1">
        <f t="array" aca="1" ref="AW8" ca="1">SUM(SUMIFS(Assumptions!CW$3:CW$102,Assumptions!$B$3:$B$102,'Trucks-lcv'!$C8,Assumptions!$G$3:$G$102,{"TRC"}))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SUM(SUMIFS(Assumptions!BD$3:BD$102,Assumptions!$B$3:$B$102,'Trucks-lcv'!$C9,Assumptions!$G$3:$G$102,{"TRC"}))</f>
        <v>12.023197888464001</v>
      </c>
      <c r="E9" s="2" cm="1">
        <f t="array" aca="1" ref="E9" ca="1">SUM(SUMIFS(Assumptions!BE$3:BE$102,Assumptions!$B$3:$B$102,'Trucks-lcv'!$C9,Assumptions!$G$3:$G$102,{"TRC"}))</f>
        <v>6.9001813440000004E-3</v>
      </c>
      <c r="F9" s="2" cm="1">
        <f t="array" aca="1" ref="F9" ca="1">SUM(SUMIFS(Assumptions!BF$3:BF$102,Assumptions!$B$3:$B$102,'Trucks-lcv'!$C9,Assumptions!$G$3:$G$102,{"TRC"}))</f>
        <v>2.2811639542199993</v>
      </c>
      <c r="G9" s="2" cm="1">
        <f t="array" aca="1" ref="G9" ca="1">SUM(SUMIFS(Assumptions!BG$3:BG$102,Assumptions!$B$3:$B$102,'Trucks-lcv'!$C9,Assumptions!$G$3:$G$102,{"TRC"}))</f>
        <v>5.4843939899999999E-2</v>
      </c>
      <c r="H9" s="2" cm="1">
        <f t="array" aca="1" ref="H9" ca="1">SUM(SUMIFS(Assumptions!BH$3:BH$102,Assumptions!$B$3:$B$102,'Trucks-lcv'!$C9,Assumptions!$G$3:$G$102,{"TRC"}))</f>
        <v>2.9748517769520002</v>
      </c>
      <c r="I9" s="2" cm="1">
        <f t="array" aca="1" ref="I9" ca="1">SUM(SUMIFS(Assumptions!BI$3:BI$102,Assumptions!$B$3:$B$102,'Trucks-lcv'!$C9,Assumptions!$G$3:$G$102,{"TRC"}))</f>
        <v>2.0472415766999998</v>
      </c>
      <c r="J9" s="2" cm="1">
        <f t="array" aca="1" ref="J9" ca="1">SUM(SUMIFS(Assumptions!BJ$3:BJ$102,Assumptions!$B$3:$B$102,'Trucks-lcv'!$C9,Assumptions!$G$3:$G$102,{"TRC"}))</f>
        <v>0</v>
      </c>
      <c r="K9" s="2" cm="1">
        <f t="array" aca="1" ref="K9" ca="1">SUM(SUMIFS(Assumptions!BK$3:BK$102,Assumptions!$B$3:$B$102,'Trucks-lcv'!$C9,Assumptions!$G$3:$G$102,{"TRC"}))</f>
        <v>9.3962588919839973</v>
      </c>
      <c r="L9" s="2" cm="1">
        <f t="array" aca="1" ref="L9" ca="1">SUM(SUMIFS(Assumptions!BL$3:BL$102,Assumptions!$B$3:$B$102,'Trucks-lcv'!$C9,Assumptions!$G$3:$G$102,{"TRC"}))</f>
        <v>1.5866723496240003</v>
      </c>
      <c r="M9" s="2" cm="1">
        <f t="array" aca="1" ref="M9" ca="1">SUM(SUMIFS(Assumptions!BM$3:BM$102,Assumptions!$B$3:$B$102,'Trucks-lcv'!$C9,Assumptions!$G$3:$G$102,{"TRC"}))</f>
        <v>1.7406396587520003</v>
      </c>
      <c r="N9" s="2" cm="1">
        <f t="array" aca="1" ref="N9" ca="1">SUM(SUMIFS(Assumptions!BN$3:BN$102,Assumptions!$B$3:$B$102,'Trucks-lcv'!$C9,Assumptions!$G$3:$G$102,{"TRC"}))</f>
        <v>0.60514123139999998</v>
      </c>
      <c r="O9" s="2" cm="1">
        <f t="array" aca="1" ref="O9" ca="1">SUM(SUMIFS(Assumptions!BO$3:BO$102,Assumptions!$B$3:$B$102,'Trucks-lcv'!$C9,Assumptions!$G$3:$G$102,{"TRC"}))</f>
        <v>3.8985000920999999</v>
      </c>
      <c r="P9" s="2" cm="1">
        <f t="array" aca="1" ref="P9" ca="1">SUM(SUMIFS(Assumptions!BP$3:BP$102,Assumptions!$B$3:$B$102,'Trucks-lcv'!$C9,Assumptions!$G$3:$G$102,{"TRC"}))</f>
        <v>2.5211507021999999</v>
      </c>
      <c r="Q9" s="2" cm="1">
        <f t="array" aca="1" ref="Q9" ca="1">SUM(SUMIFS(Assumptions!BQ$3:BQ$102,Assumptions!$B$3:$B$102,'Trucks-lcv'!$C9,Assumptions!$G$3:$G$102,{"TRC"}))</f>
        <v>10.026214993908003</v>
      </c>
      <c r="R9" s="2" cm="1">
        <f t="array" aca="1" ref="R9" ca="1">SUM(SUMIFS(Assumptions!BR$3:BR$102,Assumptions!$B$3:$B$102,'Trucks-lcv'!$C9,Assumptions!$G$3:$G$102,{"TRC"}))</f>
        <v>0</v>
      </c>
      <c r="S9" s="2" cm="1">
        <f t="array" aca="1" ref="S9" ca="1">SUM(SUMIFS(Assumptions!BS$3:BS$102,Assumptions!$B$3:$B$102,'Trucks-lcv'!$C9,Assumptions!$G$3:$G$102,{"TRC"}))</f>
        <v>1.2196305404999999</v>
      </c>
      <c r="T9" s="2" cm="1">
        <f t="array" aca="1" ref="T9" ca="1">SUM(SUMIFS(Assumptions!BT$3:BT$102,Assumptions!$B$3:$B$102,'Trucks-lcv'!$C9,Assumptions!$G$3:$G$102,{"TRC"}))</f>
        <v>1.6628922899999999E-2</v>
      </c>
      <c r="U9" s="2" cm="1">
        <f t="array" aca="1" ref="U9" ca="1">SUM(SUMIFS(Assumptions!BU$3:BU$102,Assumptions!$B$3:$B$102,'Trucks-lcv'!$C9,Assumptions!$G$3:$G$102,{"TRC"}))</f>
        <v>19.017941334300001</v>
      </c>
      <c r="V9" s="2" cm="1">
        <f t="array" aca="1" ref="V9" ca="1">SUM(SUMIFS(Assumptions!BV$3:BV$102,Assumptions!$B$3:$B$102,'Trucks-lcv'!$C9,Assumptions!$G$3:$G$102,{"TRC"}))</f>
        <v>12.834758240712</v>
      </c>
      <c r="W9" s="2" cm="1">
        <f t="array" aca="1" ref="W9" ca="1">SUM(SUMIFS(Assumptions!BW$3:BW$102,Assumptions!$B$3:$B$102,'Trucks-lcv'!$C9,Assumptions!$G$3:$G$102,{"TRC"}))</f>
        <v>0</v>
      </c>
      <c r="X9" s="2" cm="1">
        <f t="array" aca="1" ref="X9" ca="1">SUM(SUMIFS(Assumptions!BX$3:BX$102,Assumptions!$B$3:$B$102,'Trucks-lcv'!$C9,Assumptions!$G$3:$G$102,{"TRC"}))</f>
        <v>0.786389729328</v>
      </c>
      <c r="Y9" s="2" cm="1">
        <f t="array" aca="1" ref="Y9" ca="1">SUM(SUMIFS(Assumptions!BY$3:BY$102,Assumptions!$B$3:$B$102,'Trucks-lcv'!$C9,Assumptions!$G$3:$G$102,{"TRC"}))</f>
        <v>20.314808417695112</v>
      </c>
      <c r="Z9" s="2" cm="1">
        <f t="array" aca="1" ref="Z9" ca="1">SUM(SUMIFS(Assumptions!BZ$3:BZ$102,Assumptions!$B$3:$B$102,'Trucks-lcv'!$C9,Assumptions!$G$3:$G$102,{"TRC"}))</f>
        <v>5.3682102900000001E-2</v>
      </c>
      <c r="AA9" s="2" cm="1">
        <f t="array" aca="1" ref="AA9" ca="1">SUM(SUMIFS(Assumptions!CA$3:CA$102,Assumptions!$B$3:$B$102,'Trucks-lcv'!$C9,Assumptions!$G$3:$G$102,{"TRC"}))</f>
        <v>38.274299534051998</v>
      </c>
      <c r="AB9" s="2" cm="1">
        <f t="array" aca="1" ref="AB9" ca="1">SUM(SUMIFS(Assumptions!CB$3:CB$102,Assumptions!$B$3:$B$102,'Trucks-lcv'!$C9,Assumptions!$G$3:$G$102,{"TRC"}))</f>
        <v>20.900857668012009</v>
      </c>
      <c r="AC9" s="2" cm="1">
        <f t="array" aca="1" ref="AC9" ca="1">SUM(SUMIFS(Assumptions!CC$3:CC$102,Assumptions!$B$3:$B$102,'Trucks-lcv'!$C9,Assumptions!$G$3:$G$102,{"TRC"}))</f>
        <v>25.594925457456</v>
      </c>
      <c r="AD9" s="2" cm="1">
        <f t="array" aca="1" ref="AD9" ca="1">SUM(SUMIFS(Assumptions!CD$3:CD$102,Assumptions!$B$3:$B$102,'Trucks-lcv'!$C9,Assumptions!$G$3:$G$102,{"TRC"}))</f>
        <v>0</v>
      </c>
      <c r="AE9" s="2" cm="1">
        <f t="array" aca="1" ref="AE9" ca="1">SUM(SUMIFS(Assumptions!CE$3:CE$102,Assumptions!$B$3:$B$102,'Trucks-lcv'!$C9,Assumptions!$G$3:$G$102,{"TRC"}))</f>
        <v>0.18314319239999999</v>
      </c>
      <c r="AF9" s="2" cm="1">
        <f t="array" aca="1" ref="AF9" ca="1">SUM(SUMIFS(Assumptions!CF$3:CF$102,Assumptions!$B$3:$B$102,'Trucks-lcv'!$C9,Assumptions!$G$3:$G$102,{"TRC"}))</f>
        <v>1.4164656155999999</v>
      </c>
      <c r="AG9" s="2" cm="1">
        <f t="array" aca="1" ref="AG9" ca="1">SUM(SUMIFS(Assumptions!CG$3:CG$102,Assumptions!$B$3:$B$102,'Trucks-lcv'!$C9,Assumptions!$G$3:$G$102,{"TRC"}))</f>
        <v>0</v>
      </c>
      <c r="AH9" s="2" cm="1">
        <f t="array" aca="1" ref="AH9" ca="1">SUM(SUMIFS(Assumptions!CH$3:CH$102,Assumptions!$B$3:$B$102,'Trucks-lcv'!$C9,Assumptions!$G$3:$G$102,{"TRC"}))</f>
        <v>1.76871366E-2</v>
      </c>
      <c r="AI9" s="2" cm="1">
        <f t="array" aca="1" ref="AI9" ca="1">SUM(SUMIFS(Assumptions!CI$3:CI$102,Assumptions!$B$3:$B$102,'Trucks-lcv'!$C9,Assumptions!$G$3:$G$102,{"TRC"}))</f>
        <v>43.199519630399998</v>
      </c>
      <c r="AJ9" s="2" cm="1">
        <f t="array" aca="1" ref="AJ9" ca="1">SUM(SUMIFS(Assumptions!CJ$3:CJ$102,Assumptions!$B$3:$B$102,'Trucks-lcv'!$C9,Assumptions!$G$3:$G$102,{"TRC"}))</f>
        <v>0.72449957249999997</v>
      </c>
      <c r="AK9" s="2" cm="1">
        <f t="array" aca="1" ref="AK9" ca="1">SUM(SUMIFS(Assumptions!CK$3:CK$102,Assumptions!$B$3:$B$102,'Trucks-lcv'!$C9,Assumptions!$G$3:$G$102,{"TRC"}))</f>
        <v>35.833765917060006</v>
      </c>
      <c r="AL9" s="2" cm="1">
        <f t="array" aca="1" ref="AL9" ca="1">SUM(SUMIFS(Assumptions!CL$3:CL$102,Assumptions!$B$3:$B$102,'Trucks-lcv'!$C9,Assumptions!$G$3:$G$102,{"TRC"}))</f>
        <v>4.5069761097000001</v>
      </c>
      <c r="AM9" s="2" cm="1">
        <f t="array" aca="1" ref="AM9" ca="1">SUM(SUMIFS(Assumptions!CM$3:CM$102,Assumptions!$B$3:$B$102,'Trucks-lcv'!$C9,Assumptions!$G$3:$G$102,{"TRC"}))</f>
        <v>0</v>
      </c>
      <c r="AN9" s="2" cm="1">
        <f t="array" aca="1" ref="AN9" ca="1">SUM(SUMIFS(Assumptions!CN$3:CN$102,Assumptions!$B$3:$B$102,'Trucks-lcv'!$C9,Assumptions!$G$3:$G$102,{"TRC"}))</f>
        <v>0</v>
      </c>
      <c r="AO9" s="2" cm="1">
        <f t="array" aca="1" ref="AO9" ca="1">SUM(SUMIFS(Assumptions!CO$3:CO$102,Assumptions!$B$3:$B$102,'Trucks-lcv'!$C9,Assumptions!$G$3:$G$102,{"TRC"}))</f>
        <v>0</v>
      </c>
      <c r="AP9" s="2" cm="1">
        <f t="array" aca="1" ref="AP9" ca="1">SUM(SUMIFS(Assumptions!CP$3:CP$102,Assumptions!$B$3:$B$102,'Trucks-lcv'!$C9,Assumptions!$G$3:$G$102,{"TRC"}))</f>
        <v>0</v>
      </c>
      <c r="AQ9" s="2" cm="1">
        <f t="array" aca="1" ref="AQ9" ca="1">SUM(SUMIFS(Assumptions!CQ$3:CQ$102,Assumptions!$B$3:$B$102,'Trucks-lcv'!$C9,Assumptions!$G$3:$G$102,{"TRC"}))</f>
        <v>0</v>
      </c>
      <c r="AR9" s="2" cm="1">
        <f t="array" aca="1" ref="AR9" ca="1">SUM(SUMIFS(Assumptions!CR$3:CR$102,Assumptions!$B$3:$B$102,'Trucks-lcv'!$C9,Assumptions!$G$3:$G$102,{"TRC"}))</f>
        <v>0</v>
      </c>
      <c r="AS9" s="2" cm="1">
        <f t="array" aca="1" ref="AS9" ca="1">SUM(SUMIFS(Assumptions!CS$3:CS$102,Assumptions!$B$3:$B$102,'Trucks-lcv'!$C9,Assumptions!$G$3:$G$102,{"TRC"}))</f>
        <v>0</v>
      </c>
      <c r="AT9" s="2" cm="1">
        <f t="array" aca="1" ref="AT9" ca="1">SUM(SUMIFS(Assumptions!CT$3:CT$102,Assumptions!$B$3:$B$102,'Trucks-lcv'!$C9,Assumptions!$G$3:$G$102,{"TRC"}))</f>
        <v>0</v>
      </c>
      <c r="AU9" s="2" cm="1">
        <f t="array" aca="1" ref="AU9" ca="1">SUM(SUMIFS(Assumptions!CU$3:CU$102,Assumptions!$B$3:$B$102,'Trucks-lcv'!$C9,Assumptions!$G$3:$G$102,{"TRC"}))</f>
        <v>0</v>
      </c>
      <c r="AV9" s="2" cm="1">
        <f t="array" aca="1" ref="AV9" ca="1">SUM(SUMIFS(Assumptions!CV$3:CV$102,Assumptions!$B$3:$B$102,'Trucks-lcv'!$C9,Assumptions!$G$3:$G$102,{"TRC"}))</f>
        <v>0</v>
      </c>
      <c r="AW9" s="2" cm="1">
        <f t="array" aca="1" ref="AW9" ca="1">SUM(SUMIFS(Assumptions!CW$3:CW$102,Assumptions!$B$3:$B$102,'Trucks-lcv'!$C9,Assumptions!$G$3:$G$102,{"TRC"}))</f>
        <v>0</v>
      </c>
      <c r="AX9" s="53" t="str">
        <f t="shared" ca="1" si="2"/>
        <v/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SUM(SUMIFS(Assumptions!BD$3:BD$102,Assumptions!$B$3:$B$102,'Trucks-lcv'!$C10,Assumptions!$G$3:$G$102,{"TRC"}))</f>
        <v>3.0522079729799989</v>
      </c>
      <c r="E10" s="2" cm="1">
        <f t="array" aca="1" ref="E10" ca="1">SUM(SUMIFS(Assumptions!BE$3:BE$102,Assumptions!$B$3:$B$102,'Trucks-lcv'!$C10,Assumptions!$G$3:$G$102,{"TRC"}))</f>
        <v>1.1203248779999998E-2</v>
      </c>
      <c r="F10" s="2" cm="1">
        <f t="array" aca="1" ref="F10" ca="1">SUM(SUMIFS(Assumptions!BF$3:BF$102,Assumptions!$B$3:$B$102,'Trucks-lcv'!$C10,Assumptions!$G$3:$G$102,{"TRC"}))</f>
        <v>0.46851799247999987</v>
      </c>
      <c r="G10" s="2" cm="1">
        <f t="array" aca="1" ref="G10" ca="1">SUM(SUMIFS(Assumptions!BG$3:BG$102,Assumptions!$B$3:$B$102,'Trucks-lcv'!$C10,Assumptions!$G$3:$G$102,{"TRC"}))</f>
        <v>0</v>
      </c>
      <c r="H10" s="2" cm="1">
        <f t="array" aca="1" ref="H10" ca="1">SUM(SUMIFS(Assumptions!BH$3:BH$102,Assumptions!$B$3:$B$102,'Trucks-lcv'!$C10,Assumptions!$G$3:$G$102,{"TRC"}))</f>
        <v>0.24127523568000003</v>
      </c>
      <c r="I10" s="2" cm="1">
        <f t="array" aca="1" ref="I10" ca="1">SUM(SUMIFS(Assumptions!BI$3:BI$102,Assumptions!$B$3:$B$102,'Trucks-lcv'!$C10,Assumptions!$G$3:$G$102,{"TRC"}))</f>
        <v>0</v>
      </c>
      <c r="J10" s="2" cm="1">
        <f t="array" aca="1" ref="J10" ca="1">SUM(SUMIFS(Assumptions!BJ$3:BJ$102,Assumptions!$B$3:$B$102,'Trucks-lcv'!$C10,Assumptions!$G$3:$G$102,{"TRC"}))</f>
        <v>16.834613685120001</v>
      </c>
      <c r="K10" s="2" cm="1">
        <f t="array" aca="1" ref="K10" ca="1">SUM(SUMIFS(Assumptions!BK$3:BK$102,Assumptions!$B$3:$B$102,'Trucks-lcv'!$C10,Assumptions!$G$3:$G$102,{"TRC"}))</f>
        <v>123.40083952108797</v>
      </c>
      <c r="L10" s="2" cm="1">
        <f t="array" aca="1" ref="L10" ca="1">SUM(SUMIFS(Assumptions!BL$3:BL$102,Assumptions!$B$3:$B$102,'Trucks-lcv'!$C10,Assumptions!$G$3:$G$102,{"TRC"}))</f>
        <v>0</v>
      </c>
      <c r="M10" s="2" cm="1">
        <f t="array" aca="1" ref="M10" ca="1">SUM(SUMIFS(Assumptions!BM$3:BM$102,Assumptions!$B$3:$B$102,'Trucks-lcv'!$C10,Assumptions!$G$3:$G$102,{"TRC"}))</f>
        <v>0</v>
      </c>
      <c r="N10" s="2" cm="1">
        <f t="array" aca="1" ref="N10" ca="1">SUM(SUMIFS(Assumptions!BN$3:BN$102,Assumptions!$B$3:$B$102,'Trucks-lcv'!$C10,Assumptions!$G$3:$G$102,{"TRC"}))</f>
        <v>0</v>
      </c>
      <c r="O10" s="2" cm="1">
        <f t="array" aca="1" ref="O10" ca="1">SUM(SUMIFS(Assumptions!BO$3:BO$102,Assumptions!$B$3:$B$102,'Trucks-lcv'!$C10,Assumptions!$G$3:$G$102,{"TRC"}))</f>
        <v>0</v>
      </c>
      <c r="P10" s="2" cm="1">
        <f t="array" aca="1" ref="P10" ca="1">SUM(SUMIFS(Assumptions!BP$3:BP$102,Assumptions!$B$3:$B$102,'Trucks-lcv'!$C10,Assumptions!$G$3:$G$102,{"TRC"}))</f>
        <v>0</v>
      </c>
      <c r="Q10" s="2" cm="1">
        <f t="array" aca="1" ref="Q10" ca="1">SUM(SUMIFS(Assumptions!BQ$3:BQ$102,Assumptions!$B$3:$B$102,'Trucks-lcv'!$C10,Assumptions!$G$3:$G$102,{"TRC"}))</f>
        <v>0</v>
      </c>
      <c r="R10" s="2" cm="1">
        <f t="array" aca="1" ref="R10" ca="1">SUM(SUMIFS(Assumptions!BR$3:BR$102,Assumptions!$B$3:$B$102,'Trucks-lcv'!$C10,Assumptions!$G$3:$G$102,{"TRC"}))</f>
        <v>0</v>
      </c>
      <c r="S10" s="2" cm="1">
        <f t="array" aca="1" ref="S10" ca="1">SUM(SUMIFS(Assumptions!BS$3:BS$102,Assumptions!$B$3:$B$102,'Trucks-lcv'!$C10,Assumptions!$G$3:$G$102,{"TRC"}))</f>
        <v>18.507111331679994</v>
      </c>
      <c r="T10" s="2" cm="1">
        <f t="array" aca="1" ref="T10" ca="1">SUM(SUMIFS(Assumptions!BT$3:BT$102,Assumptions!$B$3:$B$102,'Trucks-lcv'!$C10,Assumptions!$G$3:$G$102,{"TRC"}))</f>
        <v>0</v>
      </c>
      <c r="U10" s="2" cm="1">
        <f t="array" aca="1" ref="U10" ca="1">SUM(SUMIFS(Assumptions!BU$3:BU$102,Assumptions!$B$3:$B$102,'Trucks-lcv'!$C10,Assumptions!$G$3:$G$102,{"TRC"}))</f>
        <v>0</v>
      </c>
      <c r="V10" s="2" cm="1">
        <f t="array" aca="1" ref="V10" ca="1">SUM(SUMIFS(Assumptions!BV$3:BV$102,Assumptions!$B$3:$B$102,'Trucks-lcv'!$C10,Assumptions!$G$3:$G$102,{"TRC"}))</f>
        <v>6.9950332980000057E-2</v>
      </c>
      <c r="W10" s="2" cm="1">
        <f t="array" aca="1" ref="W10" ca="1">SUM(SUMIFS(Assumptions!BW$3:BW$102,Assumptions!$B$3:$B$102,'Trucks-lcv'!$C10,Assumptions!$G$3:$G$102,{"TRC"}))</f>
        <v>32.376392097119997</v>
      </c>
      <c r="X10" s="2" cm="1">
        <f t="array" aca="1" ref="X10" ca="1">SUM(SUMIFS(Assumptions!BX$3:BX$102,Assumptions!$B$3:$B$102,'Trucks-lcv'!$C10,Assumptions!$G$3:$G$102,{"TRC"}))</f>
        <v>0</v>
      </c>
      <c r="Y10" s="2" cm="1">
        <f t="array" aca="1" ref="Y10" ca="1">SUM(SUMIFS(Assumptions!BY$3:BY$102,Assumptions!$B$3:$B$102,'Trucks-lcv'!$C10,Assumptions!$G$3:$G$102,{"TRC"}))</f>
        <v>1.1094474826876344</v>
      </c>
      <c r="Z10" s="2" cm="1">
        <f t="array" aca="1" ref="Z10" ca="1">SUM(SUMIFS(Assumptions!BZ$3:BZ$102,Assumptions!$B$3:$B$102,'Trucks-lcv'!$C10,Assumptions!$G$3:$G$102,{"TRC"}))</f>
        <v>0</v>
      </c>
      <c r="AA10" s="2" cm="1">
        <f t="array" aca="1" ref="AA10" ca="1">SUM(SUMIFS(Assumptions!CA$3:CA$102,Assumptions!$B$3:$B$102,'Trucks-lcv'!$C10,Assumptions!$G$3:$G$102,{"TRC"}))</f>
        <v>0</v>
      </c>
      <c r="AB10" s="2" cm="1">
        <f t="array" aca="1" ref="AB10" ca="1">SUM(SUMIFS(Assumptions!CB$3:CB$102,Assumptions!$B$3:$B$102,'Trucks-lcv'!$C10,Assumptions!$G$3:$G$102,{"TRC"}))</f>
        <v>10.946851073927998</v>
      </c>
      <c r="AC10" s="2" cm="1">
        <f t="array" aca="1" ref="AC10" ca="1">SUM(SUMIFS(Assumptions!CC$3:CC$102,Assumptions!$B$3:$B$102,'Trucks-lcv'!$C10,Assumptions!$G$3:$G$102,{"TRC"}))</f>
        <v>2.6716850028000003</v>
      </c>
      <c r="AD10" s="2" cm="1">
        <f t="array" aca="1" ref="AD10" ca="1">SUM(SUMIFS(Assumptions!CD$3:CD$102,Assumptions!$B$3:$B$102,'Trucks-lcv'!$C10,Assumptions!$G$3:$G$102,{"TRC"}))</f>
        <v>0</v>
      </c>
      <c r="AE10" s="2" cm="1">
        <f t="array" aca="1" ref="AE10" ca="1">SUM(SUMIFS(Assumptions!CE$3:CE$102,Assumptions!$B$3:$B$102,'Trucks-lcv'!$C10,Assumptions!$G$3:$G$102,{"TRC"}))</f>
        <v>1.0996630199999998E-3</v>
      </c>
      <c r="AF10" s="2" cm="1">
        <f t="array" aca="1" ref="AF10" ca="1">SUM(SUMIFS(Assumptions!CF$3:CF$102,Assumptions!$B$3:$B$102,'Trucks-lcv'!$C10,Assumptions!$G$3:$G$102,{"TRC"}))</f>
        <v>0</v>
      </c>
      <c r="AG10" s="2" cm="1">
        <f t="array" aca="1" ref="AG10" ca="1">SUM(SUMIFS(Assumptions!CG$3:CG$102,Assumptions!$B$3:$B$102,'Trucks-lcv'!$C10,Assumptions!$G$3:$G$102,{"TRC"}))</f>
        <v>0</v>
      </c>
      <c r="AH10" s="2" cm="1">
        <f t="array" aca="1" ref="AH10" ca="1">SUM(SUMIFS(Assumptions!CH$3:CH$102,Assumptions!$B$3:$B$102,'Trucks-lcv'!$C10,Assumptions!$G$3:$G$102,{"TRC"}))</f>
        <v>0</v>
      </c>
      <c r="AI10" s="2" cm="1">
        <f t="array" aca="1" ref="AI10" ca="1">SUM(SUMIFS(Assumptions!CI$3:CI$102,Assumptions!$B$3:$B$102,'Trucks-lcv'!$C10,Assumptions!$G$3:$G$102,{"TRC"}))</f>
        <v>0</v>
      </c>
      <c r="AJ10" s="2" cm="1">
        <f t="array" aca="1" ref="AJ10" ca="1">SUM(SUMIFS(Assumptions!CJ$3:CJ$102,Assumptions!$B$3:$B$102,'Trucks-lcv'!$C10,Assumptions!$G$3:$G$102,{"TRC"}))</f>
        <v>0</v>
      </c>
      <c r="AK10" s="2" cm="1">
        <f t="array" aca="1" ref="AK10" ca="1">SUM(SUMIFS(Assumptions!CK$3:CK$102,Assumptions!$B$3:$B$102,'Trucks-lcv'!$C10,Assumptions!$G$3:$G$102,{"TRC"}))</f>
        <v>0.40364980668</v>
      </c>
      <c r="AL10" s="2" cm="1">
        <f t="array" aca="1" ref="AL10" ca="1">SUM(SUMIFS(Assumptions!CL$3:CL$102,Assumptions!$B$3:$B$102,'Trucks-lcv'!$C10,Assumptions!$G$3:$G$102,{"TRC"}))</f>
        <v>0</v>
      </c>
      <c r="AM10" s="2" cm="1">
        <f t="array" aca="1" ref="AM10" ca="1">SUM(SUMIFS(Assumptions!CM$3:CM$102,Assumptions!$B$3:$B$102,'Trucks-lcv'!$C10,Assumptions!$G$3:$G$102,{"TRC"}))</f>
        <v>0</v>
      </c>
      <c r="AN10" s="2" cm="1">
        <f t="array" aca="1" ref="AN10" ca="1">SUM(SUMIFS(Assumptions!CN$3:CN$102,Assumptions!$B$3:$B$102,'Trucks-lcv'!$C10,Assumptions!$G$3:$G$102,{"TRC"}))</f>
        <v>0</v>
      </c>
      <c r="AO10" s="2" cm="1">
        <f t="array" aca="1" ref="AO10" ca="1">SUM(SUMIFS(Assumptions!CO$3:CO$102,Assumptions!$B$3:$B$102,'Trucks-lcv'!$C10,Assumptions!$G$3:$G$102,{"TRC"}))</f>
        <v>0</v>
      </c>
      <c r="AP10" s="2" cm="1">
        <f t="array" aca="1" ref="AP10" ca="1">SUM(SUMIFS(Assumptions!CP$3:CP$102,Assumptions!$B$3:$B$102,'Trucks-lcv'!$C10,Assumptions!$G$3:$G$102,{"TRC"}))</f>
        <v>0</v>
      </c>
      <c r="AQ10" s="2" cm="1">
        <f t="array" aca="1" ref="AQ10" ca="1">SUM(SUMIFS(Assumptions!CQ$3:CQ$102,Assumptions!$B$3:$B$102,'Trucks-lcv'!$C10,Assumptions!$G$3:$G$102,{"TRC"}))</f>
        <v>0</v>
      </c>
      <c r="AR10" s="2" cm="1">
        <f t="array" aca="1" ref="AR10" ca="1">SUM(SUMIFS(Assumptions!CR$3:CR$102,Assumptions!$B$3:$B$102,'Trucks-lcv'!$C10,Assumptions!$G$3:$G$102,{"TRC"}))</f>
        <v>0</v>
      </c>
      <c r="AS10" s="2" cm="1">
        <f t="array" aca="1" ref="AS10" ca="1">SUM(SUMIFS(Assumptions!CS$3:CS$102,Assumptions!$B$3:$B$102,'Trucks-lcv'!$C10,Assumptions!$G$3:$G$102,{"TRC"}))</f>
        <v>0</v>
      </c>
      <c r="AT10" s="2" cm="1">
        <f t="array" aca="1" ref="AT10" ca="1">SUM(SUMIFS(Assumptions!CT$3:CT$102,Assumptions!$B$3:$B$102,'Trucks-lcv'!$C10,Assumptions!$G$3:$G$102,{"TRC"}))</f>
        <v>0</v>
      </c>
      <c r="AU10" s="2" cm="1">
        <f t="array" aca="1" ref="AU10" ca="1">SUM(SUMIFS(Assumptions!CU$3:CU$102,Assumptions!$B$3:$B$102,'Trucks-lcv'!$C10,Assumptions!$G$3:$G$102,{"TRC"}))</f>
        <v>0</v>
      </c>
      <c r="AV10" s="2" cm="1">
        <f t="array" aca="1" ref="AV10" ca="1">SUM(SUMIFS(Assumptions!CV$3:CV$102,Assumptions!$B$3:$B$102,'Trucks-lcv'!$C10,Assumptions!$G$3:$G$102,{"TRC"}))</f>
        <v>0</v>
      </c>
      <c r="AW10" s="2" cm="1">
        <f t="array" aca="1" ref="AW10" ca="1">SUM(SUMIFS(Assumptions!CW$3:CW$102,Assumptions!$B$3:$B$102,'Trucks-lcv'!$C10,Assumptions!$G$3:$G$102,{"TRC"}))</f>
        <v>0</v>
      </c>
      <c r="AX10" s="53" t="str">
        <f t="shared" ca="1" si="2"/>
        <v/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2.4016407405470758E-2</v>
      </c>
      <c r="E11" s="42">
        <f t="shared" ref="E11:U11" ca="1" si="5">SUM(E$4:E$10)/SUM($D$4:$AJ$10)</f>
        <v>1.9850002030238133E-2</v>
      </c>
      <c r="F11" s="42">
        <f t="shared" ca="1" si="5"/>
        <v>1.8927281777978984E-2</v>
      </c>
      <c r="G11" s="42">
        <f t="shared" ca="1" si="5"/>
        <v>3.9282126059592606E-3</v>
      </c>
      <c r="H11" s="42">
        <f t="shared" ca="1" si="5"/>
        <v>2.2252789712304401E-3</v>
      </c>
      <c r="I11" s="42">
        <f t="shared" ca="1" si="5"/>
        <v>8.9154962874675239E-3</v>
      </c>
      <c r="J11" s="42">
        <f t="shared" ca="1" si="5"/>
        <v>2.9348047504108642E-2</v>
      </c>
      <c r="K11" s="42">
        <f t="shared" ca="1" si="5"/>
        <v>0.1104888528306842</v>
      </c>
      <c r="L11" s="42">
        <f t="shared" ca="1" si="5"/>
        <v>2.0855692874861553E-3</v>
      </c>
      <c r="M11" s="42">
        <f t="shared" ca="1" si="5"/>
        <v>4.3724965715090363E-3</v>
      </c>
      <c r="N11" s="42">
        <f t="shared" ca="1" si="5"/>
        <v>1.9753810356217927E-2</v>
      </c>
      <c r="O11" s="42">
        <f t="shared" ca="1" si="5"/>
        <v>2.2393769872699205E-2</v>
      </c>
      <c r="P11" s="42">
        <f t="shared" ca="1" si="5"/>
        <v>2.2409425645201577E-3</v>
      </c>
      <c r="Q11" s="42">
        <f t="shared" ca="1" si="5"/>
        <v>7.6343354101599918E-3</v>
      </c>
      <c r="R11" s="42">
        <f t="shared" ca="1" si="5"/>
        <v>1.2846537581487558E-4</v>
      </c>
      <c r="S11" s="42">
        <f t="shared" ca="1" si="5"/>
        <v>5.315060556536437E-2</v>
      </c>
      <c r="T11" s="42">
        <f t="shared" ca="1" si="5"/>
        <v>1.8466997068738878E-3</v>
      </c>
      <c r="U11" s="42">
        <f t="shared" ca="1" si="5"/>
        <v>1.591591541711284E-2</v>
      </c>
      <c r="V11" s="42">
        <f t="shared" ref="V11:AW11" ca="1" si="6">SUM(V$4:V$10)/SUM($D$4:$AJ$10)</f>
        <v>3.3649626067055953E-2</v>
      </c>
      <c r="W11" s="42">
        <f t="shared" ca="1" si="6"/>
        <v>3.0734855674646427E-2</v>
      </c>
      <c r="X11" s="42">
        <f t="shared" ca="1" si="6"/>
        <v>6.6091447884592022E-2</v>
      </c>
      <c r="Y11" s="42">
        <f t="shared" ca="1" si="6"/>
        <v>0.32235206820910833</v>
      </c>
      <c r="Z11" s="42">
        <f t="shared" ca="1" si="6"/>
        <v>1.5159094339186601E-3</v>
      </c>
      <c r="AA11" s="42">
        <f t="shared" ca="1" si="6"/>
        <v>1.3761746419946479E-2</v>
      </c>
      <c r="AB11" s="42">
        <f t="shared" ca="1" si="6"/>
        <v>4.7699146559718075E-2</v>
      </c>
      <c r="AC11" s="42">
        <f t="shared" ca="1" si="6"/>
        <v>3.9069705112976486E-2</v>
      </c>
      <c r="AD11" s="42">
        <f t="shared" ca="1" si="6"/>
        <v>3.1598264636448221E-2</v>
      </c>
      <c r="AE11" s="42">
        <f t="shared" ca="1" si="6"/>
        <v>6.9924274402709263E-3</v>
      </c>
      <c r="AF11" s="42">
        <f t="shared" ca="1" si="6"/>
        <v>1.6388438265704852E-2</v>
      </c>
      <c r="AG11" s="42">
        <f t="shared" ca="1" si="6"/>
        <v>5.8819469563246097E-3</v>
      </c>
      <c r="AH11" s="42">
        <f t="shared" ca="1" si="6"/>
        <v>1.9275120317170035E-3</v>
      </c>
      <c r="AI11" s="42">
        <f t="shared" ca="1" si="6"/>
        <v>1.910786038820483E-2</v>
      </c>
      <c r="AJ11" s="42">
        <f t="shared" ca="1" si="6"/>
        <v>1.6006855378471102E-2</v>
      </c>
      <c r="AK11" s="42">
        <f t="shared" ca="1" si="6"/>
        <v>7.3908127161467227E-3</v>
      </c>
      <c r="AL11" s="42">
        <f t="shared" ca="1" si="6"/>
        <v>3.3020621883579808E-3</v>
      </c>
      <c r="AM11" s="42">
        <f t="shared" ca="1" si="6"/>
        <v>0</v>
      </c>
      <c r="AN11" s="42">
        <f t="shared" ca="1" si="6"/>
        <v>0</v>
      </c>
      <c r="AO11" s="42">
        <f t="shared" ca="1" si="6"/>
        <v>0</v>
      </c>
      <c r="AP11" s="42">
        <f t="shared" ca="1" si="6"/>
        <v>0</v>
      </c>
      <c r="AQ11" s="42">
        <f t="shared" ca="1" si="6"/>
        <v>0</v>
      </c>
      <c r="AR11" s="42">
        <f t="shared" ca="1" si="6"/>
        <v>0</v>
      </c>
      <c r="AS11" s="42">
        <f t="shared" ca="1" si="6"/>
        <v>0</v>
      </c>
      <c r="AT11" s="42">
        <f t="shared" ca="1" si="6"/>
        <v>0</v>
      </c>
      <c r="AU11" s="42">
        <f t="shared" ca="1" si="6"/>
        <v>0</v>
      </c>
      <c r="AV11" s="42">
        <f t="shared" ca="1" si="6"/>
        <v>0</v>
      </c>
      <c r="AW11" s="42">
        <f t="shared" ca="1" si="6"/>
        <v>0</v>
      </c>
      <c r="AX11" s="53" t="str">
        <f t="shared" ca="1" si="2"/>
        <v/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SUM(D13:AW13)</f>
        <v>86.909000000000006</v>
      </c>
      <c r="D13" s="1">
        <f ca="1">SUM(D19:D25)</f>
        <v>2.0569999999999999</v>
      </c>
      <c r="E13" s="1">
        <f t="shared" ref="E13:AL13" ca="1" si="7">SUM(E19:E25)</f>
        <v>1.6879999999999999</v>
      </c>
      <c r="F13" s="1">
        <f t="shared" ca="1" si="7"/>
        <v>1.6039999999999999</v>
      </c>
      <c r="G13" s="1">
        <f t="shared" ca="1" si="7"/>
        <v>0.33400000000000002</v>
      </c>
      <c r="H13" s="1">
        <f t="shared" ca="1" si="7"/>
        <v>0.192</v>
      </c>
      <c r="I13" s="1">
        <f t="shared" ca="1" si="7"/>
        <v>0.76</v>
      </c>
      <c r="J13" s="1">
        <f t="shared" ca="1" si="7"/>
        <v>2.4660000000000002</v>
      </c>
      <c r="K13" s="1">
        <f t="shared" ca="1" si="7"/>
        <v>9.3979999999999997</v>
      </c>
      <c r="L13" s="1">
        <f t="shared" ca="1" si="7"/>
        <v>0.17899999999999999</v>
      </c>
      <c r="M13" s="1">
        <f t="shared" ca="1" si="7"/>
        <v>0.374</v>
      </c>
      <c r="N13" s="1">
        <f t="shared" ca="1" si="7"/>
        <v>1.6789999999999998</v>
      </c>
      <c r="O13" s="1">
        <f t="shared" ca="1" si="7"/>
        <v>1.907</v>
      </c>
      <c r="P13" s="1">
        <f t="shared" ca="1" si="7"/>
        <v>0.19400000000000001</v>
      </c>
      <c r="Q13" s="1">
        <f t="shared" ca="1" si="7"/>
        <v>0.66400000000000003</v>
      </c>
      <c r="R13" s="1">
        <f t="shared" ca="1" si="7"/>
        <v>1.0999999999999999E-2</v>
      </c>
      <c r="S13" s="1">
        <f t="shared" ca="1" si="7"/>
        <v>4.4990000000000006</v>
      </c>
      <c r="T13" s="1">
        <f t="shared" ca="1" si="7"/>
        <v>0.15700000000000003</v>
      </c>
      <c r="U13" s="1">
        <f t="shared" ca="1" si="7"/>
        <v>1.3819999999999999</v>
      </c>
      <c r="V13" s="1">
        <f t="shared" ca="1" si="7"/>
        <v>2.8539999999999996</v>
      </c>
      <c r="W13" s="1">
        <f t="shared" ca="1" si="7"/>
        <v>2.5569999999999999</v>
      </c>
      <c r="X13" s="1">
        <f t="shared" ca="1" si="7"/>
        <v>5.5560000000000009</v>
      </c>
      <c r="Y13" s="1">
        <f t="shared" ca="1" si="7"/>
        <v>27.008000000000003</v>
      </c>
      <c r="Z13" s="1">
        <f t="shared" ca="1" si="7"/>
        <v>0.129</v>
      </c>
      <c r="AA13" s="1">
        <f t="shared" ca="1" si="7"/>
        <v>1.228</v>
      </c>
      <c r="AB13" s="1">
        <f t="shared" ca="1" si="7"/>
        <v>4.0750000000000002</v>
      </c>
      <c r="AC13" s="1">
        <f t="shared" ca="1" si="7"/>
        <v>3.3140000000000001</v>
      </c>
      <c r="AD13" s="1">
        <f t="shared" ca="1" si="7"/>
        <v>2.6579999999999999</v>
      </c>
      <c r="AE13" s="1">
        <f t="shared" ca="1" si="7"/>
        <v>0.59499999999999997</v>
      </c>
      <c r="AF13" s="1">
        <f t="shared" ca="1" si="7"/>
        <v>2.2310000000000003</v>
      </c>
      <c r="AG13" s="1">
        <f t="shared" ca="1" si="7"/>
        <v>0.499</v>
      </c>
      <c r="AH13" s="1">
        <f t="shared" ca="1" si="7"/>
        <v>0.16400000000000001</v>
      </c>
      <c r="AI13" s="1">
        <f t="shared" ca="1" si="7"/>
        <v>1.6890000000000001</v>
      </c>
      <c r="AJ13" s="1">
        <f t="shared" ca="1" si="7"/>
        <v>1.36</v>
      </c>
      <c r="AK13" s="1">
        <f t="shared" ca="1" si="7"/>
        <v>0.68100000000000005</v>
      </c>
      <c r="AL13" s="1">
        <f t="shared" ca="1" si="7"/>
        <v>0.76600000000000001</v>
      </c>
      <c r="AM13" s="1">
        <f t="shared" ref="AK13:AW13" ca="1" si="8">SUM(AM19:AM25)</f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D13/SUM($D$13:$AJ$13)</f>
        <v>2.4069176944138914E-2</v>
      </c>
      <c r="E14" s="42">
        <f t="shared" ref="E14:U14" ca="1" si="9">E13/SUM($D$13:$AJ$13)</f>
        <v>1.9751468488919049E-2</v>
      </c>
      <c r="F14" s="42">
        <f t="shared" ca="1" si="9"/>
        <v>1.8768575507242983E-2</v>
      </c>
      <c r="G14" s="42">
        <f t="shared" ca="1" si="9"/>
        <v>3.9081697128548363E-3</v>
      </c>
      <c r="H14" s="42">
        <f t="shared" ca="1" si="9"/>
        <v>2.246612529545295E-3</v>
      </c>
      <c r="I14" s="42">
        <f t="shared" ca="1" si="9"/>
        <v>8.8928412627834585E-3</v>
      </c>
      <c r="J14" s="42">
        <f t="shared" ca="1" si="9"/>
        <v>2.8854929676347382E-2</v>
      </c>
      <c r="K14" s="42">
        <f t="shared" ca="1" si="9"/>
        <v>0.10996700287847229</v>
      </c>
      <c r="L14" s="42">
        <f t="shared" ca="1" si="9"/>
        <v>2.0944981395239989E-3</v>
      </c>
      <c r="M14" s="42">
        <f t="shared" ca="1" si="9"/>
        <v>4.3762139898434393E-3</v>
      </c>
      <c r="N14" s="42">
        <f t="shared" ca="1" si="9"/>
        <v>1.9646158526596614E-2</v>
      </c>
      <c r="O14" s="42">
        <f t="shared" ca="1" si="9"/>
        <v>2.2314010905431652E-2</v>
      </c>
      <c r="P14" s="42">
        <f t="shared" ca="1" si="9"/>
        <v>2.270014743394725E-3</v>
      </c>
      <c r="Q14" s="42">
        <f t="shared" ca="1" si="9"/>
        <v>7.7695349980108118E-3</v>
      </c>
      <c r="R14" s="42">
        <f t="shared" ca="1" si="9"/>
        <v>1.2871217617186584E-4</v>
      </c>
      <c r="S14" s="42">
        <f t="shared" ca="1" si="9"/>
        <v>5.264328005429314E-2</v>
      </c>
      <c r="T14" s="42">
        <f t="shared" ca="1" si="9"/>
        <v>1.8370737871802674E-3</v>
      </c>
      <c r="U14" s="42">
        <f t="shared" ca="1" si="9"/>
        <v>1.6170929769956235E-2</v>
      </c>
      <c r="V14" s="42">
        <f t="shared" ref="V14:AJ14" ca="1" si="10">V13/SUM($D$13:$AJ$13)</f>
        <v>3.3394959163136825E-2</v>
      </c>
      <c r="W14" s="42">
        <f t="shared" ca="1" si="10"/>
        <v>2.9919730406496453E-2</v>
      </c>
      <c r="X14" s="42">
        <f t="shared" ca="1" si="10"/>
        <v>6.5011350073716986E-2</v>
      </c>
      <c r="Y14" s="42">
        <f t="shared" ca="1" si="10"/>
        <v>0.31602349582270484</v>
      </c>
      <c r="Z14" s="42">
        <f t="shared" ca="1" si="10"/>
        <v>1.5094427932882452E-3</v>
      </c>
      <c r="AA14" s="42">
        <f t="shared" ca="1" si="10"/>
        <v>1.4368959303550114E-2</v>
      </c>
      <c r="AB14" s="42">
        <f t="shared" ca="1" si="10"/>
        <v>4.7682010718213944E-2</v>
      </c>
      <c r="AC14" s="42">
        <f t="shared" ca="1" si="10"/>
        <v>3.8777468348505768E-2</v>
      </c>
      <c r="AD14" s="42">
        <f t="shared" ca="1" si="10"/>
        <v>3.1101542205892674E-2</v>
      </c>
      <c r="AE14" s="42">
        <f t="shared" ca="1" si="10"/>
        <v>6.9621586202054707E-3</v>
      </c>
      <c r="AF14" s="42">
        <f t="shared" ca="1" si="10"/>
        <v>2.6105169549039343E-2</v>
      </c>
      <c r="AG14" s="42">
        <f t="shared" ref="AG14" ca="1" si="11">AG13/SUM($D$13:$AJ$13)</f>
        <v>5.8388523554328241E-3</v>
      </c>
      <c r="AH14" s="42">
        <f t="shared" ca="1" si="10"/>
        <v>1.9189815356532728E-3</v>
      </c>
      <c r="AI14" s="42">
        <f t="shared" ca="1" si="10"/>
        <v>1.9763169595843767E-2</v>
      </c>
      <c r="AJ14" s="42">
        <f t="shared" ca="1" si="10"/>
        <v>1.5913505417612505E-2</v>
      </c>
      <c r="AK14" s="42">
        <f t="shared" ref="AK14:AW14" ca="1" si="12">AK13/SUM($D$13:$AJ$13)</f>
        <v>7.9684538157309692E-3</v>
      </c>
      <c r="AL14" s="42">
        <f t="shared" ref="AL14" ca="1" si="13">AL13/SUM($D$13:$AJ$13)</f>
        <v>8.9630479043317501E-3</v>
      </c>
      <c r="AM14" s="42">
        <f t="shared" ca="1" si="12"/>
        <v>0</v>
      </c>
      <c r="AN14" s="42">
        <f t="shared" ca="1" si="12"/>
        <v>0</v>
      </c>
      <c r="AO14" s="42">
        <f t="shared" ca="1" si="12"/>
        <v>0</v>
      </c>
      <c r="AP14" s="42">
        <f t="shared" ca="1" si="12"/>
        <v>0</v>
      </c>
      <c r="AQ14" s="42">
        <f t="shared" ca="1" si="12"/>
        <v>0</v>
      </c>
      <c r="AR14" s="42">
        <f t="shared" ca="1" si="12"/>
        <v>0</v>
      </c>
      <c r="AS14" s="42">
        <f t="shared" ca="1" si="12"/>
        <v>0</v>
      </c>
      <c r="AT14" s="42">
        <f t="shared" ca="1" si="12"/>
        <v>0</v>
      </c>
      <c r="AU14" s="42">
        <f t="shared" ca="1" si="12"/>
        <v>0</v>
      </c>
      <c r="AV14" s="42">
        <f t="shared" ca="1" si="12"/>
        <v>0</v>
      </c>
      <c r="AW14" s="42">
        <f t="shared" ca="1" si="12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>
        <f ca="1">D13/'non-road'!DB21</f>
        <v>1.036872486107194E-2</v>
      </c>
      <c r="E15" s="42">
        <f ca="1">E13/'non-road'!DC21</f>
        <v>1.6243936987809144E-3</v>
      </c>
      <c r="F15" s="42">
        <f ca="1">F13/'non-road'!DD21</f>
        <v>6.3234998442779022E-2</v>
      </c>
      <c r="G15" s="42">
        <f ca="1">G13/'non-road'!DE21</f>
        <v>3.7612951468031244E-2</v>
      </c>
      <c r="H15" s="42">
        <f ca="1">H13/'non-road'!DF21</f>
        <v>3.1815153955518441E-2</v>
      </c>
      <c r="I15" s="42">
        <f ca="1">I13/'non-road'!DG21</f>
        <v>2.5803033696623075E-2</v>
      </c>
      <c r="J15" s="42">
        <f ca="1">J13/'non-road'!DH21</f>
        <v>1.1684434968017058E-2</v>
      </c>
      <c r="K15" s="42">
        <f ca="1">K13/'non-road'!DI21</f>
        <v>6.7238073433878026E-3</v>
      </c>
      <c r="L15" s="42">
        <f ca="1">L13/'non-road'!DJ21</f>
        <v>2.9088474463894537E-2</v>
      </c>
      <c r="M15" s="42">
        <f ca="1">M13/'non-road'!DK21</f>
        <v>2.3192288254098185E-2</v>
      </c>
      <c r="N15" s="42">
        <f ca="1">N13/'non-road'!DL21</f>
        <v>2.4966951132286173E-2</v>
      </c>
      <c r="O15" s="42">
        <f ca="1">O13/'non-road'!DM21</f>
        <v>2.2950188343181736E-2</v>
      </c>
      <c r="P15" s="42">
        <f ca="1">P13/'non-road'!DN21</f>
        <v>1.627493567625294E-2</v>
      </c>
      <c r="Q15" s="42">
        <f ca="1">Q13/'non-road'!DO21</f>
        <v>1.8383930672646983E-2</v>
      </c>
      <c r="R15" s="42">
        <f ca="1">R13/'non-road'!DP21</f>
        <v>3.0507844676242429E-2</v>
      </c>
      <c r="S15" s="42">
        <f ca="1">S13/'non-road'!DQ21</f>
        <v>3.2925454838190309E-3</v>
      </c>
      <c r="T15" s="42">
        <f ca="1">T13/'non-road'!DR21</f>
        <v>3.1817831766761118E-2</v>
      </c>
      <c r="U15" s="42">
        <f ca="1">U13/'non-road'!DS21</f>
        <v>2.2944171518008632E-2</v>
      </c>
      <c r="V15" s="42">
        <f ca="1">V13/'non-road'!DT21</f>
        <v>2.2603255058804891E-2</v>
      </c>
      <c r="W15" s="42">
        <f ca="1">W13/'non-road'!DU21</f>
        <v>8.2798641608982926E-3</v>
      </c>
      <c r="X15" s="42">
        <f ca="1">X13/'non-road'!DV21</f>
        <v>2.49620077433442E-2</v>
      </c>
      <c r="Y15" s="42">
        <f ca="1">Y13/'non-road'!DW21</f>
        <v>5.4727523478245374E-2</v>
      </c>
      <c r="Z15" s="42">
        <f ca="1">Z13/'non-road'!DX21</f>
        <v>2.4121617831298268E-2</v>
      </c>
      <c r="AA15" s="42">
        <f ca="1">AA13/'non-road'!DY21</f>
        <v>3.234515547009785E-2</v>
      </c>
      <c r="AB15" s="42">
        <f ca="1">AB13/'non-road'!DZ21</f>
        <v>3.0197210128071806E-3</v>
      </c>
      <c r="AC15" s="42">
        <f ca="1">AC13/'non-road'!EA21</f>
        <v>2.1544123359284014E-2</v>
      </c>
      <c r="AD15" s="42">
        <f ca="1">AD13/'non-road'!EB21</f>
        <v>7.7563943563330739E-2</v>
      </c>
      <c r="AE15" s="42">
        <f ca="1">AE13/'non-road'!EC21</f>
        <v>1.0160814094671464E-2</v>
      </c>
      <c r="AF15" s="42">
        <f ca="1">AF13/'non-road'!ED21</f>
        <v>3.8854193152884547E-2</v>
      </c>
      <c r="AG15" s="42">
        <f ca="1">AG13/'non-road'!EE21</f>
        <v>2.3085894795865633E-2</v>
      </c>
      <c r="AH15" s="42">
        <f ca="1">AH13/'non-road'!EF21</f>
        <v>1.9124739950182386E-2</v>
      </c>
      <c r="AI15" s="42">
        <f ca="1">AI13/'non-road'!EG21</f>
        <v>2.0244613422574245E-2</v>
      </c>
      <c r="AJ15" s="42">
        <f ca="1">AJ13/'non-road'!EH21</f>
        <v>2.0348223944174054E-2</v>
      </c>
      <c r="AK15" s="42">
        <f ca="1">AK13/'non-road'!EI21</f>
        <v>1.447413306638016E-2</v>
      </c>
      <c r="AL15" s="42">
        <f ca="1">AL13/'non-road'!EJ21</f>
        <v>4.8462891217638367E-2</v>
      </c>
      <c r="AM15" s="42">
        <f ca="1">AM13/'non-road'!EK21</f>
        <v>0</v>
      </c>
      <c r="AN15" s="42">
        <f ca="1">AN13/'non-road'!EL21</f>
        <v>0</v>
      </c>
      <c r="AO15" s="42">
        <f ca="1">AO13/'non-road'!EM21</f>
        <v>0</v>
      </c>
      <c r="AP15" s="42">
        <f ca="1">AP13/'non-road'!EN21</f>
        <v>0</v>
      </c>
      <c r="AQ15" s="42">
        <f ca="1">AQ13/'non-road'!EO21</f>
        <v>0</v>
      </c>
      <c r="AR15" s="42">
        <f ca="1">AR13/'non-road'!EP21</f>
        <v>0</v>
      </c>
      <c r="AS15" s="42">
        <f ca="1">AS13/'non-road'!EQ21</f>
        <v>0</v>
      </c>
      <c r="AT15" s="42">
        <f ca="1">AT13/'non-road'!ER21</f>
        <v>0</v>
      </c>
      <c r="AU15" s="42">
        <f ca="1">AU13/'non-road'!ES21</f>
        <v>0</v>
      </c>
      <c r="AV15" s="42">
        <f ca="1">AV13/'non-road'!ET21</f>
        <v>0</v>
      </c>
      <c r="AW15" s="42" t="e">
        <f ca="1">AW13/'non-road'!EU21</f>
        <v>#VALUE!</v>
      </c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D11/D14</f>
        <v>0.99780758856895579</v>
      </c>
      <c r="E17" s="1">
        <f t="shared" ref="E17:U17" ca="1" si="14">E11/E14</f>
        <v>1.0049886691399359</v>
      </c>
      <c r="F17" s="1">
        <f t="shared" ca="1" si="14"/>
        <v>1.008455957175586</v>
      </c>
      <c r="G17" s="1">
        <f t="shared" ca="1" si="14"/>
        <v>1.0051284602709289</v>
      </c>
      <c r="H17" s="1">
        <f t="shared" ca="1" si="14"/>
        <v>0.99050412207966598</v>
      </c>
      <c r="I17" s="1">
        <f t="shared" ca="1" si="14"/>
        <v>1.0025475575257232</v>
      </c>
      <c r="J17" s="1">
        <f t="shared" ca="1" si="14"/>
        <v>1.0170895522287644</v>
      </c>
      <c r="K17" s="1">
        <f t="shared" ca="1" si="14"/>
        <v>1.0047455140046748</v>
      </c>
      <c r="L17" s="1">
        <f t="shared" ca="1" si="14"/>
        <v>0.99573699691140682</v>
      </c>
      <c r="M17" s="1">
        <f t="shared" ca="1" si="14"/>
        <v>0.99915054009172521</v>
      </c>
      <c r="N17" s="1">
        <f t="shared" ca="1" si="14"/>
        <v>1.005479535832696</v>
      </c>
      <c r="O17" s="1">
        <f t="shared" ca="1" si="14"/>
        <v>1.0035743895441109</v>
      </c>
      <c r="P17" s="1">
        <f t="shared" ca="1" si="14"/>
        <v>0.98719295592279244</v>
      </c>
      <c r="Q17" s="1">
        <f t="shared" ca="1" si="14"/>
        <v>0.98259875425164644</v>
      </c>
      <c r="R17" s="1">
        <f t="shared" ca="1" si="14"/>
        <v>0.99808254071735436</v>
      </c>
      <c r="S17" s="1">
        <f t="shared" ca="1" si="14"/>
        <v>1.0096370421931917</v>
      </c>
      <c r="T17" s="1">
        <f t="shared" ca="1" si="14"/>
        <v>1.0052398111392113</v>
      </c>
      <c r="U17" s="1">
        <f t="shared" ca="1" si="14"/>
        <v>0.98423007480267566</v>
      </c>
      <c r="V17" s="1">
        <f t="shared" ref="V17:AJ17" ca="1" si="15">V11/V14</f>
        <v>1.00762590852934</v>
      </c>
      <c r="W17" s="1">
        <f t="shared" ca="1" si="15"/>
        <v>1.0272437370616476</v>
      </c>
      <c r="X17" s="1">
        <f t="shared" ca="1" si="15"/>
        <v>1.0166139883212748</v>
      </c>
      <c r="Y17" s="1">
        <f t="shared" ca="1" si="15"/>
        <v>1.0200256388213425</v>
      </c>
      <c r="Z17" s="1">
        <f t="shared" ca="1" si="15"/>
        <v>1.0042841243531513</v>
      </c>
      <c r="AA17" s="1">
        <f t="shared" ca="1" si="15"/>
        <v>0.95774134571780623</v>
      </c>
      <c r="AB17" s="1">
        <f t="shared" ca="1" si="15"/>
        <v>1.0003593774936506</v>
      </c>
      <c r="AC17" s="1">
        <f t="shared" ca="1" si="15"/>
        <v>1.0075362517698239</v>
      </c>
      <c r="AD17" s="1">
        <f t="shared" ca="1" si="15"/>
        <v>1.0159709903537013</v>
      </c>
      <c r="AE17" s="1">
        <f t="shared" ca="1" si="15"/>
        <v>1.0043476200007293</v>
      </c>
      <c r="AF17" s="1">
        <f t="shared" ca="1" si="15"/>
        <v>0.6277851685628274</v>
      </c>
      <c r="AG17" s="1">
        <f t="shared" ref="AG17" ca="1" si="16">AG11/AG14</f>
        <v>1.0073806628886048</v>
      </c>
      <c r="AH17" s="1">
        <f t="shared" ca="1" si="15"/>
        <v>1.0044453247231619</v>
      </c>
      <c r="AI17" s="1">
        <f t="shared" ca="1" si="15"/>
        <v>0.96684189727457737</v>
      </c>
      <c r="AJ17" s="1">
        <f t="shared" ca="1" si="15"/>
        <v>1.0058660840844833</v>
      </c>
      <c r="AK17" s="1">
        <f t="shared" ref="AK17:AW17" ca="1" si="17">AK11/AK14</f>
        <v>0.92750901078903247</v>
      </c>
      <c r="AL17" s="1">
        <f t="shared" ca="1" si="17"/>
        <v>0.36840840566768895</v>
      </c>
      <c r="AM17" s="1" t="e">
        <f t="shared" ca="1" si="17"/>
        <v>#DIV/0!</v>
      </c>
      <c r="AN17" s="1" t="e">
        <f t="shared" ca="1" si="17"/>
        <v>#DIV/0!</v>
      </c>
      <c r="AO17" s="1" t="e">
        <f t="shared" ca="1" si="17"/>
        <v>#DIV/0!</v>
      </c>
      <c r="AP17" s="1" t="e">
        <f t="shared" ca="1" si="17"/>
        <v>#DIV/0!</v>
      </c>
      <c r="AQ17" s="1" t="e">
        <f t="shared" ca="1" si="17"/>
        <v>#DIV/0!</v>
      </c>
      <c r="AR17" s="1" t="e">
        <f t="shared" ca="1" si="17"/>
        <v>#DIV/0!</v>
      </c>
      <c r="AS17" s="1" t="e">
        <f t="shared" ca="1" si="17"/>
        <v>#DIV/0!</v>
      </c>
      <c r="AT17" s="1" t="e">
        <f t="shared" ca="1" si="17"/>
        <v>#DIV/0!</v>
      </c>
      <c r="AU17" s="1" t="e">
        <f t="shared" ca="1" si="17"/>
        <v>#DIV/0!</v>
      </c>
      <c r="AV17" s="1" t="e">
        <f t="shared" ca="1" si="17"/>
        <v>#DIV/0!</v>
      </c>
      <c r="AW17" s="1" t="e">
        <f t="shared" ca="1" si="17"/>
        <v>#DIV/0!</v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8">C4</f>
        <v>TRABDS</v>
      </c>
      <c r="D19" s="40">
        <f ca="1">ROUND(D4*D28/D36,3)</f>
        <v>0</v>
      </c>
      <c r="E19" s="40">
        <f t="shared" ref="E19:U19" ca="1" si="19">ROUND(E4*E28/E36,3)</f>
        <v>0</v>
      </c>
      <c r="F19" s="40">
        <f t="shared" ca="1" si="19"/>
        <v>0</v>
      </c>
      <c r="G19" s="40">
        <f t="shared" ca="1" si="19"/>
        <v>0.02</v>
      </c>
      <c r="H19" s="40">
        <f t="shared" ca="1" si="19"/>
        <v>4.0000000000000001E-3</v>
      </c>
      <c r="I19" s="40">
        <f t="shared" ca="1" si="19"/>
        <v>4.2000000000000003E-2</v>
      </c>
      <c r="J19" s="40">
        <f t="shared" ca="1" si="19"/>
        <v>0.57499999999999996</v>
      </c>
      <c r="K19" s="40">
        <f t="shared" ca="1" si="19"/>
        <v>3.2000000000000001E-2</v>
      </c>
      <c r="L19" s="40">
        <f t="shared" ca="1" si="19"/>
        <v>7.0000000000000001E-3</v>
      </c>
      <c r="M19" s="40">
        <f t="shared" ca="1" si="19"/>
        <v>1.9E-2</v>
      </c>
      <c r="N19" s="40">
        <f t="shared" ca="1" si="19"/>
        <v>0.12</v>
      </c>
      <c r="O19" s="40">
        <f t="shared" ca="1" si="19"/>
        <v>0.09</v>
      </c>
      <c r="P19" s="40">
        <f t="shared" ca="1" si="19"/>
        <v>8.0000000000000002E-3</v>
      </c>
      <c r="Q19" s="40">
        <f t="shared" ca="1" si="19"/>
        <v>0.03</v>
      </c>
      <c r="R19" s="40">
        <f t="shared" ca="1" si="19"/>
        <v>1E-3</v>
      </c>
      <c r="S19" s="40">
        <f t="shared" ca="1" si="19"/>
        <v>3.0000000000000001E-3</v>
      </c>
      <c r="T19" s="40">
        <f t="shared" ca="1" si="19"/>
        <v>8.0000000000000002E-3</v>
      </c>
      <c r="U19" s="40">
        <f t="shared" ca="1" si="19"/>
        <v>0.06</v>
      </c>
      <c r="V19" s="40">
        <f t="shared" ref="V19:AW19" ca="1" si="20">ROUND(V4*V28/V36,3)</f>
        <v>1E-3</v>
      </c>
      <c r="W19" s="40">
        <f t="shared" ca="1" si="20"/>
        <v>6.6000000000000003E-2</v>
      </c>
      <c r="X19" s="40">
        <f t="shared" ca="1" si="20"/>
        <v>0</v>
      </c>
      <c r="Y19" s="40">
        <f t="shared" ca="1" si="20"/>
        <v>9.5000000000000001E-2</v>
      </c>
      <c r="Z19" s="40">
        <f t="shared" ca="1" si="20"/>
        <v>0.02</v>
      </c>
      <c r="AA19" s="40">
        <f t="shared" ca="1" si="20"/>
        <v>0.04</v>
      </c>
      <c r="AB19" s="40">
        <f t="shared" ca="1" si="20"/>
        <v>0.249</v>
      </c>
      <c r="AC19" s="40">
        <f t="shared" ca="1" si="20"/>
        <v>0</v>
      </c>
      <c r="AD19" s="40">
        <f t="shared" ca="1" si="20"/>
        <v>0</v>
      </c>
      <c r="AE19" s="40">
        <f t="shared" ca="1" si="20"/>
        <v>0</v>
      </c>
      <c r="AF19" s="40">
        <f t="shared" ca="1" si="20"/>
        <v>0.13400000000000001</v>
      </c>
      <c r="AG19" s="40">
        <f t="shared" ca="1" si="20"/>
        <v>8.2000000000000003E-2</v>
      </c>
      <c r="AH19" s="40">
        <f t="shared" ca="1" si="20"/>
        <v>7.0000000000000001E-3</v>
      </c>
      <c r="AI19" s="40">
        <f t="shared" ca="1" si="20"/>
        <v>6.0000000000000001E-3</v>
      </c>
      <c r="AJ19" s="40">
        <f t="shared" ca="1" si="20"/>
        <v>0.06</v>
      </c>
      <c r="AK19" s="40">
        <f t="shared" ca="1" si="20"/>
        <v>0</v>
      </c>
      <c r="AL19" s="40">
        <f t="shared" ca="1" si="20"/>
        <v>1.4999999999999999E-2</v>
      </c>
      <c r="AM19" s="40">
        <f t="shared" ca="1" si="20"/>
        <v>0</v>
      </c>
      <c r="AN19" s="40">
        <f t="shared" ca="1" si="20"/>
        <v>0</v>
      </c>
      <c r="AO19" s="40">
        <f t="shared" ca="1" si="20"/>
        <v>0</v>
      </c>
      <c r="AP19" s="40">
        <f t="shared" ca="1" si="20"/>
        <v>0</v>
      </c>
      <c r="AQ19" s="40">
        <f t="shared" ca="1" si="20"/>
        <v>0</v>
      </c>
      <c r="AR19" s="40">
        <f t="shared" ca="1" si="20"/>
        <v>0</v>
      </c>
      <c r="AS19" s="40">
        <f t="shared" ca="1" si="20"/>
        <v>0</v>
      </c>
      <c r="AT19" s="40">
        <f t="shared" ca="1" si="20"/>
        <v>0</v>
      </c>
      <c r="AU19" s="40">
        <f t="shared" ca="1" si="20"/>
        <v>0</v>
      </c>
      <c r="AV19" s="40">
        <f t="shared" ca="1" si="20"/>
        <v>0</v>
      </c>
      <c r="AW19" s="40">
        <f t="shared" ca="1" si="20"/>
        <v>0</v>
      </c>
      <c r="AY19" t="s">
        <v>358</v>
      </c>
      <c r="AZ19" t="str">
        <f ca="1">IF(AX4="zero","\I:",$BA$45&amp;"_"&amp;VLOOKUP(C19,'TRA balance'!$BB$5:$BC$15,2,FALSE))</f>
        <v>Trd_lcv_bdl</v>
      </c>
      <c r="BA19" t="str">
        <f t="shared" ca="1" si="0"/>
        <v>Trd_lcv</v>
      </c>
      <c r="BB19">
        <f t="shared" ca="1" si="1"/>
        <v>25</v>
      </c>
      <c r="BD19" t="str">
        <f t="shared" ca="1" si="3"/>
        <v>DMD</v>
      </c>
      <c r="BE19" t="str">
        <f t="shared" ca="1" si="4"/>
        <v>Trd_lcv_bdl</v>
      </c>
      <c r="BG19" t="s">
        <v>156</v>
      </c>
      <c r="BH19" t="s">
        <v>352</v>
      </c>
      <c r="BI19" t="s">
        <v>359</v>
      </c>
    </row>
    <row r="20" spans="1:61">
      <c r="C20" t="str">
        <f t="shared" si="18"/>
        <v>TRABGS</v>
      </c>
      <c r="D20" s="40">
        <f t="shared" ref="D20:AW25" ca="1" si="21">ROUND(D5*D29/D37,3)</f>
        <v>0</v>
      </c>
      <c r="E20" s="40">
        <f t="shared" ref="E20:U20" ca="1" si="22">ROUND(E5*E29/E37,3)</f>
        <v>0</v>
      </c>
      <c r="F20" s="40">
        <f t="shared" ca="1" si="22"/>
        <v>0</v>
      </c>
      <c r="G20" s="40">
        <f t="shared" ca="1" si="22"/>
        <v>0</v>
      </c>
      <c r="H20" s="40">
        <f t="shared" ca="1" si="22"/>
        <v>0</v>
      </c>
      <c r="I20" s="40">
        <f t="shared" ca="1" si="22"/>
        <v>0</v>
      </c>
      <c r="J20" s="40">
        <f t="shared" ca="1" si="22"/>
        <v>0</v>
      </c>
      <c r="K20" s="40">
        <f t="shared" ca="1" si="22"/>
        <v>0</v>
      </c>
      <c r="L20" s="40">
        <f t="shared" ca="1" si="22"/>
        <v>0</v>
      </c>
      <c r="M20" s="40">
        <f t="shared" ca="1" si="22"/>
        <v>0</v>
      </c>
      <c r="N20" s="40">
        <f t="shared" ca="1" si="22"/>
        <v>0</v>
      </c>
      <c r="O20" s="40">
        <f t="shared" ca="1" si="22"/>
        <v>0</v>
      </c>
      <c r="P20" s="40">
        <f t="shared" ca="1" si="22"/>
        <v>0</v>
      </c>
      <c r="Q20" s="40">
        <f t="shared" ca="1" si="22"/>
        <v>0</v>
      </c>
      <c r="R20" s="40">
        <f t="shared" ca="1" si="22"/>
        <v>0</v>
      </c>
      <c r="S20" s="40">
        <f t="shared" ca="1" si="22"/>
        <v>0</v>
      </c>
      <c r="T20" s="40">
        <f t="shared" ca="1" si="22"/>
        <v>0</v>
      </c>
      <c r="U20" s="40">
        <f t="shared" ca="1" si="22"/>
        <v>0</v>
      </c>
      <c r="V20" s="40">
        <f t="shared" ca="1" si="21"/>
        <v>0</v>
      </c>
      <c r="W20" s="40">
        <f t="shared" ca="1" si="21"/>
        <v>0</v>
      </c>
      <c r="X20" s="40">
        <f t="shared" ca="1" si="21"/>
        <v>0</v>
      </c>
      <c r="Y20" s="40">
        <f t="shared" ca="1" si="21"/>
        <v>0</v>
      </c>
      <c r="Z20" s="40">
        <f t="shared" ca="1" si="21"/>
        <v>0</v>
      </c>
      <c r="AA20" s="40">
        <f t="shared" ca="1" si="21"/>
        <v>0</v>
      </c>
      <c r="AB20" s="40">
        <f t="shared" ca="1" si="21"/>
        <v>0</v>
      </c>
      <c r="AC20" s="40">
        <f t="shared" ca="1" si="21"/>
        <v>0</v>
      </c>
      <c r="AD20" s="40">
        <f t="shared" ca="1" si="21"/>
        <v>0</v>
      </c>
      <c r="AE20" s="40">
        <f t="shared" ca="1" si="21"/>
        <v>0</v>
      </c>
      <c r="AF20" s="40">
        <f t="shared" ca="1" si="21"/>
        <v>0</v>
      </c>
      <c r="AG20" s="40">
        <f t="shared" ca="1" si="21"/>
        <v>0</v>
      </c>
      <c r="AH20" s="40">
        <f t="shared" ca="1" si="21"/>
        <v>0</v>
      </c>
      <c r="AI20" s="40">
        <f t="shared" ca="1" si="21"/>
        <v>0</v>
      </c>
      <c r="AJ20" s="40">
        <f t="shared" ca="1" si="21"/>
        <v>0</v>
      </c>
      <c r="AK20" s="40">
        <f t="shared" ca="1" si="21"/>
        <v>0</v>
      </c>
      <c r="AL20" s="40">
        <f t="shared" ca="1" si="21"/>
        <v>0</v>
      </c>
      <c r="AM20" s="40">
        <f t="shared" ca="1" si="21"/>
        <v>0</v>
      </c>
      <c r="AN20" s="40">
        <f t="shared" ca="1" si="21"/>
        <v>0</v>
      </c>
      <c r="AO20" s="40">
        <f t="shared" ca="1" si="21"/>
        <v>0</v>
      </c>
      <c r="AP20" s="40">
        <f t="shared" ca="1" si="21"/>
        <v>0</v>
      </c>
      <c r="AQ20" s="40">
        <f t="shared" ca="1" si="21"/>
        <v>0</v>
      </c>
      <c r="AR20" s="40">
        <f t="shared" ca="1" si="21"/>
        <v>0</v>
      </c>
      <c r="AS20" s="40">
        <f t="shared" ca="1" si="21"/>
        <v>0</v>
      </c>
      <c r="AT20" s="40">
        <f t="shared" ca="1" si="21"/>
        <v>0</v>
      </c>
      <c r="AU20" s="40">
        <f t="shared" ca="1" si="21"/>
        <v>0</v>
      </c>
      <c r="AV20" s="40">
        <f t="shared" ca="1" si="21"/>
        <v>0</v>
      </c>
      <c r="AW20" s="40">
        <f t="shared" ca="1" si="21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Trd_lcv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8"/>
        <v>TRADST</v>
      </c>
      <c r="D21" s="40">
        <f t="shared" ca="1" si="21"/>
        <v>1.9</v>
      </c>
      <c r="E21" s="40">
        <f t="shared" ref="E21:U21" ca="1" si="23">ROUND(E6*E30/E38,3)</f>
        <v>1.6879999999999999</v>
      </c>
      <c r="F21" s="40">
        <f t="shared" ca="1" si="23"/>
        <v>1.071</v>
      </c>
      <c r="G21" s="40">
        <f t="shared" ca="1" si="23"/>
        <v>0.29499999999999998</v>
      </c>
      <c r="H21" s="40">
        <f t="shared" ca="1" si="23"/>
        <v>0.109</v>
      </c>
      <c r="I21" s="40">
        <f t="shared" ca="1" si="23"/>
        <v>0.624</v>
      </c>
      <c r="J21" s="40">
        <f t="shared" ca="1" si="23"/>
        <v>1.2669999999999999</v>
      </c>
      <c r="K21" s="40">
        <f t="shared" ca="1" si="23"/>
        <v>3.3149999999999999</v>
      </c>
      <c r="L21" s="40">
        <f t="shared" ca="1" si="23"/>
        <v>0.13700000000000001</v>
      </c>
      <c r="M21" s="40">
        <f t="shared" ca="1" si="23"/>
        <v>0.29399999999999998</v>
      </c>
      <c r="N21" s="40">
        <f t="shared" ca="1" si="23"/>
        <v>1.4650000000000001</v>
      </c>
      <c r="O21" s="40">
        <f t="shared" ca="1" si="23"/>
        <v>1.5820000000000001</v>
      </c>
      <c r="P21" s="40">
        <f t="shared" ca="1" si="23"/>
        <v>0.128</v>
      </c>
      <c r="Q21" s="40">
        <f t="shared" ca="1" si="23"/>
        <v>0.45900000000000002</v>
      </c>
      <c r="R21" s="40">
        <f t="shared" ca="1" si="23"/>
        <v>8.9999999999999993E-3</v>
      </c>
      <c r="S21" s="40">
        <f t="shared" ca="1" si="23"/>
        <v>4.3310000000000004</v>
      </c>
      <c r="T21" s="40">
        <f t="shared" ca="1" si="23"/>
        <v>0.14000000000000001</v>
      </c>
      <c r="U21" s="40">
        <f t="shared" ca="1" si="23"/>
        <v>1.0249999999999999</v>
      </c>
      <c r="V21" s="40">
        <f t="shared" ca="1" si="21"/>
        <v>1.2350000000000001</v>
      </c>
      <c r="W21" s="40">
        <f t="shared" ca="1" si="21"/>
        <v>1.3009999999999999</v>
      </c>
      <c r="X21" s="40">
        <f t="shared" ca="1" si="21"/>
        <v>1.919</v>
      </c>
      <c r="Y21" s="40">
        <f t="shared" ca="1" si="21"/>
        <v>2.9169999999999998</v>
      </c>
      <c r="Z21" s="40">
        <f t="shared" ca="1" si="21"/>
        <v>0.10100000000000001</v>
      </c>
      <c r="AA21" s="40">
        <f t="shared" ca="1" si="21"/>
        <v>0.67500000000000004</v>
      </c>
      <c r="AB21" s="40">
        <f t="shared" ca="1" si="21"/>
        <v>3.5059999999999998</v>
      </c>
      <c r="AC21" s="40">
        <f t="shared" ca="1" si="21"/>
        <v>0.63200000000000001</v>
      </c>
      <c r="AD21" s="40">
        <f t="shared" ca="1" si="21"/>
        <v>1.091</v>
      </c>
      <c r="AE21" s="40">
        <f t="shared" ca="1" si="21"/>
        <v>0.59299999999999997</v>
      </c>
      <c r="AF21" s="40">
        <f t="shared" ca="1" si="21"/>
        <v>1.9570000000000001</v>
      </c>
      <c r="AG21" s="40">
        <f t="shared" ca="1" si="21"/>
        <v>0.36699999999999999</v>
      </c>
      <c r="AH21" s="40">
        <f t="shared" ca="1" si="21"/>
        <v>0.13</v>
      </c>
      <c r="AI21" s="40">
        <f t="shared" ca="1" si="21"/>
        <v>1.054</v>
      </c>
      <c r="AJ21" s="40">
        <f t="shared" ca="1" si="21"/>
        <v>1.155</v>
      </c>
      <c r="AK21" s="40">
        <f t="shared" ca="1" si="21"/>
        <v>0.16400000000000001</v>
      </c>
      <c r="AL21" s="40">
        <f t="shared" ca="1" si="21"/>
        <v>0.56999999999999995</v>
      </c>
      <c r="AM21" s="40">
        <f t="shared" ca="1" si="21"/>
        <v>0</v>
      </c>
      <c r="AN21" s="40">
        <f t="shared" ca="1" si="21"/>
        <v>0</v>
      </c>
      <c r="AO21" s="40">
        <f t="shared" ca="1" si="21"/>
        <v>0</v>
      </c>
      <c r="AP21" s="40">
        <f t="shared" ca="1" si="21"/>
        <v>0</v>
      </c>
      <c r="AQ21" s="40">
        <f t="shared" ca="1" si="21"/>
        <v>0</v>
      </c>
      <c r="AR21" s="40">
        <f t="shared" ca="1" si="21"/>
        <v>0</v>
      </c>
      <c r="AS21" s="40">
        <f t="shared" ca="1" si="21"/>
        <v>0</v>
      </c>
      <c r="AT21" s="40">
        <f t="shared" ca="1" si="21"/>
        <v>0</v>
      </c>
      <c r="AU21" s="40">
        <f t="shared" ca="1" si="21"/>
        <v>0</v>
      </c>
      <c r="AV21" s="40">
        <f t="shared" ca="1" si="21"/>
        <v>0</v>
      </c>
      <c r="AW21" s="40">
        <f t="shared" ca="1" si="21"/>
        <v>0</v>
      </c>
      <c r="AY21" t="s">
        <v>358</v>
      </c>
      <c r="AZ21" t="str">
        <f ca="1">IF(AX6="zero","\I:",$BA$45&amp;"_"&amp;VLOOKUP(C21,'TRA balance'!$BB$5:$BC$15,2,FALSE))</f>
        <v>Trd_lcv_dsl</v>
      </c>
      <c r="BA21" t="str">
        <f t="shared" ca="1" si="0"/>
        <v>Trd_lcv</v>
      </c>
      <c r="BB21">
        <f t="shared" ca="1" si="1"/>
        <v>25</v>
      </c>
      <c r="BD21" t="str">
        <f t="shared" ca="1" si="3"/>
        <v>DMD</v>
      </c>
      <c r="BE21" t="str">
        <f t="shared" ca="1" si="4"/>
        <v>Trd_lcv_dsl</v>
      </c>
      <c r="BG21" t="s">
        <v>156</v>
      </c>
      <c r="BH21" t="s">
        <v>352</v>
      </c>
      <c r="BI21" t="s">
        <v>359</v>
      </c>
    </row>
    <row r="22" spans="1:61">
      <c r="C22" t="str">
        <f t="shared" si="18"/>
        <v>TRAELC</v>
      </c>
      <c r="D22" s="40">
        <f t="shared" ca="1" si="21"/>
        <v>0</v>
      </c>
      <c r="E22" s="40">
        <f t="shared" ref="E22:U22" ca="1" si="24">ROUND(E7*E31/E39,3)</f>
        <v>0</v>
      </c>
      <c r="F22" s="40">
        <f t="shared" ca="1" si="24"/>
        <v>0</v>
      </c>
      <c r="G22" s="40">
        <f t="shared" ca="1" si="24"/>
        <v>0</v>
      </c>
      <c r="H22" s="40">
        <f t="shared" ca="1" si="24"/>
        <v>0</v>
      </c>
      <c r="I22" s="40">
        <f t="shared" ca="1" si="24"/>
        <v>0</v>
      </c>
      <c r="J22" s="40">
        <f t="shared" ca="1" si="24"/>
        <v>0</v>
      </c>
      <c r="K22" s="40">
        <f t="shared" ca="1" si="24"/>
        <v>0.45700000000000002</v>
      </c>
      <c r="L22" s="40">
        <f t="shared" ca="1" si="24"/>
        <v>0</v>
      </c>
      <c r="M22" s="40">
        <f t="shared" ca="1" si="24"/>
        <v>0</v>
      </c>
      <c r="N22" s="40">
        <f t="shared" ca="1" si="24"/>
        <v>0</v>
      </c>
      <c r="O22" s="40">
        <f t="shared" ca="1" si="24"/>
        <v>0</v>
      </c>
      <c r="P22" s="40">
        <f t="shared" ca="1" si="24"/>
        <v>0</v>
      </c>
      <c r="Q22" s="40">
        <f t="shared" ca="1" si="24"/>
        <v>0</v>
      </c>
      <c r="R22" s="40">
        <f t="shared" ca="1" si="24"/>
        <v>0</v>
      </c>
      <c r="S22" s="40">
        <f t="shared" ca="1" si="24"/>
        <v>0</v>
      </c>
      <c r="T22" s="40">
        <f t="shared" ca="1" si="24"/>
        <v>0</v>
      </c>
      <c r="U22" s="40">
        <f t="shared" ca="1" si="24"/>
        <v>0</v>
      </c>
      <c r="V22" s="40">
        <f t="shared" ca="1" si="21"/>
        <v>0</v>
      </c>
      <c r="W22" s="40">
        <f t="shared" ca="1" si="21"/>
        <v>0</v>
      </c>
      <c r="X22" s="40">
        <f t="shared" ca="1" si="21"/>
        <v>0</v>
      </c>
      <c r="Y22" s="40">
        <f t="shared" ca="1" si="21"/>
        <v>0</v>
      </c>
      <c r="Z22" s="40">
        <f t="shared" ca="1" si="21"/>
        <v>0</v>
      </c>
      <c r="AA22" s="40">
        <f t="shared" ca="1" si="21"/>
        <v>0</v>
      </c>
      <c r="AB22" s="40">
        <f t="shared" ca="1" si="21"/>
        <v>0</v>
      </c>
      <c r="AC22" s="40">
        <f t="shared" ca="1" si="21"/>
        <v>0</v>
      </c>
      <c r="AD22" s="40">
        <f t="shared" ca="1" si="21"/>
        <v>0</v>
      </c>
      <c r="AE22" s="40">
        <f t="shared" ca="1" si="21"/>
        <v>0</v>
      </c>
      <c r="AF22" s="40">
        <f t="shared" ca="1" si="21"/>
        <v>0</v>
      </c>
      <c r="AG22" s="40">
        <f t="shared" ca="1" si="21"/>
        <v>0</v>
      </c>
      <c r="AH22" s="40">
        <f t="shared" ca="1" si="21"/>
        <v>0</v>
      </c>
      <c r="AI22" s="40">
        <f t="shared" ca="1" si="21"/>
        <v>0</v>
      </c>
      <c r="AJ22" s="40">
        <f t="shared" ca="1" si="21"/>
        <v>0</v>
      </c>
      <c r="AK22" s="40">
        <f t="shared" ca="1" si="21"/>
        <v>0</v>
      </c>
      <c r="AL22" s="40">
        <f t="shared" ca="1" si="21"/>
        <v>0</v>
      </c>
      <c r="AM22" s="40">
        <f t="shared" ca="1" si="21"/>
        <v>0</v>
      </c>
      <c r="AN22" s="40">
        <f t="shared" ca="1" si="21"/>
        <v>0</v>
      </c>
      <c r="AO22" s="40">
        <f t="shared" ca="1" si="21"/>
        <v>0</v>
      </c>
      <c r="AP22" s="40">
        <f t="shared" ca="1" si="21"/>
        <v>0</v>
      </c>
      <c r="AQ22" s="40">
        <f t="shared" ca="1" si="21"/>
        <v>0</v>
      </c>
      <c r="AR22" s="40">
        <f t="shared" ca="1" si="21"/>
        <v>0</v>
      </c>
      <c r="AS22" s="40">
        <f t="shared" ca="1" si="21"/>
        <v>0</v>
      </c>
      <c r="AT22" s="40">
        <f t="shared" ca="1" si="21"/>
        <v>0</v>
      </c>
      <c r="AU22" s="40">
        <f t="shared" ca="1" si="21"/>
        <v>0</v>
      </c>
      <c r="AV22" s="40">
        <f t="shared" ca="1" si="21"/>
        <v>0</v>
      </c>
      <c r="AW22" s="40">
        <f t="shared" ca="1" si="21"/>
        <v>0</v>
      </c>
      <c r="AY22" t="s">
        <v>358</v>
      </c>
      <c r="AZ22" t="str">
        <f ca="1">IF(AX7="zero","\I:",$BA$45&amp;"_"&amp;VLOOKUP(C22,'TRA balance'!$BB$5:$BC$15,2,FALSE))</f>
        <v>Trd_lcv_elc</v>
      </c>
      <c r="BA22" t="str">
        <f t="shared" ca="1" si="0"/>
        <v>Trd_lcv</v>
      </c>
      <c r="BB22">
        <f t="shared" ca="1" si="1"/>
        <v>25</v>
      </c>
      <c r="BD22" t="str">
        <f t="shared" ca="1" si="3"/>
        <v>DMD</v>
      </c>
      <c r="BE22" t="str">
        <f t="shared" ca="1" si="4"/>
        <v>Trd_lcv_elc</v>
      </c>
      <c r="BG22" t="s">
        <v>156</v>
      </c>
      <c r="BH22" t="s">
        <v>352</v>
      </c>
      <c r="BI22" t="s">
        <v>359</v>
      </c>
    </row>
    <row r="23" spans="1:61">
      <c r="C23" t="str">
        <f t="shared" si="18"/>
        <v>TRAGSL</v>
      </c>
      <c r="D23" s="40">
        <f t="shared" ca="1" si="21"/>
        <v>0</v>
      </c>
      <c r="E23" s="40">
        <f t="shared" ref="E23:U23" ca="1" si="25">ROUND(E8*E32/E40,3)</f>
        <v>0</v>
      </c>
      <c r="F23" s="40">
        <f t="shared" ca="1" si="25"/>
        <v>0.504</v>
      </c>
      <c r="G23" s="40">
        <f t="shared" ca="1" si="25"/>
        <v>1.7999999999999999E-2</v>
      </c>
      <c r="H23" s="40">
        <f t="shared" ca="1" si="25"/>
        <v>4.3999999999999997E-2</v>
      </c>
      <c r="I23" s="40">
        <f t="shared" ca="1" si="25"/>
        <v>7.0999999999999994E-2</v>
      </c>
      <c r="J23" s="40">
        <f t="shared" ca="1" si="25"/>
        <v>0.48499999999999999</v>
      </c>
      <c r="K23" s="40">
        <f t="shared" ca="1" si="25"/>
        <v>4.4740000000000002</v>
      </c>
      <c r="L23" s="40">
        <f t="shared" ca="1" si="25"/>
        <v>1.7999999999999999E-2</v>
      </c>
      <c r="M23" s="40">
        <f t="shared" ca="1" si="25"/>
        <v>4.2000000000000003E-2</v>
      </c>
      <c r="N23" s="40">
        <f t="shared" ca="1" si="25"/>
        <v>8.6999999999999994E-2</v>
      </c>
      <c r="O23" s="40">
        <f t="shared" ca="1" si="25"/>
        <v>0.192</v>
      </c>
      <c r="P23" s="40">
        <f t="shared" ca="1" si="25"/>
        <v>0.03</v>
      </c>
      <c r="Q23" s="40">
        <f t="shared" ca="1" si="25"/>
        <v>6.5000000000000002E-2</v>
      </c>
      <c r="R23" s="40">
        <f t="shared" ca="1" si="25"/>
        <v>1E-3</v>
      </c>
      <c r="S23" s="40">
        <f t="shared" ca="1" si="25"/>
        <v>0</v>
      </c>
      <c r="T23" s="40">
        <f t="shared" ca="1" si="25"/>
        <v>8.9999999999999993E-3</v>
      </c>
      <c r="U23" s="40">
        <f t="shared" ca="1" si="25"/>
        <v>8.6999999999999994E-2</v>
      </c>
      <c r="V23" s="40">
        <f t="shared" ca="1" si="21"/>
        <v>1.476</v>
      </c>
      <c r="W23" s="40">
        <f t="shared" ca="1" si="21"/>
        <v>0.92300000000000004</v>
      </c>
      <c r="X23" s="40">
        <f t="shared" ca="1" si="21"/>
        <v>3.6280000000000001</v>
      </c>
      <c r="Y23" s="40">
        <f t="shared" ca="1" si="21"/>
        <v>23.763000000000002</v>
      </c>
      <c r="Z23" s="40">
        <f t="shared" ca="1" si="21"/>
        <v>7.0000000000000001E-3</v>
      </c>
      <c r="AA23" s="40">
        <f t="shared" ca="1" si="21"/>
        <v>9.0999999999999998E-2</v>
      </c>
      <c r="AB23" s="40">
        <f t="shared" ca="1" si="21"/>
        <v>0</v>
      </c>
      <c r="AC23" s="40">
        <f t="shared" ca="1" si="21"/>
        <v>2.3780000000000001</v>
      </c>
      <c r="AD23" s="40">
        <f t="shared" ca="1" si="21"/>
        <v>1.5669999999999999</v>
      </c>
      <c r="AE23" s="40">
        <f t="shared" ca="1" si="21"/>
        <v>0</v>
      </c>
      <c r="AF23" s="40">
        <f t="shared" ca="1" si="21"/>
        <v>0.115</v>
      </c>
      <c r="AG23" s="40">
        <f t="shared" ca="1" si="21"/>
        <v>0.05</v>
      </c>
      <c r="AH23" s="40">
        <f t="shared" ca="1" si="21"/>
        <v>2.7E-2</v>
      </c>
      <c r="AI23" s="40">
        <f t="shared" ca="1" si="21"/>
        <v>0.153</v>
      </c>
      <c r="AJ23" s="40">
        <f t="shared" ca="1" si="21"/>
        <v>0.13700000000000001</v>
      </c>
      <c r="AK23" s="40">
        <f t="shared" ca="1" si="21"/>
        <v>0.11899999999999999</v>
      </c>
      <c r="AL23" s="40">
        <f t="shared" ca="1" si="21"/>
        <v>4.9000000000000002E-2</v>
      </c>
      <c r="AM23" s="40">
        <f t="shared" ca="1" si="21"/>
        <v>0</v>
      </c>
      <c r="AN23" s="40">
        <f t="shared" ca="1" si="21"/>
        <v>0</v>
      </c>
      <c r="AO23" s="40">
        <f t="shared" ca="1" si="21"/>
        <v>0</v>
      </c>
      <c r="AP23" s="40">
        <f t="shared" ca="1" si="21"/>
        <v>0</v>
      </c>
      <c r="AQ23" s="40">
        <f t="shared" ca="1" si="21"/>
        <v>0</v>
      </c>
      <c r="AR23" s="40">
        <f t="shared" ca="1" si="21"/>
        <v>0</v>
      </c>
      <c r="AS23" s="40">
        <f t="shared" ca="1" si="21"/>
        <v>0</v>
      </c>
      <c r="AT23" s="40">
        <f t="shared" ca="1" si="21"/>
        <v>0</v>
      </c>
      <c r="AU23" s="40">
        <f t="shared" ca="1" si="21"/>
        <v>0</v>
      </c>
      <c r="AV23" s="40">
        <f t="shared" ca="1" si="21"/>
        <v>0</v>
      </c>
      <c r="AW23" s="40">
        <f t="shared" ca="1" si="21"/>
        <v>0</v>
      </c>
      <c r="AY23" t="s">
        <v>358</v>
      </c>
      <c r="AZ23" t="str">
        <f ca="1">IF(AX8="zero","\I:",$BA$45&amp;"_"&amp;VLOOKUP(C23,'TRA balance'!$BB$5:$BC$15,2,FALSE))</f>
        <v>Trd_lcv_gsl</v>
      </c>
      <c r="BA23" t="str">
        <f t="shared" ca="1" si="0"/>
        <v>Trd_lcv</v>
      </c>
      <c r="BB23">
        <f t="shared" ca="1" si="1"/>
        <v>25</v>
      </c>
      <c r="BD23" t="str">
        <f t="shared" ca="1" si="3"/>
        <v>DMD</v>
      </c>
      <c r="BE23" t="str">
        <f t="shared" ca="1" si="4"/>
        <v>Trd_lcv_gsl</v>
      </c>
      <c r="BG23" t="s">
        <v>156</v>
      </c>
      <c r="BH23" t="s">
        <v>352</v>
      </c>
      <c r="BI23" t="s">
        <v>359</v>
      </c>
    </row>
    <row r="24" spans="1:61">
      <c r="C24" t="str">
        <f t="shared" si="18"/>
        <v>TRALPG</v>
      </c>
      <c r="D24" s="40">
        <f t="shared" ca="1" si="21"/>
        <v>0.13200000000000001</v>
      </c>
      <c r="E24" s="40">
        <f t="shared" ref="E24:U24" ca="1" si="26">ROUND(E9*E33/E41,3)</f>
        <v>0</v>
      </c>
      <c r="F24" s="40">
        <f t="shared" ca="1" si="26"/>
        <v>2.5000000000000001E-2</v>
      </c>
      <c r="G24" s="40">
        <f t="shared" ca="1" si="26"/>
        <v>1E-3</v>
      </c>
      <c r="H24" s="40">
        <f t="shared" ca="1" si="26"/>
        <v>3.3000000000000002E-2</v>
      </c>
      <c r="I24" s="40">
        <f t="shared" ca="1" si="26"/>
        <v>2.3E-2</v>
      </c>
      <c r="J24" s="40">
        <f t="shared" ca="1" si="26"/>
        <v>0</v>
      </c>
      <c r="K24" s="40">
        <f t="shared" ca="1" si="26"/>
        <v>0.104</v>
      </c>
      <c r="L24" s="40">
        <f t="shared" ca="1" si="26"/>
        <v>1.7000000000000001E-2</v>
      </c>
      <c r="M24" s="40">
        <f t="shared" ca="1" si="26"/>
        <v>1.9E-2</v>
      </c>
      <c r="N24" s="40">
        <f t="shared" ca="1" si="26"/>
        <v>7.0000000000000001E-3</v>
      </c>
      <c r="O24" s="40">
        <f t="shared" ca="1" si="26"/>
        <v>4.2999999999999997E-2</v>
      </c>
      <c r="P24" s="40">
        <f t="shared" ca="1" si="26"/>
        <v>2.8000000000000001E-2</v>
      </c>
      <c r="Q24" s="40">
        <f t="shared" ca="1" si="26"/>
        <v>0.11</v>
      </c>
      <c r="R24" s="40">
        <f t="shared" ca="1" si="26"/>
        <v>0</v>
      </c>
      <c r="S24" s="40">
        <f t="shared" ca="1" si="26"/>
        <v>1.2999999999999999E-2</v>
      </c>
      <c r="T24" s="40">
        <f t="shared" ca="1" si="26"/>
        <v>0</v>
      </c>
      <c r="U24" s="40">
        <f t="shared" ca="1" si="26"/>
        <v>0.21</v>
      </c>
      <c r="V24" s="40">
        <f t="shared" ca="1" si="21"/>
        <v>0.14099999999999999</v>
      </c>
      <c r="W24" s="40">
        <f t="shared" ca="1" si="21"/>
        <v>0</v>
      </c>
      <c r="X24" s="40">
        <f t="shared" ca="1" si="21"/>
        <v>8.9999999999999993E-3</v>
      </c>
      <c r="Y24" s="40">
        <f t="shared" ca="1" si="21"/>
        <v>0.224</v>
      </c>
      <c r="Z24" s="40">
        <f t="shared" ca="1" si="21"/>
        <v>1E-3</v>
      </c>
      <c r="AA24" s="40">
        <f t="shared" ca="1" si="21"/>
        <v>0.42199999999999999</v>
      </c>
      <c r="AB24" s="40">
        <f t="shared" ca="1" si="21"/>
        <v>0.23</v>
      </c>
      <c r="AC24" s="40">
        <f t="shared" ca="1" si="21"/>
        <v>0.28199999999999997</v>
      </c>
      <c r="AD24" s="40">
        <f t="shared" ca="1" si="21"/>
        <v>0</v>
      </c>
      <c r="AE24" s="40">
        <f t="shared" ca="1" si="21"/>
        <v>2E-3</v>
      </c>
      <c r="AF24" s="40">
        <f t="shared" ca="1" si="21"/>
        <v>2.5000000000000001E-2</v>
      </c>
      <c r="AG24" s="40">
        <f t="shared" ca="1" si="21"/>
        <v>0</v>
      </c>
      <c r="AH24" s="40">
        <f t="shared" ca="1" si="21"/>
        <v>0</v>
      </c>
      <c r="AI24" s="40">
        <f t="shared" ca="1" si="21"/>
        <v>0.47599999999999998</v>
      </c>
      <c r="AJ24" s="40">
        <f t="shared" ca="1" si="21"/>
        <v>8.0000000000000002E-3</v>
      </c>
      <c r="AK24" s="40">
        <f t="shared" ca="1" si="21"/>
        <v>0.39500000000000002</v>
      </c>
      <c r="AL24" s="40">
        <f t="shared" ca="1" si="21"/>
        <v>0.13200000000000001</v>
      </c>
      <c r="AM24" s="40">
        <f t="shared" ca="1" si="21"/>
        <v>0</v>
      </c>
      <c r="AN24" s="40">
        <f t="shared" ca="1" si="21"/>
        <v>0</v>
      </c>
      <c r="AO24" s="40">
        <f t="shared" ca="1" si="21"/>
        <v>0</v>
      </c>
      <c r="AP24" s="40">
        <f t="shared" ca="1" si="21"/>
        <v>0</v>
      </c>
      <c r="AQ24" s="40">
        <f t="shared" ca="1" si="21"/>
        <v>0</v>
      </c>
      <c r="AR24" s="40">
        <f t="shared" ca="1" si="21"/>
        <v>0</v>
      </c>
      <c r="AS24" s="40">
        <f t="shared" ca="1" si="21"/>
        <v>0</v>
      </c>
      <c r="AT24" s="40">
        <f t="shared" ca="1" si="21"/>
        <v>0</v>
      </c>
      <c r="AU24" s="40">
        <f t="shared" ca="1" si="21"/>
        <v>0</v>
      </c>
      <c r="AV24" s="40">
        <f t="shared" ca="1" si="21"/>
        <v>0</v>
      </c>
      <c r="AW24" s="40">
        <f t="shared" ca="1" si="21"/>
        <v>0</v>
      </c>
      <c r="AY24" t="s">
        <v>358</v>
      </c>
      <c r="AZ24" t="str">
        <f ca="1">IF(AX9="zero","\I:",$BA$45&amp;"_"&amp;VLOOKUP(C24,'TRA balance'!$BB$5:$BC$15,2,FALSE))</f>
        <v>Trd_lcv_lpg</v>
      </c>
      <c r="BA24" t="str">
        <f t="shared" ca="1" si="0"/>
        <v>Trd_lcv</v>
      </c>
      <c r="BB24">
        <f t="shared" ca="1" si="1"/>
        <v>25</v>
      </c>
      <c r="BD24" t="str">
        <f t="shared" ca="1" si="3"/>
        <v>DMD</v>
      </c>
      <c r="BE24" t="str">
        <f t="shared" ca="1" si="4"/>
        <v>Trd_lcv_lpg</v>
      </c>
      <c r="BG24" t="s">
        <v>156</v>
      </c>
      <c r="BH24" t="s">
        <v>352</v>
      </c>
      <c r="BI24" t="s">
        <v>359</v>
      </c>
    </row>
    <row r="25" spans="1:61">
      <c r="C25" t="str">
        <f t="shared" si="18"/>
        <v>TRANGA</v>
      </c>
      <c r="D25" s="40">
        <f t="shared" ca="1" si="21"/>
        <v>2.5000000000000001E-2</v>
      </c>
      <c r="E25" s="40">
        <f t="shared" ref="E25:U25" ca="1" si="27">ROUND(E10*E34/E42,3)</f>
        <v>0</v>
      </c>
      <c r="F25" s="40">
        <f t="shared" ca="1" si="27"/>
        <v>4.0000000000000001E-3</v>
      </c>
      <c r="G25" s="40">
        <f t="shared" ca="1" si="27"/>
        <v>0</v>
      </c>
      <c r="H25" s="40">
        <f t="shared" ca="1" si="27"/>
        <v>2E-3</v>
      </c>
      <c r="I25" s="40">
        <f t="shared" ca="1" si="27"/>
        <v>0</v>
      </c>
      <c r="J25" s="40">
        <f t="shared" ca="1" si="27"/>
        <v>0.13900000000000001</v>
      </c>
      <c r="K25" s="40">
        <f t="shared" ca="1" si="27"/>
        <v>1.016</v>
      </c>
      <c r="L25" s="40">
        <f t="shared" ca="1" si="27"/>
        <v>0</v>
      </c>
      <c r="M25" s="40">
        <f t="shared" ca="1" si="27"/>
        <v>0</v>
      </c>
      <c r="N25" s="40">
        <f t="shared" ca="1" si="27"/>
        <v>0</v>
      </c>
      <c r="O25" s="40">
        <f t="shared" ca="1" si="27"/>
        <v>0</v>
      </c>
      <c r="P25" s="40">
        <f t="shared" ca="1" si="27"/>
        <v>0</v>
      </c>
      <c r="Q25" s="40">
        <f t="shared" ca="1" si="27"/>
        <v>0</v>
      </c>
      <c r="R25" s="40">
        <f t="shared" ca="1" si="27"/>
        <v>0</v>
      </c>
      <c r="S25" s="40">
        <f t="shared" ca="1" si="27"/>
        <v>0.152</v>
      </c>
      <c r="T25" s="40">
        <f t="shared" ca="1" si="27"/>
        <v>0</v>
      </c>
      <c r="U25" s="40">
        <f t="shared" ca="1" si="27"/>
        <v>0</v>
      </c>
      <c r="V25" s="40">
        <f t="shared" ca="1" si="21"/>
        <v>1E-3</v>
      </c>
      <c r="W25" s="40">
        <f t="shared" ca="1" si="21"/>
        <v>0.26700000000000002</v>
      </c>
      <c r="X25" s="40">
        <f t="shared" ca="1" si="21"/>
        <v>0</v>
      </c>
      <c r="Y25" s="40">
        <f t="shared" ca="1" si="21"/>
        <v>8.9999999999999993E-3</v>
      </c>
      <c r="Z25" s="40">
        <f t="shared" ca="1" si="21"/>
        <v>0</v>
      </c>
      <c r="AA25" s="40">
        <f t="shared" ca="1" si="21"/>
        <v>0</v>
      </c>
      <c r="AB25" s="40">
        <f t="shared" ca="1" si="21"/>
        <v>0.09</v>
      </c>
      <c r="AC25" s="40">
        <f t="shared" ca="1" si="21"/>
        <v>2.1999999999999999E-2</v>
      </c>
      <c r="AD25" s="40">
        <f t="shared" ca="1" si="21"/>
        <v>0</v>
      </c>
      <c r="AE25" s="40">
        <f t="shared" ca="1" si="21"/>
        <v>0</v>
      </c>
      <c r="AF25" s="40">
        <f t="shared" ca="1" si="21"/>
        <v>0</v>
      </c>
      <c r="AG25" s="40">
        <f t="shared" ca="1" si="21"/>
        <v>0</v>
      </c>
      <c r="AH25" s="40">
        <f t="shared" ca="1" si="21"/>
        <v>0</v>
      </c>
      <c r="AI25" s="40">
        <f t="shared" ca="1" si="21"/>
        <v>0</v>
      </c>
      <c r="AJ25" s="40">
        <f t="shared" ca="1" si="21"/>
        <v>0</v>
      </c>
      <c r="AK25" s="40">
        <f t="shared" ca="1" si="21"/>
        <v>3.0000000000000001E-3</v>
      </c>
      <c r="AL25" s="40">
        <f t="shared" ca="1" si="21"/>
        <v>0</v>
      </c>
      <c r="AM25" s="40">
        <f t="shared" ca="1" si="21"/>
        <v>0</v>
      </c>
      <c r="AN25" s="40">
        <f t="shared" ca="1" si="21"/>
        <v>0</v>
      </c>
      <c r="AO25" s="40">
        <f t="shared" ca="1" si="21"/>
        <v>0</v>
      </c>
      <c r="AP25" s="40">
        <f t="shared" ca="1" si="21"/>
        <v>0</v>
      </c>
      <c r="AQ25" s="40">
        <f t="shared" ca="1" si="21"/>
        <v>0</v>
      </c>
      <c r="AR25" s="40">
        <f t="shared" ca="1" si="21"/>
        <v>0</v>
      </c>
      <c r="AS25" s="40">
        <f t="shared" ca="1" si="21"/>
        <v>0</v>
      </c>
      <c r="AT25" s="40">
        <f t="shared" ca="1" si="21"/>
        <v>0</v>
      </c>
      <c r="AU25" s="40">
        <f t="shared" ca="1" si="21"/>
        <v>0</v>
      </c>
      <c r="AV25" s="40">
        <f t="shared" ca="1" si="21"/>
        <v>0</v>
      </c>
      <c r="AW25" s="40">
        <f t="shared" ca="1" si="21"/>
        <v>0</v>
      </c>
      <c r="AY25" t="s">
        <v>358</v>
      </c>
      <c r="AZ25" t="str">
        <f ca="1">IF(AX10="zero","\I:",$BA$45&amp;"_"&amp;VLOOKUP(C25,'TRA balance'!$BB$5:$BC$15,2,FALSE))</f>
        <v>Trd_lcv_nga</v>
      </c>
      <c r="BA25" t="str">
        <f t="shared" ca="1" si="0"/>
        <v>Trd_lcv</v>
      </c>
      <c r="BB25">
        <f t="shared" ca="1" si="1"/>
        <v>25</v>
      </c>
      <c r="BD25" t="str">
        <f t="shared" ca="1" si="3"/>
        <v>DMD</v>
      </c>
      <c r="BE25" t="str">
        <f t="shared" ca="1" si="4"/>
        <v>Trd_lcv_nga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8">$AX28*D$27</f>
        <v>0.3796260246253445</v>
      </c>
      <c r="E28">
        <f t="shared" si="28"/>
        <v>0.3796260246253445</v>
      </c>
      <c r="F28">
        <f t="shared" si="28"/>
        <v>0.3796260246253445</v>
      </c>
      <c r="G28">
        <f t="shared" si="28"/>
        <v>0.3796260246253445</v>
      </c>
      <c r="H28">
        <f t="shared" si="28"/>
        <v>0.3796260246253445</v>
      </c>
      <c r="I28">
        <f t="shared" si="28"/>
        <v>0.3796260246253445</v>
      </c>
      <c r="J28">
        <f t="shared" si="28"/>
        <v>0.3796260246253445</v>
      </c>
      <c r="K28">
        <f t="shared" si="28"/>
        <v>0.3796260246253445</v>
      </c>
      <c r="L28">
        <f t="shared" si="28"/>
        <v>0.3796260246253445</v>
      </c>
      <c r="M28">
        <f t="shared" si="28"/>
        <v>0.3796260246253445</v>
      </c>
      <c r="N28">
        <f t="shared" si="28"/>
        <v>0.3796260246253445</v>
      </c>
      <c r="O28">
        <f t="shared" si="28"/>
        <v>0.3796260246253445</v>
      </c>
      <c r="P28">
        <f t="shared" si="28"/>
        <v>0.3796260246253445</v>
      </c>
      <c r="Q28">
        <f t="shared" si="28"/>
        <v>0.3796260246253445</v>
      </c>
      <c r="R28">
        <f t="shared" si="28"/>
        <v>0.3796260246253445</v>
      </c>
      <c r="S28">
        <f t="shared" si="28"/>
        <v>0.3796260246253445</v>
      </c>
      <c r="T28">
        <f t="shared" si="28"/>
        <v>0.3796260246253445</v>
      </c>
      <c r="U28">
        <f t="shared" si="28"/>
        <v>0.3796260246253445</v>
      </c>
      <c r="V28">
        <f t="shared" si="28"/>
        <v>0.3796260246253445</v>
      </c>
      <c r="W28">
        <f t="shared" si="28"/>
        <v>0.3796260246253445</v>
      </c>
      <c r="X28">
        <f t="shared" si="28"/>
        <v>0.3796260246253445</v>
      </c>
      <c r="Y28">
        <f t="shared" si="28"/>
        <v>0.3796260246253445</v>
      </c>
      <c r="Z28">
        <f t="shared" si="28"/>
        <v>0.3796260246253445</v>
      </c>
      <c r="AA28">
        <f t="shared" si="28"/>
        <v>0.3796260246253445</v>
      </c>
      <c r="AB28">
        <f t="shared" si="28"/>
        <v>0.3796260246253445</v>
      </c>
      <c r="AC28">
        <f t="shared" si="28"/>
        <v>0.3796260246253445</v>
      </c>
      <c r="AD28">
        <f t="shared" ref="AD28:AS34" si="29">$AX28*AD$27</f>
        <v>0.3796260246253445</v>
      </c>
      <c r="AE28">
        <f t="shared" si="29"/>
        <v>0.3796260246253445</v>
      </c>
      <c r="AF28">
        <f t="shared" si="29"/>
        <v>0.3796260246253445</v>
      </c>
      <c r="AG28">
        <f t="shared" si="29"/>
        <v>0.3796260246253445</v>
      </c>
      <c r="AH28">
        <f t="shared" si="29"/>
        <v>0.3796260246253445</v>
      </c>
      <c r="AI28">
        <f t="shared" si="29"/>
        <v>0.3796260246253445</v>
      </c>
      <c r="AJ28">
        <f t="shared" si="29"/>
        <v>0.3796260246253445</v>
      </c>
      <c r="AK28">
        <f t="shared" si="29"/>
        <v>0.3796260246253445</v>
      </c>
      <c r="AL28">
        <f t="shared" si="29"/>
        <v>0.3796260246253445</v>
      </c>
      <c r="AM28">
        <f t="shared" si="29"/>
        <v>0.3796260246253445</v>
      </c>
      <c r="AN28">
        <f t="shared" si="29"/>
        <v>0.3796260246253445</v>
      </c>
      <c r="AO28">
        <f t="shared" si="29"/>
        <v>0.3796260246253445</v>
      </c>
      <c r="AP28">
        <f t="shared" si="29"/>
        <v>0.3796260246253445</v>
      </c>
      <c r="AQ28">
        <f t="shared" si="29"/>
        <v>0.3796260246253445</v>
      </c>
      <c r="AR28">
        <f t="shared" si="29"/>
        <v>0.3796260246253445</v>
      </c>
      <c r="AS28">
        <f t="shared" si="29"/>
        <v>0.3796260246253445</v>
      </c>
      <c r="AT28">
        <f t="shared" ref="AK28:AW34" si="30">$AX28*AT$27</f>
        <v>0.3796260246253445</v>
      </c>
      <c r="AU28">
        <f t="shared" si="30"/>
        <v>0.3796260246253445</v>
      </c>
      <c r="AV28">
        <f t="shared" si="30"/>
        <v>0.3796260246253445</v>
      </c>
      <c r="AW28">
        <f t="shared" si="30"/>
        <v>0.3796260246253445</v>
      </c>
      <c r="AX28" s="56">
        <f>AX30</f>
        <v>0.3796260246253445</v>
      </c>
      <c r="AY28" t="s">
        <v>348</v>
      </c>
      <c r="AZ28" s="1" t="str">
        <f ca="1">AZ19</f>
        <v>Trd_lcv_bdl</v>
      </c>
      <c r="BA28" t="str">
        <f t="shared" ca="1" si="0"/>
        <v>Trd_lcv</v>
      </c>
      <c r="BB28">
        <f t="shared" ca="1" si="1"/>
        <v>25</v>
      </c>
      <c r="BD28" t="str">
        <f t="shared" ca="1" si="3"/>
        <v>DMD</v>
      </c>
      <c r="BE28" t="str">
        <f t="shared" ca="1" si="4"/>
        <v>Trd_lcv_bdl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31">C20</f>
        <v>TRABGS</v>
      </c>
      <c r="D29">
        <f t="shared" si="28"/>
        <v>0.37271323693220426</v>
      </c>
      <c r="E29">
        <f t="shared" si="28"/>
        <v>0.37271323693220426</v>
      </c>
      <c r="F29">
        <f t="shared" si="28"/>
        <v>0.37271323693220426</v>
      </c>
      <c r="G29">
        <f t="shared" si="28"/>
        <v>0.37271323693220426</v>
      </c>
      <c r="H29">
        <f t="shared" si="28"/>
        <v>0.37271323693220426</v>
      </c>
      <c r="I29">
        <f t="shared" si="28"/>
        <v>0.37271323693220426</v>
      </c>
      <c r="J29">
        <f t="shared" si="28"/>
        <v>0.37271323693220426</v>
      </c>
      <c r="K29">
        <f t="shared" si="28"/>
        <v>0.37271323693220426</v>
      </c>
      <c r="L29">
        <f t="shared" si="28"/>
        <v>0.37271323693220426</v>
      </c>
      <c r="M29">
        <f t="shared" si="28"/>
        <v>0.37271323693220426</v>
      </c>
      <c r="N29">
        <f t="shared" si="28"/>
        <v>0.37271323693220426</v>
      </c>
      <c r="O29">
        <f t="shared" si="28"/>
        <v>0.37271323693220426</v>
      </c>
      <c r="P29">
        <f t="shared" si="28"/>
        <v>0.37271323693220426</v>
      </c>
      <c r="Q29">
        <f t="shared" si="28"/>
        <v>0.37271323693220426</v>
      </c>
      <c r="R29">
        <f t="shared" si="28"/>
        <v>0.37271323693220426</v>
      </c>
      <c r="S29">
        <f t="shared" si="28"/>
        <v>0.37271323693220426</v>
      </c>
      <c r="T29">
        <f t="shared" si="28"/>
        <v>0.37271323693220426</v>
      </c>
      <c r="U29">
        <f t="shared" si="28"/>
        <v>0.37271323693220426</v>
      </c>
      <c r="V29">
        <f t="shared" si="28"/>
        <v>0.37271323693220426</v>
      </c>
      <c r="W29">
        <f t="shared" si="28"/>
        <v>0.37271323693220426</v>
      </c>
      <c r="X29">
        <f t="shared" si="28"/>
        <v>0.37271323693220426</v>
      </c>
      <c r="Y29">
        <f t="shared" si="28"/>
        <v>0.37271323693220426</v>
      </c>
      <c r="Z29">
        <f t="shared" si="28"/>
        <v>0.37271323693220426</v>
      </c>
      <c r="AA29">
        <f t="shared" si="28"/>
        <v>0.37271323693220426</v>
      </c>
      <c r="AB29">
        <f t="shared" si="28"/>
        <v>0.37271323693220426</v>
      </c>
      <c r="AC29">
        <f t="shared" si="28"/>
        <v>0.37271323693220426</v>
      </c>
      <c r="AD29">
        <f t="shared" si="29"/>
        <v>0.37271323693220426</v>
      </c>
      <c r="AE29">
        <f t="shared" si="29"/>
        <v>0.37271323693220426</v>
      </c>
      <c r="AF29">
        <f t="shared" si="29"/>
        <v>0.37271323693220426</v>
      </c>
      <c r="AG29">
        <f t="shared" si="29"/>
        <v>0.37271323693220426</v>
      </c>
      <c r="AH29">
        <f t="shared" si="29"/>
        <v>0.37271323693220426</v>
      </c>
      <c r="AI29">
        <f t="shared" si="29"/>
        <v>0.37271323693220426</v>
      </c>
      <c r="AJ29">
        <f t="shared" si="29"/>
        <v>0.37271323693220426</v>
      </c>
      <c r="AK29">
        <f t="shared" si="30"/>
        <v>0.37271323693220426</v>
      </c>
      <c r="AL29">
        <f t="shared" si="29"/>
        <v>0.37271323693220426</v>
      </c>
      <c r="AM29">
        <f t="shared" si="30"/>
        <v>0.37271323693220426</v>
      </c>
      <c r="AN29">
        <f t="shared" si="30"/>
        <v>0.37271323693220426</v>
      </c>
      <c r="AO29">
        <f t="shared" si="30"/>
        <v>0.37271323693220426</v>
      </c>
      <c r="AP29">
        <f t="shared" si="30"/>
        <v>0.37271323693220426</v>
      </c>
      <c r="AQ29">
        <f t="shared" si="30"/>
        <v>0.37271323693220426</v>
      </c>
      <c r="AR29">
        <f t="shared" si="30"/>
        <v>0.37271323693220426</v>
      </c>
      <c r="AS29">
        <f t="shared" si="30"/>
        <v>0.37271323693220426</v>
      </c>
      <c r="AT29">
        <f t="shared" si="30"/>
        <v>0.37271323693220426</v>
      </c>
      <c r="AU29">
        <f t="shared" si="30"/>
        <v>0.37271323693220426</v>
      </c>
      <c r="AV29">
        <f t="shared" si="30"/>
        <v>0.37271323693220426</v>
      </c>
      <c r="AW29">
        <f t="shared" si="30"/>
        <v>0.37271323693220426</v>
      </c>
      <c r="AX29" s="56">
        <f>AX32</f>
        <v>0.37271323693220426</v>
      </c>
      <c r="AY29" t="s">
        <v>348</v>
      </c>
      <c r="AZ29" s="1" t="str">
        <f t="shared" ref="AZ29:AZ34" ca="1" si="32">AZ20</f>
        <v>\I:</v>
      </c>
      <c r="BA29" t="str">
        <f t="shared" ca="1" si="0"/>
        <v>Trd_lcv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31"/>
        <v>TRADST</v>
      </c>
      <c r="D30">
        <f t="shared" si="28"/>
        <v>0.3796260246253445</v>
      </c>
      <c r="E30">
        <f t="shared" si="28"/>
        <v>0.3796260246253445</v>
      </c>
      <c r="F30">
        <f t="shared" si="28"/>
        <v>0.3796260246253445</v>
      </c>
      <c r="G30">
        <f t="shared" si="28"/>
        <v>0.3796260246253445</v>
      </c>
      <c r="H30">
        <f t="shared" si="28"/>
        <v>0.3796260246253445</v>
      </c>
      <c r="I30">
        <f t="shared" si="28"/>
        <v>0.3796260246253445</v>
      </c>
      <c r="J30">
        <f t="shared" si="28"/>
        <v>0.3796260246253445</v>
      </c>
      <c r="K30">
        <f t="shared" si="28"/>
        <v>0.3796260246253445</v>
      </c>
      <c r="L30">
        <f t="shared" si="28"/>
        <v>0.3796260246253445</v>
      </c>
      <c r="M30">
        <f t="shared" si="28"/>
        <v>0.3796260246253445</v>
      </c>
      <c r="N30">
        <f t="shared" si="28"/>
        <v>0.3796260246253445</v>
      </c>
      <c r="O30">
        <f t="shared" si="28"/>
        <v>0.3796260246253445</v>
      </c>
      <c r="P30">
        <f t="shared" si="28"/>
        <v>0.3796260246253445</v>
      </c>
      <c r="Q30">
        <f t="shared" si="28"/>
        <v>0.3796260246253445</v>
      </c>
      <c r="R30">
        <f t="shared" si="28"/>
        <v>0.3796260246253445</v>
      </c>
      <c r="S30">
        <f t="shared" si="28"/>
        <v>0.3796260246253445</v>
      </c>
      <c r="T30">
        <f t="shared" si="28"/>
        <v>0.3796260246253445</v>
      </c>
      <c r="U30">
        <f t="shared" si="28"/>
        <v>0.3796260246253445</v>
      </c>
      <c r="V30">
        <f t="shared" si="28"/>
        <v>0.3796260246253445</v>
      </c>
      <c r="W30">
        <f t="shared" si="28"/>
        <v>0.3796260246253445</v>
      </c>
      <c r="X30">
        <f t="shared" si="28"/>
        <v>0.3796260246253445</v>
      </c>
      <c r="Y30">
        <f t="shared" si="28"/>
        <v>0.3796260246253445</v>
      </c>
      <c r="Z30">
        <f t="shared" si="28"/>
        <v>0.3796260246253445</v>
      </c>
      <c r="AA30">
        <f t="shared" si="28"/>
        <v>0.3796260246253445</v>
      </c>
      <c r="AB30">
        <f t="shared" si="28"/>
        <v>0.3796260246253445</v>
      </c>
      <c r="AC30">
        <f t="shared" si="28"/>
        <v>0.3796260246253445</v>
      </c>
      <c r="AD30">
        <f t="shared" si="29"/>
        <v>0.3796260246253445</v>
      </c>
      <c r="AE30">
        <f t="shared" si="29"/>
        <v>0.3796260246253445</v>
      </c>
      <c r="AF30">
        <f t="shared" si="29"/>
        <v>0.3796260246253445</v>
      </c>
      <c r="AG30">
        <f t="shared" si="29"/>
        <v>0.3796260246253445</v>
      </c>
      <c r="AH30">
        <f t="shared" si="29"/>
        <v>0.3796260246253445</v>
      </c>
      <c r="AI30">
        <f t="shared" si="29"/>
        <v>0.3796260246253445</v>
      </c>
      <c r="AJ30">
        <f t="shared" si="29"/>
        <v>0.3796260246253445</v>
      </c>
      <c r="AK30">
        <f t="shared" si="30"/>
        <v>0.3796260246253445</v>
      </c>
      <c r="AL30">
        <f t="shared" si="29"/>
        <v>0.3796260246253445</v>
      </c>
      <c r="AM30">
        <f t="shared" si="30"/>
        <v>0.3796260246253445</v>
      </c>
      <c r="AN30">
        <f t="shared" si="30"/>
        <v>0.3796260246253445</v>
      </c>
      <c r="AO30">
        <f t="shared" si="30"/>
        <v>0.3796260246253445</v>
      </c>
      <c r="AP30">
        <f t="shared" si="30"/>
        <v>0.3796260246253445</v>
      </c>
      <c r="AQ30">
        <f t="shared" si="30"/>
        <v>0.3796260246253445</v>
      </c>
      <c r="AR30">
        <f t="shared" si="30"/>
        <v>0.3796260246253445</v>
      </c>
      <c r="AS30">
        <f t="shared" si="30"/>
        <v>0.3796260246253445</v>
      </c>
      <c r="AT30">
        <f t="shared" si="30"/>
        <v>0.3796260246253445</v>
      </c>
      <c r="AU30">
        <f t="shared" si="30"/>
        <v>0.3796260246253445</v>
      </c>
      <c r="AV30">
        <f t="shared" si="30"/>
        <v>0.3796260246253445</v>
      </c>
      <c r="AW30">
        <f t="shared" si="30"/>
        <v>0.3796260246253445</v>
      </c>
      <c r="AX30" s="56">
        <v>0.3796260246253445</v>
      </c>
      <c r="AY30" t="s">
        <v>348</v>
      </c>
      <c r="AZ30" s="95" t="str">
        <f t="shared" ca="1" si="32"/>
        <v>Trd_lcv_dsl</v>
      </c>
      <c r="BA30" t="str">
        <f t="shared" ca="1" si="0"/>
        <v>Trd_lcv</v>
      </c>
      <c r="BB30">
        <f t="shared" ca="1" si="1"/>
        <v>25</v>
      </c>
      <c r="BD30" t="str">
        <f t="shared" ca="1" si="3"/>
        <v>DMD</v>
      </c>
      <c r="BE30" t="str">
        <f t="shared" ca="1" si="4"/>
        <v>Trd_lcv_dsl</v>
      </c>
      <c r="BG30" t="s">
        <v>156</v>
      </c>
      <c r="BH30" t="s">
        <v>352</v>
      </c>
      <c r="BI30" t="s">
        <v>359</v>
      </c>
    </row>
    <row r="31" spans="1:61">
      <c r="C31" t="str">
        <f t="shared" si="31"/>
        <v>TRAELC</v>
      </c>
      <c r="D31">
        <f t="shared" si="28"/>
        <v>0.74542647386440852</v>
      </c>
      <c r="E31">
        <f t="shared" si="28"/>
        <v>0.74542647386440852</v>
      </c>
      <c r="F31">
        <f t="shared" si="28"/>
        <v>0.74542647386440852</v>
      </c>
      <c r="G31">
        <f t="shared" si="28"/>
        <v>0.74542647386440852</v>
      </c>
      <c r="H31">
        <f t="shared" si="28"/>
        <v>0.74542647386440852</v>
      </c>
      <c r="I31">
        <f t="shared" si="28"/>
        <v>0.74542647386440852</v>
      </c>
      <c r="J31">
        <f t="shared" si="28"/>
        <v>0.74542647386440852</v>
      </c>
      <c r="K31">
        <f t="shared" si="28"/>
        <v>0.74542647386440852</v>
      </c>
      <c r="L31">
        <f t="shared" si="28"/>
        <v>0.74542647386440852</v>
      </c>
      <c r="M31">
        <f t="shared" si="28"/>
        <v>0.74542647386440852</v>
      </c>
      <c r="N31">
        <f t="shared" si="28"/>
        <v>0.74542647386440852</v>
      </c>
      <c r="O31">
        <f t="shared" si="28"/>
        <v>0.74542647386440852</v>
      </c>
      <c r="P31">
        <f t="shared" si="28"/>
        <v>0.74542647386440852</v>
      </c>
      <c r="Q31">
        <f t="shared" si="28"/>
        <v>0.74542647386440852</v>
      </c>
      <c r="R31">
        <f t="shared" si="28"/>
        <v>0.74542647386440852</v>
      </c>
      <c r="S31">
        <f t="shared" si="28"/>
        <v>0.74542647386440852</v>
      </c>
      <c r="T31">
        <f t="shared" si="28"/>
        <v>0.74542647386440852</v>
      </c>
      <c r="U31">
        <f t="shared" si="28"/>
        <v>0.74542647386440852</v>
      </c>
      <c r="V31">
        <f t="shared" si="28"/>
        <v>0.74542647386440852</v>
      </c>
      <c r="W31">
        <f t="shared" si="28"/>
        <v>0.74542647386440852</v>
      </c>
      <c r="X31">
        <f t="shared" si="28"/>
        <v>0.74542647386440852</v>
      </c>
      <c r="Y31">
        <f t="shared" si="28"/>
        <v>0.74542647386440852</v>
      </c>
      <c r="Z31">
        <f t="shared" si="28"/>
        <v>0.74542647386440852</v>
      </c>
      <c r="AA31">
        <f t="shared" si="28"/>
        <v>0.74542647386440852</v>
      </c>
      <c r="AB31">
        <f t="shared" si="28"/>
        <v>0.74542647386440852</v>
      </c>
      <c r="AC31">
        <f t="shared" si="28"/>
        <v>0.74542647386440852</v>
      </c>
      <c r="AD31">
        <f t="shared" si="29"/>
        <v>0.74542647386440852</v>
      </c>
      <c r="AE31">
        <f t="shared" si="29"/>
        <v>0.74542647386440852</v>
      </c>
      <c r="AF31">
        <f t="shared" si="29"/>
        <v>0.74542647386440852</v>
      </c>
      <c r="AG31">
        <f t="shared" si="29"/>
        <v>0.74542647386440852</v>
      </c>
      <c r="AH31">
        <f t="shared" si="29"/>
        <v>0.74542647386440852</v>
      </c>
      <c r="AI31">
        <f t="shared" si="29"/>
        <v>0.74542647386440852</v>
      </c>
      <c r="AJ31">
        <f t="shared" si="29"/>
        <v>0.74542647386440852</v>
      </c>
      <c r="AK31">
        <f t="shared" si="30"/>
        <v>0.74542647386440852</v>
      </c>
      <c r="AL31">
        <f t="shared" si="29"/>
        <v>0.74542647386440852</v>
      </c>
      <c r="AM31">
        <f t="shared" si="30"/>
        <v>0.74542647386440852</v>
      </c>
      <c r="AN31">
        <f t="shared" si="30"/>
        <v>0.74542647386440852</v>
      </c>
      <c r="AO31">
        <f t="shared" si="30"/>
        <v>0.74542647386440852</v>
      </c>
      <c r="AP31">
        <f t="shared" si="30"/>
        <v>0.74542647386440852</v>
      </c>
      <c r="AQ31">
        <f t="shared" si="30"/>
        <v>0.74542647386440852</v>
      </c>
      <c r="AR31">
        <f t="shared" si="30"/>
        <v>0.74542647386440852</v>
      </c>
      <c r="AS31">
        <f t="shared" si="30"/>
        <v>0.74542647386440852</v>
      </c>
      <c r="AT31">
        <f t="shared" si="30"/>
        <v>0.74542647386440852</v>
      </c>
      <c r="AU31">
        <f t="shared" si="30"/>
        <v>0.74542647386440852</v>
      </c>
      <c r="AV31">
        <f t="shared" si="30"/>
        <v>0.74542647386440852</v>
      </c>
      <c r="AW31">
        <f t="shared" si="30"/>
        <v>0.74542647386440852</v>
      </c>
      <c r="AX31" s="56">
        <f>AX32*2</f>
        <v>0.74542647386440852</v>
      </c>
      <c r="AY31" t="s">
        <v>348</v>
      </c>
      <c r="AZ31" s="1" t="str">
        <f t="shared" ca="1" si="32"/>
        <v>Trd_lcv_elc</v>
      </c>
      <c r="BA31" t="str">
        <f t="shared" ca="1" si="0"/>
        <v>Trd_lcv</v>
      </c>
      <c r="BB31">
        <f t="shared" ca="1" si="1"/>
        <v>25</v>
      </c>
      <c r="BD31" t="str">
        <f t="shared" ca="1" si="3"/>
        <v>DMD</v>
      </c>
      <c r="BE31" t="str">
        <f t="shared" ca="1" si="4"/>
        <v>Trd_lcv_elc</v>
      </c>
      <c r="BG31" t="s">
        <v>156</v>
      </c>
      <c r="BH31" t="s">
        <v>352</v>
      </c>
      <c r="BI31" t="s">
        <v>359</v>
      </c>
    </row>
    <row r="32" spans="1:61">
      <c r="C32" t="str">
        <f t="shared" si="31"/>
        <v>TRAGSL</v>
      </c>
      <c r="D32">
        <f t="shared" si="28"/>
        <v>0.37271323693220426</v>
      </c>
      <c r="E32">
        <f t="shared" si="28"/>
        <v>0.37271323693220426</v>
      </c>
      <c r="F32">
        <f t="shared" si="28"/>
        <v>0.37271323693220426</v>
      </c>
      <c r="G32">
        <f t="shared" si="28"/>
        <v>0.37271323693220426</v>
      </c>
      <c r="H32">
        <f t="shared" si="28"/>
        <v>0.37271323693220426</v>
      </c>
      <c r="I32">
        <f t="shared" si="28"/>
        <v>0.37271323693220426</v>
      </c>
      <c r="J32">
        <f t="shared" si="28"/>
        <v>0.37271323693220426</v>
      </c>
      <c r="K32">
        <f t="shared" si="28"/>
        <v>0.37271323693220426</v>
      </c>
      <c r="L32">
        <f t="shared" si="28"/>
        <v>0.37271323693220426</v>
      </c>
      <c r="M32">
        <f t="shared" si="28"/>
        <v>0.37271323693220426</v>
      </c>
      <c r="N32">
        <f t="shared" si="28"/>
        <v>0.37271323693220426</v>
      </c>
      <c r="O32">
        <f t="shared" si="28"/>
        <v>0.37271323693220426</v>
      </c>
      <c r="P32">
        <f t="shared" si="28"/>
        <v>0.37271323693220426</v>
      </c>
      <c r="Q32">
        <f t="shared" si="28"/>
        <v>0.37271323693220426</v>
      </c>
      <c r="R32">
        <f t="shared" si="28"/>
        <v>0.37271323693220426</v>
      </c>
      <c r="S32">
        <f t="shared" si="28"/>
        <v>0.37271323693220426</v>
      </c>
      <c r="T32">
        <f t="shared" si="28"/>
        <v>0.37271323693220426</v>
      </c>
      <c r="U32">
        <f t="shared" si="28"/>
        <v>0.37271323693220426</v>
      </c>
      <c r="V32">
        <f t="shared" si="28"/>
        <v>0.37271323693220426</v>
      </c>
      <c r="W32">
        <f t="shared" si="28"/>
        <v>0.37271323693220426</v>
      </c>
      <c r="X32">
        <f t="shared" si="28"/>
        <v>0.37271323693220426</v>
      </c>
      <c r="Y32">
        <f t="shared" si="28"/>
        <v>0.37271323693220426</v>
      </c>
      <c r="Z32">
        <f t="shared" si="28"/>
        <v>0.37271323693220426</v>
      </c>
      <c r="AA32">
        <f t="shared" si="28"/>
        <v>0.37271323693220426</v>
      </c>
      <c r="AB32">
        <f t="shared" si="28"/>
        <v>0.37271323693220426</v>
      </c>
      <c r="AC32">
        <f t="shared" si="28"/>
        <v>0.37271323693220426</v>
      </c>
      <c r="AD32">
        <f t="shared" si="29"/>
        <v>0.37271323693220426</v>
      </c>
      <c r="AE32">
        <f t="shared" si="29"/>
        <v>0.37271323693220426</v>
      </c>
      <c r="AF32">
        <f t="shared" si="29"/>
        <v>0.37271323693220426</v>
      </c>
      <c r="AG32">
        <f t="shared" si="29"/>
        <v>0.37271323693220426</v>
      </c>
      <c r="AH32">
        <f t="shared" si="29"/>
        <v>0.37271323693220426</v>
      </c>
      <c r="AI32">
        <f t="shared" si="29"/>
        <v>0.37271323693220426</v>
      </c>
      <c r="AJ32">
        <f t="shared" si="29"/>
        <v>0.37271323693220426</v>
      </c>
      <c r="AK32">
        <f t="shared" si="30"/>
        <v>0.37271323693220426</v>
      </c>
      <c r="AL32">
        <f t="shared" si="29"/>
        <v>0.37271323693220426</v>
      </c>
      <c r="AM32">
        <f t="shared" si="30"/>
        <v>0.37271323693220426</v>
      </c>
      <c r="AN32">
        <f t="shared" si="30"/>
        <v>0.37271323693220426</v>
      </c>
      <c r="AO32">
        <f t="shared" si="30"/>
        <v>0.37271323693220426</v>
      </c>
      <c r="AP32">
        <f t="shared" si="30"/>
        <v>0.37271323693220426</v>
      </c>
      <c r="AQ32">
        <f t="shared" si="30"/>
        <v>0.37271323693220426</v>
      </c>
      <c r="AR32">
        <f t="shared" si="30"/>
        <v>0.37271323693220426</v>
      </c>
      <c r="AS32">
        <f t="shared" si="30"/>
        <v>0.37271323693220426</v>
      </c>
      <c r="AT32">
        <f t="shared" si="30"/>
        <v>0.37271323693220426</v>
      </c>
      <c r="AU32">
        <f t="shared" si="30"/>
        <v>0.37271323693220426</v>
      </c>
      <c r="AV32">
        <f t="shared" si="30"/>
        <v>0.37271323693220426</v>
      </c>
      <c r="AW32">
        <f t="shared" si="30"/>
        <v>0.37271323693220426</v>
      </c>
      <c r="AX32" s="56">
        <v>0.37271323693220426</v>
      </c>
      <c r="AY32" t="s">
        <v>348</v>
      </c>
      <c r="AZ32" s="1" t="str">
        <f t="shared" ca="1" si="32"/>
        <v>Trd_lcv_gsl</v>
      </c>
      <c r="BA32" t="str">
        <f t="shared" ca="1" si="0"/>
        <v>Trd_lcv</v>
      </c>
      <c r="BB32">
        <f t="shared" ca="1" si="1"/>
        <v>25</v>
      </c>
      <c r="BD32" t="str">
        <f t="shared" ca="1" si="3"/>
        <v>DMD</v>
      </c>
      <c r="BE32" t="str">
        <f t="shared" ca="1" si="4"/>
        <v>Trd_lcv_gsl</v>
      </c>
      <c r="BG32" t="s">
        <v>156</v>
      </c>
      <c r="BH32" t="s">
        <v>352</v>
      </c>
      <c r="BI32" t="s">
        <v>359</v>
      </c>
    </row>
    <row r="33" spans="1:61">
      <c r="C33" t="str">
        <f t="shared" si="31"/>
        <v>TRALPG</v>
      </c>
      <c r="D33">
        <f t="shared" si="28"/>
        <v>0.44075733528719357</v>
      </c>
      <c r="E33">
        <f t="shared" si="28"/>
        <v>0.44075733528719357</v>
      </c>
      <c r="F33">
        <f t="shared" si="28"/>
        <v>0.44075733528719357</v>
      </c>
      <c r="G33">
        <f t="shared" si="28"/>
        <v>0.44075733528719357</v>
      </c>
      <c r="H33">
        <f t="shared" si="28"/>
        <v>0.44075733528719357</v>
      </c>
      <c r="I33">
        <f t="shared" si="28"/>
        <v>0.44075733528719357</v>
      </c>
      <c r="J33">
        <f t="shared" si="28"/>
        <v>0.44075733528719357</v>
      </c>
      <c r="K33">
        <f t="shared" si="28"/>
        <v>0.44075733528719357</v>
      </c>
      <c r="L33">
        <f t="shared" si="28"/>
        <v>0.44075733528719357</v>
      </c>
      <c r="M33">
        <f t="shared" si="28"/>
        <v>0.44075733528719357</v>
      </c>
      <c r="N33">
        <f t="shared" si="28"/>
        <v>0.44075733528719357</v>
      </c>
      <c r="O33">
        <f t="shared" si="28"/>
        <v>0.44075733528719357</v>
      </c>
      <c r="P33">
        <f t="shared" si="28"/>
        <v>0.44075733528719357</v>
      </c>
      <c r="Q33">
        <f t="shared" si="28"/>
        <v>0.44075733528719357</v>
      </c>
      <c r="R33">
        <f t="shared" si="28"/>
        <v>0.44075733528719357</v>
      </c>
      <c r="S33">
        <f t="shared" si="28"/>
        <v>0.44075733528719357</v>
      </c>
      <c r="T33">
        <f t="shared" si="28"/>
        <v>0.44075733528719357</v>
      </c>
      <c r="U33">
        <f t="shared" si="28"/>
        <v>0.44075733528719357</v>
      </c>
      <c r="V33">
        <f t="shared" si="28"/>
        <v>0.44075733528719357</v>
      </c>
      <c r="W33">
        <f t="shared" si="28"/>
        <v>0.44075733528719357</v>
      </c>
      <c r="X33">
        <f t="shared" si="28"/>
        <v>0.44075733528719357</v>
      </c>
      <c r="Y33">
        <f t="shared" si="28"/>
        <v>0.44075733528719357</v>
      </c>
      <c r="Z33">
        <f t="shared" si="28"/>
        <v>0.44075733528719357</v>
      </c>
      <c r="AA33">
        <f t="shared" si="28"/>
        <v>0.44075733528719357</v>
      </c>
      <c r="AB33">
        <f t="shared" si="28"/>
        <v>0.44075733528719357</v>
      </c>
      <c r="AC33">
        <f t="shared" si="28"/>
        <v>0.44075733528719357</v>
      </c>
      <c r="AD33">
        <f t="shared" si="29"/>
        <v>0.44075733528719357</v>
      </c>
      <c r="AE33">
        <f t="shared" si="29"/>
        <v>0.44075733528719357</v>
      </c>
      <c r="AF33">
        <f t="shared" si="29"/>
        <v>0.44075733528719357</v>
      </c>
      <c r="AG33">
        <f t="shared" si="29"/>
        <v>0.44075733528719357</v>
      </c>
      <c r="AH33">
        <f t="shared" si="29"/>
        <v>0.44075733528719357</v>
      </c>
      <c r="AI33">
        <f t="shared" si="29"/>
        <v>0.44075733528719357</v>
      </c>
      <c r="AJ33">
        <f t="shared" si="29"/>
        <v>0.44075733528719357</v>
      </c>
      <c r="AK33">
        <f t="shared" si="30"/>
        <v>0.44075733528719357</v>
      </c>
      <c r="AL33">
        <f t="shared" si="29"/>
        <v>0.44075733528719357</v>
      </c>
      <c r="AM33">
        <f t="shared" si="30"/>
        <v>0.44075733528719357</v>
      </c>
      <c r="AN33">
        <f t="shared" si="30"/>
        <v>0.44075733528719357</v>
      </c>
      <c r="AO33">
        <f t="shared" si="30"/>
        <v>0.44075733528719357</v>
      </c>
      <c r="AP33">
        <f t="shared" si="30"/>
        <v>0.44075733528719357</v>
      </c>
      <c r="AQ33">
        <f t="shared" si="30"/>
        <v>0.44075733528719357</v>
      </c>
      <c r="AR33">
        <f t="shared" si="30"/>
        <v>0.44075733528719357</v>
      </c>
      <c r="AS33">
        <f t="shared" si="30"/>
        <v>0.44075733528719357</v>
      </c>
      <c r="AT33">
        <f t="shared" si="30"/>
        <v>0.44075733528719357</v>
      </c>
      <c r="AU33">
        <f t="shared" si="30"/>
        <v>0.44075733528719357</v>
      </c>
      <c r="AV33">
        <f t="shared" si="30"/>
        <v>0.44075733528719357</v>
      </c>
      <c r="AW33">
        <f t="shared" si="30"/>
        <v>0.44075733528719357</v>
      </c>
      <c r="AX33" s="56">
        <v>0.44075733528719357</v>
      </c>
      <c r="AY33" t="s">
        <v>348</v>
      </c>
      <c r="AZ33" s="1" t="str">
        <f t="shared" ca="1" si="32"/>
        <v>Trd_lcv_lpg</v>
      </c>
      <c r="BA33" t="str">
        <f t="shared" ca="1" si="0"/>
        <v>Trd_lcv</v>
      </c>
      <c r="BB33">
        <f t="shared" ca="1" si="1"/>
        <v>25</v>
      </c>
      <c r="BD33" t="str">
        <f t="shared" ca="1" si="3"/>
        <v>DMD</v>
      </c>
      <c r="BE33" t="str">
        <f t="shared" ca="1" si="4"/>
        <v>Trd_lcv_lpg</v>
      </c>
      <c r="BG33" t="s">
        <v>156</v>
      </c>
      <c r="BH33" t="s">
        <v>352</v>
      </c>
      <c r="BI33" t="s">
        <v>359</v>
      </c>
    </row>
    <row r="34" spans="1:61">
      <c r="C34" t="str">
        <f t="shared" si="31"/>
        <v>TRANGA</v>
      </c>
      <c r="D34">
        <f t="shared" si="28"/>
        <v>0.32948443032272562</v>
      </c>
      <c r="E34">
        <f t="shared" si="28"/>
        <v>0.32948443032272562</v>
      </c>
      <c r="F34">
        <f t="shared" si="28"/>
        <v>0.32948443032272562</v>
      </c>
      <c r="G34">
        <f t="shared" si="28"/>
        <v>0.32948443032272562</v>
      </c>
      <c r="H34">
        <f t="shared" si="28"/>
        <v>0.32948443032272562</v>
      </c>
      <c r="I34">
        <f t="shared" si="28"/>
        <v>0.32948443032272562</v>
      </c>
      <c r="J34">
        <f t="shared" si="28"/>
        <v>0.32948443032272562</v>
      </c>
      <c r="K34">
        <f t="shared" si="28"/>
        <v>0.32948443032272562</v>
      </c>
      <c r="L34">
        <f t="shared" si="28"/>
        <v>0.32948443032272562</v>
      </c>
      <c r="M34">
        <f t="shared" si="28"/>
        <v>0.32948443032272562</v>
      </c>
      <c r="N34">
        <f t="shared" si="28"/>
        <v>0.32948443032272562</v>
      </c>
      <c r="O34">
        <f t="shared" si="28"/>
        <v>0.32948443032272562</v>
      </c>
      <c r="P34">
        <f t="shared" si="28"/>
        <v>0.32948443032272562</v>
      </c>
      <c r="Q34">
        <f t="shared" si="28"/>
        <v>0.32948443032272562</v>
      </c>
      <c r="R34">
        <f t="shared" si="28"/>
        <v>0.32948443032272562</v>
      </c>
      <c r="S34">
        <f t="shared" si="28"/>
        <v>0.32948443032272562</v>
      </c>
      <c r="T34">
        <f t="shared" si="28"/>
        <v>0.32948443032272562</v>
      </c>
      <c r="U34">
        <f t="shared" si="28"/>
        <v>0.32948443032272562</v>
      </c>
      <c r="V34">
        <f t="shared" si="28"/>
        <v>0.32948443032272562</v>
      </c>
      <c r="W34">
        <f t="shared" si="28"/>
        <v>0.32948443032272562</v>
      </c>
      <c r="X34">
        <f t="shared" si="28"/>
        <v>0.32948443032272562</v>
      </c>
      <c r="Y34">
        <f t="shared" si="28"/>
        <v>0.32948443032272562</v>
      </c>
      <c r="Z34">
        <f t="shared" si="28"/>
        <v>0.32948443032272562</v>
      </c>
      <c r="AA34">
        <f t="shared" si="28"/>
        <v>0.32948443032272562</v>
      </c>
      <c r="AB34">
        <f t="shared" si="28"/>
        <v>0.32948443032272562</v>
      </c>
      <c r="AC34">
        <f t="shared" si="28"/>
        <v>0.32948443032272562</v>
      </c>
      <c r="AD34">
        <f t="shared" si="29"/>
        <v>0.32948443032272562</v>
      </c>
      <c r="AE34">
        <f t="shared" si="29"/>
        <v>0.32948443032272562</v>
      </c>
      <c r="AF34">
        <f t="shared" si="29"/>
        <v>0.32948443032272562</v>
      </c>
      <c r="AG34">
        <f t="shared" si="29"/>
        <v>0.32948443032272562</v>
      </c>
      <c r="AH34">
        <f t="shared" si="29"/>
        <v>0.32948443032272562</v>
      </c>
      <c r="AI34">
        <f t="shared" si="29"/>
        <v>0.32948443032272562</v>
      </c>
      <c r="AJ34">
        <f t="shared" si="29"/>
        <v>0.32948443032272562</v>
      </c>
      <c r="AK34">
        <f t="shared" si="30"/>
        <v>0.32948443032272562</v>
      </c>
      <c r="AL34">
        <f t="shared" si="29"/>
        <v>0.32948443032272562</v>
      </c>
      <c r="AM34">
        <f t="shared" si="30"/>
        <v>0.32948443032272562</v>
      </c>
      <c r="AN34">
        <f t="shared" si="30"/>
        <v>0.32948443032272562</v>
      </c>
      <c r="AO34">
        <f t="shared" si="30"/>
        <v>0.32948443032272562</v>
      </c>
      <c r="AP34">
        <f t="shared" si="30"/>
        <v>0.32948443032272562</v>
      </c>
      <c r="AQ34">
        <f t="shared" si="30"/>
        <v>0.32948443032272562</v>
      </c>
      <c r="AR34">
        <f t="shared" si="30"/>
        <v>0.32948443032272562</v>
      </c>
      <c r="AS34">
        <f t="shared" si="30"/>
        <v>0.32948443032272562</v>
      </c>
      <c r="AT34">
        <f t="shared" si="30"/>
        <v>0.32948443032272562</v>
      </c>
      <c r="AU34">
        <f t="shared" si="30"/>
        <v>0.32948443032272562</v>
      </c>
      <c r="AV34">
        <f t="shared" si="30"/>
        <v>0.32948443032272562</v>
      </c>
      <c r="AW34">
        <f t="shared" si="30"/>
        <v>0.32948443032272562</v>
      </c>
      <c r="AX34" s="56">
        <v>0.32948443032272562</v>
      </c>
      <c r="AY34" t="s">
        <v>348</v>
      </c>
      <c r="AZ34" s="1" t="str">
        <f t="shared" ca="1" si="32"/>
        <v>Trd_lcv_nga</v>
      </c>
      <c r="BA34" t="str">
        <f t="shared" ca="1" si="0"/>
        <v>Trd_lcv</v>
      </c>
      <c r="BB34">
        <f t="shared" ca="1" si="1"/>
        <v>25</v>
      </c>
      <c r="BD34" t="str">
        <f t="shared" ca="1" si="3"/>
        <v>DMD</v>
      </c>
      <c r="BE34" t="str">
        <f t="shared" ca="1" si="4"/>
        <v>Trd_lcv_nga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40</v>
      </c>
      <c r="E36" s="40">
        <v>40</v>
      </c>
      <c r="F36" s="40">
        <v>40</v>
      </c>
      <c r="G36" s="40">
        <v>40</v>
      </c>
      <c r="H36" s="40">
        <v>40</v>
      </c>
      <c r="I36" s="40">
        <v>40</v>
      </c>
      <c r="J36" s="40">
        <v>40</v>
      </c>
      <c r="K36" s="40">
        <v>40</v>
      </c>
      <c r="L36" s="40">
        <v>40</v>
      </c>
      <c r="M36" s="40">
        <v>40</v>
      </c>
      <c r="N36" s="40">
        <v>40</v>
      </c>
      <c r="O36" s="40">
        <v>40</v>
      </c>
      <c r="P36" s="40">
        <v>40</v>
      </c>
      <c r="Q36" s="40">
        <v>40</v>
      </c>
      <c r="R36" s="40">
        <v>40</v>
      </c>
      <c r="S36" s="40">
        <v>40</v>
      </c>
      <c r="T36" s="40">
        <v>40</v>
      </c>
      <c r="U36" s="40">
        <v>40</v>
      </c>
      <c r="V36" s="40">
        <v>40</v>
      </c>
      <c r="W36" s="40">
        <v>40</v>
      </c>
      <c r="X36" s="40">
        <v>40</v>
      </c>
      <c r="Y36" s="40">
        <v>40</v>
      </c>
      <c r="Z36" s="40">
        <v>40</v>
      </c>
      <c r="AA36" s="40">
        <v>40</v>
      </c>
      <c r="AB36" s="40">
        <v>40</v>
      </c>
      <c r="AC36" s="40">
        <v>40</v>
      </c>
      <c r="AD36" s="40">
        <v>40</v>
      </c>
      <c r="AE36" s="40">
        <v>40</v>
      </c>
      <c r="AF36" s="40">
        <v>25</v>
      </c>
      <c r="AG36" s="40">
        <v>40</v>
      </c>
      <c r="AH36" s="40">
        <v>40</v>
      </c>
      <c r="AI36" s="40">
        <v>40</v>
      </c>
      <c r="AJ36" s="40">
        <v>40</v>
      </c>
      <c r="AK36" s="40">
        <v>40</v>
      </c>
      <c r="AL36" s="40">
        <v>15</v>
      </c>
      <c r="AM36" s="40">
        <v>40</v>
      </c>
      <c r="AN36" s="40">
        <v>40</v>
      </c>
      <c r="AO36" s="40">
        <v>40</v>
      </c>
      <c r="AP36" s="40">
        <v>40</v>
      </c>
      <c r="AQ36" s="40">
        <v>40</v>
      </c>
      <c r="AR36" s="40">
        <v>40</v>
      </c>
      <c r="AS36" s="40">
        <v>40</v>
      </c>
      <c r="AT36" s="40">
        <v>40</v>
      </c>
      <c r="AU36" s="40">
        <v>40</v>
      </c>
      <c r="AV36" s="40">
        <v>40</v>
      </c>
      <c r="AW36" s="40">
        <v>40</v>
      </c>
      <c r="AY36" t="s">
        <v>349</v>
      </c>
      <c r="AZ36" s="1" t="str">
        <f ca="1">AZ28</f>
        <v>Trd_lcv_bdl</v>
      </c>
      <c r="BA36" t="str">
        <f t="shared" ca="1" si="0"/>
        <v>Trd_lcv</v>
      </c>
      <c r="BB36">
        <f t="shared" ca="1" si="1"/>
        <v>25</v>
      </c>
      <c r="BD36" t="str">
        <f t="shared" ca="1" si="3"/>
        <v>DMD</v>
      </c>
      <c r="BE36" t="str">
        <f t="shared" ca="1" si="4"/>
        <v>Trd_lcv_bdl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3">C29</f>
        <v>TRABGS</v>
      </c>
      <c r="D37" s="40">
        <v>40</v>
      </c>
      <c r="E37" s="40">
        <v>40</v>
      </c>
      <c r="F37" s="40">
        <v>40</v>
      </c>
      <c r="G37" s="40">
        <v>40</v>
      </c>
      <c r="H37" s="40">
        <v>40</v>
      </c>
      <c r="I37" s="40">
        <v>40</v>
      </c>
      <c r="J37" s="40">
        <v>40</v>
      </c>
      <c r="K37" s="40">
        <v>40</v>
      </c>
      <c r="L37" s="40">
        <v>40</v>
      </c>
      <c r="M37" s="40">
        <v>40</v>
      </c>
      <c r="N37" s="40">
        <v>40</v>
      </c>
      <c r="O37" s="40">
        <v>40</v>
      </c>
      <c r="P37" s="40">
        <v>40</v>
      </c>
      <c r="Q37" s="40">
        <v>40</v>
      </c>
      <c r="R37" s="40">
        <v>40</v>
      </c>
      <c r="S37" s="40">
        <v>40</v>
      </c>
      <c r="T37" s="40">
        <v>40</v>
      </c>
      <c r="U37" s="40">
        <v>40</v>
      </c>
      <c r="V37" s="40">
        <v>40</v>
      </c>
      <c r="W37" s="40">
        <v>40</v>
      </c>
      <c r="X37" s="40">
        <v>40</v>
      </c>
      <c r="Y37" s="40">
        <v>40</v>
      </c>
      <c r="Z37" s="40">
        <v>40</v>
      </c>
      <c r="AA37" s="40">
        <v>40</v>
      </c>
      <c r="AB37" s="40">
        <v>40</v>
      </c>
      <c r="AC37" s="40">
        <v>40</v>
      </c>
      <c r="AD37" s="40">
        <v>40</v>
      </c>
      <c r="AE37" s="40">
        <v>40</v>
      </c>
      <c r="AF37" s="40">
        <v>25</v>
      </c>
      <c r="AG37" s="40">
        <v>40</v>
      </c>
      <c r="AH37" s="40">
        <v>40</v>
      </c>
      <c r="AI37" s="40">
        <v>40</v>
      </c>
      <c r="AJ37" s="40">
        <v>40</v>
      </c>
      <c r="AK37" s="40">
        <v>40</v>
      </c>
      <c r="AL37" s="40">
        <v>15</v>
      </c>
      <c r="AM37" s="40">
        <v>40</v>
      </c>
      <c r="AN37" s="40">
        <v>40</v>
      </c>
      <c r="AO37" s="40">
        <v>40</v>
      </c>
      <c r="AP37" s="40">
        <v>40</v>
      </c>
      <c r="AQ37" s="40">
        <v>40</v>
      </c>
      <c r="AR37" s="40">
        <v>40</v>
      </c>
      <c r="AS37" s="40">
        <v>40</v>
      </c>
      <c r="AT37" s="40">
        <v>40</v>
      </c>
      <c r="AU37" s="40">
        <v>40</v>
      </c>
      <c r="AV37" s="40">
        <v>40</v>
      </c>
      <c r="AW37" s="40">
        <v>40</v>
      </c>
      <c r="AY37" t="s">
        <v>349</v>
      </c>
      <c r="AZ37" s="1" t="str">
        <f t="shared" ref="AZ37:AZ42" ca="1" si="34">AZ29</f>
        <v>\I:</v>
      </c>
      <c r="BA37" t="str">
        <f t="shared" ca="1" si="0"/>
        <v>Trd_lcv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3"/>
        <v>TRADST</v>
      </c>
      <c r="D38" s="40">
        <v>40</v>
      </c>
      <c r="E38" s="40">
        <v>40</v>
      </c>
      <c r="F38" s="40">
        <v>40</v>
      </c>
      <c r="G38" s="40">
        <v>40</v>
      </c>
      <c r="H38" s="40">
        <v>40</v>
      </c>
      <c r="I38" s="40">
        <v>40</v>
      </c>
      <c r="J38" s="40">
        <v>40</v>
      </c>
      <c r="K38" s="40">
        <v>40</v>
      </c>
      <c r="L38" s="40">
        <v>40</v>
      </c>
      <c r="M38" s="40">
        <v>40</v>
      </c>
      <c r="N38" s="40">
        <v>40</v>
      </c>
      <c r="O38" s="40">
        <v>40</v>
      </c>
      <c r="P38" s="40">
        <v>40</v>
      </c>
      <c r="Q38" s="40">
        <v>40</v>
      </c>
      <c r="R38" s="40">
        <v>40</v>
      </c>
      <c r="S38" s="40">
        <v>40</v>
      </c>
      <c r="T38" s="40">
        <v>40</v>
      </c>
      <c r="U38" s="40">
        <v>40</v>
      </c>
      <c r="V38" s="40">
        <v>40</v>
      </c>
      <c r="W38" s="40">
        <v>40</v>
      </c>
      <c r="X38" s="40">
        <v>40</v>
      </c>
      <c r="Y38" s="40">
        <v>40</v>
      </c>
      <c r="Z38" s="40">
        <v>40</v>
      </c>
      <c r="AA38" s="40">
        <v>40</v>
      </c>
      <c r="AB38" s="40">
        <v>40</v>
      </c>
      <c r="AC38" s="40">
        <v>40</v>
      </c>
      <c r="AD38" s="40">
        <v>40</v>
      </c>
      <c r="AE38" s="40">
        <v>40</v>
      </c>
      <c r="AF38" s="40">
        <v>25</v>
      </c>
      <c r="AG38" s="40">
        <v>40</v>
      </c>
      <c r="AH38" s="40">
        <v>40</v>
      </c>
      <c r="AI38" s="40">
        <v>40</v>
      </c>
      <c r="AJ38" s="40">
        <v>40</v>
      </c>
      <c r="AK38" s="40">
        <v>40</v>
      </c>
      <c r="AL38" s="40">
        <v>15</v>
      </c>
      <c r="AM38" s="40">
        <v>40</v>
      </c>
      <c r="AN38" s="40">
        <v>40</v>
      </c>
      <c r="AO38" s="40">
        <v>40</v>
      </c>
      <c r="AP38" s="40">
        <v>40</v>
      </c>
      <c r="AQ38" s="40">
        <v>40</v>
      </c>
      <c r="AR38" s="40">
        <v>40</v>
      </c>
      <c r="AS38" s="40">
        <v>40</v>
      </c>
      <c r="AT38" s="40">
        <v>40</v>
      </c>
      <c r="AU38" s="40">
        <v>40</v>
      </c>
      <c r="AV38" s="40">
        <v>40</v>
      </c>
      <c r="AW38" s="40">
        <v>40</v>
      </c>
      <c r="AY38" t="s">
        <v>349</v>
      </c>
      <c r="AZ38" s="1" t="str">
        <f t="shared" ca="1" si="34"/>
        <v>Trd_lcv_dsl</v>
      </c>
      <c r="BA38" t="str">
        <f t="shared" ca="1" si="0"/>
        <v>Trd_lcv</v>
      </c>
      <c r="BB38">
        <f t="shared" ca="1" si="1"/>
        <v>25</v>
      </c>
      <c r="BD38" t="str">
        <f t="shared" ca="1" si="3"/>
        <v>DMD</v>
      </c>
      <c r="BE38" t="str">
        <f t="shared" ca="1" si="4"/>
        <v>Trd_lcv_dsl</v>
      </c>
      <c r="BG38" t="s">
        <v>156</v>
      </c>
      <c r="BH38" t="s">
        <v>352</v>
      </c>
      <c r="BI38" t="s">
        <v>359</v>
      </c>
    </row>
    <row r="39" spans="1:61">
      <c r="C39" t="str">
        <f t="shared" si="33"/>
        <v>TRAELC</v>
      </c>
      <c r="D39" s="40">
        <v>40</v>
      </c>
      <c r="E39" s="40">
        <v>40</v>
      </c>
      <c r="F39" s="40">
        <v>40</v>
      </c>
      <c r="G39" s="40">
        <v>40</v>
      </c>
      <c r="H39" s="40">
        <v>40</v>
      </c>
      <c r="I39" s="40">
        <v>40</v>
      </c>
      <c r="J39" s="40">
        <v>40</v>
      </c>
      <c r="K39" s="40">
        <v>40</v>
      </c>
      <c r="L39" s="40">
        <v>40</v>
      </c>
      <c r="M39" s="40">
        <v>40</v>
      </c>
      <c r="N39" s="40">
        <v>40</v>
      </c>
      <c r="O39" s="40">
        <v>40</v>
      </c>
      <c r="P39" s="40">
        <v>40</v>
      </c>
      <c r="Q39" s="40">
        <v>40</v>
      </c>
      <c r="R39" s="40">
        <v>40</v>
      </c>
      <c r="S39" s="40">
        <v>40</v>
      </c>
      <c r="T39" s="40">
        <v>40</v>
      </c>
      <c r="U39" s="40">
        <v>40</v>
      </c>
      <c r="V39" s="40">
        <v>40</v>
      </c>
      <c r="W39" s="40">
        <v>40</v>
      </c>
      <c r="X39" s="40">
        <v>40</v>
      </c>
      <c r="Y39" s="40">
        <v>40</v>
      </c>
      <c r="Z39" s="40">
        <v>40</v>
      </c>
      <c r="AA39" s="40">
        <v>40</v>
      </c>
      <c r="AB39" s="40">
        <v>40</v>
      </c>
      <c r="AC39" s="40">
        <v>40</v>
      </c>
      <c r="AD39" s="40">
        <v>40</v>
      </c>
      <c r="AE39" s="40">
        <v>40</v>
      </c>
      <c r="AF39" s="40">
        <v>25</v>
      </c>
      <c r="AG39" s="40">
        <v>40</v>
      </c>
      <c r="AH39" s="40">
        <v>40</v>
      </c>
      <c r="AI39" s="40">
        <v>40</v>
      </c>
      <c r="AJ39" s="40">
        <v>40</v>
      </c>
      <c r="AK39" s="40">
        <v>40</v>
      </c>
      <c r="AL39" s="40">
        <v>15</v>
      </c>
      <c r="AM39" s="40">
        <v>40</v>
      </c>
      <c r="AN39" s="40">
        <v>40</v>
      </c>
      <c r="AO39" s="40">
        <v>40</v>
      </c>
      <c r="AP39" s="40">
        <v>40</v>
      </c>
      <c r="AQ39" s="40">
        <v>40</v>
      </c>
      <c r="AR39" s="40">
        <v>40</v>
      </c>
      <c r="AS39" s="40">
        <v>40</v>
      </c>
      <c r="AT39" s="40">
        <v>40</v>
      </c>
      <c r="AU39" s="40">
        <v>40</v>
      </c>
      <c r="AV39" s="40">
        <v>40</v>
      </c>
      <c r="AW39" s="40">
        <v>40</v>
      </c>
      <c r="AY39" t="s">
        <v>349</v>
      </c>
      <c r="AZ39" s="1" t="str">
        <f t="shared" ca="1" si="34"/>
        <v>Trd_lcv_elc</v>
      </c>
      <c r="BA39" t="str">
        <f t="shared" ca="1" si="0"/>
        <v>Trd_lcv</v>
      </c>
      <c r="BB39">
        <f t="shared" ca="1" si="1"/>
        <v>25</v>
      </c>
      <c r="BD39" t="str">
        <f t="shared" ca="1" si="3"/>
        <v>DMD</v>
      </c>
      <c r="BE39" t="str">
        <f t="shared" ca="1" si="4"/>
        <v>Trd_lcv_elc</v>
      </c>
      <c r="BG39" t="s">
        <v>156</v>
      </c>
      <c r="BH39" t="s">
        <v>352</v>
      </c>
      <c r="BI39" t="s">
        <v>359</v>
      </c>
    </row>
    <row r="40" spans="1:61">
      <c r="C40" t="str">
        <f t="shared" si="33"/>
        <v>TRAGSL</v>
      </c>
      <c r="D40" s="40">
        <v>40</v>
      </c>
      <c r="E40" s="40">
        <v>40</v>
      </c>
      <c r="F40" s="40">
        <v>40</v>
      </c>
      <c r="G40" s="40">
        <v>40</v>
      </c>
      <c r="H40" s="40">
        <v>40</v>
      </c>
      <c r="I40" s="40">
        <v>40</v>
      </c>
      <c r="J40" s="40">
        <v>40</v>
      </c>
      <c r="K40" s="40">
        <v>40</v>
      </c>
      <c r="L40" s="40">
        <v>40</v>
      </c>
      <c r="M40" s="40">
        <v>40</v>
      </c>
      <c r="N40" s="40">
        <v>40</v>
      </c>
      <c r="O40" s="40">
        <v>40</v>
      </c>
      <c r="P40" s="40">
        <v>40</v>
      </c>
      <c r="Q40" s="40">
        <v>40</v>
      </c>
      <c r="R40" s="40">
        <v>40</v>
      </c>
      <c r="S40" s="40">
        <v>40</v>
      </c>
      <c r="T40" s="40">
        <v>40</v>
      </c>
      <c r="U40" s="40">
        <v>40</v>
      </c>
      <c r="V40" s="40">
        <v>40</v>
      </c>
      <c r="W40" s="40">
        <v>40</v>
      </c>
      <c r="X40" s="40">
        <v>40</v>
      </c>
      <c r="Y40" s="40">
        <v>40</v>
      </c>
      <c r="Z40" s="40">
        <v>40</v>
      </c>
      <c r="AA40" s="40">
        <v>40</v>
      </c>
      <c r="AB40" s="40">
        <v>40</v>
      </c>
      <c r="AC40" s="40">
        <v>40</v>
      </c>
      <c r="AD40" s="40">
        <v>40</v>
      </c>
      <c r="AE40" s="40">
        <v>40</v>
      </c>
      <c r="AF40" s="40">
        <v>25</v>
      </c>
      <c r="AG40" s="40">
        <v>40</v>
      </c>
      <c r="AH40" s="40">
        <v>40</v>
      </c>
      <c r="AI40" s="40">
        <v>40</v>
      </c>
      <c r="AJ40" s="40">
        <v>40</v>
      </c>
      <c r="AK40" s="40">
        <v>40</v>
      </c>
      <c r="AL40" s="40">
        <v>15</v>
      </c>
      <c r="AM40" s="40">
        <v>40</v>
      </c>
      <c r="AN40" s="40">
        <v>40</v>
      </c>
      <c r="AO40" s="40">
        <v>40</v>
      </c>
      <c r="AP40" s="40">
        <v>40</v>
      </c>
      <c r="AQ40" s="40">
        <v>40</v>
      </c>
      <c r="AR40" s="40">
        <v>40</v>
      </c>
      <c r="AS40" s="40">
        <v>40</v>
      </c>
      <c r="AT40" s="40">
        <v>40</v>
      </c>
      <c r="AU40" s="40">
        <v>40</v>
      </c>
      <c r="AV40" s="40">
        <v>40</v>
      </c>
      <c r="AW40" s="40">
        <v>40</v>
      </c>
      <c r="AY40" t="s">
        <v>349</v>
      </c>
      <c r="AZ40" s="1" t="str">
        <f t="shared" ca="1" si="34"/>
        <v>Trd_lcv_gsl</v>
      </c>
      <c r="BA40" t="str">
        <f t="shared" ca="1" si="0"/>
        <v>Trd_lcv</v>
      </c>
      <c r="BB40">
        <f t="shared" ca="1" si="1"/>
        <v>25</v>
      </c>
      <c r="BD40" t="str">
        <f t="shared" ca="1" si="3"/>
        <v>DMD</v>
      </c>
      <c r="BE40" t="str">
        <f t="shared" ca="1" si="4"/>
        <v>Trd_lcv_gsl</v>
      </c>
      <c r="BG40" t="s">
        <v>156</v>
      </c>
      <c r="BH40" t="s">
        <v>352</v>
      </c>
      <c r="BI40" t="s">
        <v>359</v>
      </c>
    </row>
    <row r="41" spans="1:61">
      <c r="C41" t="str">
        <f t="shared" si="33"/>
        <v>TRALPG</v>
      </c>
      <c r="D41" s="40">
        <v>40</v>
      </c>
      <c r="E41" s="40">
        <v>40</v>
      </c>
      <c r="F41" s="40">
        <v>40</v>
      </c>
      <c r="G41" s="40">
        <v>40</v>
      </c>
      <c r="H41" s="40">
        <v>40</v>
      </c>
      <c r="I41" s="40">
        <v>40</v>
      </c>
      <c r="J41" s="40">
        <v>40</v>
      </c>
      <c r="K41" s="40">
        <v>40</v>
      </c>
      <c r="L41" s="40">
        <v>40</v>
      </c>
      <c r="M41" s="40">
        <v>40</v>
      </c>
      <c r="N41" s="40">
        <v>40</v>
      </c>
      <c r="O41" s="40">
        <v>40</v>
      </c>
      <c r="P41" s="40">
        <v>40</v>
      </c>
      <c r="Q41" s="40">
        <v>40</v>
      </c>
      <c r="R41" s="40">
        <v>40</v>
      </c>
      <c r="S41" s="40">
        <v>40</v>
      </c>
      <c r="T41" s="40">
        <v>40</v>
      </c>
      <c r="U41" s="40">
        <v>40</v>
      </c>
      <c r="V41" s="40">
        <v>40</v>
      </c>
      <c r="W41" s="40">
        <v>40</v>
      </c>
      <c r="X41" s="40">
        <v>40</v>
      </c>
      <c r="Y41" s="40">
        <v>40</v>
      </c>
      <c r="Z41" s="40">
        <v>40</v>
      </c>
      <c r="AA41" s="40">
        <v>40</v>
      </c>
      <c r="AB41" s="40">
        <v>40</v>
      </c>
      <c r="AC41" s="40">
        <v>40</v>
      </c>
      <c r="AD41" s="40">
        <v>40</v>
      </c>
      <c r="AE41" s="40">
        <v>40</v>
      </c>
      <c r="AF41" s="40">
        <v>25</v>
      </c>
      <c r="AG41" s="40">
        <v>40</v>
      </c>
      <c r="AH41" s="40">
        <v>40</v>
      </c>
      <c r="AI41" s="40">
        <v>40</v>
      </c>
      <c r="AJ41" s="40">
        <v>40</v>
      </c>
      <c r="AK41" s="40">
        <v>40</v>
      </c>
      <c r="AL41" s="40">
        <v>15</v>
      </c>
      <c r="AM41" s="40">
        <v>40</v>
      </c>
      <c r="AN41" s="40">
        <v>40</v>
      </c>
      <c r="AO41" s="40">
        <v>40</v>
      </c>
      <c r="AP41" s="40">
        <v>40</v>
      </c>
      <c r="AQ41" s="40">
        <v>40</v>
      </c>
      <c r="AR41" s="40">
        <v>40</v>
      </c>
      <c r="AS41" s="40">
        <v>40</v>
      </c>
      <c r="AT41" s="40">
        <v>40</v>
      </c>
      <c r="AU41" s="40">
        <v>40</v>
      </c>
      <c r="AV41" s="40">
        <v>40</v>
      </c>
      <c r="AW41" s="40">
        <v>40</v>
      </c>
      <c r="AY41" t="s">
        <v>349</v>
      </c>
      <c r="AZ41" s="1" t="str">
        <f t="shared" ca="1" si="34"/>
        <v>Trd_lcv_lpg</v>
      </c>
      <c r="BA41" t="str">
        <f t="shared" ca="1" si="0"/>
        <v>Trd_lcv</v>
      </c>
      <c r="BB41">
        <f t="shared" ca="1" si="1"/>
        <v>25</v>
      </c>
      <c r="BD41" t="str">
        <f t="shared" ca="1" si="3"/>
        <v>DMD</v>
      </c>
      <c r="BE41" t="str">
        <f t="shared" ca="1" si="4"/>
        <v>Trd_lcv_lpg</v>
      </c>
      <c r="BG41" t="s">
        <v>156</v>
      </c>
      <c r="BH41" t="s">
        <v>352</v>
      </c>
      <c r="BI41" t="s">
        <v>359</v>
      </c>
    </row>
    <row r="42" spans="1:61">
      <c r="C42" t="str">
        <f t="shared" si="33"/>
        <v>TRANGA</v>
      </c>
      <c r="D42" s="40">
        <v>40</v>
      </c>
      <c r="E42" s="40">
        <v>40</v>
      </c>
      <c r="F42" s="40">
        <v>40</v>
      </c>
      <c r="G42" s="40">
        <v>40</v>
      </c>
      <c r="H42" s="40">
        <v>40</v>
      </c>
      <c r="I42" s="40">
        <v>40</v>
      </c>
      <c r="J42" s="40">
        <v>40</v>
      </c>
      <c r="K42" s="40">
        <v>40</v>
      </c>
      <c r="L42" s="40">
        <v>40</v>
      </c>
      <c r="M42" s="40">
        <v>40</v>
      </c>
      <c r="N42" s="40">
        <v>40</v>
      </c>
      <c r="O42" s="40">
        <v>40</v>
      </c>
      <c r="P42" s="40">
        <v>40</v>
      </c>
      <c r="Q42" s="40">
        <v>40</v>
      </c>
      <c r="R42" s="40">
        <v>40</v>
      </c>
      <c r="S42" s="40">
        <v>40</v>
      </c>
      <c r="T42" s="40">
        <v>40</v>
      </c>
      <c r="U42" s="40">
        <v>40</v>
      </c>
      <c r="V42" s="40">
        <v>40</v>
      </c>
      <c r="W42" s="40">
        <v>40</v>
      </c>
      <c r="X42" s="40">
        <v>40</v>
      </c>
      <c r="Y42" s="40">
        <v>40</v>
      </c>
      <c r="Z42" s="40">
        <v>40</v>
      </c>
      <c r="AA42" s="40">
        <v>40</v>
      </c>
      <c r="AB42" s="40">
        <v>40</v>
      </c>
      <c r="AC42" s="40">
        <v>40</v>
      </c>
      <c r="AD42" s="40">
        <v>40</v>
      </c>
      <c r="AE42" s="40">
        <v>40</v>
      </c>
      <c r="AF42" s="40">
        <v>25</v>
      </c>
      <c r="AG42" s="40">
        <v>40</v>
      </c>
      <c r="AH42" s="40">
        <v>40</v>
      </c>
      <c r="AI42" s="40">
        <v>40</v>
      </c>
      <c r="AJ42" s="40">
        <v>40</v>
      </c>
      <c r="AK42" s="40">
        <v>40</v>
      </c>
      <c r="AL42" s="40">
        <v>15</v>
      </c>
      <c r="AM42" s="40">
        <v>40</v>
      </c>
      <c r="AN42" s="40">
        <v>40</v>
      </c>
      <c r="AO42" s="40">
        <v>40</v>
      </c>
      <c r="AP42" s="40">
        <v>40</v>
      </c>
      <c r="AQ42" s="40">
        <v>40</v>
      </c>
      <c r="AR42" s="40">
        <v>40</v>
      </c>
      <c r="AS42" s="40">
        <v>40</v>
      </c>
      <c r="AT42" s="40">
        <v>40</v>
      </c>
      <c r="AU42" s="40">
        <v>40</v>
      </c>
      <c r="AV42" s="40">
        <v>40</v>
      </c>
      <c r="AW42" s="40">
        <v>40</v>
      </c>
      <c r="AY42" t="s">
        <v>349</v>
      </c>
      <c r="AZ42" s="1" t="str">
        <f t="shared" ca="1" si="34"/>
        <v>Trd_lcv_nga</v>
      </c>
      <c r="BA42" t="str">
        <f t="shared" ca="1" si="0"/>
        <v>Trd_lcv</v>
      </c>
      <c r="BB42">
        <f t="shared" ca="1" si="1"/>
        <v>25</v>
      </c>
      <c r="BD42" t="str">
        <f t="shared" ca="1" si="3"/>
        <v>DMD</v>
      </c>
      <c r="BE42" t="str">
        <f t="shared" ca="1" si="4"/>
        <v>Trd_lcv_nga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82.28</v>
      </c>
      <c r="E45" s="2">
        <f t="shared" ref="E45:U45" ca="1" si="39">SUMPRODUCT(E36:E42,E19:E25)</f>
        <v>67.52</v>
      </c>
      <c r="F45" s="2">
        <f t="shared" ca="1" si="39"/>
        <v>64.16</v>
      </c>
      <c r="G45" s="2">
        <f t="shared" ca="1" si="39"/>
        <v>13.36</v>
      </c>
      <c r="H45" s="2">
        <f t="shared" ca="1" si="39"/>
        <v>7.6800000000000006</v>
      </c>
      <c r="I45" s="2">
        <f t="shared" ca="1" si="39"/>
        <v>30.4</v>
      </c>
      <c r="J45" s="2">
        <f t="shared" ca="1" si="39"/>
        <v>98.639999999999986</v>
      </c>
      <c r="K45" s="2">
        <f t="shared" ca="1" si="39"/>
        <v>375.92</v>
      </c>
      <c r="L45" s="2">
        <f t="shared" ca="1" si="39"/>
        <v>7.16</v>
      </c>
      <c r="M45" s="2">
        <f t="shared" ca="1" si="39"/>
        <v>14.959999999999999</v>
      </c>
      <c r="N45" s="2">
        <f t="shared" ca="1" si="39"/>
        <v>67.16</v>
      </c>
      <c r="O45" s="2">
        <f t="shared" ca="1" si="39"/>
        <v>76.28</v>
      </c>
      <c r="P45" s="2">
        <f t="shared" ca="1" si="39"/>
        <v>7.7600000000000007</v>
      </c>
      <c r="Q45" s="2">
        <f t="shared" ca="1" si="39"/>
        <v>26.560000000000002</v>
      </c>
      <c r="R45" s="2">
        <f t="shared" ca="1" si="39"/>
        <v>0.43999999999999995</v>
      </c>
      <c r="S45" s="2">
        <f t="shared" ca="1" si="39"/>
        <v>179.96000000000004</v>
      </c>
      <c r="T45" s="2">
        <f t="shared" ca="1" si="39"/>
        <v>6.2800000000000011</v>
      </c>
      <c r="U45" s="2">
        <f t="shared" ca="1" si="39"/>
        <v>55.279999999999994</v>
      </c>
      <c r="V45" s="2">
        <f t="shared" ref="V45:AJ45" ca="1" si="40">SUMPRODUCT(V36:V42,V19:V25)</f>
        <v>114.16000000000001</v>
      </c>
      <c r="W45" s="2">
        <f t="shared" ca="1" si="40"/>
        <v>102.28</v>
      </c>
      <c r="X45" s="2">
        <f t="shared" ca="1" si="40"/>
        <v>222.24</v>
      </c>
      <c r="Y45" s="2">
        <f t="shared" ca="1" si="40"/>
        <v>1080.32</v>
      </c>
      <c r="Z45" s="2">
        <f t="shared" ca="1" si="40"/>
        <v>5.16</v>
      </c>
      <c r="AA45" s="2">
        <f t="shared" ca="1" si="40"/>
        <v>49.120000000000005</v>
      </c>
      <c r="AB45" s="2">
        <f t="shared" ca="1" si="40"/>
        <v>162.99999999999997</v>
      </c>
      <c r="AC45" s="2">
        <f t="shared" ca="1" si="40"/>
        <v>132.56</v>
      </c>
      <c r="AD45" s="2">
        <f t="shared" ca="1" si="40"/>
        <v>106.32</v>
      </c>
      <c r="AE45" s="2">
        <f t="shared" ca="1" si="40"/>
        <v>23.799999999999997</v>
      </c>
      <c r="AF45" s="2">
        <f t="shared" ca="1" si="40"/>
        <v>55.775000000000006</v>
      </c>
      <c r="AG45" s="2">
        <f t="shared" ref="AG45" ca="1" si="41">SUMPRODUCT(AG36:AG42,AG19:AG25)</f>
        <v>19.96</v>
      </c>
      <c r="AH45" s="2">
        <f t="shared" ca="1" si="40"/>
        <v>6.5600000000000005</v>
      </c>
      <c r="AI45" s="2">
        <f t="shared" ca="1" si="40"/>
        <v>67.56</v>
      </c>
      <c r="AJ45" s="2">
        <f t="shared" ca="1" si="40"/>
        <v>54.4</v>
      </c>
      <c r="AK45" s="2">
        <f t="shared" ref="AK45:AW45" ca="1" si="42">SUMPRODUCT(AK36:AK42,AK19:AK25)</f>
        <v>27.240000000000002</v>
      </c>
      <c r="AL45" s="2">
        <f t="shared" ca="1" si="42"/>
        <v>11.489999999999998</v>
      </c>
      <c r="AM45" s="2">
        <f t="shared" ca="1" si="42"/>
        <v>0</v>
      </c>
      <c r="AN45" s="2">
        <f t="shared" ca="1" si="42"/>
        <v>0</v>
      </c>
      <c r="AO45" s="2">
        <f t="shared" ca="1" si="42"/>
        <v>0</v>
      </c>
      <c r="AP45" s="2">
        <f t="shared" ca="1" si="42"/>
        <v>0</v>
      </c>
      <c r="AQ45" s="2">
        <f t="shared" ca="1" si="42"/>
        <v>0</v>
      </c>
      <c r="AR45" s="2">
        <f t="shared" ca="1" si="42"/>
        <v>0</v>
      </c>
      <c r="AS45" s="2">
        <f t="shared" ca="1" si="42"/>
        <v>0</v>
      </c>
      <c r="AT45" s="2">
        <f t="shared" ca="1" si="42"/>
        <v>0</v>
      </c>
      <c r="AU45" s="2">
        <f t="shared" ca="1" si="42"/>
        <v>0</v>
      </c>
      <c r="AV45" s="2">
        <f t="shared" ca="1" si="42"/>
        <v>0</v>
      </c>
      <c r="AW45" s="2">
        <f t="shared" ca="1" si="42"/>
        <v>0</v>
      </c>
      <c r="AY45" t="s">
        <v>350</v>
      </c>
      <c r="BA45" t="s">
        <v>355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51:54">
      <c r="AY49" t="s">
        <v>434</v>
      </c>
      <c r="AZ49" t="str">
        <f>BA45</f>
        <v>Trd_lcv</v>
      </c>
      <c r="BB49" t="s">
        <v>156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BB434-6277-415C-8599-9D62F92CBB35}">
  <dimension ref="A1:BI49"/>
  <sheetViews>
    <sheetView zoomScaleNormal="100" workbookViewId="0"/>
  </sheetViews>
  <sheetFormatPr defaultRowHeight="14.25"/>
  <cols>
    <col min="1" max="1" width="10.86328125" bestFit="1" customWidth="1"/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1" width="6.59765625" bestFit="1" customWidth="1"/>
    <col min="32" max="32" width="5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6.59765625" bestFit="1" customWidth="1"/>
    <col min="52" max="52" width="12" bestFit="1" customWidth="1"/>
    <col min="57" max="57" width="12" bestFit="1" customWidth="1"/>
  </cols>
  <sheetData>
    <row r="1" spans="1:61" ht="14.65" thickBot="1">
      <c r="A1" s="49">
        <f>1-'Trucks-lcv'!$A$1</f>
        <v>0.5</v>
      </c>
      <c r="X1" s="2"/>
    </row>
    <row r="2" spans="1:61" ht="14.65" thickTop="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SUM(SUMIFS(Assumptions!BD$3:BD$102,Assumptions!$B$3:$B$102,'Trucks-hdt'!$C4,Assumptions!$G$3:$G$102,{"TRH","TRM"}))</f>
        <v>0</v>
      </c>
      <c r="E4" s="2" cm="1">
        <f t="array" aca="1" ref="E4" ca="1">SUM(SUMIFS(Assumptions!BE$3:BE$102,Assumptions!$B$3:$B$102,'Trucks-hdt'!$C4,Assumptions!$G$3:$G$102,{"TRH","TRM"}))</f>
        <v>0</v>
      </c>
      <c r="F4" s="2" cm="1">
        <f t="array" aca="1" ref="F4" ca="1">SUM(SUMIFS(Assumptions!BF$3:BF$102,Assumptions!$B$3:$B$102,'Trucks-hdt'!$C4,Assumptions!$G$3:$G$102,{"TRH","TRM"}))</f>
        <v>2.3442856163999999E-2</v>
      </c>
      <c r="G4" s="2" cm="1">
        <f t="array" aca="1" ref="G4" ca="1">SUM(SUMIFS(Assumptions!BG$3:BG$102,Assumptions!$B$3:$B$102,'Trucks-hdt'!$C4,Assumptions!$G$3:$G$102,{"TRH","TRM"}))</f>
        <v>11.407667447808</v>
      </c>
      <c r="H4" s="2" cm="1">
        <f t="array" aca="1" ref="H4" ca="1">SUM(SUMIFS(Assumptions!BH$3:BH$102,Assumptions!$B$3:$B$102,'Trucks-hdt'!$C4,Assumptions!$G$3:$G$102,{"TRH","TRM"}))</f>
        <v>3.4833385532160004</v>
      </c>
      <c r="I4" s="2" cm="1">
        <f t="array" aca="1" ref="I4" ca="1">SUM(SUMIFS(Assumptions!BI$3:BI$102,Assumptions!$B$3:$B$102,'Trucks-hdt'!$C4,Assumptions!$G$3:$G$102,{"TRH","TRM"}))</f>
        <v>23.635141150464001</v>
      </c>
      <c r="J4" s="2" cm="1">
        <f t="array" aca="1" ref="J4" ca="1">SUM(SUMIFS(Assumptions!BJ$3:BJ$102,Assumptions!$B$3:$B$102,'Trucks-hdt'!$C4,Assumptions!$G$3:$G$102,{"TRH","TRM"}))</f>
        <v>484.36626367681919</v>
      </c>
      <c r="K4" s="2" cm="1">
        <f t="array" aca="1" ref="K4" ca="1">SUM(SUMIFS(Assumptions!BK$3:BK$102,Assumptions!$B$3:$B$102,'Trucks-hdt'!$C4,Assumptions!$G$3:$G$102,{"TRH","TRM"}))</f>
        <v>18.762480278190001</v>
      </c>
      <c r="L4" s="2" cm="1">
        <f t="array" aca="1" ref="L4" ca="1">SUM(SUMIFS(Assumptions!BL$3:BL$102,Assumptions!$B$3:$B$102,'Trucks-hdt'!$C4,Assumptions!$G$3:$G$102,{"TRH","TRM"}))</f>
        <v>3.8299774579200001</v>
      </c>
      <c r="M4" s="2" cm="1">
        <f t="array" aca="1" ref="M4" ca="1">SUM(SUMIFS(Assumptions!BM$3:BM$102,Assumptions!$B$3:$B$102,'Trucks-hdt'!$C4,Assumptions!$G$3:$G$102,{"TRH","TRM"}))</f>
        <v>10.037909940480002</v>
      </c>
      <c r="N4" s="2" cm="1">
        <f t="array" aca="1" ref="N4" ca="1">SUM(SUMIFS(Assumptions!BN$3:BN$102,Assumptions!$B$3:$B$102,'Trucks-hdt'!$C4,Assumptions!$G$3:$G$102,{"TRH","TRM"}))</f>
        <v>67.650083958528015</v>
      </c>
      <c r="O4" s="2" cm="1">
        <f t="array" aca="1" ref="O4" ca="1">SUM(SUMIFS(Assumptions!BO$3:BO$102,Assumptions!$B$3:$B$102,'Trucks-hdt'!$C4,Assumptions!$G$3:$G$102,{"TRH","TRM"}))</f>
        <v>50.620089399552</v>
      </c>
      <c r="P4" s="2" cm="1">
        <f t="array" aca="1" ref="P4" ca="1">SUM(SUMIFS(Assumptions!BP$3:BP$102,Assumptions!$B$3:$B$102,'Trucks-hdt'!$C4,Assumptions!$G$3:$G$102,{"TRH","TRM"}))</f>
        <v>4.5860693253120006</v>
      </c>
      <c r="Q4" s="2" cm="1">
        <f t="array" aca="1" ref="Q4" ca="1">SUM(SUMIFS(Assumptions!BQ$3:BQ$102,Assumptions!$B$3:$B$102,'Trucks-hdt'!$C4,Assumptions!$G$3:$G$102,{"TRH","TRM"}))</f>
        <v>15.546984279120002</v>
      </c>
      <c r="R4" s="2" cm="1">
        <f t="array" aca="1" ref="R4" ca="1">SUM(SUMIFS(Assumptions!BR$3:BR$102,Assumptions!$B$3:$B$102,'Trucks-hdt'!$C4,Assumptions!$G$3:$G$102,{"TRH","TRM"}))</f>
        <v>0.41531716224000004</v>
      </c>
      <c r="S4" s="2" cm="1">
        <f t="array" aca="1" ref="S4" ca="1">SUM(SUMIFS(Assumptions!BS$3:BS$102,Assumptions!$B$3:$B$102,'Trucks-hdt'!$C4,Assumptions!$G$3:$G$102,{"TRH","TRM"}))</f>
        <v>0.61385186879999998</v>
      </c>
      <c r="T4" s="2" cm="1">
        <f t="array" aca="1" ref="T4" ca="1">SUM(SUMIFS(Assumptions!BT$3:BT$102,Assumptions!$B$3:$B$102,'Trucks-hdt'!$C4,Assumptions!$G$3:$G$102,{"TRH","TRM"}))</f>
        <v>4.3403651251199999</v>
      </c>
      <c r="U4" s="2" cm="1">
        <f t="array" aca="1" ref="U4" ca="1">SUM(SUMIFS(Assumptions!BU$3:BU$102,Assumptions!$B$3:$B$102,'Trucks-hdt'!$C4,Assumptions!$G$3:$G$102,{"TRH","TRM"}))</f>
        <v>33.669940131072003</v>
      </c>
      <c r="V4" s="2" cm="1">
        <f t="array" aca="1" ref="V4" ca="1">SUM(SUMIFS(Assumptions!BV$3:BV$102,Assumptions!$B$3:$B$102,'Trucks-hdt'!$C4,Assumptions!$G$3:$G$102,{"TRH","TRM"}))</f>
        <v>0.39462767135999999</v>
      </c>
      <c r="W4" s="2" cm="1">
        <f t="array" aca="1" ref="W4" ca="1">SUM(SUMIFS(Assumptions!BW$3:BW$102,Assumptions!$B$3:$B$102,'Trucks-hdt'!$C4,Assumptions!$G$3:$G$102,{"TRH","TRM"}))</f>
        <v>55.252065044188797</v>
      </c>
      <c r="X4" s="2" cm="1">
        <f t="array" aca="1" ref="X4" ca="1">SUM(SUMIFS(Assumptions!BX$3:BX$102,Assumptions!$B$3:$B$102,'Trucks-hdt'!$C4,Assumptions!$G$3:$G$102,{"TRH","TRM"}))</f>
        <v>0</v>
      </c>
      <c r="Y4" s="2" cm="1">
        <f t="array" aca="1" ref="Y4" ca="1">SUM(SUMIFS(Assumptions!BY$3:BY$102,Assumptions!$B$3:$B$102,'Trucks-hdt'!$C4,Assumptions!$G$3:$G$102,{"TRH","TRM"}))</f>
        <v>181.32175624894552</v>
      </c>
      <c r="Z4" s="2" cm="1">
        <f t="array" aca="1" ref="Z4" ca="1">SUM(SUMIFS(Assumptions!BZ$3:BZ$102,Assumptions!$B$3:$B$102,'Trucks-hdt'!$C4,Assumptions!$G$3:$G$102,{"TRH","TRM"}))</f>
        <v>11.227215697920002</v>
      </c>
      <c r="AA4" s="2" cm="1">
        <f t="array" aca="1" ref="AA4" ca="1">SUM(SUMIFS(Assumptions!CA$3:CA$102,Assumptions!$B$3:$B$102,'Trucks-hdt'!$C4,Assumptions!$G$3:$G$102,{"TRH","TRM"}))</f>
        <v>21.045844500480001</v>
      </c>
      <c r="AB4" s="2" cm="1">
        <f t="array" aca="1" ref="AB4" ca="1">SUM(SUMIFS(Assumptions!CB$3:CB$102,Assumptions!$B$3:$B$102,'Trucks-hdt'!$C4,Assumptions!$G$3:$G$102,{"TRH","TRM"}))</f>
        <v>196.69456826913603</v>
      </c>
      <c r="AC4" s="2" cm="1">
        <f t="array" aca="1" ref="AC4" ca="1">SUM(SUMIFS(Assumptions!CC$3:CC$102,Assumptions!$B$3:$B$102,'Trucks-hdt'!$C4,Assumptions!$G$3:$G$102,{"TRH","TRM"}))</f>
        <v>5.4720303695999999E-2</v>
      </c>
      <c r="AD4" s="2" cm="1">
        <f t="array" aca="1" ref="AD4" ca="1">SUM(SUMIFS(Assumptions!CD$3:CD$102,Assumptions!$B$3:$B$102,'Trucks-hdt'!$C4,Assumptions!$G$3:$G$102,{"TRH","TRM"}))</f>
        <v>0</v>
      </c>
      <c r="AE4" s="2" cm="1">
        <f t="array" aca="1" ref="AE4" ca="1">SUM(SUMIFS(Assumptions!CE$3:CE$102,Assumptions!$B$3:$B$102,'Trucks-hdt'!$C4,Assumptions!$G$3:$G$102,{"TRH","TRM"}))</f>
        <v>0</v>
      </c>
      <c r="AF4" s="2" cm="1">
        <f t="array" aca="1" ref="AF4" ca="1">SUM(SUMIFS(Assumptions!CF$3:CF$102,Assumptions!$B$3:$B$102,'Trucks-hdt'!$C4,Assumptions!$G$3:$G$102,{"TRH","TRM"}))</f>
        <v>47.094190182144004</v>
      </c>
      <c r="AG4" s="2" cm="1">
        <f t="array" aca="1" ref="AG4" ca="1">SUM(SUMIFS(Assumptions!CG$3:CG$102,Assumptions!$B$3:$B$102,'Trucks-hdt'!$C4,Assumptions!$G$3:$G$102,{"TRH","TRM"}))</f>
        <v>45.865631667456</v>
      </c>
      <c r="AH4" s="2" cm="1">
        <f t="array" aca="1" ref="AH4" ca="1">SUM(SUMIFS(Assumptions!CH$3:CH$102,Assumptions!$B$3:$B$102,'Trucks-hdt'!$C4,Assumptions!$G$3:$G$102,{"TRH","TRM"}))</f>
        <v>4.0148799436800005</v>
      </c>
      <c r="AI4" s="2" cm="1">
        <f t="array" aca="1" ref="AI4" ca="1">SUM(SUMIFS(Assumptions!CI$3:CI$102,Assumptions!$B$3:$B$102,'Trucks-hdt'!$C4,Assumptions!$G$3:$G$102,{"TRH","TRM"}))</f>
        <v>3.2261626047599998</v>
      </c>
      <c r="AJ4" s="2" cm="1">
        <f t="array" aca="1" ref="AJ4" ca="1">SUM(SUMIFS(Assumptions!CJ$3:CJ$102,Assumptions!$B$3:$B$102,'Trucks-hdt'!$C4,Assumptions!$G$3:$G$102,{"TRH","TRM"}))</f>
        <v>33.846785203968004</v>
      </c>
      <c r="AK4" s="2" cm="1">
        <f t="array" aca="1" ref="AK4" ca="1">SUM(SUMIFS(Assumptions!CK$3:CK$102,Assumptions!$B$3:$B$102,'Trucks-hdt'!$C4,Assumptions!$G$3:$G$102,{"TRH","TRM"}))</f>
        <v>0</v>
      </c>
      <c r="AL4" s="2" cm="1">
        <f t="array" aca="1" ref="AL4" ca="1">SUM(SUMIFS(Assumptions!CL$3:CL$102,Assumptions!$B$3:$B$102,'Trucks-hdt'!$C4,Assumptions!$G$3:$G$102,{"TRH","TRM"}))</f>
        <v>3.0211555240800001</v>
      </c>
      <c r="AM4" s="2" cm="1">
        <f t="array" aca="1" ref="AM4" ca="1">SUM(SUMIFS(Assumptions!CM$3:CM$102,Assumptions!$B$3:$B$102,'Trucks-hdt'!$C4,Assumptions!$G$3:$G$102,{"TRH","TRM"}))</f>
        <v>0</v>
      </c>
      <c r="AN4" s="2" cm="1">
        <f t="array" aca="1" ref="AN4" ca="1">SUM(SUMIFS(Assumptions!CN$3:CN$102,Assumptions!$B$3:$B$102,'Trucks-hdt'!$C4,Assumptions!$G$3:$G$102,{"TRH","TRM"}))</f>
        <v>0</v>
      </c>
      <c r="AO4" s="2" cm="1">
        <f t="array" aca="1" ref="AO4" ca="1">SUM(SUMIFS(Assumptions!CO$3:CO$102,Assumptions!$B$3:$B$102,'Trucks-hdt'!$C4,Assumptions!$G$3:$G$102,{"TRH","TRM"}))</f>
        <v>0</v>
      </c>
      <c r="AP4" s="2" cm="1">
        <f t="array" aca="1" ref="AP4" ca="1">SUM(SUMIFS(Assumptions!CP$3:CP$102,Assumptions!$B$3:$B$102,'Trucks-hdt'!$C4,Assumptions!$G$3:$G$102,{"TRH","TRM"}))</f>
        <v>0</v>
      </c>
      <c r="AQ4" s="2" cm="1">
        <f t="array" aca="1" ref="AQ4" ca="1">SUM(SUMIFS(Assumptions!CQ$3:CQ$102,Assumptions!$B$3:$B$102,'Trucks-hdt'!$C4,Assumptions!$G$3:$G$102,{"TRH","TRM"}))</f>
        <v>0</v>
      </c>
      <c r="AR4" s="2" cm="1">
        <f t="array" aca="1" ref="AR4" ca="1">SUM(SUMIFS(Assumptions!CR$3:CR$102,Assumptions!$B$3:$B$102,'Trucks-hdt'!$C4,Assumptions!$G$3:$G$102,{"TRH","TRM"}))</f>
        <v>0</v>
      </c>
      <c r="AS4" s="2" cm="1">
        <f t="array" aca="1" ref="AS4" ca="1">SUM(SUMIFS(Assumptions!CS$3:CS$102,Assumptions!$B$3:$B$102,'Trucks-hdt'!$C4,Assumptions!$G$3:$G$102,{"TRH","TRM"}))</f>
        <v>0</v>
      </c>
      <c r="AT4" s="2" cm="1">
        <f t="array" aca="1" ref="AT4" ca="1">SUM(SUMIFS(Assumptions!CT$3:CT$102,Assumptions!$B$3:$B$102,'Trucks-hdt'!$C4,Assumptions!$G$3:$G$102,{"TRH","TRM"}))</f>
        <v>0</v>
      </c>
      <c r="AU4" s="2" cm="1">
        <f t="array" aca="1" ref="AU4" ca="1">SUM(SUMIFS(Assumptions!CU$3:CU$102,Assumptions!$B$3:$B$102,'Trucks-hdt'!$C4,Assumptions!$G$3:$G$102,{"TRH","TRM"}))</f>
        <v>0</v>
      </c>
      <c r="AV4" s="2" cm="1">
        <f t="array" aca="1" ref="AV4" ca="1">SUM(SUMIFS(Assumptions!CV$3:CV$102,Assumptions!$B$3:$B$102,'Trucks-hdt'!$C4,Assumptions!$G$3:$G$102,{"TRH","TRM"}))</f>
        <v>0</v>
      </c>
      <c r="AW4" s="2" cm="1">
        <f t="array" aca="1" ref="AW4" ca="1">SUM(SUMIFS(Assumptions!CW$3:CW$102,Assumptions!$B$3:$B$102,'Trucks-hdt'!$C4,Assumptions!$G$3:$G$102,{"TRH","TRM"}))</f>
        <v>0</v>
      </c>
      <c r="AX4" s="53" t="str">
        <f ca="1">IF(SUM(D4:AW4)=0,"zero","")</f>
        <v/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SUM(SUMIFS(Assumptions!BD$3:BD$102,Assumptions!$B$3:$B$102,'Trucks-hdt'!$C5,Assumptions!$G$3:$G$102,{"TRH","TRM"}))</f>
        <v>0</v>
      </c>
      <c r="E5" s="2" cm="1">
        <f t="array" aca="1" ref="E5" ca="1">SUM(SUMIFS(Assumptions!BE$3:BE$102,Assumptions!$B$3:$B$102,'Trucks-hdt'!$C5,Assumptions!$G$3:$G$102,{"TRH","TRM"}))</f>
        <v>0</v>
      </c>
      <c r="F5" s="2" cm="1">
        <f t="array" aca="1" ref="F5" ca="1">SUM(SUMIFS(Assumptions!BF$3:BF$102,Assumptions!$B$3:$B$102,'Trucks-hdt'!$C5,Assumptions!$G$3:$G$102,{"TRH","TRM"}))</f>
        <v>0</v>
      </c>
      <c r="G5" s="2" cm="1">
        <f t="array" aca="1" ref="G5" ca="1">SUM(SUMIFS(Assumptions!BG$3:BG$102,Assumptions!$B$3:$B$102,'Trucks-hdt'!$C5,Assumptions!$G$3:$G$102,{"TRH","TRM"}))</f>
        <v>0</v>
      </c>
      <c r="H5" s="2" cm="1">
        <f t="array" aca="1" ref="H5" ca="1">SUM(SUMIFS(Assumptions!BH$3:BH$102,Assumptions!$B$3:$B$102,'Trucks-hdt'!$C5,Assumptions!$G$3:$G$102,{"TRH","TRM"}))</f>
        <v>0</v>
      </c>
      <c r="I5" s="2" cm="1">
        <f t="array" aca="1" ref="I5" ca="1">SUM(SUMIFS(Assumptions!BI$3:BI$102,Assumptions!$B$3:$B$102,'Trucks-hdt'!$C5,Assumptions!$G$3:$G$102,{"TRH","TRM"}))</f>
        <v>0</v>
      </c>
      <c r="J5" s="2" cm="1">
        <f t="array" aca="1" ref="J5" ca="1">SUM(SUMIFS(Assumptions!BJ$3:BJ$102,Assumptions!$B$3:$B$102,'Trucks-hdt'!$C5,Assumptions!$G$3:$G$102,{"TRH","TRM"}))</f>
        <v>0</v>
      </c>
      <c r="K5" s="2" cm="1">
        <f t="array" aca="1" ref="K5" ca="1">SUM(SUMIFS(Assumptions!BK$3:BK$102,Assumptions!$B$3:$B$102,'Trucks-hdt'!$C5,Assumptions!$G$3:$G$102,{"TRH","TRM"}))</f>
        <v>0</v>
      </c>
      <c r="L5" s="2" cm="1">
        <f t="array" aca="1" ref="L5" ca="1">SUM(SUMIFS(Assumptions!BL$3:BL$102,Assumptions!$B$3:$B$102,'Trucks-hdt'!$C5,Assumptions!$G$3:$G$102,{"TRH","TRM"}))</f>
        <v>0</v>
      </c>
      <c r="M5" s="2" cm="1">
        <f t="array" aca="1" ref="M5" ca="1">SUM(SUMIFS(Assumptions!BM$3:BM$102,Assumptions!$B$3:$B$102,'Trucks-hdt'!$C5,Assumptions!$G$3:$G$102,{"TRH","TRM"}))</f>
        <v>0</v>
      </c>
      <c r="N5" s="2" cm="1">
        <f t="array" aca="1" ref="N5" ca="1">SUM(SUMIFS(Assumptions!BN$3:BN$102,Assumptions!$B$3:$B$102,'Trucks-hdt'!$C5,Assumptions!$G$3:$G$102,{"TRH","TRM"}))</f>
        <v>0</v>
      </c>
      <c r="O5" s="2" cm="1">
        <f t="array" aca="1" ref="O5" ca="1">SUM(SUMIFS(Assumptions!BO$3:BO$102,Assumptions!$B$3:$B$102,'Trucks-hdt'!$C5,Assumptions!$G$3:$G$102,{"TRH","TRM"}))</f>
        <v>0</v>
      </c>
      <c r="P5" s="2" cm="1">
        <f t="array" aca="1" ref="P5" ca="1">SUM(SUMIFS(Assumptions!BP$3:BP$102,Assumptions!$B$3:$B$102,'Trucks-hdt'!$C5,Assumptions!$G$3:$G$102,{"TRH","TRM"}))</f>
        <v>0</v>
      </c>
      <c r="Q5" s="2" cm="1">
        <f t="array" aca="1" ref="Q5" ca="1">SUM(SUMIFS(Assumptions!BQ$3:BQ$102,Assumptions!$B$3:$B$102,'Trucks-hdt'!$C5,Assumptions!$G$3:$G$102,{"TRH","TRM"}))</f>
        <v>0</v>
      </c>
      <c r="R5" s="2" cm="1">
        <f t="array" aca="1" ref="R5" ca="1">SUM(SUMIFS(Assumptions!BR$3:BR$102,Assumptions!$B$3:$B$102,'Trucks-hdt'!$C5,Assumptions!$G$3:$G$102,{"TRH","TRM"}))</f>
        <v>0</v>
      </c>
      <c r="S5" s="2" cm="1">
        <f t="array" aca="1" ref="S5" ca="1">SUM(SUMIFS(Assumptions!BS$3:BS$102,Assumptions!$B$3:$B$102,'Trucks-hdt'!$C5,Assumptions!$G$3:$G$102,{"TRH","TRM"}))</f>
        <v>0</v>
      </c>
      <c r="T5" s="2" cm="1">
        <f t="array" aca="1" ref="T5" ca="1">SUM(SUMIFS(Assumptions!BT$3:BT$102,Assumptions!$B$3:$B$102,'Trucks-hdt'!$C5,Assumptions!$G$3:$G$102,{"TRH","TRM"}))</f>
        <v>0</v>
      </c>
      <c r="U5" s="2" cm="1">
        <f t="array" aca="1" ref="U5" ca="1">SUM(SUMIFS(Assumptions!BU$3:BU$102,Assumptions!$B$3:$B$102,'Trucks-hdt'!$C5,Assumptions!$G$3:$G$102,{"TRH","TRM"}))</f>
        <v>0</v>
      </c>
      <c r="V5" s="2" cm="1">
        <f t="array" aca="1" ref="V5" ca="1">SUM(SUMIFS(Assumptions!BV$3:BV$102,Assumptions!$B$3:$B$102,'Trucks-hdt'!$C5,Assumptions!$G$3:$G$102,{"TRH","TRM"}))</f>
        <v>0</v>
      </c>
      <c r="W5" s="2" cm="1">
        <f t="array" aca="1" ref="W5" ca="1">SUM(SUMIFS(Assumptions!BW$3:BW$102,Assumptions!$B$3:$B$102,'Trucks-hdt'!$C5,Assumptions!$G$3:$G$102,{"TRH","TRM"}))</f>
        <v>0</v>
      </c>
      <c r="X5" s="2" cm="1">
        <f t="array" aca="1" ref="X5" ca="1">SUM(SUMIFS(Assumptions!BX$3:BX$102,Assumptions!$B$3:$B$102,'Trucks-hdt'!$C5,Assumptions!$G$3:$G$102,{"TRH","TRM"}))</f>
        <v>0</v>
      </c>
      <c r="Y5" s="2" cm="1">
        <f t="array" aca="1" ref="Y5" ca="1">SUM(SUMIFS(Assumptions!BY$3:BY$102,Assumptions!$B$3:$B$102,'Trucks-hdt'!$C5,Assumptions!$G$3:$G$102,{"TRH","TRM"}))</f>
        <v>0</v>
      </c>
      <c r="Z5" s="2" cm="1">
        <f t="array" aca="1" ref="Z5" ca="1">SUM(SUMIFS(Assumptions!BZ$3:BZ$102,Assumptions!$B$3:$B$102,'Trucks-hdt'!$C5,Assumptions!$G$3:$G$102,{"TRH","TRM"}))</f>
        <v>0</v>
      </c>
      <c r="AA5" s="2" cm="1">
        <f t="array" aca="1" ref="AA5" ca="1">SUM(SUMIFS(Assumptions!CA$3:CA$102,Assumptions!$B$3:$B$102,'Trucks-hdt'!$C5,Assumptions!$G$3:$G$102,{"TRH","TRM"}))</f>
        <v>0</v>
      </c>
      <c r="AB5" s="2" cm="1">
        <f t="array" aca="1" ref="AB5" ca="1">SUM(SUMIFS(Assumptions!CB$3:CB$102,Assumptions!$B$3:$B$102,'Trucks-hdt'!$C5,Assumptions!$G$3:$G$102,{"TRH","TRM"}))</f>
        <v>0</v>
      </c>
      <c r="AC5" s="2" cm="1">
        <f t="array" aca="1" ref="AC5" ca="1">SUM(SUMIFS(Assumptions!CC$3:CC$102,Assumptions!$B$3:$B$102,'Trucks-hdt'!$C5,Assumptions!$G$3:$G$102,{"TRH","TRM"}))</f>
        <v>0</v>
      </c>
      <c r="AD5" s="2" cm="1">
        <f t="array" aca="1" ref="AD5" ca="1">SUM(SUMIFS(Assumptions!CD$3:CD$102,Assumptions!$B$3:$B$102,'Trucks-hdt'!$C5,Assumptions!$G$3:$G$102,{"TRH","TRM"}))</f>
        <v>0</v>
      </c>
      <c r="AE5" s="2" cm="1">
        <f t="array" aca="1" ref="AE5" ca="1">SUM(SUMIFS(Assumptions!CE$3:CE$102,Assumptions!$B$3:$B$102,'Trucks-hdt'!$C5,Assumptions!$G$3:$G$102,{"TRH","TRM"}))</f>
        <v>0</v>
      </c>
      <c r="AF5" s="2" cm="1">
        <f t="array" aca="1" ref="AF5" ca="1">SUM(SUMIFS(Assumptions!CF$3:CF$102,Assumptions!$B$3:$B$102,'Trucks-hdt'!$C5,Assumptions!$G$3:$G$102,{"TRH","TRM"}))</f>
        <v>0</v>
      </c>
      <c r="AG5" s="2" cm="1">
        <f t="array" aca="1" ref="AG5" ca="1">SUM(SUMIFS(Assumptions!CG$3:CG$102,Assumptions!$B$3:$B$102,'Trucks-hdt'!$C5,Assumptions!$G$3:$G$102,{"TRH","TRM"}))</f>
        <v>0</v>
      </c>
      <c r="AH5" s="2" cm="1">
        <f t="array" aca="1" ref="AH5" ca="1">SUM(SUMIFS(Assumptions!CH$3:CH$102,Assumptions!$B$3:$B$102,'Trucks-hdt'!$C5,Assumptions!$G$3:$G$102,{"TRH","TRM"}))</f>
        <v>0</v>
      </c>
      <c r="AI5" s="2" cm="1">
        <f t="array" aca="1" ref="AI5" ca="1">SUM(SUMIFS(Assumptions!CI$3:CI$102,Assumptions!$B$3:$B$102,'Trucks-hdt'!$C5,Assumptions!$G$3:$G$102,{"TRH","TRM"}))</f>
        <v>0</v>
      </c>
      <c r="AJ5" s="2" cm="1">
        <f t="array" aca="1" ref="AJ5" ca="1">SUM(SUMIFS(Assumptions!CJ$3:CJ$102,Assumptions!$B$3:$B$102,'Trucks-hdt'!$C5,Assumptions!$G$3:$G$102,{"TRH","TRM"}))</f>
        <v>0</v>
      </c>
      <c r="AK5" s="2" cm="1">
        <f t="array" aca="1" ref="AK5" ca="1">SUM(SUMIFS(Assumptions!CK$3:CK$102,Assumptions!$B$3:$B$102,'Trucks-hdt'!$C5,Assumptions!$G$3:$G$102,{"TRH","TRM"}))</f>
        <v>0</v>
      </c>
      <c r="AL5" s="2" cm="1">
        <f t="array" aca="1" ref="AL5" ca="1">SUM(SUMIFS(Assumptions!CL$3:CL$102,Assumptions!$B$3:$B$102,'Trucks-hdt'!$C5,Assumptions!$G$3:$G$102,{"TRH","TRM"}))</f>
        <v>0</v>
      </c>
      <c r="AM5" s="2" cm="1">
        <f t="array" aca="1" ref="AM5" ca="1">SUM(SUMIFS(Assumptions!CM$3:CM$102,Assumptions!$B$3:$B$102,'Trucks-hdt'!$C5,Assumptions!$G$3:$G$102,{"TRH","TRM"}))</f>
        <v>0</v>
      </c>
      <c r="AN5" s="2" cm="1">
        <f t="array" aca="1" ref="AN5" ca="1">SUM(SUMIFS(Assumptions!CN$3:CN$102,Assumptions!$B$3:$B$102,'Trucks-hdt'!$C5,Assumptions!$G$3:$G$102,{"TRH","TRM"}))</f>
        <v>0</v>
      </c>
      <c r="AO5" s="2" cm="1">
        <f t="array" aca="1" ref="AO5" ca="1">SUM(SUMIFS(Assumptions!CO$3:CO$102,Assumptions!$B$3:$B$102,'Trucks-hdt'!$C5,Assumptions!$G$3:$G$102,{"TRH","TRM"}))</f>
        <v>0</v>
      </c>
      <c r="AP5" s="2" cm="1">
        <f t="array" aca="1" ref="AP5" ca="1">SUM(SUMIFS(Assumptions!CP$3:CP$102,Assumptions!$B$3:$B$102,'Trucks-hdt'!$C5,Assumptions!$G$3:$G$102,{"TRH","TRM"}))</f>
        <v>0</v>
      </c>
      <c r="AQ5" s="2" cm="1">
        <f t="array" aca="1" ref="AQ5" ca="1">SUM(SUMIFS(Assumptions!CQ$3:CQ$102,Assumptions!$B$3:$B$102,'Trucks-hdt'!$C5,Assumptions!$G$3:$G$102,{"TRH","TRM"}))</f>
        <v>0</v>
      </c>
      <c r="AR5" s="2" cm="1">
        <f t="array" aca="1" ref="AR5" ca="1">SUM(SUMIFS(Assumptions!CR$3:CR$102,Assumptions!$B$3:$B$102,'Trucks-hdt'!$C5,Assumptions!$G$3:$G$102,{"TRH","TRM"}))</f>
        <v>0</v>
      </c>
      <c r="AS5" s="2" cm="1">
        <f t="array" aca="1" ref="AS5" ca="1">SUM(SUMIFS(Assumptions!CS$3:CS$102,Assumptions!$B$3:$B$102,'Trucks-hdt'!$C5,Assumptions!$G$3:$G$102,{"TRH","TRM"}))</f>
        <v>0</v>
      </c>
      <c r="AT5" s="2" cm="1">
        <f t="array" aca="1" ref="AT5" ca="1">SUM(SUMIFS(Assumptions!CT$3:CT$102,Assumptions!$B$3:$B$102,'Trucks-hdt'!$C5,Assumptions!$G$3:$G$102,{"TRH","TRM"}))</f>
        <v>0</v>
      </c>
      <c r="AU5" s="2" cm="1">
        <f t="array" aca="1" ref="AU5" ca="1">SUM(SUMIFS(Assumptions!CU$3:CU$102,Assumptions!$B$3:$B$102,'Trucks-hdt'!$C5,Assumptions!$G$3:$G$102,{"TRH","TRM"}))</f>
        <v>0</v>
      </c>
      <c r="AV5" s="2" cm="1">
        <f t="array" aca="1" ref="AV5" ca="1">SUM(SUMIFS(Assumptions!CV$3:CV$102,Assumptions!$B$3:$B$102,'Trucks-hdt'!$C5,Assumptions!$G$3:$G$102,{"TRH","TRM"}))</f>
        <v>0</v>
      </c>
      <c r="AW5" s="2" cm="1">
        <f t="array" aca="1" ref="AW5" ca="1">SUM(SUMIFS(Assumptions!CW$3:CW$102,Assumptions!$B$3:$B$102,'Trucks-hdt'!$C5,Assumptions!$G$3:$G$102,{"TRH","TRM"}))</f>
        <v>0</v>
      </c>
      <c r="AX5" s="53" t="str">
        <f t="shared" ref="AX5:AX10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SUM(SUMIFS(Assumptions!BD$3:BD$102,Assumptions!$B$3:$B$102,'Trucks-hdt'!$C6,Assumptions!$G$3:$G$102,{"TRH","TRM"}))</f>
        <v>450.36832218542997</v>
      </c>
      <c r="E6" s="2" cm="1">
        <f t="array" aca="1" ref="E6" ca="1">SUM(SUMIFS(Assumptions!BE$3:BE$102,Assumptions!$B$3:$B$102,'Trucks-hdt'!$C6,Assumptions!$G$3:$G$102,{"TRH","TRM"}))</f>
        <v>400.23218614924804</v>
      </c>
      <c r="F6" s="2" cm="1">
        <f t="array" aca="1" ref="F6" ca="1">SUM(SUMIFS(Assumptions!BF$3:BF$102,Assumptions!$B$3:$B$102,'Trucks-hdt'!$C6,Assumptions!$G$3:$G$102,{"TRH","TRM"}))</f>
        <v>366.68134934547476</v>
      </c>
      <c r="G6" s="2" cm="1">
        <f t="array" aca="1" ref="G6" ca="1">SUM(SUMIFS(Assumptions!BG$3:BG$102,Assumptions!$B$3:$B$102,'Trucks-hdt'!$C6,Assumptions!$G$3:$G$102,{"TRH","TRM"}))</f>
        <v>165.53634790579198</v>
      </c>
      <c r="H6" s="2" cm="1">
        <f t="array" aca="1" ref="H6" ca="1">SUM(SUMIFS(Assumptions!BH$3:BH$102,Assumptions!$B$3:$B$102,'Trucks-hdt'!$C6,Assumptions!$G$3:$G$102,{"TRH","TRM"}))</f>
        <v>92.165241734639991</v>
      </c>
      <c r="I6" s="2" cm="1">
        <f t="array" aca="1" ref="I6" ca="1">SUM(SUMIFS(Assumptions!BI$3:BI$102,Assumptions!$B$3:$B$102,'Trucks-hdt'!$C6,Assumptions!$G$3:$G$102,{"TRH","TRM"}))</f>
        <v>350.86859629286403</v>
      </c>
      <c r="J6" s="2" cm="1">
        <f t="array" aca="1" ref="J6" ca="1">SUM(SUMIFS(Assumptions!BJ$3:BJ$102,Assumptions!$B$3:$B$102,'Trucks-hdt'!$C6,Assumptions!$G$3:$G$102,{"TRH","TRM"}))</f>
        <v>1068.3777714212733</v>
      </c>
      <c r="K6" s="2" cm="1">
        <f t="array" aca="1" ref="K6" ca="1">SUM(SUMIFS(Assumptions!BK$3:BK$102,Assumptions!$B$3:$B$102,'Trucks-hdt'!$C6,Assumptions!$G$3:$G$102,{"TRH","TRM"}))</f>
        <v>1921.2789483282777</v>
      </c>
      <c r="L6" s="2" cm="1">
        <f t="array" aca="1" ref="L6" ca="1">SUM(SUMIFS(Assumptions!BL$3:BL$102,Assumptions!$B$3:$B$102,'Trucks-hdt'!$C6,Assumptions!$G$3:$G$102,{"TRH","TRM"}))</f>
        <v>72.296418920400001</v>
      </c>
      <c r="M6" s="2" cm="1">
        <f t="array" aca="1" ref="M6" ca="1">SUM(SUMIFS(Assumptions!BM$3:BM$102,Assumptions!$B$3:$B$102,'Trucks-hdt'!$C6,Assumptions!$G$3:$G$102,{"TRH","TRM"}))</f>
        <v>154.91915968608001</v>
      </c>
      <c r="N6" s="2" cm="1">
        <f t="array" aca="1" ref="N6" ca="1">SUM(SUMIFS(Assumptions!BN$3:BN$102,Assumptions!$B$3:$B$102,'Trucks-hdt'!$C6,Assumptions!$G$3:$G$102,{"TRH","TRM"}))</f>
        <v>823.29607925683217</v>
      </c>
      <c r="O6" s="2" cm="1">
        <f t="array" aca="1" ref="O6" ca="1">SUM(SUMIFS(Assumptions!BO$3:BO$102,Assumptions!$B$3:$B$102,'Trucks-hdt'!$C6,Assumptions!$G$3:$G$102,{"TRH","TRM"}))</f>
        <v>889.13356686719999</v>
      </c>
      <c r="P6" s="2" cm="1">
        <f t="array" aca="1" ref="P6" ca="1">SUM(SUMIFS(Assumptions!BP$3:BP$102,Assumptions!$B$3:$B$102,'Trucks-hdt'!$C6,Assumptions!$G$3:$G$102,{"TRH","TRM"}))</f>
        <v>71.902565137151996</v>
      </c>
      <c r="Q6" s="2" cm="1">
        <f t="array" aca="1" ref="Q6" ca="1">SUM(SUMIFS(Assumptions!BQ$3:BQ$102,Assumptions!$B$3:$B$102,'Trucks-hdt'!$C6,Assumptions!$G$3:$G$102,{"TRH","TRM"}))</f>
        <v>241.70608503288003</v>
      </c>
      <c r="R6" s="2" cm="1">
        <f t="array" aca="1" ref="R6" ca="1">SUM(SUMIFS(Assumptions!BR$3:BR$102,Assumptions!$B$3:$B$102,'Trucks-hdt'!$C6,Assumptions!$G$3:$G$102,{"TRH","TRM"}))</f>
        <v>4.9309410654720001</v>
      </c>
      <c r="S6" s="2" cm="1">
        <f t="array" aca="1" ref="S6" ca="1">SUM(SUMIFS(Assumptions!BS$3:BS$102,Assumptions!$B$3:$B$102,'Trucks-hdt'!$C6,Assumptions!$G$3:$G$102,{"TRH","TRM"}))</f>
        <v>912.62209526235006</v>
      </c>
      <c r="T6" s="2" cm="1">
        <f t="array" aca="1" ref="T6" ca="1">SUM(SUMIFS(Assumptions!BT$3:BT$102,Assumptions!$B$3:$B$102,'Trucks-hdt'!$C6,Assumptions!$G$3:$G$102,{"TRH","TRM"}))</f>
        <v>78.940566558720008</v>
      </c>
      <c r="U6" s="2" cm="1">
        <f t="array" aca="1" ref="U6" ca="1">SUM(SUMIFS(Assumptions!BU$3:BU$102,Assumptions!$B$3:$B$102,'Trucks-hdt'!$C6,Assumptions!$G$3:$G$102,{"TRH","TRM"}))</f>
        <v>576.02878920115211</v>
      </c>
      <c r="V6" s="2" cm="1">
        <f t="array" aca="1" ref="V6" ca="1">SUM(SUMIFS(Assumptions!BV$3:BV$102,Assumptions!$B$3:$B$102,'Trucks-hdt'!$C6,Assumptions!$G$3:$G$102,{"TRH","TRM"}))</f>
        <v>694.08594772113588</v>
      </c>
      <c r="W6" s="2" cm="1">
        <f t="array" aca="1" ref="W6" ca="1">SUM(SUMIFS(Assumptions!BW$3:BW$102,Assumptions!$B$3:$B$102,'Trucks-hdt'!$C6,Assumptions!$G$3:$G$102,{"TRH","TRM"}))</f>
        <v>1096.9297455279743</v>
      </c>
      <c r="X6" s="2" cm="1">
        <f t="array" aca="1" ref="X6" ca="1">SUM(SUMIFS(Assumptions!BX$3:BX$102,Assumptions!$B$3:$B$102,'Trucks-hdt'!$C6,Assumptions!$G$3:$G$102,{"TRH","TRM"}))</f>
        <v>1010.9920013681399</v>
      </c>
      <c r="Y6" s="2" cm="1">
        <f t="array" aca="1" ref="Y6" ca="1">SUM(SUMIFS(Assumptions!BY$3:BY$102,Assumptions!$B$3:$B$102,'Trucks-hdt'!$C6,Assumptions!$G$3:$G$102,{"TRH","TRM"}))</f>
        <v>5593.2077079021219</v>
      </c>
      <c r="Z6" s="2" cm="1">
        <f t="array" aca="1" ref="Z6" ca="1">SUM(SUMIFS(Assumptions!BZ$3:BZ$102,Assumptions!$B$3:$B$102,'Trucks-hdt'!$C6,Assumptions!$G$3:$G$102,{"TRH","TRM"}))</f>
        <v>56.704103320320002</v>
      </c>
      <c r="AA6" s="2" cm="1">
        <f t="array" aca="1" ref="AA6" ca="1">SUM(SUMIFS(Assumptions!CA$3:CA$102,Assumptions!$B$3:$B$102,'Trucks-hdt'!$C6,Assumptions!$G$3:$G$102,{"TRH","TRM"}))</f>
        <v>355.67892854568004</v>
      </c>
      <c r="AB6" s="2" cm="1">
        <f t="array" aca="1" ref="AB6" ca="1">SUM(SUMIFS(Assumptions!CB$3:CB$102,Assumptions!$B$3:$B$102,'Trucks-hdt'!$C6,Assumptions!$G$3:$G$102,{"TRH","TRM"}))</f>
        <v>2770.606250615484</v>
      </c>
      <c r="AC6" s="2" cm="1">
        <f t="array" aca="1" ref="AC6" ca="1">SUM(SUMIFS(Assumptions!CC$3:CC$102,Assumptions!$B$3:$B$102,'Trucks-hdt'!$C6,Assumptions!$G$3:$G$102,{"TRH","TRM"}))</f>
        <v>533.01044145024002</v>
      </c>
      <c r="AD6" s="2" cm="1">
        <f t="array" aca="1" ref="AD6" ca="1">SUM(SUMIFS(Assumptions!CD$3:CD$102,Assumptions!$B$3:$B$102,'Trucks-hdt'!$C6,Assumptions!$G$3:$G$102,{"TRH","TRM"}))</f>
        <v>574.96413875669998</v>
      </c>
      <c r="AE6" s="2" cm="1">
        <f t="array" aca="1" ref="AE6" ca="1">SUM(SUMIFS(Assumptions!CE$3:CE$102,Assumptions!$B$3:$B$102,'Trucks-hdt'!$C6,Assumptions!$G$3:$G$102,{"TRH","TRM"}))</f>
        <v>140.58691731417599</v>
      </c>
      <c r="AF6" s="2" cm="1">
        <f t="array" aca="1" ref="AF6" ca="1">SUM(SUMIFS(Assumptions!CF$3:CF$102,Assumptions!$B$3:$B$102,'Trucks-hdt'!$C6,Assumptions!$G$3:$G$102,{"TRH","TRM"}))</f>
        <v>687.47667311231999</v>
      </c>
      <c r="AG6" s="2" cm="1">
        <f t="array" aca="1" ref="AG6" ca="1">SUM(SUMIFS(Assumptions!CG$3:CG$102,Assumptions!$B$3:$B$102,'Trucks-hdt'!$C6,Assumptions!$G$3:$G$102,{"TRH","TRM"}))</f>
        <v>206.37626543308801</v>
      </c>
      <c r="AH6" s="2" cm="1">
        <f t="array" aca="1" ref="AH6" ca="1">SUM(SUMIFS(Assumptions!CH$3:CH$102,Assumptions!$B$3:$B$102,'Trucks-hdt'!$C6,Assumptions!$G$3:$G$102,{"TRH","TRM"}))</f>
        <v>72.84171863808001</v>
      </c>
      <c r="AI6" s="2" cm="1">
        <f t="array" aca="1" ref="AI6" ca="1">SUM(SUMIFS(Assumptions!CI$3:CI$102,Assumptions!$B$3:$B$102,'Trucks-hdt'!$C6,Assumptions!$G$3:$G$102,{"TRH","TRM"}))</f>
        <v>555.08652104571001</v>
      </c>
      <c r="AJ6" s="2" cm="1">
        <f t="array" aca="1" ref="AJ6" ca="1">SUM(SUMIFS(Assumptions!CJ$3:CJ$102,Assumptions!$B$3:$B$102,'Trucks-hdt'!$C6,Assumptions!$G$3:$G$102,{"TRH","TRM"}))</f>
        <v>649.04923663718398</v>
      </c>
      <c r="AK6" s="2" cm="1">
        <f t="array" aca="1" ref="AK6" ca="1">SUM(SUMIFS(Assumptions!CK$3:CK$102,Assumptions!$B$3:$B$102,'Trucks-hdt'!$C6,Assumptions!$G$3:$G$102,{"TRH","TRM"}))</f>
        <v>138.16374568689599</v>
      </c>
      <c r="AL6" s="2" cm="1">
        <f t="array" aca="1" ref="AL6" ca="1">SUM(SUMIFS(Assumptions!CL$3:CL$102,Assumptions!$B$3:$B$102,'Trucks-hdt'!$C6,Assumptions!$G$3:$G$102,{"TRH","TRM"}))</f>
        <v>112.63235994359999</v>
      </c>
      <c r="AM6" s="2" cm="1">
        <f t="array" aca="1" ref="AM6" ca="1">SUM(SUMIFS(Assumptions!CM$3:CM$102,Assumptions!$B$3:$B$102,'Trucks-hdt'!$C6,Assumptions!$G$3:$G$102,{"TRH","TRM"}))</f>
        <v>0</v>
      </c>
      <c r="AN6" s="2" cm="1">
        <f t="array" aca="1" ref="AN6" ca="1">SUM(SUMIFS(Assumptions!CN$3:CN$102,Assumptions!$B$3:$B$102,'Trucks-hdt'!$C6,Assumptions!$G$3:$G$102,{"TRH","TRM"}))</f>
        <v>0</v>
      </c>
      <c r="AO6" s="2" cm="1">
        <f t="array" aca="1" ref="AO6" ca="1">SUM(SUMIFS(Assumptions!CO$3:CO$102,Assumptions!$B$3:$B$102,'Trucks-hdt'!$C6,Assumptions!$G$3:$G$102,{"TRH","TRM"}))</f>
        <v>0</v>
      </c>
      <c r="AP6" s="2" cm="1">
        <f t="array" aca="1" ref="AP6" ca="1">SUM(SUMIFS(Assumptions!CP$3:CP$102,Assumptions!$B$3:$B$102,'Trucks-hdt'!$C6,Assumptions!$G$3:$G$102,{"TRH","TRM"}))</f>
        <v>0</v>
      </c>
      <c r="AQ6" s="2" cm="1">
        <f t="array" aca="1" ref="AQ6" ca="1">SUM(SUMIFS(Assumptions!CQ$3:CQ$102,Assumptions!$B$3:$B$102,'Trucks-hdt'!$C6,Assumptions!$G$3:$G$102,{"TRH","TRM"}))</f>
        <v>0</v>
      </c>
      <c r="AR6" s="2" cm="1">
        <f t="array" aca="1" ref="AR6" ca="1">SUM(SUMIFS(Assumptions!CR$3:CR$102,Assumptions!$B$3:$B$102,'Trucks-hdt'!$C6,Assumptions!$G$3:$G$102,{"TRH","TRM"}))</f>
        <v>0</v>
      </c>
      <c r="AS6" s="2" cm="1">
        <f t="array" aca="1" ref="AS6" ca="1">SUM(SUMIFS(Assumptions!CS$3:CS$102,Assumptions!$B$3:$B$102,'Trucks-hdt'!$C6,Assumptions!$G$3:$G$102,{"TRH","TRM"}))</f>
        <v>0</v>
      </c>
      <c r="AT6" s="2" cm="1">
        <f t="array" aca="1" ref="AT6" ca="1">SUM(SUMIFS(Assumptions!CT$3:CT$102,Assumptions!$B$3:$B$102,'Trucks-hdt'!$C6,Assumptions!$G$3:$G$102,{"TRH","TRM"}))</f>
        <v>0</v>
      </c>
      <c r="AU6" s="2" cm="1">
        <f t="array" aca="1" ref="AU6" ca="1">SUM(SUMIFS(Assumptions!CU$3:CU$102,Assumptions!$B$3:$B$102,'Trucks-hdt'!$C6,Assumptions!$G$3:$G$102,{"TRH","TRM"}))</f>
        <v>0</v>
      </c>
      <c r="AV6" s="2" cm="1">
        <f t="array" aca="1" ref="AV6" ca="1">SUM(SUMIFS(Assumptions!CV$3:CV$102,Assumptions!$B$3:$B$102,'Trucks-hdt'!$C6,Assumptions!$G$3:$G$102,{"TRH","TRM"}))</f>
        <v>0</v>
      </c>
      <c r="AW6" s="2" cm="1">
        <f t="array" aca="1" ref="AW6" ca="1">SUM(SUMIFS(Assumptions!CW$3:CW$102,Assumptions!$B$3:$B$102,'Trucks-hdt'!$C6,Assumptions!$G$3:$G$102,{"TRH","TRM"}))</f>
        <v>0</v>
      </c>
      <c r="AX6" s="53" t="str">
        <f t="shared" ca="1" si="2"/>
        <v/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SUM(SUMIFS(Assumptions!BD$3:BD$102,Assumptions!$B$3:$B$102,'Trucks-hdt'!$C7,Assumptions!$G$3:$G$102,{"TRH","TRM"}))</f>
        <v>0</v>
      </c>
      <c r="E7" s="2" cm="1">
        <f t="array" aca="1" ref="E7" ca="1">SUM(SUMIFS(Assumptions!BE$3:BE$102,Assumptions!$B$3:$B$102,'Trucks-hdt'!$C7,Assumptions!$G$3:$G$102,{"TRH","TRM"}))</f>
        <v>0</v>
      </c>
      <c r="F7" s="2" cm="1">
        <f t="array" aca="1" ref="F7" ca="1">SUM(SUMIFS(Assumptions!BF$3:BF$102,Assumptions!$B$3:$B$102,'Trucks-hdt'!$C7,Assumptions!$G$3:$G$102,{"TRH","TRM"}))</f>
        <v>0</v>
      </c>
      <c r="G7" s="2" cm="1">
        <f t="array" aca="1" ref="G7" ca="1">SUM(SUMIFS(Assumptions!BG$3:BG$102,Assumptions!$B$3:$B$102,'Trucks-hdt'!$C7,Assumptions!$G$3:$G$102,{"TRH","TRM"}))</f>
        <v>0</v>
      </c>
      <c r="H7" s="2" cm="1">
        <f t="array" aca="1" ref="H7" ca="1">SUM(SUMIFS(Assumptions!BH$3:BH$102,Assumptions!$B$3:$B$102,'Trucks-hdt'!$C7,Assumptions!$G$3:$G$102,{"TRH","TRM"}))</f>
        <v>0</v>
      </c>
      <c r="I7" s="2" cm="1">
        <f t="array" aca="1" ref="I7" ca="1">SUM(SUMIFS(Assumptions!BI$3:BI$102,Assumptions!$B$3:$B$102,'Trucks-hdt'!$C7,Assumptions!$G$3:$G$102,{"TRH","TRM"}))</f>
        <v>0</v>
      </c>
      <c r="J7" s="2" cm="1">
        <f t="array" aca="1" ref="J7" ca="1">SUM(SUMIFS(Assumptions!BJ$3:BJ$102,Assumptions!$B$3:$B$102,'Trucks-hdt'!$C7,Assumptions!$G$3:$G$102,{"TRH","TRM"}))</f>
        <v>0</v>
      </c>
      <c r="K7" s="2" cm="1">
        <f t="array" aca="1" ref="K7" ca="1">SUM(SUMIFS(Assumptions!BK$3:BK$102,Assumptions!$B$3:$B$102,'Trucks-hdt'!$C7,Assumptions!$G$3:$G$102,{"TRH","TRM"}))</f>
        <v>0</v>
      </c>
      <c r="L7" s="2" cm="1">
        <f t="array" aca="1" ref="L7" ca="1">SUM(SUMIFS(Assumptions!BL$3:BL$102,Assumptions!$B$3:$B$102,'Trucks-hdt'!$C7,Assumptions!$G$3:$G$102,{"TRH","TRM"}))</f>
        <v>0</v>
      </c>
      <c r="M7" s="2" cm="1">
        <f t="array" aca="1" ref="M7" ca="1">SUM(SUMIFS(Assumptions!BM$3:BM$102,Assumptions!$B$3:$B$102,'Trucks-hdt'!$C7,Assumptions!$G$3:$G$102,{"TRH","TRM"}))</f>
        <v>0</v>
      </c>
      <c r="N7" s="2" cm="1">
        <f t="array" aca="1" ref="N7" ca="1">SUM(SUMIFS(Assumptions!BN$3:BN$102,Assumptions!$B$3:$B$102,'Trucks-hdt'!$C7,Assumptions!$G$3:$G$102,{"TRH","TRM"}))</f>
        <v>0</v>
      </c>
      <c r="O7" s="2" cm="1">
        <f t="array" aca="1" ref="O7" ca="1">SUM(SUMIFS(Assumptions!BO$3:BO$102,Assumptions!$B$3:$B$102,'Trucks-hdt'!$C7,Assumptions!$G$3:$G$102,{"TRH","TRM"}))</f>
        <v>0</v>
      </c>
      <c r="P7" s="2" cm="1">
        <f t="array" aca="1" ref="P7" ca="1">SUM(SUMIFS(Assumptions!BP$3:BP$102,Assumptions!$B$3:$B$102,'Trucks-hdt'!$C7,Assumptions!$G$3:$G$102,{"TRH","TRM"}))</f>
        <v>0</v>
      </c>
      <c r="Q7" s="2" cm="1">
        <f t="array" aca="1" ref="Q7" ca="1">SUM(SUMIFS(Assumptions!BQ$3:BQ$102,Assumptions!$B$3:$B$102,'Trucks-hdt'!$C7,Assumptions!$G$3:$G$102,{"TRH","TRM"}))</f>
        <v>0</v>
      </c>
      <c r="R7" s="2" cm="1">
        <f t="array" aca="1" ref="R7" ca="1">SUM(SUMIFS(Assumptions!BR$3:BR$102,Assumptions!$B$3:$B$102,'Trucks-hdt'!$C7,Assumptions!$G$3:$G$102,{"TRH","TRM"}))</f>
        <v>0</v>
      </c>
      <c r="S7" s="2" cm="1">
        <f t="array" aca="1" ref="S7" ca="1">SUM(SUMIFS(Assumptions!BS$3:BS$102,Assumptions!$B$3:$B$102,'Trucks-hdt'!$C7,Assumptions!$G$3:$G$102,{"TRH","TRM"}))</f>
        <v>0</v>
      </c>
      <c r="T7" s="2" cm="1">
        <f t="array" aca="1" ref="T7" ca="1">SUM(SUMIFS(Assumptions!BT$3:BT$102,Assumptions!$B$3:$B$102,'Trucks-hdt'!$C7,Assumptions!$G$3:$G$102,{"TRH","TRM"}))</f>
        <v>0</v>
      </c>
      <c r="U7" s="2" cm="1">
        <f t="array" aca="1" ref="U7" ca="1">SUM(SUMIFS(Assumptions!BU$3:BU$102,Assumptions!$B$3:$B$102,'Trucks-hdt'!$C7,Assumptions!$G$3:$G$102,{"TRH","TRM"}))</f>
        <v>0</v>
      </c>
      <c r="V7" s="2" cm="1">
        <f t="array" aca="1" ref="V7" ca="1">SUM(SUMIFS(Assumptions!BV$3:BV$102,Assumptions!$B$3:$B$102,'Trucks-hdt'!$C7,Assumptions!$G$3:$G$102,{"TRH","TRM"}))</f>
        <v>0</v>
      </c>
      <c r="W7" s="2" cm="1">
        <f t="array" aca="1" ref="W7" ca="1">SUM(SUMIFS(Assumptions!BW$3:BW$102,Assumptions!$B$3:$B$102,'Trucks-hdt'!$C7,Assumptions!$G$3:$G$102,{"TRH","TRM"}))</f>
        <v>0</v>
      </c>
      <c r="X7" s="2" cm="1">
        <f t="array" aca="1" ref="X7" ca="1">SUM(SUMIFS(Assumptions!BX$3:BX$102,Assumptions!$B$3:$B$102,'Trucks-hdt'!$C7,Assumptions!$G$3:$G$102,{"TRH","TRM"}))</f>
        <v>0</v>
      </c>
      <c r="Y7" s="2" cm="1">
        <f t="array" aca="1" ref="Y7" ca="1">SUM(SUMIFS(Assumptions!BY$3:BY$102,Assumptions!$B$3:$B$102,'Trucks-hdt'!$C7,Assumptions!$G$3:$G$102,{"TRH","TRM"}))</f>
        <v>0</v>
      </c>
      <c r="Z7" s="2" cm="1">
        <f t="array" aca="1" ref="Z7" ca="1">SUM(SUMIFS(Assumptions!BZ$3:BZ$102,Assumptions!$B$3:$B$102,'Trucks-hdt'!$C7,Assumptions!$G$3:$G$102,{"TRH","TRM"}))</f>
        <v>0</v>
      </c>
      <c r="AA7" s="2" cm="1">
        <f t="array" aca="1" ref="AA7" ca="1">SUM(SUMIFS(Assumptions!CA$3:CA$102,Assumptions!$B$3:$B$102,'Trucks-hdt'!$C7,Assumptions!$G$3:$G$102,{"TRH","TRM"}))</f>
        <v>0</v>
      </c>
      <c r="AB7" s="2" cm="1">
        <f t="array" aca="1" ref="AB7" ca="1">SUM(SUMIFS(Assumptions!CB$3:CB$102,Assumptions!$B$3:$B$102,'Trucks-hdt'!$C7,Assumptions!$G$3:$G$102,{"TRH","TRM"}))</f>
        <v>0</v>
      </c>
      <c r="AC7" s="2" cm="1">
        <f t="array" aca="1" ref="AC7" ca="1">SUM(SUMIFS(Assumptions!CC$3:CC$102,Assumptions!$B$3:$B$102,'Trucks-hdt'!$C7,Assumptions!$G$3:$G$102,{"TRH","TRM"}))</f>
        <v>0</v>
      </c>
      <c r="AD7" s="2" cm="1">
        <f t="array" aca="1" ref="AD7" ca="1">SUM(SUMIFS(Assumptions!CD$3:CD$102,Assumptions!$B$3:$B$102,'Trucks-hdt'!$C7,Assumptions!$G$3:$G$102,{"TRH","TRM"}))</f>
        <v>0</v>
      </c>
      <c r="AE7" s="2" cm="1">
        <f t="array" aca="1" ref="AE7" ca="1">SUM(SUMIFS(Assumptions!CE$3:CE$102,Assumptions!$B$3:$B$102,'Trucks-hdt'!$C7,Assumptions!$G$3:$G$102,{"TRH","TRM"}))</f>
        <v>0</v>
      </c>
      <c r="AF7" s="2" cm="1">
        <f t="array" aca="1" ref="AF7" ca="1">SUM(SUMIFS(Assumptions!CF$3:CF$102,Assumptions!$B$3:$B$102,'Trucks-hdt'!$C7,Assumptions!$G$3:$G$102,{"TRH","TRM"}))</f>
        <v>0</v>
      </c>
      <c r="AG7" s="2" cm="1">
        <f t="array" aca="1" ref="AG7" ca="1">SUM(SUMIFS(Assumptions!CG$3:CG$102,Assumptions!$B$3:$B$102,'Trucks-hdt'!$C7,Assumptions!$G$3:$G$102,{"TRH","TRM"}))</f>
        <v>0</v>
      </c>
      <c r="AH7" s="2" cm="1">
        <f t="array" aca="1" ref="AH7" ca="1">SUM(SUMIFS(Assumptions!CH$3:CH$102,Assumptions!$B$3:$B$102,'Trucks-hdt'!$C7,Assumptions!$G$3:$G$102,{"TRH","TRM"}))</f>
        <v>0</v>
      </c>
      <c r="AI7" s="2" cm="1">
        <f t="array" aca="1" ref="AI7" ca="1">SUM(SUMIFS(Assumptions!CI$3:CI$102,Assumptions!$B$3:$B$102,'Trucks-hdt'!$C7,Assumptions!$G$3:$G$102,{"TRH","TRM"}))</f>
        <v>0</v>
      </c>
      <c r="AJ7" s="2" cm="1">
        <f t="array" aca="1" ref="AJ7" ca="1">SUM(SUMIFS(Assumptions!CJ$3:CJ$102,Assumptions!$B$3:$B$102,'Trucks-hdt'!$C7,Assumptions!$G$3:$G$102,{"TRH","TRM"}))</f>
        <v>0</v>
      </c>
      <c r="AK7" s="2" cm="1">
        <f t="array" aca="1" ref="AK7" ca="1">SUM(SUMIFS(Assumptions!CK$3:CK$102,Assumptions!$B$3:$B$102,'Trucks-hdt'!$C7,Assumptions!$G$3:$G$102,{"TRH","TRM"}))</f>
        <v>0</v>
      </c>
      <c r="AL7" s="2" cm="1">
        <f t="array" aca="1" ref="AL7" ca="1">SUM(SUMIFS(Assumptions!CL$3:CL$102,Assumptions!$B$3:$B$102,'Trucks-hdt'!$C7,Assumptions!$G$3:$G$102,{"TRH","TRM"}))</f>
        <v>0</v>
      </c>
      <c r="AM7" s="2" cm="1">
        <f t="array" aca="1" ref="AM7" ca="1">SUM(SUMIFS(Assumptions!CM$3:CM$102,Assumptions!$B$3:$B$102,'Trucks-hdt'!$C7,Assumptions!$G$3:$G$102,{"TRH","TRM"}))</f>
        <v>0</v>
      </c>
      <c r="AN7" s="2" cm="1">
        <f t="array" aca="1" ref="AN7" ca="1">SUM(SUMIFS(Assumptions!CN$3:CN$102,Assumptions!$B$3:$B$102,'Trucks-hdt'!$C7,Assumptions!$G$3:$G$102,{"TRH","TRM"}))</f>
        <v>0</v>
      </c>
      <c r="AO7" s="2" cm="1">
        <f t="array" aca="1" ref="AO7" ca="1">SUM(SUMIFS(Assumptions!CO$3:CO$102,Assumptions!$B$3:$B$102,'Trucks-hdt'!$C7,Assumptions!$G$3:$G$102,{"TRH","TRM"}))</f>
        <v>0</v>
      </c>
      <c r="AP7" s="2" cm="1">
        <f t="array" aca="1" ref="AP7" ca="1">SUM(SUMIFS(Assumptions!CP$3:CP$102,Assumptions!$B$3:$B$102,'Trucks-hdt'!$C7,Assumptions!$G$3:$G$102,{"TRH","TRM"}))</f>
        <v>0</v>
      </c>
      <c r="AQ7" s="2" cm="1">
        <f t="array" aca="1" ref="AQ7" ca="1">SUM(SUMIFS(Assumptions!CQ$3:CQ$102,Assumptions!$B$3:$B$102,'Trucks-hdt'!$C7,Assumptions!$G$3:$G$102,{"TRH","TRM"}))</f>
        <v>0</v>
      </c>
      <c r="AR7" s="2" cm="1">
        <f t="array" aca="1" ref="AR7" ca="1">SUM(SUMIFS(Assumptions!CR$3:CR$102,Assumptions!$B$3:$B$102,'Trucks-hdt'!$C7,Assumptions!$G$3:$G$102,{"TRH","TRM"}))</f>
        <v>0</v>
      </c>
      <c r="AS7" s="2" cm="1">
        <f t="array" aca="1" ref="AS7" ca="1">SUM(SUMIFS(Assumptions!CS$3:CS$102,Assumptions!$B$3:$B$102,'Trucks-hdt'!$C7,Assumptions!$G$3:$G$102,{"TRH","TRM"}))</f>
        <v>0</v>
      </c>
      <c r="AT7" s="2" cm="1">
        <f t="array" aca="1" ref="AT7" ca="1">SUM(SUMIFS(Assumptions!CT$3:CT$102,Assumptions!$B$3:$B$102,'Trucks-hdt'!$C7,Assumptions!$G$3:$G$102,{"TRH","TRM"}))</f>
        <v>0</v>
      </c>
      <c r="AU7" s="2" cm="1">
        <f t="array" aca="1" ref="AU7" ca="1">SUM(SUMIFS(Assumptions!CU$3:CU$102,Assumptions!$B$3:$B$102,'Trucks-hdt'!$C7,Assumptions!$G$3:$G$102,{"TRH","TRM"}))</f>
        <v>0</v>
      </c>
      <c r="AV7" s="2" cm="1">
        <f t="array" aca="1" ref="AV7" ca="1">SUM(SUMIFS(Assumptions!CV$3:CV$102,Assumptions!$B$3:$B$102,'Trucks-hdt'!$C7,Assumptions!$G$3:$G$102,{"TRH","TRM"}))</f>
        <v>0</v>
      </c>
      <c r="AW7" s="2" cm="1">
        <f t="array" aca="1" ref="AW7" ca="1">SUM(SUMIFS(Assumptions!CW$3:CW$102,Assumptions!$B$3:$B$102,'Trucks-hdt'!$C7,Assumptions!$G$3:$G$102,{"TRH","TRM"}))</f>
        <v>0</v>
      </c>
      <c r="AX7" s="53" t="str">
        <f t="shared" ca="1" si="2"/>
        <v>zero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SUM(SUMIFS(Assumptions!BD$3:BD$102,Assumptions!$B$3:$B$102,'Trucks-hdt'!$C8,Assumptions!$G$3:$G$102,{"TRH","TRM"}))</f>
        <v>0</v>
      </c>
      <c r="E8" s="2" cm="1">
        <f t="array" aca="1" ref="E8" ca="1">SUM(SUMIFS(Assumptions!BE$3:BE$102,Assumptions!$B$3:$B$102,'Trucks-hdt'!$C8,Assumptions!$G$3:$G$102,{"TRH","TRM"}))</f>
        <v>0</v>
      </c>
      <c r="F8" s="2" cm="1">
        <f t="array" aca="1" ref="F8" ca="1">SUM(SUMIFS(Assumptions!BF$3:BF$102,Assumptions!$B$3:$B$102,'Trucks-hdt'!$C8,Assumptions!$G$3:$G$102,{"TRH","TRM"}))</f>
        <v>0</v>
      </c>
      <c r="G8" s="2" cm="1">
        <f t="array" aca="1" ref="G8" ca="1">SUM(SUMIFS(Assumptions!BG$3:BG$102,Assumptions!$B$3:$B$102,'Trucks-hdt'!$C8,Assumptions!$G$3:$G$102,{"TRH","TRM"}))</f>
        <v>0</v>
      </c>
      <c r="H8" s="2" cm="1">
        <f t="array" aca="1" ref="H8" ca="1">SUM(SUMIFS(Assumptions!BH$3:BH$102,Assumptions!$B$3:$B$102,'Trucks-hdt'!$C8,Assumptions!$G$3:$G$102,{"TRH","TRM"}))</f>
        <v>3.4699104807840002</v>
      </c>
      <c r="I8" s="2" cm="1">
        <f t="array" aca="1" ref="I8" ca="1">SUM(SUMIFS(Assumptions!BI$3:BI$102,Assumptions!$B$3:$B$102,'Trucks-hdt'!$C8,Assumptions!$G$3:$G$102,{"TRH","TRM"}))</f>
        <v>0</v>
      </c>
      <c r="J8" s="2" cm="1">
        <f t="array" aca="1" ref="J8" ca="1">SUM(SUMIFS(Assumptions!BJ$3:BJ$102,Assumptions!$B$3:$B$102,'Trucks-hdt'!$C8,Assumptions!$G$3:$G$102,{"TRH","TRM"}))</f>
        <v>26.945455211387994</v>
      </c>
      <c r="K8" s="2" cm="1">
        <f t="array" aca="1" ref="K8" ca="1">SUM(SUMIFS(Assumptions!BK$3:BK$102,Assumptions!$B$3:$B$102,'Trucks-hdt'!$C8,Assumptions!$G$3:$G$102,{"TRH","TRM"}))</f>
        <v>60.018947373239989</v>
      </c>
      <c r="L8" s="2" cm="1">
        <f t="array" aca="1" ref="L8" ca="1">SUM(SUMIFS(Assumptions!BL$3:BL$102,Assumptions!$B$3:$B$102,'Trucks-hdt'!$C8,Assumptions!$G$3:$G$102,{"TRH","TRM"}))</f>
        <v>1.5034184177759997</v>
      </c>
      <c r="M8" s="2" cm="1">
        <f t="array" aca="1" ref="M8" ca="1">SUM(SUMIFS(Assumptions!BM$3:BM$102,Assumptions!$B$3:$B$102,'Trucks-hdt'!$C8,Assumptions!$G$3:$G$102,{"TRH","TRM"}))</f>
        <v>3.5640001022399996</v>
      </c>
      <c r="N8" s="2" cm="1">
        <f t="array" aca="1" ref="N8" ca="1">SUM(SUMIFS(Assumptions!BN$3:BN$102,Assumptions!$B$3:$B$102,'Trucks-hdt'!$C8,Assumptions!$G$3:$G$102,{"TRH","TRM"}))</f>
        <v>0</v>
      </c>
      <c r="O8" s="2" cm="1">
        <f t="array" aca="1" ref="O8" ca="1">SUM(SUMIFS(Assumptions!BO$3:BO$102,Assumptions!$B$3:$B$102,'Trucks-hdt'!$C8,Assumptions!$G$3:$G$102,{"TRH","TRM"}))</f>
        <v>0</v>
      </c>
      <c r="P8" s="2" cm="1">
        <f t="array" aca="1" ref="P8" ca="1">SUM(SUMIFS(Assumptions!BP$3:BP$102,Assumptions!$B$3:$B$102,'Trucks-hdt'!$C8,Assumptions!$G$3:$G$102,{"TRH","TRM"}))</f>
        <v>0</v>
      </c>
      <c r="Q8" s="2" cm="1">
        <f t="array" aca="1" ref="Q8" ca="1">SUM(SUMIFS(Assumptions!BQ$3:BQ$102,Assumptions!$B$3:$B$102,'Trucks-hdt'!$C8,Assumptions!$G$3:$G$102,{"TRH","TRM"}))</f>
        <v>5.5547009127359992</v>
      </c>
      <c r="R8" s="2" cm="1">
        <f t="array" aca="1" ref="R8" ca="1">SUM(SUMIFS(Assumptions!BR$3:BR$102,Assumptions!$B$3:$B$102,'Trucks-hdt'!$C8,Assumptions!$G$3:$G$102,{"TRH","TRM"}))</f>
        <v>0</v>
      </c>
      <c r="S8" s="2" cm="1">
        <f t="array" aca="1" ref="S8" ca="1">SUM(SUMIFS(Assumptions!BS$3:BS$102,Assumptions!$B$3:$B$102,'Trucks-hdt'!$C8,Assumptions!$G$3:$G$102,{"TRH","TRM"}))</f>
        <v>0</v>
      </c>
      <c r="T8" s="2" cm="1">
        <f t="array" aca="1" ref="T8" ca="1">SUM(SUMIFS(Assumptions!BT$3:BT$102,Assumptions!$B$3:$B$102,'Trucks-hdt'!$C8,Assumptions!$G$3:$G$102,{"TRH","TRM"}))</f>
        <v>0</v>
      </c>
      <c r="U8" s="2" cm="1">
        <f t="array" aca="1" ref="U8" ca="1">SUM(SUMIFS(Assumptions!BU$3:BU$102,Assumptions!$B$3:$B$102,'Trucks-hdt'!$C8,Assumptions!$G$3:$G$102,{"TRH","TRM"}))</f>
        <v>0</v>
      </c>
      <c r="V8" s="2" cm="1">
        <f t="array" aca="1" ref="V8" ca="1">SUM(SUMIFS(Assumptions!BV$3:BV$102,Assumptions!$B$3:$B$102,'Trucks-hdt'!$C8,Assumptions!$G$3:$G$102,{"TRH","TRM"}))</f>
        <v>0</v>
      </c>
      <c r="W8" s="2" cm="1">
        <f t="array" aca="1" ref="W8" ca="1">SUM(SUMIFS(Assumptions!BW$3:BW$102,Assumptions!$B$3:$B$102,'Trucks-hdt'!$C8,Assumptions!$G$3:$G$102,{"TRH","TRM"}))</f>
        <v>51.233718488723987</v>
      </c>
      <c r="X8" s="2" cm="1">
        <f t="array" aca="1" ref="X8" ca="1">SUM(SUMIFS(Assumptions!BX$3:BX$102,Assumptions!$B$3:$B$102,'Trucks-hdt'!$C8,Assumptions!$G$3:$G$102,{"TRH","TRM"}))</f>
        <v>247.76050901679002</v>
      </c>
      <c r="Y8" s="2" cm="1">
        <f t="array" aca="1" ref="Y8" ca="1">SUM(SUMIFS(Assumptions!BY$3:BY$102,Assumptions!$B$3:$B$102,'Trucks-hdt'!$C8,Assumptions!$G$3:$G$102,{"TRH","TRM"}))</f>
        <v>1100.8349585760957</v>
      </c>
      <c r="Z8" s="2" cm="1">
        <f t="array" aca="1" ref="Z8" ca="1">SUM(SUMIFS(Assumptions!BZ$3:BZ$102,Assumptions!$B$3:$B$102,'Trucks-hdt'!$C8,Assumptions!$G$3:$G$102,{"TRH","TRM"}))</f>
        <v>0</v>
      </c>
      <c r="AA8" s="2" cm="1">
        <f t="array" aca="1" ref="AA8" ca="1">SUM(SUMIFS(Assumptions!CA$3:CA$102,Assumptions!$B$3:$B$102,'Trucks-hdt'!$C8,Assumptions!$G$3:$G$102,{"TRH","TRM"}))</f>
        <v>7.7726756298239996</v>
      </c>
      <c r="AB8" s="2" cm="1">
        <f t="array" aca="1" ref="AB8" ca="1">SUM(SUMIFS(Assumptions!CB$3:CB$102,Assumptions!$B$3:$B$102,'Trucks-hdt'!$C8,Assumptions!$G$3:$G$102,{"TRH","TRM"}))</f>
        <v>0</v>
      </c>
      <c r="AC8" s="2" cm="1">
        <f t="array" aca="1" ref="AC8" ca="1">SUM(SUMIFS(Assumptions!CC$3:CC$102,Assumptions!$B$3:$B$102,'Trucks-hdt'!$C8,Assumptions!$G$3:$G$102,{"TRH","TRM"}))</f>
        <v>185.63603539377607</v>
      </c>
      <c r="AD8" s="2" cm="1">
        <f t="array" aca="1" ref="AD8" ca="1">SUM(SUMIFS(Assumptions!CD$3:CD$102,Assumptions!$B$3:$B$102,'Trucks-hdt'!$C8,Assumptions!$G$3:$G$102,{"TRH","TRM"}))</f>
        <v>107.03392225268399</v>
      </c>
      <c r="AE8" s="2" cm="1">
        <f t="array" aca="1" ref="AE8" ca="1">SUM(SUMIFS(Assumptions!CE$3:CE$102,Assumptions!$B$3:$B$102,'Trucks-hdt'!$C8,Assumptions!$G$3:$G$102,{"TRH","TRM"}))</f>
        <v>0</v>
      </c>
      <c r="AF8" s="2" cm="1">
        <f t="array" aca="1" ref="AF8" ca="1">SUM(SUMIFS(Assumptions!CF$3:CF$102,Assumptions!$B$3:$B$102,'Trucks-hdt'!$C8,Assumptions!$G$3:$G$102,{"TRH","TRM"}))</f>
        <v>0</v>
      </c>
      <c r="AG8" s="2" cm="1">
        <f t="array" aca="1" ref="AG8" ca="1">SUM(SUMIFS(Assumptions!CG$3:CG$102,Assumptions!$B$3:$B$102,'Trucks-hdt'!$C8,Assumptions!$G$3:$G$102,{"TRH","TRM"}))</f>
        <v>0</v>
      </c>
      <c r="AH8" s="2" cm="1">
        <f t="array" aca="1" ref="AH8" ca="1">SUM(SUMIFS(Assumptions!CH$3:CH$102,Assumptions!$B$3:$B$102,'Trucks-hdt'!$C8,Assumptions!$G$3:$G$102,{"TRH","TRM"}))</f>
        <v>0</v>
      </c>
      <c r="AI8" s="2" cm="1">
        <f t="array" aca="1" ref="AI8" ca="1">SUM(SUMIFS(Assumptions!CI$3:CI$102,Assumptions!$B$3:$B$102,'Trucks-hdt'!$C8,Assumptions!$G$3:$G$102,{"TRH","TRM"}))</f>
        <v>10.427339867112002</v>
      </c>
      <c r="AJ8" s="2" cm="1">
        <f t="array" aca="1" ref="AJ8" ca="1">SUM(SUMIFS(Assumptions!CJ$3:CJ$102,Assumptions!$B$3:$B$102,'Trucks-hdt'!$C8,Assumptions!$G$3:$G$102,{"TRH","TRM"}))</f>
        <v>0</v>
      </c>
      <c r="AK8" s="2" cm="1">
        <f t="array" aca="1" ref="AK8" ca="1">SUM(SUMIFS(Assumptions!CK$3:CK$102,Assumptions!$B$3:$B$102,'Trucks-hdt'!$C8,Assumptions!$G$3:$G$102,{"TRH","TRM"}))</f>
        <v>9.2580578156160005</v>
      </c>
      <c r="AL8" s="2" cm="1">
        <f t="array" aca="1" ref="AL8" ca="1">SUM(SUMIFS(Assumptions!CL$3:CL$102,Assumptions!$B$3:$B$102,'Trucks-hdt'!$C8,Assumptions!$G$3:$G$102,{"TRH","TRM"}))</f>
        <v>1.5647684355359996</v>
      </c>
      <c r="AM8" s="2" cm="1">
        <f t="array" aca="1" ref="AM8" ca="1">SUM(SUMIFS(Assumptions!CM$3:CM$102,Assumptions!$B$3:$B$102,'Trucks-hdt'!$C8,Assumptions!$G$3:$G$102,{"TRH","TRM"}))</f>
        <v>0</v>
      </c>
      <c r="AN8" s="2" cm="1">
        <f t="array" aca="1" ref="AN8" ca="1">SUM(SUMIFS(Assumptions!CN$3:CN$102,Assumptions!$B$3:$B$102,'Trucks-hdt'!$C8,Assumptions!$G$3:$G$102,{"TRH","TRM"}))</f>
        <v>0</v>
      </c>
      <c r="AO8" s="2" cm="1">
        <f t="array" aca="1" ref="AO8" ca="1">SUM(SUMIFS(Assumptions!CO$3:CO$102,Assumptions!$B$3:$B$102,'Trucks-hdt'!$C8,Assumptions!$G$3:$G$102,{"TRH","TRM"}))</f>
        <v>0</v>
      </c>
      <c r="AP8" s="2" cm="1">
        <f t="array" aca="1" ref="AP8" ca="1">SUM(SUMIFS(Assumptions!CP$3:CP$102,Assumptions!$B$3:$B$102,'Trucks-hdt'!$C8,Assumptions!$G$3:$G$102,{"TRH","TRM"}))</f>
        <v>0</v>
      </c>
      <c r="AQ8" s="2" cm="1">
        <f t="array" aca="1" ref="AQ8" ca="1">SUM(SUMIFS(Assumptions!CQ$3:CQ$102,Assumptions!$B$3:$B$102,'Trucks-hdt'!$C8,Assumptions!$G$3:$G$102,{"TRH","TRM"}))</f>
        <v>0</v>
      </c>
      <c r="AR8" s="2" cm="1">
        <f t="array" aca="1" ref="AR8" ca="1">SUM(SUMIFS(Assumptions!CR$3:CR$102,Assumptions!$B$3:$B$102,'Trucks-hdt'!$C8,Assumptions!$G$3:$G$102,{"TRH","TRM"}))</f>
        <v>0</v>
      </c>
      <c r="AS8" s="2" cm="1">
        <f t="array" aca="1" ref="AS8" ca="1">SUM(SUMIFS(Assumptions!CS$3:CS$102,Assumptions!$B$3:$B$102,'Trucks-hdt'!$C8,Assumptions!$G$3:$G$102,{"TRH","TRM"}))</f>
        <v>0</v>
      </c>
      <c r="AT8" s="2" cm="1">
        <f t="array" aca="1" ref="AT8" ca="1">SUM(SUMIFS(Assumptions!CT$3:CT$102,Assumptions!$B$3:$B$102,'Trucks-hdt'!$C8,Assumptions!$G$3:$G$102,{"TRH","TRM"}))</f>
        <v>0</v>
      </c>
      <c r="AU8" s="2" cm="1">
        <f t="array" aca="1" ref="AU8" ca="1">SUM(SUMIFS(Assumptions!CU$3:CU$102,Assumptions!$B$3:$B$102,'Trucks-hdt'!$C8,Assumptions!$G$3:$G$102,{"TRH","TRM"}))</f>
        <v>0</v>
      </c>
      <c r="AV8" s="2" cm="1">
        <f t="array" aca="1" ref="AV8" ca="1">SUM(SUMIFS(Assumptions!CV$3:CV$102,Assumptions!$B$3:$B$102,'Trucks-hdt'!$C8,Assumptions!$G$3:$G$102,{"TRH","TRM"}))</f>
        <v>0</v>
      </c>
      <c r="AW8" s="2" cm="1">
        <f t="array" aca="1" ref="AW8" ca="1">SUM(SUMIFS(Assumptions!CW$3:CW$102,Assumptions!$B$3:$B$102,'Trucks-hdt'!$C8,Assumptions!$G$3:$G$102,{"TRH","TRM"}))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SUM(SUMIFS(Assumptions!BD$3:BD$102,Assumptions!$B$3:$B$102,'Trucks-hdt'!$C9,Assumptions!$G$3:$G$102,{"TRH","TRM"}))</f>
        <v>0</v>
      </c>
      <c r="E9" s="2" cm="1">
        <f t="array" aca="1" ref="E9" ca="1">SUM(SUMIFS(Assumptions!BE$3:BE$102,Assumptions!$B$3:$B$102,'Trucks-hdt'!$C9,Assumptions!$G$3:$G$102,{"TRH","TRM"}))</f>
        <v>0</v>
      </c>
      <c r="F9" s="2" cm="1">
        <f t="array" aca="1" ref="F9" ca="1">SUM(SUMIFS(Assumptions!BF$3:BF$102,Assumptions!$B$3:$B$102,'Trucks-hdt'!$C9,Assumptions!$G$3:$G$102,{"TRH","TRM"}))</f>
        <v>0</v>
      </c>
      <c r="G9" s="2" cm="1">
        <f t="array" aca="1" ref="G9" ca="1">SUM(SUMIFS(Assumptions!BG$3:BG$102,Assumptions!$B$3:$B$102,'Trucks-hdt'!$C9,Assumptions!$G$3:$G$102,{"TRH","TRM"}))</f>
        <v>0</v>
      </c>
      <c r="H9" s="2" cm="1">
        <f t="array" aca="1" ref="H9" ca="1">SUM(SUMIFS(Assumptions!BH$3:BH$102,Assumptions!$B$3:$B$102,'Trucks-hdt'!$C9,Assumptions!$G$3:$G$102,{"TRH","TRM"}))</f>
        <v>0</v>
      </c>
      <c r="I9" s="2" cm="1">
        <f t="array" aca="1" ref="I9" ca="1">SUM(SUMIFS(Assumptions!BI$3:BI$102,Assumptions!$B$3:$B$102,'Trucks-hdt'!$C9,Assumptions!$G$3:$G$102,{"TRH","TRM"}))</f>
        <v>0</v>
      </c>
      <c r="J9" s="2" cm="1">
        <f t="array" aca="1" ref="J9" ca="1">SUM(SUMIFS(Assumptions!BJ$3:BJ$102,Assumptions!$B$3:$B$102,'Trucks-hdt'!$C9,Assumptions!$G$3:$G$102,{"TRH","TRM"}))</f>
        <v>0</v>
      </c>
      <c r="K9" s="2" cm="1">
        <f t="array" aca="1" ref="K9" ca="1">SUM(SUMIFS(Assumptions!BK$3:BK$102,Assumptions!$B$3:$B$102,'Trucks-hdt'!$C9,Assumptions!$G$3:$G$102,{"TRH","TRM"}))</f>
        <v>0</v>
      </c>
      <c r="L9" s="2" cm="1">
        <f t="array" aca="1" ref="L9" ca="1">SUM(SUMIFS(Assumptions!BL$3:BL$102,Assumptions!$B$3:$B$102,'Trucks-hdt'!$C9,Assumptions!$G$3:$G$102,{"TRH","TRM"}))</f>
        <v>0</v>
      </c>
      <c r="M9" s="2" cm="1">
        <f t="array" aca="1" ref="M9" ca="1">SUM(SUMIFS(Assumptions!BM$3:BM$102,Assumptions!$B$3:$B$102,'Trucks-hdt'!$C9,Assumptions!$G$3:$G$102,{"TRH","TRM"}))</f>
        <v>0</v>
      </c>
      <c r="N9" s="2" cm="1">
        <f t="array" aca="1" ref="N9" ca="1">SUM(SUMIFS(Assumptions!BN$3:BN$102,Assumptions!$B$3:$B$102,'Trucks-hdt'!$C9,Assumptions!$G$3:$G$102,{"TRH","TRM"}))</f>
        <v>0</v>
      </c>
      <c r="O9" s="2" cm="1">
        <f t="array" aca="1" ref="O9" ca="1">SUM(SUMIFS(Assumptions!BO$3:BO$102,Assumptions!$B$3:$B$102,'Trucks-hdt'!$C9,Assumptions!$G$3:$G$102,{"TRH","TRM"}))</f>
        <v>0</v>
      </c>
      <c r="P9" s="2" cm="1">
        <f t="array" aca="1" ref="P9" ca="1">SUM(SUMIFS(Assumptions!BP$3:BP$102,Assumptions!$B$3:$B$102,'Trucks-hdt'!$C9,Assumptions!$G$3:$G$102,{"TRH","TRM"}))</f>
        <v>0</v>
      </c>
      <c r="Q9" s="2" cm="1">
        <f t="array" aca="1" ref="Q9" ca="1">SUM(SUMIFS(Assumptions!BQ$3:BQ$102,Assumptions!$B$3:$B$102,'Trucks-hdt'!$C9,Assumptions!$G$3:$G$102,{"TRH","TRM"}))</f>
        <v>0</v>
      </c>
      <c r="R9" s="2" cm="1">
        <f t="array" aca="1" ref="R9" ca="1">SUM(SUMIFS(Assumptions!BR$3:BR$102,Assumptions!$B$3:$B$102,'Trucks-hdt'!$C9,Assumptions!$G$3:$G$102,{"TRH","TRM"}))</f>
        <v>0</v>
      </c>
      <c r="S9" s="2" cm="1">
        <f t="array" aca="1" ref="S9" ca="1">SUM(SUMIFS(Assumptions!BS$3:BS$102,Assumptions!$B$3:$B$102,'Trucks-hdt'!$C9,Assumptions!$G$3:$G$102,{"TRH","TRM"}))</f>
        <v>0</v>
      </c>
      <c r="T9" s="2" cm="1">
        <f t="array" aca="1" ref="T9" ca="1">SUM(SUMIFS(Assumptions!BT$3:BT$102,Assumptions!$B$3:$B$102,'Trucks-hdt'!$C9,Assumptions!$G$3:$G$102,{"TRH","TRM"}))</f>
        <v>0</v>
      </c>
      <c r="U9" s="2" cm="1">
        <f t="array" aca="1" ref="U9" ca="1">SUM(SUMIFS(Assumptions!BU$3:BU$102,Assumptions!$B$3:$B$102,'Trucks-hdt'!$C9,Assumptions!$G$3:$G$102,{"TRH","TRM"}))</f>
        <v>0</v>
      </c>
      <c r="V9" s="2" cm="1">
        <f t="array" aca="1" ref="V9" ca="1">SUM(SUMIFS(Assumptions!BV$3:BV$102,Assumptions!$B$3:$B$102,'Trucks-hdt'!$C9,Assumptions!$G$3:$G$102,{"TRH","TRM"}))</f>
        <v>0</v>
      </c>
      <c r="W9" s="2" cm="1">
        <f t="array" aca="1" ref="W9" ca="1">SUM(SUMIFS(Assumptions!BW$3:BW$102,Assumptions!$B$3:$B$102,'Trucks-hdt'!$C9,Assumptions!$G$3:$G$102,{"TRH","TRM"}))</f>
        <v>0</v>
      </c>
      <c r="X9" s="2" cm="1">
        <f t="array" aca="1" ref="X9" ca="1">SUM(SUMIFS(Assumptions!BX$3:BX$102,Assumptions!$B$3:$B$102,'Trucks-hdt'!$C9,Assumptions!$G$3:$G$102,{"TRH","TRM"}))</f>
        <v>0</v>
      </c>
      <c r="Y9" s="2" cm="1">
        <f t="array" aca="1" ref="Y9" ca="1">SUM(SUMIFS(Assumptions!BY$3:BY$102,Assumptions!$B$3:$B$102,'Trucks-hdt'!$C9,Assumptions!$G$3:$G$102,{"TRH","TRM"}))</f>
        <v>0</v>
      </c>
      <c r="Z9" s="2" cm="1">
        <f t="array" aca="1" ref="Z9" ca="1">SUM(SUMIFS(Assumptions!BZ$3:BZ$102,Assumptions!$B$3:$B$102,'Trucks-hdt'!$C9,Assumptions!$G$3:$G$102,{"TRH","TRM"}))</f>
        <v>0</v>
      </c>
      <c r="AA9" s="2" cm="1">
        <f t="array" aca="1" ref="AA9" ca="1">SUM(SUMIFS(Assumptions!CA$3:CA$102,Assumptions!$B$3:$B$102,'Trucks-hdt'!$C9,Assumptions!$G$3:$G$102,{"TRH","TRM"}))</f>
        <v>0</v>
      </c>
      <c r="AB9" s="2" cm="1">
        <f t="array" aca="1" ref="AB9" ca="1">SUM(SUMIFS(Assumptions!CB$3:CB$102,Assumptions!$B$3:$B$102,'Trucks-hdt'!$C9,Assumptions!$G$3:$G$102,{"TRH","TRM"}))</f>
        <v>0</v>
      </c>
      <c r="AC9" s="2" cm="1">
        <f t="array" aca="1" ref="AC9" ca="1">SUM(SUMIFS(Assumptions!CC$3:CC$102,Assumptions!$B$3:$B$102,'Trucks-hdt'!$C9,Assumptions!$G$3:$G$102,{"TRH","TRM"}))</f>
        <v>0</v>
      </c>
      <c r="AD9" s="2" cm="1">
        <f t="array" aca="1" ref="AD9" ca="1">SUM(SUMIFS(Assumptions!CD$3:CD$102,Assumptions!$B$3:$B$102,'Trucks-hdt'!$C9,Assumptions!$G$3:$G$102,{"TRH","TRM"}))</f>
        <v>0</v>
      </c>
      <c r="AE9" s="2" cm="1">
        <f t="array" aca="1" ref="AE9" ca="1">SUM(SUMIFS(Assumptions!CE$3:CE$102,Assumptions!$B$3:$B$102,'Trucks-hdt'!$C9,Assumptions!$G$3:$G$102,{"TRH","TRM"}))</f>
        <v>0</v>
      </c>
      <c r="AF9" s="2" cm="1">
        <f t="array" aca="1" ref="AF9" ca="1">SUM(SUMIFS(Assumptions!CF$3:CF$102,Assumptions!$B$3:$B$102,'Trucks-hdt'!$C9,Assumptions!$G$3:$G$102,{"TRH","TRM"}))</f>
        <v>0</v>
      </c>
      <c r="AG9" s="2" cm="1">
        <f t="array" aca="1" ref="AG9" ca="1">SUM(SUMIFS(Assumptions!CG$3:CG$102,Assumptions!$B$3:$B$102,'Trucks-hdt'!$C9,Assumptions!$G$3:$G$102,{"TRH","TRM"}))</f>
        <v>0</v>
      </c>
      <c r="AH9" s="2" cm="1">
        <f t="array" aca="1" ref="AH9" ca="1">SUM(SUMIFS(Assumptions!CH$3:CH$102,Assumptions!$B$3:$B$102,'Trucks-hdt'!$C9,Assumptions!$G$3:$G$102,{"TRH","TRM"}))</f>
        <v>0</v>
      </c>
      <c r="AI9" s="2" cm="1">
        <f t="array" aca="1" ref="AI9" ca="1">SUM(SUMIFS(Assumptions!CI$3:CI$102,Assumptions!$B$3:$B$102,'Trucks-hdt'!$C9,Assumptions!$G$3:$G$102,{"TRH","TRM"}))</f>
        <v>0</v>
      </c>
      <c r="AJ9" s="2" cm="1">
        <f t="array" aca="1" ref="AJ9" ca="1">SUM(SUMIFS(Assumptions!CJ$3:CJ$102,Assumptions!$B$3:$B$102,'Trucks-hdt'!$C9,Assumptions!$G$3:$G$102,{"TRH","TRM"}))</f>
        <v>0</v>
      </c>
      <c r="AK9" s="2" cm="1">
        <f t="array" aca="1" ref="AK9" ca="1">SUM(SUMIFS(Assumptions!CK$3:CK$102,Assumptions!$B$3:$B$102,'Trucks-hdt'!$C9,Assumptions!$G$3:$G$102,{"TRH","TRM"}))</f>
        <v>0</v>
      </c>
      <c r="AL9" s="2" cm="1">
        <f t="array" aca="1" ref="AL9" ca="1">SUM(SUMIFS(Assumptions!CL$3:CL$102,Assumptions!$B$3:$B$102,'Trucks-hdt'!$C9,Assumptions!$G$3:$G$102,{"TRH","TRM"}))</f>
        <v>0</v>
      </c>
      <c r="AM9" s="2" cm="1">
        <f t="array" aca="1" ref="AM9" ca="1">SUM(SUMIFS(Assumptions!CM$3:CM$102,Assumptions!$B$3:$B$102,'Trucks-hdt'!$C9,Assumptions!$G$3:$G$102,{"TRH","TRM"}))</f>
        <v>0</v>
      </c>
      <c r="AN9" s="2" cm="1">
        <f t="array" aca="1" ref="AN9" ca="1">SUM(SUMIFS(Assumptions!CN$3:CN$102,Assumptions!$B$3:$B$102,'Trucks-hdt'!$C9,Assumptions!$G$3:$G$102,{"TRH","TRM"}))</f>
        <v>0</v>
      </c>
      <c r="AO9" s="2" cm="1">
        <f t="array" aca="1" ref="AO9" ca="1">SUM(SUMIFS(Assumptions!CO$3:CO$102,Assumptions!$B$3:$B$102,'Trucks-hdt'!$C9,Assumptions!$G$3:$G$102,{"TRH","TRM"}))</f>
        <v>0</v>
      </c>
      <c r="AP9" s="2" cm="1">
        <f t="array" aca="1" ref="AP9" ca="1">SUM(SUMIFS(Assumptions!CP$3:CP$102,Assumptions!$B$3:$B$102,'Trucks-hdt'!$C9,Assumptions!$G$3:$G$102,{"TRH","TRM"}))</f>
        <v>0</v>
      </c>
      <c r="AQ9" s="2" cm="1">
        <f t="array" aca="1" ref="AQ9" ca="1">SUM(SUMIFS(Assumptions!CQ$3:CQ$102,Assumptions!$B$3:$B$102,'Trucks-hdt'!$C9,Assumptions!$G$3:$G$102,{"TRH","TRM"}))</f>
        <v>0</v>
      </c>
      <c r="AR9" s="2" cm="1">
        <f t="array" aca="1" ref="AR9" ca="1">SUM(SUMIFS(Assumptions!CR$3:CR$102,Assumptions!$B$3:$B$102,'Trucks-hdt'!$C9,Assumptions!$G$3:$G$102,{"TRH","TRM"}))</f>
        <v>0</v>
      </c>
      <c r="AS9" s="2" cm="1">
        <f t="array" aca="1" ref="AS9" ca="1">SUM(SUMIFS(Assumptions!CS$3:CS$102,Assumptions!$B$3:$B$102,'Trucks-hdt'!$C9,Assumptions!$G$3:$G$102,{"TRH","TRM"}))</f>
        <v>0</v>
      </c>
      <c r="AT9" s="2" cm="1">
        <f t="array" aca="1" ref="AT9" ca="1">SUM(SUMIFS(Assumptions!CT$3:CT$102,Assumptions!$B$3:$B$102,'Trucks-hdt'!$C9,Assumptions!$G$3:$G$102,{"TRH","TRM"}))</f>
        <v>0</v>
      </c>
      <c r="AU9" s="2" cm="1">
        <f t="array" aca="1" ref="AU9" ca="1">SUM(SUMIFS(Assumptions!CU$3:CU$102,Assumptions!$B$3:$B$102,'Trucks-hdt'!$C9,Assumptions!$G$3:$G$102,{"TRH","TRM"}))</f>
        <v>0</v>
      </c>
      <c r="AV9" s="2" cm="1">
        <f t="array" aca="1" ref="AV9" ca="1">SUM(SUMIFS(Assumptions!CV$3:CV$102,Assumptions!$B$3:$B$102,'Trucks-hdt'!$C9,Assumptions!$G$3:$G$102,{"TRH","TRM"}))</f>
        <v>0</v>
      </c>
      <c r="AW9" s="2" cm="1">
        <f t="array" aca="1" ref="AW9" ca="1">SUM(SUMIFS(Assumptions!CW$3:CW$102,Assumptions!$B$3:$B$102,'Trucks-hdt'!$C9,Assumptions!$G$3:$G$102,{"TRH","TRM"}))</f>
        <v>0</v>
      </c>
      <c r="AX9" s="53" t="str">
        <f t="shared" ca="1" si="2"/>
        <v>zero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SUM(SUMIFS(Assumptions!BD$3:BD$102,Assumptions!$B$3:$B$102,'Trucks-hdt'!$C10,Assumptions!$G$3:$G$102,{"TRH","TRM"}))</f>
        <v>0</v>
      </c>
      <c r="E10" s="2" cm="1">
        <f t="array" aca="1" ref="E10" ca="1">SUM(SUMIFS(Assumptions!BE$3:BE$102,Assumptions!$B$3:$B$102,'Trucks-hdt'!$C10,Assumptions!$G$3:$G$102,{"TRH","TRM"}))</f>
        <v>0</v>
      </c>
      <c r="F10" s="2" cm="1">
        <f t="array" aca="1" ref="F10" ca="1">SUM(SUMIFS(Assumptions!BF$3:BF$102,Assumptions!$B$3:$B$102,'Trucks-hdt'!$C10,Assumptions!$G$3:$G$102,{"TRH","TRM"}))</f>
        <v>0</v>
      </c>
      <c r="G10" s="2" cm="1">
        <f t="array" aca="1" ref="G10" ca="1">SUM(SUMIFS(Assumptions!BG$3:BG$102,Assumptions!$B$3:$B$102,'Trucks-hdt'!$C10,Assumptions!$G$3:$G$102,{"TRH","TRM"}))</f>
        <v>0</v>
      </c>
      <c r="H10" s="2" cm="1">
        <f t="array" aca="1" ref="H10" ca="1">SUM(SUMIFS(Assumptions!BH$3:BH$102,Assumptions!$B$3:$B$102,'Trucks-hdt'!$C10,Assumptions!$G$3:$G$102,{"TRH","TRM"}))</f>
        <v>0</v>
      </c>
      <c r="I10" s="2" cm="1">
        <f t="array" aca="1" ref="I10" ca="1">SUM(SUMIFS(Assumptions!BI$3:BI$102,Assumptions!$B$3:$B$102,'Trucks-hdt'!$C10,Assumptions!$G$3:$G$102,{"TRH","TRM"}))</f>
        <v>0</v>
      </c>
      <c r="J10" s="2" cm="1">
        <f t="array" aca="1" ref="J10" ca="1">SUM(SUMIFS(Assumptions!BJ$3:BJ$102,Assumptions!$B$3:$B$102,'Trucks-hdt'!$C10,Assumptions!$G$3:$G$102,{"TRH","TRM"}))</f>
        <v>0</v>
      </c>
      <c r="K10" s="2" cm="1">
        <f t="array" aca="1" ref="K10" ca="1">SUM(SUMIFS(Assumptions!BK$3:BK$102,Assumptions!$B$3:$B$102,'Trucks-hdt'!$C10,Assumptions!$G$3:$G$102,{"TRH","TRM"}))</f>
        <v>0</v>
      </c>
      <c r="L10" s="2" cm="1">
        <f t="array" aca="1" ref="L10" ca="1">SUM(SUMIFS(Assumptions!BL$3:BL$102,Assumptions!$B$3:$B$102,'Trucks-hdt'!$C10,Assumptions!$G$3:$G$102,{"TRH","TRM"}))</f>
        <v>0</v>
      </c>
      <c r="M10" s="2" cm="1">
        <f t="array" aca="1" ref="M10" ca="1">SUM(SUMIFS(Assumptions!BM$3:BM$102,Assumptions!$B$3:$B$102,'Trucks-hdt'!$C10,Assumptions!$G$3:$G$102,{"TRH","TRM"}))</f>
        <v>0</v>
      </c>
      <c r="N10" s="2" cm="1">
        <f t="array" aca="1" ref="N10" ca="1">SUM(SUMIFS(Assumptions!BN$3:BN$102,Assumptions!$B$3:$B$102,'Trucks-hdt'!$C10,Assumptions!$G$3:$G$102,{"TRH","TRM"}))</f>
        <v>0</v>
      </c>
      <c r="O10" s="2" cm="1">
        <f t="array" aca="1" ref="O10" ca="1">SUM(SUMIFS(Assumptions!BO$3:BO$102,Assumptions!$B$3:$B$102,'Trucks-hdt'!$C10,Assumptions!$G$3:$G$102,{"TRH","TRM"}))</f>
        <v>0</v>
      </c>
      <c r="P10" s="2" cm="1">
        <f t="array" aca="1" ref="P10" ca="1">SUM(SUMIFS(Assumptions!BP$3:BP$102,Assumptions!$B$3:$B$102,'Trucks-hdt'!$C10,Assumptions!$G$3:$G$102,{"TRH","TRM"}))</f>
        <v>0</v>
      </c>
      <c r="Q10" s="2" cm="1">
        <f t="array" aca="1" ref="Q10" ca="1">SUM(SUMIFS(Assumptions!BQ$3:BQ$102,Assumptions!$B$3:$B$102,'Trucks-hdt'!$C10,Assumptions!$G$3:$G$102,{"TRH","TRM"}))</f>
        <v>0</v>
      </c>
      <c r="R10" s="2" cm="1">
        <f t="array" aca="1" ref="R10" ca="1">SUM(SUMIFS(Assumptions!BR$3:BR$102,Assumptions!$B$3:$B$102,'Trucks-hdt'!$C10,Assumptions!$G$3:$G$102,{"TRH","TRM"}))</f>
        <v>0</v>
      </c>
      <c r="S10" s="2" cm="1">
        <f t="array" aca="1" ref="S10" ca="1">SUM(SUMIFS(Assumptions!BS$3:BS$102,Assumptions!$B$3:$B$102,'Trucks-hdt'!$C10,Assumptions!$G$3:$G$102,{"TRH","TRM"}))</f>
        <v>0</v>
      </c>
      <c r="T10" s="2" cm="1">
        <f t="array" aca="1" ref="T10" ca="1">SUM(SUMIFS(Assumptions!BT$3:BT$102,Assumptions!$B$3:$B$102,'Trucks-hdt'!$C10,Assumptions!$G$3:$G$102,{"TRH","TRM"}))</f>
        <v>0</v>
      </c>
      <c r="U10" s="2" cm="1">
        <f t="array" aca="1" ref="U10" ca="1">SUM(SUMIFS(Assumptions!BU$3:BU$102,Assumptions!$B$3:$B$102,'Trucks-hdt'!$C10,Assumptions!$G$3:$G$102,{"TRH","TRM"}))</f>
        <v>0</v>
      </c>
      <c r="V10" s="2" cm="1">
        <f t="array" aca="1" ref="V10" ca="1">SUM(SUMIFS(Assumptions!BV$3:BV$102,Assumptions!$B$3:$B$102,'Trucks-hdt'!$C10,Assumptions!$G$3:$G$102,{"TRH","TRM"}))</f>
        <v>0</v>
      </c>
      <c r="W10" s="2" cm="1">
        <f t="array" aca="1" ref="W10" ca="1">SUM(SUMIFS(Assumptions!BW$3:BW$102,Assumptions!$B$3:$B$102,'Trucks-hdt'!$C10,Assumptions!$G$3:$G$102,{"TRH","TRM"}))</f>
        <v>0</v>
      </c>
      <c r="X10" s="2" cm="1">
        <f t="array" aca="1" ref="X10" ca="1">SUM(SUMIFS(Assumptions!BX$3:BX$102,Assumptions!$B$3:$B$102,'Trucks-hdt'!$C10,Assumptions!$G$3:$G$102,{"TRH","TRM"}))</f>
        <v>0</v>
      </c>
      <c r="Y10" s="2" cm="1">
        <f t="array" aca="1" ref="Y10" ca="1">SUM(SUMIFS(Assumptions!BY$3:BY$102,Assumptions!$B$3:$B$102,'Trucks-hdt'!$C10,Assumptions!$G$3:$G$102,{"TRH","TRM"}))</f>
        <v>0</v>
      </c>
      <c r="Z10" s="2" cm="1">
        <f t="array" aca="1" ref="Z10" ca="1">SUM(SUMIFS(Assumptions!BZ$3:BZ$102,Assumptions!$B$3:$B$102,'Trucks-hdt'!$C10,Assumptions!$G$3:$G$102,{"TRH","TRM"}))</f>
        <v>0</v>
      </c>
      <c r="AA10" s="2" cm="1">
        <f t="array" aca="1" ref="AA10" ca="1">SUM(SUMIFS(Assumptions!CA$3:CA$102,Assumptions!$B$3:$B$102,'Trucks-hdt'!$C10,Assumptions!$G$3:$G$102,{"TRH","TRM"}))</f>
        <v>0</v>
      </c>
      <c r="AB10" s="2" cm="1">
        <f t="array" aca="1" ref="AB10" ca="1">SUM(SUMIFS(Assumptions!CB$3:CB$102,Assumptions!$B$3:$B$102,'Trucks-hdt'!$C10,Assumptions!$G$3:$G$102,{"TRH","TRM"}))</f>
        <v>0</v>
      </c>
      <c r="AC10" s="2" cm="1">
        <f t="array" aca="1" ref="AC10" ca="1">SUM(SUMIFS(Assumptions!CC$3:CC$102,Assumptions!$B$3:$B$102,'Trucks-hdt'!$C10,Assumptions!$G$3:$G$102,{"TRH","TRM"}))</f>
        <v>0</v>
      </c>
      <c r="AD10" s="2" cm="1">
        <f t="array" aca="1" ref="AD10" ca="1">SUM(SUMIFS(Assumptions!CD$3:CD$102,Assumptions!$B$3:$B$102,'Trucks-hdt'!$C10,Assumptions!$G$3:$G$102,{"TRH","TRM"}))</f>
        <v>0</v>
      </c>
      <c r="AE10" s="2" cm="1">
        <f t="array" aca="1" ref="AE10" ca="1">SUM(SUMIFS(Assumptions!CE$3:CE$102,Assumptions!$B$3:$B$102,'Trucks-hdt'!$C10,Assumptions!$G$3:$G$102,{"TRH","TRM"}))</f>
        <v>0</v>
      </c>
      <c r="AF10" s="2" cm="1">
        <f t="array" aca="1" ref="AF10" ca="1">SUM(SUMIFS(Assumptions!CF$3:CF$102,Assumptions!$B$3:$B$102,'Trucks-hdt'!$C10,Assumptions!$G$3:$G$102,{"TRH","TRM"}))</f>
        <v>0</v>
      </c>
      <c r="AG10" s="2" cm="1">
        <f t="array" aca="1" ref="AG10" ca="1">SUM(SUMIFS(Assumptions!CG$3:CG$102,Assumptions!$B$3:$B$102,'Trucks-hdt'!$C10,Assumptions!$G$3:$G$102,{"TRH","TRM"}))</f>
        <v>0</v>
      </c>
      <c r="AH10" s="2" cm="1">
        <f t="array" aca="1" ref="AH10" ca="1">SUM(SUMIFS(Assumptions!CH$3:CH$102,Assumptions!$B$3:$B$102,'Trucks-hdt'!$C10,Assumptions!$G$3:$G$102,{"TRH","TRM"}))</f>
        <v>0</v>
      </c>
      <c r="AI10" s="2" cm="1">
        <f t="array" aca="1" ref="AI10" ca="1">SUM(SUMIFS(Assumptions!CI$3:CI$102,Assumptions!$B$3:$B$102,'Trucks-hdt'!$C10,Assumptions!$G$3:$G$102,{"TRH","TRM"}))</f>
        <v>0</v>
      </c>
      <c r="AJ10" s="2" cm="1">
        <f t="array" aca="1" ref="AJ10" ca="1">SUM(SUMIFS(Assumptions!CJ$3:CJ$102,Assumptions!$B$3:$B$102,'Trucks-hdt'!$C10,Assumptions!$G$3:$G$102,{"TRH","TRM"}))</f>
        <v>0</v>
      </c>
      <c r="AK10" s="2" cm="1">
        <f t="array" aca="1" ref="AK10" ca="1">SUM(SUMIFS(Assumptions!CK$3:CK$102,Assumptions!$B$3:$B$102,'Trucks-hdt'!$C10,Assumptions!$G$3:$G$102,{"TRH","TRM"}))</f>
        <v>0</v>
      </c>
      <c r="AL10" s="2" cm="1">
        <f t="array" aca="1" ref="AL10" ca="1">SUM(SUMIFS(Assumptions!CL$3:CL$102,Assumptions!$B$3:$B$102,'Trucks-hdt'!$C10,Assumptions!$G$3:$G$102,{"TRH","TRM"}))</f>
        <v>0</v>
      </c>
      <c r="AM10" s="2" cm="1">
        <f t="array" aca="1" ref="AM10" ca="1">SUM(SUMIFS(Assumptions!CM$3:CM$102,Assumptions!$B$3:$B$102,'Trucks-hdt'!$C10,Assumptions!$G$3:$G$102,{"TRH","TRM"}))</f>
        <v>0</v>
      </c>
      <c r="AN10" s="2" cm="1">
        <f t="array" aca="1" ref="AN10" ca="1">SUM(SUMIFS(Assumptions!CN$3:CN$102,Assumptions!$B$3:$B$102,'Trucks-hdt'!$C10,Assumptions!$G$3:$G$102,{"TRH","TRM"}))</f>
        <v>0</v>
      </c>
      <c r="AO10" s="2" cm="1">
        <f t="array" aca="1" ref="AO10" ca="1">SUM(SUMIFS(Assumptions!CO$3:CO$102,Assumptions!$B$3:$B$102,'Trucks-hdt'!$C10,Assumptions!$G$3:$G$102,{"TRH","TRM"}))</f>
        <v>0</v>
      </c>
      <c r="AP10" s="2" cm="1">
        <f t="array" aca="1" ref="AP10" ca="1">SUM(SUMIFS(Assumptions!CP$3:CP$102,Assumptions!$B$3:$B$102,'Trucks-hdt'!$C10,Assumptions!$G$3:$G$102,{"TRH","TRM"}))</f>
        <v>0</v>
      </c>
      <c r="AQ10" s="2" cm="1">
        <f t="array" aca="1" ref="AQ10" ca="1">SUM(SUMIFS(Assumptions!CQ$3:CQ$102,Assumptions!$B$3:$B$102,'Trucks-hdt'!$C10,Assumptions!$G$3:$G$102,{"TRH","TRM"}))</f>
        <v>0</v>
      </c>
      <c r="AR10" s="2" cm="1">
        <f t="array" aca="1" ref="AR10" ca="1">SUM(SUMIFS(Assumptions!CR$3:CR$102,Assumptions!$B$3:$B$102,'Trucks-hdt'!$C10,Assumptions!$G$3:$G$102,{"TRH","TRM"}))</f>
        <v>0</v>
      </c>
      <c r="AS10" s="2" cm="1">
        <f t="array" aca="1" ref="AS10" ca="1">SUM(SUMIFS(Assumptions!CS$3:CS$102,Assumptions!$B$3:$B$102,'Trucks-hdt'!$C10,Assumptions!$G$3:$G$102,{"TRH","TRM"}))</f>
        <v>0</v>
      </c>
      <c r="AT10" s="2" cm="1">
        <f t="array" aca="1" ref="AT10" ca="1">SUM(SUMIFS(Assumptions!CT$3:CT$102,Assumptions!$B$3:$B$102,'Trucks-hdt'!$C10,Assumptions!$G$3:$G$102,{"TRH","TRM"}))</f>
        <v>0</v>
      </c>
      <c r="AU10" s="2" cm="1">
        <f t="array" aca="1" ref="AU10" ca="1">SUM(SUMIFS(Assumptions!CU$3:CU$102,Assumptions!$B$3:$B$102,'Trucks-hdt'!$C10,Assumptions!$G$3:$G$102,{"TRH","TRM"}))</f>
        <v>0</v>
      </c>
      <c r="AV10" s="2" cm="1">
        <f t="array" aca="1" ref="AV10" ca="1">SUM(SUMIFS(Assumptions!CV$3:CV$102,Assumptions!$B$3:$B$102,'Trucks-hdt'!$C10,Assumptions!$G$3:$G$102,{"TRH","TRM"}))</f>
        <v>0</v>
      </c>
      <c r="AW10" s="2" cm="1">
        <f t="array" aca="1" ref="AW10" ca="1">SUM(SUMIFS(Assumptions!CW$3:CW$102,Assumptions!$B$3:$B$102,'Trucks-hdt'!$C10,Assumptions!$G$3:$G$102,{"TRH","TRM"}))</f>
        <v>0</v>
      </c>
      <c r="AX10" s="53" t="str">
        <f t="shared" ca="1" si="2"/>
        <v>zero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1.6815037415136961E-2</v>
      </c>
      <c r="E11" s="42">
        <f t="shared" ref="E11:U11" ca="1" si="5">SUM(E$4:E$10)/SUM($D$4:$AJ$10)</f>
        <v>1.4943145095517529E-2</v>
      </c>
      <c r="F11" s="42">
        <f t="shared" ca="1" si="5"/>
        <v>1.3691359932375066E-2</v>
      </c>
      <c r="G11" s="42">
        <f t="shared" ca="1" si="5"/>
        <v>6.6064154426259247E-3</v>
      </c>
      <c r="H11" s="42">
        <f t="shared" ca="1" si="5"/>
        <v>3.7007068408340827E-3</v>
      </c>
      <c r="I11" s="42">
        <f t="shared" ca="1" si="5"/>
        <v>1.3982542836628298E-2</v>
      </c>
      <c r="J11" s="42">
        <f t="shared" ca="1" si="5"/>
        <v>5.8979587540608523E-2</v>
      </c>
      <c r="K11" s="42">
        <f t="shared" ca="1" si="5"/>
        <v>7.467463495530835E-2</v>
      </c>
      <c r="L11" s="42">
        <f t="shared" ca="1" si="5"/>
        <v>2.8984015438569335E-3</v>
      </c>
      <c r="M11" s="42">
        <f t="shared" ca="1" si="5"/>
        <v>6.2919347412759711E-3</v>
      </c>
      <c r="N11" s="42">
        <f t="shared" ca="1" si="5"/>
        <v>3.3264535562007758E-2</v>
      </c>
      <c r="O11" s="42">
        <f t="shared" ca="1" si="5"/>
        <v>3.5086821414209157E-2</v>
      </c>
      <c r="P11" s="42">
        <f t="shared" ca="1" si="5"/>
        <v>2.8557942176703904E-3</v>
      </c>
      <c r="Q11" s="42">
        <f t="shared" ca="1" si="5"/>
        <v>9.8122409406454E-3</v>
      </c>
      <c r="R11" s="42">
        <f t="shared" ca="1" si="5"/>
        <v>1.9960891497370373E-4</v>
      </c>
      <c r="S11" s="42">
        <f t="shared" ca="1" si="5"/>
        <v>3.4096751177663351E-2</v>
      </c>
      <c r="T11" s="42">
        <f t="shared" ca="1" si="5"/>
        <v>3.1093927197984859E-3</v>
      </c>
      <c r="U11" s="42">
        <f t="shared" ca="1" si="5"/>
        <v>2.2763827828596071E-2</v>
      </c>
      <c r="V11" s="42">
        <f t="shared" ref="V11:AW11" ca="1" si="6">SUM(V$4:V$10)/SUM($D$4:$AJ$10)</f>
        <v>2.592925897328676E-2</v>
      </c>
      <c r="W11" s="42">
        <f t="shared" ca="1" si="6"/>
        <v>4.493095129098381E-2</v>
      </c>
      <c r="X11" s="42">
        <f t="shared" ca="1" si="6"/>
        <v>4.699702336037194E-2</v>
      </c>
      <c r="Y11" s="42">
        <f t="shared" ca="1" si="6"/>
        <v>0.25669991497150396</v>
      </c>
      <c r="Z11" s="42">
        <f t="shared" ca="1" si="6"/>
        <v>2.5362966591620209E-3</v>
      </c>
      <c r="AA11" s="42">
        <f t="shared" ca="1" si="6"/>
        <v>1.4355669941744711E-2</v>
      </c>
      <c r="AB11" s="42">
        <f t="shared" ca="1" si="6"/>
        <v>0.11078770826818514</v>
      </c>
      <c r="AC11" s="42">
        <f t="shared" ca="1" si="6"/>
        <v>2.6833564718094796E-2</v>
      </c>
      <c r="AD11" s="42">
        <f t="shared" ca="1" si="6"/>
        <v>2.546320943994371E-2</v>
      </c>
      <c r="AE11" s="42">
        <f t="shared" ca="1" si="6"/>
        <v>5.2489799088118756E-3</v>
      </c>
      <c r="AF11" s="42">
        <f t="shared" ca="1" si="6"/>
        <v>2.7426077594507749E-2</v>
      </c>
      <c r="AG11" s="42">
        <f t="shared" ca="1" si="6"/>
        <v>9.4177514902223543E-3</v>
      </c>
      <c r="AH11" s="42">
        <f t="shared" ca="1" si="6"/>
        <v>2.8695325960789034E-3</v>
      </c>
      <c r="AI11" s="42">
        <f t="shared" ca="1" si="6"/>
        <v>2.1234585790864055E-2</v>
      </c>
      <c r="AJ11" s="42">
        <f t="shared" ca="1" si="6"/>
        <v>2.5496735876506204E-2</v>
      </c>
      <c r="AK11" s="42">
        <f t="shared" ca="1" si="6"/>
        <v>5.5041685207181832E-3</v>
      </c>
      <c r="AL11" s="42">
        <f t="shared" ca="1" si="6"/>
        <v>4.3764841630206663E-3</v>
      </c>
      <c r="AM11" s="42">
        <f t="shared" ca="1" si="6"/>
        <v>0</v>
      </c>
      <c r="AN11" s="42">
        <f t="shared" ca="1" si="6"/>
        <v>0</v>
      </c>
      <c r="AO11" s="42">
        <f t="shared" ca="1" si="6"/>
        <v>0</v>
      </c>
      <c r="AP11" s="42">
        <f t="shared" ca="1" si="6"/>
        <v>0</v>
      </c>
      <c r="AQ11" s="42">
        <f t="shared" ca="1" si="6"/>
        <v>0</v>
      </c>
      <c r="AR11" s="42">
        <f t="shared" ca="1" si="6"/>
        <v>0</v>
      </c>
      <c r="AS11" s="42">
        <f t="shared" ca="1" si="6"/>
        <v>0</v>
      </c>
      <c r="AT11" s="42">
        <f t="shared" ca="1" si="6"/>
        <v>0</v>
      </c>
      <c r="AU11" s="42">
        <f t="shared" ca="1" si="6"/>
        <v>0</v>
      </c>
      <c r="AV11" s="42">
        <f t="shared" ca="1" si="6"/>
        <v>0</v>
      </c>
      <c r="AW11" s="42">
        <f t="shared" ca="1" si="6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C12" s="52"/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SUM(D13:AW13)</f>
        <v>39.904999999999994</v>
      </c>
      <c r="D13" s="1">
        <f ca="1">SUM(D19:D25)</f>
        <v>0.628</v>
      </c>
      <c r="E13" s="1">
        <f t="shared" ref="E13:U13" ca="1" si="7">SUM(E19:E25)</f>
        <v>0.55800000000000005</v>
      </c>
      <c r="F13" s="1">
        <f t="shared" ca="1" si="7"/>
        <v>0.51100000000000001</v>
      </c>
      <c r="G13" s="1">
        <f t="shared" ca="1" si="7"/>
        <v>0.247</v>
      </c>
      <c r="H13" s="1">
        <f t="shared" ca="1" si="7"/>
        <v>0.13800000000000001</v>
      </c>
      <c r="I13" s="1">
        <f t="shared" ca="1" si="7"/>
        <v>0.52200000000000002</v>
      </c>
      <c r="J13" s="1">
        <f t="shared" ca="1" si="7"/>
        <v>2.202</v>
      </c>
      <c r="K13" s="1">
        <f t="shared" ca="1" si="7"/>
        <v>2.7879999999999998</v>
      </c>
      <c r="L13" s="1">
        <f t="shared" ca="1" si="7"/>
        <v>0.10800000000000001</v>
      </c>
      <c r="M13" s="1">
        <f t="shared" ca="1" si="7"/>
        <v>0.23500000000000001</v>
      </c>
      <c r="N13" s="1">
        <f t="shared" ca="1" si="7"/>
        <v>1.2410000000000001</v>
      </c>
      <c r="O13" s="1">
        <f t="shared" ca="1" si="7"/>
        <v>1.31</v>
      </c>
      <c r="P13" s="1">
        <f t="shared" ca="1" si="7"/>
        <v>0.10600000000000001</v>
      </c>
      <c r="Q13" s="1">
        <f t="shared" ca="1" si="7"/>
        <v>0.36700000000000005</v>
      </c>
      <c r="R13" s="1">
        <f t="shared" ca="1" si="7"/>
        <v>8.0000000000000002E-3</v>
      </c>
      <c r="S13" s="1">
        <f t="shared" ca="1" si="7"/>
        <v>1.2729999999999999</v>
      </c>
      <c r="T13" s="1">
        <f t="shared" ca="1" si="7"/>
        <v>0.11600000000000001</v>
      </c>
      <c r="U13" s="1">
        <f t="shared" ca="1" si="7"/>
        <v>0.85000000000000009</v>
      </c>
      <c r="V13" s="1">
        <f t="shared" ref="V13:AW13" ca="1" si="8">SUM(V19:V25)</f>
        <v>0.96799999999999997</v>
      </c>
      <c r="W13" s="1">
        <f t="shared" ca="1" si="8"/>
        <v>1.6769999999999998</v>
      </c>
      <c r="X13" s="1">
        <f t="shared" ca="1" si="8"/>
        <v>1.754</v>
      </c>
      <c r="Y13" s="1">
        <f t="shared" ca="1" si="8"/>
        <v>9.5820000000000007</v>
      </c>
      <c r="Z13" s="1">
        <f t="shared" ca="1" si="8"/>
        <v>9.5000000000000001E-2</v>
      </c>
      <c r="AA13" s="1">
        <f t="shared" ca="1" si="8"/>
        <v>0.53600000000000003</v>
      </c>
      <c r="AB13" s="1">
        <f t="shared" ca="1" si="8"/>
        <v>4.1349999999999998</v>
      </c>
      <c r="AC13" s="1">
        <f t="shared" ca="1" si="8"/>
        <v>1.002</v>
      </c>
      <c r="AD13" s="1">
        <f t="shared" ca="1" si="8"/>
        <v>0.95000000000000007</v>
      </c>
      <c r="AE13" s="1">
        <f t="shared" ca="1" si="8"/>
        <v>0.19600000000000001</v>
      </c>
      <c r="AF13" s="1">
        <f t="shared" ca="1" si="8"/>
        <v>2.9250000000000003</v>
      </c>
      <c r="AG13" s="1">
        <f t="shared" ca="1" si="8"/>
        <v>0.35199999999999998</v>
      </c>
      <c r="AH13" s="1">
        <f t="shared" ca="1" si="8"/>
        <v>0.108</v>
      </c>
      <c r="AI13" s="1">
        <f t="shared" ca="1" si="8"/>
        <v>0.79300000000000004</v>
      </c>
      <c r="AJ13" s="1">
        <f t="shared" ca="1" si="8"/>
        <v>0.95200000000000007</v>
      </c>
      <c r="AK13" s="1">
        <f t="shared" ca="1" si="8"/>
        <v>0.20600000000000002</v>
      </c>
      <c r="AL13" s="1">
        <f t="shared" ca="1" si="8"/>
        <v>0.46600000000000003</v>
      </c>
      <c r="AM13" s="1">
        <f t="shared" ca="1" si="8"/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D13/SUM($D$13:$AJ$13)</f>
        <v>1.6006932939107387E-2</v>
      </c>
      <c r="E14" s="42">
        <f t="shared" ref="E14:U14" ca="1" si="9">E13/SUM($D$13:$AJ$13)</f>
        <v>1.4222720668824719E-2</v>
      </c>
      <c r="F14" s="42">
        <f t="shared" ca="1" si="9"/>
        <v>1.3024749573063496E-2</v>
      </c>
      <c r="G14" s="42">
        <f t="shared" ca="1" si="9"/>
        <v>6.295720439425995E-3</v>
      </c>
      <c r="H14" s="42">
        <f t="shared" ca="1" si="9"/>
        <v>3.5174470471286937E-3</v>
      </c>
      <c r="I14" s="42">
        <f t="shared" ca="1" si="9"/>
        <v>1.3305125786965058E-2</v>
      </c>
      <c r="J14" s="42">
        <f t="shared" ca="1" si="9"/>
        <v>5.6126220273749153E-2</v>
      </c>
      <c r="K14" s="42">
        <f t="shared" ca="1" si="9"/>
        <v>7.1062625850686942E-2</v>
      </c>
      <c r="L14" s="42">
        <f t="shared" ca="1" si="9"/>
        <v>2.7527846455789777E-3</v>
      </c>
      <c r="M14" s="42">
        <f t="shared" ca="1" si="9"/>
        <v>5.989855478806109E-3</v>
      </c>
      <c r="N14" s="42">
        <f t="shared" ca="1" si="9"/>
        <v>3.1631534677439919E-2</v>
      </c>
      <c r="O14" s="42">
        <f t="shared" ca="1" si="9"/>
        <v>3.3390258201004268E-2</v>
      </c>
      <c r="P14" s="42">
        <f t="shared" ca="1" si="9"/>
        <v>2.7018071521423301E-3</v>
      </c>
      <c r="Q14" s="42">
        <f t="shared" ca="1" si="9"/>
        <v>9.3543700456248605E-3</v>
      </c>
      <c r="R14" s="42">
        <f t="shared" ca="1" si="9"/>
        <v>2.0390997374659093E-4</v>
      </c>
      <c r="S14" s="42">
        <f t="shared" ca="1" si="9"/>
        <v>3.2447174572426282E-2</v>
      </c>
      <c r="T14" s="42">
        <f t="shared" ca="1" si="9"/>
        <v>2.9566946193255689E-3</v>
      </c>
      <c r="U14" s="42">
        <f t="shared" ca="1" si="9"/>
        <v>2.166543471057529E-2</v>
      </c>
      <c r="V14" s="42">
        <f t="shared" ref="V14:AJ14" ca="1" si="10">V13/SUM($D$13:$AJ$13)</f>
        <v>2.4673106823337503E-2</v>
      </c>
      <c r="W14" s="42">
        <f t="shared" ca="1" si="10"/>
        <v>4.274462824662912E-2</v>
      </c>
      <c r="X14" s="42">
        <f t="shared" ca="1" si="10"/>
        <v>4.470726174394006E-2</v>
      </c>
      <c r="Y14" s="42">
        <f t="shared" ca="1" si="10"/>
        <v>0.2442331710549793</v>
      </c>
      <c r="Z14" s="42">
        <f t="shared" ca="1" si="10"/>
        <v>2.4214309382407672E-3</v>
      </c>
      <c r="AA14" s="42">
        <f t="shared" ca="1" si="10"/>
        <v>1.3661968241021593E-2</v>
      </c>
      <c r="AB14" s="42">
        <f t="shared" ca="1" si="10"/>
        <v>0.10539596768026918</v>
      </c>
      <c r="AC14" s="42">
        <f t="shared" ca="1" si="10"/>
        <v>2.5539724211760515E-2</v>
      </c>
      <c r="AD14" s="42">
        <f t="shared" ca="1" si="10"/>
        <v>2.4214309382407675E-2</v>
      </c>
      <c r="AE14" s="42">
        <f t="shared" ca="1" si="10"/>
        <v>4.9957943567914779E-3</v>
      </c>
      <c r="AF14" s="42">
        <f t="shared" ca="1" si="10"/>
        <v>7.4554584151097322E-2</v>
      </c>
      <c r="AG14" s="42">
        <f t="shared" ref="AG14" ca="1" si="11">AG13/SUM($D$13:$AJ$13)</f>
        <v>8.9720388448500006E-3</v>
      </c>
      <c r="AH14" s="42">
        <f t="shared" ca="1" si="10"/>
        <v>2.7527846455789777E-3</v>
      </c>
      <c r="AI14" s="42">
        <f t="shared" ca="1" si="10"/>
        <v>2.0212576147630827E-2</v>
      </c>
      <c r="AJ14" s="42">
        <f t="shared" ca="1" si="10"/>
        <v>2.4265286875844321E-2</v>
      </c>
      <c r="AK14" s="42">
        <f t="shared" ref="AK14:AW14" ca="1" si="12">AK13/SUM($D$13:$AJ$13)</f>
        <v>5.2506818239747167E-3</v>
      </c>
      <c r="AL14" s="42">
        <f t="shared" ref="AL14" ca="1" si="13">AL13/SUM($D$13:$AJ$13)</f>
        <v>1.1877755970738922E-2</v>
      </c>
      <c r="AM14" s="42">
        <f t="shared" ca="1" si="12"/>
        <v>0</v>
      </c>
      <c r="AN14" s="42">
        <f t="shared" ca="1" si="12"/>
        <v>0</v>
      </c>
      <c r="AO14" s="42">
        <f t="shared" ca="1" si="12"/>
        <v>0</v>
      </c>
      <c r="AP14" s="42">
        <f t="shared" ca="1" si="12"/>
        <v>0</v>
      </c>
      <c r="AQ14" s="42">
        <f t="shared" ca="1" si="12"/>
        <v>0</v>
      </c>
      <c r="AR14" s="42">
        <f t="shared" ca="1" si="12"/>
        <v>0</v>
      </c>
      <c r="AS14" s="42">
        <f t="shared" ca="1" si="12"/>
        <v>0</v>
      </c>
      <c r="AT14" s="42">
        <f t="shared" ca="1" si="12"/>
        <v>0</v>
      </c>
      <c r="AU14" s="42">
        <f t="shared" ca="1" si="12"/>
        <v>0</v>
      </c>
      <c r="AV14" s="42">
        <f t="shared" ca="1" si="12"/>
        <v>0</v>
      </c>
      <c r="AW14" s="42">
        <f t="shared" ca="1" si="12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>
        <f ca="1">D13/'non-road'!DB21</f>
        <v>3.1655611146101984E-3</v>
      </c>
      <c r="E15" s="42">
        <f ca="1">E13/'non-road'!DC21</f>
        <v>5.369737463979564E-4</v>
      </c>
      <c r="F15" s="42">
        <f ca="1">F13/'non-road'!DD21</f>
        <v>2.0145314341808031E-2</v>
      </c>
      <c r="G15" s="42">
        <f ca="1">G13/'non-road'!DE21</f>
        <v>2.7815565905999151E-2</v>
      </c>
      <c r="H15" s="42">
        <f ca="1">H13/'non-road'!DF21</f>
        <v>2.2867141905528878E-2</v>
      </c>
      <c r="I15" s="42">
        <f ca="1">I13/'non-road'!DG21</f>
        <v>1.7722609986364796E-2</v>
      </c>
      <c r="J15" s="42">
        <f ca="1">J13/'non-road'!DH21</f>
        <v>1.0433546552949537E-2</v>
      </c>
      <c r="K15" s="42">
        <f ca="1">K13/'non-road'!DI21</f>
        <v>1.9946770454740575E-3</v>
      </c>
      <c r="L15" s="42">
        <f ca="1">L13/'non-road'!DJ21</f>
        <v>1.7550587944696147E-2</v>
      </c>
      <c r="M15" s="42">
        <f ca="1">M13/'non-road'!DK21</f>
        <v>1.4572694491211426E-2</v>
      </c>
      <c r="N15" s="42">
        <f ca="1">N13/'non-road'!DL21</f>
        <v>1.8453833445602828E-2</v>
      </c>
      <c r="O15" s="42">
        <f ca="1">O13/'non-road'!DM21</f>
        <v>1.5765467608583154E-2</v>
      </c>
      <c r="P15" s="42">
        <f ca="1">P13/'non-road'!DN21</f>
        <v>8.8924906272309888E-3</v>
      </c>
      <c r="Q15" s="42">
        <f ca="1">Q13/'non-road'!DO21</f>
        <v>1.016099782659856E-2</v>
      </c>
      <c r="R15" s="42">
        <f ca="1">R13/'non-road'!DP21</f>
        <v>2.2187523400903585E-2</v>
      </c>
      <c r="S15" s="42">
        <f ca="1">S13/'non-road'!DQ21</f>
        <v>9.3163156276986569E-4</v>
      </c>
      <c r="T15" s="42">
        <f ca="1">T13/'non-road'!DR21</f>
        <v>2.3508716464613305E-2</v>
      </c>
      <c r="U15" s="42">
        <f ca="1">U13/'non-road'!DS21</f>
        <v>1.4111827634086353E-2</v>
      </c>
      <c r="V15" s="42">
        <f ca="1">V13/'non-road'!DT21</f>
        <v>7.6664158713816181E-3</v>
      </c>
      <c r="W15" s="42">
        <f ca="1">W13/'non-road'!DU21</f>
        <v>5.4303215478398257E-3</v>
      </c>
      <c r="X15" s="42">
        <f ca="1">X13/'non-road'!DV21</f>
        <v>7.8803746547562482E-3</v>
      </c>
      <c r="Y15" s="42">
        <f ca="1">Y13/'non-road'!DW21</f>
        <v>1.9416436980470495E-2</v>
      </c>
      <c r="Z15" s="42">
        <f ca="1">Z13/'non-road'!DX21</f>
        <v>1.7763982123824306E-2</v>
      </c>
      <c r="AA15" s="42">
        <f ca="1">AA13/'non-road'!DY21</f>
        <v>1.411808088922838E-2</v>
      </c>
      <c r="AB15" s="42">
        <f ca="1">AB13/'non-road'!DZ21</f>
        <v>3.064183162689004E-3</v>
      </c>
      <c r="AC15" s="42">
        <f ca="1">AC13/'non-road'!EA21</f>
        <v>6.5139443590834581E-3</v>
      </c>
      <c r="AD15" s="42">
        <f ca="1">AD13/'non-road'!EB21</f>
        <v>2.7722252214132513E-2</v>
      </c>
      <c r="AE15" s="42">
        <f ca="1">AE13/'non-road'!EC21</f>
        <v>3.3470917017741292E-3</v>
      </c>
      <c r="AF15" s="42">
        <f ca="1">AF13/'non-road'!ED21</f>
        <v>5.0940616303087091E-2</v>
      </c>
      <c r="AG15" s="42">
        <f ca="1">AG13/'non-road'!EE21</f>
        <v>1.6285040016322049E-2</v>
      </c>
      <c r="AH15" s="42">
        <f ca="1">AH13/'non-road'!EF21</f>
        <v>1.2594340942803034E-2</v>
      </c>
      <c r="AI15" s="42">
        <f ca="1">AI13/'non-road'!EG21</f>
        <v>9.5050198011257404E-3</v>
      </c>
      <c r="AJ15" s="42">
        <f ca="1">AJ13/'non-road'!EH21</f>
        <v>1.4243756760921837E-2</v>
      </c>
      <c r="AK15" s="42">
        <f ca="1">AK13/'non-road'!EI21</f>
        <v>4.3783721169960545E-3</v>
      </c>
      <c r="AL15" s="42">
        <f ca="1">AL13/'non-road'!EJ21</f>
        <v>2.9482646615430128E-2</v>
      </c>
      <c r="AM15" s="42">
        <f ca="1">AM13/'non-road'!EK21</f>
        <v>0</v>
      </c>
      <c r="AN15" s="42">
        <f ca="1">AN13/'non-road'!EL21</f>
        <v>0</v>
      </c>
      <c r="AO15" s="42">
        <f ca="1">AO13/'non-road'!EM21</f>
        <v>0</v>
      </c>
      <c r="AP15" s="42">
        <f ca="1">AP13/'non-road'!EN21</f>
        <v>0</v>
      </c>
      <c r="AQ15" s="42">
        <f ca="1">AQ13/'non-road'!EO21</f>
        <v>0</v>
      </c>
      <c r="AR15" s="42">
        <f ca="1">AR13/'non-road'!EP21</f>
        <v>0</v>
      </c>
      <c r="AS15" s="42">
        <f ca="1">AS13/'non-road'!EQ21</f>
        <v>0</v>
      </c>
      <c r="AT15" s="42">
        <f ca="1">AT13/'non-road'!ER21</f>
        <v>0</v>
      </c>
      <c r="AU15" s="42">
        <f ca="1">AU13/'non-road'!ES21</f>
        <v>0</v>
      </c>
      <c r="AV15" s="42">
        <f ca="1">AV13/'non-road'!ET21</f>
        <v>0</v>
      </c>
      <c r="AW15" s="42" t="e">
        <f ca="1">AW13/'non-road'!EU21</f>
        <v>#VALUE!</v>
      </c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D11/D14</f>
        <v>1.0504846543122106</v>
      </c>
      <c r="E17" s="1">
        <f t="shared" ref="E17:U17" ca="1" si="14">E11/E14</f>
        <v>1.0506530672624355</v>
      </c>
      <c r="F17" s="1">
        <f t="shared" ca="1" si="14"/>
        <v>1.0511802822443657</v>
      </c>
      <c r="G17" s="1">
        <f t="shared" ca="1" si="14"/>
        <v>1.0493501905285134</v>
      </c>
      <c r="H17" s="1">
        <f t="shared" ca="1" si="14"/>
        <v>1.0521002281626342</v>
      </c>
      <c r="I17" s="1">
        <f t="shared" ca="1" si="14"/>
        <v>1.0509139906311071</v>
      </c>
      <c r="J17" s="1">
        <f t="shared" ca="1" si="14"/>
        <v>1.0508384005361915</v>
      </c>
      <c r="K17" s="1">
        <f t="shared" ca="1" si="14"/>
        <v>1.0508285341469195</v>
      </c>
      <c r="L17" s="1">
        <f t="shared" ca="1" si="14"/>
        <v>1.0528980349086947</v>
      </c>
      <c r="M17" s="1">
        <f t="shared" ca="1" si="14"/>
        <v>1.0504318115084259</v>
      </c>
      <c r="N17" s="1">
        <f t="shared" ca="1" si="14"/>
        <v>1.0516257241774778</v>
      </c>
      <c r="O17" s="1">
        <f t="shared" ca="1" si="14"/>
        <v>1.0508101256058531</v>
      </c>
      <c r="P17" s="1">
        <f t="shared" ca="1" si="14"/>
        <v>1.0569940994515319</v>
      </c>
      <c r="Q17" s="1">
        <f t="shared" ca="1" si="14"/>
        <v>1.0489472720009287</v>
      </c>
      <c r="R17" s="1">
        <f t="shared" ca="1" si="14"/>
        <v>0.97890707014541456</v>
      </c>
      <c r="S17" s="1">
        <f t="shared" ca="1" si="14"/>
        <v>1.0508388365697297</v>
      </c>
      <c r="T17" s="1">
        <f t="shared" ca="1" si="14"/>
        <v>1.0516448670332237</v>
      </c>
      <c r="U17" s="1">
        <f t="shared" ca="1" si="14"/>
        <v>1.0506979496462461</v>
      </c>
      <c r="V17" s="1">
        <f t="shared" ref="V17:AJ17" ca="1" si="15">V11/V14</f>
        <v>1.0509117947303297</v>
      </c>
      <c r="W17" s="1">
        <f t="shared" ca="1" si="15"/>
        <v>1.0511484865826879</v>
      </c>
      <c r="X17" s="1">
        <f t="shared" ca="1" si="15"/>
        <v>1.0512167716633249</v>
      </c>
      <c r="Y17" s="1">
        <f t="shared" ca="1" si="15"/>
        <v>1.0510444337379474</v>
      </c>
      <c r="Z17" s="1">
        <f t="shared" ca="1" si="15"/>
        <v>1.0474371245147742</v>
      </c>
      <c r="AA17" s="1">
        <f t="shared" ca="1" si="15"/>
        <v>1.0507761172098322</v>
      </c>
      <c r="AB17" s="1">
        <f t="shared" ca="1" si="15"/>
        <v>1.0511569911694576</v>
      </c>
      <c r="AC17" s="1">
        <f t="shared" ca="1" si="15"/>
        <v>1.0506599247355417</v>
      </c>
      <c r="AD17" s="1">
        <f t="shared" ca="1" si="15"/>
        <v>1.0515769431129591</v>
      </c>
      <c r="AE17" s="1">
        <f t="shared" ca="1" si="15"/>
        <v>1.0506797385837565</v>
      </c>
      <c r="AF17" s="1">
        <f t="shared" ca="1" si="15"/>
        <v>0.36786574436421265</v>
      </c>
      <c r="AG17" s="1">
        <f t="shared" ref="AG17" ca="1" si="16">AG11/AG14</f>
        <v>1.049677966522425</v>
      </c>
      <c r="AH17" s="1">
        <f t="shared" ca="1" si="15"/>
        <v>1.0424108550181814</v>
      </c>
      <c r="AI17" s="1">
        <f t="shared" ca="1" si="15"/>
        <v>1.0505630571664177</v>
      </c>
      <c r="AJ17" s="1">
        <f t="shared" ca="1" si="15"/>
        <v>1.0507494103392516</v>
      </c>
      <c r="AK17" s="1">
        <f t="shared" ref="AK17:AW17" ca="1" si="17">AK11/AK14</f>
        <v>1.0482769105501768</v>
      </c>
      <c r="AL17" s="1">
        <f t="shared" ca="1" si="17"/>
        <v>0.36846052181929134</v>
      </c>
      <c r="AM17" s="1" t="e">
        <f t="shared" ca="1" si="17"/>
        <v>#DIV/0!</v>
      </c>
      <c r="AN17" s="1" t="e">
        <f t="shared" ca="1" si="17"/>
        <v>#DIV/0!</v>
      </c>
      <c r="AO17" s="1" t="e">
        <f t="shared" ca="1" si="17"/>
        <v>#DIV/0!</v>
      </c>
      <c r="AP17" s="1" t="e">
        <f t="shared" ca="1" si="17"/>
        <v>#DIV/0!</v>
      </c>
      <c r="AQ17" s="1" t="e">
        <f t="shared" ca="1" si="17"/>
        <v>#DIV/0!</v>
      </c>
      <c r="AR17" s="1" t="e">
        <f t="shared" ca="1" si="17"/>
        <v>#DIV/0!</v>
      </c>
      <c r="AS17" s="1" t="e">
        <f t="shared" ca="1" si="17"/>
        <v>#DIV/0!</v>
      </c>
      <c r="AT17" s="1" t="e">
        <f t="shared" ca="1" si="17"/>
        <v>#DIV/0!</v>
      </c>
      <c r="AU17" s="1" t="e">
        <f t="shared" ca="1" si="17"/>
        <v>#DIV/0!</v>
      </c>
      <c r="AV17" s="1" t="e">
        <f t="shared" ca="1" si="17"/>
        <v>#DIV/0!</v>
      </c>
      <c r="AW17" s="1" t="e">
        <f t="shared" ca="1" si="17"/>
        <v>#DIV/0!</v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8">C4</f>
        <v>TRABDS</v>
      </c>
      <c r="D19" s="40">
        <f ca="1">ROUND(D4*D28/D36,3)</f>
        <v>0</v>
      </c>
      <c r="E19" s="40">
        <f t="shared" ref="E19:U19" ca="1" si="19">ROUND(E4*E28/E36,3)</f>
        <v>0</v>
      </c>
      <c r="F19" s="40">
        <f t="shared" ca="1" si="19"/>
        <v>0</v>
      </c>
      <c r="G19" s="40">
        <f t="shared" ca="1" si="19"/>
        <v>1.6E-2</v>
      </c>
      <c r="H19" s="40">
        <f t="shared" ca="1" si="19"/>
        <v>5.0000000000000001E-3</v>
      </c>
      <c r="I19" s="40">
        <f t="shared" ca="1" si="19"/>
        <v>3.3000000000000002E-2</v>
      </c>
      <c r="J19" s="40">
        <f t="shared" ca="1" si="19"/>
        <v>0.67500000000000004</v>
      </c>
      <c r="K19" s="40">
        <f t="shared" ca="1" si="19"/>
        <v>2.5999999999999999E-2</v>
      </c>
      <c r="L19" s="40">
        <f t="shared" ca="1" si="19"/>
        <v>5.0000000000000001E-3</v>
      </c>
      <c r="M19" s="40">
        <f t="shared" ca="1" si="19"/>
        <v>1.4E-2</v>
      </c>
      <c r="N19" s="40">
        <f t="shared" ca="1" si="19"/>
        <v>9.4E-2</v>
      </c>
      <c r="O19" s="40">
        <f t="shared" ca="1" si="19"/>
        <v>7.0999999999999994E-2</v>
      </c>
      <c r="P19" s="40">
        <f t="shared" ca="1" si="19"/>
        <v>6.0000000000000001E-3</v>
      </c>
      <c r="Q19" s="40">
        <f t="shared" ca="1" si="19"/>
        <v>2.1999999999999999E-2</v>
      </c>
      <c r="R19" s="40">
        <f t="shared" ca="1" si="19"/>
        <v>1E-3</v>
      </c>
      <c r="S19" s="40">
        <f t="shared" ca="1" si="19"/>
        <v>1E-3</v>
      </c>
      <c r="T19" s="40">
        <f t="shared" ca="1" si="19"/>
        <v>6.0000000000000001E-3</v>
      </c>
      <c r="U19" s="40">
        <f t="shared" ca="1" si="19"/>
        <v>4.7E-2</v>
      </c>
      <c r="V19" s="40">
        <f t="shared" ref="V19:AW19" ca="1" si="20">ROUND(V4*V28/V36,3)</f>
        <v>1E-3</v>
      </c>
      <c r="W19" s="40">
        <f t="shared" ca="1" si="20"/>
        <v>7.6999999999999999E-2</v>
      </c>
      <c r="X19" s="40">
        <f t="shared" ca="1" si="20"/>
        <v>0</v>
      </c>
      <c r="Y19" s="40">
        <f t="shared" ca="1" si="20"/>
        <v>0.253</v>
      </c>
      <c r="Z19" s="40">
        <f t="shared" ca="1" si="20"/>
        <v>1.6E-2</v>
      </c>
      <c r="AA19" s="40">
        <f t="shared" ca="1" si="20"/>
        <v>2.9000000000000001E-2</v>
      </c>
      <c r="AB19" s="40">
        <f t="shared" ca="1" si="20"/>
        <v>0.27400000000000002</v>
      </c>
      <c r="AC19" s="40">
        <f t="shared" ca="1" si="20"/>
        <v>0</v>
      </c>
      <c r="AD19" s="40">
        <f t="shared" ca="1" si="20"/>
        <v>0</v>
      </c>
      <c r="AE19" s="40">
        <f t="shared" ca="1" si="20"/>
        <v>0</v>
      </c>
      <c r="AF19" s="40">
        <f t="shared" ca="1" si="20"/>
        <v>0.188</v>
      </c>
      <c r="AG19" s="40">
        <f t="shared" ca="1" si="20"/>
        <v>6.4000000000000001E-2</v>
      </c>
      <c r="AH19" s="40">
        <f t="shared" ca="1" si="20"/>
        <v>6.0000000000000001E-3</v>
      </c>
      <c r="AI19" s="40">
        <f t="shared" ca="1" si="20"/>
        <v>4.0000000000000001E-3</v>
      </c>
      <c r="AJ19" s="40">
        <f t="shared" ca="1" si="20"/>
        <v>4.7E-2</v>
      </c>
      <c r="AK19" s="40">
        <f t="shared" ca="1" si="20"/>
        <v>0</v>
      </c>
      <c r="AL19" s="40">
        <f t="shared" ca="1" si="20"/>
        <v>1.2E-2</v>
      </c>
      <c r="AM19" s="40">
        <f t="shared" ca="1" si="20"/>
        <v>0</v>
      </c>
      <c r="AN19" s="40">
        <f t="shared" ca="1" si="20"/>
        <v>0</v>
      </c>
      <c r="AO19" s="40">
        <f t="shared" ca="1" si="20"/>
        <v>0</v>
      </c>
      <c r="AP19" s="40">
        <f t="shared" ca="1" si="20"/>
        <v>0</v>
      </c>
      <c r="AQ19" s="40">
        <f t="shared" ca="1" si="20"/>
        <v>0</v>
      </c>
      <c r="AR19" s="40">
        <f t="shared" ca="1" si="20"/>
        <v>0</v>
      </c>
      <c r="AS19" s="40">
        <f t="shared" ca="1" si="20"/>
        <v>0</v>
      </c>
      <c r="AT19" s="40">
        <f t="shared" ca="1" si="20"/>
        <v>0</v>
      </c>
      <c r="AU19" s="40">
        <f t="shared" ca="1" si="20"/>
        <v>0</v>
      </c>
      <c r="AV19" s="40">
        <f t="shared" ca="1" si="20"/>
        <v>0</v>
      </c>
      <c r="AW19" s="40">
        <f t="shared" ca="1" si="20"/>
        <v>0</v>
      </c>
      <c r="AY19" t="s">
        <v>358</v>
      </c>
      <c r="AZ19" t="str">
        <f ca="1">IF(AX4="zero","\I:",$BA$45&amp;"_"&amp;VLOOKUP(C19,'TRA balance'!$BB$5:$BC$15,2,FALSE))</f>
        <v>Trd_hdt_bdl</v>
      </c>
      <c r="BA19" t="str">
        <f t="shared" ca="1" si="0"/>
        <v>Trd_hdt</v>
      </c>
      <c r="BB19">
        <f t="shared" ca="1" si="1"/>
        <v>25</v>
      </c>
      <c r="BD19" t="str">
        <f t="shared" ca="1" si="3"/>
        <v>DMD</v>
      </c>
      <c r="BE19" t="str">
        <f t="shared" ca="1" si="4"/>
        <v>Trd_hdt_bdl</v>
      </c>
      <c r="BG19" t="s">
        <v>156</v>
      </c>
      <c r="BH19" t="s">
        <v>352</v>
      </c>
      <c r="BI19" t="s">
        <v>359</v>
      </c>
    </row>
    <row r="20" spans="1:61">
      <c r="C20" t="str">
        <f t="shared" si="18"/>
        <v>TRABGS</v>
      </c>
      <c r="D20" s="40">
        <f t="shared" ref="D20:AW25" ca="1" si="21">ROUND(D5*D29/D37,3)</f>
        <v>0</v>
      </c>
      <c r="E20" s="40">
        <f t="shared" ref="E20:U20" ca="1" si="22">ROUND(E5*E29/E37,3)</f>
        <v>0</v>
      </c>
      <c r="F20" s="40">
        <f t="shared" ca="1" si="22"/>
        <v>0</v>
      </c>
      <c r="G20" s="40">
        <f t="shared" ca="1" si="22"/>
        <v>0</v>
      </c>
      <c r="H20" s="40">
        <f t="shared" ca="1" si="22"/>
        <v>0</v>
      </c>
      <c r="I20" s="40">
        <f t="shared" ca="1" si="22"/>
        <v>0</v>
      </c>
      <c r="J20" s="40">
        <f t="shared" ca="1" si="22"/>
        <v>0</v>
      </c>
      <c r="K20" s="40">
        <f t="shared" ca="1" si="22"/>
        <v>0</v>
      </c>
      <c r="L20" s="40">
        <f t="shared" ca="1" si="22"/>
        <v>0</v>
      </c>
      <c r="M20" s="40">
        <f t="shared" ca="1" si="22"/>
        <v>0</v>
      </c>
      <c r="N20" s="40">
        <f t="shared" ca="1" si="22"/>
        <v>0</v>
      </c>
      <c r="O20" s="40">
        <f t="shared" ca="1" si="22"/>
        <v>0</v>
      </c>
      <c r="P20" s="40">
        <f t="shared" ca="1" si="22"/>
        <v>0</v>
      </c>
      <c r="Q20" s="40">
        <f t="shared" ca="1" si="22"/>
        <v>0</v>
      </c>
      <c r="R20" s="40">
        <f t="shared" ca="1" si="22"/>
        <v>0</v>
      </c>
      <c r="S20" s="40">
        <f t="shared" ca="1" si="22"/>
        <v>0</v>
      </c>
      <c r="T20" s="40">
        <f t="shared" ca="1" si="22"/>
        <v>0</v>
      </c>
      <c r="U20" s="40">
        <f t="shared" ca="1" si="22"/>
        <v>0</v>
      </c>
      <c r="V20" s="40">
        <f t="shared" ca="1" si="21"/>
        <v>0</v>
      </c>
      <c r="W20" s="40">
        <f t="shared" ca="1" si="21"/>
        <v>0</v>
      </c>
      <c r="X20" s="40">
        <f t="shared" ca="1" si="21"/>
        <v>0</v>
      </c>
      <c r="Y20" s="40">
        <f t="shared" ca="1" si="21"/>
        <v>0</v>
      </c>
      <c r="Z20" s="40">
        <f t="shared" ca="1" si="21"/>
        <v>0</v>
      </c>
      <c r="AA20" s="40">
        <f t="shared" ca="1" si="21"/>
        <v>0</v>
      </c>
      <c r="AB20" s="40">
        <f t="shared" ca="1" si="21"/>
        <v>0</v>
      </c>
      <c r="AC20" s="40">
        <f t="shared" ca="1" si="21"/>
        <v>0</v>
      </c>
      <c r="AD20" s="40">
        <f t="shared" ca="1" si="21"/>
        <v>0</v>
      </c>
      <c r="AE20" s="40">
        <f t="shared" ca="1" si="21"/>
        <v>0</v>
      </c>
      <c r="AF20" s="40">
        <f t="shared" ca="1" si="21"/>
        <v>0</v>
      </c>
      <c r="AG20" s="40">
        <f t="shared" ca="1" si="21"/>
        <v>0</v>
      </c>
      <c r="AH20" s="40">
        <f t="shared" ca="1" si="21"/>
        <v>0</v>
      </c>
      <c r="AI20" s="40">
        <f t="shared" ca="1" si="21"/>
        <v>0</v>
      </c>
      <c r="AJ20" s="40">
        <f t="shared" ca="1" si="21"/>
        <v>0</v>
      </c>
      <c r="AK20" s="40">
        <f t="shared" ca="1" si="21"/>
        <v>0</v>
      </c>
      <c r="AL20" s="40">
        <f t="shared" ca="1" si="21"/>
        <v>0</v>
      </c>
      <c r="AM20" s="40">
        <f t="shared" ca="1" si="21"/>
        <v>0</v>
      </c>
      <c r="AN20" s="40">
        <f t="shared" ca="1" si="21"/>
        <v>0</v>
      </c>
      <c r="AO20" s="40">
        <f t="shared" ca="1" si="21"/>
        <v>0</v>
      </c>
      <c r="AP20" s="40">
        <f t="shared" ca="1" si="21"/>
        <v>0</v>
      </c>
      <c r="AQ20" s="40">
        <f t="shared" ca="1" si="21"/>
        <v>0</v>
      </c>
      <c r="AR20" s="40">
        <f t="shared" ca="1" si="21"/>
        <v>0</v>
      </c>
      <c r="AS20" s="40">
        <f t="shared" ca="1" si="21"/>
        <v>0</v>
      </c>
      <c r="AT20" s="40">
        <f t="shared" ca="1" si="21"/>
        <v>0</v>
      </c>
      <c r="AU20" s="40">
        <f t="shared" ca="1" si="21"/>
        <v>0</v>
      </c>
      <c r="AV20" s="40">
        <f t="shared" ca="1" si="21"/>
        <v>0</v>
      </c>
      <c r="AW20" s="40">
        <f t="shared" ca="1" si="21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Trd_hdt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8"/>
        <v>TRADST</v>
      </c>
      <c r="D21" s="40">
        <f t="shared" ca="1" si="21"/>
        <v>0.628</v>
      </c>
      <c r="E21" s="40">
        <f t="shared" ref="E21:U21" ca="1" si="23">ROUND(E6*E30/E38,3)</f>
        <v>0.55800000000000005</v>
      </c>
      <c r="F21" s="40">
        <f t="shared" ca="1" si="23"/>
        <v>0.51100000000000001</v>
      </c>
      <c r="G21" s="40">
        <f t="shared" ca="1" si="23"/>
        <v>0.23100000000000001</v>
      </c>
      <c r="H21" s="40">
        <f t="shared" ca="1" si="23"/>
        <v>0.128</v>
      </c>
      <c r="I21" s="40">
        <f t="shared" ca="1" si="23"/>
        <v>0.48899999999999999</v>
      </c>
      <c r="J21" s="40">
        <f t="shared" ca="1" si="23"/>
        <v>1.4890000000000001</v>
      </c>
      <c r="K21" s="40">
        <f t="shared" ca="1" si="23"/>
        <v>2.6779999999999999</v>
      </c>
      <c r="L21" s="40">
        <f t="shared" ca="1" si="23"/>
        <v>0.10100000000000001</v>
      </c>
      <c r="M21" s="40">
        <f t="shared" ca="1" si="23"/>
        <v>0.216</v>
      </c>
      <c r="N21" s="40">
        <f t="shared" ca="1" si="23"/>
        <v>1.147</v>
      </c>
      <c r="O21" s="40">
        <f t="shared" ca="1" si="23"/>
        <v>1.2390000000000001</v>
      </c>
      <c r="P21" s="40">
        <f t="shared" ca="1" si="23"/>
        <v>0.1</v>
      </c>
      <c r="Q21" s="40">
        <f t="shared" ca="1" si="23"/>
        <v>0.33700000000000002</v>
      </c>
      <c r="R21" s="40">
        <f t="shared" ca="1" si="23"/>
        <v>7.0000000000000001E-3</v>
      </c>
      <c r="S21" s="40">
        <f t="shared" ca="1" si="23"/>
        <v>1.272</v>
      </c>
      <c r="T21" s="40">
        <f t="shared" ca="1" si="23"/>
        <v>0.11</v>
      </c>
      <c r="U21" s="40">
        <f t="shared" ca="1" si="23"/>
        <v>0.80300000000000005</v>
      </c>
      <c r="V21" s="40">
        <f t="shared" ca="1" si="21"/>
        <v>0.96699999999999997</v>
      </c>
      <c r="W21" s="40">
        <f t="shared" ca="1" si="21"/>
        <v>1.5289999999999999</v>
      </c>
      <c r="X21" s="40">
        <f t="shared" ca="1" si="21"/>
        <v>1.409</v>
      </c>
      <c r="Y21" s="40">
        <f t="shared" ca="1" si="21"/>
        <v>7.7949999999999999</v>
      </c>
      <c r="Z21" s="40">
        <f t="shared" ca="1" si="21"/>
        <v>7.9000000000000001E-2</v>
      </c>
      <c r="AA21" s="40">
        <f t="shared" ca="1" si="21"/>
        <v>0.496</v>
      </c>
      <c r="AB21" s="40">
        <f t="shared" ca="1" si="21"/>
        <v>3.8610000000000002</v>
      </c>
      <c r="AC21" s="40">
        <f t="shared" ca="1" si="21"/>
        <v>0.74299999999999999</v>
      </c>
      <c r="AD21" s="40">
        <f t="shared" ca="1" si="21"/>
        <v>0.80100000000000005</v>
      </c>
      <c r="AE21" s="40">
        <f t="shared" ca="1" si="21"/>
        <v>0.19600000000000001</v>
      </c>
      <c r="AF21" s="40">
        <f t="shared" ca="1" si="21"/>
        <v>2.7370000000000001</v>
      </c>
      <c r="AG21" s="40">
        <f t="shared" ca="1" si="21"/>
        <v>0.28799999999999998</v>
      </c>
      <c r="AH21" s="40">
        <f t="shared" ca="1" si="21"/>
        <v>0.10199999999999999</v>
      </c>
      <c r="AI21" s="40">
        <f t="shared" ca="1" si="21"/>
        <v>0.77400000000000002</v>
      </c>
      <c r="AJ21" s="40">
        <f t="shared" ca="1" si="21"/>
        <v>0.90500000000000003</v>
      </c>
      <c r="AK21" s="40">
        <f t="shared" ca="1" si="21"/>
        <v>0.193</v>
      </c>
      <c r="AL21" s="40">
        <f t="shared" ca="1" si="21"/>
        <v>0.44800000000000001</v>
      </c>
      <c r="AM21" s="40">
        <f t="shared" ca="1" si="21"/>
        <v>0</v>
      </c>
      <c r="AN21" s="40">
        <f t="shared" ca="1" si="21"/>
        <v>0</v>
      </c>
      <c r="AO21" s="40">
        <f t="shared" ca="1" si="21"/>
        <v>0</v>
      </c>
      <c r="AP21" s="40">
        <f t="shared" ca="1" si="21"/>
        <v>0</v>
      </c>
      <c r="AQ21" s="40">
        <f t="shared" ca="1" si="21"/>
        <v>0</v>
      </c>
      <c r="AR21" s="40">
        <f t="shared" ca="1" si="21"/>
        <v>0</v>
      </c>
      <c r="AS21" s="40">
        <f t="shared" ca="1" si="21"/>
        <v>0</v>
      </c>
      <c r="AT21" s="40">
        <f t="shared" ca="1" si="21"/>
        <v>0</v>
      </c>
      <c r="AU21" s="40">
        <f t="shared" ca="1" si="21"/>
        <v>0</v>
      </c>
      <c r="AV21" s="40">
        <f t="shared" ca="1" si="21"/>
        <v>0</v>
      </c>
      <c r="AW21" s="40">
        <f t="shared" ca="1" si="21"/>
        <v>0</v>
      </c>
      <c r="AY21" t="s">
        <v>358</v>
      </c>
      <c r="AZ21" t="str">
        <f ca="1">IF(AX6="zero","\I:",$BA$45&amp;"_"&amp;VLOOKUP(C21,'TRA balance'!$BB$5:$BC$15,2,FALSE))</f>
        <v>Trd_hdt_dsl</v>
      </c>
      <c r="BA21" t="str">
        <f t="shared" ca="1" si="0"/>
        <v>Trd_hdt</v>
      </c>
      <c r="BB21">
        <f t="shared" ca="1" si="1"/>
        <v>25</v>
      </c>
      <c r="BD21" t="str">
        <f t="shared" ca="1" si="3"/>
        <v>DMD</v>
      </c>
      <c r="BE21" t="str">
        <f t="shared" ca="1" si="4"/>
        <v>Trd_hdt_dsl</v>
      </c>
      <c r="BG21" t="s">
        <v>156</v>
      </c>
      <c r="BH21" t="s">
        <v>352</v>
      </c>
      <c r="BI21" t="s">
        <v>359</v>
      </c>
    </row>
    <row r="22" spans="1:61">
      <c r="C22" t="str">
        <f t="shared" si="18"/>
        <v>TRAELC</v>
      </c>
      <c r="D22" s="40">
        <f t="shared" ca="1" si="21"/>
        <v>0</v>
      </c>
      <c r="E22" s="40">
        <f t="shared" ref="E22:U22" ca="1" si="24">ROUND(E7*E31/E39,3)</f>
        <v>0</v>
      </c>
      <c r="F22" s="40">
        <f t="shared" ca="1" si="24"/>
        <v>0</v>
      </c>
      <c r="G22" s="40">
        <f t="shared" ca="1" si="24"/>
        <v>0</v>
      </c>
      <c r="H22" s="40">
        <f t="shared" ca="1" si="24"/>
        <v>0</v>
      </c>
      <c r="I22" s="40">
        <f t="shared" ca="1" si="24"/>
        <v>0</v>
      </c>
      <c r="J22" s="40">
        <f t="shared" ca="1" si="24"/>
        <v>0</v>
      </c>
      <c r="K22" s="40">
        <f t="shared" ca="1" si="24"/>
        <v>0</v>
      </c>
      <c r="L22" s="40">
        <f t="shared" ca="1" si="24"/>
        <v>0</v>
      </c>
      <c r="M22" s="40">
        <f t="shared" ca="1" si="24"/>
        <v>0</v>
      </c>
      <c r="N22" s="40">
        <f t="shared" ca="1" si="24"/>
        <v>0</v>
      </c>
      <c r="O22" s="40">
        <f t="shared" ca="1" si="24"/>
        <v>0</v>
      </c>
      <c r="P22" s="40">
        <f t="shared" ca="1" si="24"/>
        <v>0</v>
      </c>
      <c r="Q22" s="40">
        <f t="shared" ca="1" si="24"/>
        <v>0</v>
      </c>
      <c r="R22" s="40">
        <f t="shared" ca="1" si="24"/>
        <v>0</v>
      </c>
      <c r="S22" s="40">
        <f t="shared" ca="1" si="24"/>
        <v>0</v>
      </c>
      <c r="T22" s="40">
        <f t="shared" ca="1" si="24"/>
        <v>0</v>
      </c>
      <c r="U22" s="40">
        <f t="shared" ca="1" si="24"/>
        <v>0</v>
      </c>
      <c r="V22" s="40">
        <f t="shared" ca="1" si="21"/>
        <v>0</v>
      </c>
      <c r="W22" s="40">
        <f t="shared" ca="1" si="21"/>
        <v>0</v>
      </c>
      <c r="X22" s="40">
        <f t="shared" ca="1" si="21"/>
        <v>0</v>
      </c>
      <c r="Y22" s="40">
        <f t="shared" ca="1" si="21"/>
        <v>0</v>
      </c>
      <c r="Z22" s="40">
        <f t="shared" ca="1" si="21"/>
        <v>0</v>
      </c>
      <c r="AA22" s="40">
        <f t="shared" ca="1" si="21"/>
        <v>0</v>
      </c>
      <c r="AB22" s="40">
        <f t="shared" ca="1" si="21"/>
        <v>0</v>
      </c>
      <c r="AC22" s="40">
        <f t="shared" ca="1" si="21"/>
        <v>0</v>
      </c>
      <c r="AD22" s="40">
        <f t="shared" ca="1" si="21"/>
        <v>0</v>
      </c>
      <c r="AE22" s="40">
        <f t="shared" ca="1" si="21"/>
        <v>0</v>
      </c>
      <c r="AF22" s="40">
        <f t="shared" ca="1" si="21"/>
        <v>0</v>
      </c>
      <c r="AG22" s="40">
        <f t="shared" ca="1" si="21"/>
        <v>0</v>
      </c>
      <c r="AH22" s="40">
        <f t="shared" ca="1" si="21"/>
        <v>0</v>
      </c>
      <c r="AI22" s="40">
        <f t="shared" ca="1" si="21"/>
        <v>0</v>
      </c>
      <c r="AJ22" s="40">
        <f t="shared" ca="1" si="21"/>
        <v>0</v>
      </c>
      <c r="AK22" s="40">
        <f t="shared" ca="1" si="21"/>
        <v>0</v>
      </c>
      <c r="AL22" s="40">
        <f t="shared" ca="1" si="21"/>
        <v>0</v>
      </c>
      <c r="AM22" s="40">
        <f t="shared" ca="1" si="21"/>
        <v>0</v>
      </c>
      <c r="AN22" s="40">
        <f t="shared" ca="1" si="21"/>
        <v>0</v>
      </c>
      <c r="AO22" s="40">
        <f t="shared" ca="1" si="21"/>
        <v>0</v>
      </c>
      <c r="AP22" s="40">
        <f t="shared" ca="1" si="21"/>
        <v>0</v>
      </c>
      <c r="AQ22" s="40">
        <f t="shared" ca="1" si="21"/>
        <v>0</v>
      </c>
      <c r="AR22" s="40">
        <f t="shared" ca="1" si="21"/>
        <v>0</v>
      </c>
      <c r="AS22" s="40">
        <f t="shared" ca="1" si="21"/>
        <v>0</v>
      </c>
      <c r="AT22" s="40">
        <f t="shared" ca="1" si="21"/>
        <v>0</v>
      </c>
      <c r="AU22" s="40">
        <f t="shared" ca="1" si="21"/>
        <v>0</v>
      </c>
      <c r="AV22" s="40">
        <f t="shared" ca="1" si="21"/>
        <v>0</v>
      </c>
      <c r="AW22" s="40">
        <f t="shared" ca="1" si="21"/>
        <v>0</v>
      </c>
      <c r="AY22" t="s">
        <v>358</v>
      </c>
      <c r="AZ22" t="str">
        <f ca="1">IF(AX7="zero","\I:",$BA$45&amp;"_"&amp;VLOOKUP(C22,'TRA balance'!$BB$5:$BC$15,2,FALSE))</f>
        <v>\I:</v>
      </c>
      <c r="BA22" t="str">
        <f t="shared" ca="1" si="0"/>
        <v>Trd_hdt</v>
      </c>
      <c r="BB22">
        <f t="shared" ca="1" si="1"/>
        <v>25</v>
      </c>
      <c r="BD22" t="str">
        <f t="shared" ca="1" si="3"/>
        <v>DMD</v>
      </c>
      <c r="BE22" t="str">
        <f t="shared" ca="1" si="4"/>
        <v>\I:</v>
      </c>
      <c r="BG22" t="s">
        <v>156</v>
      </c>
      <c r="BH22" t="s">
        <v>352</v>
      </c>
      <c r="BI22" t="s">
        <v>359</v>
      </c>
    </row>
    <row r="23" spans="1:61">
      <c r="C23" t="str">
        <f t="shared" si="18"/>
        <v>TRAGSL</v>
      </c>
      <c r="D23" s="40">
        <f t="shared" ca="1" si="21"/>
        <v>0</v>
      </c>
      <c r="E23" s="40">
        <f t="shared" ref="E23:U23" ca="1" si="25">ROUND(E8*E32/E40,3)</f>
        <v>0</v>
      </c>
      <c r="F23" s="40">
        <f t="shared" ca="1" si="25"/>
        <v>0</v>
      </c>
      <c r="G23" s="40">
        <f t="shared" ca="1" si="25"/>
        <v>0</v>
      </c>
      <c r="H23" s="40">
        <f t="shared" ca="1" si="25"/>
        <v>5.0000000000000001E-3</v>
      </c>
      <c r="I23" s="40">
        <f t="shared" ca="1" si="25"/>
        <v>0</v>
      </c>
      <c r="J23" s="40">
        <f t="shared" ca="1" si="25"/>
        <v>3.7999999999999999E-2</v>
      </c>
      <c r="K23" s="40">
        <f t="shared" ca="1" si="25"/>
        <v>8.4000000000000005E-2</v>
      </c>
      <c r="L23" s="40">
        <f t="shared" ca="1" si="25"/>
        <v>2E-3</v>
      </c>
      <c r="M23" s="40">
        <f t="shared" ca="1" si="25"/>
        <v>5.0000000000000001E-3</v>
      </c>
      <c r="N23" s="40">
        <f t="shared" ca="1" si="25"/>
        <v>0</v>
      </c>
      <c r="O23" s="40">
        <f t="shared" ca="1" si="25"/>
        <v>0</v>
      </c>
      <c r="P23" s="40">
        <f t="shared" ca="1" si="25"/>
        <v>0</v>
      </c>
      <c r="Q23" s="40">
        <f t="shared" ca="1" si="25"/>
        <v>8.0000000000000002E-3</v>
      </c>
      <c r="R23" s="40">
        <f t="shared" ca="1" si="25"/>
        <v>0</v>
      </c>
      <c r="S23" s="40">
        <f t="shared" ca="1" si="25"/>
        <v>0</v>
      </c>
      <c r="T23" s="40">
        <f t="shared" ca="1" si="25"/>
        <v>0</v>
      </c>
      <c r="U23" s="40">
        <f t="shared" ca="1" si="25"/>
        <v>0</v>
      </c>
      <c r="V23" s="40">
        <f t="shared" ca="1" si="21"/>
        <v>0</v>
      </c>
      <c r="W23" s="40">
        <f t="shared" ca="1" si="21"/>
        <v>7.0999999999999994E-2</v>
      </c>
      <c r="X23" s="40">
        <f t="shared" ca="1" si="21"/>
        <v>0.34499999999999997</v>
      </c>
      <c r="Y23" s="40">
        <f t="shared" ca="1" si="21"/>
        <v>1.534</v>
      </c>
      <c r="Z23" s="40">
        <f t="shared" ca="1" si="21"/>
        <v>0</v>
      </c>
      <c r="AA23" s="40">
        <f t="shared" ca="1" si="21"/>
        <v>1.0999999999999999E-2</v>
      </c>
      <c r="AB23" s="40">
        <f t="shared" ca="1" si="21"/>
        <v>0</v>
      </c>
      <c r="AC23" s="40">
        <f t="shared" ca="1" si="21"/>
        <v>0.25900000000000001</v>
      </c>
      <c r="AD23" s="40">
        <f t="shared" ca="1" si="21"/>
        <v>0.14899999999999999</v>
      </c>
      <c r="AE23" s="40">
        <f t="shared" ca="1" si="21"/>
        <v>0</v>
      </c>
      <c r="AF23" s="40">
        <f t="shared" ca="1" si="21"/>
        <v>0</v>
      </c>
      <c r="AG23" s="40">
        <f t="shared" ca="1" si="21"/>
        <v>0</v>
      </c>
      <c r="AH23" s="40">
        <f t="shared" ca="1" si="21"/>
        <v>0</v>
      </c>
      <c r="AI23" s="40">
        <f t="shared" ca="1" si="21"/>
        <v>1.4999999999999999E-2</v>
      </c>
      <c r="AJ23" s="40">
        <f t="shared" ca="1" si="21"/>
        <v>0</v>
      </c>
      <c r="AK23" s="40">
        <f t="shared" ca="1" si="21"/>
        <v>1.2999999999999999E-2</v>
      </c>
      <c r="AL23" s="40">
        <f t="shared" ca="1" si="21"/>
        <v>6.0000000000000001E-3</v>
      </c>
      <c r="AM23" s="40">
        <f t="shared" ca="1" si="21"/>
        <v>0</v>
      </c>
      <c r="AN23" s="40">
        <f t="shared" ca="1" si="21"/>
        <v>0</v>
      </c>
      <c r="AO23" s="40">
        <f t="shared" ca="1" si="21"/>
        <v>0</v>
      </c>
      <c r="AP23" s="40">
        <f t="shared" ca="1" si="21"/>
        <v>0</v>
      </c>
      <c r="AQ23" s="40">
        <f t="shared" ca="1" si="21"/>
        <v>0</v>
      </c>
      <c r="AR23" s="40">
        <f t="shared" ca="1" si="21"/>
        <v>0</v>
      </c>
      <c r="AS23" s="40">
        <f t="shared" ca="1" si="21"/>
        <v>0</v>
      </c>
      <c r="AT23" s="40">
        <f t="shared" ca="1" si="21"/>
        <v>0</v>
      </c>
      <c r="AU23" s="40">
        <f t="shared" ca="1" si="21"/>
        <v>0</v>
      </c>
      <c r="AV23" s="40">
        <f t="shared" ca="1" si="21"/>
        <v>0</v>
      </c>
      <c r="AW23" s="40">
        <f t="shared" ca="1" si="21"/>
        <v>0</v>
      </c>
      <c r="AY23" t="s">
        <v>358</v>
      </c>
      <c r="AZ23" t="str">
        <f ca="1">IF(AX8="zero","\I:",$BA$45&amp;"_"&amp;VLOOKUP(C23,'TRA balance'!$BB$5:$BC$15,2,FALSE))</f>
        <v>Trd_hdt_gsl</v>
      </c>
      <c r="BA23" t="str">
        <f t="shared" ca="1" si="0"/>
        <v>Trd_hdt</v>
      </c>
      <c r="BB23">
        <f t="shared" ca="1" si="1"/>
        <v>25</v>
      </c>
      <c r="BD23" t="str">
        <f t="shared" ca="1" si="3"/>
        <v>DMD</v>
      </c>
      <c r="BE23" t="str">
        <f t="shared" ca="1" si="4"/>
        <v>Trd_hdt_gsl</v>
      </c>
      <c r="BG23" t="s">
        <v>156</v>
      </c>
      <c r="BH23" t="s">
        <v>352</v>
      </c>
      <c r="BI23" t="s">
        <v>359</v>
      </c>
    </row>
    <row r="24" spans="1:61">
      <c r="C24" t="str">
        <f t="shared" si="18"/>
        <v>TRALPG</v>
      </c>
      <c r="D24" s="40">
        <f t="shared" ca="1" si="21"/>
        <v>0</v>
      </c>
      <c r="E24" s="40">
        <f t="shared" ref="E24:U24" ca="1" si="26">ROUND(E9*E33/E41,3)</f>
        <v>0</v>
      </c>
      <c r="F24" s="40">
        <f t="shared" ca="1" si="26"/>
        <v>0</v>
      </c>
      <c r="G24" s="40">
        <f t="shared" ca="1" si="26"/>
        <v>0</v>
      </c>
      <c r="H24" s="40">
        <f t="shared" ca="1" si="26"/>
        <v>0</v>
      </c>
      <c r="I24" s="40">
        <f t="shared" ca="1" si="26"/>
        <v>0</v>
      </c>
      <c r="J24" s="40">
        <f t="shared" ca="1" si="26"/>
        <v>0</v>
      </c>
      <c r="K24" s="40">
        <f t="shared" ca="1" si="26"/>
        <v>0</v>
      </c>
      <c r="L24" s="40">
        <f t="shared" ca="1" si="26"/>
        <v>0</v>
      </c>
      <c r="M24" s="40">
        <f t="shared" ca="1" si="26"/>
        <v>0</v>
      </c>
      <c r="N24" s="40">
        <f t="shared" ca="1" si="26"/>
        <v>0</v>
      </c>
      <c r="O24" s="40">
        <f t="shared" ca="1" si="26"/>
        <v>0</v>
      </c>
      <c r="P24" s="40">
        <f t="shared" ca="1" si="26"/>
        <v>0</v>
      </c>
      <c r="Q24" s="40">
        <f t="shared" ca="1" si="26"/>
        <v>0</v>
      </c>
      <c r="R24" s="40">
        <f t="shared" ca="1" si="26"/>
        <v>0</v>
      </c>
      <c r="S24" s="40">
        <f t="shared" ca="1" si="26"/>
        <v>0</v>
      </c>
      <c r="T24" s="40">
        <f t="shared" ca="1" si="26"/>
        <v>0</v>
      </c>
      <c r="U24" s="40">
        <f t="shared" ca="1" si="26"/>
        <v>0</v>
      </c>
      <c r="V24" s="40">
        <f t="shared" ca="1" si="21"/>
        <v>0</v>
      </c>
      <c r="W24" s="40">
        <f t="shared" ca="1" si="21"/>
        <v>0</v>
      </c>
      <c r="X24" s="40">
        <f t="shared" ca="1" si="21"/>
        <v>0</v>
      </c>
      <c r="Y24" s="40">
        <f t="shared" ca="1" si="21"/>
        <v>0</v>
      </c>
      <c r="Z24" s="40">
        <f t="shared" ca="1" si="21"/>
        <v>0</v>
      </c>
      <c r="AA24" s="40">
        <f t="shared" ca="1" si="21"/>
        <v>0</v>
      </c>
      <c r="AB24" s="40">
        <f t="shared" ca="1" si="21"/>
        <v>0</v>
      </c>
      <c r="AC24" s="40">
        <f t="shared" ca="1" si="21"/>
        <v>0</v>
      </c>
      <c r="AD24" s="40">
        <f t="shared" ca="1" si="21"/>
        <v>0</v>
      </c>
      <c r="AE24" s="40">
        <f t="shared" ca="1" si="21"/>
        <v>0</v>
      </c>
      <c r="AF24" s="40">
        <f t="shared" ca="1" si="21"/>
        <v>0</v>
      </c>
      <c r="AG24" s="40">
        <f t="shared" ca="1" si="21"/>
        <v>0</v>
      </c>
      <c r="AH24" s="40">
        <f t="shared" ca="1" si="21"/>
        <v>0</v>
      </c>
      <c r="AI24" s="40">
        <f t="shared" ca="1" si="21"/>
        <v>0</v>
      </c>
      <c r="AJ24" s="40">
        <f t="shared" ca="1" si="21"/>
        <v>0</v>
      </c>
      <c r="AK24" s="40">
        <f t="shared" ca="1" si="21"/>
        <v>0</v>
      </c>
      <c r="AL24" s="40">
        <f t="shared" ca="1" si="21"/>
        <v>0</v>
      </c>
      <c r="AM24" s="40">
        <f t="shared" ca="1" si="21"/>
        <v>0</v>
      </c>
      <c r="AN24" s="40">
        <f t="shared" ca="1" si="21"/>
        <v>0</v>
      </c>
      <c r="AO24" s="40">
        <f t="shared" ca="1" si="21"/>
        <v>0</v>
      </c>
      <c r="AP24" s="40">
        <f t="shared" ca="1" si="21"/>
        <v>0</v>
      </c>
      <c r="AQ24" s="40">
        <f t="shared" ca="1" si="21"/>
        <v>0</v>
      </c>
      <c r="AR24" s="40">
        <f t="shared" ca="1" si="21"/>
        <v>0</v>
      </c>
      <c r="AS24" s="40">
        <f t="shared" ca="1" si="21"/>
        <v>0</v>
      </c>
      <c r="AT24" s="40">
        <f t="shared" ca="1" si="21"/>
        <v>0</v>
      </c>
      <c r="AU24" s="40">
        <f t="shared" ca="1" si="21"/>
        <v>0</v>
      </c>
      <c r="AV24" s="40">
        <f t="shared" ca="1" si="21"/>
        <v>0</v>
      </c>
      <c r="AW24" s="40">
        <f t="shared" ca="1" si="21"/>
        <v>0</v>
      </c>
      <c r="AY24" t="s">
        <v>358</v>
      </c>
      <c r="AZ24" t="str">
        <f ca="1">IF(AX9="zero","\I:",$BA$45&amp;"_"&amp;VLOOKUP(C24,'TRA balance'!$BB$5:$BC$15,2,FALSE))</f>
        <v>\I:</v>
      </c>
      <c r="BA24" t="str">
        <f t="shared" ca="1" si="0"/>
        <v>Trd_hdt</v>
      </c>
      <c r="BB24">
        <f t="shared" ca="1" si="1"/>
        <v>25</v>
      </c>
      <c r="BD24" t="str">
        <f t="shared" ca="1" si="3"/>
        <v>DMD</v>
      </c>
      <c r="BE24" t="str">
        <f t="shared" ca="1" si="4"/>
        <v>\I:</v>
      </c>
      <c r="BG24" t="s">
        <v>156</v>
      </c>
      <c r="BH24" t="s">
        <v>352</v>
      </c>
      <c r="BI24" t="s">
        <v>359</v>
      </c>
    </row>
    <row r="25" spans="1:61">
      <c r="C25" t="str">
        <f t="shared" si="18"/>
        <v>TRANGA</v>
      </c>
      <c r="D25" s="40">
        <f t="shared" ca="1" si="21"/>
        <v>0</v>
      </c>
      <c r="E25" s="40">
        <f t="shared" ref="E25:U25" ca="1" si="27">ROUND(E10*E34/E42,3)</f>
        <v>0</v>
      </c>
      <c r="F25" s="40">
        <f t="shared" ca="1" si="27"/>
        <v>0</v>
      </c>
      <c r="G25" s="40">
        <f t="shared" ca="1" si="27"/>
        <v>0</v>
      </c>
      <c r="H25" s="40">
        <f t="shared" ca="1" si="27"/>
        <v>0</v>
      </c>
      <c r="I25" s="40">
        <f t="shared" ca="1" si="27"/>
        <v>0</v>
      </c>
      <c r="J25" s="40">
        <f t="shared" ca="1" si="27"/>
        <v>0</v>
      </c>
      <c r="K25" s="40">
        <f t="shared" ca="1" si="27"/>
        <v>0</v>
      </c>
      <c r="L25" s="40">
        <f t="shared" ca="1" si="27"/>
        <v>0</v>
      </c>
      <c r="M25" s="40">
        <f t="shared" ca="1" si="27"/>
        <v>0</v>
      </c>
      <c r="N25" s="40">
        <f t="shared" ca="1" si="27"/>
        <v>0</v>
      </c>
      <c r="O25" s="40">
        <f t="shared" ca="1" si="27"/>
        <v>0</v>
      </c>
      <c r="P25" s="40">
        <f t="shared" ca="1" si="27"/>
        <v>0</v>
      </c>
      <c r="Q25" s="40">
        <f t="shared" ca="1" si="27"/>
        <v>0</v>
      </c>
      <c r="R25" s="40">
        <f t="shared" ca="1" si="27"/>
        <v>0</v>
      </c>
      <c r="S25" s="40">
        <f t="shared" ca="1" si="27"/>
        <v>0</v>
      </c>
      <c r="T25" s="40">
        <f t="shared" ca="1" si="27"/>
        <v>0</v>
      </c>
      <c r="U25" s="40">
        <f t="shared" ca="1" si="27"/>
        <v>0</v>
      </c>
      <c r="V25" s="40">
        <f t="shared" ca="1" si="21"/>
        <v>0</v>
      </c>
      <c r="W25" s="40">
        <f t="shared" ca="1" si="21"/>
        <v>0</v>
      </c>
      <c r="X25" s="40">
        <f t="shared" ca="1" si="21"/>
        <v>0</v>
      </c>
      <c r="Y25" s="40">
        <f t="shared" ca="1" si="21"/>
        <v>0</v>
      </c>
      <c r="Z25" s="40">
        <f t="shared" ca="1" si="21"/>
        <v>0</v>
      </c>
      <c r="AA25" s="40">
        <f t="shared" ca="1" si="21"/>
        <v>0</v>
      </c>
      <c r="AB25" s="40">
        <f t="shared" ca="1" si="21"/>
        <v>0</v>
      </c>
      <c r="AC25" s="40">
        <f t="shared" ca="1" si="21"/>
        <v>0</v>
      </c>
      <c r="AD25" s="40">
        <f t="shared" ca="1" si="21"/>
        <v>0</v>
      </c>
      <c r="AE25" s="40">
        <f t="shared" ca="1" si="21"/>
        <v>0</v>
      </c>
      <c r="AF25" s="40">
        <f t="shared" ca="1" si="21"/>
        <v>0</v>
      </c>
      <c r="AG25" s="40">
        <f t="shared" ca="1" si="21"/>
        <v>0</v>
      </c>
      <c r="AH25" s="40">
        <f t="shared" ca="1" si="21"/>
        <v>0</v>
      </c>
      <c r="AI25" s="40">
        <f t="shared" ca="1" si="21"/>
        <v>0</v>
      </c>
      <c r="AJ25" s="40">
        <f t="shared" ca="1" si="21"/>
        <v>0</v>
      </c>
      <c r="AK25" s="40">
        <f t="shared" ca="1" si="21"/>
        <v>0</v>
      </c>
      <c r="AL25" s="40">
        <f t="shared" ca="1" si="21"/>
        <v>0</v>
      </c>
      <c r="AM25" s="40">
        <f t="shared" ca="1" si="21"/>
        <v>0</v>
      </c>
      <c r="AN25" s="40">
        <f t="shared" ca="1" si="21"/>
        <v>0</v>
      </c>
      <c r="AO25" s="40">
        <f t="shared" ca="1" si="21"/>
        <v>0</v>
      </c>
      <c r="AP25" s="40">
        <f t="shared" ca="1" si="21"/>
        <v>0</v>
      </c>
      <c r="AQ25" s="40">
        <f t="shared" ca="1" si="21"/>
        <v>0</v>
      </c>
      <c r="AR25" s="40">
        <f t="shared" ca="1" si="21"/>
        <v>0</v>
      </c>
      <c r="AS25" s="40">
        <f t="shared" ca="1" si="21"/>
        <v>0</v>
      </c>
      <c r="AT25" s="40">
        <f t="shared" ca="1" si="21"/>
        <v>0</v>
      </c>
      <c r="AU25" s="40">
        <f t="shared" ca="1" si="21"/>
        <v>0</v>
      </c>
      <c r="AV25" s="40">
        <f t="shared" ca="1" si="21"/>
        <v>0</v>
      </c>
      <c r="AW25" s="40">
        <f t="shared" ca="1" si="21"/>
        <v>0</v>
      </c>
      <c r="AY25" t="s">
        <v>358</v>
      </c>
      <c r="AZ25" t="str">
        <f ca="1">IF(AX10="zero","\I:",$BA$45&amp;"_"&amp;VLOOKUP(C25,'TRA balance'!$BB$5:$BC$15,2,FALSE))</f>
        <v>\I:</v>
      </c>
      <c r="BA25" t="str">
        <f t="shared" ca="1" si="0"/>
        <v>Trd_hdt</v>
      </c>
      <c r="BB25">
        <f t="shared" ca="1" si="1"/>
        <v>25</v>
      </c>
      <c r="BD25" t="str">
        <f t="shared" ca="1" si="3"/>
        <v>DMD</v>
      </c>
      <c r="BE25" t="str">
        <f t="shared" ca="1" si="4"/>
        <v>\I: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8">$AX28*D$27</f>
        <v>0.13936590376769734</v>
      </c>
      <c r="E28">
        <f t="shared" si="28"/>
        <v>0.13936590376769734</v>
      </c>
      <c r="F28">
        <f t="shared" si="28"/>
        <v>0.13936590376769734</v>
      </c>
      <c r="G28">
        <f t="shared" si="28"/>
        <v>0.13936590376769734</v>
      </c>
      <c r="H28">
        <f t="shared" si="28"/>
        <v>0.13936590376769734</v>
      </c>
      <c r="I28">
        <f t="shared" si="28"/>
        <v>0.13936590376769734</v>
      </c>
      <c r="J28">
        <f t="shared" si="28"/>
        <v>0.13936590376769734</v>
      </c>
      <c r="K28">
        <f t="shared" si="28"/>
        <v>0.13936590376769734</v>
      </c>
      <c r="L28">
        <f t="shared" si="28"/>
        <v>0.13936590376769734</v>
      </c>
      <c r="M28">
        <f t="shared" si="28"/>
        <v>0.13936590376769734</v>
      </c>
      <c r="N28">
        <f t="shared" si="28"/>
        <v>0.13936590376769734</v>
      </c>
      <c r="O28">
        <f t="shared" si="28"/>
        <v>0.13936590376769734</v>
      </c>
      <c r="P28">
        <f t="shared" si="28"/>
        <v>0.13936590376769734</v>
      </c>
      <c r="Q28">
        <f t="shared" si="28"/>
        <v>0.13936590376769734</v>
      </c>
      <c r="R28">
        <f t="shared" si="28"/>
        <v>0.13936590376769734</v>
      </c>
      <c r="S28">
        <f t="shared" si="28"/>
        <v>0.13936590376769734</v>
      </c>
      <c r="T28">
        <f t="shared" si="28"/>
        <v>0.13936590376769734</v>
      </c>
      <c r="U28">
        <f t="shared" si="28"/>
        <v>0.13936590376769734</v>
      </c>
      <c r="V28">
        <f t="shared" si="28"/>
        <v>0.13936590376769734</v>
      </c>
      <c r="W28">
        <f t="shared" si="28"/>
        <v>0.13936590376769734</v>
      </c>
      <c r="X28">
        <f t="shared" si="28"/>
        <v>0.13936590376769734</v>
      </c>
      <c r="Y28">
        <f t="shared" si="28"/>
        <v>0.13936590376769734</v>
      </c>
      <c r="Z28">
        <f t="shared" si="28"/>
        <v>0.13936590376769734</v>
      </c>
      <c r="AA28">
        <f t="shared" si="28"/>
        <v>0.13936590376769734</v>
      </c>
      <c r="AB28">
        <f t="shared" si="28"/>
        <v>0.13936590376769734</v>
      </c>
      <c r="AC28">
        <f t="shared" si="28"/>
        <v>0.13936590376769734</v>
      </c>
      <c r="AD28">
        <f t="shared" ref="AD28:AS34" si="29">$AX28*AD$27</f>
        <v>0.13936590376769734</v>
      </c>
      <c r="AE28">
        <f t="shared" si="29"/>
        <v>0.13936590376769734</v>
      </c>
      <c r="AF28">
        <f t="shared" si="29"/>
        <v>0.13936590376769734</v>
      </c>
      <c r="AG28">
        <f t="shared" si="29"/>
        <v>0.13936590376769734</v>
      </c>
      <c r="AH28">
        <f t="shared" si="29"/>
        <v>0.13936590376769734</v>
      </c>
      <c r="AI28">
        <f t="shared" si="29"/>
        <v>0.13936590376769734</v>
      </c>
      <c r="AJ28">
        <f t="shared" si="29"/>
        <v>0.13936590376769734</v>
      </c>
      <c r="AK28">
        <f t="shared" si="29"/>
        <v>0.13936590376769734</v>
      </c>
      <c r="AL28">
        <f t="shared" si="29"/>
        <v>0.13936590376769734</v>
      </c>
      <c r="AM28">
        <f t="shared" si="29"/>
        <v>0.13936590376769734</v>
      </c>
      <c r="AN28">
        <f t="shared" si="29"/>
        <v>0.13936590376769734</v>
      </c>
      <c r="AO28">
        <f t="shared" si="29"/>
        <v>0.13936590376769734</v>
      </c>
      <c r="AP28">
        <f t="shared" si="29"/>
        <v>0.13936590376769734</v>
      </c>
      <c r="AQ28">
        <f t="shared" si="29"/>
        <v>0.13936590376769734</v>
      </c>
      <c r="AR28">
        <f t="shared" si="29"/>
        <v>0.13936590376769734</v>
      </c>
      <c r="AS28">
        <f t="shared" si="29"/>
        <v>0.13936590376769734</v>
      </c>
      <c r="AT28">
        <f t="shared" ref="AK28:AW34" si="30">$AX28*AT$27</f>
        <v>0.13936590376769734</v>
      </c>
      <c r="AU28">
        <f t="shared" si="30"/>
        <v>0.13936590376769734</v>
      </c>
      <c r="AV28">
        <f t="shared" si="30"/>
        <v>0.13936590376769734</v>
      </c>
      <c r="AW28">
        <f t="shared" si="30"/>
        <v>0.13936590376769734</v>
      </c>
      <c r="AX28" s="56">
        <f>AX30</f>
        <v>0.13936590376769734</v>
      </c>
      <c r="AY28" t="s">
        <v>348</v>
      </c>
      <c r="AZ28" s="1" t="str">
        <f ca="1">AZ19</f>
        <v>Trd_hdt_bdl</v>
      </c>
      <c r="BA28" t="str">
        <f t="shared" ca="1" si="0"/>
        <v>Trd_hdt</v>
      </c>
      <c r="BB28">
        <f t="shared" ca="1" si="1"/>
        <v>25</v>
      </c>
      <c r="BD28" t="str">
        <f t="shared" ca="1" si="3"/>
        <v>DMD</v>
      </c>
      <c r="BE28" t="str">
        <f t="shared" ca="1" si="4"/>
        <v>Trd_hdt_bdl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31">C20</f>
        <v>TRABGS</v>
      </c>
      <c r="D29">
        <f t="shared" si="28"/>
        <v>0.13936590376769734</v>
      </c>
      <c r="E29">
        <f t="shared" si="28"/>
        <v>0.13936590376769734</v>
      </c>
      <c r="F29">
        <f t="shared" si="28"/>
        <v>0.13936590376769734</v>
      </c>
      <c r="G29">
        <f t="shared" si="28"/>
        <v>0.13936590376769734</v>
      </c>
      <c r="H29">
        <f t="shared" si="28"/>
        <v>0.13936590376769734</v>
      </c>
      <c r="I29">
        <f t="shared" si="28"/>
        <v>0.13936590376769734</v>
      </c>
      <c r="J29">
        <f t="shared" si="28"/>
        <v>0.13936590376769734</v>
      </c>
      <c r="K29">
        <f t="shared" si="28"/>
        <v>0.13936590376769734</v>
      </c>
      <c r="L29">
        <f t="shared" si="28"/>
        <v>0.13936590376769734</v>
      </c>
      <c r="M29">
        <f t="shared" si="28"/>
        <v>0.13936590376769734</v>
      </c>
      <c r="N29">
        <f t="shared" si="28"/>
        <v>0.13936590376769734</v>
      </c>
      <c r="O29">
        <f t="shared" si="28"/>
        <v>0.13936590376769734</v>
      </c>
      <c r="P29">
        <f t="shared" si="28"/>
        <v>0.13936590376769734</v>
      </c>
      <c r="Q29">
        <f t="shared" si="28"/>
        <v>0.13936590376769734</v>
      </c>
      <c r="R29">
        <f t="shared" si="28"/>
        <v>0.13936590376769734</v>
      </c>
      <c r="S29">
        <f t="shared" si="28"/>
        <v>0.13936590376769734</v>
      </c>
      <c r="T29">
        <f t="shared" si="28"/>
        <v>0.13936590376769734</v>
      </c>
      <c r="U29">
        <f t="shared" si="28"/>
        <v>0.13936590376769734</v>
      </c>
      <c r="V29">
        <f t="shared" si="28"/>
        <v>0.13936590376769734</v>
      </c>
      <c r="W29">
        <f t="shared" si="28"/>
        <v>0.13936590376769734</v>
      </c>
      <c r="X29">
        <f t="shared" si="28"/>
        <v>0.13936590376769734</v>
      </c>
      <c r="Y29">
        <f t="shared" si="28"/>
        <v>0.13936590376769734</v>
      </c>
      <c r="Z29">
        <f t="shared" si="28"/>
        <v>0.13936590376769734</v>
      </c>
      <c r="AA29">
        <f t="shared" si="28"/>
        <v>0.13936590376769734</v>
      </c>
      <c r="AB29">
        <f t="shared" si="28"/>
        <v>0.13936590376769734</v>
      </c>
      <c r="AC29">
        <f t="shared" si="28"/>
        <v>0.13936590376769734</v>
      </c>
      <c r="AD29">
        <f t="shared" si="29"/>
        <v>0.13936590376769734</v>
      </c>
      <c r="AE29">
        <f t="shared" si="29"/>
        <v>0.13936590376769734</v>
      </c>
      <c r="AF29">
        <f t="shared" si="29"/>
        <v>0.13936590376769734</v>
      </c>
      <c r="AG29">
        <f t="shared" si="29"/>
        <v>0.13936590376769734</v>
      </c>
      <c r="AH29">
        <f t="shared" si="29"/>
        <v>0.13936590376769734</v>
      </c>
      <c r="AI29">
        <f t="shared" si="29"/>
        <v>0.13936590376769734</v>
      </c>
      <c r="AJ29">
        <f t="shared" si="29"/>
        <v>0.13936590376769734</v>
      </c>
      <c r="AK29">
        <f t="shared" si="30"/>
        <v>0.13936590376769734</v>
      </c>
      <c r="AL29">
        <f t="shared" si="29"/>
        <v>0.13936590376769734</v>
      </c>
      <c r="AM29">
        <f t="shared" si="30"/>
        <v>0.13936590376769734</v>
      </c>
      <c r="AN29">
        <f t="shared" si="30"/>
        <v>0.13936590376769734</v>
      </c>
      <c r="AO29">
        <f t="shared" si="30"/>
        <v>0.13936590376769734</v>
      </c>
      <c r="AP29">
        <f t="shared" si="30"/>
        <v>0.13936590376769734</v>
      </c>
      <c r="AQ29">
        <f t="shared" si="30"/>
        <v>0.13936590376769734</v>
      </c>
      <c r="AR29">
        <f t="shared" si="30"/>
        <v>0.13936590376769734</v>
      </c>
      <c r="AS29">
        <f t="shared" si="30"/>
        <v>0.13936590376769734</v>
      </c>
      <c r="AT29">
        <f t="shared" si="30"/>
        <v>0.13936590376769734</v>
      </c>
      <c r="AU29">
        <f t="shared" si="30"/>
        <v>0.13936590376769734</v>
      </c>
      <c r="AV29">
        <f t="shared" si="30"/>
        <v>0.13936590376769734</v>
      </c>
      <c r="AW29">
        <f t="shared" si="30"/>
        <v>0.13936590376769734</v>
      </c>
      <c r="AX29" s="56">
        <f>AX32</f>
        <v>0.13936590376769734</v>
      </c>
      <c r="AY29" t="s">
        <v>348</v>
      </c>
      <c r="AZ29" s="1" t="str">
        <f t="shared" ref="AZ29:AZ34" ca="1" si="32">AZ20</f>
        <v>\I:</v>
      </c>
      <c r="BA29" t="str">
        <f t="shared" ca="1" si="0"/>
        <v>Trd_hdt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31"/>
        <v>TRADST</v>
      </c>
      <c r="D30">
        <f t="shared" si="28"/>
        <v>0.13936590376769734</v>
      </c>
      <c r="E30">
        <f t="shared" si="28"/>
        <v>0.13936590376769734</v>
      </c>
      <c r="F30">
        <f t="shared" si="28"/>
        <v>0.13936590376769734</v>
      </c>
      <c r="G30">
        <f t="shared" si="28"/>
        <v>0.13936590376769734</v>
      </c>
      <c r="H30">
        <f t="shared" si="28"/>
        <v>0.13936590376769734</v>
      </c>
      <c r="I30">
        <f t="shared" si="28"/>
        <v>0.13936590376769734</v>
      </c>
      <c r="J30">
        <f t="shared" si="28"/>
        <v>0.13936590376769734</v>
      </c>
      <c r="K30">
        <f t="shared" si="28"/>
        <v>0.13936590376769734</v>
      </c>
      <c r="L30">
        <f t="shared" si="28"/>
        <v>0.13936590376769734</v>
      </c>
      <c r="M30">
        <f t="shared" si="28"/>
        <v>0.13936590376769734</v>
      </c>
      <c r="N30">
        <f t="shared" si="28"/>
        <v>0.13936590376769734</v>
      </c>
      <c r="O30">
        <f t="shared" si="28"/>
        <v>0.13936590376769734</v>
      </c>
      <c r="P30">
        <f t="shared" si="28"/>
        <v>0.13936590376769734</v>
      </c>
      <c r="Q30">
        <f t="shared" si="28"/>
        <v>0.13936590376769734</v>
      </c>
      <c r="R30">
        <f t="shared" si="28"/>
        <v>0.13936590376769734</v>
      </c>
      <c r="S30">
        <f t="shared" si="28"/>
        <v>0.13936590376769734</v>
      </c>
      <c r="T30">
        <f t="shared" si="28"/>
        <v>0.13936590376769734</v>
      </c>
      <c r="U30">
        <f t="shared" si="28"/>
        <v>0.13936590376769734</v>
      </c>
      <c r="V30">
        <f t="shared" si="28"/>
        <v>0.13936590376769734</v>
      </c>
      <c r="W30">
        <f t="shared" si="28"/>
        <v>0.13936590376769734</v>
      </c>
      <c r="X30">
        <f t="shared" si="28"/>
        <v>0.13936590376769734</v>
      </c>
      <c r="Y30">
        <f t="shared" si="28"/>
        <v>0.13936590376769734</v>
      </c>
      <c r="Z30">
        <f t="shared" si="28"/>
        <v>0.13936590376769734</v>
      </c>
      <c r="AA30">
        <f t="shared" si="28"/>
        <v>0.13936590376769734</v>
      </c>
      <c r="AB30">
        <f t="shared" si="28"/>
        <v>0.13936590376769734</v>
      </c>
      <c r="AC30">
        <f t="shared" si="28"/>
        <v>0.13936590376769734</v>
      </c>
      <c r="AD30">
        <f t="shared" si="29"/>
        <v>0.13936590376769734</v>
      </c>
      <c r="AE30">
        <f t="shared" si="29"/>
        <v>0.13936590376769734</v>
      </c>
      <c r="AF30">
        <f t="shared" si="29"/>
        <v>0.13936590376769734</v>
      </c>
      <c r="AG30">
        <f t="shared" si="29"/>
        <v>0.13936590376769734</v>
      </c>
      <c r="AH30">
        <f t="shared" si="29"/>
        <v>0.13936590376769734</v>
      </c>
      <c r="AI30">
        <f t="shared" si="29"/>
        <v>0.13936590376769734</v>
      </c>
      <c r="AJ30">
        <f t="shared" si="29"/>
        <v>0.13936590376769734</v>
      </c>
      <c r="AK30">
        <f t="shared" si="30"/>
        <v>0.13936590376769734</v>
      </c>
      <c r="AL30">
        <f t="shared" si="29"/>
        <v>0.13936590376769734</v>
      </c>
      <c r="AM30">
        <f t="shared" si="30"/>
        <v>0.13936590376769734</v>
      </c>
      <c r="AN30">
        <f t="shared" si="30"/>
        <v>0.13936590376769734</v>
      </c>
      <c r="AO30">
        <f t="shared" si="30"/>
        <v>0.13936590376769734</v>
      </c>
      <c r="AP30">
        <f t="shared" si="30"/>
        <v>0.13936590376769734</v>
      </c>
      <c r="AQ30">
        <f t="shared" si="30"/>
        <v>0.13936590376769734</v>
      </c>
      <c r="AR30">
        <f t="shared" si="30"/>
        <v>0.13936590376769734</v>
      </c>
      <c r="AS30">
        <f t="shared" si="30"/>
        <v>0.13936590376769734</v>
      </c>
      <c r="AT30">
        <f t="shared" si="30"/>
        <v>0.13936590376769734</v>
      </c>
      <c r="AU30">
        <f t="shared" si="30"/>
        <v>0.13936590376769734</v>
      </c>
      <c r="AV30">
        <f t="shared" si="30"/>
        <v>0.13936590376769734</v>
      </c>
      <c r="AW30">
        <f t="shared" si="30"/>
        <v>0.13936590376769734</v>
      </c>
      <c r="AX30" s="56">
        <v>0.13936590376769734</v>
      </c>
      <c r="AY30" t="s">
        <v>348</v>
      </c>
      <c r="AZ30" s="95" t="str">
        <f t="shared" ca="1" si="32"/>
        <v>Trd_hdt_dsl</v>
      </c>
      <c r="BA30" t="str">
        <f t="shared" ca="1" si="0"/>
        <v>Trd_hdt</v>
      </c>
      <c r="BB30">
        <f t="shared" ca="1" si="1"/>
        <v>25</v>
      </c>
      <c r="BD30" t="str">
        <f t="shared" ca="1" si="3"/>
        <v>DMD</v>
      </c>
      <c r="BE30" t="str">
        <f t="shared" ca="1" si="4"/>
        <v>Trd_hdt_dsl</v>
      </c>
      <c r="BG30" t="s">
        <v>156</v>
      </c>
      <c r="BH30" t="s">
        <v>352</v>
      </c>
      <c r="BI30" t="s">
        <v>359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56"/>
      <c r="AY31" t="s">
        <v>348</v>
      </c>
      <c r="AZ31" s="1" t="str">
        <f t="shared" ca="1" si="32"/>
        <v>\I:</v>
      </c>
      <c r="BA31" t="str">
        <f t="shared" ca="1" si="0"/>
        <v>Trd_hdt</v>
      </c>
      <c r="BB31">
        <f t="shared" ca="1" si="1"/>
        <v>25</v>
      </c>
      <c r="BD31" t="str">
        <f t="shared" ca="1" si="3"/>
        <v>DMD</v>
      </c>
      <c r="BE31" t="str">
        <f t="shared" ca="1" si="4"/>
        <v>\I:</v>
      </c>
      <c r="BG31" t="s">
        <v>156</v>
      </c>
      <c r="BH31" t="s">
        <v>352</v>
      </c>
      <c r="BI31" t="s">
        <v>359</v>
      </c>
    </row>
    <row r="32" spans="1:61">
      <c r="C32" t="str">
        <f t="shared" si="31"/>
        <v>TRAGSL</v>
      </c>
      <c r="D32">
        <f t="shared" si="28"/>
        <v>0.13936590376769734</v>
      </c>
      <c r="E32">
        <f t="shared" si="28"/>
        <v>0.13936590376769734</v>
      </c>
      <c r="F32">
        <f t="shared" si="28"/>
        <v>0.13936590376769734</v>
      </c>
      <c r="G32">
        <f t="shared" si="28"/>
        <v>0.13936590376769734</v>
      </c>
      <c r="H32">
        <f t="shared" si="28"/>
        <v>0.13936590376769734</v>
      </c>
      <c r="I32">
        <f t="shared" si="28"/>
        <v>0.13936590376769734</v>
      </c>
      <c r="J32">
        <f t="shared" si="28"/>
        <v>0.13936590376769734</v>
      </c>
      <c r="K32">
        <f t="shared" si="28"/>
        <v>0.13936590376769734</v>
      </c>
      <c r="L32">
        <f t="shared" si="28"/>
        <v>0.13936590376769734</v>
      </c>
      <c r="M32">
        <f t="shared" si="28"/>
        <v>0.13936590376769734</v>
      </c>
      <c r="N32">
        <f t="shared" si="28"/>
        <v>0.13936590376769734</v>
      </c>
      <c r="O32">
        <f t="shared" si="28"/>
        <v>0.13936590376769734</v>
      </c>
      <c r="P32">
        <f t="shared" si="28"/>
        <v>0.13936590376769734</v>
      </c>
      <c r="Q32">
        <f t="shared" si="28"/>
        <v>0.13936590376769734</v>
      </c>
      <c r="R32">
        <f t="shared" si="28"/>
        <v>0.13936590376769734</v>
      </c>
      <c r="S32">
        <f t="shared" si="28"/>
        <v>0.13936590376769734</v>
      </c>
      <c r="T32">
        <f t="shared" si="28"/>
        <v>0.13936590376769734</v>
      </c>
      <c r="U32">
        <f t="shared" si="28"/>
        <v>0.13936590376769734</v>
      </c>
      <c r="V32">
        <f t="shared" si="28"/>
        <v>0.13936590376769734</v>
      </c>
      <c r="W32">
        <f t="shared" si="28"/>
        <v>0.13936590376769734</v>
      </c>
      <c r="X32">
        <f t="shared" si="28"/>
        <v>0.13936590376769734</v>
      </c>
      <c r="Y32">
        <f t="shared" si="28"/>
        <v>0.13936590376769734</v>
      </c>
      <c r="Z32">
        <f t="shared" si="28"/>
        <v>0.13936590376769734</v>
      </c>
      <c r="AA32">
        <f t="shared" si="28"/>
        <v>0.13936590376769734</v>
      </c>
      <c r="AB32">
        <f t="shared" si="28"/>
        <v>0.13936590376769734</v>
      </c>
      <c r="AC32">
        <f t="shared" si="28"/>
        <v>0.13936590376769734</v>
      </c>
      <c r="AD32">
        <f t="shared" si="29"/>
        <v>0.13936590376769734</v>
      </c>
      <c r="AE32">
        <f t="shared" si="29"/>
        <v>0.13936590376769734</v>
      </c>
      <c r="AF32">
        <f t="shared" si="29"/>
        <v>0.13936590376769734</v>
      </c>
      <c r="AG32">
        <f t="shared" si="29"/>
        <v>0.13936590376769734</v>
      </c>
      <c r="AH32">
        <f t="shared" si="29"/>
        <v>0.13936590376769734</v>
      </c>
      <c r="AI32">
        <f t="shared" si="29"/>
        <v>0.13936590376769734</v>
      </c>
      <c r="AJ32">
        <f t="shared" si="29"/>
        <v>0.13936590376769734</v>
      </c>
      <c r="AK32">
        <f t="shared" si="30"/>
        <v>0.13936590376769734</v>
      </c>
      <c r="AL32">
        <f t="shared" si="29"/>
        <v>0.13936590376769734</v>
      </c>
      <c r="AM32">
        <f t="shared" si="30"/>
        <v>0.13936590376769734</v>
      </c>
      <c r="AN32">
        <f t="shared" si="30"/>
        <v>0.13936590376769734</v>
      </c>
      <c r="AO32">
        <f t="shared" si="30"/>
        <v>0.13936590376769734</v>
      </c>
      <c r="AP32">
        <f t="shared" si="30"/>
        <v>0.13936590376769734</v>
      </c>
      <c r="AQ32">
        <f t="shared" si="30"/>
        <v>0.13936590376769734</v>
      </c>
      <c r="AR32">
        <f t="shared" si="30"/>
        <v>0.13936590376769734</v>
      </c>
      <c r="AS32">
        <f t="shared" si="30"/>
        <v>0.13936590376769734</v>
      </c>
      <c r="AT32">
        <f t="shared" si="30"/>
        <v>0.13936590376769734</v>
      </c>
      <c r="AU32">
        <f t="shared" si="30"/>
        <v>0.13936590376769734</v>
      </c>
      <c r="AV32">
        <f t="shared" si="30"/>
        <v>0.13936590376769734</v>
      </c>
      <c r="AW32">
        <f t="shared" si="30"/>
        <v>0.13936590376769734</v>
      </c>
      <c r="AX32" s="56">
        <v>0.13936590376769734</v>
      </c>
      <c r="AY32" t="s">
        <v>348</v>
      </c>
      <c r="AZ32" s="1" t="str">
        <f t="shared" ca="1" si="32"/>
        <v>Trd_hdt_gsl</v>
      </c>
      <c r="BA32" t="str">
        <f t="shared" ca="1" si="0"/>
        <v>Trd_hdt</v>
      </c>
      <c r="BB32">
        <f t="shared" ca="1" si="1"/>
        <v>25</v>
      </c>
      <c r="BD32" t="str">
        <f t="shared" ca="1" si="3"/>
        <v>DMD</v>
      </c>
      <c r="BE32" t="str">
        <f t="shared" ca="1" si="4"/>
        <v>Trd_hdt_gsl</v>
      </c>
      <c r="BG32" t="s">
        <v>156</v>
      </c>
      <c r="BH32" t="s">
        <v>352</v>
      </c>
      <c r="BI32" t="s">
        <v>359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348</v>
      </c>
      <c r="AZ33" s="1" t="str">
        <f t="shared" ca="1" si="32"/>
        <v>\I:</v>
      </c>
      <c r="BA33" t="str">
        <f t="shared" ca="1" si="0"/>
        <v>Trd_hdt</v>
      </c>
      <c r="BB33">
        <f t="shared" ca="1" si="1"/>
        <v>25</v>
      </c>
      <c r="BD33" t="str">
        <f t="shared" ca="1" si="3"/>
        <v>DMD</v>
      </c>
      <c r="BE33" t="str">
        <f t="shared" ca="1" si="4"/>
        <v>\I:</v>
      </c>
      <c r="BG33" t="s">
        <v>156</v>
      </c>
      <c r="BH33" t="s">
        <v>352</v>
      </c>
      <c r="BI33" t="s">
        <v>359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348</v>
      </c>
      <c r="AZ34" s="1" t="str">
        <f t="shared" ca="1" si="32"/>
        <v>\I:</v>
      </c>
      <c r="BA34" t="str">
        <f t="shared" ca="1" si="0"/>
        <v>Trd_hdt</v>
      </c>
      <c r="BB34">
        <f t="shared" ca="1" si="1"/>
        <v>25</v>
      </c>
      <c r="BD34" t="str">
        <f t="shared" ca="1" si="3"/>
        <v>DMD</v>
      </c>
      <c r="BE34" t="str">
        <f t="shared" ca="1" si="4"/>
        <v>\I: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f>62.5*1.6</f>
        <v>100</v>
      </c>
      <c r="E36" s="40">
        <f t="shared" ref="E36:U42" si="33">62.5*1.6</f>
        <v>100</v>
      </c>
      <c r="F36" s="40">
        <f t="shared" si="33"/>
        <v>100</v>
      </c>
      <c r="G36" s="40">
        <f t="shared" si="33"/>
        <v>100</v>
      </c>
      <c r="H36" s="40">
        <f t="shared" si="33"/>
        <v>100</v>
      </c>
      <c r="I36" s="40">
        <f t="shared" si="33"/>
        <v>100</v>
      </c>
      <c r="J36" s="40">
        <f t="shared" si="33"/>
        <v>100</v>
      </c>
      <c r="K36" s="40">
        <f t="shared" si="33"/>
        <v>100</v>
      </c>
      <c r="L36" s="40">
        <f t="shared" si="33"/>
        <v>100</v>
      </c>
      <c r="M36" s="40">
        <f t="shared" si="33"/>
        <v>100</v>
      </c>
      <c r="N36" s="40">
        <f t="shared" si="33"/>
        <v>100</v>
      </c>
      <c r="O36" s="40">
        <f t="shared" si="33"/>
        <v>100</v>
      </c>
      <c r="P36" s="40">
        <f t="shared" si="33"/>
        <v>100</v>
      </c>
      <c r="Q36" s="40">
        <f t="shared" si="33"/>
        <v>100</v>
      </c>
      <c r="R36" s="40">
        <f t="shared" si="33"/>
        <v>100</v>
      </c>
      <c r="S36" s="40">
        <f t="shared" si="33"/>
        <v>100</v>
      </c>
      <c r="T36" s="40">
        <f t="shared" si="33"/>
        <v>100</v>
      </c>
      <c r="U36" s="40">
        <f t="shared" si="33"/>
        <v>100</v>
      </c>
      <c r="V36" s="40">
        <f t="shared" ref="V36:AJ42" si="34">62.5*1.6</f>
        <v>100</v>
      </c>
      <c r="W36" s="40">
        <f t="shared" si="34"/>
        <v>100</v>
      </c>
      <c r="X36" s="40">
        <f t="shared" si="34"/>
        <v>100</v>
      </c>
      <c r="Y36" s="40">
        <f t="shared" si="34"/>
        <v>100</v>
      </c>
      <c r="Z36" s="40">
        <f t="shared" si="34"/>
        <v>100</v>
      </c>
      <c r="AA36" s="40">
        <f t="shared" si="34"/>
        <v>100</v>
      </c>
      <c r="AB36" s="40">
        <f t="shared" si="34"/>
        <v>100</v>
      </c>
      <c r="AC36" s="40">
        <f t="shared" si="34"/>
        <v>100</v>
      </c>
      <c r="AD36" s="40">
        <f t="shared" si="34"/>
        <v>100</v>
      </c>
      <c r="AE36" s="40">
        <f t="shared" si="34"/>
        <v>100</v>
      </c>
      <c r="AF36" s="40">
        <v>35</v>
      </c>
      <c r="AG36" s="40">
        <f t="shared" si="34"/>
        <v>100</v>
      </c>
      <c r="AH36" s="40">
        <f t="shared" si="34"/>
        <v>100</v>
      </c>
      <c r="AI36" s="40">
        <f t="shared" si="34"/>
        <v>100</v>
      </c>
      <c r="AJ36" s="40">
        <f t="shared" si="34"/>
        <v>100</v>
      </c>
      <c r="AK36" s="40">
        <f t="shared" ref="AK36:AW42" si="35">62.5*1.6</f>
        <v>100</v>
      </c>
      <c r="AL36" s="40">
        <v>35</v>
      </c>
      <c r="AM36" s="40">
        <f t="shared" si="35"/>
        <v>100</v>
      </c>
      <c r="AN36" s="40">
        <f t="shared" si="35"/>
        <v>100</v>
      </c>
      <c r="AO36" s="40">
        <f t="shared" si="35"/>
        <v>100</v>
      </c>
      <c r="AP36" s="40">
        <f t="shared" si="35"/>
        <v>100</v>
      </c>
      <c r="AQ36" s="40">
        <f t="shared" si="35"/>
        <v>100</v>
      </c>
      <c r="AR36" s="40">
        <f t="shared" si="35"/>
        <v>100</v>
      </c>
      <c r="AS36" s="40">
        <f t="shared" si="35"/>
        <v>100</v>
      </c>
      <c r="AT36" s="40">
        <f t="shared" si="35"/>
        <v>100</v>
      </c>
      <c r="AU36" s="40">
        <f t="shared" si="35"/>
        <v>100</v>
      </c>
      <c r="AV36" s="40">
        <f t="shared" si="35"/>
        <v>100</v>
      </c>
      <c r="AW36" s="40">
        <f t="shared" si="35"/>
        <v>100</v>
      </c>
      <c r="AY36" t="s">
        <v>349</v>
      </c>
      <c r="AZ36" s="1" t="str">
        <f ca="1">AZ28</f>
        <v>Trd_hdt_bdl</v>
      </c>
      <c r="BA36" t="str">
        <f t="shared" ca="1" si="0"/>
        <v>Trd_hdt</v>
      </c>
      <c r="BB36">
        <f t="shared" ca="1" si="1"/>
        <v>25</v>
      </c>
      <c r="BD36" t="str">
        <f t="shared" ca="1" si="3"/>
        <v>DMD</v>
      </c>
      <c r="BE36" t="str">
        <f t="shared" ca="1" si="4"/>
        <v>Trd_hdt_bdl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6">C29</f>
        <v>TRABGS</v>
      </c>
      <c r="D37" s="40">
        <f t="shared" ref="D37:S42" si="37">62.5*1.6</f>
        <v>100</v>
      </c>
      <c r="E37" s="40">
        <f t="shared" si="37"/>
        <v>100</v>
      </c>
      <c r="F37" s="40">
        <f t="shared" si="37"/>
        <v>100</v>
      </c>
      <c r="G37" s="40">
        <f t="shared" si="37"/>
        <v>100</v>
      </c>
      <c r="H37" s="40">
        <f t="shared" si="37"/>
        <v>100</v>
      </c>
      <c r="I37" s="40">
        <f t="shared" si="37"/>
        <v>100</v>
      </c>
      <c r="J37" s="40">
        <f t="shared" si="37"/>
        <v>100</v>
      </c>
      <c r="K37" s="40">
        <f t="shared" si="37"/>
        <v>100</v>
      </c>
      <c r="L37" s="40">
        <f t="shared" si="37"/>
        <v>100</v>
      </c>
      <c r="M37" s="40">
        <f t="shared" si="37"/>
        <v>100</v>
      </c>
      <c r="N37" s="40">
        <f t="shared" si="37"/>
        <v>100</v>
      </c>
      <c r="O37" s="40">
        <f t="shared" si="37"/>
        <v>100</v>
      </c>
      <c r="P37" s="40">
        <f t="shared" si="37"/>
        <v>100</v>
      </c>
      <c r="Q37" s="40">
        <f t="shared" si="37"/>
        <v>100</v>
      </c>
      <c r="R37" s="40">
        <f t="shared" si="37"/>
        <v>100</v>
      </c>
      <c r="S37" s="40">
        <f t="shared" si="37"/>
        <v>100</v>
      </c>
      <c r="T37" s="40">
        <f t="shared" si="33"/>
        <v>100</v>
      </c>
      <c r="U37" s="40">
        <f t="shared" si="33"/>
        <v>100</v>
      </c>
      <c r="V37" s="40">
        <f t="shared" si="34"/>
        <v>100</v>
      </c>
      <c r="W37" s="40">
        <f t="shared" si="34"/>
        <v>100</v>
      </c>
      <c r="X37" s="40">
        <f t="shared" si="34"/>
        <v>100</v>
      </c>
      <c r="Y37" s="40">
        <f t="shared" si="34"/>
        <v>100</v>
      </c>
      <c r="Z37" s="40">
        <f t="shared" si="34"/>
        <v>100</v>
      </c>
      <c r="AA37" s="40">
        <f t="shared" si="34"/>
        <v>100</v>
      </c>
      <c r="AB37" s="40">
        <f t="shared" si="34"/>
        <v>100</v>
      </c>
      <c r="AC37" s="40">
        <f t="shared" si="34"/>
        <v>100</v>
      </c>
      <c r="AD37" s="40">
        <f t="shared" si="34"/>
        <v>100</v>
      </c>
      <c r="AE37" s="40">
        <f t="shared" si="34"/>
        <v>100</v>
      </c>
      <c r="AF37" s="40">
        <v>35</v>
      </c>
      <c r="AG37" s="40">
        <f t="shared" si="34"/>
        <v>100</v>
      </c>
      <c r="AH37" s="40">
        <f t="shared" si="34"/>
        <v>100</v>
      </c>
      <c r="AI37" s="40">
        <f t="shared" si="34"/>
        <v>100</v>
      </c>
      <c r="AJ37" s="40">
        <f t="shared" si="34"/>
        <v>100</v>
      </c>
      <c r="AK37" s="40">
        <f t="shared" si="35"/>
        <v>100</v>
      </c>
      <c r="AL37" s="40">
        <v>35</v>
      </c>
      <c r="AM37" s="40">
        <f t="shared" si="35"/>
        <v>100</v>
      </c>
      <c r="AN37" s="40">
        <f t="shared" si="35"/>
        <v>100</v>
      </c>
      <c r="AO37" s="40">
        <f t="shared" si="35"/>
        <v>100</v>
      </c>
      <c r="AP37" s="40">
        <f t="shared" si="35"/>
        <v>100</v>
      </c>
      <c r="AQ37" s="40">
        <f t="shared" si="35"/>
        <v>100</v>
      </c>
      <c r="AR37" s="40">
        <f t="shared" si="35"/>
        <v>100</v>
      </c>
      <c r="AS37" s="40">
        <f t="shared" si="35"/>
        <v>100</v>
      </c>
      <c r="AT37" s="40">
        <f t="shared" si="35"/>
        <v>100</v>
      </c>
      <c r="AU37" s="40">
        <f t="shared" si="35"/>
        <v>100</v>
      </c>
      <c r="AV37" s="40">
        <f t="shared" si="35"/>
        <v>100</v>
      </c>
      <c r="AW37" s="40">
        <f t="shared" si="35"/>
        <v>100</v>
      </c>
      <c r="AY37" t="s">
        <v>349</v>
      </c>
      <c r="AZ37" s="1" t="str">
        <f t="shared" ref="AZ37:AZ42" ca="1" si="38">AZ29</f>
        <v>\I:</v>
      </c>
      <c r="BA37" t="str">
        <f t="shared" ca="1" si="0"/>
        <v>Trd_hdt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6"/>
        <v>TRADST</v>
      </c>
      <c r="D38" s="40">
        <f t="shared" si="37"/>
        <v>100</v>
      </c>
      <c r="E38" s="40">
        <f t="shared" si="33"/>
        <v>100</v>
      </c>
      <c r="F38" s="40">
        <f t="shared" si="33"/>
        <v>100</v>
      </c>
      <c r="G38" s="40">
        <f t="shared" si="33"/>
        <v>100</v>
      </c>
      <c r="H38" s="40">
        <f t="shared" si="33"/>
        <v>100</v>
      </c>
      <c r="I38" s="40">
        <f t="shared" si="33"/>
        <v>100</v>
      </c>
      <c r="J38" s="40">
        <f t="shared" si="33"/>
        <v>100</v>
      </c>
      <c r="K38" s="40">
        <f t="shared" si="33"/>
        <v>100</v>
      </c>
      <c r="L38" s="40">
        <f t="shared" si="33"/>
        <v>100</v>
      </c>
      <c r="M38" s="40">
        <f t="shared" si="33"/>
        <v>100</v>
      </c>
      <c r="N38" s="40">
        <f t="shared" si="33"/>
        <v>100</v>
      </c>
      <c r="O38" s="40">
        <f t="shared" si="33"/>
        <v>100</v>
      </c>
      <c r="P38" s="40">
        <f t="shared" si="33"/>
        <v>100</v>
      </c>
      <c r="Q38" s="40">
        <f t="shared" si="33"/>
        <v>100</v>
      </c>
      <c r="R38" s="40">
        <f t="shared" si="33"/>
        <v>100</v>
      </c>
      <c r="S38" s="40">
        <f t="shared" si="33"/>
        <v>100</v>
      </c>
      <c r="T38" s="40">
        <f t="shared" si="33"/>
        <v>100</v>
      </c>
      <c r="U38" s="40">
        <f t="shared" si="33"/>
        <v>100</v>
      </c>
      <c r="V38" s="40">
        <f t="shared" si="34"/>
        <v>100</v>
      </c>
      <c r="W38" s="40">
        <f t="shared" si="34"/>
        <v>100</v>
      </c>
      <c r="X38" s="40">
        <f t="shared" si="34"/>
        <v>100</v>
      </c>
      <c r="Y38" s="40">
        <f t="shared" si="34"/>
        <v>100</v>
      </c>
      <c r="Z38" s="40">
        <f t="shared" si="34"/>
        <v>100</v>
      </c>
      <c r="AA38" s="40">
        <f t="shared" si="34"/>
        <v>100</v>
      </c>
      <c r="AB38" s="40">
        <f t="shared" si="34"/>
        <v>100</v>
      </c>
      <c r="AC38" s="40">
        <f t="shared" si="34"/>
        <v>100</v>
      </c>
      <c r="AD38" s="40">
        <f t="shared" si="34"/>
        <v>100</v>
      </c>
      <c r="AE38" s="40">
        <f t="shared" si="34"/>
        <v>100</v>
      </c>
      <c r="AF38" s="40">
        <v>35</v>
      </c>
      <c r="AG38" s="40">
        <f t="shared" si="34"/>
        <v>100</v>
      </c>
      <c r="AH38" s="40">
        <f t="shared" si="34"/>
        <v>100</v>
      </c>
      <c r="AI38" s="40">
        <f t="shared" si="34"/>
        <v>100</v>
      </c>
      <c r="AJ38" s="40">
        <f t="shared" si="34"/>
        <v>100</v>
      </c>
      <c r="AK38" s="40">
        <f t="shared" si="35"/>
        <v>100</v>
      </c>
      <c r="AL38" s="40">
        <v>35</v>
      </c>
      <c r="AM38" s="40">
        <f t="shared" si="35"/>
        <v>100</v>
      </c>
      <c r="AN38" s="40">
        <f t="shared" si="35"/>
        <v>100</v>
      </c>
      <c r="AO38" s="40">
        <f t="shared" si="35"/>
        <v>100</v>
      </c>
      <c r="AP38" s="40">
        <f t="shared" si="35"/>
        <v>100</v>
      </c>
      <c r="AQ38" s="40">
        <f t="shared" si="35"/>
        <v>100</v>
      </c>
      <c r="AR38" s="40">
        <f t="shared" si="35"/>
        <v>100</v>
      </c>
      <c r="AS38" s="40">
        <f t="shared" si="35"/>
        <v>100</v>
      </c>
      <c r="AT38" s="40">
        <f t="shared" si="35"/>
        <v>100</v>
      </c>
      <c r="AU38" s="40">
        <f t="shared" si="35"/>
        <v>100</v>
      </c>
      <c r="AV38" s="40">
        <f t="shared" si="35"/>
        <v>100</v>
      </c>
      <c r="AW38" s="40">
        <f t="shared" si="35"/>
        <v>100</v>
      </c>
      <c r="AY38" t="s">
        <v>349</v>
      </c>
      <c r="AZ38" s="1" t="str">
        <f t="shared" ca="1" si="38"/>
        <v>Trd_hdt_dsl</v>
      </c>
      <c r="BA38" t="str">
        <f t="shared" ca="1" si="0"/>
        <v>Trd_hdt</v>
      </c>
      <c r="BB38">
        <f t="shared" ca="1" si="1"/>
        <v>25</v>
      </c>
      <c r="BD38" t="str">
        <f t="shared" ca="1" si="3"/>
        <v>DMD</v>
      </c>
      <c r="BE38" t="str">
        <f t="shared" ca="1" si="4"/>
        <v>Trd_hdt_dsl</v>
      </c>
      <c r="BG38" t="s">
        <v>156</v>
      </c>
      <c r="BH38" t="s">
        <v>352</v>
      </c>
      <c r="BI38" t="s">
        <v>359</v>
      </c>
    </row>
    <row r="39" spans="1:61">
      <c r="C39" t="str">
        <f t="shared" si="36"/>
        <v>TRAELC</v>
      </c>
      <c r="D39" s="40">
        <f t="shared" si="37"/>
        <v>100</v>
      </c>
      <c r="E39" s="40">
        <f t="shared" si="33"/>
        <v>100</v>
      </c>
      <c r="F39" s="40">
        <f t="shared" si="33"/>
        <v>100</v>
      </c>
      <c r="G39" s="40">
        <f t="shared" si="33"/>
        <v>100</v>
      </c>
      <c r="H39" s="40">
        <f t="shared" si="33"/>
        <v>100</v>
      </c>
      <c r="I39" s="40">
        <f t="shared" si="33"/>
        <v>100</v>
      </c>
      <c r="J39" s="40">
        <f t="shared" si="33"/>
        <v>100</v>
      </c>
      <c r="K39" s="40">
        <f t="shared" si="33"/>
        <v>100</v>
      </c>
      <c r="L39" s="40">
        <f t="shared" si="33"/>
        <v>100</v>
      </c>
      <c r="M39" s="40">
        <f t="shared" si="33"/>
        <v>100</v>
      </c>
      <c r="N39" s="40">
        <f t="shared" si="33"/>
        <v>100</v>
      </c>
      <c r="O39" s="40">
        <f t="shared" si="33"/>
        <v>100</v>
      </c>
      <c r="P39" s="40">
        <f t="shared" si="33"/>
        <v>100</v>
      </c>
      <c r="Q39" s="40">
        <f t="shared" si="33"/>
        <v>100</v>
      </c>
      <c r="R39" s="40">
        <f t="shared" si="33"/>
        <v>100</v>
      </c>
      <c r="S39" s="40">
        <f t="shared" si="33"/>
        <v>100</v>
      </c>
      <c r="T39" s="40">
        <f t="shared" si="33"/>
        <v>100</v>
      </c>
      <c r="U39" s="40">
        <f t="shared" si="33"/>
        <v>100</v>
      </c>
      <c r="V39" s="40">
        <f t="shared" si="34"/>
        <v>100</v>
      </c>
      <c r="W39" s="40">
        <f t="shared" si="34"/>
        <v>100</v>
      </c>
      <c r="X39" s="40">
        <f t="shared" si="34"/>
        <v>100</v>
      </c>
      <c r="Y39" s="40">
        <f t="shared" si="34"/>
        <v>100</v>
      </c>
      <c r="Z39" s="40">
        <f t="shared" si="34"/>
        <v>100</v>
      </c>
      <c r="AA39" s="40">
        <f t="shared" si="34"/>
        <v>100</v>
      </c>
      <c r="AB39" s="40">
        <f t="shared" si="34"/>
        <v>100</v>
      </c>
      <c r="AC39" s="40">
        <f t="shared" si="34"/>
        <v>100</v>
      </c>
      <c r="AD39" s="40">
        <f t="shared" si="34"/>
        <v>100</v>
      </c>
      <c r="AE39" s="40">
        <f t="shared" si="34"/>
        <v>100</v>
      </c>
      <c r="AF39" s="40">
        <v>35</v>
      </c>
      <c r="AG39" s="40">
        <f t="shared" si="34"/>
        <v>100</v>
      </c>
      <c r="AH39" s="40">
        <f t="shared" si="34"/>
        <v>100</v>
      </c>
      <c r="AI39" s="40">
        <f t="shared" si="34"/>
        <v>100</v>
      </c>
      <c r="AJ39" s="40">
        <f t="shared" si="34"/>
        <v>100</v>
      </c>
      <c r="AK39" s="40">
        <f t="shared" si="35"/>
        <v>100</v>
      </c>
      <c r="AL39" s="40">
        <v>35</v>
      </c>
      <c r="AM39" s="40">
        <f t="shared" si="35"/>
        <v>100</v>
      </c>
      <c r="AN39" s="40">
        <f t="shared" si="35"/>
        <v>100</v>
      </c>
      <c r="AO39" s="40">
        <f t="shared" si="35"/>
        <v>100</v>
      </c>
      <c r="AP39" s="40">
        <f t="shared" si="35"/>
        <v>100</v>
      </c>
      <c r="AQ39" s="40">
        <f t="shared" si="35"/>
        <v>100</v>
      </c>
      <c r="AR39" s="40">
        <f t="shared" si="35"/>
        <v>100</v>
      </c>
      <c r="AS39" s="40">
        <f t="shared" si="35"/>
        <v>100</v>
      </c>
      <c r="AT39" s="40">
        <f t="shared" si="35"/>
        <v>100</v>
      </c>
      <c r="AU39" s="40">
        <f t="shared" si="35"/>
        <v>100</v>
      </c>
      <c r="AV39" s="40">
        <f t="shared" si="35"/>
        <v>100</v>
      </c>
      <c r="AW39" s="40">
        <f t="shared" si="35"/>
        <v>100</v>
      </c>
      <c r="AY39" t="s">
        <v>349</v>
      </c>
      <c r="AZ39" s="1" t="str">
        <f t="shared" ca="1" si="38"/>
        <v>\I:</v>
      </c>
      <c r="BA39" t="str">
        <f t="shared" ca="1" si="0"/>
        <v>Trd_hdt</v>
      </c>
      <c r="BB39">
        <f t="shared" ca="1" si="1"/>
        <v>25</v>
      </c>
      <c r="BD39" t="str">
        <f t="shared" ca="1" si="3"/>
        <v>DMD</v>
      </c>
      <c r="BE39" t="str">
        <f t="shared" ca="1" si="4"/>
        <v>\I:</v>
      </c>
      <c r="BG39" t="s">
        <v>156</v>
      </c>
      <c r="BH39" t="s">
        <v>352</v>
      </c>
      <c r="BI39" t="s">
        <v>359</v>
      </c>
    </row>
    <row r="40" spans="1:61">
      <c r="C40" t="str">
        <f t="shared" si="36"/>
        <v>TRAGSL</v>
      </c>
      <c r="D40" s="40">
        <f t="shared" si="37"/>
        <v>100</v>
      </c>
      <c r="E40" s="40">
        <f t="shared" si="33"/>
        <v>100</v>
      </c>
      <c r="F40" s="40">
        <f t="shared" si="33"/>
        <v>100</v>
      </c>
      <c r="G40" s="40">
        <f t="shared" si="33"/>
        <v>100</v>
      </c>
      <c r="H40" s="40">
        <f t="shared" si="33"/>
        <v>100</v>
      </c>
      <c r="I40" s="40">
        <f t="shared" si="33"/>
        <v>100</v>
      </c>
      <c r="J40" s="40">
        <f t="shared" si="33"/>
        <v>100</v>
      </c>
      <c r="K40" s="40">
        <f t="shared" si="33"/>
        <v>100</v>
      </c>
      <c r="L40" s="40">
        <f t="shared" si="33"/>
        <v>100</v>
      </c>
      <c r="M40" s="40">
        <f t="shared" si="33"/>
        <v>100</v>
      </c>
      <c r="N40" s="40">
        <f t="shared" si="33"/>
        <v>100</v>
      </c>
      <c r="O40" s="40">
        <f t="shared" si="33"/>
        <v>100</v>
      </c>
      <c r="P40" s="40">
        <f t="shared" si="33"/>
        <v>100</v>
      </c>
      <c r="Q40" s="40">
        <f t="shared" si="33"/>
        <v>100</v>
      </c>
      <c r="R40" s="40">
        <f t="shared" si="33"/>
        <v>100</v>
      </c>
      <c r="S40" s="40">
        <f t="shared" si="33"/>
        <v>100</v>
      </c>
      <c r="T40" s="40">
        <f t="shared" si="33"/>
        <v>100</v>
      </c>
      <c r="U40" s="40">
        <f t="shared" si="33"/>
        <v>100</v>
      </c>
      <c r="V40" s="40">
        <f t="shared" si="34"/>
        <v>100</v>
      </c>
      <c r="W40" s="40">
        <f t="shared" si="34"/>
        <v>100</v>
      </c>
      <c r="X40" s="40">
        <f t="shared" si="34"/>
        <v>100</v>
      </c>
      <c r="Y40" s="40">
        <f t="shared" si="34"/>
        <v>100</v>
      </c>
      <c r="Z40" s="40">
        <f t="shared" si="34"/>
        <v>100</v>
      </c>
      <c r="AA40" s="40">
        <f t="shared" si="34"/>
        <v>100</v>
      </c>
      <c r="AB40" s="40">
        <f t="shared" si="34"/>
        <v>100</v>
      </c>
      <c r="AC40" s="40">
        <f t="shared" si="34"/>
        <v>100</v>
      </c>
      <c r="AD40" s="40">
        <f t="shared" si="34"/>
        <v>100</v>
      </c>
      <c r="AE40" s="40">
        <f t="shared" si="34"/>
        <v>100</v>
      </c>
      <c r="AF40" s="40">
        <v>35</v>
      </c>
      <c r="AG40" s="40">
        <f t="shared" si="34"/>
        <v>100</v>
      </c>
      <c r="AH40" s="40">
        <f t="shared" si="34"/>
        <v>100</v>
      </c>
      <c r="AI40" s="40">
        <f t="shared" si="34"/>
        <v>100</v>
      </c>
      <c r="AJ40" s="40">
        <f t="shared" si="34"/>
        <v>100</v>
      </c>
      <c r="AK40" s="40">
        <f t="shared" si="35"/>
        <v>100</v>
      </c>
      <c r="AL40" s="40">
        <v>35</v>
      </c>
      <c r="AM40" s="40">
        <f t="shared" si="35"/>
        <v>100</v>
      </c>
      <c r="AN40" s="40">
        <f t="shared" si="35"/>
        <v>100</v>
      </c>
      <c r="AO40" s="40">
        <f t="shared" si="35"/>
        <v>100</v>
      </c>
      <c r="AP40" s="40">
        <f t="shared" si="35"/>
        <v>100</v>
      </c>
      <c r="AQ40" s="40">
        <f t="shared" si="35"/>
        <v>100</v>
      </c>
      <c r="AR40" s="40">
        <f t="shared" si="35"/>
        <v>100</v>
      </c>
      <c r="AS40" s="40">
        <f t="shared" si="35"/>
        <v>100</v>
      </c>
      <c r="AT40" s="40">
        <f t="shared" si="35"/>
        <v>100</v>
      </c>
      <c r="AU40" s="40">
        <f t="shared" si="35"/>
        <v>100</v>
      </c>
      <c r="AV40" s="40">
        <f t="shared" si="35"/>
        <v>100</v>
      </c>
      <c r="AW40" s="40">
        <f t="shared" si="35"/>
        <v>100</v>
      </c>
      <c r="AY40" t="s">
        <v>349</v>
      </c>
      <c r="AZ40" s="1" t="str">
        <f t="shared" ca="1" si="38"/>
        <v>Trd_hdt_gsl</v>
      </c>
      <c r="BA40" t="str">
        <f t="shared" ca="1" si="0"/>
        <v>Trd_hdt</v>
      </c>
      <c r="BB40">
        <f t="shared" ca="1" si="1"/>
        <v>25</v>
      </c>
      <c r="BD40" t="str">
        <f t="shared" ca="1" si="3"/>
        <v>DMD</v>
      </c>
      <c r="BE40" t="str">
        <f t="shared" ca="1" si="4"/>
        <v>Trd_hdt_gsl</v>
      </c>
      <c r="BG40" t="s">
        <v>156</v>
      </c>
      <c r="BH40" t="s">
        <v>352</v>
      </c>
      <c r="BI40" t="s">
        <v>359</v>
      </c>
    </row>
    <row r="41" spans="1:61">
      <c r="C41" t="str">
        <f t="shared" si="36"/>
        <v>TRALPG</v>
      </c>
      <c r="D41" s="40">
        <f t="shared" si="37"/>
        <v>100</v>
      </c>
      <c r="E41" s="40">
        <f t="shared" si="33"/>
        <v>100</v>
      </c>
      <c r="F41" s="40">
        <f t="shared" si="33"/>
        <v>100</v>
      </c>
      <c r="G41" s="40">
        <f t="shared" si="33"/>
        <v>100</v>
      </c>
      <c r="H41" s="40">
        <f t="shared" si="33"/>
        <v>100</v>
      </c>
      <c r="I41" s="40">
        <f t="shared" si="33"/>
        <v>100</v>
      </c>
      <c r="J41" s="40">
        <f t="shared" si="33"/>
        <v>100</v>
      </c>
      <c r="K41" s="40">
        <f t="shared" si="33"/>
        <v>100</v>
      </c>
      <c r="L41" s="40">
        <f t="shared" si="33"/>
        <v>100</v>
      </c>
      <c r="M41" s="40">
        <f t="shared" si="33"/>
        <v>100</v>
      </c>
      <c r="N41" s="40">
        <f t="shared" si="33"/>
        <v>100</v>
      </c>
      <c r="O41" s="40">
        <f t="shared" si="33"/>
        <v>100</v>
      </c>
      <c r="P41" s="40">
        <f t="shared" si="33"/>
        <v>100</v>
      </c>
      <c r="Q41" s="40">
        <f t="shared" si="33"/>
        <v>100</v>
      </c>
      <c r="R41" s="40">
        <f t="shared" si="33"/>
        <v>100</v>
      </c>
      <c r="S41" s="40">
        <f t="shared" si="33"/>
        <v>100</v>
      </c>
      <c r="T41" s="40">
        <f t="shared" si="33"/>
        <v>100</v>
      </c>
      <c r="U41" s="40">
        <f t="shared" si="33"/>
        <v>100</v>
      </c>
      <c r="V41" s="40">
        <f t="shared" si="34"/>
        <v>100</v>
      </c>
      <c r="W41" s="40">
        <f t="shared" si="34"/>
        <v>100</v>
      </c>
      <c r="X41" s="40">
        <f t="shared" si="34"/>
        <v>100</v>
      </c>
      <c r="Y41" s="40">
        <f t="shared" si="34"/>
        <v>100</v>
      </c>
      <c r="Z41" s="40">
        <f t="shared" si="34"/>
        <v>100</v>
      </c>
      <c r="AA41" s="40">
        <f t="shared" si="34"/>
        <v>100</v>
      </c>
      <c r="AB41" s="40">
        <f t="shared" si="34"/>
        <v>100</v>
      </c>
      <c r="AC41" s="40">
        <f t="shared" si="34"/>
        <v>100</v>
      </c>
      <c r="AD41" s="40">
        <f t="shared" si="34"/>
        <v>100</v>
      </c>
      <c r="AE41" s="40">
        <f t="shared" si="34"/>
        <v>100</v>
      </c>
      <c r="AF41" s="40">
        <v>35</v>
      </c>
      <c r="AG41" s="40">
        <f t="shared" si="34"/>
        <v>100</v>
      </c>
      <c r="AH41" s="40">
        <f t="shared" si="34"/>
        <v>100</v>
      </c>
      <c r="AI41" s="40">
        <f t="shared" si="34"/>
        <v>100</v>
      </c>
      <c r="AJ41" s="40">
        <f t="shared" si="34"/>
        <v>100</v>
      </c>
      <c r="AK41" s="40">
        <f t="shared" si="35"/>
        <v>100</v>
      </c>
      <c r="AL41" s="40">
        <v>35</v>
      </c>
      <c r="AM41" s="40">
        <f t="shared" si="35"/>
        <v>100</v>
      </c>
      <c r="AN41" s="40">
        <f t="shared" si="35"/>
        <v>100</v>
      </c>
      <c r="AO41" s="40">
        <f t="shared" si="35"/>
        <v>100</v>
      </c>
      <c r="AP41" s="40">
        <f t="shared" si="35"/>
        <v>100</v>
      </c>
      <c r="AQ41" s="40">
        <f t="shared" si="35"/>
        <v>100</v>
      </c>
      <c r="AR41" s="40">
        <f t="shared" si="35"/>
        <v>100</v>
      </c>
      <c r="AS41" s="40">
        <f t="shared" si="35"/>
        <v>100</v>
      </c>
      <c r="AT41" s="40">
        <f t="shared" si="35"/>
        <v>100</v>
      </c>
      <c r="AU41" s="40">
        <f t="shared" si="35"/>
        <v>100</v>
      </c>
      <c r="AV41" s="40">
        <f t="shared" si="35"/>
        <v>100</v>
      </c>
      <c r="AW41" s="40">
        <f t="shared" si="35"/>
        <v>100</v>
      </c>
      <c r="AY41" t="s">
        <v>349</v>
      </c>
      <c r="AZ41" s="1" t="str">
        <f t="shared" ca="1" si="38"/>
        <v>\I:</v>
      </c>
      <c r="BA41" t="str">
        <f t="shared" ca="1" si="0"/>
        <v>Trd_hdt</v>
      </c>
      <c r="BB41">
        <f t="shared" ca="1" si="1"/>
        <v>25</v>
      </c>
      <c r="BD41" t="str">
        <f t="shared" ca="1" si="3"/>
        <v>DMD</v>
      </c>
      <c r="BE41" t="str">
        <f t="shared" ca="1" si="4"/>
        <v>\I:</v>
      </c>
      <c r="BG41" t="s">
        <v>156</v>
      </c>
      <c r="BH41" t="s">
        <v>352</v>
      </c>
      <c r="BI41" t="s">
        <v>359</v>
      </c>
    </row>
    <row r="42" spans="1:61">
      <c r="C42" t="str">
        <f t="shared" si="36"/>
        <v>TRANGA</v>
      </c>
      <c r="D42" s="40">
        <f t="shared" si="37"/>
        <v>100</v>
      </c>
      <c r="E42" s="40">
        <f t="shared" si="33"/>
        <v>100</v>
      </c>
      <c r="F42" s="40">
        <f t="shared" si="33"/>
        <v>100</v>
      </c>
      <c r="G42" s="40">
        <f t="shared" si="33"/>
        <v>100</v>
      </c>
      <c r="H42" s="40">
        <f t="shared" si="33"/>
        <v>100</v>
      </c>
      <c r="I42" s="40">
        <f t="shared" si="33"/>
        <v>100</v>
      </c>
      <c r="J42" s="40">
        <f t="shared" si="33"/>
        <v>100</v>
      </c>
      <c r="K42" s="40">
        <f t="shared" si="33"/>
        <v>100</v>
      </c>
      <c r="L42" s="40">
        <f t="shared" si="33"/>
        <v>100</v>
      </c>
      <c r="M42" s="40">
        <f t="shared" si="33"/>
        <v>100</v>
      </c>
      <c r="N42" s="40">
        <f t="shared" si="33"/>
        <v>100</v>
      </c>
      <c r="O42" s="40">
        <f t="shared" si="33"/>
        <v>100</v>
      </c>
      <c r="P42" s="40">
        <f t="shared" si="33"/>
        <v>100</v>
      </c>
      <c r="Q42" s="40">
        <f t="shared" si="33"/>
        <v>100</v>
      </c>
      <c r="R42" s="40">
        <f t="shared" si="33"/>
        <v>100</v>
      </c>
      <c r="S42" s="40">
        <f t="shared" si="33"/>
        <v>100</v>
      </c>
      <c r="T42" s="40">
        <f t="shared" si="33"/>
        <v>100</v>
      </c>
      <c r="U42" s="40">
        <f t="shared" si="33"/>
        <v>100</v>
      </c>
      <c r="V42" s="40">
        <f t="shared" si="34"/>
        <v>100</v>
      </c>
      <c r="W42" s="40">
        <f t="shared" si="34"/>
        <v>100</v>
      </c>
      <c r="X42" s="40">
        <f t="shared" si="34"/>
        <v>100</v>
      </c>
      <c r="Y42" s="40">
        <f t="shared" si="34"/>
        <v>100</v>
      </c>
      <c r="Z42" s="40">
        <f t="shared" si="34"/>
        <v>100</v>
      </c>
      <c r="AA42" s="40">
        <f t="shared" si="34"/>
        <v>100</v>
      </c>
      <c r="AB42" s="40">
        <f t="shared" si="34"/>
        <v>100</v>
      </c>
      <c r="AC42" s="40">
        <f t="shared" si="34"/>
        <v>100</v>
      </c>
      <c r="AD42" s="40">
        <f t="shared" si="34"/>
        <v>100</v>
      </c>
      <c r="AE42" s="40">
        <f t="shared" si="34"/>
        <v>100</v>
      </c>
      <c r="AF42" s="40">
        <v>35</v>
      </c>
      <c r="AG42" s="40">
        <f t="shared" si="34"/>
        <v>100</v>
      </c>
      <c r="AH42" s="40">
        <f t="shared" si="34"/>
        <v>100</v>
      </c>
      <c r="AI42" s="40">
        <f t="shared" si="34"/>
        <v>100</v>
      </c>
      <c r="AJ42" s="40">
        <f t="shared" si="34"/>
        <v>100</v>
      </c>
      <c r="AK42" s="40">
        <f t="shared" si="35"/>
        <v>100</v>
      </c>
      <c r="AL42" s="40">
        <v>35</v>
      </c>
      <c r="AM42" s="40">
        <f t="shared" si="35"/>
        <v>100</v>
      </c>
      <c r="AN42" s="40">
        <f t="shared" si="35"/>
        <v>100</v>
      </c>
      <c r="AO42" s="40">
        <f t="shared" si="35"/>
        <v>100</v>
      </c>
      <c r="AP42" s="40">
        <f t="shared" si="35"/>
        <v>100</v>
      </c>
      <c r="AQ42" s="40">
        <f t="shared" si="35"/>
        <v>100</v>
      </c>
      <c r="AR42" s="40">
        <f t="shared" si="35"/>
        <v>100</v>
      </c>
      <c r="AS42" s="40">
        <f t="shared" si="35"/>
        <v>100</v>
      </c>
      <c r="AT42" s="40">
        <f t="shared" si="35"/>
        <v>100</v>
      </c>
      <c r="AU42" s="40">
        <f t="shared" si="35"/>
        <v>100</v>
      </c>
      <c r="AV42" s="40">
        <f t="shared" si="35"/>
        <v>100</v>
      </c>
      <c r="AW42" s="40">
        <f t="shared" si="35"/>
        <v>100</v>
      </c>
      <c r="AY42" t="s">
        <v>349</v>
      </c>
      <c r="AZ42" s="1" t="str">
        <f t="shared" ca="1" si="38"/>
        <v>\I:</v>
      </c>
      <c r="BA42" t="str">
        <f t="shared" ca="1" si="0"/>
        <v>Trd_hdt</v>
      </c>
      <c r="BB42">
        <f t="shared" ca="1" si="1"/>
        <v>25</v>
      </c>
      <c r="BD42" t="str">
        <f t="shared" ca="1" si="3"/>
        <v>DMD</v>
      </c>
      <c r="BE42" t="str">
        <f t="shared" ca="1" si="4"/>
        <v>\I: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s="40" t="str">
        <f>D3</f>
        <v>Africa_North</v>
      </c>
      <c r="E44" s="40" t="str">
        <f t="shared" ref="E44:U44" si="39">E3</f>
        <v>Africa_Other</v>
      </c>
      <c r="F44" s="40" t="str">
        <f t="shared" si="39"/>
        <v>Australia</v>
      </c>
      <c r="G44" s="40" t="str">
        <f t="shared" si="39"/>
        <v>Austria</v>
      </c>
      <c r="H44" s="40" t="str">
        <f t="shared" si="39"/>
        <v>Baltics</v>
      </c>
      <c r="I44" s="40" t="str">
        <f t="shared" si="39"/>
        <v>BeNeLux</v>
      </c>
      <c r="J44" s="40" t="str">
        <f t="shared" si="39"/>
        <v>Brazil</v>
      </c>
      <c r="K44" s="40" t="str">
        <f t="shared" si="39"/>
        <v>China</v>
      </c>
      <c r="L44" s="40" t="str">
        <f t="shared" si="39"/>
        <v>CroSloven</v>
      </c>
      <c r="M44" s="40" t="str">
        <f t="shared" si="39"/>
        <v>CzechSlovak</v>
      </c>
      <c r="N44" s="40" t="str">
        <f t="shared" si="39"/>
        <v>France</v>
      </c>
      <c r="O44" s="40" t="str">
        <f t="shared" si="39"/>
        <v>Germany</v>
      </c>
      <c r="P44" s="40" t="str">
        <f t="shared" si="39"/>
        <v>GreeceCyp</v>
      </c>
      <c r="Q44" s="40" t="str">
        <f t="shared" si="39"/>
        <v>HunRomBul</v>
      </c>
      <c r="R44" s="40" t="str">
        <f t="shared" si="39"/>
        <v>Iceland</v>
      </c>
      <c r="S44" s="40" t="str">
        <f t="shared" si="39"/>
        <v>India</v>
      </c>
      <c r="T44" s="40" t="str">
        <f t="shared" si="39"/>
        <v>Ireland</v>
      </c>
      <c r="U44" s="40" t="str">
        <f t="shared" si="39"/>
        <v>ItalyMal</v>
      </c>
      <c r="V44" s="40" t="str">
        <f t="shared" ref="V44:AJ44" si="40">V3</f>
        <v>Japan</v>
      </c>
      <c r="W44" s="40" t="str">
        <f t="shared" si="40"/>
        <v>LatAm</v>
      </c>
      <c r="X44" s="40" t="str">
        <f t="shared" si="40"/>
        <v>MidEast</v>
      </c>
      <c r="Y44" s="40" t="str">
        <f t="shared" si="40"/>
        <v>NorthAm</v>
      </c>
      <c r="Z44" s="40" t="str">
        <f t="shared" si="40"/>
        <v>Norway</v>
      </c>
      <c r="AA44" s="40" t="str">
        <f t="shared" si="40"/>
        <v>Poland</v>
      </c>
      <c r="AB44" s="40" t="str">
        <f t="shared" si="40"/>
        <v>ROW</v>
      </c>
      <c r="AC44" s="40" t="str">
        <f t="shared" si="40"/>
        <v>Russia</v>
      </c>
      <c r="AD44" s="40" t="str">
        <f t="shared" si="40"/>
        <v>SaudiArabia</v>
      </c>
      <c r="AE44" s="40" t="str">
        <f t="shared" si="40"/>
        <v>SouthAfrica</v>
      </c>
      <c r="AF44" s="40" t="str">
        <f t="shared" si="40"/>
        <v>SpainPor</v>
      </c>
      <c r="AG44" s="40" t="str">
        <f t="shared" ref="AG44" si="41">AG3</f>
        <v>SweFinDen</v>
      </c>
      <c r="AH44" s="40" t="str">
        <f t="shared" si="40"/>
        <v>Switzerland</v>
      </c>
      <c r="AI44" s="40" t="str">
        <f t="shared" si="40"/>
        <v>Turkey</v>
      </c>
      <c r="AJ44" s="40" t="str">
        <f t="shared" si="40"/>
        <v>UK</v>
      </c>
      <c r="AK44" s="40" t="str">
        <f t="shared" ref="AK44:AW44" si="42">AK3</f>
        <v>Ukraine</v>
      </c>
      <c r="AL44" s="40" t="str">
        <f t="shared" si="42"/>
        <v>WestBalkans</v>
      </c>
      <c r="AM44" s="40" t="str">
        <f t="shared" si="42"/>
        <v>\I:</v>
      </c>
      <c r="AN44" s="40" t="str">
        <f t="shared" si="42"/>
        <v>\I:</v>
      </c>
      <c r="AO44" s="40" t="str">
        <f t="shared" si="42"/>
        <v>\I:</v>
      </c>
      <c r="AP44" s="40" t="str">
        <f t="shared" si="42"/>
        <v>\I:</v>
      </c>
      <c r="AQ44" s="40" t="str">
        <f t="shared" si="42"/>
        <v>\I:</v>
      </c>
      <c r="AR44" s="40" t="str">
        <f t="shared" si="42"/>
        <v>\I:</v>
      </c>
      <c r="AS44" s="40" t="str">
        <f t="shared" si="42"/>
        <v>\I:</v>
      </c>
      <c r="AT44" s="40" t="str">
        <f t="shared" si="42"/>
        <v>\I:</v>
      </c>
      <c r="AU44" s="40" t="str">
        <f t="shared" si="42"/>
        <v>\I:</v>
      </c>
      <c r="AV44" s="40" t="str">
        <f t="shared" si="42"/>
        <v>\I:</v>
      </c>
      <c r="AW44" s="40" t="str">
        <f t="shared" si="42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62.8</v>
      </c>
      <c r="E45" s="2">
        <f t="shared" ref="E45:U45" ca="1" si="43">SUMPRODUCT(E36:E42,E19:E25)</f>
        <v>55.800000000000004</v>
      </c>
      <c r="F45" s="2">
        <f t="shared" ca="1" si="43"/>
        <v>51.1</v>
      </c>
      <c r="G45" s="2">
        <f t="shared" ca="1" si="43"/>
        <v>24.700000000000003</v>
      </c>
      <c r="H45" s="2">
        <f t="shared" ca="1" si="43"/>
        <v>13.8</v>
      </c>
      <c r="I45" s="2">
        <f t="shared" ca="1" si="43"/>
        <v>52.199999999999996</v>
      </c>
      <c r="J45" s="2">
        <f t="shared" ca="1" si="43"/>
        <v>220.20000000000002</v>
      </c>
      <c r="K45" s="2">
        <f t="shared" ca="1" si="43"/>
        <v>278.8</v>
      </c>
      <c r="L45" s="2">
        <f t="shared" ca="1" si="43"/>
        <v>10.8</v>
      </c>
      <c r="M45" s="2">
        <f t="shared" ca="1" si="43"/>
        <v>23.5</v>
      </c>
      <c r="N45" s="2">
        <f t="shared" ca="1" si="43"/>
        <v>124.10000000000001</v>
      </c>
      <c r="O45" s="2">
        <f t="shared" ca="1" si="43"/>
        <v>131</v>
      </c>
      <c r="P45" s="2">
        <f t="shared" ca="1" si="43"/>
        <v>10.6</v>
      </c>
      <c r="Q45" s="2">
        <f t="shared" ca="1" si="43"/>
        <v>36.700000000000003</v>
      </c>
      <c r="R45" s="2">
        <f t="shared" ca="1" si="43"/>
        <v>0.8</v>
      </c>
      <c r="S45" s="2">
        <f t="shared" ca="1" si="43"/>
        <v>127.3</v>
      </c>
      <c r="T45" s="2">
        <f t="shared" ca="1" si="43"/>
        <v>11.6</v>
      </c>
      <c r="U45" s="2">
        <f t="shared" ca="1" si="43"/>
        <v>85.000000000000014</v>
      </c>
      <c r="V45" s="2">
        <f t="shared" ref="V45:AJ45" ca="1" si="44">SUMPRODUCT(V36:V42,V19:V25)</f>
        <v>96.8</v>
      </c>
      <c r="W45" s="2">
        <f t="shared" ca="1" si="44"/>
        <v>167.69999999999996</v>
      </c>
      <c r="X45" s="2">
        <f t="shared" ca="1" si="44"/>
        <v>175.4</v>
      </c>
      <c r="Y45" s="2">
        <f t="shared" ca="1" si="44"/>
        <v>958.19999999999993</v>
      </c>
      <c r="Z45" s="2">
        <f t="shared" ca="1" si="44"/>
        <v>9.5</v>
      </c>
      <c r="AA45" s="2">
        <f t="shared" ca="1" si="44"/>
        <v>53.6</v>
      </c>
      <c r="AB45" s="2">
        <f t="shared" ca="1" si="44"/>
        <v>413.5</v>
      </c>
      <c r="AC45" s="2">
        <f t="shared" ca="1" si="44"/>
        <v>100.2</v>
      </c>
      <c r="AD45" s="2">
        <f t="shared" ca="1" si="44"/>
        <v>95</v>
      </c>
      <c r="AE45" s="2">
        <f t="shared" ca="1" si="44"/>
        <v>19.600000000000001</v>
      </c>
      <c r="AF45" s="2">
        <f t="shared" ca="1" si="44"/>
        <v>102.375</v>
      </c>
      <c r="AG45" s="2">
        <f t="shared" ref="AG45" ca="1" si="45">SUMPRODUCT(AG36:AG42,AG19:AG25)</f>
        <v>35.199999999999996</v>
      </c>
      <c r="AH45" s="2">
        <f t="shared" ca="1" si="44"/>
        <v>10.799999999999999</v>
      </c>
      <c r="AI45" s="2">
        <f t="shared" ca="1" si="44"/>
        <v>79.300000000000011</v>
      </c>
      <c r="AJ45" s="2">
        <f t="shared" ca="1" si="44"/>
        <v>95.2</v>
      </c>
      <c r="AK45" s="2">
        <f t="shared" ref="AK45:AW45" ca="1" si="46">SUMPRODUCT(AK36:AK42,AK19:AK25)</f>
        <v>20.6</v>
      </c>
      <c r="AL45" s="2">
        <f t="shared" ca="1" si="46"/>
        <v>16.310000000000002</v>
      </c>
      <c r="AM45" s="2">
        <f t="shared" ca="1" si="46"/>
        <v>0</v>
      </c>
      <c r="AN45" s="2">
        <f t="shared" ca="1" si="46"/>
        <v>0</v>
      </c>
      <c r="AO45" s="2">
        <f t="shared" ca="1" si="46"/>
        <v>0</v>
      </c>
      <c r="AP45" s="2">
        <f t="shared" ca="1" si="46"/>
        <v>0</v>
      </c>
      <c r="AQ45" s="2">
        <f t="shared" ca="1" si="46"/>
        <v>0</v>
      </c>
      <c r="AR45" s="2">
        <f t="shared" ca="1" si="46"/>
        <v>0</v>
      </c>
      <c r="AS45" s="2">
        <f t="shared" ca="1" si="46"/>
        <v>0</v>
      </c>
      <c r="AT45" s="2">
        <f t="shared" ca="1" si="46"/>
        <v>0</v>
      </c>
      <c r="AU45" s="2">
        <f t="shared" ca="1" si="46"/>
        <v>0</v>
      </c>
      <c r="AV45" s="2">
        <f t="shared" ca="1" si="46"/>
        <v>0</v>
      </c>
      <c r="AW45" s="2">
        <f t="shared" ca="1" si="46"/>
        <v>0</v>
      </c>
      <c r="AY45" t="s">
        <v>350</v>
      </c>
      <c r="BA45" t="s">
        <v>354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51:54">
      <c r="AY49" t="s">
        <v>434</v>
      </c>
      <c r="AZ49" t="str">
        <f>BA45</f>
        <v>Trd_hdt</v>
      </c>
      <c r="BB49" t="s">
        <v>156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9D9D0-7C3C-4EB3-93BC-BF592ACB9E78}">
  <dimension ref="A3:AX40"/>
  <sheetViews>
    <sheetView zoomScaleNormal="100" workbookViewId="0"/>
  </sheetViews>
  <sheetFormatPr defaultRowHeight="14.25"/>
  <cols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" bestFit="1" customWidth="1"/>
    <col min="28" max="29" width="5.59765625" bestFit="1" customWidth="1"/>
    <col min="30" max="30" width="7.265625" bestFit="1" customWidth="1"/>
    <col min="31" max="31" width="6.59765625" bestFit="1" customWidth="1"/>
    <col min="32" max="32" width="5.398437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25</v>
      </c>
      <c r="C4" s="35" t="s">
        <v>32</v>
      </c>
      <c r="D4" s="2" cm="1">
        <f t="array" aca="1" ref="D4" ca="1">SUM(SUMIFS(Assumptions!BD$3:BD$102,Assumptions!$B$3:$B$102,Trucks!$C4,Assumptions!$G$3:$G$102,{"TRH","TRM","TRC"}))</f>
        <v>0</v>
      </c>
      <c r="E4" s="2" cm="1">
        <f t="array" aca="1" ref="E4" ca="1">SUM(SUMIFS(Assumptions!BE$3:BE$102,Assumptions!$B$3:$B$102,Trucks!$C4,Assumptions!$G$3:$G$102,{"TRH","TRM","TRC"}))</f>
        <v>0</v>
      </c>
      <c r="F4" s="2" cm="1">
        <f t="array" aca="1" ref="F4" ca="1">SUM(SUMIFS(Assumptions!BF$3:BF$102,Assumptions!$B$3:$B$102,Trucks!$C4,Assumptions!$G$3:$G$102,{"TRH","TRM","TRC"}))</f>
        <v>3.0656042676E-2</v>
      </c>
      <c r="G4" s="2" cm="1">
        <f t="array" aca="1" ref="G4" ca="1">SUM(SUMIFS(Assumptions!BG$3:BG$102,Assumptions!$B$3:$B$102,Trucks!$C4,Assumptions!$G$3:$G$102,{"TRH","TRM","TRC"}))</f>
        <v>13.546605094272</v>
      </c>
      <c r="H4" s="2" cm="1">
        <f t="array" aca="1" ref="H4" ca="1">SUM(SUMIFS(Assumptions!BH$3:BH$102,Assumptions!$B$3:$B$102,Trucks!$C4,Assumptions!$G$3:$G$102,{"TRH","TRM","TRC"}))</f>
        <v>3.9187558723680005</v>
      </c>
      <c r="I4" s="2" cm="1">
        <f t="array" aca="1" ref="I4" ca="1">SUM(SUMIFS(Assumptions!BI$3:BI$102,Assumptions!$B$3:$B$102,Trucks!$C4,Assumptions!$G$3:$G$102,{"TRH","TRM","TRC"}))</f>
        <v>28.066730116176004</v>
      </c>
      <c r="J4" s="2" cm="1">
        <f t="array" aca="1" ref="J4" ca="1">SUM(SUMIFS(Assumptions!BJ$3:BJ$102,Assumptions!$B$3:$B$102,Trucks!$C4,Assumptions!$G$3:$G$102,{"TRH","TRM","TRC"}))</f>
        <v>544.91204663642156</v>
      </c>
      <c r="K4" s="2" cm="1">
        <f t="array" aca="1" ref="K4" ca="1">SUM(SUMIFS(Assumptions!BK$3:BK$102,Assumptions!$B$3:$B$102,Trucks!$C4,Assumptions!$G$3:$G$102,{"TRH","TRM","TRC"}))</f>
        <v>22.173840328770002</v>
      </c>
      <c r="L4" s="2" cm="1">
        <f t="array" aca="1" ref="L4" ca="1">SUM(SUMIFS(Assumptions!BL$3:BL$102,Assumptions!$B$3:$B$102,Trucks!$C4,Assumptions!$G$3:$G$102,{"TRH","TRM","TRC"}))</f>
        <v>4.5959729495040005</v>
      </c>
      <c r="M4" s="2" cm="1">
        <f t="array" aca="1" ref="M4" ca="1">SUM(SUMIFS(Assumptions!BM$3:BM$102,Assumptions!$B$3:$B$102,Trucks!$C4,Assumptions!$G$3:$G$102,{"TRH","TRM","TRC"}))</f>
        <v>12.045491928576002</v>
      </c>
      <c r="N4" s="2" cm="1">
        <f t="array" aca="1" ref="N4" ca="1">SUM(SUMIFS(Assumptions!BN$3:BN$102,Assumptions!$B$3:$B$102,Trucks!$C4,Assumptions!$G$3:$G$102,{"TRH","TRM","TRC"}))</f>
        <v>80.334474700752011</v>
      </c>
      <c r="O4" s="2" cm="1">
        <f t="array" aca="1" ref="O4" ca="1">SUM(SUMIFS(Assumptions!BO$3:BO$102,Assumptions!$B$3:$B$102,Trucks!$C4,Assumptions!$G$3:$G$102,{"TRH","TRM","TRC"}))</f>
        <v>60.111356161968004</v>
      </c>
      <c r="P4" s="2" cm="1">
        <f t="array" aca="1" ref="P4" ca="1">SUM(SUMIFS(Assumptions!BP$3:BP$102,Assumptions!$B$3:$B$102,Trucks!$C4,Assumptions!$G$3:$G$102,{"TRH","TRM","TRC"}))</f>
        <v>5.4459573238080008</v>
      </c>
      <c r="Q4" s="2" cm="1">
        <f t="array" aca="1" ref="Q4" ca="1">SUM(SUMIFS(Assumptions!BQ$3:BQ$102,Assumptions!$B$3:$B$102,Trucks!$C4,Assumptions!$G$3:$G$102,{"TRH","TRM","TRC"}))</f>
        <v>18.656381134944002</v>
      </c>
      <c r="R4" s="2" cm="1">
        <f t="array" aca="1" ref="R4" ca="1">SUM(SUMIFS(Assumptions!BR$3:BR$102,Assumptions!$B$3:$B$102,Trucks!$C4,Assumptions!$G$3:$G$102,{"TRH","TRM","TRC"}))</f>
        <v>0.49318913016000004</v>
      </c>
      <c r="S4" s="2" cm="1">
        <f t="array" aca="1" ref="S4" ca="1">SUM(SUMIFS(Assumptions!BS$3:BS$102,Assumptions!$B$3:$B$102,Trucks!$C4,Assumptions!$G$3:$G$102,{"TRH","TRM","TRC"}))</f>
        <v>0.92077780320000002</v>
      </c>
      <c r="T4" s="2" cm="1">
        <f t="array" aca="1" ref="T4" ca="1">SUM(SUMIFS(Assumptions!BT$3:BT$102,Assumptions!$B$3:$B$102,Trucks!$C4,Assumptions!$G$3:$G$102,{"TRH","TRM","TRC"}))</f>
        <v>5.1541835860800003</v>
      </c>
      <c r="U4" s="2" cm="1">
        <f t="array" aca="1" ref="U4" ca="1">SUM(SUMIFS(Assumptions!BU$3:BU$102,Assumptions!$B$3:$B$102,Trucks!$C4,Assumptions!$G$3:$G$102,{"TRH","TRM","TRC"}))</f>
        <v>39.983053905648006</v>
      </c>
      <c r="V4" s="2" cm="1">
        <f t="array" aca="1" ref="V4" ca="1">SUM(SUMIFS(Assumptions!BV$3:BV$102,Assumptions!$B$3:$B$102,Trucks!$C4,Assumptions!$G$3:$G$102,{"TRH","TRM","TRC"}))</f>
        <v>0.46862035973999999</v>
      </c>
      <c r="W4" s="2" cm="1">
        <f t="array" aca="1" ref="W4" ca="1">SUM(SUMIFS(Assumptions!BW$3:BW$102,Assumptions!$B$3:$B$102,Trucks!$C4,Assumptions!$G$3:$G$102,{"TRH","TRM","TRC"}))</f>
        <v>62.158573174712394</v>
      </c>
      <c r="X4" s="2" cm="1">
        <f t="array" aca="1" ref="X4" ca="1">SUM(SUMIFS(Assumptions!BX$3:BX$102,Assumptions!$B$3:$B$102,Trucks!$C4,Assumptions!$G$3:$G$102,{"TRH","TRM","TRC"}))</f>
        <v>0</v>
      </c>
      <c r="Y4" s="2" cm="1">
        <f t="array" aca="1" ref="Y4" ca="1">SUM(SUMIFS(Assumptions!BY$3:BY$102,Assumptions!$B$3:$B$102,Trucks!$C4,Assumptions!$G$3:$G$102,{"TRH","TRM","TRC"}))</f>
        <v>191.2844901087777</v>
      </c>
      <c r="Z4" s="2" cm="1">
        <f t="array" aca="1" ref="Z4" ca="1">SUM(SUMIFS(Assumptions!BZ$3:BZ$102,Assumptions!$B$3:$B$102,Trucks!$C4,Assumptions!$G$3:$G$102,{"TRH","TRM","TRC"}))</f>
        <v>13.332318641280002</v>
      </c>
      <c r="AA4" s="2" cm="1">
        <f t="array" aca="1" ref="AA4" ca="1">SUM(SUMIFS(Assumptions!CA$3:CA$102,Assumptions!$B$3:$B$102,Trucks!$C4,Assumptions!$G$3:$G$102,{"TRH","TRM","TRC"}))</f>
        <v>25.255013400576001</v>
      </c>
      <c r="AB4" s="2" cm="1">
        <f t="array" aca="1" ref="AB4" ca="1">SUM(SUMIFS(Assumptions!CB$3:CB$102,Assumptions!$B$3:$B$102,Trucks!$C4,Assumptions!$G$3:$G$102,{"TRH","TRM","TRC"}))</f>
        <v>222.92051070502083</v>
      </c>
      <c r="AC4" s="2" cm="1">
        <f t="array" aca="1" ref="AC4" ca="1">SUM(SUMIFS(Assumptions!CC$3:CC$102,Assumptions!$B$3:$B$102,Trucks!$C4,Assumptions!$G$3:$G$102,{"TRH","TRM","TRC"}))</f>
        <v>6.1560341657999999E-2</v>
      </c>
      <c r="AD4" s="2" cm="1">
        <f t="array" aca="1" ref="AD4" ca="1">SUM(SUMIFS(Assumptions!CD$3:CD$102,Assumptions!$B$3:$B$102,Trucks!$C4,Assumptions!$G$3:$G$102,{"TRH","TRM","TRC"}))</f>
        <v>0</v>
      </c>
      <c r="AE4" s="2" cm="1">
        <f t="array" aca="1" ref="AE4" ca="1">SUM(SUMIFS(Assumptions!CE$3:CE$102,Assumptions!$B$3:$B$102,Trucks!$C4,Assumptions!$G$3:$G$102,{"TRH","TRM","TRC"}))</f>
        <v>0</v>
      </c>
      <c r="AF4" s="2" cm="1">
        <f t="array" aca="1" ref="AF4" ca="1">SUM(SUMIFS(Assumptions!CF$3:CF$102,Assumptions!$B$3:$B$102,Trucks!$C4,Assumptions!$G$3:$G$102,{"TRH","TRM","TRC"}))</f>
        <v>55.924350841296004</v>
      </c>
      <c r="AG4" s="2" cm="1">
        <f t="array" aca="1" ref="AG4" ca="1">SUM(SUMIFS(Assumptions!CG$3:CG$102,Assumptions!$B$3:$B$102,Trucks!$C4,Assumptions!$G$3:$G$102,{"TRH","TRM","TRC"}))</f>
        <v>54.465437605104</v>
      </c>
      <c r="AH4" s="2" cm="1">
        <f t="array" aca="1" ref="AH4" ca="1">SUM(SUMIFS(Assumptions!CH$3:CH$102,Assumptions!$B$3:$B$102,Trucks!$C4,Assumptions!$G$3:$G$102,{"TRH","TRM","TRC"}))</f>
        <v>4.7676699331200005</v>
      </c>
      <c r="AI4" s="2" cm="1">
        <f t="array" aca="1" ref="AI4" ca="1">SUM(SUMIFS(Assumptions!CI$3:CI$102,Assumptions!$B$3:$B$102,Trucks!$C4,Assumptions!$G$3:$G$102,{"TRH","TRM","TRC"}))</f>
        <v>3.8713951257119996</v>
      </c>
      <c r="AJ4" s="2" cm="1">
        <f t="array" aca="1" ref="AJ4" ca="1">SUM(SUMIFS(Assumptions!CJ$3:CJ$102,Assumptions!$B$3:$B$102,Trucks!$C4,Assumptions!$G$3:$G$102,{"TRH","TRM","TRC"}))</f>
        <v>40.193057429712006</v>
      </c>
      <c r="AK4" s="2" cm="1">
        <f t="array" aca="1" ref="AK4" ca="1">SUM(SUMIFS(Assumptions!CK$3:CK$102,Assumptions!$B$3:$B$102,Trucks!$C4,Assumptions!$G$3:$G$102,{"TRH","TRM","TRC"}))</f>
        <v>0</v>
      </c>
      <c r="AL4" s="2" cm="1">
        <f t="array" aca="1" ref="AL4" ca="1">SUM(SUMIFS(Assumptions!CL$3:CL$102,Assumptions!$B$3:$B$102,Trucks!$C4,Assumptions!$G$3:$G$102,{"TRH","TRM","TRC"}))</f>
        <v>3.6253866288959999</v>
      </c>
      <c r="AM4" s="2" cm="1">
        <f t="array" aca="1" ref="AM4" ca="1">SUM(SUMIFS(Assumptions!CM$3:CM$102,Assumptions!$B$3:$B$102,Trucks!$C4,Assumptions!$G$3:$G$102,{"TRH","TRM","TRC"}))</f>
        <v>0</v>
      </c>
      <c r="AN4" s="2" cm="1">
        <f t="array" aca="1" ref="AN4" ca="1">SUM(SUMIFS(Assumptions!CN$3:CN$102,Assumptions!$B$3:$B$102,Trucks!$C4,Assumptions!$G$3:$G$102,{"TRH","TRM","TRC"}))</f>
        <v>0</v>
      </c>
      <c r="AO4" s="2" cm="1">
        <f t="array" aca="1" ref="AO4" ca="1">SUM(SUMIFS(Assumptions!CO$3:CO$102,Assumptions!$B$3:$B$102,Trucks!$C4,Assumptions!$G$3:$G$102,{"TRH","TRM","TRC"}))</f>
        <v>0</v>
      </c>
      <c r="AP4" s="2" cm="1">
        <f t="array" aca="1" ref="AP4" ca="1">SUM(SUMIFS(Assumptions!CP$3:CP$102,Assumptions!$B$3:$B$102,Trucks!$C4,Assumptions!$G$3:$G$102,{"TRH","TRM","TRC"}))</f>
        <v>0</v>
      </c>
      <c r="AQ4" s="2" cm="1">
        <f t="array" aca="1" ref="AQ4" ca="1">SUM(SUMIFS(Assumptions!CQ$3:CQ$102,Assumptions!$B$3:$B$102,Trucks!$C4,Assumptions!$G$3:$G$102,{"TRH","TRM","TRC"}))</f>
        <v>0</v>
      </c>
      <c r="AR4" s="2" cm="1">
        <f t="array" aca="1" ref="AR4" ca="1">SUM(SUMIFS(Assumptions!CR$3:CR$102,Assumptions!$B$3:$B$102,Trucks!$C4,Assumptions!$G$3:$G$102,{"TRH","TRM","TRC"}))</f>
        <v>0</v>
      </c>
      <c r="AS4" s="2" cm="1">
        <f t="array" aca="1" ref="AS4" ca="1">SUM(SUMIFS(Assumptions!CS$3:CS$102,Assumptions!$B$3:$B$102,Trucks!$C4,Assumptions!$G$3:$G$102,{"TRH","TRM","TRC"}))</f>
        <v>0</v>
      </c>
      <c r="AT4" s="2" cm="1">
        <f t="array" aca="1" ref="AT4" ca="1">SUM(SUMIFS(Assumptions!CT$3:CT$102,Assumptions!$B$3:$B$102,Trucks!$C4,Assumptions!$G$3:$G$102,{"TRH","TRM","TRC"}))</f>
        <v>0</v>
      </c>
      <c r="AU4" s="2" cm="1">
        <f t="array" aca="1" ref="AU4" ca="1">SUM(SUMIFS(Assumptions!CU$3:CU$102,Assumptions!$B$3:$B$102,Trucks!$C4,Assumptions!$G$3:$G$102,{"TRH","TRM","TRC"}))</f>
        <v>0</v>
      </c>
      <c r="AV4" s="2" cm="1">
        <f t="array" aca="1" ref="AV4" ca="1">SUM(SUMIFS(Assumptions!CV$3:CV$102,Assumptions!$B$3:$B$102,Trucks!$C4,Assumptions!$G$3:$G$102,{"TRH","TRM","TRC"}))</f>
        <v>0</v>
      </c>
      <c r="AW4" s="2" cm="1">
        <f t="array" aca="1" ref="AW4" ca="1">SUM(SUMIFS(Assumptions!CW$3:CW$102,Assumptions!$B$3:$B$102,Trucks!$C4,Assumptions!$G$3:$G$102,{"TRH","TRM","TRC"}))</f>
        <v>0</v>
      </c>
    </row>
    <row r="5" spans="1:50">
      <c r="A5" t="s">
        <v>25</v>
      </c>
      <c r="C5" s="35" t="s">
        <v>33</v>
      </c>
      <c r="D5" s="2" cm="1">
        <f t="array" aca="1" ref="D5" ca="1">SUM(SUMIFS(Assumptions!BD$3:BD$102,Assumptions!$B$3:$B$102,Trucks!$C5,Assumptions!$G$3:$G$102,{"TRH","TRM","TRC"}))</f>
        <v>0</v>
      </c>
      <c r="E5" s="2" cm="1">
        <f t="array" aca="1" ref="E5" ca="1">SUM(SUMIFS(Assumptions!BE$3:BE$102,Assumptions!$B$3:$B$102,Trucks!$C5,Assumptions!$G$3:$G$102,{"TRH","TRM","TRC"}))</f>
        <v>0</v>
      </c>
      <c r="F5" s="2" cm="1">
        <f t="array" aca="1" ref="F5" ca="1">SUM(SUMIFS(Assumptions!BF$3:BF$102,Assumptions!$B$3:$B$102,Trucks!$C5,Assumptions!$G$3:$G$102,{"TRH","TRM","TRC"}))</f>
        <v>0</v>
      </c>
      <c r="G5" s="2" cm="1">
        <f t="array" aca="1" ref="G5" ca="1">SUM(SUMIFS(Assumptions!BG$3:BG$102,Assumptions!$B$3:$B$102,Trucks!$C5,Assumptions!$G$3:$G$102,{"TRH","TRM","TRC"}))</f>
        <v>0</v>
      </c>
      <c r="H5" s="2" cm="1">
        <f t="array" aca="1" ref="H5" ca="1">SUM(SUMIFS(Assumptions!BH$3:BH$102,Assumptions!$B$3:$B$102,Trucks!$C5,Assumptions!$G$3:$G$102,{"TRH","TRM","TRC"}))</f>
        <v>0</v>
      </c>
      <c r="I5" s="2" cm="1">
        <f t="array" aca="1" ref="I5" ca="1">SUM(SUMIFS(Assumptions!BI$3:BI$102,Assumptions!$B$3:$B$102,Trucks!$C5,Assumptions!$G$3:$G$102,{"TRH","TRM","TRC"}))</f>
        <v>0</v>
      </c>
      <c r="J5" s="2" cm="1">
        <f t="array" aca="1" ref="J5" ca="1">SUM(SUMIFS(Assumptions!BJ$3:BJ$102,Assumptions!$B$3:$B$102,Trucks!$C5,Assumptions!$G$3:$G$102,{"TRH","TRM","TRC"}))</f>
        <v>0</v>
      </c>
      <c r="K5" s="2" cm="1">
        <f t="array" aca="1" ref="K5" ca="1">SUM(SUMIFS(Assumptions!BK$3:BK$102,Assumptions!$B$3:$B$102,Trucks!$C5,Assumptions!$G$3:$G$102,{"TRH","TRM","TRC"}))</f>
        <v>0</v>
      </c>
      <c r="L5" s="2" cm="1">
        <f t="array" aca="1" ref="L5" ca="1">SUM(SUMIFS(Assumptions!BL$3:BL$102,Assumptions!$B$3:$B$102,Trucks!$C5,Assumptions!$G$3:$G$102,{"TRH","TRM","TRC"}))</f>
        <v>0</v>
      </c>
      <c r="M5" s="2" cm="1">
        <f t="array" aca="1" ref="M5" ca="1">SUM(SUMIFS(Assumptions!BM$3:BM$102,Assumptions!$B$3:$B$102,Trucks!$C5,Assumptions!$G$3:$G$102,{"TRH","TRM","TRC"}))</f>
        <v>0</v>
      </c>
      <c r="N5" s="2" cm="1">
        <f t="array" aca="1" ref="N5" ca="1">SUM(SUMIFS(Assumptions!BN$3:BN$102,Assumptions!$B$3:$B$102,Trucks!$C5,Assumptions!$G$3:$G$102,{"TRH","TRM","TRC"}))</f>
        <v>0</v>
      </c>
      <c r="O5" s="2" cm="1">
        <f t="array" aca="1" ref="O5" ca="1">SUM(SUMIFS(Assumptions!BO$3:BO$102,Assumptions!$B$3:$B$102,Trucks!$C5,Assumptions!$G$3:$G$102,{"TRH","TRM","TRC"}))</f>
        <v>0</v>
      </c>
      <c r="P5" s="2" cm="1">
        <f t="array" aca="1" ref="P5" ca="1">SUM(SUMIFS(Assumptions!BP$3:BP$102,Assumptions!$B$3:$B$102,Trucks!$C5,Assumptions!$G$3:$G$102,{"TRH","TRM","TRC"}))</f>
        <v>0</v>
      </c>
      <c r="Q5" s="2" cm="1">
        <f t="array" aca="1" ref="Q5" ca="1">SUM(SUMIFS(Assumptions!BQ$3:BQ$102,Assumptions!$B$3:$B$102,Trucks!$C5,Assumptions!$G$3:$G$102,{"TRH","TRM","TRC"}))</f>
        <v>0</v>
      </c>
      <c r="R5" s="2" cm="1">
        <f t="array" aca="1" ref="R5" ca="1">SUM(SUMIFS(Assumptions!BR$3:BR$102,Assumptions!$B$3:$B$102,Trucks!$C5,Assumptions!$G$3:$G$102,{"TRH","TRM","TRC"}))</f>
        <v>0</v>
      </c>
      <c r="S5" s="2" cm="1">
        <f t="array" aca="1" ref="S5" ca="1">SUM(SUMIFS(Assumptions!BS$3:BS$102,Assumptions!$B$3:$B$102,Trucks!$C5,Assumptions!$G$3:$G$102,{"TRH","TRM","TRC"}))</f>
        <v>0</v>
      </c>
      <c r="T5" s="2" cm="1">
        <f t="array" aca="1" ref="T5" ca="1">SUM(SUMIFS(Assumptions!BT$3:BT$102,Assumptions!$B$3:$B$102,Trucks!$C5,Assumptions!$G$3:$G$102,{"TRH","TRM","TRC"}))</f>
        <v>0</v>
      </c>
      <c r="U5" s="2" cm="1">
        <f t="array" aca="1" ref="U5" ca="1">SUM(SUMIFS(Assumptions!BU$3:BU$102,Assumptions!$B$3:$B$102,Trucks!$C5,Assumptions!$G$3:$G$102,{"TRH","TRM","TRC"}))</f>
        <v>0</v>
      </c>
      <c r="V5" s="2" cm="1">
        <f t="array" aca="1" ref="V5" ca="1">SUM(SUMIFS(Assumptions!BV$3:BV$102,Assumptions!$B$3:$B$102,Trucks!$C5,Assumptions!$G$3:$G$102,{"TRH","TRM","TRC"}))</f>
        <v>0</v>
      </c>
      <c r="W5" s="2" cm="1">
        <f t="array" aca="1" ref="W5" ca="1">SUM(SUMIFS(Assumptions!BW$3:BW$102,Assumptions!$B$3:$B$102,Trucks!$C5,Assumptions!$G$3:$G$102,{"TRH","TRM","TRC"}))</f>
        <v>0</v>
      </c>
      <c r="X5" s="2" cm="1">
        <f t="array" aca="1" ref="X5" ca="1">SUM(SUMIFS(Assumptions!BX$3:BX$102,Assumptions!$B$3:$B$102,Trucks!$C5,Assumptions!$G$3:$G$102,{"TRH","TRM","TRC"}))</f>
        <v>0</v>
      </c>
      <c r="Y5" s="2" cm="1">
        <f t="array" aca="1" ref="Y5" ca="1">SUM(SUMIFS(Assumptions!BY$3:BY$102,Assumptions!$B$3:$B$102,Trucks!$C5,Assumptions!$G$3:$G$102,{"TRH","TRM","TRC"}))</f>
        <v>0</v>
      </c>
      <c r="Z5" s="2" cm="1">
        <f t="array" aca="1" ref="Z5" ca="1">SUM(SUMIFS(Assumptions!BZ$3:BZ$102,Assumptions!$B$3:$B$102,Trucks!$C5,Assumptions!$G$3:$G$102,{"TRH","TRM","TRC"}))</f>
        <v>0</v>
      </c>
      <c r="AA5" s="2" cm="1">
        <f t="array" aca="1" ref="AA5" ca="1">SUM(SUMIFS(Assumptions!CA$3:CA$102,Assumptions!$B$3:$B$102,Trucks!$C5,Assumptions!$G$3:$G$102,{"TRH","TRM","TRC"}))</f>
        <v>0</v>
      </c>
      <c r="AB5" s="2" cm="1">
        <f t="array" aca="1" ref="AB5" ca="1">SUM(SUMIFS(Assumptions!CB$3:CB$102,Assumptions!$B$3:$B$102,Trucks!$C5,Assumptions!$G$3:$G$102,{"TRH","TRM","TRC"}))</f>
        <v>0</v>
      </c>
      <c r="AC5" s="2" cm="1">
        <f t="array" aca="1" ref="AC5" ca="1">SUM(SUMIFS(Assumptions!CC$3:CC$102,Assumptions!$B$3:$B$102,Trucks!$C5,Assumptions!$G$3:$G$102,{"TRH","TRM","TRC"}))</f>
        <v>0</v>
      </c>
      <c r="AD5" s="2" cm="1">
        <f t="array" aca="1" ref="AD5" ca="1">SUM(SUMIFS(Assumptions!CD$3:CD$102,Assumptions!$B$3:$B$102,Trucks!$C5,Assumptions!$G$3:$G$102,{"TRH","TRM","TRC"}))</f>
        <v>0</v>
      </c>
      <c r="AE5" s="2" cm="1">
        <f t="array" aca="1" ref="AE5" ca="1">SUM(SUMIFS(Assumptions!CE$3:CE$102,Assumptions!$B$3:$B$102,Trucks!$C5,Assumptions!$G$3:$G$102,{"TRH","TRM","TRC"}))</f>
        <v>0</v>
      </c>
      <c r="AF5" s="2" cm="1">
        <f t="array" aca="1" ref="AF5" ca="1">SUM(SUMIFS(Assumptions!CF$3:CF$102,Assumptions!$B$3:$B$102,Trucks!$C5,Assumptions!$G$3:$G$102,{"TRH","TRM","TRC"}))</f>
        <v>0</v>
      </c>
      <c r="AG5" s="2" cm="1">
        <f t="array" aca="1" ref="AG5" ca="1">SUM(SUMIFS(Assumptions!CG$3:CG$102,Assumptions!$B$3:$B$102,Trucks!$C5,Assumptions!$G$3:$G$102,{"TRH","TRM","TRC"}))</f>
        <v>0</v>
      </c>
      <c r="AH5" s="2" cm="1">
        <f t="array" aca="1" ref="AH5" ca="1">SUM(SUMIFS(Assumptions!CH$3:CH$102,Assumptions!$B$3:$B$102,Trucks!$C5,Assumptions!$G$3:$G$102,{"TRH","TRM","TRC"}))</f>
        <v>0</v>
      </c>
      <c r="AI5" s="2" cm="1">
        <f t="array" aca="1" ref="AI5" ca="1">SUM(SUMIFS(Assumptions!CI$3:CI$102,Assumptions!$B$3:$B$102,Trucks!$C5,Assumptions!$G$3:$G$102,{"TRH","TRM","TRC"}))</f>
        <v>0</v>
      </c>
      <c r="AJ5" s="2" cm="1">
        <f t="array" aca="1" ref="AJ5" ca="1">SUM(SUMIFS(Assumptions!CJ$3:CJ$102,Assumptions!$B$3:$B$102,Trucks!$C5,Assumptions!$G$3:$G$102,{"TRH","TRM","TRC"}))</f>
        <v>0</v>
      </c>
      <c r="AK5" s="2" cm="1">
        <f t="array" aca="1" ref="AK5" ca="1">SUM(SUMIFS(Assumptions!CK$3:CK$102,Assumptions!$B$3:$B$102,Trucks!$C5,Assumptions!$G$3:$G$102,{"TRH","TRM","TRC"}))</f>
        <v>0</v>
      </c>
      <c r="AL5" s="2" cm="1">
        <f t="array" aca="1" ref="AL5" ca="1">SUM(SUMIFS(Assumptions!CL$3:CL$102,Assumptions!$B$3:$B$102,Trucks!$C5,Assumptions!$G$3:$G$102,{"TRH","TRM","TRC"}))</f>
        <v>0</v>
      </c>
      <c r="AM5" s="2" cm="1">
        <f t="array" aca="1" ref="AM5" ca="1">SUM(SUMIFS(Assumptions!CM$3:CM$102,Assumptions!$B$3:$B$102,Trucks!$C5,Assumptions!$G$3:$G$102,{"TRH","TRM","TRC"}))</f>
        <v>0</v>
      </c>
      <c r="AN5" s="2" cm="1">
        <f t="array" aca="1" ref="AN5" ca="1">SUM(SUMIFS(Assumptions!CN$3:CN$102,Assumptions!$B$3:$B$102,Trucks!$C5,Assumptions!$G$3:$G$102,{"TRH","TRM","TRC"}))</f>
        <v>0</v>
      </c>
      <c r="AO5" s="2" cm="1">
        <f t="array" aca="1" ref="AO5" ca="1">SUM(SUMIFS(Assumptions!CO$3:CO$102,Assumptions!$B$3:$B$102,Trucks!$C5,Assumptions!$G$3:$G$102,{"TRH","TRM","TRC"}))</f>
        <v>0</v>
      </c>
      <c r="AP5" s="2" cm="1">
        <f t="array" aca="1" ref="AP5" ca="1">SUM(SUMIFS(Assumptions!CP$3:CP$102,Assumptions!$B$3:$B$102,Trucks!$C5,Assumptions!$G$3:$G$102,{"TRH","TRM","TRC"}))</f>
        <v>0</v>
      </c>
      <c r="AQ5" s="2" cm="1">
        <f t="array" aca="1" ref="AQ5" ca="1">SUM(SUMIFS(Assumptions!CQ$3:CQ$102,Assumptions!$B$3:$B$102,Trucks!$C5,Assumptions!$G$3:$G$102,{"TRH","TRM","TRC"}))</f>
        <v>0</v>
      </c>
      <c r="AR5" s="2" cm="1">
        <f t="array" aca="1" ref="AR5" ca="1">SUM(SUMIFS(Assumptions!CR$3:CR$102,Assumptions!$B$3:$B$102,Trucks!$C5,Assumptions!$G$3:$G$102,{"TRH","TRM","TRC"}))</f>
        <v>0</v>
      </c>
      <c r="AS5" s="2" cm="1">
        <f t="array" aca="1" ref="AS5" ca="1">SUM(SUMIFS(Assumptions!CS$3:CS$102,Assumptions!$B$3:$B$102,Trucks!$C5,Assumptions!$G$3:$G$102,{"TRH","TRM","TRC"}))</f>
        <v>0</v>
      </c>
      <c r="AT5" s="2" cm="1">
        <f t="array" aca="1" ref="AT5" ca="1">SUM(SUMIFS(Assumptions!CT$3:CT$102,Assumptions!$B$3:$B$102,Trucks!$C5,Assumptions!$G$3:$G$102,{"TRH","TRM","TRC"}))</f>
        <v>0</v>
      </c>
      <c r="AU5" s="2" cm="1">
        <f t="array" aca="1" ref="AU5" ca="1">SUM(SUMIFS(Assumptions!CU$3:CU$102,Assumptions!$B$3:$B$102,Trucks!$C5,Assumptions!$G$3:$G$102,{"TRH","TRM","TRC"}))</f>
        <v>0</v>
      </c>
      <c r="AV5" s="2" cm="1">
        <f t="array" aca="1" ref="AV5" ca="1">SUM(SUMIFS(Assumptions!CV$3:CV$102,Assumptions!$B$3:$B$102,Trucks!$C5,Assumptions!$G$3:$G$102,{"TRH","TRM","TRC"}))</f>
        <v>0</v>
      </c>
      <c r="AW5" s="2" cm="1">
        <f t="array" aca="1" ref="AW5" ca="1">SUM(SUMIFS(Assumptions!CW$3:CW$102,Assumptions!$B$3:$B$102,Trucks!$C5,Assumptions!$G$3:$G$102,{"TRH","TRM","TRC"}))</f>
        <v>0</v>
      </c>
    </row>
    <row r="6" spans="1:50">
      <c r="A6" t="s">
        <v>25</v>
      </c>
      <c r="C6" s="35" t="s">
        <v>41</v>
      </c>
      <c r="D6" s="2" cm="1">
        <f t="array" aca="1" ref="D6" ca="1">SUM(SUMIFS(Assumptions!BD$3:BD$102,Assumptions!$B$3:$B$102,Trucks!$C6,Assumptions!$G$3:$G$102,{"TRH","TRM","TRC"}))</f>
        <v>650.53202093451</v>
      </c>
      <c r="E6" s="2" cm="1">
        <f t="array" aca="1" ref="E6" ca="1">SUM(SUMIFS(Assumptions!BE$3:BE$102,Assumptions!$B$3:$B$102,Trucks!$C6,Assumptions!$G$3:$G$102,{"TRH","TRM","TRC"}))</f>
        <v>578.113157771136</v>
      </c>
      <c r="F6" s="2" cm="1">
        <f t="array" aca="1" ref="F6" ca="1">SUM(SUMIFS(Assumptions!BF$3:BF$102,Assumptions!$B$3:$B$102,Trucks!$C6,Assumptions!$G$3:$G$102,{"TRH","TRM","TRC"}))</f>
        <v>479.50637991331314</v>
      </c>
      <c r="G6" s="2" cm="1">
        <f t="array" aca="1" ref="G6" ca="1">SUM(SUMIFS(Assumptions!BG$3:BG$102,Assumptions!$B$3:$B$102,Trucks!$C6,Assumptions!$G$3:$G$102,{"TRH","TRM","TRC"}))</f>
        <v>196.57441313812797</v>
      </c>
      <c r="H6" s="2" cm="1">
        <f t="array" aca="1" ref="H6" ca="1">SUM(SUMIFS(Assumptions!BH$3:BH$102,Assumptions!$B$3:$B$102,Trucks!$C6,Assumptions!$G$3:$G$102,{"TRH","TRM","TRC"}))</f>
        <v>103.68589695147</v>
      </c>
      <c r="I6" s="2" cm="1">
        <f t="array" aca="1" ref="I6" ca="1">SUM(SUMIFS(Assumptions!BI$3:BI$102,Assumptions!$B$3:$B$102,Trucks!$C6,Assumptions!$G$3:$G$102,{"TRH","TRM","TRC"}))</f>
        <v>416.65645809777607</v>
      </c>
      <c r="J6" s="2" cm="1">
        <f t="array" aca="1" ref="J6" ca="1">SUM(SUMIFS(Assumptions!BJ$3:BJ$102,Assumptions!$B$3:$B$102,Trucks!$C6,Assumptions!$G$3:$G$102,{"TRH","TRM","TRC"}))</f>
        <v>1201.9249928489326</v>
      </c>
      <c r="K6" s="2" cm="1">
        <f t="array" aca="1" ref="K6" ca="1">SUM(SUMIFS(Assumptions!BK$3:BK$102,Assumptions!$B$3:$B$102,Trucks!$C6,Assumptions!$G$3:$G$102,{"TRH","TRM","TRC"}))</f>
        <v>2270.6023934788736</v>
      </c>
      <c r="L6" s="2" cm="1">
        <f t="array" aca="1" ref="L6" ca="1">SUM(SUMIFS(Assumptions!BL$3:BL$102,Assumptions!$B$3:$B$102,Trucks!$C6,Assumptions!$G$3:$G$102,{"TRH","TRM","TRC"}))</f>
        <v>86.755702704480001</v>
      </c>
      <c r="M6" s="2" cm="1">
        <f t="array" aca="1" ref="M6" ca="1">SUM(SUMIFS(Assumptions!BM$3:BM$102,Assumptions!$B$3:$B$102,Trucks!$C6,Assumptions!$G$3:$G$102,{"TRH","TRM","TRC"}))</f>
        <v>185.902991623296</v>
      </c>
      <c r="N6" s="2" cm="1">
        <f t="array" aca="1" ref="N6" ca="1">SUM(SUMIFS(Assumptions!BN$3:BN$102,Assumptions!$B$3:$B$102,Trucks!$C6,Assumptions!$G$3:$G$102,{"TRH","TRM","TRC"}))</f>
        <v>977.66409411748816</v>
      </c>
      <c r="O6" s="2" cm="1">
        <f t="array" aca="1" ref="O6" ca="1">SUM(SUMIFS(Assumptions!BO$3:BO$102,Assumptions!$B$3:$B$102,Trucks!$C6,Assumptions!$G$3:$G$102,{"TRH","TRM","TRC"}))</f>
        <v>1055.8461106548</v>
      </c>
      <c r="P6" s="2" cm="1">
        <f t="array" aca="1" ref="P6" ca="1">SUM(SUMIFS(Assumptions!BP$3:BP$102,Assumptions!$B$3:$B$102,Trucks!$C6,Assumptions!$G$3:$G$102,{"TRH","TRM","TRC"}))</f>
        <v>85.38429610036799</v>
      </c>
      <c r="Q6" s="2" cm="1">
        <f t="array" aca="1" ref="Q6" ca="1">SUM(SUMIFS(Assumptions!BQ$3:BQ$102,Assumptions!$B$3:$B$102,Trucks!$C6,Assumptions!$G$3:$G$102,{"TRH","TRM","TRC"}))</f>
        <v>290.04730203945604</v>
      </c>
      <c r="R6" s="2" cm="1">
        <f t="array" aca="1" ref="R6" ca="1">SUM(SUMIFS(Assumptions!BR$3:BR$102,Assumptions!$B$3:$B$102,Trucks!$C6,Assumptions!$G$3:$G$102,{"TRH","TRM","TRC"}))</f>
        <v>5.8554925152479997</v>
      </c>
      <c r="S6" s="2" cm="1">
        <f t="array" aca="1" ref="S6" ca="1">SUM(SUMIFS(Assumptions!BS$3:BS$102,Assumptions!$B$3:$B$102,Trucks!$C6,Assumptions!$G$3:$G$102,{"TRH","TRM","TRC"}))</f>
        <v>1368.9331428935252</v>
      </c>
      <c r="T6" s="2" cm="1">
        <f t="array" aca="1" ref="T6" ca="1">SUM(SUMIFS(Assumptions!BT$3:BT$102,Assumptions!$B$3:$B$102,Trucks!$C6,Assumptions!$G$3:$G$102,{"TRH","TRM","TRC"}))</f>
        <v>93.741922788480011</v>
      </c>
      <c r="U6" s="2" cm="1">
        <f t="array" aca="1" ref="U6" ca="1">SUM(SUMIFS(Assumptions!BU$3:BU$102,Assumptions!$B$3:$B$102,Trucks!$C6,Assumptions!$G$3:$G$102,{"TRH","TRM","TRC"}))</f>
        <v>684.03418717636816</v>
      </c>
      <c r="V6" s="2" cm="1">
        <f t="array" aca="1" ref="V6" ca="1">SUM(SUMIFS(Assumptions!BV$3:BV$102,Assumptions!$B$3:$B$102,Trucks!$C6,Assumptions!$G$3:$G$102,{"TRH","TRM","TRC"}))</f>
        <v>824.2270629188489</v>
      </c>
      <c r="W6" s="2" cm="1">
        <f t="array" aca="1" ref="W6" ca="1">SUM(SUMIFS(Assumptions!BW$3:BW$102,Assumptions!$B$3:$B$102,Trucks!$C6,Assumptions!$G$3:$G$102,{"TRH","TRM","TRC"}))</f>
        <v>1234.0459637189711</v>
      </c>
      <c r="X6" s="2" cm="1">
        <f t="array" aca="1" ref="X6" ca="1">SUM(SUMIFS(Assumptions!BX$3:BX$102,Assumptions!$B$3:$B$102,Trucks!$C6,Assumptions!$G$3:$G$102,{"TRH","TRM","TRC"}))</f>
        <v>1213.1904016417679</v>
      </c>
      <c r="Y6" s="2" cm="1">
        <f t="array" aca="1" ref="Y6" ca="1">SUM(SUMIFS(Assumptions!BY$3:BY$102,Assumptions!$B$3:$B$102,Trucks!$C6,Assumptions!$G$3:$G$102,{"TRH","TRM","TRC"}))</f>
        <v>5900.5268127319086</v>
      </c>
      <c r="Z6" s="2" cm="1">
        <f t="array" aca="1" ref="Z6" ca="1">SUM(SUMIFS(Assumptions!BZ$3:BZ$102,Assumptions!$B$3:$B$102,Trucks!$C6,Assumptions!$G$3:$G$102,{"TRH","TRM","TRC"}))</f>
        <v>67.336122692879997</v>
      </c>
      <c r="AA6" s="2" cm="1">
        <f t="array" aca="1" ref="AA6" ca="1">SUM(SUMIFS(Assumptions!CA$3:CA$102,Assumptions!$B$3:$B$102,Trucks!$C6,Assumptions!$G$3:$G$102,{"TRH","TRM","TRC"}))</f>
        <v>426.81471425481607</v>
      </c>
      <c r="AB6" s="2" cm="1">
        <f t="array" aca="1" ref="AB6" ca="1">SUM(SUMIFS(Assumptions!CB$3:CB$102,Assumptions!$B$3:$B$102,Trucks!$C6,Assumptions!$G$3:$G$102,{"TRH","TRM","TRC"}))</f>
        <v>3140.0204173642151</v>
      </c>
      <c r="AC6" s="2" cm="1">
        <f t="array" aca="1" ref="AC6" ca="1">SUM(SUMIFS(Assumptions!CC$3:CC$102,Assumptions!$B$3:$B$102,Trucks!$C6,Assumptions!$G$3:$G$102,{"TRH","TRM","TRC"}))</f>
        <v>599.63674663152005</v>
      </c>
      <c r="AD6" s="2" cm="1">
        <f t="array" aca="1" ref="AD6" ca="1">SUM(SUMIFS(Assumptions!CD$3:CD$102,Assumptions!$B$3:$B$102,Trucks!$C6,Assumptions!$G$3:$G$102,{"TRH","TRM","TRC"}))</f>
        <v>689.95696650803995</v>
      </c>
      <c r="AE6" s="2" cm="1">
        <f t="array" aca="1" ref="AE6" ca="1">SUM(SUMIFS(Assumptions!CE$3:CE$102,Assumptions!$B$3:$B$102,Trucks!$C6,Assumptions!$G$3:$G$102,{"TRH","TRM","TRC"}))</f>
        <v>203.06999167603198</v>
      </c>
      <c r="AF6" s="2" cm="1">
        <f t="array" aca="1" ref="AF6" ca="1">SUM(SUMIFS(Assumptions!CF$3:CF$102,Assumptions!$B$3:$B$102,Trucks!$C6,Assumptions!$G$3:$G$102,{"TRH","TRM","TRC"}))</f>
        <v>816.37854932087998</v>
      </c>
      <c r="AG6" s="2" cm="1">
        <f t="array" aca="1" ref="AG6" ca="1">SUM(SUMIFS(Assumptions!CG$3:CG$102,Assumptions!$B$3:$B$102,Trucks!$C6,Assumptions!$G$3:$G$102,{"TRH","TRM","TRC"}))</f>
        <v>245.07181520179202</v>
      </c>
      <c r="AH6" s="2" cm="1">
        <f t="array" aca="1" ref="AH6" ca="1">SUM(SUMIFS(Assumptions!CH$3:CH$102,Assumptions!$B$3:$B$102,Trucks!$C6,Assumptions!$G$3:$G$102,{"TRH","TRM","TRC"}))</f>
        <v>86.499540882720012</v>
      </c>
      <c r="AI6" s="2" cm="1">
        <f t="array" aca="1" ref="AI6" ca="1">SUM(SUMIFS(Assumptions!CI$3:CI$102,Assumptions!$B$3:$B$102,Trucks!$C6,Assumptions!$G$3:$G$102,{"TRH","TRM","TRC"}))</f>
        <v>666.10382525485204</v>
      </c>
      <c r="AJ6" s="2" cm="1">
        <f t="array" aca="1" ref="AJ6" ca="1">SUM(SUMIFS(Assumptions!CJ$3:CJ$102,Assumptions!$B$3:$B$102,Trucks!$C6,Assumptions!$G$3:$G$102,{"TRH","TRM","TRC"}))</f>
        <v>770.74596850665603</v>
      </c>
      <c r="AK6" s="2" cm="1">
        <f t="array" aca="1" ref="AK6" ca="1">SUM(SUMIFS(Assumptions!CK$3:CK$102,Assumptions!$B$3:$B$102,Trucks!$C6,Assumptions!$G$3:$G$102,{"TRH","TRM","TRC"}))</f>
        <v>155.43421389775799</v>
      </c>
      <c r="AL6" s="2" cm="1">
        <f t="array" aca="1" ref="AL6" ca="1">SUM(SUMIFS(Assumptions!CL$3:CL$102,Assumptions!$B$3:$B$102,Trucks!$C6,Assumptions!$G$3:$G$102,{"TRH","TRM","TRC"}))</f>
        <v>135.15883193232</v>
      </c>
      <c r="AM6" s="2" cm="1">
        <f t="array" aca="1" ref="AM6" ca="1">SUM(SUMIFS(Assumptions!CM$3:CM$102,Assumptions!$B$3:$B$102,Trucks!$C6,Assumptions!$G$3:$G$102,{"TRH","TRM","TRC"}))</f>
        <v>0</v>
      </c>
      <c r="AN6" s="2" cm="1">
        <f t="array" aca="1" ref="AN6" ca="1">SUM(SUMIFS(Assumptions!CN$3:CN$102,Assumptions!$B$3:$B$102,Trucks!$C6,Assumptions!$G$3:$G$102,{"TRH","TRM","TRC"}))</f>
        <v>0</v>
      </c>
      <c r="AO6" s="2" cm="1">
        <f t="array" aca="1" ref="AO6" ca="1">SUM(SUMIFS(Assumptions!CO$3:CO$102,Assumptions!$B$3:$B$102,Trucks!$C6,Assumptions!$G$3:$G$102,{"TRH","TRM","TRC"}))</f>
        <v>0</v>
      </c>
      <c r="AP6" s="2" cm="1">
        <f t="array" aca="1" ref="AP6" ca="1">SUM(SUMIFS(Assumptions!CP$3:CP$102,Assumptions!$B$3:$B$102,Trucks!$C6,Assumptions!$G$3:$G$102,{"TRH","TRM","TRC"}))</f>
        <v>0</v>
      </c>
      <c r="AQ6" s="2" cm="1">
        <f t="array" aca="1" ref="AQ6" ca="1">SUM(SUMIFS(Assumptions!CQ$3:CQ$102,Assumptions!$B$3:$B$102,Trucks!$C6,Assumptions!$G$3:$G$102,{"TRH","TRM","TRC"}))</f>
        <v>0</v>
      </c>
      <c r="AR6" s="2" cm="1">
        <f t="array" aca="1" ref="AR6" ca="1">SUM(SUMIFS(Assumptions!CR$3:CR$102,Assumptions!$B$3:$B$102,Trucks!$C6,Assumptions!$G$3:$G$102,{"TRH","TRM","TRC"}))</f>
        <v>0</v>
      </c>
      <c r="AS6" s="2" cm="1">
        <f t="array" aca="1" ref="AS6" ca="1">SUM(SUMIFS(Assumptions!CS$3:CS$102,Assumptions!$B$3:$B$102,Trucks!$C6,Assumptions!$G$3:$G$102,{"TRH","TRM","TRC"}))</f>
        <v>0</v>
      </c>
      <c r="AT6" s="2" cm="1">
        <f t="array" aca="1" ref="AT6" ca="1">SUM(SUMIFS(Assumptions!CT$3:CT$102,Assumptions!$B$3:$B$102,Trucks!$C6,Assumptions!$G$3:$G$102,{"TRH","TRM","TRC"}))</f>
        <v>0</v>
      </c>
      <c r="AU6" s="2" cm="1">
        <f t="array" aca="1" ref="AU6" ca="1">SUM(SUMIFS(Assumptions!CU$3:CU$102,Assumptions!$B$3:$B$102,Trucks!$C6,Assumptions!$G$3:$G$102,{"TRH","TRM","TRC"}))</f>
        <v>0</v>
      </c>
      <c r="AV6" s="2" cm="1">
        <f t="array" aca="1" ref="AV6" ca="1">SUM(SUMIFS(Assumptions!CV$3:CV$102,Assumptions!$B$3:$B$102,Trucks!$C6,Assumptions!$G$3:$G$102,{"TRH","TRM","TRC"}))</f>
        <v>0</v>
      </c>
      <c r="AW6" s="2" cm="1">
        <f t="array" aca="1" ref="AW6" ca="1">SUM(SUMIFS(Assumptions!CW$3:CW$102,Assumptions!$B$3:$B$102,Trucks!$C6,Assumptions!$G$3:$G$102,{"TRH","TRM","TRC"}))</f>
        <v>0</v>
      </c>
    </row>
    <row r="7" spans="1:50">
      <c r="A7" t="s">
        <v>25</v>
      </c>
      <c r="C7" s="35" t="s">
        <v>37</v>
      </c>
      <c r="D7" s="2" cm="1">
        <f t="array" aca="1" ref="D7" ca="1">SUM(SUMIFS(Assumptions!BD$3:BD$102,Assumptions!$B$3:$B$102,Trucks!$C7,Assumptions!$G$3:$G$102,{"TRH","TRM","TRC"}))</f>
        <v>0</v>
      </c>
      <c r="E7" s="2" cm="1">
        <f t="array" aca="1" ref="E7" ca="1">SUM(SUMIFS(Assumptions!BE$3:BE$102,Assumptions!$B$3:$B$102,Trucks!$C7,Assumptions!$G$3:$G$102,{"TRH","TRM","TRC"}))</f>
        <v>0</v>
      </c>
      <c r="F7" s="2" cm="1">
        <f t="array" aca="1" ref="F7" ca="1">SUM(SUMIFS(Assumptions!BF$3:BF$102,Assumptions!$B$3:$B$102,Trucks!$C7,Assumptions!$G$3:$G$102,{"TRH","TRM","TRC"}))</f>
        <v>0</v>
      </c>
      <c r="G7" s="2" cm="1">
        <f t="array" aca="1" ref="G7" ca="1">SUM(SUMIFS(Assumptions!BG$3:BG$102,Assumptions!$B$3:$B$102,Trucks!$C7,Assumptions!$G$3:$G$102,{"TRH","TRM","TRC"}))</f>
        <v>0</v>
      </c>
      <c r="H7" s="2" cm="1">
        <f t="array" aca="1" ref="H7" ca="1">SUM(SUMIFS(Assumptions!BH$3:BH$102,Assumptions!$B$3:$B$102,Trucks!$C7,Assumptions!$G$3:$G$102,{"TRH","TRM","TRC"}))</f>
        <v>0</v>
      </c>
      <c r="I7" s="2" cm="1">
        <f t="array" aca="1" ref="I7" ca="1">SUM(SUMIFS(Assumptions!BI$3:BI$102,Assumptions!$B$3:$B$102,Trucks!$C7,Assumptions!$G$3:$G$102,{"TRH","TRM","TRC"}))</f>
        <v>0</v>
      </c>
      <c r="J7" s="2" cm="1">
        <f t="array" aca="1" ref="J7" ca="1">SUM(SUMIFS(Assumptions!BJ$3:BJ$102,Assumptions!$B$3:$B$102,Trucks!$C7,Assumptions!$G$3:$G$102,{"TRH","TRM","TRC"}))</f>
        <v>0</v>
      </c>
      <c r="K7" s="2" cm="1">
        <f t="array" aca="1" ref="K7" ca="1">SUM(SUMIFS(Assumptions!BK$3:BK$102,Assumptions!$B$3:$B$102,Trucks!$C7,Assumptions!$G$3:$G$102,{"TRH","TRM","TRC"}))</f>
        <v>24.536301367319993</v>
      </c>
      <c r="L7" s="2" cm="1">
        <f t="array" aca="1" ref="L7" ca="1">SUM(SUMIFS(Assumptions!BL$3:BL$102,Assumptions!$B$3:$B$102,Trucks!$C7,Assumptions!$G$3:$G$102,{"TRH","TRM","TRC"}))</f>
        <v>0</v>
      </c>
      <c r="M7" s="2" cm="1">
        <f t="array" aca="1" ref="M7" ca="1">SUM(SUMIFS(Assumptions!BM$3:BM$102,Assumptions!$B$3:$B$102,Trucks!$C7,Assumptions!$G$3:$G$102,{"TRH","TRM","TRC"}))</f>
        <v>0</v>
      </c>
      <c r="N7" s="2" cm="1">
        <f t="array" aca="1" ref="N7" ca="1">SUM(SUMIFS(Assumptions!BN$3:BN$102,Assumptions!$B$3:$B$102,Trucks!$C7,Assumptions!$G$3:$G$102,{"TRH","TRM","TRC"}))</f>
        <v>0</v>
      </c>
      <c r="O7" s="2" cm="1">
        <f t="array" aca="1" ref="O7" ca="1">SUM(SUMIFS(Assumptions!BO$3:BO$102,Assumptions!$B$3:$B$102,Trucks!$C7,Assumptions!$G$3:$G$102,{"TRH","TRM","TRC"}))</f>
        <v>0</v>
      </c>
      <c r="P7" s="2" cm="1">
        <f t="array" aca="1" ref="P7" ca="1">SUM(SUMIFS(Assumptions!BP$3:BP$102,Assumptions!$B$3:$B$102,Trucks!$C7,Assumptions!$G$3:$G$102,{"TRH","TRM","TRC"}))</f>
        <v>0</v>
      </c>
      <c r="Q7" s="2" cm="1">
        <f t="array" aca="1" ref="Q7" ca="1">SUM(SUMIFS(Assumptions!BQ$3:BQ$102,Assumptions!$B$3:$B$102,Trucks!$C7,Assumptions!$G$3:$G$102,{"TRH","TRM","TRC"}))</f>
        <v>0</v>
      </c>
      <c r="R7" s="2" cm="1">
        <f t="array" aca="1" ref="R7" ca="1">SUM(SUMIFS(Assumptions!BR$3:BR$102,Assumptions!$B$3:$B$102,Trucks!$C7,Assumptions!$G$3:$G$102,{"TRH","TRM","TRC"}))</f>
        <v>0</v>
      </c>
      <c r="S7" s="2" cm="1">
        <f t="array" aca="1" ref="S7" ca="1">SUM(SUMIFS(Assumptions!BS$3:BS$102,Assumptions!$B$3:$B$102,Trucks!$C7,Assumptions!$G$3:$G$102,{"TRH","TRM","TRC"}))</f>
        <v>0</v>
      </c>
      <c r="T7" s="2" cm="1">
        <f t="array" aca="1" ref="T7" ca="1">SUM(SUMIFS(Assumptions!BT$3:BT$102,Assumptions!$B$3:$B$102,Trucks!$C7,Assumptions!$G$3:$G$102,{"TRH","TRM","TRC"}))</f>
        <v>0</v>
      </c>
      <c r="U7" s="2" cm="1">
        <f t="array" aca="1" ref="U7" ca="1">SUM(SUMIFS(Assumptions!BU$3:BU$102,Assumptions!$B$3:$B$102,Trucks!$C7,Assumptions!$G$3:$G$102,{"TRH","TRM","TRC"}))</f>
        <v>0</v>
      </c>
      <c r="V7" s="2" cm="1">
        <f t="array" aca="1" ref="V7" ca="1">SUM(SUMIFS(Assumptions!BV$3:BV$102,Assumptions!$B$3:$B$102,Trucks!$C7,Assumptions!$G$3:$G$102,{"TRH","TRM","TRC"}))</f>
        <v>0</v>
      </c>
      <c r="W7" s="2" cm="1">
        <f t="array" aca="1" ref="W7" ca="1">SUM(SUMIFS(Assumptions!BW$3:BW$102,Assumptions!$B$3:$B$102,Trucks!$C7,Assumptions!$G$3:$G$102,{"TRH","TRM","TRC"}))</f>
        <v>0</v>
      </c>
      <c r="X7" s="2" cm="1">
        <f t="array" aca="1" ref="X7" ca="1">SUM(SUMIFS(Assumptions!BX$3:BX$102,Assumptions!$B$3:$B$102,Trucks!$C7,Assumptions!$G$3:$G$102,{"TRH","TRM","TRC"}))</f>
        <v>0</v>
      </c>
      <c r="Y7" s="2" cm="1">
        <f t="array" aca="1" ref="Y7" ca="1">SUM(SUMIFS(Assumptions!BY$3:BY$102,Assumptions!$B$3:$B$102,Trucks!$C7,Assumptions!$G$3:$G$102,{"TRH","TRM","TRC"}))</f>
        <v>0</v>
      </c>
      <c r="Z7" s="2" cm="1">
        <f t="array" aca="1" ref="Z7" ca="1">SUM(SUMIFS(Assumptions!BZ$3:BZ$102,Assumptions!$B$3:$B$102,Trucks!$C7,Assumptions!$G$3:$G$102,{"TRH","TRM","TRC"}))</f>
        <v>0</v>
      </c>
      <c r="AA7" s="2" cm="1">
        <f t="array" aca="1" ref="AA7" ca="1">SUM(SUMIFS(Assumptions!CA$3:CA$102,Assumptions!$B$3:$B$102,Trucks!$C7,Assumptions!$G$3:$G$102,{"TRH","TRM","TRC"}))</f>
        <v>0</v>
      </c>
      <c r="AB7" s="2" cm="1">
        <f t="array" aca="1" ref="AB7" ca="1">SUM(SUMIFS(Assumptions!CB$3:CB$102,Assumptions!$B$3:$B$102,Trucks!$C7,Assumptions!$G$3:$G$102,{"TRH","TRM","TRC"}))</f>
        <v>0</v>
      </c>
      <c r="AC7" s="2" cm="1">
        <f t="array" aca="1" ref="AC7" ca="1">SUM(SUMIFS(Assumptions!CC$3:CC$102,Assumptions!$B$3:$B$102,Trucks!$C7,Assumptions!$G$3:$G$102,{"TRH","TRM","TRC"}))</f>
        <v>0</v>
      </c>
      <c r="AD7" s="2" cm="1">
        <f t="array" aca="1" ref="AD7" ca="1">SUM(SUMIFS(Assumptions!CD$3:CD$102,Assumptions!$B$3:$B$102,Trucks!$C7,Assumptions!$G$3:$G$102,{"TRH","TRM","TRC"}))</f>
        <v>0</v>
      </c>
      <c r="AE7" s="2" cm="1">
        <f t="array" aca="1" ref="AE7" ca="1">SUM(SUMIFS(Assumptions!CE$3:CE$102,Assumptions!$B$3:$B$102,Trucks!$C7,Assumptions!$G$3:$G$102,{"TRH","TRM","TRC"}))</f>
        <v>0</v>
      </c>
      <c r="AF7" s="2" cm="1">
        <f t="array" aca="1" ref="AF7" ca="1">SUM(SUMIFS(Assumptions!CF$3:CF$102,Assumptions!$B$3:$B$102,Trucks!$C7,Assumptions!$G$3:$G$102,{"TRH","TRM","TRC"}))</f>
        <v>0</v>
      </c>
      <c r="AG7" s="2" cm="1">
        <f t="array" aca="1" ref="AG7" ca="1">SUM(SUMIFS(Assumptions!CG$3:CG$102,Assumptions!$B$3:$B$102,Trucks!$C7,Assumptions!$G$3:$G$102,{"TRH","TRM","TRC"}))</f>
        <v>0</v>
      </c>
      <c r="AH7" s="2" cm="1">
        <f t="array" aca="1" ref="AH7" ca="1">SUM(SUMIFS(Assumptions!CH$3:CH$102,Assumptions!$B$3:$B$102,Trucks!$C7,Assumptions!$G$3:$G$102,{"TRH","TRM","TRC"}))</f>
        <v>0</v>
      </c>
      <c r="AI7" s="2" cm="1">
        <f t="array" aca="1" ref="AI7" ca="1">SUM(SUMIFS(Assumptions!CI$3:CI$102,Assumptions!$B$3:$B$102,Trucks!$C7,Assumptions!$G$3:$G$102,{"TRH","TRM","TRC"}))</f>
        <v>0</v>
      </c>
      <c r="AJ7" s="2" cm="1">
        <f t="array" aca="1" ref="AJ7" ca="1">SUM(SUMIFS(Assumptions!CJ$3:CJ$102,Assumptions!$B$3:$B$102,Trucks!$C7,Assumptions!$G$3:$G$102,{"TRH","TRM","TRC"}))</f>
        <v>0</v>
      </c>
      <c r="AK7" s="2" cm="1">
        <f t="array" aca="1" ref="AK7" ca="1">SUM(SUMIFS(Assumptions!CK$3:CK$102,Assumptions!$B$3:$B$102,Trucks!$C7,Assumptions!$G$3:$G$102,{"TRH","TRM","TRC"}))</f>
        <v>0</v>
      </c>
      <c r="AL7" s="2" cm="1">
        <f t="array" aca="1" ref="AL7" ca="1">SUM(SUMIFS(Assumptions!CL$3:CL$102,Assumptions!$B$3:$B$102,Trucks!$C7,Assumptions!$G$3:$G$102,{"TRH","TRM","TRC"}))</f>
        <v>0</v>
      </c>
      <c r="AM7" s="2" cm="1">
        <f t="array" aca="1" ref="AM7" ca="1">SUM(SUMIFS(Assumptions!CM$3:CM$102,Assumptions!$B$3:$B$102,Trucks!$C7,Assumptions!$G$3:$G$102,{"TRH","TRM","TRC"}))</f>
        <v>0</v>
      </c>
      <c r="AN7" s="2" cm="1">
        <f t="array" aca="1" ref="AN7" ca="1">SUM(SUMIFS(Assumptions!CN$3:CN$102,Assumptions!$B$3:$B$102,Trucks!$C7,Assumptions!$G$3:$G$102,{"TRH","TRM","TRC"}))</f>
        <v>0</v>
      </c>
      <c r="AO7" s="2" cm="1">
        <f t="array" aca="1" ref="AO7" ca="1">SUM(SUMIFS(Assumptions!CO$3:CO$102,Assumptions!$B$3:$B$102,Trucks!$C7,Assumptions!$G$3:$G$102,{"TRH","TRM","TRC"}))</f>
        <v>0</v>
      </c>
      <c r="AP7" s="2" cm="1">
        <f t="array" aca="1" ref="AP7" ca="1">SUM(SUMIFS(Assumptions!CP$3:CP$102,Assumptions!$B$3:$B$102,Trucks!$C7,Assumptions!$G$3:$G$102,{"TRH","TRM","TRC"}))</f>
        <v>0</v>
      </c>
      <c r="AQ7" s="2" cm="1">
        <f t="array" aca="1" ref="AQ7" ca="1">SUM(SUMIFS(Assumptions!CQ$3:CQ$102,Assumptions!$B$3:$B$102,Trucks!$C7,Assumptions!$G$3:$G$102,{"TRH","TRM","TRC"}))</f>
        <v>0</v>
      </c>
      <c r="AR7" s="2" cm="1">
        <f t="array" aca="1" ref="AR7" ca="1">SUM(SUMIFS(Assumptions!CR$3:CR$102,Assumptions!$B$3:$B$102,Trucks!$C7,Assumptions!$G$3:$G$102,{"TRH","TRM","TRC"}))</f>
        <v>0</v>
      </c>
      <c r="AS7" s="2" cm="1">
        <f t="array" aca="1" ref="AS7" ca="1">SUM(SUMIFS(Assumptions!CS$3:CS$102,Assumptions!$B$3:$B$102,Trucks!$C7,Assumptions!$G$3:$G$102,{"TRH","TRM","TRC"}))</f>
        <v>0</v>
      </c>
      <c r="AT7" s="2" cm="1">
        <f t="array" aca="1" ref="AT7" ca="1">SUM(SUMIFS(Assumptions!CT$3:CT$102,Assumptions!$B$3:$B$102,Trucks!$C7,Assumptions!$G$3:$G$102,{"TRH","TRM","TRC"}))</f>
        <v>0</v>
      </c>
      <c r="AU7" s="2" cm="1">
        <f t="array" aca="1" ref="AU7" ca="1">SUM(SUMIFS(Assumptions!CU$3:CU$102,Assumptions!$B$3:$B$102,Trucks!$C7,Assumptions!$G$3:$G$102,{"TRH","TRM","TRC"}))</f>
        <v>0</v>
      </c>
      <c r="AV7" s="2" cm="1">
        <f t="array" aca="1" ref="AV7" ca="1">SUM(SUMIFS(Assumptions!CV$3:CV$102,Assumptions!$B$3:$B$102,Trucks!$C7,Assumptions!$G$3:$G$102,{"TRH","TRM","TRC"}))</f>
        <v>0</v>
      </c>
      <c r="AW7" s="2" cm="1">
        <f t="array" aca="1" ref="AW7" ca="1">SUM(SUMIFS(Assumptions!CW$3:CW$102,Assumptions!$B$3:$B$102,Trucks!$C7,Assumptions!$G$3:$G$102,{"TRH","TRM","TRC"}))</f>
        <v>0</v>
      </c>
    </row>
    <row r="8" spans="1:50">
      <c r="A8" t="s">
        <v>25</v>
      </c>
      <c r="C8" s="35" t="s">
        <v>42</v>
      </c>
      <c r="D8" s="2" cm="1">
        <f t="array" aca="1" ref="D8" ca="1">SUM(SUMIFS(Assumptions!BD$3:BD$102,Assumptions!$B$3:$B$102,Trucks!$C8,Assumptions!$G$3:$G$102,{"TRH","TRM","TRC"}))</f>
        <v>0</v>
      </c>
      <c r="E8" s="2" cm="1">
        <f t="array" aca="1" ref="E8" ca="1">SUM(SUMIFS(Assumptions!BE$3:BE$102,Assumptions!$B$3:$B$102,Trucks!$C8,Assumptions!$G$3:$G$102,{"TRH","TRM","TRC"}))</f>
        <v>0</v>
      </c>
      <c r="F8" s="2" cm="1">
        <f t="array" aca="1" ref="F8" ca="1">SUM(SUMIFS(Assumptions!BF$3:BF$102,Assumptions!$B$3:$B$102,Trucks!$C8,Assumptions!$G$3:$G$102,{"TRH","TRM","TRC"}))</f>
        <v>54.047574407915988</v>
      </c>
      <c r="G8" s="2" cm="1">
        <f t="array" aca="1" ref="G8" ca="1">SUM(SUMIFS(Assumptions!BG$3:BG$102,Assumptions!$B$3:$B$102,Trucks!$C8,Assumptions!$G$3:$G$102,{"TRH","TRM","TRC"}))</f>
        <v>1.9734588605268015</v>
      </c>
      <c r="H8" s="2" cm="1">
        <f t="array" aca="1" ref="H8" ca="1">SUM(SUMIFS(Assumptions!BH$3:BH$102,Assumptions!$B$3:$B$102,Trucks!$C8,Assumptions!$G$3:$G$102,{"TRH","TRM","TRC"}))</f>
        <v>8.241037391862001</v>
      </c>
      <c r="I8" s="2" cm="1">
        <f t="array" aca="1" ref="I8" ca="1">SUM(SUMIFS(Assumptions!BI$3:BI$102,Assumptions!$B$3:$B$102,Trucks!$C8,Assumptions!$G$3:$G$102,{"TRH","TRM","TRC"}))</f>
        <v>7.6354930909458067</v>
      </c>
      <c r="J8" s="2" cm="1">
        <f t="array" aca="1" ref="J8" ca="1">SUM(SUMIFS(Assumptions!BJ$3:BJ$102,Assumptions!$B$3:$B$102,Trucks!$C8,Assumptions!$G$3:$G$102,{"TRH","TRM","TRC"}))</f>
        <v>79.040001953404783</v>
      </c>
      <c r="K8" s="2" cm="1">
        <f t="array" aca="1" ref="K8" ca="1">SUM(SUMIFS(Assumptions!BK$3:BK$102,Assumptions!$B$3:$B$102,Trucks!$C8,Assumptions!$G$3:$G$102,{"TRH","TRM","TRC"}))</f>
        <v>540.17052635915991</v>
      </c>
      <c r="L8" s="2" cm="1">
        <f t="array" aca="1" ref="L8" ca="1">SUM(SUMIFS(Assumptions!BL$3:BL$102,Assumptions!$B$3:$B$102,Trucks!$C8,Assumptions!$G$3:$G$102,{"TRH","TRM","TRC"}))</f>
        <v>3.3826914399959991</v>
      </c>
      <c r="M8" s="2" cm="1">
        <f t="array" aca="1" ref="M8" ca="1">SUM(SUMIFS(Assumptions!BM$3:BM$102,Assumptions!$B$3:$B$102,Trucks!$C8,Assumptions!$G$3:$G$102,{"TRH","TRM","TRC"}))</f>
        <v>8.0190002300399996</v>
      </c>
      <c r="N8" s="2" cm="1">
        <f t="array" aca="1" ref="N8" ca="1">SUM(SUMIFS(Assumptions!BN$3:BN$102,Assumptions!$B$3:$B$102,Trucks!$C8,Assumptions!$G$3:$G$102,{"TRH","TRM","TRC"}))</f>
        <v>9.379442168076606</v>
      </c>
      <c r="O8" s="2" cm="1">
        <f t="array" aca="1" ref="O8" ca="1">SUM(SUMIFS(Assumptions!BO$3:BO$102,Assumptions!$B$3:$B$102,Trucks!$C8,Assumptions!$G$3:$G$102,{"TRH","TRM","TRC"}))</f>
        <v>20.594441993581817</v>
      </c>
      <c r="P8" s="2" cm="1">
        <f t="array" aca="1" ref="P8" ca="1">SUM(SUMIFS(Assumptions!BP$3:BP$102,Assumptions!$B$3:$B$102,Trucks!$C8,Assumptions!$G$3:$G$102,{"TRH","TRM","TRC"}))</f>
        <v>3.2209365677310031</v>
      </c>
      <c r="Q8" s="2" cm="1">
        <f t="array" aca="1" ref="Q8" ca="1">SUM(SUMIFS(Assumptions!BQ$3:BQ$102,Assumptions!$B$3:$B$102,Trucks!$C8,Assumptions!$G$3:$G$102,{"TRH","TRM","TRC"}))</f>
        <v>12.498077053655997</v>
      </c>
      <c r="R8" s="2" cm="1">
        <f t="array" aca="1" ref="R8" ca="1">SUM(SUMIFS(Assumptions!BR$3:BR$102,Assumptions!$B$3:$B$102,Trucks!$C8,Assumptions!$G$3:$G$102,{"TRH","TRM","TRC"}))</f>
        <v>0.14890500528660011</v>
      </c>
      <c r="S8" s="2" cm="1">
        <f t="array" aca="1" ref="S8" ca="1">SUM(SUMIFS(Assumptions!BS$3:BS$102,Assumptions!$B$3:$B$102,Trucks!$C8,Assumptions!$G$3:$G$102,{"TRH","TRM","TRC"}))</f>
        <v>0</v>
      </c>
      <c r="T8" s="2" cm="1">
        <f t="array" aca="1" ref="T8" ca="1">SUM(SUMIFS(Assumptions!BT$3:BT$102,Assumptions!$B$3:$B$102,Trucks!$C8,Assumptions!$G$3:$G$102,{"TRH","TRM","TRC"}))</f>
        <v>0.91863145692720072</v>
      </c>
      <c r="U8" s="2" cm="1">
        <f t="array" aca="1" ref="U8" ca="1">SUM(SUMIFS(Assumptions!BU$3:BU$102,Assumptions!$B$3:$B$102,Trucks!$C8,Assumptions!$G$3:$G$102,{"TRH","TRM","TRC"}))</f>
        <v>9.3046724431110075</v>
      </c>
      <c r="V8" s="2" cm="1">
        <f t="array" aca="1" ref="V8" ca="1">SUM(SUMIFS(Assumptions!BV$3:BV$102,Assumptions!$B$3:$B$102,Trucks!$C8,Assumptions!$G$3:$G$102,{"TRH","TRM","TRC"}))</f>
        <v>158.45382288071997</v>
      </c>
      <c r="W8" s="2" cm="1">
        <f t="array" aca="1" ref="W8" ca="1">SUM(SUMIFS(Assumptions!BW$3:BW$102,Assumptions!$B$3:$B$102,Trucks!$C8,Assumptions!$G$3:$G$102,{"TRH","TRM","TRC"}))</f>
        <v>150.28557423359038</v>
      </c>
      <c r="X8" s="2" cm="1">
        <f t="array" aca="1" ref="X8" ca="1">SUM(SUMIFS(Assumptions!BX$3:BX$102,Assumptions!$B$3:$B$102,Trucks!$C8,Assumptions!$G$3:$G$102,{"TRH","TRM","TRC"}))</f>
        <v>637.09845175746011</v>
      </c>
      <c r="Y8" s="2" cm="1">
        <f t="array" aca="1" ref="Y8" ca="1">SUM(SUMIFS(Assumptions!BY$3:BY$102,Assumptions!$B$3:$B$102,Trucks!$C8,Assumptions!$G$3:$G$102,{"TRH","TRM","TRC"}))</f>
        <v>3651.1026126107176</v>
      </c>
      <c r="Z8" s="2" cm="1">
        <f t="array" aca="1" ref="Z8" ca="1">SUM(SUMIFS(Assumptions!BZ$3:BZ$102,Assumptions!$B$3:$B$102,Trucks!$C8,Assumptions!$G$3:$G$102,{"TRH","TRM","TRC"}))</f>
        <v>0.79503228517320057</v>
      </c>
      <c r="AA8" s="2" cm="1">
        <f t="array" aca="1" ref="AA8" ca="1">SUM(SUMIFS(Assumptions!CA$3:CA$102,Assumptions!$B$3:$B$102,Trucks!$C8,Assumptions!$G$3:$G$102,{"TRH","TRM","TRC"}))</f>
        <v>17.488520167103999</v>
      </c>
      <c r="AB8" s="2" cm="1">
        <f t="array" aca="1" ref="AB8" ca="1">SUM(SUMIFS(Assumptions!CB$3:CB$102,Assumptions!$B$3:$B$102,Trucks!$C8,Assumptions!$G$3:$G$102,{"TRH","TRM","TRC"}))</f>
        <v>0</v>
      </c>
      <c r="AC8" s="2" cm="1">
        <f t="array" aca="1" ref="AC8" ca="1">SUM(SUMIFS(Assumptions!CC$3:CC$102,Assumptions!$B$3:$B$102,Trucks!$C8,Assumptions!$G$3:$G$102,{"TRH","TRM","TRC"}))</f>
        <v>440.88558406021815</v>
      </c>
      <c r="AD8" s="2" cm="1">
        <f t="array" aca="1" ref="AD8" ca="1">SUM(SUMIFS(Assumptions!CD$3:CD$102,Assumptions!$B$3:$B$102,Trucks!$C8,Assumptions!$G$3:$G$102,{"TRH","TRM","TRC"}))</f>
        <v>275.23008579261602</v>
      </c>
      <c r="AE8" s="2" cm="1">
        <f t="array" aca="1" ref="AE8" ca="1">SUM(SUMIFS(Assumptions!CE$3:CE$102,Assumptions!$B$3:$B$102,Trucks!$C8,Assumptions!$G$3:$G$102,{"TRH","TRM","TRC"}))</f>
        <v>0</v>
      </c>
      <c r="AF8" s="2" cm="1">
        <f t="array" aca="1" ref="AF8" ca="1">SUM(SUMIFS(Assumptions!CF$3:CF$102,Assumptions!$B$3:$B$102,Trucks!$C8,Assumptions!$G$3:$G$102,{"TRH","TRM","TRC"}))</f>
        <v>7.7274527218632061</v>
      </c>
      <c r="AG8" s="2" cm="1">
        <f t="array" aca="1" ref="AG8" ca="1">SUM(SUMIFS(Assumptions!CG$3:CG$102,Assumptions!$B$3:$B$102,Trucks!$C8,Assumptions!$G$3:$G$102,{"TRH","TRM","TRC"}))</f>
        <v>5.4196476191460041</v>
      </c>
      <c r="AH8" s="2" cm="1">
        <f t="array" aca="1" ref="AH8" ca="1">SUM(SUMIFS(Assumptions!CH$3:CH$102,Assumptions!$B$3:$B$102,Trucks!$C8,Assumptions!$G$3:$G$102,{"TRH","TRM","TRC"}))</f>
        <v>2.8463894213778027</v>
      </c>
      <c r="AI8" s="2" cm="1">
        <f t="array" aca="1" ref="AI8" ca="1">SUM(SUMIFS(Assumptions!CI$3:CI$102,Assumptions!$B$3:$B$102,Trucks!$C8,Assumptions!$G$3:$G$102,{"TRH","TRM","TRC"}))</f>
        <v>26.813159658288008</v>
      </c>
      <c r="AJ8" s="2" cm="1">
        <f t="array" aca="1" ref="AJ8" ca="1">SUM(SUMIFS(Assumptions!CJ$3:CJ$102,Assumptions!$B$3:$B$102,Trucks!$C8,Assumptions!$G$3:$G$102,{"TRH","TRM","TRC"}))</f>
        <v>14.688641172142813</v>
      </c>
      <c r="AK8" s="2" cm="1">
        <f t="array" aca="1" ref="AK8" ca="1">SUM(SUMIFS(Assumptions!CK$3:CK$102,Assumptions!$B$3:$B$102,Trucks!$C8,Assumptions!$G$3:$G$102,{"TRH","TRM","TRC"}))</f>
        <v>21.987887312088002</v>
      </c>
      <c r="AL8" s="2" cm="1">
        <f t="array" aca="1" ref="AL8" ca="1">SUM(SUMIFS(Assumptions!CL$3:CL$102,Assumptions!$B$3:$B$102,Trucks!$C8,Assumptions!$G$3:$G$102,{"TRH","TRM","TRC"}))</f>
        <v>3.5207289799559991</v>
      </c>
      <c r="AM8" s="2" cm="1">
        <f t="array" aca="1" ref="AM8" ca="1">SUM(SUMIFS(Assumptions!CM$3:CM$102,Assumptions!$B$3:$B$102,Trucks!$C8,Assumptions!$G$3:$G$102,{"TRH","TRM","TRC"}))</f>
        <v>0</v>
      </c>
      <c r="AN8" s="2" cm="1">
        <f t="array" aca="1" ref="AN8" ca="1">SUM(SUMIFS(Assumptions!CN$3:CN$102,Assumptions!$B$3:$B$102,Trucks!$C8,Assumptions!$G$3:$G$102,{"TRH","TRM","TRC"}))</f>
        <v>0</v>
      </c>
      <c r="AO8" s="2" cm="1">
        <f t="array" aca="1" ref="AO8" ca="1">SUM(SUMIFS(Assumptions!CO$3:CO$102,Assumptions!$B$3:$B$102,Trucks!$C8,Assumptions!$G$3:$G$102,{"TRH","TRM","TRC"}))</f>
        <v>0</v>
      </c>
      <c r="AP8" s="2" cm="1">
        <f t="array" aca="1" ref="AP8" ca="1">SUM(SUMIFS(Assumptions!CP$3:CP$102,Assumptions!$B$3:$B$102,Trucks!$C8,Assumptions!$G$3:$G$102,{"TRH","TRM","TRC"}))</f>
        <v>0</v>
      </c>
      <c r="AQ8" s="2" cm="1">
        <f t="array" aca="1" ref="AQ8" ca="1">SUM(SUMIFS(Assumptions!CQ$3:CQ$102,Assumptions!$B$3:$B$102,Trucks!$C8,Assumptions!$G$3:$G$102,{"TRH","TRM","TRC"}))</f>
        <v>0</v>
      </c>
      <c r="AR8" s="2" cm="1">
        <f t="array" aca="1" ref="AR8" ca="1">SUM(SUMIFS(Assumptions!CR$3:CR$102,Assumptions!$B$3:$B$102,Trucks!$C8,Assumptions!$G$3:$G$102,{"TRH","TRM","TRC"}))</f>
        <v>0</v>
      </c>
      <c r="AS8" s="2" cm="1">
        <f t="array" aca="1" ref="AS8" ca="1">SUM(SUMIFS(Assumptions!CS$3:CS$102,Assumptions!$B$3:$B$102,Trucks!$C8,Assumptions!$G$3:$G$102,{"TRH","TRM","TRC"}))</f>
        <v>0</v>
      </c>
      <c r="AT8" s="2" cm="1">
        <f t="array" aca="1" ref="AT8" ca="1">SUM(SUMIFS(Assumptions!CT$3:CT$102,Assumptions!$B$3:$B$102,Trucks!$C8,Assumptions!$G$3:$G$102,{"TRH","TRM","TRC"}))</f>
        <v>0</v>
      </c>
      <c r="AU8" s="2" cm="1">
        <f t="array" aca="1" ref="AU8" ca="1">SUM(SUMIFS(Assumptions!CU$3:CU$102,Assumptions!$B$3:$B$102,Trucks!$C8,Assumptions!$G$3:$G$102,{"TRH","TRM","TRC"}))</f>
        <v>0</v>
      </c>
      <c r="AV8" s="2" cm="1">
        <f t="array" aca="1" ref="AV8" ca="1">SUM(SUMIFS(Assumptions!CV$3:CV$102,Assumptions!$B$3:$B$102,Trucks!$C8,Assumptions!$G$3:$G$102,{"TRH","TRM","TRC"}))</f>
        <v>0</v>
      </c>
      <c r="AW8" s="2" cm="1">
        <f t="array" aca="1" ref="AW8" ca="1">SUM(SUMIFS(Assumptions!CW$3:CW$102,Assumptions!$B$3:$B$102,Trucks!$C8,Assumptions!$G$3:$G$102,{"TRH","TRM","TRC"}))</f>
        <v>0</v>
      </c>
    </row>
    <row r="9" spans="1:50">
      <c r="A9" t="s">
        <v>25</v>
      </c>
      <c r="C9" s="35" t="s">
        <v>39</v>
      </c>
      <c r="D9" s="2" cm="1">
        <f t="array" aca="1" ref="D9" ca="1">SUM(SUMIFS(Assumptions!BD$3:BD$102,Assumptions!$B$3:$B$102,Trucks!$C9,Assumptions!$G$3:$G$102,{"TRH","TRM","TRC"}))</f>
        <v>12.023197888464001</v>
      </c>
      <c r="E9" s="2" cm="1">
        <f t="array" aca="1" ref="E9" ca="1">SUM(SUMIFS(Assumptions!BE$3:BE$102,Assumptions!$B$3:$B$102,Trucks!$C9,Assumptions!$G$3:$G$102,{"TRH","TRM","TRC"}))</f>
        <v>6.9001813440000004E-3</v>
      </c>
      <c r="F9" s="2" cm="1">
        <f t="array" aca="1" ref="F9" ca="1">SUM(SUMIFS(Assumptions!BF$3:BF$102,Assumptions!$B$3:$B$102,Trucks!$C9,Assumptions!$G$3:$G$102,{"TRH","TRM","TRC"}))</f>
        <v>2.2811639542199993</v>
      </c>
      <c r="G9" s="2" cm="1">
        <f t="array" aca="1" ref="G9" ca="1">SUM(SUMIFS(Assumptions!BG$3:BG$102,Assumptions!$B$3:$B$102,Trucks!$C9,Assumptions!$G$3:$G$102,{"TRH","TRM","TRC"}))</f>
        <v>5.4843939899999999E-2</v>
      </c>
      <c r="H9" s="2" cm="1">
        <f t="array" aca="1" ref="H9" ca="1">SUM(SUMIFS(Assumptions!BH$3:BH$102,Assumptions!$B$3:$B$102,Trucks!$C9,Assumptions!$G$3:$G$102,{"TRH","TRM","TRC"}))</f>
        <v>2.9748517769520002</v>
      </c>
      <c r="I9" s="2" cm="1">
        <f t="array" aca="1" ref="I9" ca="1">SUM(SUMIFS(Assumptions!BI$3:BI$102,Assumptions!$B$3:$B$102,Trucks!$C9,Assumptions!$G$3:$G$102,{"TRH","TRM","TRC"}))</f>
        <v>2.0472415766999998</v>
      </c>
      <c r="J9" s="2" cm="1">
        <f t="array" aca="1" ref="J9" ca="1">SUM(SUMIFS(Assumptions!BJ$3:BJ$102,Assumptions!$B$3:$B$102,Trucks!$C9,Assumptions!$G$3:$G$102,{"TRH","TRM","TRC"}))</f>
        <v>0</v>
      </c>
      <c r="K9" s="2" cm="1">
        <f t="array" aca="1" ref="K9" ca="1">SUM(SUMIFS(Assumptions!BK$3:BK$102,Assumptions!$B$3:$B$102,Trucks!$C9,Assumptions!$G$3:$G$102,{"TRH","TRM","TRC"}))</f>
        <v>9.3962588919839973</v>
      </c>
      <c r="L9" s="2" cm="1">
        <f t="array" aca="1" ref="L9" ca="1">SUM(SUMIFS(Assumptions!BL$3:BL$102,Assumptions!$B$3:$B$102,Trucks!$C9,Assumptions!$G$3:$G$102,{"TRH","TRM","TRC"}))</f>
        <v>1.5866723496240003</v>
      </c>
      <c r="M9" s="2" cm="1">
        <f t="array" aca="1" ref="M9" ca="1">SUM(SUMIFS(Assumptions!BM$3:BM$102,Assumptions!$B$3:$B$102,Trucks!$C9,Assumptions!$G$3:$G$102,{"TRH","TRM","TRC"}))</f>
        <v>1.7406396587520003</v>
      </c>
      <c r="N9" s="2" cm="1">
        <f t="array" aca="1" ref="N9" ca="1">SUM(SUMIFS(Assumptions!BN$3:BN$102,Assumptions!$B$3:$B$102,Trucks!$C9,Assumptions!$G$3:$G$102,{"TRH","TRM","TRC"}))</f>
        <v>0.60514123139999998</v>
      </c>
      <c r="O9" s="2" cm="1">
        <f t="array" aca="1" ref="O9" ca="1">SUM(SUMIFS(Assumptions!BO$3:BO$102,Assumptions!$B$3:$B$102,Trucks!$C9,Assumptions!$G$3:$G$102,{"TRH","TRM","TRC"}))</f>
        <v>3.8985000920999999</v>
      </c>
      <c r="P9" s="2" cm="1">
        <f t="array" aca="1" ref="P9" ca="1">SUM(SUMIFS(Assumptions!BP$3:BP$102,Assumptions!$B$3:$B$102,Trucks!$C9,Assumptions!$G$3:$G$102,{"TRH","TRM","TRC"}))</f>
        <v>2.5211507021999999</v>
      </c>
      <c r="Q9" s="2" cm="1">
        <f t="array" aca="1" ref="Q9" ca="1">SUM(SUMIFS(Assumptions!BQ$3:BQ$102,Assumptions!$B$3:$B$102,Trucks!$C9,Assumptions!$G$3:$G$102,{"TRH","TRM","TRC"}))</f>
        <v>10.026214993908003</v>
      </c>
      <c r="R9" s="2" cm="1">
        <f t="array" aca="1" ref="R9" ca="1">SUM(SUMIFS(Assumptions!BR$3:BR$102,Assumptions!$B$3:$B$102,Trucks!$C9,Assumptions!$G$3:$G$102,{"TRH","TRM","TRC"}))</f>
        <v>0</v>
      </c>
      <c r="S9" s="2" cm="1">
        <f t="array" aca="1" ref="S9" ca="1">SUM(SUMIFS(Assumptions!BS$3:BS$102,Assumptions!$B$3:$B$102,Trucks!$C9,Assumptions!$G$3:$G$102,{"TRH","TRM","TRC"}))</f>
        <v>1.2196305404999999</v>
      </c>
      <c r="T9" s="2" cm="1">
        <f t="array" aca="1" ref="T9" ca="1">SUM(SUMIFS(Assumptions!BT$3:BT$102,Assumptions!$B$3:$B$102,Trucks!$C9,Assumptions!$G$3:$G$102,{"TRH","TRM","TRC"}))</f>
        <v>1.6628922899999999E-2</v>
      </c>
      <c r="U9" s="2" cm="1">
        <f t="array" aca="1" ref="U9" ca="1">SUM(SUMIFS(Assumptions!BU$3:BU$102,Assumptions!$B$3:$B$102,Trucks!$C9,Assumptions!$G$3:$G$102,{"TRH","TRM","TRC"}))</f>
        <v>19.017941334300001</v>
      </c>
      <c r="V9" s="2" cm="1">
        <f t="array" aca="1" ref="V9" ca="1">SUM(SUMIFS(Assumptions!BV$3:BV$102,Assumptions!$B$3:$B$102,Trucks!$C9,Assumptions!$G$3:$G$102,{"TRH","TRM","TRC"}))</f>
        <v>12.834758240712</v>
      </c>
      <c r="W9" s="2" cm="1">
        <f t="array" aca="1" ref="W9" ca="1">SUM(SUMIFS(Assumptions!BW$3:BW$102,Assumptions!$B$3:$B$102,Trucks!$C9,Assumptions!$G$3:$G$102,{"TRH","TRM","TRC"}))</f>
        <v>0</v>
      </c>
      <c r="X9" s="2" cm="1">
        <f t="array" aca="1" ref="X9" ca="1">SUM(SUMIFS(Assumptions!BX$3:BX$102,Assumptions!$B$3:$B$102,Trucks!$C9,Assumptions!$G$3:$G$102,{"TRH","TRM","TRC"}))</f>
        <v>0.786389729328</v>
      </c>
      <c r="Y9" s="2" cm="1">
        <f t="array" aca="1" ref="Y9" ca="1">SUM(SUMIFS(Assumptions!BY$3:BY$102,Assumptions!$B$3:$B$102,Trucks!$C9,Assumptions!$G$3:$G$102,{"TRH","TRM","TRC"}))</f>
        <v>20.314808417695112</v>
      </c>
      <c r="Z9" s="2" cm="1">
        <f t="array" aca="1" ref="Z9" ca="1">SUM(SUMIFS(Assumptions!BZ$3:BZ$102,Assumptions!$B$3:$B$102,Trucks!$C9,Assumptions!$G$3:$G$102,{"TRH","TRM","TRC"}))</f>
        <v>5.3682102900000001E-2</v>
      </c>
      <c r="AA9" s="2" cm="1">
        <f t="array" aca="1" ref="AA9" ca="1">SUM(SUMIFS(Assumptions!CA$3:CA$102,Assumptions!$B$3:$B$102,Trucks!$C9,Assumptions!$G$3:$G$102,{"TRH","TRM","TRC"}))</f>
        <v>38.274299534051998</v>
      </c>
      <c r="AB9" s="2" cm="1">
        <f t="array" aca="1" ref="AB9" ca="1">SUM(SUMIFS(Assumptions!CB$3:CB$102,Assumptions!$B$3:$B$102,Trucks!$C9,Assumptions!$G$3:$G$102,{"TRH","TRM","TRC"}))</f>
        <v>20.900857668012009</v>
      </c>
      <c r="AC9" s="2" cm="1">
        <f t="array" aca="1" ref="AC9" ca="1">SUM(SUMIFS(Assumptions!CC$3:CC$102,Assumptions!$B$3:$B$102,Trucks!$C9,Assumptions!$G$3:$G$102,{"TRH","TRM","TRC"}))</f>
        <v>25.594925457456</v>
      </c>
      <c r="AD9" s="2" cm="1">
        <f t="array" aca="1" ref="AD9" ca="1">SUM(SUMIFS(Assumptions!CD$3:CD$102,Assumptions!$B$3:$B$102,Trucks!$C9,Assumptions!$G$3:$G$102,{"TRH","TRM","TRC"}))</f>
        <v>0</v>
      </c>
      <c r="AE9" s="2" cm="1">
        <f t="array" aca="1" ref="AE9" ca="1">SUM(SUMIFS(Assumptions!CE$3:CE$102,Assumptions!$B$3:$B$102,Trucks!$C9,Assumptions!$G$3:$G$102,{"TRH","TRM","TRC"}))</f>
        <v>0.18314319239999999</v>
      </c>
      <c r="AF9" s="2" cm="1">
        <f t="array" aca="1" ref="AF9" ca="1">SUM(SUMIFS(Assumptions!CF$3:CF$102,Assumptions!$B$3:$B$102,Trucks!$C9,Assumptions!$G$3:$G$102,{"TRH","TRM","TRC"}))</f>
        <v>1.4164656155999999</v>
      </c>
      <c r="AG9" s="2" cm="1">
        <f t="array" aca="1" ref="AG9" ca="1">SUM(SUMIFS(Assumptions!CG$3:CG$102,Assumptions!$B$3:$B$102,Trucks!$C9,Assumptions!$G$3:$G$102,{"TRH","TRM","TRC"}))</f>
        <v>0</v>
      </c>
      <c r="AH9" s="2" cm="1">
        <f t="array" aca="1" ref="AH9" ca="1">SUM(SUMIFS(Assumptions!CH$3:CH$102,Assumptions!$B$3:$B$102,Trucks!$C9,Assumptions!$G$3:$G$102,{"TRH","TRM","TRC"}))</f>
        <v>1.76871366E-2</v>
      </c>
      <c r="AI9" s="2" cm="1">
        <f t="array" aca="1" ref="AI9" ca="1">SUM(SUMIFS(Assumptions!CI$3:CI$102,Assumptions!$B$3:$B$102,Trucks!$C9,Assumptions!$G$3:$G$102,{"TRH","TRM","TRC"}))</f>
        <v>43.199519630399998</v>
      </c>
      <c r="AJ9" s="2" cm="1">
        <f t="array" aca="1" ref="AJ9" ca="1">SUM(SUMIFS(Assumptions!CJ$3:CJ$102,Assumptions!$B$3:$B$102,Trucks!$C9,Assumptions!$G$3:$G$102,{"TRH","TRM","TRC"}))</f>
        <v>0.72449957249999997</v>
      </c>
      <c r="AK9" s="2" cm="1">
        <f t="array" aca="1" ref="AK9" ca="1">SUM(SUMIFS(Assumptions!CK$3:CK$102,Assumptions!$B$3:$B$102,Trucks!$C9,Assumptions!$G$3:$G$102,{"TRH","TRM","TRC"}))</f>
        <v>35.833765917060006</v>
      </c>
      <c r="AL9" s="2" cm="1">
        <f t="array" aca="1" ref="AL9" ca="1">SUM(SUMIFS(Assumptions!CL$3:CL$102,Assumptions!$B$3:$B$102,Trucks!$C9,Assumptions!$G$3:$G$102,{"TRH","TRM","TRC"}))</f>
        <v>4.5069761097000001</v>
      </c>
      <c r="AM9" s="2" cm="1">
        <f t="array" aca="1" ref="AM9" ca="1">SUM(SUMIFS(Assumptions!CM$3:CM$102,Assumptions!$B$3:$B$102,Trucks!$C9,Assumptions!$G$3:$G$102,{"TRH","TRM","TRC"}))</f>
        <v>0</v>
      </c>
      <c r="AN9" s="2" cm="1">
        <f t="array" aca="1" ref="AN9" ca="1">SUM(SUMIFS(Assumptions!CN$3:CN$102,Assumptions!$B$3:$B$102,Trucks!$C9,Assumptions!$G$3:$G$102,{"TRH","TRM","TRC"}))</f>
        <v>0</v>
      </c>
      <c r="AO9" s="2" cm="1">
        <f t="array" aca="1" ref="AO9" ca="1">SUM(SUMIFS(Assumptions!CO$3:CO$102,Assumptions!$B$3:$B$102,Trucks!$C9,Assumptions!$G$3:$G$102,{"TRH","TRM","TRC"}))</f>
        <v>0</v>
      </c>
      <c r="AP9" s="2" cm="1">
        <f t="array" aca="1" ref="AP9" ca="1">SUM(SUMIFS(Assumptions!CP$3:CP$102,Assumptions!$B$3:$B$102,Trucks!$C9,Assumptions!$G$3:$G$102,{"TRH","TRM","TRC"}))</f>
        <v>0</v>
      </c>
      <c r="AQ9" s="2" cm="1">
        <f t="array" aca="1" ref="AQ9" ca="1">SUM(SUMIFS(Assumptions!CQ$3:CQ$102,Assumptions!$B$3:$B$102,Trucks!$C9,Assumptions!$G$3:$G$102,{"TRH","TRM","TRC"}))</f>
        <v>0</v>
      </c>
      <c r="AR9" s="2" cm="1">
        <f t="array" aca="1" ref="AR9" ca="1">SUM(SUMIFS(Assumptions!CR$3:CR$102,Assumptions!$B$3:$B$102,Trucks!$C9,Assumptions!$G$3:$G$102,{"TRH","TRM","TRC"}))</f>
        <v>0</v>
      </c>
      <c r="AS9" s="2" cm="1">
        <f t="array" aca="1" ref="AS9" ca="1">SUM(SUMIFS(Assumptions!CS$3:CS$102,Assumptions!$B$3:$B$102,Trucks!$C9,Assumptions!$G$3:$G$102,{"TRH","TRM","TRC"}))</f>
        <v>0</v>
      </c>
      <c r="AT9" s="2" cm="1">
        <f t="array" aca="1" ref="AT9" ca="1">SUM(SUMIFS(Assumptions!CT$3:CT$102,Assumptions!$B$3:$B$102,Trucks!$C9,Assumptions!$G$3:$G$102,{"TRH","TRM","TRC"}))</f>
        <v>0</v>
      </c>
      <c r="AU9" s="2" cm="1">
        <f t="array" aca="1" ref="AU9" ca="1">SUM(SUMIFS(Assumptions!CU$3:CU$102,Assumptions!$B$3:$B$102,Trucks!$C9,Assumptions!$G$3:$G$102,{"TRH","TRM","TRC"}))</f>
        <v>0</v>
      </c>
      <c r="AV9" s="2" cm="1">
        <f t="array" aca="1" ref="AV9" ca="1">SUM(SUMIFS(Assumptions!CV$3:CV$102,Assumptions!$B$3:$B$102,Trucks!$C9,Assumptions!$G$3:$G$102,{"TRH","TRM","TRC"}))</f>
        <v>0</v>
      </c>
      <c r="AW9" s="2" cm="1">
        <f t="array" aca="1" ref="AW9" ca="1">SUM(SUMIFS(Assumptions!CW$3:CW$102,Assumptions!$B$3:$B$102,Trucks!$C9,Assumptions!$G$3:$G$102,{"TRH","TRM","TRC"}))</f>
        <v>0</v>
      </c>
    </row>
    <row r="10" spans="1:50">
      <c r="A10" t="s">
        <v>25</v>
      </c>
      <c r="C10" s="35" t="s">
        <v>38</v>
      </c>
      <c r="D10" s="2" cm="1">
        <f t="array" aca="1" ref="D10" ca="1">SUM(SUMIFS(Assumptions!BD$3:BD$102,Assumptions!$B$3:$B$102,Trucks!$C10,Assumptions!$G$3:$G$102,{"TRH","TRM","TRC"}))</f>
        <v>3.0522079729799989</v>
      </c>
      <c r="E10" s="2" cm="1">
        <f t="array" aca="1" ref="E10" ca="1">SUM(SUMIFS(Assumptions!BE$3:BE$102,Assumptions!$B$3:$B$102,Trucks!$C10,Assumptions!$G$3:$G$102,{"TRH","TRM","TRC"}))</f>
        <v>1.1203248779999998E-2</v>
      </c>
      <c r="F10" s="2" cm="1">
        <f t="array" aca="1" ref="F10" ca="1">SUM(SUMIFS(Assumptions!BF$3:BF$102,Assumptions!$B$3:$B$102,Trucks!$C10,Assumptions!$G$3:$G$102,{"TRH","TRM","TRC"}))</f>
        <v>0.46851799247999987</v>
      </c>
      <c r="G10" s="2" cm="1">
        <f t="array" aca="1" ref="G10" ca="1">SUM(SUMIFS(Assumptions!BG$3:BG$102,Assumptions!$B$3:$B$102,Trucks!$C10,Assumptions!$G$3:$G$102,{"TRH","TRM","TRC"}))</f>
        <v>0</v>
      </c>
      <c r="H10" s="2" cm="1">
        <f t="array" aca="1" ref="H10" ca="1">SUM(SUMIFS(Assumptions!BH$3:BH$102,Assumptions!$B$3:$B$102,Trucks!$C10,Assumptions!$G$3:$G$102,{"TRH","TRM","TRC"}))</f>
        <v>0.24127523568000003</v>
      </c>
      <c r="I10" s="2" cm="1">
        <f t="array" aca="1" ref="I10" ca="1">SUM(SUMIFS(Assumptions!BI$3:BI$102,Assumptions!$B$3:$B$102,Trucks!$C10,Assumptions!$G$3:$G$102,{"TRH","TRM","TRC"}))</f>
        <v>0</v>
      </c>
      <c r="J10" s="2" cm="1">
        <f t="array" aca="1" ref="J10" ca="1">SUM(SUMIFS(Assumptions!BJ$3:BJ$102,Assumptions!$B$3:$B$102,Trucks!$C10,Assumptions!$G$3:$G$102,{"TRH","TRM","TRC"}))</f>
        <v>16.834613685120001</v>
      </c>
      <c r="K10" s="2" cm="1">
        <f t="array" aca="1" ref="K10" ca="1">SUM(SUMIFS(Assumptions!BK$3:BK$102,Assumptions!$B$3:$B$102,Trucks!$C10,Assumptions!$G$3:$G$102,{"TRH","TRM","TRC"}))</f>
        <v>123.40083952108797</v>
      </c>
      <c r="L10" s="2" cm="1">
        <f t="array" aca="1" ref="L10" ca="1">SUM(SUMIFS(Assumptions!BL$3:BL$102,Assumptions!$B$3:$B$102,Trucks!$C10,Assumptions!$G$3:$G$102,{"TRH","TRM","TRC"}))</f>
        <v>0</v>
      </c>
      <c r="M10" s="2" cm="1">
        <f t="array" aca="1" ref="M10" ca="1">SUM(SUMIFS(Assumptions!BM$3:BM$102,Assumptions!$B$3:$B$102,Trucks!$C10,Assumptions!$G$3:$G$102,{"TRH","TRM","TRC"}))</f>
        <v>0</v>
      </c>
      <c r="N10" s="2" cm="1">
        <f t="array" aca="1" ref="N10" ca="1">SUM(SUMIFS(Assumptions!BN$3:BN$102,Assumptions!$B$3:$B$102,Trucks!$C10,Assumptions!$G$3:$G$102,{"TRH","TRM","TRC"}))</f>
        <v>0</v>
      </c>
      <c r="O10" s="2" cm="1">
        <f t="array" aca="1" ref="O10" ca="1">SUM(SUMIFS(Assumptions!BO$3:BO$102,Assumptions!$B$3:$B$102,Trucks!$C10,Assumptions!$G$3:$G$102,{"TRH","TRM","TRC"}))</f>
        <v>0</v>
      </c>
      <c r="P10" s="2" cm="1">
        <f t="array" aca="1" ref="P10" ca="1">SUM(SUMIFS(Assumptions!BP$3:BP$102,Assumptions!$B$3:$B$102,Trucks!$C10,Assumptions!$G$3:$G$102,{"TRH","TRM","TRC"}))</f>
        <v>0</v>
      </c>
      <c r="Q10" s="2" cm="1">
        <f t="array" aca="1" ref="Q10" ca="1">SUM(SUMIFS(Assumptions!BQ$3:BQ$102,Assumptions!$B$3:$B$102,Trucks!$C10,Assumptions!$G$3:$G$102,{"TRH","TRM","TRC"}))</f>
        <v>0</v>
      </c>
      <c r="R10" s="2" cm="1">
        <f t="array" aca="1" ref="R10" ca="1">SUM(SUMIFS(Assumptions!BR$3:BR$102,Assumptions!$B$3:$B$102,Trucks!$C10,Assumptions!$G$3:$G$102,{"TRH","TRM","TRC"}))</f>
        <v>0</v>
      </c>
      <c r="S10" s="2" cm="1">
        <f t="array" aca="1" ref="S10" ca="1">SUM(SUMIFS(Assumptions!BS$3:BS$102,Assumptions!$B$3:$B$102,Trucks!$C10,Assumptions!$G$3:$G$102,{"TRH","TRM","TRC"}))</f>
        <v>18.507111331679994</v>
      </c>
      <c r="T10" s="2" cm="1">
        <f t="array" aca="1" ref="T10" ca="1">SUM(SUMIFS(Assumptions!BT$3:BT$102,Assumptions!$B$3:$B$102,Trucks!$C10,Assumptions!$G$3:$G$102,{"TRH","TRM","TRC"}))</f>
        <v>0</v>
      </c>
      <c r="U10" s="2" cm="1">
        <f t="array" aca="1" ref="U10" ca="1">SUM(SUMIFS(Assumptions!BU$3:BU$102,Assumptions!$B$3:$B$102,Trucks!$C10,Assumptions!$G$3:$G$102,{"TRH","TRM","TRC"}))</f>
        <v>0</v>
      </c>
      <c r="V10" s="2" cm="1">
        <f t="array" aca="1" ref="V10" ca="1">SUM(SUMIFS(Assumptions!BV$3:BV$102,Assumptions!$B$3:$B$102,Trucks!$C10,Assumptions!$G$3:$G$102,{"TRH","TRM","TRC"}))</f>
        <v>6.9950332980000057E-2</v>
      </c>
      <c r="W10" s="2" cm="1">
        <f t="array" aca="1" ref="W10" ca="1">SUM(SUMIFS(Assumptions!BW$3:BW$102,Assumptions!$B$3:$B$102,Trucks!$C10,Assumptions!$G$3:$G$102,{"TRH","TRM","TRC"}))</f>
        <v>32.376392097119997</v>
      </c>
      <c r="X10" s="2" cm="1">
        <f t="array" aca="1" ref="X10" ca="1">SUM(SUMIFS(Assumptions!BX$3:BX$102,Assumptions!$B$3:$B$102,Trucks!$C10,Assumptions!$G$3:$G$102,{"TRH","TRM","TRC"}))</f>
        <v>0</v>
      </c>
      <c r="Y10" s="2" cm="1">
        <f t="array" aca="1" ref="Y10" ca="1">SUM(SUMIFS(Assumptions!BY$3:BY$102,Assumptions!$B$3:$B$102,Trucks!$C10,Assumptions!$G$3:$G$102,{"TRH","TRM","TRC"}))</f>
        <v>1.1094474826876344</v>
      </c>
      <c r="Z10" s="2" cm="1">
        <f t="array" aca="1" ref="Z10" ca="1">SUM(SUMIFS(Assumptions!BZ$3:BZ$102,Assumptions!$B$3:$B$102,Trucks!$C10,Assumptions!$G$3:$G$102,{"TRH","TRM","TRC"}))</f>
        <v>0</v>
      </c>
      <c r="AA10" s="2" cm="1">
        <f t="array" aca="1" ref="AA10" ca="1">SUM(SUMIFS(Assumptions!CA$3:CA$102,Assumptions!$B$3:$B$102,Trucks!$C10,Assumptions!$G$3:$G$102,{"TRH","TRM","TRC"}))</f>
        <v>0</v>
      </c>
      <c r="AB10" s="2" cm="1">
        <f t="array" aca="1" ref="AB10" ca="1">SUM(SUMIFS(Assumptions!CB$3:CB$102,Assumptions!$B$3:$B$102,Trucks!$C10,Assumptions!$G$3:$G$102,{"TRH","TRM","TRC"}))</f>
        <v>10.946851073927998</v>
      </c>
      <c r="AC10" s="2" cm="1">
        <f t="array" aca="1" ref="AC10" ca="1">SUM(SUMIFS(Assumptions!CC$3:CC$102,Assumptions!$B$3:$B$102,Trucks!$C10,Assumptions!$G$3:$G$102,{"TRH","TRM","TRC"}))</f>
        <v>2.6716850028000003</v>
      </c>
      <c r="AD10" s="2" cm="1">
        <f t="array" aca="1" ref="AD10" ca="1">SUM(SUMIFS(Assumptions!CD$3:CD$102,Assumptions!$B$3:$B$102,Trucks!$C10,Assumptions!$G$3:$G$102,{"TRH","TRM","TRC"}))</f>
        <v>0</v>
      </c>
      <c r="AE10" s="2" cm="1">
        <f t="array" aca="1" ref="AE10" ca="1">SUM(SUMIFS(Assumptions!CE$3:CE$102,Assumptions!$B$3:$B$102,Trucks!$C10,Assumptions!$G$3:$G$102,{"TRH","TRM","TRC"}))</f>
        <v>1.0996630199999998E-3</v>
      </c>
      <c r="AF10" s="2" cm="1">
        <f t="array" aca="1" ref="AF10" ca="1">SUM(SUMIFS(Assumptions!CF$3:CF$102,Assumptions!$B$3:$B$102,Trucks!$C10,Assumptions!$G$3:$G$102,{"TRH","TRM","TRC"}))</f>
        <v>0</v>
      </c>
      <c r="AG10" s="2" cm="1">
        <f t="array" aca="1" ref="AG10" ca="1">SUM(SUMIFS(Assumptions!CG$3:CG$102,Assumptions!$B$3:$B$102,Trucks!$C10,Assumptions!$G$3:$G$102,{"TRH","TRM","TRC"}))</f>
        <v>0</v>
      </c>
      <c r="AH10" s="2" cm="1">
        <f t="array" aca="1" ref="AH10" ca="1">SUM(SUMIFS(Assumptions!CH$3:CH$102,Assumptions!$B$3:$B$102,Trucks!$C10,Assumptions!$G$3:$G$102,{"TRH","TRM","TRC"}))</f>
        <v>0</v>
      </c>
      <c r="AI10" s="2" cm="1">
        <f t="array" aca="1" ref="AI10" ca="1">SUM(SUMIFS(Assumptions!CI$3:CI$102,Assumptions!$B$3:$B$102,Trucks!$C10,Assumptions!$G$3:$G$102,{"TRH","TRM","TRC"}))</f>
        <v>0</v>
      </c>
      <c r="AJ10" s="2" cm="1">
        <f t="array" aca="1" ref="AJ10" ca="1">SUM(SUMIFS(Assumptions!CJ$3:CJ$102,Assumptions!$B$3:$B$102,Trucks!$C10,Assumptions!$G$3:$G$102,{"TRH","TRM","TRC"}))</f>
        <v>0</v>
      </c>
      <c r="AK10" s="2" cm="1">
        <f t="array" aca="1" ref="AK10" ca="1">SUM(SUMIFS(Assumptions!CK$3:CK$102,Assumptions!$B$3:$B$102,Trucks!$C10,Assumptions!$G$3:$G$102,{"TRH","TRM","TRC"}))</f>
        <v>0.40364980668</v>
      </c>
      <c r="AL10" s="2" cm="1">
        <f t="array" aca="1" ref="AL10" ca="1">SUM(SUMIFS(Assumptions!CL$3:CL$102,Assumptions!$B$3:$B$102,Trucks!$C10,Assumptions!$G$3:$G$102,{"TRH","TRM","TRC"}))</f>
        <v>0</v>
      </c>
      <c r="AM10" s="2" cm="1">
        <f t="array" aca="1" ref="AM10" ca="1">SUM(SUMIFS(Assumptions!CM$3:CM$102,Assumptions!$B$3:$B$102,Trucks!$C10,Assumptions!$G$3:$G$102,{"TRH","TRM","TRC"}))</f>
        <v>0</v>
      </c>
      <c r="AN10" s="2" cm="1">
        <f t="array" aca="1" ref="AN10" ca="1">SUM(SUMIFS(Assumptions!CN$3:CN$102,Assumptions!$B$3:$B$102,Trucks!$C10,Assumptions!$G$3:$G$102,{"TRH","TRM","TRC"}))</f>
        <v>0</v>
      </c>
      <c r="AO10" s="2" cm="1">
        <f t="array" aca="1" ref="AO10" ca="1">SUM(SUMIFS(Assumptions!CO$3:CO$102,Assumptions!$B$3:$B$102,Trucks!$C10,Assumptions!$G$3:$G$102,{"TRH","TRM","TRC"}))</f>
        <v>0</v>
      </c>
      <c r="AP10" s="2" cm="1">
        <f t="array" aca="1" ref="AP10" ca="1">SUM(SUMIFS(Assumptions!CP$3:CP$102,Assumptions!$B$3:$B$102,Trucks!$C10,Assumptions!$G$3:$G$102,{"TRH","TRM","TRC"}))</f>
        <v>0</v>
      </c>
      <c r="AQ10" s="2" cm="1">
        <f t="array" aca="1" ref="AQ10" ca="1">SUM(SUMIFS(Assumptions!CQ$3:CQ$102,Assumptions!$B$3:$B$102,Trucks!$C10,Assumptions!$G$3:$G$102,{"TRH","TRM","TRC"}))</f>
        <v>0</v>
      </c>
      <c r="AR10" s="2" cm="1">
        <f t="array" aca="1" ref="AR10" ca="1">SUM(SUMIFS(Assumptions!CR$3:CR$102,Assumptions!$B$3:$B$102,Trucks!$C10,Assumptions!$G$3:$G$102,{"TRH","TRM","TRC"}))</f>
        <v>0</v>
      </c>
      <c r="AS10" s="2" cm="1">
        <f t="array" aca="1" ref="AS10" ca="1">SUM(SUMIFS(Assumptions!CS$3:CS$102,Assumptions!$B$3:$B$102,Trucks!$C10,Assumptions!$G$3:$G$102,{"TRH","TRM","TRC"}))</f>
        <v>0</v>
      </c>
      <c r="AT10" s="2" cm="1">
        <f t="array" aca="1" ref="AT10" ca="1">SUM(SUMIFS(Assumptions!CT$3:CT$102,Assumptions!$B$3:$B$102,Trucks!$C10,Assumptions!$G$3:$G$102,{"TRH","TRM","TRC"}))</f>
        <v>0</v>
      </c>
      <c r="AU10" s="2" cm="1">
        <f t="array" aca="1" ref="AU10" ca="1">SUM(SUMIFS(Assumptions!CU$3:CU$102,Assumptions!$B$3:$B$102,Trucks!$C10,Assumptions!$G$3:$G$102,{"TRH","TRM","TRC"}))</f>
        <v>0</v>
      </c>
      <c r="AV10" s="2" cm="1">
        <f t="array" aca="1" ref="AV10" ca="1">SUM(SUMIFS(Assumptions!CV$3:CV$102,Assumptions!$B$3:$B$102,Trucks!$C10,Assumptions!$G$3:$G$102,{"TRH","TRM","TRC"}))</f>
        <v>0</v>
      </c>
      <c r="AW10" s="2" cm="1">
        <f t="array" aca="1" ref="AW10" ca="1">SUM(SUMIFS(Assumptions!CW$3:CW$102,Assumptions!$B$3:$B$102,Trucks!$C10,Assumptions!$G$3:$G$102,{"TRH","TRM","TRC"}))</f>
        <v>0</v>
      </c>
    </row>
    <row r="11" spans="1:50">
      <c r="A11" s="3" t="s">
        <v>325</v>
      </c>
      <c r="B11" s="3"/>
      <c r="D11" s="42">
        <f ca="1">SUM(D$4:D$10)/SUM($D$4:$AJ$10)</f>
        <v>1.8620559597835762E-2</v>
      </c>
      <c r="E11" s="42">
        <f t="shared" ref="E11:U11" ca="1" si="0">SUM(E$4:E$10)/SUM($D$4:$AJ$10)</f>
        <v>1.6173388654015321E-2</v>
      </c>
      <c r="F11" s="42">
        <f t="shared" ca="1" si="0"/>
        <v>1.5004106403088883E-2</v>
      </c>
      <c r="G11" s="42">
        <f t="shared" ca="1" si="0"/>
        <v>5.9349383989718354E-3</v>
      </c>
      <c r="H11" s="42">
        <f t="shared" ca="1" si="0"/>
        <v>3.3307886515010579E-3</v>
      </c>
      <c r="I11" s="42">
        <f t="shared" ca="1" si="0"/>
        <v>1.2712136655921384E-2</v>
      </c>
      <c r="J11" s="42">
        <f t="shared" ca="1" si="0"/>
        <v>5.1550389635870782E-2</v>
      </c>
      <c r="K11" s="42">
        <f t="shared" ca="1" si="0"/>
        <v>8.3653949296439961E-2</v>
      </c>
      <c r="L11" s="42">
        <f t="shared" ca="1" si="0"/>
        <v>2.6946088389048902E-3</v>
      </c>
      <c r="M11" s="42">
        <f t="shared" ca="1" si="0"/>
        <v>5.8106946163435178E-3</v>
      </c>
      <c r="N11" s="42">
        <f t="shared" ca="1" si="0"/>
        <v>2.9877136484312106E-2</v>
      </c>
      <c r="O11" s="42">
        <f t="shared" ca="1" si="0"/>
        <v>3.1904428875692517E-2</v>
      </c>
      <c r="P11" s="42">
        <f t="shared" ca="1" si="0"/>
        <v>2.7016390638146797E-3</v>
      </c>
      <c r="Q11" s="42">
        <f t="shared" ca="1" si="0"/>
        <v>9.2661980693039651E-3</v>
      </c>
      <c r="R11" s="42">
        <f t="shared" ca="1" si="0"/>
        <v>1.8177185920801136E-4</v>
      </c>
      <c r="S11" s="42">
        <f t="shared" ca="1" si="0"/>
        <v>3.8873919523281508E-2</v>
      </c>
      <c r="T11" s="42">
        <f t="shared" ca="1" si="0"/>
        <v>2.7928112571275871E-3</v>
      </c>
      <c r="U11" s="42">
        <f t="shared" ca="1" si="0"/>
        <v>2.1046924269869382E-2</v>
      </c>
      <c r="V11" s="42">
        <f t="shared" ref="V11:AW11" ca="1" si="1">SUM(V$4:V$10)/SUM($D$4:$AJ$10)</f>
        <v>2.7864903727699938E-2</v>
      </c>
      <c r="W11" s="42">
        <f t="shared" ca="1" si="1"/>
        <v>4.1371716648490063E-2</v>
      </c>
      <c r="X11" s="42">
        <f t="shared" ca="1" si="1"/>
        <v>5.1784363420752509E-2</v>
      </c>
      <c r="Y11" s="42">
        <f t="shared" ca="1" si="1"/>
        <v>0.27316017450150215</v>
      </c>
      <c r="Z11" s="42">
        <f t="shared" ca="1" si="1"/>
        <v>2.2804659252055218E-3</v>
      </c>
      <c r="AA11" s="42">
        <f t="shared" ca="1" si="1"/>
        <v>1.4206761873575351E-2</v>
      </c>
      <c r="AB11" s="42">
        <f t="shared" ca="1" si="1"/>
        <v>9.4970190519187841E-2</v>
      </c>
      <c r="AC11" s="42">
        <f t="shared" ca="1" si="1"/>
        <v>2.9901400830283181E-2</v>
      </c>
      <c r="AD11" s="42">
        <f t="shared" ca="1" si="1"/>
        <v>2.7001385962499652E-2</v>
      </c>
      <c r="AE11" s="42">
        <f t="shared" ca="1" si="1"/>
        <v>5.6860957904630088E-3</v>
      </c>
      <c r="AF11" s="42">
        <f t="shared" ca="1" si="1"/>
        <v>2.4658728787331829E-2</v>
      </c>
      <c r="AG11" s="42">
        <f t="shared" ca="1" si="1"/>
        <v>8.5312571803606869E-3</v>
      </c>
      <c r="AH11" s="42">
        <f t="shared" ca="1" si="1"/>
        <v>2.6333498936491049E-3</v>
      </c>
      <c r="AI11" s="42">
        <f t="shared" ca="1" si="1"/>
        <v>2.0701374763495015E-2</v>
      </c>
      <c r="AJ11" s="42">
        <f t="shared" ca="1" si="1"/>
        <v>2.3117440024000058E-2</v>
      </c>
      <c r="AK11" s="42">
        <f t="shared" ca="1" si="1"/>
        <v>5.9771865645457372E-3</v>
      </c>
      <c r="AL11" s="42">
        <f t="shared" ca="1" si="1"/>
        <v>4.1071058764673525E-3</v>
      </c>
      <c r="AM11" s="42">
        <f t="shared" ca="1" si="1"/>
        <v>0</v>
      </c>
      <c r="AN11" s="42">
        <f t="shared" ca="1" si="1"/>
        <v>0</v>
      </c>
      <c r="AO11" s="42">
        <f t="shared" ca="1" si="1"/>
        <v>0</v>
      </c>
      <c r="AP11" s="42">
        <f t="shared" ca="1" si="1"/>
        <v>0</v>
      </c>
      <c r="AQ11" s="42">
        <f t="shared" ca="1" si="1"/>
        <v>0</v>
      </c>
      <c r="AR11" s="42">
        <f t="shared" ca="1" si="1"/>
        <v>0</v>
      </c>
      <c r="AS11" s="42">
        <f t="shared" ca="1" si="1"/>
        <v>0</v>
      </c>
      <c r="AT11" s="42">
        <f t="shared" ca="1" si="1"/>
        <v>0</v>
      </c>
      <c r="AU11" s="42">
        <f t="shared" ca="1" si="1"/>
        <v>0</v>
      </c>
      <c r="AV11" s="42">
        <f t="shared" ca="1" si="1"/>
        <v>0</v>
      </c>
      <c r="AW11" s="42">
        <f t="shared" ca="1" si="1"/>
        <v>0</v>
      </c>
    </row>
    <row r="12" spans="1:50">
      <c r="C12" s="99">
        <f ca="1">SUM(D12:AW12)</f>
        <v>126.81400000000002</v>
      </c>
      <c r="D12" s="99">
        <f ca="1">'Trucks-hdt'!D13+'Trucks-lcv'!D13</f>
        <v>2.6850000000000001</v>
      </c>
      <c r="E12" s="99">
        <f ca="1">'Trucks-hdt'!E13+'Trucks-lcv'!E13</f>
        <v>2.246</v>
      </c>
      <c r="F12" s="99">
        <f ca="1">'Trucks-hdt'!F13+'Trucks-lcv'!F13</f>
        <v>2.1149999999999998</v>
      </c>
      <c r="G12" s="99">
        <f ca="1">'Trucks-hdt'!G13+'Trucks-lcv'!G13</f>
        <v>0.58099999999999996</v>
      </c>
      <c r="H12" s="99">
        <f ca="1">'Trucks-hdt'!H13+'Trucks-lcv'!H13</f>
        <v>0.33</v>
      </c>
      <c r="I12" s="99">
        <f ca="1">'Trucks-hdt'!I13+'Trucks-lcv'!I13</f>
        <v>1.282</v>
      </c>
      <c r="J12" s="99">
        <f ca="1">'Trucks-hdt'!J13+'Trucks-lcv'!J13</f>
        <v>4.6680000000000001</v>
      </c>
      <c r="K12" s="99">
        <f ca="1">'Trucks-hdt'!K13+'Trucks-lcv'!K13</f>
        <v>12.186</v>
      </c>
      <c r="L12" s="99">
        <f ca="1">'Trucks-hdt'!L13+'Trucks-lcv'!L13</f>
        <v>0.28700000000000003</v>
      </c>
      <c r="M12" s="99">
        <f ca="1">'Trucks-hdt'!M13+'Trucks-lcv'!M13</f>
        <v>0.60899999999999999</v>
      </c>
      <c r="N12" s="99">
        <f ca="1">'Trucks-hdt'!N13+'Trucks-lcv'!N13</f>
        <v>2.92</v>
      </c>
      <c r="O12" s="99">
        <f ca="1">'Trucks-hdt'!O13+'Trucks-lcv'!O13</f>
        <v>3.2170000000000001</v>
      </c>
      <c r="P12" s="99">
        <f ca="1">'Trucks-hdt'!P13+'Trucks-lcv'!P13</f>
        <v>0.30000000000000004</v>
      </c>
      <c r="Q12" s="99">
        <f ca="1">'Trucks-hdt'!Q13+'Trucks-lcv'!Q13</f>
        <v>1.0310000000000001</v>
      </c>
      <c r="R12" s="99">
        <f ca="1">'Trucks-hdt'!R13+'Trucks-lcv'!R13</f>
        <v>1.9E-2</v>
      </c>
      <c r="S12" s="99">
        <f ca="1">'Trucks-hdt'!S13+'Trucks-lcv'!S13</f>
        <v>5.7720000000000002</v>
      </c>
      <c r="T12" s="99">
        <f ca="1">'Trucks-hdt'!T13+'Trucks-lcv'!T13</f>
        <v>0.27300000000000002</v>
      </c>
      <c r="U12" s="99">
        <f ca="1">'Trucks-hdt'!U13+'Trucks-lcv'!U13</f>
        <v>2.2320000000000002</v>
      </c>
      <c r="V12" s="99">
        <f ca="1">'Trucks-hdt'!V13+'Trucks-lcv'!V13</f>
        <v>3.8219999999999996</v>
      </c>
      <c r="W12" s="99">
        <f ca="1">'Trucks-hdt'!W13+'Trucks-lcv'!W13</f>
        <v>4.234</v>
      </c>
      <c r="X12" s="99">
        <f ca="1">'Trucks-hdt'!X13+'Trucks-lcv'!X13</f>
        <v>7.3100000000000005</v>
      </c>
      <c r="Y12" s="99">
        <f ca="1">'Trucks-hdt'!Y13+'Trucks-lcv'!Y13</f>
        <v>36.590000000000003</v>
      </c>
      <c r="Z12" s="99">
        <f ca="1">'Trucks-hdt'!Z13+'Trucks-lcv'!Z13</f>
        <v>0.224</v>
      </c>
      <c r="AA12" s="99">
        <f ca="1">'Trucks-hdt'!AA13+'Trucks-lcv'!AA13</f>
        <v>1.764</v>
      </c>
      <c r="AB12" s="99">
        <f ca="1">'Trucks-hdt'!AB13+'Trucks-lcv'!AB13</f>
        <v>8.2100000000000009</v>
      </c>
      <c r="AC12" s="99">
        <f ca="1">'Trucks-hdt'!AC13+'Trucks-lcv'!AC13</f>
        <v>4.3159999999999998</v>
      </c>
      <c r="AD12" s="99">
        <f ca="1">'Trucks-hdt'!AD13+'Trucks-lcv'!AD13</f>
        <v>3.6080000000000001</v>
      </c>
      <c r="AE12" s="99">
        <f ca="1">'Trucks-hdt'!AE13+'Trucks-lcv'!AE13</f>
        <v>0.79099999999999993</v>
      </c>
      <c r="AF12" s="99">
        <f ca="1">'Trucks-hdt'!AF13+'Trucks-lcv'!AF13</f>
        <v>5.1560000000000006</v>
      </c>
      <c r="AG12" s="99">
        <f ca="1">'Trucks-hdt'!AG13+'Trucks-lcv'!AG13</f>
        <v>0.85099999999999998</v>
      </c>
      <c r="AH12" s="99">
        <f ca="1">'Trucks-hdt'!AH13+'Trucks-lcv'!AH13</f>
        <v>0.27200000000000002</v>
      </c>
      <c r="AI12" s="99">
        <f ca="1">'Trucks-hdt'!AI13+'Trucks-lcv'!AI13</f>
        <v>2.4820000000000002</v>
      </c>
      <c r="AJ12" s="99">
        <f ca="1">'Trucks-hdt'!AJ13+'Trucks-lcv'!AJ13</f>
        <v>2.3120000000000003</v>
      </c>
      <c r="AK12" s="99">
        <f ca="1">'Trucks-hdt'!AK13+'Trucks-lcv'!AK13</f>
        <v>0.88700000000000001</v>
      </c>
      <c r="AL12" s="99">
        <f ca="1">'Trucks-hdt'!AL13+'Trucks-lcv'!AL13</f>
        <v>1.232</v>
      </c>
      <c r="AM12" s="99">
        <f ca="1">'Trucks-hdt'!AM13+'Trucks-lcv'!AM13</f>
        <v>0</v>
      </c>
      <c r="AN12" s="99">
        <f ca="1">'Trucks-hdt'!AN13+'Trucks-lcv'!AN13</f>
        <v>0</v>
      </c>
      <c r="AO12" s="99">
        <f ca="1">'Trucks-hdt'!AO13+'Trucks-lcv'!AO13</f>
        <v>0</v>
      </c>
      <c r="AP12" s="99">
        <f ca="1">'Trucks-hdt'!AP13+'Trucks-lcv'!AP13</f>
        <v>0</v>
      </c>
      <c r="AQ12" s="99">
        <f ca="1">'Trucks-hdt'!AQ13+'Trucks-lcv'!AQ13</f>
        <v>0</v>
      </c>
      <c r="AR12" s="99">
        <f ca="1">'Trucks-hdt'!AR13+'Trucks-lcv'!AR13</f>
        <v>0</v>
      </c>
      <c r="AS12" s="99">
        <f ca="1">'Trucks-hdt'!AS13+'Trucks-lcv'!AS13</f>
        <v>0</v>
      </c>
      <c r="AT12" s="99">
        <f ca="1">'Trucks-hdt'!AT13+'Trucks-lcv'!AT13</f>
        <v>0</v>
      </c>
      <c r="AU12" s="99">
        <f ca="1">'Trucks-hdt'!AU13+'Trucks-lcv'!AU13</f>
        <v>0</v>
      </c>
      <c r="AV12" s="99">
        <f ca="1">'Trucks-hdt'!AV13+'Trucks-lcv'!AV13</f>
        <v>0</v>
      </c>
      <c r="AW12" s="99">
        <f ca="1">'Trucks-hdt'!AW13+'Trucks-lcv'!AW13</f>
        <v>0</v>
      </c>
    </row>
    <row r="13" spans="1:50">
      <c r="A13" s="3" t="s">
        <v>326</v>
      </c>
      <c r="B13" s="3"/>
      <c r="C13" s="97">
        <f ca="1">SUM(D13:AW13)</f>
        <v>380.52467319999857</v>
      </c>
      <c r="D13" s="97">
        <f ca="1">IFERROR(OFFSET('vehicle population data'!$F$59,0,MATCH(Trucks!D$3,'vehicle population data'!$G$32:$AM$32,0)),0)</f>
        <v>6.2421408000000156</v>
      </c>
      <c r="E13" s="97">
        <f ca="1">IFERROR(OFFSET('vehicle population data'!$F$59,0,MATCH(Trucks!E$3,'vehicle population data'!$G$32:$AM$32,0)),0)</f>
        <v>6.1953489999999647</v>
      </c>
      <c r="F13" s="97">
        <f ca="1">IFERROR(OFFSET('vehicle population data'!$F$59,0,MATCH(Trucks!F$3,'vehicle population data'!$G$32:$AM$32,0)),0)</f>
        <v>4.6003115999999977</v>
      </c>
      <c r="G13" s="97">
        <f ca="1">IFERROR(OFFSET('vehicle population data'!$F$59,0,MATCH(Trucks!G$3,'vehicle population data'!$G$32:$AM$32,0)),0)</f>
        <v>0.4902489999999986</v>
      </c>
      <c r="H13" s="97">
        <f ca="1">IFERROR(OFFSET('vehicle population data'!$F$59,0,MATCH(Trucks!H$3,'vehicle population data'!$G$32:$AM$32,0)),0)</f>
        <v>0.28756279999999812</v>
      </c>
      <c r="I13" s="97">
        <f ca="1">IFERROR(OFFSET('vehicle population data'!$F$59,0,MATCH(Trucks!I$3,'vehicle population data'!$G$32:$AM$32,0)),0)</f>
        <v>1.9828478000000018</v>
      </c>
      <c r="J13" s="97">
        <f ca="1">IFERROR(OFFSET('vehicle population data'!$F$59,0,MATCH(Trucks!J$3,'vehicle population data'!$G$32:$AM$32,0)),0)</f>
        <v>8.9585404000000608</v>
      </c>
      <c r="K13" s="97">
        <f ca="1">IFERROR(OFFSET('vehicle population data'!$F$59,0,MATCH(Trucks!K$3,'vehicle population data'!$G$32:$AM$32,0)),0)</f>
        <v>38.272305599999527</v>
      </c>
      <c r="L13" s="97">
        <f ca="1">IFERROR(OFFSET('vehicle population data'!$F$59,0,MATCH(Trucks!L$3,'vehicle population data'!$G$32:$AM$32,0)),0)</f>
        <v>0.26206260000000015</v>
      </c>
      <c r="M13" s="97">
        <f ca="1">IFERROR(OFFSET('vehicle population data'!$F$59,0,MATCH(Trucks!M$3,'vehicle population data'!$G$32:$AM$32,0)),0)</f>
        <v>1.1218525999999969</v>
      </c>
      <c r="N13" s="97">
        <f ca="1">IFERROR(OFFSET('vehicle population data'!$F$59,0,MATCH(Trucks!N$3,'vehicle population data'!$G$32:$AM$32,0)),0)</f>
        <v>6.7770000000000081</v>
      </c>
      <c r="O13" s="97">
        <f ca="1">IFERROR(OFFSET('vehicle population data'!$F$59,0,MATCH(Trucks!O$3,'vehicle population data'!$G$32:$AM$32,0)),0)</f>
        <v>3.6276983999999857</v>
      </c>
      <c r="P13" s="97">
        <f ca="1">IFERROR(OFFSET('vehicle population data'!$F$59,0,MATCH(Trucks!P$3,'vehicle population data'!$G$32:$AM$32,0)),0)</f>
        <v>1.0708683999999948</v>
      </c>
      <c r="Q13" s="97">
        <f ca="1">IFERROR(OFFSET('vehicle population data'!$F$59,0,MATCH(Trucks!Q$3,'vehicle population data'!$G$32:$AM$32,0)),0)</f>
        <v>2.0582397999999955</v>
      </c>
      <c r="R13" s="97">
        <f ca="1">IFERROR(OFFSET('vehicle population data'!$F$59,0,MATCH(Trucks!R$3,'vehicle population data'!$G$32:$AM$32,0)),0)</f>
        <v>3.7944999999999895E-2</v>
      </c>
      <c r="S13" s="97">
        <f ca="1">IFERROR(OFFSET('vehicle population data'!$F$59,0,MATCH(Trucks!S$3,'vehicle population data'!$G$32:$AM$32,0)),0)</f>
        <v>7.6083999999999605</v>
      </c>
      <c r="T13" s="97">
        <f ca="1">IFERROR(OFFSET('vehicle population data'!$F$59,0,MATCH(Trucks!T$3,'vehicle population data'!$G$32:$AM$32,0)),0)</f>
        <v>0.33557599999999965</v>
      </c>
      <c r="U13" s="97">
        <f ca="1">IFERROR(OFFSET('vehicle population data'!$F$59,0,MATCH(Trucks!U$3,'vehicle population data'!$G$32:$AM$32,0)),0)</f>
        <v>4.8413290000000018</v>
      </c>
      <c r="V13" s="97">
        <f ca="1">IFERROR(OFFSET('vehicle population data'!$F$59,0,MATCH(Trucks!V$3,'vehicle population data'!$G$32:$AM$32,0)),0)</f>
        <v>15.990987599999983</v>
      </c>
      <c r="W13" s="97">
        <f ca="1">IFERROR(OFFSET('vehicle population data'!$F$59,0,MATCH(Trucks!W$3,'vehicle population data'!$G$32:$AM$32,0)),0)</f>
        <v>17.217967000000044</v>
      </c>
      <c r="X13" s="97">
        <f ca="1">IFERROR(OFFSET('vehicle population data'!$F$59,0,MATCH(Trucks!X$3,'vehicle population data'!$G$32:$AM$32,0)),0)</f>
        <v>9.4784841999999117</v>
      </c>
      <c r="Y13" s="97">
        <f ca="1">IFERROR(OFFSET('vehicle population data'!$F$59,0,MATCH(Trucks!Y$3,'vehicle population data'!$G$32:$AM$32,0)),0)</f>
        <v>173.73066239999935</v>
      </c>
      <c r="Z13" s="97">
        <f ca="1">IFERROR(OFFSET('vehicle population data'!$F$59,0,MATCH(Trucks!Z$3,'vehicle population data'!$G$32:$AM$32,0)),0)</f>
        <v>0.62239739999999877</v>
      </c>
      <c r="AA13" s="97">
        <f ca="1">IFERROR(OFFSET('vehicle population data'!$F$59,0,MATCH(Trucks!AA$3,'vehicle population data'!$G$32:$AM$32,0)),0)</f>
        <v>3.711289800000003</v>
      </c>
      <c r="AB13" s="97">
        <f ca="1">IFERROR(OFFSET('vehicle population data'!$F$59,0,MATCH(Trucks!AB$3,'vehicle population data'!$G$32:$AM$32,0)),0)</f>
        <v>32.443948799999816</v>
      </c>
      <c r="AC13" s="97">
        <f ca="1">IFERROR(OFFSET('vehicle population data'!$F$59,0,MATCH(Trucks!AC$3,'vehicle population data'!$G$32:$AM$32,0)),0)</f>
        <v>8.2909073999999805</v>
      </c>
      <c r="AD13" s="97">
        <f ca="1">IFERROR(OFFSET('vehicle population data'!$F$59,0,MATCH(Trucks!AD$3,'vehicle population data'!$G$32:$AM$32,0)),0)</f>
        <v>2.5249443999999812</v>
      </c>
      <c r="AE13" s="97">
        <f ca="1">IFERROR(OFFSET('vehicle population data'!$F$59,0,MATCH(Trucks!AE$3,'vehicle population data'!$G$32:$AM$32,0)),0)</f>
        <v>3.5329886000000101</v>
      </c>
      <c r="AF13" s="97">
        <f ca="1">IFERROR(OFFSET('vehicle population data'!$F$59,0,MATCH(Trucks!AF$3,'vehicle population data'!$G$32:$AM$32,0)),0)</f>
        <v>6.0032870000000003</v>
      </c>
      <c r="AG13" s="97">
        <f ca="1">IFERROR(OFFSET('vehicle population data'!$F$59,0,MATCH(Trucks!AG$3,'vehicle population data'!$G$32:$AM$32,0)),0)</f>
        <v>1.1573003999999996</v>
      </c>
      <c r="AH13" s="97">
        <f ca="1">IFERROR(OFFSET('vehicle population data'!$F$59,0,MATCH(Trucks!AH$3,'vehicle population data'!$G$32:$AM$32,0)),0)</f>
        <v>0.46327480000000065</v>
      </c>
      <c r="AI13" s="97">
        <f ca="1">IFERROR(OFFSET('vehicle population data'!$F$59,0,MATCH(Trucks!AI$3,'vehicle population data'!$G$32:$AM$32,0)),0)</f>
        <v>5.5457643999999959</v>
      </c>
      <c r="AJ13" s="97">
        <f ca="1">IFERROR(OFFSET('vehicle population data'!$F$59,0,MATCH(Trucks!AJ$3,'vehicle population data'!$G$32:$AM$32,0)),0)</f>
        <v>5.0401902000000121</v>
      </c>
      <c r="AK13" s="97">
        <f ca="1">IFERROR(OFFSET('vehicle population data'!$F$59,0,MATCH(Trucks!AK$3,'vehicle population data'!$G$32:$AM$32,0)),0)</f>
        <v>0</v>
      </c>
      <c r="AL13" s="97">
        <f ca="1">IFERROR(OFFSET('vehicle population data'!$F$59,0,MATCH(Trucks!AL$3,'vehicle population data'!$G$32:$AM$32,0)),0)</f>
        <v>0</v>
      </c>
      <c r="AM13" s="97">
        <f ca="1">IFERROR(OFFSET('vehicle population data'!$F$59,0,MATCH(Trucks!AM$3,'vehicle population data'!$G$32:$AM$32,0)),0)</f>
        <v>0</v>
      </c>
      <c r="AN13" s="97">
        <f ca="1">IFERROR(OFFSET('vehicle population data'!$F$59,0,MATCH(Trucks!AN$3,'vehicle population data'!$G$32:$AM$32,0)),0)</f>
        <v>0</v>
      </c>
      <c r="AO13" s="97">
        <f ca="1">IFERROR(OFFSET('vehicle population data'!$F$59,0,MATCH(Trucks!AO$3,'vehicle population data'!$G$32:$AM$32,0)),0)</f>
        <v>0</v>
      </c>
      <c r="AP13" s="97">
        <f ca="1">IFERROR(OFFSET('vehicle population data'!$F$59,0,MATCH(Trucks!AP$3,'vehicle population data'!$G$32:$AM$32,0)),0)</f>
        <v>0</v>
      </c>
      <c r="AQ13" s="97">
        <f ca="1">IFERROR(OFFSET('vehicle population data'!$F$59,0,MATCH(Trucks!AQ$3,'vehicle population data'!$G$32:$AM$32,0)),0)</f>
        <v>0</v>
      </c>
      <c r="AR13" s="97">
        <f ca="1">IFERROR(OFFSET('vehicle population data'!$F$59,0,MATCH(Trucks!AR$3,'vehicle population data'!$G$32:$AM$32,0)),0)</f>
        <v>0</v>
      </c>
      <c r="AS13" s="97">
        <f ca="1">IFERROR(OFFSET('vehicle population data'!$F$59,0,MATCH(Trucks!AS$3,'vehicle population data'!$G$32:$AM$32,0)),0)</f>
        <v>0</v>
      </c>
      <c r="AT13" s="97">
        <f ca="1">IFERROR(OFFSET('vehicle population data'!$F$59,0,MATCH(Trucks!AT$3,'vehicle population data'!$G$32:$AM$32,0)),0)</f>
        <v>0</v>
      </c>
      <c r="AU13" s="97">
        <f ca="1">IFERROR(OFFSET('vehicle population data'!$F$59,0,MATCH(Trucks!AU$3,'vehicle population data'!$G$32:$AM$32,0)),0)</f>
        <v>0</v>
      </c>
      <c r="AV13" s="97">
        <f ca="1">IFERROR(OFFSET('vehicle population data'!$F$59,0,MATCH(Trucks!AV$3,'vehicle population data'!$G$32:$AM$32,0)),0)</f>
        <v>0</v>
      </c>
      <c r="AW13" s="97">
        <f ca="1">IFERROR(OFFSET('vehicle population data'!$F$59,0,MATCH(Trucks!AW$3,'vehicle population data'!$G$32:$AM$32,0)),0)</f>
        <v>0</v>
      </c>
      <c r="AX13" s="1"/>
    </row>
    <row r="14" spans="1:50">
      <c r="A14" s="3" t="s">
        <v>327</v>
      </c>
      <c r="B14" s="3"/>
      <c r="D14" s="42">
        <f ca="1">D13/SUM($D$13:$AW$13)</f>
        <v>1.6404036951157781E-2</v>
      </c>
      <c r="E14" s="42">
        <f t="shared" ref="E14:AW14" ca="1" si="2">E13/SUM($D$13:$AW$13)</f>
        <v>1.628107041759096E-2</v>
      </c>
      <c r="F14" s="42">
        <f t="shared" ca="1" si="2"/>
        <v>1.208939110653184E-2</v>
      </c>
      <c r="G14" s="42">
        <f t="shared" ca="1" si="2"/>
        <v>1.2883500979773009E-3</v>
      </c>
      <c r="H14" s="42">
        <f t="shared" ca="1" si="2"/>
        <v>7.557008001130561E-4</v>
      </c>
      <c r="I14" s="42">
        <f t="shared" ca="1" si="2"/>
        <v>5.2108258403466105E-3</v>
      </c>
      <c r="J14" s="42">
        <f t="shared" ca="1" si="2"/>
        <v>2.3542600601069497E-2</v>
      </c>
      <c r="K14" s="42">
        <f t="shared" ca="1" si="2"/>
        <v>0.1005777241148411</v>
      </c>
      <c r="L14" s="42">
        <f t="shared" ca="1" si="2"/>
        <v>6.8868753712131466E-4</v>
      </c>
      <c r="M14" s="42">
        <f t="shared" ca="1" si="2"/>
        <v>2.9481730857708836E-3</v>
      </c>
      <c r="N14" s="42">
        <f t="shared" ca="1" si="2"/>
        <v>1.7809620445920753E-2</v>
      </c>
      <c r="O14" s="42">
        <f t="shared" ca="1" si="2"/>
        <v>9.5334117745718861E-3</v>
      </c>
      <c r="P14" s="42">
        <f t="shared" ca="1" si="2"/>
        <v>2.8141891325852634E-3</v>
      </c>
      <c r="Q14" s="42">
        <f t="shared" ca="1" si="2"/>
        <v>5.4089522834126786E-3</v>
      </c>
      <c r="R14" s="42">
        <f t="shared" ca="1" si="2"/>
        <v>9.9717581204140528E-5</v>
      </c>
      <c r="S14" s="42">
        <f t="shared" ca="1" si="2"/>
        <v>1.9994498480263037E-2</v>
      </c>
      <c r="T14" s="42">
        <f t="shared" ca="1" si="2"/>
        <v>8.818771124037612E-4</v>
      </c>
      <c r="U14" s="42">
        <f t="shared" ca="1" si="2"/>
        <v>1.2722772900078059E-2</v>
      </c>
      <c r="V14" s="42">
        <f t="shared" ca="1" si="2"/>
        <v>4.2023523640464015E-2</v>
      </c>
      <c r="W14" s="42">
        <f t="shared" ca="1" si="2"/>
        <v>4.524796475142235E-2</v>
      </c>
      <c r="X14" s="42">
        <f t="shared" ca="1" si="2"/>
        <v>2.4908987163148155E-2</v>
      </c>
      <c r="Y14" s="42">
        <f t="shared" ca="1" si="2"/>
        <v>0.45655557874610903</v>
      </c>
      <c r="Z14" s="42">
        <f t="shared" ca="1" si="2"/>
        <v>1.6356295500262481E-3</v>
      </c>
      <c r="AA14" s="42">
        <f t="shared" ca="1" si="2"/>
        <v>9.753085834855707E-3</v>
      </c>
      <c r="AB14" s="42">
        <f t="shared" ca="1" si="2"/>
        <v>8.5261091027723501E-2</v>
      </c>
      <c r="AC14" s="42">
        <f t="shared" ca="1" si="2"/>
        <v>2.1788094134023189E-2</v>
      </c>
      <c r="AD14" s="42">
        <f t="shared" ca="1" si="2"/>
        <v>6.6354288639593811E-3</v>
      </c>
      <c r="AE14" s="42">
        <f t="shared" ca="1" si="2"/>
        <v>9.2845191096008629E-3</v>
      </c>
      <c r="AF14" s="42">
        <f t="shared" ca="1" si="2"/>
        <v>1.5776340991283777E-2</v>
      </c>
      <c r="AG14" s="42">
        <f t="shared" ca="1" si="2"/>
        <v>3.0413281490205453E-3</v>
      </c>
      <c r="AH14" s="42">
        <f t="shared" ca="1" si="2"/>
        <v>1.2174632359686955E-3</v>
      </c>
      <c r="AI14" s="42">
        <f t="shared" ca="1" si="2"/>
        <v>1.457399425210259E-2</v>
      </c>
      <c r="AJ14" s="42">
        <f t="shared" ca="1" si="2"/>
        <v>1.3245370287332083E-2</v>
      </c>
      <c r="AK14" s="42">
        <f t="shared" ca="1" si="2"/>
        <v>0</v>
      </c>
      <c r="AL14" s="42">
        <f t="shared" ca="1" si="2"/>
        <v>0</v>
      </c>
      <c r="AM14" s="42">
        <f t="shared" ca="1" si="2"/>
        <v>0</v>
      </c>
      <c r="AN14" s="42">
        <f t="shared" ca="1" si="2"/>
        <v>0</v>
      </c>
      <c r="AO14" s="42">
        <f t="shared" ca="1" si="2"/>
        <v>0</v>
      </c>
      <c r="AP14" s="42">
        <f t="shared" ca="1" si="2"/>
        <v>0</v>
      </c>
      <c r="AQ14" s="42">
        <f t="shared" ca="1" si="2"/>
        <v>0</v>
      </c>
      <c r="AR14" s="42">
        <f t="shared" ca="1" si="2"/>
        <v>0</v>
      </c>
      <c r="AS14" s="42">
        <f t="shared" ca="1" si="2"/>
        <v>0</v>
      </c>
      <c r="AT14" s="42">
        <f t="shared" ca="1" si="2"/>
        <v>0</v>
      </c>
      <c r="AU14" s="42">
        <f t="shared" ca="1" si="2"/>
        <v>0</v>
      </c>
      <c r="AV14" s="42">
        <f t="shared" ca="1" si="2"/>
        <v>0</v>
      </c>
      <c r="AW14" s="42">
        <f t="shared" ca="1" si="2"/>
        <v>0</v>
      </c>
    </row>
    <row r="16" spans="1:50">
      <c r="A16" s="3" t="s">
        <v>328</v>
      </c>
      <c r="B16" s="3"/>
      <c r="D16" s="1">
        <f ca="1">D11/D14</f>
        <v>1.1351205592426772</v>
      </c>
      <c r="E16" s="1">
        <f t="shared" ref="E16:U16" ca="1" si="3">E11/E14</f>
        <v>0.99338607592659922</v>
      </c>
      <c r="F16" s="1">
        <f t="shared" ca="1" si="3"/>
        <v>1.2410969478009721</v>
      </c>
      <c r="G16" s="1">
        <f t="shared" ca="1" si="3"/>
        <v>4.6066192786336879</v>
      </c>
      <c r="H16" s="1">
        <f t="shared" ca="1" si="3"/>
        <v>4.4075494574079546</v>
      </c>
      <c r="I16" s="1">
        <f t="shared" ca="1" si="3"/>
        <v>2.4395627574986856</v>
      </c>
      <c r="J16" s="1">
        <f t="shared" ca="1" si="3"/>
        <v>2.1896641968062331</v>
      </c>
      <c r="K16" s="1">
        <f t="shared" ca="1" si="3"/>
        <v>0.83173436297805536</v>
      </c>
      <c r="L16" s="1">
        <f t="shared" ca="1" si="3"/>
        <v>3.9126725745150601</v>
      </c>
      <c r="M16" s="1">
        <f t="shared" ca="1" si="3"/>
        <v>1.9709475825514995</v>
      </c>
      <c r="N16" s="1">
        <f t="shared" ca="1" si="3"/>
        <v>1.6775841223025831</v>
      </c>
      <c r="O16" s="1">
        <f t="shared" ca="1" si="3"/>
        <v>3.3465908774432687</v>
      </c>
      <c r="P16" s="1">
        <f t="shared" ca="1" si="3"/>
        <v>0.96000621725548729</v>
      </c>
      <c r="Q16" s="1">
        <f t="shared" ca="1" si="3"/>
        <v>1.713122539039599</v>
      </c>
      <c r="R16" s="1">
        <f t="shared" ca="1" si="3"/>
        <v>1.8228667102934475</v>
      </c>
      <c r="S16" s="1">
        <f t="shared" ca="1" si="3"/>
        <v>1.9442307873665707</v>
      </c>
      <c r="T16" s="1">
        <f t="shared" ca="1" si="3"/>
        <v>3.1668939105530591</v>
      </c>
      <c r="U16" s="1">
        <f t="shared" ca="1" si="3"/>
        <v>1.6542717876965525</v>
      </c>
      <c r="V16" s="1">
        <f t="shared" ref="V16:AJ16" ca="1" si="4">V11/V14</f>
        <v>0.66307870720457895</v>
      </c>
      <c r="W16" s="1">
        <f t="shared" ca="1" si="4"/>
        <v>0.91433320538885809</v>
      </c>
      <c r="X16" s="1">
        <f t="shared" ca="1" si="4"/>
        <v>2.0789429566757089</v>
      </c>
      <c r="Y16" s="1">
        <f t="shared" ca="1" si="4"/>
        <v>0.59830650903820581</v>
      </c>
      <c r="Z16" s="1">
        <f t="shared" ca="1" si="4"/>
        <v>1.3942435346493498</v>
      </c>
      <c r="AA16" s="1">
        <f t="shared" ca="1" si="4"/>
        <v>1.4566427604690033</v>
      </c>
      <c r="AB16" s="1">
        <f t="shared" ca="1" si="4"/>
        <v>1.1138749149750773</v>
      </c>
      <c r="AC16" s="1">
        <f t="shared" ca="1" si="4"/>
        <v>1.3723734001860521</v>
      </c>
      <c r="AD16" s="1">
        <f t="shared" ca="1" si="4"/>
        <v>4.0692751766443989</v>
      </c>
      <c r="AE16" s="1">
        <f t="shared" ca="1" si="4"/>
        <v>0.6124276037714409</v>
      </c>
      <c r="AF16" s="1">
        <f t="shared" ca="1" si="4"/>
        <v>1.563019511365497</v>
      </c>
      <c r="AG16" s="1">
        <f t="shared" ref="AG16" ca="1" si="5">AG11/AG14</f>
        <v>2.8051090715443396</v>
      </c>
      <c r="AH16" s="1">
        <f t="shared" ca="1" si="4"/>
        <v>2.1629810378247969</v>
      </c>
      <c r="AI16" s="1">
        <f t="shared" ca="1" si="4"/>
        <v>1.4204324775624519</v>
      </c>
      <c r="AJ16" s="1">
        <f t="shared" ca="1" si="4"/>
        <v>1.7453222916772404</v>
      </c>
      <c r="AK16" s="1" t="e">
        <f t="shared" ref="AK16:AW16" ca="1" si="6">AK11/AK14</f>
        <v>#DIV/0!</v>
      </c>
      <c r="AL16" s="1" t="e">
        <f t="shared" ca="1" si="6"/>
        <v>#DIV/0!</v>
      </c>
      <c r="AM16" s="1" t="e">
        <f t="shared" ca="1" si="6"/>
        <v>#DIV/0!</v>
      </c>
      <c r="AN16" s="1" t="e">
        <f t="shared" ca="1" si="6"/>
        <v>#DIV/0!</v>
      </c>
      <c r="AO16" s="1" t="e">
        <f t="shared" ca="1" si="6"/>
        <v>#DIV/0!</v>
      </c>
      <c r="AP16" s="1" t="e">
        <f t="shared" ca="1" si="6"/>
        <v>#DIV/0!</v>
      </c>
      <c r="AQ16" s="1" t="e">
        <f t="shared" ca="1" si="6"/>
        <v>#DIV/0!</v>
      </c>
      <c r="AR16" s="1" t="e">
        <f t="shared" ca="1" si="6"/>
        <v>#DIV/0!</v>
      </c>
      <c r="AS16" s="1" t="e">
        <f t="shared" ca="1" si="6"/>
        <v>#DIV/0!</v>
      </c>
      <c r="AT16" s="1" t="e">
        <f t="shared" ca="1" si="6"/>
        <v>#DIV/0!</v>
      </c>
      <c r="AU16" s="1" t="e">
        <f t="shared" ca="1" si="6"/>
        <v>#DIV/0!</v>
      </c>
      <c r="AV16" s="1" t="e">
        <f t="shared" ca="1" si="6"/>
        <v>#DIV/0!</v>
      </c>
      <c r="AW16" s="1" t="e">
        <f t="shared" ca="1" si="6"/>
        <v>#DIV/0!</v>
      </c>
    </row>
    <row r="18" spans="1:49">
      <c r="A18" t="s">
        <v>318</v>
      </c>
      <c r="C18" t="str">
        <f>C4</f>
        <v>TRABDS</v>
      </c>
      <c r="D18" s="40">
        <f ca="1">D4/SUM(D$4:D$10)*D$13</f>
        <v>0</v>
      </c>
      <c r="E18" s="40">
        <f t="shared" ref="E18:U18" ca="1" si="7">E4/SUM(E$4:E$10)*E$13</f>
        <v>0</v>
      </c>
      <c r="F18" s="40">
        <f t="shared" ca="1" si="7"/>
        <v>2.629467307132865E-4</v>
      </c>
      <c r="G18" s="40">
        <f t="shared" ca="1" si="7"/>
        <v>3.1304411291677492E-2</v>
      </c>
      <c r="H18" s="40">
        <f t="shared" ca="1" si="7"/>
        <v>9.4647338450535821E-3</v>
      </c>
      <c r="I18" s="40">
        <f t="shared" ca="1" si="7"/>
        <v>0.12247211416422127</v>
      </c>
      <c r="J18" s="40">
        <f t="shared" ca="1" si="7"/>
        <v>2.6491483736292567</v>
      </c>
      <c r="K18" s="40">
        <f t="shared" ca="1" si="7"/>
        <v>0.28380083068981249</v>
      </c>
      <c r="L18" s="40">
        <f t="shared" ca="1" si="7"/>
        <v>1.2504356552151655E-2</v>
      </c>
      <c r="M18" s="40">
        <f t="shared" ca="1" si="7"/>
        <v>6.5058921213605292E-2</v>
      </c>
      <c r="N18" s="40">
        <f t="shared" ca="1" si="7"/>
        <v>0.5097709022061534</v>
      </c>
      <c r="O18" s="40">
        <f t="shared" ca="1" si="7"/>
        <v>0.19121030504120171</v>
      </c>
      <c r="P18" s="40">
        <f t="shared" ca="1" si="7"/>
        <v>6.0388964002509676E-2</v>
      </c>
      <c r="Q18" s="40">
        <f t="shared" ca="1" si="7"/>
        <v>0.11593014192167345</v>
      </c>
      <c r="R18" s="40">
        <f t="shared" ca="1" si="7"/>
        <v>2.8801557485840673E-3</v>
      </c>
      <c r="S18" s="40">
        <f t="shared" ca="1" si="7"/>
        <v>5.0415539209617164E-3</v>
      </c>
      <c r="T18" s="40">
        <f t="shared" ca="1" si="7"/>
        <v>1.7325419528090056E-2</v>
      </c>
      <c r="U18" s="40">
        <f t="shared" ca="1" si="7"/>
        <v>0.25729212287729369</v>
      </c>
      <c r="V18" s="40">
        <f t="shared" ref="V18:AJ18" ca="1" si="8">V4/SUM(V$4:V$10)*V$13</f>
        <v>7.5233880353777821E-3</v>
      </c>
      <c r="W18" s="40">
        <f t="shared" ca="1" si="8"/>
        <v>0.72369227334300767</v>
      </c>
      <c r="X18" s="40">
        <f t="shared" ca="1" si="8"/>
        <v>0</v>
      </c>
      <c r="Y18" s="40">
        <f t="shared" ca="1" si="8"/>
        <v>3.4034033428855937</v>
      </c>
      <c r="Z18" s="40">
        <f t="shared" ca="1" si="8"/>
        <v>0.10179452882997207</v>
      </c>
      <c r="AA18" s="40">
        <f t="shared" ca="1" si="8"/>
        <v>0.18456610179932878</v>
      </c>
      <c r="AB18" s="40">
        <f t="shared" ca="1" si="8"/>
        <v>2.1304482869299135</v>
      </c>
      <c r="AC18" s="40">
        <f t="shared" ca="1" si="8"/>
        <v>4.7751401293782384E-4</v>
      </c>
      <c r="AD18" s="40">
        <f t="shared" ca="1" si="8"/>
        <v>0</v>
      </c>
      <c r="AE18" s="40">
        <f t="shared" ca="1" si="8"/>
        <v>0</v>
      </c>
      <c r="AF18" s="40">
        <f t="shared" ca="1" si="8"/>
        <v>0.38088506458104454</v>
      </c>
      <c r="AG18" s="40">
        <f t="shared" ref="AG18" ca="1" si="9">AG4/SUM(AG$4:AG$10)*AG$13</f>
        <v>0.20669436447741102</v>
      </c>
      <c r="AH18" s="40">
        <f t="shared" ca="1" si="8"/>
        <v>2.3464476013811915E-2</v>
      </c>
      <c r="AI18" s="40">
        <f t="shared" ca="1" si="8"/>
        <v>2.901377884165858E-2</v>
      </c>
      <c r="AJ18" s="40">
        <f t="shared" ca="1" si="8"/>
        <v>0.24515050886708989</v>
      </c>
      <c r="AK18" s="40">
        <f t="shared" ref="AK18:AW18" ca="1" si="10">AK4/SUM(AK$4:AK$10)*AK$13</f>
        <v>0</v>
      </c>
      <c r="AL18" s="40">
        <f t="shared" ca="1" si="10"/>
        <v>0</v>
      </c>
      <c r="AM18" s="40" t="e">
        <f t="shared" ca="1" si="10"/>
        <v>#DIV/0!</v>
      </c>
      <c r="AN18" s="40" t="e">
        <f t="shared" ca="1" si="10"/>
        <v>#DIV/0!</v>
      </c>
      <c r="AO18" s="40" t="e">
        <f t="shared" ca="1" si="10"/>
        <v>#DIV/0!</v>
      </c>
      <c r="AP18" s="40" t="e">
        <f t="shared" ca="1" si="10"/>
        <v>#DIV/0!</v>
      </c>
      <c r="AQ18" s="40" t="e">
        <f t="shared" ca="1" si="10"/>
        <v>#DIV/0!</v>
      </c>
      <c r="AR18" s="40" t="e">
        <f t="shared" ca="1" si="10"/>
        <v>#DIV/0!</v>
      </c>
      <c r="AS18" s="40" t="e">
        <f t="shared" ca="1" si="10"/>
        <v>#DIV/0!</v>
      </c>
      <c r="AT18" s="40" t="e">
        <f t="shared" ca="1" si="10"/>
        <v>#DIV/0!</v>
      </c>
      <c r="AU18" s="40" t="e">
        <f t="shared" ca="1" si="10"/>
        <v>#DIV/0!</v>
      </c>
      <c r="AV18" s="40" t="e">
        <f t="shared" ca="1" si="10"/>
        <v>#DIV/0!</v>
      </c>
      <c r="AW18" s="40" t="e">
        <f t="shared" ca="1" si="10"/>
        <v>#DIV/0!</v>
      </c>
    </row>
    <row r="19" spans="1:49">
      <c r="C19" t="str">
        <f t="shared" ref="C19:C24" si="11">C5</f>
        <v>TRABGS</v>
      </c>
      <c r="D19" s="40">
        <f t="shared" ref="D19:AJ24" ca="1" si="12">D5/SUM(D$4:D$10)*D$13</f>
        <v>0</v>
      </c>
      <c r="E19" s="40">
        <f t="shared" ref="E19:U19" ca="1" si="13">E5/SUM(E$4:E$10)*E$13</f>
        <v>0</v>
      </c>
      <c r="F19" s="40">
        <f t="shared" ca="1" si="13"/>
        <v>0</v>
      </c>
      <c r="G19" s="40">
        <f t="shared" ca="1" si="13"/>
        <v>0</v>
      </c>
      <c r="H19" s="40">
        <f t="shared" ca="1" si="13"/>
        <v>0</v>
      </c>
      <c r="I19" s="40">
        <f t="shared" ca="1" si="13"/>
        <v>0</v>
      </c>
      <c r="J19" s="40">
        <f t="shared" ca="1" si="13"/>
        <v>0</v>
      </c>
      <c r="K19" s="40">
        <f t="shared" ca="1" si="13"/>
        <v>0</v>
      </c>
      <c r="L19" s="40">
        <f t="shared" ca="1" si="13"/>
        <v>0</v>
      </c>
      <c r="M19" s="40">
        <f t="shared" ca="1" si="13"/>
        <v>0</v>
      </c>
      <c r="N19" s="40">
        <f t="shared" ca="1" si="13"/>
        <v>0</v>
      </c>
      <c r="O19" s="40">
        <f t="shared" ca="1" si="13"/>
        <v>0</v>
      </c>
      <c r="P19" s="40">
        <f t="shared" ca="1" si="13"/>
        <v>0</v>
      </c>
      <c r="Q19" s="40">
        <f t="shared" ca="1" si="13"/>
        <v>0</v>
      </c>
      <c r="R19" s="40">
        <f t="shared" ca="1" si="13"/>
        <v>0</v>
      </c>
      <c r="S19" s="40">
        <f t="shared" ca="1" si="13"/>
        <v>0</v>
      </c>
      <c r="T19" s="40">
        <f t="shared" ca="1" si="13"/>
        <v>0</v>
      </c>
      <c r="U19" s="40">
        <f t="shared" ca="1" si="13"/>
        <v>0</v>
      </c>
      <c r="V19" s="40">
        <f t="shared" ca="1" si="12"/>
        <v>0</v>
      </c>
      <c r="W19" s="40">
        <f t="shared" ca="1" si="12"/>
        <v>0</v>
      </c>
      <c r="X19" s="40">
        <f t="shared" ca="1" si="12"/>
        <v>0</v>
      </c>
      <c r="Y19" s="40">
        <f t="shared" ca="1" si="12"/>
        <v>0</v>
      </c>
      <c r="Z19" s="40">
        <f t="shared" ca="1" si="12"/>
        <v>0</v>
      </c>
      <c r="AA19" s="40">
        <f t="shared" ca="1" si="12"/>
        <v>0</v>
      </c>
      <c r="AB19" s="40">
        <f t="shared" ca="1" si="12"/>
        <v>0</v>
      </c>
      <c r="AC19" s="40">
        <f t="shared" ca="1" si="12"/>
        <v>0</v>
      </c>
      <c r="AD19" s="40">
        <f t="shared" ca="1" si="12"/>
        <v>0</v>
      </c>
      <c r="AE19" s="40">
        <f t="shared" ca="1" si="12"/>
        <v>0</v>
      </c>
      <c r="AF19" s="40">
        <f t="shared" ca="1" si="12"/>
        <v>0</v>
      </c>
      <c r="AG19" s="40">
        <f t="shared" ref="AG19" ca="1" si="14">AG5/SUM(AG$4:AG$10)*AG$13</f>
        <v>0</v>
      </c>
      <c r="AH19" s="40">
        <f t="shared" ca="1" si="12"/>
        <v>0</v>
      </c>
      <c r="AI19" s="40">
        <f t="shared" ca="1" si="12"/>
        <v>0</v>
      </c>
      <c r="AJ19" s="40">
        <f t="shared" ca="1" si="12"/>
        <v>0</v>
      </c>
      <c r="AK19" s="40">
        <f t="shared" ref="AK19:AW19" ca="1" si="15">AK5/SUM(AK$4:AK$10)*AK$13</f>
        <v>0</v>
      </c>
      <c r="AL19" s="40">
        <f t="shared" ca="1" si="15"/>
        <v>0</v>
      </c>
      <c r="AM19" s="40" t="e">
        <f t="shared" ca="1" si="15"/>
        <v>#DIV/0!</v>
      </c>
      <c r="AN19" s="40" t="e">
        <f t="shared" ca="1" si="15"/>
        <v>#DIV/0!</v>
      </c>
      <c r="AO19" s="40" t="e">
        <f t="shared" ca="1" si="15"/>
        <v>#DIV/0!</v>
      </c>
      <c r="AP19" s="40" t="e">
        <f t="shared" ca="1" si="15"/>
        <v>#DIV/0!</v>
      </c>
      <c r="AQ19" s="40" t="e">
        <f t="shared" ca="1" si="15"/>
        <v>#DIV/0!</v>
      </c>
      <c r="AR19" s="40" t="e">
        <f t="shared" ca="1" si="15"/>
        <v>#DIV/0!</v>
      </c>
      <c r="AS19" s="40" t="e">
        <f t="shared" ca="1" si="15"/>
        <v>#DIV/0!</v>
      </c>
      <c r="AT19" s="40" t="e">
        <f t="shared" ca="1" si="15"/>
        <v>#DIV/0!</v>
      </c>
      <c r="AU19" s="40" t="e">
        <f t="shared" ca="1" si="15"/>
        <v>#DIV/0!</v>
      </c>
      <c r="AV19" s="40" t="e">
        <f t="shared" ca="1" si="15"/>
        <v>#DIV/0!</v>
      </c>
      <c r="AW19" s="40" t="e">
        <f t="shared" ca="1" si="15"/>
        <v>#DIV/0!</v>
      </c>
    </row>
    <row r="20" spans="1:49">
      <c r="C20" t="str">
        <f t="shared" si="11"/>
        <v>TRADST</v>
      </c>
      <c r="D20" s="40">
        <f t="shared" ca="1" si="12"/>
        <v>6.1007619598370342</v>
      </c>
      <c r="E20" s="40">
        <f t="shared" ref="E20:U20" ca="1" si="16">E6/SUM(E$4:E$10)*E$13</f>
        <v>6.1951550006865865</v>
      </c>
      <c r="F20" s="40">
        <f t="shared" ca="1" si="16"/>
        <v>4.1128803311941482</v>
      </c>
      <c r="G20" s="40">
        <f t="shared" ca="1" si="16"/>
        <v>0.4542574494105594</v>
      </c>
      <c r="H20" s="40">
        <f t="shared" ca="1" si="16"/>
        <v>0.2504262705036297</v>
      </c>
      <c r="I20" s="40">
        <f t="shared" ca="1" si="16"/>
        <v>1.8181240597742778</v>
      </c>
      <c r="J20" s="40">
        <f t="shared" ca="1" si="16"/>
        <v>5.8432872968848111</v>
      </c>
      <c r="K20" s="40">
        <f t="shared" ca="1" si="16"/>
        <v>29.061219702186161</v>
      </c>
      <c r="L20" s="40">
        <f t="shared" ca="1" si="16"/>
        <v>0.23603799488557922</v>
      </c>
      <c r="M20" s="40">
        <f t="shared" ca="1" si="16"/>
        <v>1.0040808758254964</v>
      </c>
      <c r="N20" s="40">
        <f t="shared" ca="1" si="16"/>
        <v>6.2038708682583596</v>
      </c>
      <c r="O20" s="40">
        <f t="shared" ca="1" si="16"/>
        <v>3.3585776429812793</v>
      </c>
      <c r="P20" s="40">
        <f t="shared" ca="1" si="16"/>
        <v>0.9468067553601961</v>
      </c>
      <c r="Q20" s="40">
        <f t="shared" ca="1" si="16"/>
        <v>1.8023444443065917</v>
      </c>
      <c r="R20" s="40">
        <f t="shared" ca="1" si="16"/>
        <v>3.4195259784235842E-2</v>
      </c>
      <c r="S20" s="40">
        <f t="shared" ca="1" si="16"/>
        <v>7.4953482046419699</v>
      </c>
      <c r="T20" s="40">
        <f t="shared" ca="1" si="16"/>
        <v>0.31510676958937356</v>
      </c>
      <c r="U20" s="40">
        <f t="shared" ca="1" si="16"/>
        <v>4.4017800279730643</v>
      </c>
      <c r="V20" s="40">
        <f t="shared" ca="1" si="12"/>
        <v>13.232417018839442</v>
      </c>
      <c r="W20" s="40">
        <f t="shared" ca="1" si="12"/>
        <v>14.367600208314741</v>
      </c>
      <c r="X20" s="40">
        <f t="shared" ca="1" si="12"/>
        <v>6.2121764613511337</v>
      </c>
      <c r="Y20" s="40">
        <f t="shared" ca="1" si="12"/>
        <v>104.98432292036799</v>
      </c>
      <c r="Z20" s="40">
        <f t="shared" ca="1" si="12"/>
        <v>0.51412279193027377</v>
      </c>
      <c r="AA20" s="40">
        <f t="shared" ca="1" si="12"/>
        <v>3.1192035716286388</v>
      </c>
      <c r="AB20" s="40">
        <f t="shared" ca="1" si="12"/>
        <v>30.009132394060472</v>
      </c>
      <c r="AC20" s="40">
        <f t="shared" ca="1" si="12"/>
        <v>4.6512891494290134</v>
      </c>
      <c r="AD20" s="40">
        <f t="shared" ca="1" si="12"/>
        <v>1.8049381979098333</v>
      </c>
      <c r="AE20" s="40">
        <f t="shared" ca="1" si="12"/>
        <v>3.5297860693893646</v>
      </c>
      <c r="AF20" s="40">
        <f t="shared" ca="1" si="12"/>
        <v>5.560125272854342</v>
      </c>
      <c r="AG20" s="40">
        <f t="shared" ref="AG20" ca="1" si="17">AG6/SUM(AG$4:AG$10)*AG$13</f>
        <v>0.93003866895788978</v>
      </c>
      <c r="AH20" s="40">
        <f t="shared" ca="1" si="12"/>
        <v>0.42571453786023677</v>
      </c>
      <c r="AI20" s="40">
        <f t="shared" ca="1" si="12"/>
        <v>4.9920476840949517</v>
      </c>
      <c r="AJ20" s="40">
        <f t="shared" ca="1" si="12"/>
        <v>4.7010299407326936</v>
      </c>
      <c r="AK20" s="40">
        <f t="shared" ref="AK20:AW20" ca="1" si="18">AK6/SUM(AK$4:AK$10)*AK$13</f>
        <v>0</v>
      </c>
      <c r="AL20" s="40">
        <f t="shared" ca="1" si="18"/>
        <v>0</v>
      </c>
      <c r="AM20" s="40" t="e">
        <f t="shared" ca="1" si="18"/>
        <v>#DIV/0!</v>
      </c>
      <c r="AN20" s="40" t="e">
        <f t="shared" ca="1" si="18"/>
        <v>#DIV/0!</v>
      </c>
      <c r="AO20" s="40" t="e">
        <f t="shared" ca="1" si="18"/>
        <v>#DIV/0!</v>
      </c>
      <c r="AP20" s="40" t="e">
        <f t="shared" ca="1" si="18"/>
        <v>#DIV/0!</v>
      </c>
      <c r="AQ20" s="40" t="e">
        <f t="shared" ca="1" si="18"/>
        <v>#DIV/0!</v>
      </c>
      <c r="AR20" s="40" t="e">
        <f t="shared" ca="1" si="18"/>
        <v>#DIV/0!</v>
      </c>
      <c r="AS20" s="40" t="e">
        <f t="shared" ca="1" si="18"/>
        <v>#DIV/0!</v>
      </c>
      <c r="AT20" s="40" t="e">
        <f t="shared" ca="1" si="18"/>
        <v>#DIV/0!</v>
      </c>
      <c r="AU20" s="40" t="e">
        <f t="shared" ca="1" si="18"/>
        <v>#DIV/0!</v>
      </c>
      <c r="AV20" s="40" t="e">
        <f t="shared" ca="1" si="18"/>
        <v>#DIV/0!</v>
      </c>
      <c r="AW20" s="40" t="e">
        <f t="shared" ca="1" si="18"/>
        <v>#DIV/0!</v>
      </c>
    </row>
    <row r="21" spans="1:49">
      <c r="C21" t="str">
        <f t="shared" si="11"/>
        <v>TRAELC</v>
      </c>
      <c r="D21" s="40">
        <f t="shared" ca="1" si="12"/>
        <v>0</v>
      </c>
      <c r="E21" s="40">
        <f t="shared" ref="E21:U21" ca="1" si="19">E7/SUM(E$4:E$10)*E$13</f>
        <v>0</v>
      </c>
      <c r="F21" s="40">
        <f t="shared" ca="1" si="19"/>
        <v>0</v>
      </c>
      <c r="G21" s="40">
        <f t="shared" ca="1" si="19"/>
        <v>0</v>
      </c>
      <c r="H21" s="40">
        <f t="shared" ca="1" si="19"/>
        <v>0</v>
      </c>
      <c r="I21" s="40">
        <f t="shared" ca="1" si="19"/>
        <v>0</v>
      </c>
      <c r="J21" s="40">
        <f t="shared" ca="1" si="19"/>
        <v>0</v>
      </c>
      <c r="K21" s="40">
        <f t="shared" ca="1" si="19"/>
        <v>0.31403774027659659</v>
      </c>
      <c r="L21" s="40">
        <f t="shared" ca="1" si="19"/>
        <v>0</v>
      </c>
      <c r="M21" s="40">
        <f t="shared" ca="1" si="19"/>
        <v>0</v>
      </c>
      <c r="N21" s="40">
        <f t="shared" ca="1" si="19"/>
        <v>0</v>
      </c>
      <c r="O21" s="40">
        <f t="shared" ca="1" si="19"/>
        <v>0</v>
      </c>
      <c r="P21" s="40">
        <f t="shared" ca="1" si="19"/>
        <v>0</v>
      </c>
      <c r="Q21" s="40">
        <f t="shared" ca="1" si="19"/>
        <v>0</v>
      </c>
      <c r="R21" s="40">
        <f t="shared" ca="1" si="19"/>
        <v>0</v>
      </c>
      <c r="S21" s="40">
        <f t="shared" ca="1" si="19"/>
        <v>0</v>
      </c>
      <c r="T21" s="40">
        <f t="shared" ca="1" si="19"/>
        <v>0</v>
      </c>
      <c r="U21" s="40">
        <f t="shared" ca="1" si="19"/>
        <v>0</v>
      </c>
      <c r="V21" s="40">
        <f t="shared" ca="1" si="12"/>
        <v>0</v>
      </c>
      <c r="W21" s="40">
        <f t="shared" ca="1" si="12"/>
        <v>0</v>
      </c>
      <c r="X21" s="40">
        <f t="shared" ca="1" si="12"/>
        <v>0</v>
      </c>
      <c r="Y21" s="40">
        <f t="shared" ca="1" si="12"/>
        <v>0</v>
      </c>
      <c r="Z21" s="40">
        <f t="shared" ca="1" si="12"/>
        <v>0</v>
      </c>
      <c r="AA21" s="40">
        <f t="shared" ca="1" si="12"/>
        <v>0</v>
      </c>
      <c r="AB21" s="40">
        <f t="shared" ca="1" si="12"/>
        <v>0</v>
      </c>
      <c r="AC21" s="40">
        <f t="shared" ca="1" si="12"/>
        <v>0</v>
      </c>
      <c r="AD21" s="40">
        <f t="shared" ca="1" si="12"/>
        <v>0</v>
      </c>
      <c r="AE21" s="40">
        <f t="shared" ca="1" si="12"/>
        <v>0</v>
      </c>
      <c r="AF21" s="40">
        <f t="shared" ca="1" si="12"/>
        <v>0</v>
      </c>
      <c r="AG21" s="40">
        <f t="shared" ref="AG21" ca="1" si="20">AG7/SUM(AG$4:AG$10)*AG$13</f>
        <v>0</v>
      </c>
      <c r="AH21" s="40">
        <f t="shared" ca="1" si="12"/>
        <v>0</v>
      </c>
      <c r="AI21" s="40">
        <f t="shared" ca="1" si="12"/>
        <v>0</v>
      </c>
      <c r="AJ21" s="40">
        <f t="shared" ca="1" si="12"/>
        <v>0</v>
      </c>
      <c r="AK21" s="40">
        <f t="shared" ref="AK21:AW21" ca="1" si="21">AK7/SUM(AK$4:AK$10)*AK$13</f>
        <v>0</v>
      </c>
      <c r="AL21" s="40">
        <f t="shared" ca="1" si="21"/>
        <v>0</v>
      </c>
      <c r="AM21" s="40" t="e">
        <f t="shared" ca="1" si="21"/>
        <v>#DIV/0!</v>
      </c>
      <c r="AN21" s="40" t="e">
        <f t="shared" ca="1" si="21"/>
        <v>#DIV/0!</v>
      </c>
      <c r="AO21" s="40" t="e">
        <f t="shared" ca="1" si="21"/>
        <v>#DIV/0!</v>
      </c>
      <c r="AP21" s="40" t="e">
        <f t="shared" ca="1" si="21"/>
        <v>#DIV/0!</v>
      </c>
      <c r="AQ21" s="40" t="e">
        <f t="shared" ca="1" si="21"/>
        <v>#DIV/0!</v>
      </c>
      <c r="AR21" s="40" t="e">
        <f t="shared" ca="1" si="21"/>
        <v>#DIV/0!</v>
      </c>
      <c r="AS21" s="40" t="e">
        <f t="shared" ca="1" si="21"/>
        <v>#DIV/0!</v>
      </c>
      <c r="AT21" s="40" t="e">
        <f t="shared" ca="1" si="21"/>
        <v>#DIV/0!</v>
      </c>
      <c r="AU21" s="40" t="e">
        <f t="shared" ca="1" si="21"/>
        <v>#DIV/0!</v>
      </c>
      <c r="AV21" s="40" t="e">
        <f t="shared" ca="1" si="21"/>
        <v>#DIV/0!</v>
      </c>
      <c r="AW21" s="40" t="e">
        <f t="shared" ca="1" si="21"/>
        <v>#DIV/0!</v>
      </c>
    </row>
    <row r="22" spans="1:49">
      <c r="C22" t="str">
        <f t="shared" si="11"/>
        <v>TRAGSL</v>
      </c>
      <c r="D22" s="40">
        <f t="shared" ca="1" si="12"/>
        <v>0</v>
      </c>
      <c r="E22" s="40">
        <f t="shared" ref="E22:U22" ca="1" si="22">E8/SUM(E$4:E$10)*E$13</f>
        <v>0</v>
      </c>
      <c r="F22" s="40">
        <f t="shared" ca="1" si="22"/>
        <v>0.46358341628584054</v>
      </c>
      <c r="G22" s="40">
        <f t="shared" ca="1" si="22"/>
        <v>4.5604022120094272E-3</v>
      </c>
      <c r="H22" s="40">
        <f t="shared" ca="1" si="22"/>
        <v>1.9904078759051536E-2</v>
      </c>
      <c r="I22" s="40">
        <f t="shared" ca="1" si="22"/>
        <v>3.3318273189062414E-2</v>
      </c>
      <c r="J22" s="40">
        <f t="shared" ca="1" si="22"/>
        <v>0.38426144901550457</v>
      </c>
      <c r="K22" s="40">
        <f t="shared" ca="1" si="22"/>
        <v>6.9135901504611654</v>
      </c>
      <c r="L22" s="40">
        <f t="shared" ca="1" si="22"/>
        <v>9.203357011965476E-3</v>
      </c>
      <c r="M22" s="40">
        <f t="shared" ca="1" si="22"/>
        <v>4.3311431967372582E-2</v>
      </c>
      <c r="N22" s="40">
        <f t="shared" ca="1" si="22"/>
        <v>5.9518241875876635E-2</v>
      </c>
      <c r="O22" s="40">
        <f t="shared" ca="1" si="22"/>
        <v>6.5509577344015635E-2</v>
      </c>
      <c r="P22" s="40">
        <f t="shared" ca="1" si="22"/>
        <v>3.5716222305441643E-2</v>
      </c>
      <c r="Q22" s="40">
        <f t="shared" ca="1" si="22"/>
        <v>7.766264186490629E-2</v>
      </c>
      <c r="R22" s="40">
        <f t="shared" ca="1" si="22"/>
        <v>8.6958446717998162E-4</v>
      </c>
      <c r="S22" s="40">
        <f t="shared" ca="1" si="22"/>
        <v>0</v>
      </c>
      <c r="T22" s="40">
        <f t="shared" ca="1" si="22"/>
        <v>3.0879139474092659E-3</v>
      </c>
      <c r="U22" s="40">
        <f t="shared" ca="1" si="22"/>
        <v>5.9875839679862632E-2</v>
      </c>
      <c r="V22" s="40">
        <f t="shared" ca="1" si="12"/>
        <v>2.5438706843255492</v>
      </c>
      <c r="W22" s="40">
        <f t="shared" ca="1" si="12"/>
        <v>1.7497265994518154</v>
      </c>
      <c r="X22" s="40">
        <f t="shared" ca="1" si="12"/>
        <v>3.262281007346445</v>
      </c>
      <c r="Y22" s="40">
        <f t="shared" ca="1" si="12"/>
        <v>64.9617479697975</v>
      </c>
      <c r="Z22" s="40">
        <f t="shared" ca="1" si="12"/>
        <v>6.0702072198637498E-3</v>
      </c>
      <c r="AA22" s="40">
        <f t="shared" ca="1" si="12"/>
        <v>0.12780781155347609</v>
      </c>
      <c r="AB22" s="40">
        <f t="shared" ca="1" si="12"/>
        <v>0</v>
      </c>
      <c r="AC22" s="40">
        <f t="shared" ca="1" si="12"/>
        <v>3.4198810276367593</v>
      </c>
      <c r="AD22" s="40">
        <f t="shared" ca="1" si="12"/>
        <v>0.72000620209014787</v>
      </c>
      <c r="AE22" s="40">
        <f t="shared" ca="1" si="12"/>
        <v>0</v>
      </c>
      <c r="AF22" s="40">
        <f t="shared" ca="1" si="12"/>
        <v>5.2629512631560987E-2</v>
      </c>
      <c r="AG22" s="40">
        <f t="shared" ref="AG22" ca="1" si="23">AG8/SUM(AG$4:AG$10)*AG$13</f>
        <v>2.0567366564698659E-2</v>
      </c>
      <c r="AH22" s="40">
        <f t="shared" ca="1" si="12"/>
        <v>1.4008737442145069E-2</v>
      </c>
      <c r="AI22" s="40">
        <f t="shared" ca="1" si="12"/>
        <v>0.2009485105782311</v>
      </c>
      <c r="AJ22" s="40">
        <f t="shared" ca="1" si="12"/>
        <v>8.9590792246000583E-2</v>
      </c>
      <c r="AK22" s="40">
        <f t="shared" ref="AK22:AW22" ca="1" si="24">AK8/SUM(AK$4:AK$10)*AK$13</f>
        <v>0</v>
      </c>
      <c r="AL22" s="40">
        <f t="shared" ca="1" si="24"/>
        <v>0</v>
      </c>
      <c r="AM22" s="40" t="e">
        <f t="shared" ca="1" si="24"/>
        <v>#DIV/0!</v>
      </c>
      <c r="AN22" s="40" t="e">
        <f t="shared" ca="1" si="24"/>
        <v>#DIV/0!</v>
      </c>
      <c r="AO22" s="40" t="e">
        <f t="shared" ca="1" si="24"/>
        <v>#DIV/0!</v>
      </c>
      <c r="AP22" s="40" t="e">
        <f t="shared" ca="1" si="24"/>
        <v>#DIV/0!</v>
      </c>
      <c r="AQ22" s="40" t="e">
        <f t="shared" ca="1" si="24"/>
        <v>#DIV/0!</v>
      </c>
      <c r="AR22" s="40" t="e">
        <f t="shared" ca="1" si="24"/>
        <v>#DIV/0!</v>
      </c>
      <c r="AS22" s="40" t="e">
        <f t="shared" ca="1" si="24"/>
        <v>#DIV/0!</v>
      </c>
      <c r="AT22" s="40" t="e">
        <f t="shared" ca="1" si="24"/>
        <v>#DIV/0!</v>
      </c>
      <c r="AU22" s="40" t="e">
        <f t="shared" ca="1" si="24"/>
        <v>#DIV/0!</v>
      </c>
      <c r="AV22" s="40" t="e">
        <f t="shared" ca="1" si="24"/>
        <v>#DIV/0!</v>
      </c>
      <c r="AW22" s="40" t="e">
        <f t="shared" ca="1" si="24"/>
        <v>#DIV/0!</v>
      </c>
    </row>
    <row r="23" spans="1:49">
      <c r="C23" t="str">
        <f t="shared" si="11"/>
        <v>TRALPG</v>
      </c>
      <c r="D23" s="40">
        <f t="shared" ca="1" si="12"/>
        <v>0.11275489284626382</v>
      </c>
      <c r="E23" s="40">
        <f t="shared" ref="E23:U23" ca="1" si="25">E9/SUM(E$4:E$10)*E$13</f>
        <v>7.3943470035755347E-5</v>
      </c>
      <c r="F23" s="40">
        <f t="shared" ca="1" si="25"/>
        <v>1.9566276388724258E-2</v>
      </c>
      <c r="G23" s="40">
        <f t="shared" ca="1" si="25"/>
        <v>1.2673708575232563E-4</v>
      </c>
      <c r="H23" s="40">
        <f t="shared" ca="1" si="25"/>
        <v>7.1849794206040579E-3</v>
      </c>
      <c r="I23" s="40">
        <f t="shared" ca="1" si="25"/>
        <v>8.9333528724401257E-3</v>
      </c>
      <c r="J23" s="40">
        <f t="shared" ca="1" si="25"/>
        <v>0</v>
      </c>
      <c r="K23" s="40">
        <f t="shared" ca="1" si="25"/>
        <v>0.1202618057757755</v>
      </c>
      <c r="L23" s="40">
        <f t="shared" ca="1" si="25"/>
        <v>4.3168915503038171E-3</v>
      </c>
      <c r="M23" s="40">
        <f t="shared" ca="1" si="25"/>
        <v>9.4013709935224492E-3</v>
      </c>
      <c r="N23" s="40">
        <f t="shared" ca="1" si="25"/>
        <v>3.839987659619723E-3</v>
      </c>
      <c r="O23" s="40">
        <f t="shared" ca="1" si="25"/>
        <v>1.2400874633489368E-2</v>
      </c>
      <c r="P23" s="40">
        <f t="shared" ca="1" si="25"/>
        <v>2.7956458331847442E-2</v>
      </c>
      <c r="Q23" s="40">
        <f t="shared" ca="1" si="25"/>
        <v>6.2302571906824082E-2</v>
      </c>
      <c r="R23" s="40">
        <f t="shared" ca="1" si="25"/>
        <v>0</v>
      </c>
      <c r="S23" s="40">
        <f t="shared" ca="1" si="25"/>
        <v>6.6778685500597998E-3</v>
      </c>
      <c r="T23" s="40">
        <f t="shared" ca="1" si="25"/>
        <v>5.5896935126806347E-5</v>
      </c>
      <c r="U23" s="40">
        <f t="shared" ca="1" si="25"/>
        <v>0.12238100946978114</v>
      </c>
      <c r="V23" s="40">
        <f t="shared" ca="1" si="12"/>
        <v>0.20605350275159398</v>
      </c>
      <c r="W23" s="40">
        <f t="shared" ca="1" si="12"/>
        <v>0</v>
      </c>
      <c r="X23" s="40">
        <f t="shared" ca="1" si="12"/>
        <v>4.0267313023320435E-3</v>
      </c>
      <c r="Y23" s="40">
        <f t="shared" ca="1" si="12"/>
        <v>0.36144847310697487</v>
      </c>
      <c r="Z23" s="40">
        <f t="shared" ca="1" si="12"/>
        <v>4.0987201988917812E-4</v>
      </c>
      <c r="AA23" s="40">
        <f t="shared" ca="1" si="12"/>
        <v>0.27971231501855898</v>
      </c>
      <c r="AB23" s="40">
        <f t="shared" ca="1" si="12"/>
        <v>0.19974921227909798</v>
      </c>
      <c r="AC23" s="40">
        <f t="shared" ca="1" si="12"/>
        <v>0.19853586313626306</v>
      </c>
      <c r="AD23" s="40">
        <f t="shared" ca="1" si="12"/>
        <v>0</v>
      </c>
      <c r="AE23" s="40">
        <f t="shared" ca="1" si="12"/>
        <v>3.1834161409153017E-3</v>
      </c>
      <c r="AF23" s="40">
        <f t="shared" ca="1" si="12"/>
        <v>9.6471499330528891E-3</v>
      </c>
      <c r="AG23" s="40">
        <f t="shared" ref="AG23" ca="1" si="26">AG9/SUM(AG$4:AG$10)*AG$13</f>
        <v>0</v>
      </c>
      <c r="AH23" s="40">
        <f t="shared" ca="1" si="12"/>
        <v>8.7048683806876476E-5</v>
      </c>
      <c r="AI23" s="40">
        <f t="shared" ca="1" si="12"/>
        <v>0.32375442648515529</v>
      </c>
      <c r="AJ23" s="40">
        <f t="shared" ca="1" si="12"/>
        <v>4.4189581542276E-3</v>
      </c>
      <c r="AK23" s="40">
        <f t="shared" ref="AK23:AW23" ca="1" si="27">AK9/SUM(AK$4:AK$10)*AK$13</f>
        <v>0</v>
      </c>
      <c r="AL23" s="40">
        <f t="shared" ca="1" si="27"/>
        <v>0</v>
      </c>
      <c r="AM23" s="40" t="e">
        <f t="shared" ca="1" si="27"/>
        <v>#DIV/0!</v>
      </c>
      <c r="AN23" s="40" t="e">
        <f t="shared" ca="1" si="27"/>
        <v>#DIV/0!</v>
      </c>
      <c r="AO23" s="40" t="e">
        <f t="shared" ca="1" si="27"/>
        <v>#DIV/0!</v>
      </c>
      <c r="AP23" s="40" t="e">
        <f t="shared" ca="1" si="27"/>
        <v>#DIV/0!</v>
      </c>
      <c r="AQ23" s="40" t="e">
        <f t="shared" ca="1" si="27"/>
        <v>#DIV/0!</v>
      </c>
      <c r="AR23" s="40" t="e">
        <f t="shared" ca="1" si="27"/>
        <v>#DIV/0!</v>
      </c>
      <c r="AS23" s="40" t="e">
        <f t="shared" ca="1" si="27"/>
        <v>#DIV/0!</v>
      </c>
      <c r="AT23" s="40" t="e">
        <f t="shared" ca="1" si="27"/>
        <v>#DIV/0!</v>
      </c>
      <c r="AU23" s="40" t="e">
        <f t="shared" ca="1" si="27"/>
        <v>#DIV/0!</v>
      </c>
      <c r="AV23" s="40" t="e">
        <f t="shared" ca="1" si="27"/>
        <v>#DIV/0!</v>
      </c>
      <c r="AW23" s="40" t="e">
        <f t="shared" ca="1" si="27"/>
        <v>#DIV/0!</v>
      </c>
    </row>
    <row r="24" spans="1:49">
      <c r="C24" t="str">
        <f t="shared" si="11"/>
        <v>TRANGA</v>
      </c>
      <c r="D24" s="40">
        <f t="shared" ca="1" si="12"/>
        <v>2.8623947316718263E-2</v>
      </c>
      <c r="E24" s="40">
        <f t="shared" ref="E24:U24" ca="1" si="28">E10/SUM(E$4:E$10)*E$13</f>
        <v>1.2005584334205613E-4</v>
      </c>
      <c r="F24" s="40">
        <f t="shared" ca="1" si="28"/>
        <v>4.0186294005721502E-3</v>
      </c>
      <c r="G24" s="40">
        <f t="shared" ca="1" si="28"/>
        <v>0</v>
      </c>
      <c r="H24" s="40">
        <f t="shared" ca="1" si="28"/>
        <v>5.8273747165930325E-4</v>
      </c>
      <c r="I24" s="40">
        <f t="shared" ca="1" si="28"/>
        <v>0</v>
      </c>
      <c r="J24" s="40">
        <f t="shared" ca="1" si="28"/>
        <v>8.1843280470488361E-2</v>
      </c>
      <c r="K24" s="40">
        <f t="shared" ca="1" si="28"/>
        <v>1.5793953706100159</v>
      </c>
      <c r="L24" s="40">
        <f t="shared" ca="1" si="28"/>
        <v>0</v>
      </c>
      <c r="M24" s="40">
        <f t="shared" ca="1" si="28"/>
        <v>0</v>
      </c>
      <c r="N24" s="40">
        <f t="shared" ca="1" si="28"/>
        <v>0</v>
      </c>
      <c r="O24" s="40">
        <f t="shared" ca="1" si="28"/>
        <v>0</v>
      </c>
      <c r="P24" s="40">
        <f t="shared" ca="1" si="28"/>
        <v>0</v>
      </c>
      <c r="Q24" s="40">
        <f t="shared" ca="1" si="28"/>
        <v>0</v>
      </c>
      <c r="R24" s="40">
        <f t="shared" ca="1" si="28"/>
        <v>0</v>
      </c>
      <c r="S24" s="40">
        <f t="shared" ca="1" si="28"/>
        <v>0.1013323728869687</v>
      </c>
      <c r="T24" s="40">
        <f t="shared" ca="1" si="28"/>
        <v>0</v>
      </c>
      <c r="U24" s="40">
        <f t="shared" ca="1" si="28"/>
        <v>0</v>
      </c>
      <c r="V24" s="40">
        <f t="shared" ca="1" si="12"/>
        <v>1.1230060480180713E-3</v>
      </c>
      <c r="W24" s="40">
        <f t="shared" ca="1" si="12"/>
        <v>0.37694791889047846</v>
      </c>
      <c r="X24" s="40">
        <f t="shared" ca="1" si="12"/>
        <v>0</v>
      </c>
      <c r="Y24" s="40">
        <f t="shared" ca="1" si="12"/>
        <v>1.9739693841292951E-2</v>
      </c>
      <c r="Z24" s="40">
        <f t="shared" ca="1" si="12"/>
        <v>0</v>
      </c>
      <c r="AA24" s="40">
        <f t="shared" ca="1" si="12"/>
        <v>0</v>
      </c>
      <c r="AB24" s="40">
        <f t="shared" ca="1" si="12"/>
        <v>0.10461890673033308</v>
      </c>
      <c r="AC24" s="40">
        <f t="shared" ca="1" si="12"/>
        <v>2.0723845785008549E-2</v>
      </c>
      <c r="AD24" s="40">
        <f t="shared" ca="1" si="12"/>
        <v>0</v>
      </c>
      <c r="AE24" s="40">
        <f t="shared" ca="1" si="12"/>
        <v>1.9114469730274646E-5</v>
      </c>
      <c r="AF24" s="40">
        <f t="shared" ca="1" si="12"/>
        <v>0</v>
      </c>
      <c r="AG24" s="40">
        <f t="shared" ref="AG24" ca="1" si="29">AG10/SUM(AG$4:AG$10)*AG$13</f>
        <v>0</v>
      </c>
      <c r="AH24" s="40">
        <f t="shared" ca="1" si="12"/>
        <v>0</v>
      </c>
      <c r="AI24" s="40">
        <f t="shared" ca="1" si="12"/>
        <v>0</v>
      </c>
      <c r="AJ24" s="40">
        <f t="shared" ca="1" si="12"/>
        <v>0</v>
      </c>
      <c r="AK24" s="40">
        <f t="shared" ref="AK24:AW24" ca="1" si="30">AK10/SUM(AK$4:AK$10)*AK$13</f>
        <v>0</v>
      </c>
      <c r="AL24" s="40">
        <f t="shared" ca="1" si="30"/>
        <v>0</v>
      </c>
      <c r="AM24" s="40" t="e">
        <f t="shared" ca="1" si="30"/>
        <v>#DIV/0!</v>
      </c>
      <c r="AN24" s="40" t="e">
        <f t="shared" ca="1" si="30"/>
        <v>#DIV/0!</v>
      </c>
      <c r="AO24" s="40" t="e">
        <f t="shared" ca="1" si="30"/>
        <v>#DIV/0!</v>
      </c>
      <c r="AP24" s="40" t="e">
        <f t="shared" ca="1" si="30"/>
        <v>#DIV/0!</v>
      </c>
      <c r="AQ24" s="40" t="e">
        <f t="shared" ca="1" si="30"/>
        <v>#DIV/0!</v>
      </c>
      <c r="AR24" s="40" t="e">
        <f t="shared" ca="1" si="30"/>
        <v>#DIV/0!</v>
      </c>
      <c r="AS24" s="40" t="e">
        <f t="shared" ca="1" si="30"/>
        <v>#DIV/0!</v>
      </c>
      <c r="AT24" s="40" t="e">
        <f t="shared" ca="1" si="30"/>
        <v>#DIV/0!</v>
      </c>
      <c r="AU24" s="40" t="e">
        <f t="shared" ca="1" si="30"/>
        <v>#DIV/0!</v>
      </c>
      <c r="AV24" s="40" t="e">
        <f t="shared" ca="1" si="30"/>
        <v>#DIV/0!</v>
      </c>
      <c r="AW24" s="40" t="e">
        <f t="shared" ca="1" si="30"/>
        <v>#DIV/0!</v>
      </c>
    </row>
    <row r="26" spans="1:49">
      <c r="A26" t="s">
        <v>329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330</v>
      </c>
      <c r="C34" t="str">
        <f>C26</f>
        <v>TRABDS</v>
      </c>
      <c r="D34" s="40" t="str">
        <f ca="1">IFERROR(D4*D26/D18,"")</f>
        <v/>
      </c>
      <c r="E34" s="40" t="str">
        <f t="shared" ref="E34:U34" ca="1" si="32">IFERROR(E4*E26/E18,"")</f>
        <v/>
      </c>
      <c r="F34" s="40">
        <f t="shared" ca="1" si="32"/>
        <v>34.975954170839564</v>
      </c>
      <c r="G34" s="40">
        <f t="shared" ca="1" si="32"/>
        <v>129.82136895709772</v>
      </c>
      <c r="H34" s="40">
        <f t="shared" ca="1" si="32"/>
        <v>124.21128591215495</v>
      </c>
      <c r="I34" s="40">
        <f t="shared" ca="1" si="32"/>
        <v>68.750499591788767</v>
      </c>
      <c r="J34" s="40">
        <f t="shared" ca="1" si="32"/>
        <v>61.707987222690861</v>
      </c>
      <c r="K34" s="40">
        <f t="shared" ca="1" si="32"/>
        <v>23.439508906517766</v>
      </c>
      <c r="L34" s="40">
        <f t="shared" ca="1" si="32"/>
        <v>110.26492079785969</v>
      </c>
      <c r="M34" s="40">
        <f t="shared" ca="1" si="32"/>
        <v>55.544228388113901</v>
      </c>
      <c r="N34" s="40">
        <f t="shared" ca="1" si="32"/>
        <v>47.276810633807671</v>
      </c>
      <c r="O34" s="40">
        <f t="shared" ca="1" si="32"/>
        <v>94.311898329457648</v>
      </c>
      <c r="P34" s="40">
        <f t="shared" ca="1" si="32"/>
        <v>27.054400156202423</v>
      </c>
      <c r="Q34" s="40">
        <f t="shared" ca="1" si="32"/>
        <v>48.278335967747509</v>
      </c>
      <c r="R34" s="40">
        <f t="shared" ca="1" si="32"/>
        <v>51.371089608865077</v>
      </c>
      <c r="S34" s="40">
        <f t="shared" ca="1" si="32"/>
        <v>54.791309443598358</v>
      </c>
      <c r="T34" s="40">
        <f t="shared" ca="1" si="32"/>
        <v>89.24777107515493</v>
      </c>
      <c r="U34" s="40">
        <f t="shared" ca="1" si="32"/>
        <v>46.619834441705578</v>
      </c>
      <c r="V34" s="40">
        <f t="shared" ref="V34:AJ34" ca="1" si="33">IFERROR(V4*V26/V18,"")</f>
        <v>18.686542188294897</v>
      </c>
      <c r="W34" s="40">
        <f t="shared" ca="1" si="33"/>
        <v>25.76726688855409</v>
      </c>
      <c r="X34" s="40" t="str">
        <f t="shared" ca="1" si="33"/>
        <v/>
      </c>
      <c r="Y34" s="40">
        <f t="shared" ca="1" si="33"/>
        <v>16.861165501465024</v>
      </c>
      <c r="Z34" s="40">
        <f t="shared" ca="1" si="33"/>
        <v>39.291852306372114</v>
      </c>
      <c r="AA34" s="40">
        <f t="shared" ca="1" si="33"/>
        <v>54.733806813636342</v>
      </c>
      <c r="AB34" s="40">
        <f t="shared" ca="1" si="33"/>
        <v>31.390648447927482</v>
      </c>
      <c r="AC34" s="40">
        <f t="shared" ca="1" si="33"/>
        <v>38.675519454975024</v>
      </c>
      <c r="AD34" s="40" t="str">
        <f t="shared" ca="1" si="33"/>
        <v/>
      </c>
      <c r="AE34" s="40" t="str">
        <f t="shared" ca="1" si="33"/>
        <v/>
      </c>
      <c r="AF34" s="40">
        <f t="shared" ca="1" si="33"/>
        <v>44.048209847353917</v>
      </c>
      <c r="AG34" s="40">
        <f t="shared" ref="AG34" ca="1" si="34">IFERROR(AG4*AG26/AG18,"")</f>
        <v>79.052137308353693</v>
      </c>
      <c r="AH34" s="40">
        <f t="shared" ca="1" si="33"/>
        <v>40.6373441308777</v>
      </c>
      <c r="AI34" s="40">
        <f t="shared" ca="1" si="33"/>
        <v>60.044843385550898</v>
      </c>
      <c r="AJ34" s="40">
        <f t="shared" ca="1" si="33"/>
        <v>32.790515194486474</v>
      </c>
      <c r="AK34" s="40" t="str">
        <f t="shared" ref="AK34:AW34" ca="1" si="35">IFERROR(AK4*AK26/AK18,"")</f>
        <v/>
      </c>
      <c r="AL34" s="40" t="str">
        <f t="shared" ca="1" si="35"/>
        <v/>
      </c>
      <c r="AM34" s="40" t="str">
        <f t="shared" ca="1" si="35"/>
        <v/>
      </c>
      <c r="AN34" s="40" t="str">
        <f t="shared" ca="1" si="35"/>
        <v/>
      </c>
      <c r="AO34" s="40" t="str">
        <f t="shared" ca="1" si="35"/>
        <v/>
      </c>
      <c r="AP34" s="40" t="str">
        <f t="shared" ca="1" si="35"/>
        <v/>
      </c>
      <c r="AQ34" s="40" t="str">
        <f t="shared" ca="1" si="35"/>
        <v/>
      </c>
      <c r="AR34" s="40" t="str">
        <f t="shared" ca="1" si="35"/>
        <v/>
      </c>
      <c r="AS34" s="40" t="str">
        <f t="shared" ca="1" si="35"/>
        <v/>
      </c>
      <c r="AT34" s="40" t="str">
        <f t="shared" ca="1" si="35"/>
        <v/>
      </c>
      <c r="AU34" s="40" t="str">
        <f t="shared" ca="1" si="35"/>
        <v/>
      </c>
      <c r="AV34" s="40" t="str">
        <f t="shared" ca="1" si="35"/>
        <v/>
      </c>
      <c r="AW34" s="40" t="str">
        <f t="shared" ca="1" si="35"/>
        <v/>
      </c>
    </row>
    <row r="35" spans="1:49">
      <c r="C35" t="str">
        <f t="shared" ref="C35:C40" si="36">C27</f>
        <v>TRABGS</v>
      </c>
      <c r="D35" s="40" t="str">
        <f t="shared" ref="D35:AJ40" ca="1" si="37">IFERROR(D5*D27/D19,"")</f>
        <v/>
      </c>
      <c r="E35" s="40" t="str">
        <f t="shared" ref="E35:U35" ca="1" si="38">IFERROR(E5*E27/E19,"")</f>
        <v/>
      </c>
      <c r="F35" s="40" t="str">
        <f t="shared" ca="1" si="38"/>
        <v/>
      </c>
      <c r="G35" s="40" t="str">
        <f t="shared" ca="1" si="38"/>
        <v/>
      </c>
      <c r="H35" s="40" t="str">
        <f t="shared" ca="1" si="38"/>
        <v/>
      </c>
      <c r="I35" s="40" t="str">
        <f t="shared" ca="1" si="38"/>
        <v/>
      </c>
      <c r="J35" s="40" t="str">
        <f t="shared" ca="1" si="38"/>
        <v/>
      </c>
      <c r="K35" s="40" t="str">
        <f t="shared" ca="1" si="38"/>
        <v/>
      </c>
      <c r="L35" s="40" t="str">
        <f t="shared" ca="1" si="38"/>
        <v/>
      </c>
      <c r="M35" s="40" t="str">
        <f t="shared" ca="1" si="38"/>
        <v/>
      </c>
      <c r="N35" s="40" t="str">
        <f t="shared" ca="1" si="38"/>
        <v/>
      </c>
      <c r="O35" s="40" t="str">
        <f t="shared" ca="1" si="38"/>
        <v/>
      </c>
      <c r="P35" s="40" t="str">
        <f t="shared" ca="1" si="38"/>
        <v/>
      </c>
      <c r="Q35" s="40" t="str">
        <f t="shared" ca="1" si="38"/>
        <v/>
      </c>
      <c r="R35" s="40" t="str">
        <f t="shared" ca="1" si="38"/>
        <v/>
      </c>
      <c r="S35" s="40" t="str">
        <f t="shared" ca="1" si="38"/>
        <v/>
      </c>
      <c r="T35" s="40" t="str">
        <f t="shared" ca="1" si="38"/>
        <v/>
      </c>
      <c r="U35" s="40" t="str">
        <f t="shared" ca="1" si="38"/>
        <v/>
      </c>
      <c r="V35" s="40" t="str">
        <f t="shared" ca="1" si="37"/>
        <v/>
      </c>
      <c r="W35" s="40" t="str">
        <f t="shared" ca="1" si="37"/>
        <v/>
      </c>
      <c r="X35" s="40" t="str">
        <f t="shared" ca="1" si="37"/>
        <v/>
      </c>
      <c r="Y35" s="40" t="str">
        <f t="shared" ca="1" si="37"/>
        <v/>
      </c>
      <c r="Z35" s="40" t="str">
        <f t="shared" ca="1" si="37"/>
        <v/>
      </c>
      <c r="AA35" s="40" t="str">
        <f t="shared" ca="1" si="37"/>
        <v/>
      </c>
      <c r="AB35" s="40" t="str">
        <f t="shared" ca="1" si="37"/>
        <v/>
      </c>
      <c r="AC35" s="40" t="str">
        <f t="shared" ca="1" si="37"/>
        <v/>
      </c>
      <c r="AD35" s="40" t="str">
        <f t="shared" ca="1" si="37"/>
        <v/>
      </c>
      <c r="AE35" s="40" t="str">
        <f t="shared" ca="1" si="37"/>
        <v/>
      </c>
      <c r="AF35" s="40" t="str">
        <f t="shared" ca="1" si="37"/>
        <v/>
      </c>
      <c r="AG35" s="40" t="str">
        <f t="shared" ref="AG35" ca="1" si="39">IFERROR(AG5*AG27/AG19,"")</f>
        <v/>
      </c>
      <c r="AH35" s="40" t="str">
        <f t="shared" ca="1" si="37"/>
        <v/>
      </c>
      <c r="AI35" s="40" t="str">
        <f t="shared" ca="1" si="37"/>
        <v/>
      </c>
      <c r="AJ35" s="40" t="str">
        <f t="shared" ca="1" si="37"/>
        <v/>
      </c>
      <c r="AK35" s="40" t="str">
        <f t="shared" ref="AK35:AW35" ca="1" si="40">IFERROR(AK5*AK27/AK19,"")</f>
        <v/>
      </c>
      <c r="AL35" s="40" t="str">
        <f t="shared" ca="1" si="40"/>
        <v/>
      </c>
      <c r="AM35" s="40" t="str">
        <f t="shared" ca="1" si="40"/>
        <v/>
      </c>
      <c r="AN35" s="40" t="str">
        <f t="shared" ca="1" si="40"/>
        <v/>
      </c>
      <c r="AO35" s="40" t="str">
        <f t="shared" ca="1" si="40"/>
        <v/>
      </c>
      <c r="AP35" s="40" t="str">
        <f t="shared" ca="1" si="40"/>
        <v/>
      </c>
      <c r="AQ35" s="40" t="str">
        <f t="shared" ca="1" si="40"/>
        <v/>
      </c>
      <c r="AR35" s="40" t="str">
        <f t="shared" ca="1" si="40"/>
        <v/>
      </c>
      <c r="AS35" s="40" t="str">
        <f t="shared" ca="1" si="40"/>
        <v/>
      </c>
      <c r="AT35" s="40" t="str">
        <f t="shared" ca="1" si="40"/>
        <v/>
      </c>
      <c r="AU35" s="40" t="str">
        <f t="shared" ca="1" si="40"/>
        <v/>
      </c>
      <c r="AV35" s="40" t="str">
        <f t="shared" ca="1" si="40"/>
        <v/>
      </c>
      <c r="AW35" s="40" t="str">
        <f t="shared" ca="1" si="40"/>
        <v/>
      </c>
    </row>
    <row r="36" spans="1:49">
      <c r="C36" t="str">
        <f t="shared" si="36"/>
        <v>TRADST</v>
      </c>
      <c r="D36" s="40">
        <f t="shared" ca="1" si="37"/>
        <v>31.989382238668128</v>
      </c>
      <c r="E36" s="40">
        <f t="shared" ref="E36:U36" ca="1" si="41">IFERROR(E6*E28/E20,"")</f>
        <v>27.99509411985975</v>
      </c>
      <c r="F36" s="40">
        <f t="shared" ca="1" si="41"/>
        <v>34.97595417083955</v>
      </c>
      <c r="G36" s="40">
        <f t="shared" ca="1" si="41"/>
        <v>129.82136895709775</v>
      </c>
      <c r="H36" s="40">
        <f t="shared" ca="1" si="41"/>
        <v>124.21128591215492</v>
      </c>
      <c r="I36" s="40">
        <f t="shared" ca="1" si="41"/>
        <v>68.750499591788767</v>
      </c>
      <c r="J36" s="40">
        <f t="shared" ca="1" si="41"/>
        <v>61.707987222690861</v>
      </c>
      <c r="K36" s="40">
        <f t="shared" ca="1" si="41"/>
        <v>23.439508906517766</v>
      </c>
      <c r="L36" s="40">
        <f t="shared" ca="1" si="41"/>
        <v>110.26492079785967</v>
      </c>
      <c r="M36" s="40">
        <f t="shared" ca="1" si="41"/>
        <v>55.544228388113893</v>
      </c>
      <c r="N36" s="40">
        <f t="shared" ca="1" si="41"/>
        <v>47.276810633807671</v>
      </c>
      <c r="O36" s="40">
        <f t="shared" ca="1" si="41"/>
        <v>94.311898329457662</v>
      </c>
      <c r="P36" s="40">
        <f t="shared" ca="1" si="41"/>
        <v>27.054400156202423</v>
      </c>
      <c r="Q36" s="40">
        <f t="shared" ca="1" si="41"/>
        <v>48.278335967747502</v>
      </c>
      <c r="R36" s="40">
        <f t="shared" ca="1" si="41"/>
        <v>51.371089608865084</v>
      </c>
      <c r="S36" s="40">
        <f t="shared" ca="1" si="41"/>
        <v>54.791309443598351</v>
      </c>
      <c r="T36" s="40">
        <f t="shared" ca="1" si="41"/>
        <v>89.24777107515493</v>
      </c>
      <c r="U36" s="40">
        <f t="shared" ca="1" si="41"/>
        <v>46.619834441705585</v>
      </c>
      <c r="V36" s="40">
        <f t="shared" ca="1" si="37"/>
        <v>18.686542188294901</v>
      </c>
      <c r="W36" s="40">
        <f t="shared" ca="1" si="37"/>
        <v>25.767266888554094</v>
      </c>
      <c r="X36" s="40">
        <f t="shared" ca="1" si="37"/>
        <v>58.587698330348225</v>
      </c>
      <c r="Y36" s="40">
        <f t="shared" ca="1" si="37"/>
        <v>16.861165501465024</v>
      </c>
      <c r="Z36" s="40">
        <f t="shared" ca="1" si="37"/>
        <v>39.291852306372114</v>
      </c>
      <c r="AA36" s="40">
        <f t="shared" ca="1" si="37"/>
        <v>54.733806813636356</v>
      </c>
      <c r="AB36" s="40">
        <f t="shared" ca="1" si="37"/>
        <v>31.390648447927475</v>
      </c>
      <c r="AC36" s="40">
        <f t="shared" ca="1" si="37"/>
        <v>38.675519454975017</v>
      </c>
      <c r="AD36" s="40">
        <f t="shared" ca="1" si="37"/>
        <v>114.67821457383337</v>
      </c>
      <c r="AE36" s="40">
        <f t="shared" ca="1" si="37"/>
        <v>17.259118911234363</v>
      </c>
      <c r="AF36" s="40">
        <f t="shared" ca="1" si="37"/>
        <v>44.04820984735391</v>
      </c>
      <c r="AG36" s="40">
        <f t="shared" ref="AG36" ca="1" si="42">IFERROR(AG6*AG28/AG20,"")</f>
        <v>79.052137308353693</v>
      </c>
      <c r="AH36" s="40">
        <f t="shared" ca="1" si="37"/>
        <v>40.6373441308777</v>
      </c>
      <c r="AI36" s="40">
        <f t="shared" ca="1" si="37"/>
        <v>60.044843385550898</v>
      </c>
      <c r="AJ36" s="40">
        <f t="shared" ca="1" si="37"/>
        <v>32.790515194486474</v>
      </c>
      <c r="AK36" s="40" t="str">
        <f t="shared" ref="AK36:AW36" ca="1" si="43">IFERROR(AK6*AK28/AK20,"")</f>
        <v/>
      </c>
      <c r="AL36" s="40" t="str">
        <f t="shared" ca="1" si="43"/>
        <v/>
      </c>
      <c r="AM36" s="40" t="str">
        <f t="shared" ca="1" si="43"/>
        <v/>
      </c>
      <c r="AN36" s="40" t="str">
        <f t="shared" ca="1" si="43"/>
        <v/>
      </c>
      <c r="AO36" s="40" t="str">
        <f t="shared" ca="1" si="43"/>
        <v/>
      </c>
      <c r="AP36" s="40" t="str">
        <f t="shared" ca="1" si="43"/>
        <v/>
      </c>
      <c r="AQ36" s="40" t="str">
        <f t="shared" ca="1" si="43"/>
        <v/>
      </c>
      <c r="AR36" s="40" t="str">
        <f t="shared" ca="1" si="43"/>
        <v/>
      </c>
      <c r="AS36" s="40" t="str">
        <f t="shared" ca="1" si="43"/>
        <v/>
      </c>
      <c r="AT36" s="40" t="str">
        <f t="shared" ca="1" si="43"/>
        <v/>
      </c>
      <c r="AU36" s="40" t="str">
        <f t="shared" ca="1" si="43"/>
        <v/>
      </c>
      <c r="AV36" s="40" t="str">
        <f t="shared" ca="1" si="43"/>
        <v/>
      </c>
      <c r="AW36" s="40" t="str">
        <f t="shared" ca="1" si="43"/>
        <v/>
      </c>
    </row>
    <row r="37" spans="1:49">
      <c r="C37" t="str">
        <f t="shared" si="36"/>
        <v>TRAELC</v>
      </c>
      <c r="D37" s="40" t="str">
        <f t="shared" ca="1" si="37"/>
        <v/>
      </c>
      <c r="E37" s="40" t="str">
        <f t="shared" ref="E37:U37" ca="1" si="44">IFERROR(E7*E29/E21,"")</f>
        <v/>
      </c>
      <c r="F37" s="40" t="str">
        <f t="shared" ca="1" si="44"/>
        <v/>
      </c>
      <c r="G37" s="40" t="str">
        <f t="shared" ca="1" si="44"/>
        <v/>
      </c>
      <c r="H37" s="40" t="str">
        <f t="shared" ca="1" si="44"/>
        <v/>
      </c>
      <c r="I37" s="40" t="str">
        <f t="shared" ca="1" si="44"/>
        <v/>
      </c>
      <c r="J37" s="40" t="str">
        <f t="shared" ca="1" si="44"/>
        <v/>
      </c>
      <c r="K37" s="40">
        <f t="shared" ca="1" si="44"/>
        <v>23.439508906517762</v>
      </c>
      <c r="L37" s="40" t="str">
        <f t="shared" ca="1" si="44"/>
        <v/>
      </c>
      <c r="M37" s="40" t="str">
        <f t="shared" ca="1" si="44"/>
        <v/>
      </c>
      <c r="N37" s="40" t="str">
        <f t="shared" ca="1" si="44"/>
        <v/>
      </c>
      <c r="O37" s="40" t="str">
        <f t="shared" ca="1" si="44"/>
        <v/>
      </c>
      <c r="P37" s="40" t="str">
        <f t="shared" ca="1" si="44"/>
        <v/>
      </c>
      <c r="Q37" s="40" t="str">
        <f t="shared" ca="1" si="44"/>
        <v/>
      </c>
      <c r="R37" s="40" t="str">
        <f t="shared" ca="1" si="44"/>
        <v/>
      </c>
      <c r="S37" s="40" t="str">
        <f t="shared" ca="1" si="44"/>
        <v/>
      </c>
      <c r="T37" s="40" t="str">
        <f t="shared" ca="1" si="44"/>
        <v/>
      </c>
      <c r="U37" s="40" t="str">
        <f t="shared" ca="1" si="44"/>
        <v/>
      </c>
      <c r="V37" s="40" t="str">
        <f t="shared" ca="1" si="37"/>
        <v/>
      </c>
      <c r="W37" s="40" t="str">
        <f t="shared" ca="1" si="37"/>
        <v/>
      </c>
      <c r="X37" s="40" t="str">
        <f t="shared" ca="1" si="37"/>
        <v/>
      </c>
      <c r="Y37" s="40" t="str">
        <f t="shared" ca="1" si="37"/>
        <v/>
      </c>
      <c r="Z37" s="40" t="str">
        <f t="shared" ca="1" si="37"/>
        <v/>
      </c>
      <c r="AA37" s="40" t="str">
        <f t="shared" ca="1" si="37"/>
        <v/>
      </c>
      <c r="AB37" s="40" t="str">
        <f t="shared" ca="1" si="37"/>
        <v/>
      </c>
      <c r="AC37" s="40" t="str">
        <f t="shared" ca="1" si="37"/>
        <v/>
      </c>
      <c r="AD37" s="40" t="str">
        <f t="shared" ca="1" si="37"/>
        <v/>
      </c>
      <c r="AE37" s="40" t="str">
        <f t="shared" ca="1" si="37"/>
        <v/>
      </c>
      <c r="AF37" s="40" t="str">
        <f t="shared" ca="1" si="37"/>
        <v/>
      </c>
      <c r="AG37" s="40" t="str">
        <f t="shared" ref="AG37" ca="1" si="45">IFERROR(AG7*AG29/AG21,"")</f>
        <v/>
      </c>
      <c r="AH37" s="40" t="str">
        <f t="shared" ca="1" si="37"/>
        <v/>
      </c>
      <c r="AI37" s="40" t="str">
        <f t="shared" ca="1" si="37"/>
        <v/>
      </c>
      <c r="AJ37" s="40" t="str">
        <f t="shared" ca="1" si="37"/>
        <v/>
      </c>
      <c r="AK37" s="40" t="str">
        <f t="shared" ref="AK37:AW37" ca="1" si="46">IFERROR(AK7*AK29/AK21,"")</f>
        <v/>
      </c>
      <c r="AL37" s="40" t="str">
        <f t="shared" ca="1" si="46"/>
        <v/>
      </c>
      <c r="AM37" s="40" t="str">
        <f t="shared" ca="1" si="46"/>
        <v/>
      </c>
      <c r="AN37" s="40" t="str">
        <f t="shared" ca="1" si="46"/>
        <v/>
      </c>
      <c r="AO37" s="40" t="str">
        <f t="shared" ca="1" si="46"/>
        <v/>
      </c>
      <c r="AP37" s="40" t="str">
        <f t="shared" ca="1" si="46"/>
        <v/>
      </c>
      <c r="AQ37" s="40" t="str">
        <f t="shared" ca="1" si="46"/>
        <v/>
      </c>
      <c r="AR37" s="40" t="str">
        <f t="shared" ca="1" si="46"/>
        <v/>
      </c>
      <c r="AS37" s="40" t="str">
        <f t="shared" ca="1" si="46"/>
        <v/>
      </c>
      <c r="AT37" s="40" t="str">
        <f t="shared" ca="1" si="46"/>
        <v/>
      </c>
      <c r="AU37" s="40" t="str">
        <f t="shared" ca="1" si="46"/>
        <v/>
      </c>
      <c r="AV37" s="40" t="str">
        <f t="shared" ca="1" si="46"/>
        <v/>
      </c>
      <c r="AW37" s="40" t="str">
        <f t="shared" ca="1" si="46"/>
        <v/>
      </c>
    </row>
    <row r="38" spans="1:49">
      <c r="C38" t="str">
        <f t="shared" si="36"/>
        <v>TRAGSL</v>
      </c>
      <c r="D38" s="40" t="str">
        <f t="shared" ca="1" si="37"/>
        <v/>
      </c>
      <c r="E38" s="40" t="str">
        <f t="shared" ref="E38:U38" ca="1" si="47">IFERROR(E8*E30/E22,"")</f>
        <v/>
      </c>
      <c r="F38" s="40">
        <f t="shared" ca="1" si="47"/>
        <v>34.975954170839557</v>
      </c>
      <c r="G38" s="40">
        <f t="shared" ca="1" si="47"/>
        <v>129.82136895709772</v>
      </c>
      <c r="H38" s="40">
        <f t="shared" ca="1" si="47"/>
        <v>124.21128591215493</v>
      </c>
      <c r="I38" s="40">
        <f t="shared" ca="1" si="47"/>
        <v>68.750499591788767</v>
      </c>
      <c r="J38" s="40">
        <f t="shared" ca="1" si="47"/>
        <v>61.707987222690868</v>
      </c>
      <c r="K38" s="40">
        <f t="shared" ca="1" si="47"/>
        <v>23.439508906517766</v>
      </c>
      <c r="L38" s="40">
        <f t="shared" ca="1" si="47"/>
        <v>110.26492079785967</v>
      </c>
      <c r="M38" s="40">
        <f t="shared" ca="1" si="47"/>
        <v>55.544228388113893</v>
      </c>
      <c r="N38" s="40">
        <f t="shared" ca="1" si="47"/>
        <v>47.276810633807678</v>
      </c>
      <c r="O38" s="40">
        <f t="shared" ca="1" si="47"/>
        <v>94.311898329457648</v>
      </c>
      <c r="P38" s="40">
        <f t="shared" ca="1" si="47"/>
        <v>27.054400156202426</v>
      </c>
      <c r="Q38" s="40">
        <f t="shared" ca="1" si="47"/>
        <v>48.278335967747509</v>
      </c>
      <c r="R38" s="40">
        <f t="shared" ca="1" si="47"/>
        <v>51.371089608865077</v>
      </c>
      <c r="S38" s="40" t="str">
        <f t="shared" ca="1" si="47"/>
        <v/>
      </c>
      <c r="T38" s="40">
        <f t="shared" ca="1" si="47"/>
        <v>89.247771075154944</v>
      </c>
      <c r="U38" s="40">
        <f t="shared" ca="1" si="47"/>
        <v>46.619834441705592</v>
      </c>
      <c r="V38" s="40">
        <f t="shared" ca="1" si="37"/>
        <v>18.686542188294897</v>
      </c>
      <c r="W38" s="40">
        <f t="shared" ca="1" si="37"/>
        <v>25.767266888554094</v>
      </c>
      <c r="X38" s="40">
        <f t="shared" ca="1" si="37"/>
        <v>58.587698330348225</v>
      </c>
      <c r="Y38" s="40">
        <f t="shared" ca="1" si="37"/>
        <v>16.861165501465027</v>
      </c>
      <c r="Z38" s="40">
        <f t="shared" ca="1" si="37"/>
        <v>39.291852306372121</v>
      </c>
      <c r="AA38" s="40">
        <f t="shared" ca="1" si="37"/>
        <v>54.733806813636349</v>
      </c>
      <c r="AB38" s="40" t="str">
        <f t="shared" ca="1" si="37"/>
        <v/>
      </c>
      <c r="AC38" s="40">
        <f t="shared" ca="1" si="37"/>
        <v>38.675519454975017</v>
      </c>
      <c r="AD38" s="40">
        <f t="shared" ca="1" si="37"/>
        <v>114.67821457383336</v>
      </c>
      <c r="AE38" s="40" t="str">
        <f t="shared" ca="1" si="37"/>
        <v/>
      </c>
      <c r="AF38" s="40">
        <f t="shared" ca="1" si="37"/>
        <v>44.04820984735391</v>
      </c>
      <c r="AG38" s="40">
        <f t="shared" ref="AG38" ca="1" si="48">IFERROR(AG8*AG30/AG22,"")</f>
        <v>79.052137308353693</v>
      </c>
      <c r="AH38" s="40">
        <f t="shared" ca="1" si="37"/>
        <v>40.6373441308777</v>
      </c>
      <c r="AI38" s="40">
        <f t="shared" ca="1" si="37"/>
        <v>60.044843385550891</v>
      </c>
      <c r="AJ38" s="40">
        <f t="shared" ca="1" si="37"/>
        <v>32.790515194486467</v>
      </c>
      <c r="AK38" s="40" t="str">
        <f t="shared" ref="AK38:AW38" ca="1" si="49">IFERROR(AK8*AK30/AK22,"")</f>
        <v/>
      </c>
      <c r="AL38" s="40" t="str">
        <f t="shared" ca="1" si="49"/>
        <v/>
      </c>
      <c r="AM38" s="40" t="str">
        <f t="shared" ca="1" si="49"/>
        <v/>
      </c>
      <c r="AN38" s="40" t="str">
        <f t="shared" ca="1" si="49"/>
        <v/>
      </c>
      <c r="AO38" s="40" t="str">
        <f t="shared" ca="1" si="49"/>
        <v/>
      </c>
      <c r="AP38" s="40" t="str">
        <f t="shared" ca="1" si="49"/>
        <v/>
      </c>
      <c r="AQ38" s="40" t="str">
        <f t="shared" ca="1" si="49"/>
        <v/>
      </c>
      <c r="AR38" s="40" t="str">
        <f t="shared" ca="1" si="49"/>
        <v/>
      </c>
      <c r="AS38" s="40" t="str">
        <f t="shared" ca="1" si="49"/>
        <v/>
      </c>
      <c r="AT38" s="40" t="str">
        <f t="shared" ca="1" si="49"/>
        <v/>
      </c>
      <c r="AU38" s="40" t="str">
        <f t="shared" ca="1" si="49"/>
        <v/>
      </c>
      <c r="AV38" s="40" t="str">
        <f t="shared" ca="1" si="49"/>
        <v/>
      </c>
      <c r="AW38" s="40" t="str">
        <f t="shared" ca="1" si="49"/>
        <v/>
      </c>
    </row>
    <row r="39" spans="1:49">
      <c r="C39" t="str">
        <f t="shared" si="36"/>
        <v>TRALPG</v>
      </c>
      <c r="D39" s="40">
        <f t="shared" ca="1" si="37"/>
        <v>31.989382238668131</v>
      </c>
      <c r="E39" s="40">
        <f t="shared" ref="E39:U39" ca="1" si="50">IFERROR(E9*E31/E23,"")</f>
        <v>27.995094119859747</v>
      </c>
      <c r="F39" s="40">
        <f t="shared" ca="1" si="50"/>
        <v>34.975954170839557</v>
      </c>
      <c r="G39" s="40">
        <f t="shared" ca="1" si="50"/>
        <v>129.82136895709772</v>
      </c>
      <c r="H39" s="40">
        <f t="shared" ca="1" si="50"/>
        <v>124.21128591215495</v>
      </c>
      <c r="I39" s="40">
        <f t="shared" ca="1" si="50"/>
        <v>68.750499591788767</v>
      </c>
      <c r="J39" s="40" t="str">
        <f t="shared" ca="1" si="50"/>
        <v/>
      </c>
      <c r="K39" s="40">
        <f t="shared" ca="1" si="50"/>
        <v>23.439508906517762</v>
      </c>
      <c r="L39" s="40">
        <f t="shared" ca="1" si="50"/>
        <v>110.26492079785967</v>
      </c>
      <c r="M39" s="40">
        <f t="shared" ca="1" si="50"/>
        <v>55.544228388113879</v>
      </c>
      <c r="N39" s="40">
        <f t="shared" ca="1" si="50"/>
        <v>47.276810633807678</v>
      </c>
      <c r="O39" s="40">
        <f t="shared" ca="1" si="50"/>
        <v>94.311898329457676</v>
      </c>
      <c r="P39" s="40">
        <f t="shared" ca="1" si="50"/>
        <v>27.054400156202423</v>
      </c>
      <c r="Q39" s="40">
        <f t="shared" ca="1" si="50"/>
        <v>48.278335967747509</v>
      </c>
      <c r="R39" s="40" t="str">
        <f t="shared" ca="1" si="50"/>
        <v/>
      </c>
      <c r="S39" s="40">
        <f t="shared" ca="1" si="50"/>
        <v>54.791309443598351</v>
      </c>
      <c r="T39" s="40">
        <f t="shared" ca="1" si="50"/>
        <v>89.24777107515493</v>
      </c>
      <c r="U39" s="40">
        <f t="shared" ca="1" si="50"/>
        <v>46.619834441705585</v>
      </c>
      <c r="V39" s="40">
        <f t="shared" ca="1" si="37"/>
        <v>18.686542188294901</v>
      </c>
      <c r="W39" s="40" t="str">
        <f t="shared" ca="1" si="37"/>
        <v/>
      </c>
      <c r="X39" s="40">
        <f t="shared" ca="1" si="37"/>
        <v>58.587698330348225</v>
      </c>
      <c r="Y39" s="40">
        <f t="shared" ca="1" si="37"/>
        <v>16.861165501465024</v>
      </c>
      <c r="Z39" s="40">
        <f t="shared" ca="1" si="37"/>
        <v>39.291852306372114</v>
      </c>
      <c r="AA39" s="40">
        <f t="shared" ca="1" si="37"/>
        <v>54.733806813636349</v>
      </c>
      <c r="AB39" s="40">
        <f t="shared" ca="1" si="37"/>
        <v>31.390648447927475</v>
      </c>
      <c r="AC39" s="40">
        <f t="shared" ca="1" si="37"/>
        <v>38.675519454975017</v>
      </c>
      <c r="AD39" s="40" t="str">
        <f t="shared" ca="1" si="37"/>
        <v/>
      </c>
      <c r="AE39" s="40">
        <f t="shared" ca="1" si="37"/>
        <v>17.259118911234363</v>
      </c>
      <c r="AF39" s="40">
        <f t="shared" ca="1" si="37"/>
        <v>44.048209847353924</v>
      </c>
      <c r="AG39" s="40" t="str">
        <f t="shared" ref="AG39" ca="1" si="51">IFERROR(AG9*AG31/AG23,"")</f>
        <v/>
      </c>
      <c r="AH39" s="40">
        <f t="shared" ca="1" si="37"/>
        <v>40.637344130877693</v>
      </c>
      <c r="AI39" s="40">
        <f t="shared" ca="1" si="37"/>
        <v>60.044843385550898</v>
      </c>
      <c r="AJ39" s="40">
        <f t="shared" ca="1" si="37"/>
        <v>32.790515194486467</v>
      </c>
      <c r="AK39" s="40" t="str">
        <f t="shared" ref="AK39:AW39" ca="1" si="52">IFERROR(AK9*AK31/AK23,"")</f>
        <v/>
      </c>
      <c r="AL39" s="40" t="str">
        <f t="shared" ca="1" si="52"/>
        <v/>
      </c>
      <c r="AM39" s="40" t="str">
        <f t="shared" ca="1" si="52"/>
        <v/>
      </c>
      <c r="AN39" s="40" t="str">
        <f t="shared" ca="1" si="52"/>
        <v/>
      </c>
      <c r="AO39" s="40" t="str">
        <f t="shared" ca="1" si="52"/>
        <v/>
      </c>
      <c r="AP39" s="40" t="str">
        <f t="shared" ca="1" si="52"/>
        <v/>
      </c>
      <c r="AQ39" s="40" t="str">
        <f t="shared" ca="1" si="52"/>
        <v/>
      </c>
      <c r="AR39" s="40" t="str">
        <f t="shared" ca="1" si="52"/>
        <v/>
      </c>
      <c r="AS39" s="40" t="str">
        <f t="shared" ca="1" si="52"/>
        <v/>
      </c>
      <c r="AT39" s="40" t="str">
        <f t="shared" ca="1" si="52"/>
        <v/>
      </c>
      <c r="AU39" s="40" t="str">
        <f t="shared" ca="1" si="52"/>
        <v/>
      </c>
      <c r="AV39" s="40" t="str">
        <f t="shared" ca="1" si="52"/>
        <v/>
      </c>
      <c r="AW39" s="40" t="str">
        <f t="shared" ca="1" si="52"/>
        <v/>
      </c>
    </row>
    <row r="40" spans="1:49">
      <c r="C40" t="str">
        <f t="shared" si="36"/>
        <v>TRANGA</v>
      </c>
      <c r="D40" s="40">
        <f t="shared" ca="1" si="37"/>
        <v>31.989382238668135</v>
      </c>
      <c r="E40" s="40">
        <f t="shared" ref="E40:U40" ca="1" si="53">IFERROR(E10*E32/E24,"")</f>
        <v>27.995094119859754</v>
      </c>
      <c r="F40" s="40">
        <f t="shared" ca="1" si="53"/>
        <v>34.97595417083955</v>
      </c>
      <c r="G40" s="40" t="str">
        <f t="shared" ca="1" si="53"/>
        <v/>
      </c>
      <c r="H40" s="40">
        <f t="shared" ca="1" si="53"/>
        <v>124.21128591215495</v>
      </c>
      <c r="I40" s="40" t="str">
        <f t="shared" ca="1" si="53"/>
        <v/>
      </c>
      <c r="J40" s="40">
        <f t="shared" ca="1" si="53"/>
        <v>61.707987222690853</v>
      </c>
      <c r="K40" s="40">
        <f t="shared" ca="1" si="53"/>
        <v>23.439508906517762</v>
      </c>
      <c r="L40" s="40" t="str">
        <f t="shared" ca="1" si="53"/>
        <v/>
      </c>
      <c r="M40" s="40" t="str">
        <f t="shared" ca="1" si="53"/>
        <v/>
      </c>
      <c r="N40" s="40" t="str">
        <f t="shared" ca="1" si="53"/>
        <v/>
      </c>
      <c r="O40" s="40" t="str">
        <f t="shared" ca="1" si="53"/>
        <v/>
      </c>
      <c r="P40" s="40" t="str">
        <f t="shared" ca="1" si="53"/>
        <v/>
      </c>
      <c r="Q40" s="40" t="str">
        <f t="shared" ca="1" si="53"/>
        <v/>
      </c>
      <c r="R40" s="40" t="str">
        <f t="shared" ca="1" si="53"/>
        <v/>
      </c>
      <c r="S40" s="40">
        <f t="shared" ca="1" si="53"/>
        <v>54.791309443598358</v>
      </c>
      <c r="T40" s="40" t="str">
        <f t="shared" ca="1" si="53"/>
        <v/>
      </c>
      <c r="U40" s="40" t="str">
        <f t="shared" ca="1" si="53"/>
        <v/>
      </c>
      <c r="V40" s="40">
        <f t="shared" ca="1" si="37"/>
        <v>18.686542188294901</v>
      </c>
      <c r="W40" s="40">
        <f t="shared" ca="1" si="37"/>
        <v>25.767266888554094</v>
      </c>
      <c r="X40" s="40" t="str">
        <f t="shared" ca="1" si="37"/>
        <v/>
      </c>
      <c r="Y40" s="40">
        <f t="shared" ca="1" si="37"/>
        <v>16.861165501465024</v>
      </c>
      <c r="Z40" s="40" t="str">
        <f t="shared" ca="1" si="37"/>
        <v/>
      </c>
      <c r="AA40" s="40" t="str">
        <f t="shared" ca="1" si="37"/>
        <v/>
      </c>
      <c r="AB40" s="40">
        <f t="shared" ca="1" si="37"/>
        <v>31.390648447927475</v>
      </c>
      <c r="AC40" s="40">
        <f t="shared" ca="1" si="37"/>
        <v>38.67551945497501</v>
      </c>
      <c r="AD40" s="40" t="str">
        <f t="shared" ca="1" si="37"/>
        <v/>
      </c>
      <c r="AE40" s="40">
        <f t="shared" ca="1" si="37"/>
        <v>17.259118911234363</v>
      </c>
      <c r="AF40" s="40" t="str">
        <f t="shared" ca="1" si="37"/>
        <v/>
      </c>
      <c r="AG40" s="40" t="str">
        <f t="shared" ref="AG40" ca="1" si="54">IFERROR(AG10*AG32/AG24,"")</f>
        <v/>
      </c>
      <c r="AH40" s="40" t="str">
        <f t="shared" ca="1" si="37"/>
        <v/>
      </c>
      <c r="AI40" s="40" t="str">
        <f t="shared" ca="1" si="37"/>
        <v/>
      </c>
      <c r="AJ40" s="40" t="str">
        <f t="shared" ca="1" si="37"/>
        <v/>
      </c>
      <c r="AK40" s="40" t="str">
        <f t="shared" ref="AK40:AW40" ca="1" si="55">IFERROR(AK10*AK32/AK24,"")</f>
        <v/>
      </c>
      <c r="AL40" s="40" t="str">
        <f t="shared" ca="1" si="55"/>
        <v/>
      </c>
      <c r="AM40" s="40" t="str">
        <f t="shared" ca="1" si="55"/>
        <v/>
      </c>
      <c r="AN40" s="40" t="str">
        <f t="shared" ca="1" si="55"/>
        <v/>
      </c>
      <c r="AO40" s="40" t="str">
        <f t="shared" ca="1" si="55"/>
        <v/>
      </c>
      <c r="AP40" s="40" t="str">
        <f t="shared" ca="1" si="55"/>
        <v/>
      </c>
      <c r="AQ40" s="40" t="str">
        <f t="shared" ca="1" si="55"/>
        <v/>
      </c>
      <c r="AR40" s="40" t="str">
        <f t="shared" ca="1" si="55"/>
        <v/>
      </c>
      <c r="AS40" s="40" t="str">
        <f t="shared" ca="1" si="55"/>
        <v/>
      </c>
      <c r="AT40" s="40" t="str">
        <f t="shared" ca="1" si="55"/>
        <v/>
      </c>
      <c r="AU40" s="40" t="str">
        <f t="shared" ca="1" si="55"/>
        <v/>
      </c>
      <c r="AV40" s="40" t="str">
        <f t="shared" ca="1" si="55"/>
        <v/>
      </c>
      <c r="AW40" s="40" t="str">
        <f t="shared" ca="1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4294967293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2A7E6-128F-4B61-ABA1-5A730B4686FC}">
  <dimension ref="A1:EV233"/>
  <sheetViews>
    <sheetView zoomScaleNormal="100" workbookViewId="0"/>
  </sheetViews>
  <sheetFormatPr defaultRowHeight="14.25"/>
  <cols>
    <col min="1" max="1" width="3.86328125" bestFit="1" customWidth="1"/>
    <col min="3" max="3" width="8.86328125" bestFit="1" customWidth="1"/>
    <col min="4" max="4" width="5.59765625" bestFit="1" customWidth="1"/>
    <col min="5" max="5" width="26.265625" bestFit="1" customWidth="1"/>
    <col min="6" max="6" width="21.86328125" bestFit="1" customWidth="1"/>
    <col min="7" max="7" width="12.1328125" bestFit="1" customWidth="1"/>
    <col min="8" max="8" width="4.59765625" bestFit="1" customWidth="1"/>
    <col min="9" max="24" width="4.59765625" customWidth="1"/>
    <col min="25" max="25" width="4.59765625" bestFit="1" customWidth="1"/>
    <col min="26" max="26" width="4.86328125" bestFit="1" customWidth="1"/>
    <col min="27" max="27" width="5" bestFit="1" customWidth="1"/>
    <col min="28" max="32" width="4.59765625" bestFit="1" customWidth="1"/>
    <col min="33" max="33" width="5" bestFit="1" customWidth="1"/>
    <col min="34" max="34" width="4.86328125" bestFit="1" customWidth="1"/>
    <col min="35" max="35" width="5" bestFit="1" customWidth="1"/>
    <col min="36" max="37" width="4.59765625" bestFit="1" customWidth="1"/>
    <col min="38" max="38" width="5.1328125" bestFit="1" customWidth="1"/>
    <col min="39" max="41" width="5.1328125" customWidth="1"/>
    <col min="42" max="42" width="4.1328125" bestFit="1" customWidth="1"/>
    <col min="43" max="53" width="5.1328125" customWidth="1"/>
    <col min="54" max="54" width="4.73046875" bestFit="1" customWidth="1"/>
    <col min="55" max="55" width="9.73046875" bestFit="1" customWidth="1"/>
    <col min="56" max="101" width="4.59765625" customWidth="1"/>
    <col min="103" max="103" width="4.59765625" bestFit="1" customWidth="1"/>
    <col min="104" max="119" width="4.59765625" customWidth="1"/>
    <col min="120" max="120" width="4.59765625" bestFit="1" customWidth="1"/>
    <col min="121" max="121" width="4.86328125" bestFit="1" customWidth="1"/>
    <col min="122" max="127" width="4.59765625" bestFit="1" customWidth="1"/>
    <col min="128" max="128" width="5" bestFit="1" customWidth="1"/>
    <col min="129" max="129" width="4.86328125" bestFit="1" customWidth="1"/>
    <col min="130" max="130" width="5" bestFit="1" customWidth="1"/>
    <col min="131" max="132" width="4.59765625" bestFit="1" customWidth="1"/>
    <col min="133" max="133" width="5.1328125" bestFit="1" customWidth="1"/>
    <col min="134" max="148" width="5.1328125" customWidth="1"/>
    <col min="150" max="150" width="12.3984375" bestFit="1" customWidth="1"/>
    <col min="151" max="151" width="5" bestFit="1" customWidth="1"/>
    <col min="152" max="152" width="11.3984375" bestFit="1" customWidth="1"/>
  </cols>
  <sheetData>
    <row r="1" spans="1:152">
      <c r="CY1" s="38" t="s">
        <v>159</v>
      </c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</row>
    <row r="2" spans="1:152">
      <c r="A2" s="30" t="s">
        <v>135</v>
      </c>
      <c r="B2" t="s">
        <v>48</v>
      </c>
      <c r="C2" s="5" t="s">
        <v>49</v>
      </c>
      <c r="D2" s="5" t="s">
        <v>50</v>
      </c>
      <c r="E2" s="5" t="s">
        <v>51</v>
      </c>
      <c r="F2" s="5" t="s">
        <v>48</v>
      </c>
      <c r="G2" s="5" t="s">
        <v>52</v>
      </c>
      <c r="H2" s="5" t="str">
        <f>'TRA balance'!E4</f>
        <v>Africa_North</v>
      </c>
      <c r="I2" s="5" t="str">
        <f>'TRA balance'!F4</f>
        <v>Africa_Other</v>
      </c>
      <c r="J2" s="5" t="str">
        <f>'TRA balance'!G4</f>
        <v>Australia</v>
      </c>
      <c r="K2" s="5" t="str">
        <f>'TRA balance'!H4</f>
        <v>Austria</v>
      </c>
      <c r="L2" s="5" t="str">
        <f>'TRA balance'!I4</f>
        <v>Baltics</v>
      </c>
      <c r="M2" s="5" t="str">
        <f>'TRA balance'!J4</f>
        <v>BeNeLux</v>
      </c>
      <c r="N2" s="5" t="str">
        <f>'TRA balance'!K4</f>
        <v>Brazil</v>
      </c>
      <c r="O2" s="5" t="str">
        <f>'TRA balance'!L4</f>
        <v>China</v>
      </c>
      <c r="P2" s="5" t="str">
        <f>'TRA balance'!M4</f>
        <v>CroSloven</v>
      </c>
      <c r="Q2" s="5" t="str">
        <f>'TRA balance'!N4</f>
        <v>CzechSlovak</v>
      </c>
      <c r="R2" s="5" t="str">
        <f>'TRA balance'!O4</f>
        <v>France</v>
      </c>
      <c r="S2" s="5" t="str">
        <f>'TRA balance'!P4</f>
        <v>Germany</v>
      </c>
      <c r="T2" s="5" t="str">
        <f>'TRA balance'!Q4</f>
        <v>GreeceCyp</v>
      </c>
      <c r="U2" s="5" t="str">
        <f>'TRA balance'!R4</f>
        <v>HunRomBul</v>
      </c>
      <c r="V2" s="5" t="str">
        <f>'TRA balance'!S4</f>
        <v>Iceland</v>
      </c>
      <c r="W2" s="5" t="str">
        <f>'TRA balance'!T4</f>
        <v>India</v>
      </c>
      <c r="X2" s="5" t="str">
        <f>'TRA balance'!U4</f>
        <v>Ireland</v>
      </c>
      <c r="Y2" s="5" t="str">
        <f>'TRA balance'!V4</f>
        <v>ItalyMal</v>
      </c>
      <c r="Z2" s="5" t="str">
        <f>'TRA balance'!W4</f>
        <v>Japan</v>
      </c>
      <c r="AA2" s="5" t="str">
        <f>'TRA balance'!X4</f>
        <v>LatAm</v>
      </c>
      <c r="AB2" s="5" t="str">
        <f>'TRA balance'!Y4</f>
        <v>MidEast</v>
      </c>
      <c r="AC2" s="5" t="str">
        <f>'TRA balance'!Z4</f>
        <v>NorthAm</v>
      </c>
      <c r="AD2" s="5" t="str">
        <f>'TRA balance'!AA4</f>
        <v>Norway</v>
      </c>
      <c r="AE2" s="5" t="str">
        <f>'TRA balance'!AB4</f>
        <v>Poland</v>
      </c>
      <c r="AF2" s="5" t="str">
        <f>'TRA balance'!AC4</f>
        <v>ROW</v>
      </c>
      <c r="AG2" s="5" t="str">
        <f>'TRA balance'!AD4</f>
        <v>Russia</v>
      </c>
      <c r="AH2" s="5" t="str">
        <f>'TRA balance'!AE4</f>
        <v>SaudiArabia</v>
      </c>
      <c r="AI2" s="5" t="str">
        <f>'TRA balance'!AF4</f>
        <v>SouthAfrica</v>
      </c>
      <c r="AJ2" s="5" t="str">
        <f>'TRA balance'!AG4</f>
        <v>SpainPor</v>
      </c>
      <c r="AK2" s="5" t="str">
        <f>'TRA balance'!AH4</f>
        <v>SweFinDen</v>
      </c>
      <c r="AL2" s="5" t="str">
        <f>'TRA balance'!AI4</f>
        <v>Switzerland</v>
      </c>
      <c r="AM2" s="5" t="str">
        <f>'TRA balance'!AJ4</f>
        <v>Turkey</v>
      </c>
      <c r="AN2" s="5" t="str">
        <f>'TRA balance'!AK4</f>
        <v>UK</v>
      </c>
      <c r="AO2" s="5" t="str">
        <f>'TRA balance'!AL4</f>
        <v>Ukraine</v>
      </c>
      <c r="AP2" s="5" t="str">
        <f>'TRA balance'!AM4</f>
        <v>WestBalkans</v>
      </c>
      <c r="AQ2" s="5" t="str">
        <f>'TRA balance'!AN4</f>
        <v>\I:</v>
      </c>
      <c r="AR2" s="5" t="str">
        <f>'TRA balance'!AO4</f>
        <v>\I:</v>
      </c>
      <c r="AS2" s="5" t="str">
        <f>'TRA balance'!AP4</f>
        <v>\I:</v>
      </c>
      <c r="AT2" s="5" t="str">
        <f>'TRA balance'!AQ4</f>
        <v>\I:</v>
      </c>
      <c r="AU2" s="5" t="str">
        <f>'TRA balance'!AR4</f>
        <v>\I:</v>
      </c>
      <c r="AV2" s="5" t="str">
        <f>'TRA balance'!AS4</f>
        <v>\I:</v>
      </c>
      <c r="AW2" s="5" t="str">
        <f>'TRA balance'!AT4</f>
        <v>\I:</v>
      </c>
      <c r="AX2" s="5" t="str">
        <f>'TRA balance'!AU4</f>
        <v>\I:</v>
      </c>
      <c r="AY2" s="5" t="str">
        <f>'TRA balance'!AV4</f>
        <v>\I:</v>
      </c>
      <c r="AZ2" s="5" t="str">
        <f>'TRA balance'!AW4</f>
        <v>\I:</v>
      </c>
      <c r="BA2" s="5" t="str">
        <f>'TRA balance'!AX4</f>
        <v>\I:</v>
      </c>
      <c r="BD2" s="37" t="str">
        <f>H2</f>
        <v>Africa_North</v>
      </c>
      <c r="BE2" s="37" t="str">
        <f t="shared" ref="BE2:CW2" si="0">I2</f>
        <v>Africa_Other</v>
      </c>
      <c r="BF2" s="37" t="str">
        <f t="shared" si="0"/>
        <v>Australia</v>
      </c>
      <c r="BG2" s="37" t="str">
        <f t="shared" si="0"/>
        <v>Austria</v>
      </c>
      <c r="BH2" s="37" t="str">
        <f t="shared" si="0"/>
        <v>Baltics</v>
      </c>
      <c r="BI2" s="37" t="str">
        <f t="shared" si="0"/>
        <v>BeNeLux</v>
      </c>
      <c r="BJ2" s="37" t="str">
        <f t="shared" si="0"/>
        <v>Brazil</v>
      </c>
      <c r="BK2" s="37" t="str">
        <f t="shared" si="0"/>
        <v>China</v>
      </c>
      <c r="BL2" s="37" t="str">
        <f t="shared" si="0"/>
        <v>CroSloven</v>
      </c>
      <c r="BM2" s="37" t="str">
        <f t="shared" si="0"/>
        <v>CzechSlovak</v>
      </c>
      <c r="BN2" s="37" t="str">
        <f t="shared" si="0"/>
        <v>France</v>
      </c>
      <c r="BO2" s="37" t="str">
        <f t="shared" si="0"/>
        <v>Germany</v>
      </c>
      <c r="BP2" s="37" t="str">
        <f t="shared" si="0"/>
        <v>GreeceCyp</v>
      </c>
      <c r="BQ2" s="37" t="str">
        <f t="shared" si="0"/>
        <v>HunRomBul</v>
      </c>
      <c r="BR2" s="37" t="str">
        <f t="shared" si="0"/>
        <v>Iceland</v>
      </c>
      <c r="BS2" s="37" t="str">
        <f t="shared" si="0"/>
        <v>India</v>
      </c>
      <c r="BT2" s="37" t="str">
        <f t="shared" si="0"/>
        <v>Ireland</v>
      </c>
      <c r="BU2" s="37" t="str">
        <f t="shared" si="0"/>
        <v>ItalyMal</v>
      </c>
      <c r="BV2" s="37" t="str">
        <f t="shared" si="0"/>
        <v>Japan</v>
      </c>
      <c r="BW2" s="37" t="str">
        <f t="shared" si="0"/>
        <v>LatAm</v>
      </c>
      <c r="BX2" s="37" t="str">
        <f t="shared" si="0"/>
        <v>MidEast</v>
      </c>
      <c r="BY2" s="37" t="str">
        <f t="shared" si="0"/>
        <v>NorthAm</v>
      </c>
      <c r="BZ2" s="37" t="str">
        <f t="shared" si="0"/>
        <v>Norway</v>
      </c>
      <c r="CA2" s="37" t="str">
        <f t="shared" si="0"/>
        <v>Poland</v>
      </c>
      <c r="CB2" s="37" t="str">
        <f t="shared" si="0"/>
        <v>ROW</v>
      </c>
      <c r="CC2" s="37" t="str">
        <f t="shared" si="0"/>
        <v>Russia</v>
      </c>
      <c r="CD2" s="37" t="str">
        <f t="shared" si="0"/>
        <v>SaudiArabia</v>
      </c>
      <c r="CE2" s="37" t="str">
        <f t="shared" si="0"/>
        <v>SouthAfrica</v>
      </c>
      <c r="CF2" s="37" t="str">
        <f t="shared" si="0"/>
        <v>SpainPor</v>
      </c>
      <c r="CG2" s="37" t="str">
        <f t="shared" si="0"/>
        <v>SweFinDen</v>
      </c>
      <c r="CH2" s="37" t="str">
        <f t="shared" si="0"/>
        <v>Switzerland</v>
      </c>
      <c r="CI2" s="37" t="str">
        <f t="shared" si="0"/>
        <v>Turkey</v>
      </c>
      <c r="CJ2" s="37" t="str">
        <f t="shared" si="0"/>
        <v>UK</v>
      </c>
      <c r="CK2" s="37" t="str">
        <f t="shared" si="0"/>
        <v>Ukraine</v>
      </c>
      <c r="CL2" s="37" t="str">
        <f t="shared" si="0"/>
        <v>WestBalkans</v>
      </c>
      <c r="CM2" s="37" t="str">
        <f t="shared" si="0"/>
        <v>\I:</v>
      </c>
      <c r="CN2" s="37" t="str">
        <f t="shared" si="0"/>
        <v>\I:</v>
      </c>
      <c r="CO2" s="37" t="str">
        <f t="shared" si="0"/>
        <v>\I:</v>
      </c>
      <c r="CP2" s="37" t="str">
        <f t="shared" si="0"/>
        <v>\I:</v>
      </c>
      <c r="CQ2" s="37" t="str">
        <f t="shared" si="0"/>
        <v>\I:</v>
      </c>
      <c r="CR2" s="37" t="str">
        <f t="shared" si="0"/>
        <v>\I:</v>
      </c>
      <c r="CS2" s="37" t="str">
        <f t="shared" si="0"/>
        <v>\I:</v>
      </c>
      <c r="CT2" s="37" t="str">
        <f t="shared" si="0"/>
        <v>\I:</v>
      </c>
      <c r="CU2" s="37" t="str">
        <f t="shared" si="0"/>
        <v>\I:</v>
      </c>
      <c r="CV2" s="37" t="str">
        <f t="shared" si="0"/>
        <v>\I:</v>
      </c>
      <c r="CW2" s="37" t="str">
        <f t="shared" si="0"/>
        <v>\I:</v>
      </c>
      <c r="CY2" s="27" t="str">
        <f>BD2</f>
        <v>Africa_North</v>
      </c>
      <c r="CZ2" s="27" t="str">
        <f t="shared" ref="CZ2:ER2" si="1">BE2</f>
        <v>Africa_Other</v>
      </c>
      <c r="DA2" s="27" t="str">
        <f t="shared" si="1"/>
        <v>Australia</v>
      </c>
      <c r="DB2" s="27" t="str">
        <f t="shared" si="1"/>
        <v>Austria</v>
      </c>
      <c r="DC2" s="27" t="str">
        <f t="shared" si="1"/>
        <v>Baltics</v>
      </c>
      <c r="DD2" s="27" t="str">
        <f t="shared" si="1"/>
        <v>BeNeLux</v>
      </c>
      <c r="DE2" s="27" t="str">
        <f t="shared" si="1"/>
        <v>Brazil</v>
      </c>
      <c r="DF2" s="27" t="str">
        <f t="shared" si="1"/>
        <v>China</v>
      </c>
      <c r="DG2" s="27" t="str">
        <f t="shared" si="1"/>
        <v>CroSloven</v>
      </c>
      <c r="DH2" s="27" t="str">
        <f t="shared" si="1"/>
        <v>CzechSlovak</v>
      </c>
      <c r="DI2" s="27" t="str">
        <f t="shared" si="1"/>
        <v>France</v>
      </c>
      <c r="DJ2" s="27" t="str">
        <f t="shared" si="1"/>
        <v>Germany</v>
      </c>
      <c r="DK2" s="27" t="str">
        <f t="shared" si="1"/>
        <v>GreeceCyp</v>
      </c>
      <c r="DL2" s="27" t="str">
        <f t="shared" si="1"/>
        <v>HunRomBul</v>
      </c>
      <c r="DM2" s="27" t="str">
        <f t="shared" si="1"/>
        <v>Iceland</v>
      </c>
      <c r="DN2" s="27" t="str">
        <f t="shared" si="1"/>
        <v>India</v>
      </c>
      <c r="DO2" s="27" t="str">
        <f t="shared" si="1"/>
        <v>Ireland</v>
      </c>
      <c r="DP2" s="27" t="str">
        <f t="shared" si="1"/>
        <v>ItalyMal</v>
      </c>
      <c r="DQ2" s="27" t="str">
        <f t="shared" si="1"/>
        <v>Japan</v>
      </c>
      <c r="DR2" s="27" t="str">
        <f t="shared" si="1"/>
        <v>LatAm</v>
      </c>
      <c r="DS2" s="27" t="str">
        <f t="shared" si="1"/>
        <v>MidEast</v>
      </c>
      <c r="DT2" s="27" t="str">
        <f t="shared" si="1"/>
        <v>NorthAm</v>
      </c>
      <c r="DU2" s="27" t="str">
        <f t="shared" si="1"/>
        <v>Norway</v>
      </c>
      <c r="DV2" s="27" t="str">
        <f t="shared" si="1"/>
        <v>Poland</v>
      </c>
      <c r="DW2" s="27" t="str">
        <f t="shared" si="1"/>
        <v>ROW</v>
      </c>
      <c r="DX2" s="27" t="str">
        <f t="shared" si="1"/>
        <v>Russia</v>
      </c>
      <c r="DY2" s="27" t="str">
        <f t="shared" si="1"/>
        <v>SaudiArabia</v>
      </c>
      <c r="DZ2" s="27" t="str">
        <f t="shared" si="1"/>
        <v>SouthAfrica</v>
      </c>
      <c r="EA2" s="27" t="str">
        <f t="shared" si="1"/>
        <v>SpainPor</v>
      </c>
      <c r="EB2" s="27" t="str">
        <f t="shared" si="1"/>
        <v>SweFinDen</v>
      </c>
      <c r="EC2" s="27" t="str">
        <f t="shared" si="1"/>
        <v>Switzerland</v>
      </c>
      <c r="ED2" s="27" t="str">
        <f t="shared" si="1"/>
        <v>Turkey</v>
      </c>
      <c r="EE2" s="27" t="str">
        <f t="shared" si="1"/>
        <v>UK</v>
      </c>
      <c r="EF2" s="27" t="str">
        <f t="shared" si="1"/>
        <v>Ukraine</v>
      </c>
      <c r="EG2" s="27" t="str">
        <f t="shared" si="1"/>
        <v>WestBalkans</v>
      </c>
      <c r="EH2" s="27" t="str">
        <f t="shared" si="1"/>
        <v>\I:</v>
      </c>
      <c r="EI2" s="27" t="str">
        <f t="shared" si="1"/>
        <v>\I:</v>
      </c>
      <c r="EJ2" s="27" t="str">
        <f t="shared" si="1"/>
        <v>\I:</v>
      </c>
      <c r="EK2" s="27" t="str">
        <f t="shared" si="1"/>
        <v>\I:</v>
      </c>
      <c r="EL2" s="27" t="str">
        <f t="shared" si="1"/>
        <v>\I:</v>
      </c>
      <c r="EM2" s="27" t="str">
        <f t="shared" si="1"/>
        <v>\I:</v>
      </c>
      <c r="EN2" s="27" t="str">
        <f t="shared" si="1"/>
        <v>\I:</v>
      </c>
      <c r="EO2" s="27" t="str">
        <f t="shared" si="1"/>
        <v>\I:</v>
      </c>
      <c r="EP2" s="27" t="str">
        <f t="shared" si="1"/>
        <v>\I:</v>
      </c>
      <c r="EQ2" s="27" t="str">
        <f t="shared" si="1"/>
        <v>\I:</v>
      </c>
      <c r="ER2" s="27" t="str">
        <f t="shared" si="1"/>
        <v>\I:</v>
      </c>
      <c r="EV2" t="s">
        <v>157</v>
      </c>
    </row>
    <row r="3" spans="1:152">
      <c r="A3">
        <v>1</v>
      </c>
      <c r="B3" t="str">
        <f>VLOOKUP(F3,'TRA balance'!$BA$5:$BB$14,2,FALSE)</f>
        <v>TRACOA</v>
      </c>
      <c r="C3" s="6" t="str">
        <f>LEFT(G3,2)</f>
        <v>TT</v>
      </c>
      <c r="D3" s="7" t="s">
        <v>17</v>
      </c>
      <c r="E3" s="7" t="s">
        <v>53</v>
      </c>
      <c r="F3" s="8" t="s">
        <v>54</v>
      </c>
      <c r="G3" s="6" t="s">
        <v>55</v>
      </c>
      <c r="H3" s="9">
        <f ca="1">OFFSET(TIAM15_assumptions!$G3,0,MATCH(VLOOKUP(Assumptions!H$2,TIAM15_assumptions!$Y$3:$Z$87,2,FALSE),TIAM15_assumptions!$H$2:$V$2,0))</f>
        <v>0.8</v>
      </c>
      <c r="I3" s="9">
        <f ca="1">OFFSET(TIAM15_assumptions!$G3,0,MATCH(VLOOKUP(Assumptions!I$2,TIAM15_assumptions!$Y$3:$Z$87,2,FALSE),TIAM15_assumptions!$H$2:$V$2,0))</f>
        <v>0.8</v>
      </c>
      <c r="J3" s="9">
        <f ca="1">OFFSET(TIAM15_assumptions!$G3,0,MATCH(VLOOKUP(Assumptions!J$2,TIAM15_assumptions!$Y$3:$Z$87,2,FALSE),TIAM15_assumptions!$H$2:$V$2,0))</f>
        <v>0.9</v>
      </c>
      <c r="K3" s="9">
        <f ca="1">OFFSET(TIAM15_assumptions!$G3,0,MATCH(VLOOKUP(Assumptions!K$2,TIAM15_assumptions!$Y$3:$Z$87,2,FALSE),TIAM15_assumptions!$H$2:$V$2,0))</f>
        <v>1</v>
      </c>
      <c r="L3" s="9">
        <f ca="1">OFFSET(TIAM15_assumptions!$G3,0,MATCH(VLOOKUP(Assumptions!L$2,TIAM15_assumptions!$Y$3:$Z$87,2,FALSE),TIAM15_assumptions!$H$2:$V$2,0))</f>
        <v>0.8</v>
      </c>
      <c r="M3" s="9">
        <f ca="1">OFFSET(TIAM15_assumptions!$G3,0,MATCH(VLOOKUP(Assumptions!M$2,TIAM15_assumptions!$Y$3:$Z$87,2,FALSE),TIAM15_assumptions!$H$2:$V$2,0))</f>
        <v>1</v>
      </c>
      <c r="N3" s="9">
        <f ca="1">OFFSET(TIAM15_assumptions!$G3,0,MATCH(VLOOKUP(Assumptions!N$2,TIAM15_assumptions!$Y$3:$Z$87,2,FALSE),TIAM15_assumptions!$H$2:$V$2,0))</f>
        <v>1</v>
      </c>
      <c r="O3" s="9">
        <f ca="1">OFFSET(TIAM15_assumptions!$G3,0,MATCH(VLOOKUP(Assumptions!O$2,TIAM15_assumptions!$Y$3:$Z$87,2,FALSE),TIAM15_assumptions!$H$2:$V$2,0))</f>
        <v>0.75</v>
      </c>
      <c r="P3" s="9">
        <f ca="1">OFFSET(TIAM15_assumptions!$G3,0,MATCH(VLOOKUP(Assumptions!P$2,TIAM15_assumptions!$Y$3:$Z$87,2,FALSE),TIAM15_assumptions!$H$2:$V$2,0))</f>
        <v>0.8</v>
      </c>
      <c r="Q3" s="9">
        <f ca="1">OFFSET(TIAM15_assumptions!$G3,0,MATCH(VLOOKUP(Assumptions!Q$2,TIAM15_assumptions!$Y$3:$Z$87,2,FALSE),TIAM15_assumptions!$H$2:$V$2,0))</f>
        <v>0.8</v>
      </c>
      <c r="R3" s="9">
        <f ca="1">OFFSET(TIAM15_assumptions!$G3,0,MATCH(VLOOKUP(Assumptions!R$2,TIAM15_assumptions!$Y$3:$Z$87,2,FALSE),TIAM15_assumptions!$H$2:$V$2,0))</f>
        <v>1</v>
      </c>
      <c r="S3" s="9">
        <f ca="1">OFFSET(TIAM15_assumptions!$G3,0,MATCH(VLOOKUP(Assumptions!S$2,TIAM15_assumptions!$Y$3:$Z$87,2,FALSE),TIAM15_assumptions!$H$2:$V$2,0))</f>
        <v>1</v>
      </c>
      <c r="T3" s="9">
        <f ca="1">OFFSET(TIAM15_assumptions!$G3,0,MATCH(VLOOKUP(Assumptions!T$2,TIAM15_assumptions!$Y$3:$Z$87,2,FALSE),TIAM15_assumptions!$H$2:$V$2,0))</f>
        <v>1</v>
      </c>
      <c r="U3" s="9">
        <f ca="1">OFFSET(TIAM15_assumptions!$G3,0,MATCH(VLOOKUP(Assumptions!U$2,TIAM15_assumptions!$Y$3:$Z$87,2,FALSE),TIAM15_assumptions!$H$2:$V$2,0))</f>
        <v>0.8</v>
      </c>
      <c r="V3" s="9">
        <f ca="1">OFFSET(TIAM15_assumptions!$G3,0,MATCH(VLOOKUP(Assumptions!V$2,TIAM15_assumptions!$Y$3:$Z$87,2,FALSE),TIAM15_assumptions!$H$2:$V$2,0))</f>
        <v>1</v>
      </c>
      <c r="W3" s="9">
        <f ca="1">OFFSET(TIAM15_assumptions!$G3,0,MATCH(VLOOKUP(Assumptions!W$2,TIAM15_assumptions!$Y$3:$Z$87,2,FALSE),TIAM15_assumptions!$H$2:$V$2,0))</f>
        <v>0.8</v>
      </c>
      <c r="X3" s="9">
        <f ca="1">OFFSET(TIAM15_assumptions!$G3,0,MATCH(VLOOKUP(Assumptions!X$2,TIAM15_assumptions!$Y$3:$Z$87,2,FALSE),TIAM15_assumptions!$H$2:$V$2,0))</f>
        <v>1</v>
      </c>
      <c r="Y3" s="9">
        <f ca="1">OFFSET(TIAM15_assumptions!$G3,0,MATCH(VLOOKUP(Assumptions!Y$2,TIAM15_assumptions!$Y$3:$Z$87,2,FALSE),TIAM15_assumptions!$H$2:$V$2,0))</f>
        <v>1</v>
      </c>
      <c r="Z3" s="9">
        <f ca="1">OFFSET(TIAM15_assumptions!$G3,0,MATCH(VLOOKUP(Assumptions!Z$2,TIAM15_assumptions!$Y$3:$Z$87,2,FALSE),TIAM15_assumptions!$H$2:$V$2,0))</f>
        <v>7.0000000000000007E-2</v>
      </c>
      <c r="AA3" s="9">
        <f ca="1">OFFSET(TIAM15_assumptions!$G3,0,MATCH(VLOOKUP(Assumptions!AA$2,TIAM15_assumptions!$Y$3:$Z$87,2,FALSE),TIAM15_assumptions!$H$2:$V$2,0))</f>
        <v>1</v>
      </c>
      <c r="AB3" s="9">
        <f ca="1">OFFSET(TIAM15_assumptions!$G3,0,MATCH(VLOOKUP(Assumptions!AB$2,TIAM15_assumptions!$Y$3:$Z$87,2,FALSE),TIAM15_assumptions!$H$2:$V$2,0))</f>
        <v>0.8</v>
      </c>
      <c r="AC3" s="9">
        <f ca="1">OFFSET(TIAM15_assumptions!$G3,0,MATCH(VLOOKUP(Assumptions!AC$2,TIAM15_assumptions!$Y$3:$Z$87,2,FALSE),TIAM15_assumptions!$H$2:$V$2,0))</f>
        <v>0.8</v>
      </c>
      <c r="AD3" s="9">
        <f ca="1">OFFSET(TIAM15_assumptions!$G3,0,MATCH(VLOOKUP(Assumptions!AD$2,TIAM15_assumptions!$Y$3:$Z$87,2,FALSE),TIAM15_assumptions!$H$2:$V$2,0))</f>
        <v>1</v>
      </c>
      <c r="AE3" s="9">
        <f ca="1">OFFSET(TIAM15_assumptions!$G3,0,MATCH(VLOOKUP(Assumptions!AE$2,TIAM15_assumptions!$Y$3:$Z$87,2,FALSE),TIAM15_assumptions!$H$2:$V$2,0))</f>
        <v>0.8</v>
      </c>
      <c r="AF3" s="9">
        <f ca="1">OFFSET(TIAM15_assumptions!$G3,0,MATCH(VLOOKUP(Assumptions!AF$2,TIAM15_assumptions!$Y$3:$Z$87,2,FALSE),TIAM15_assumptions!$H$2:$V$2,0))</f>
        <v>0.8</v>
      </c>
      <c r="AG3" s="9">
        <f ca="1">OFFSET(TIAM15_assumptions!$G3,0,MATCH(VLOOKUP(Assumptions!AG$2,TIAM15_assumptions!$Y$3:$Z$87,2,FALSE),TIAM15_assumptions!$H$2:$V$2,0))</f>
        <v>0.8</v>
      </c>
      <c r="AH3" s="9">
        <f ca="1">OFFSET(TIAM15_assumptions!$G3,0,MATCH(VLOOKUP(Assumptions!AH$2,TIAM15_assumptions!$Y$3:$Z$87,2,FALSE),TIAM15_assumptions!$H$2:$V$2,0))</f>
        <v>0.8</v>
      </c>
      <c r="AI3" s="9">
        <f ca="1">OFFSET(TIAM15_assumptions!$G3,0,MATCH(VLOOKUP(Assumptions!AI$2,TIAM15_assumptions!$Y$3:$Z$87,2,FALSE),TIAM15_assumptions!$H$2:$V$2,0))</f>
        <v>0.8</v>
      </c>
      <c r="AJ3" s="9">
        <f ca="1">OFFSET(TIAM15_assumptions!$G3,0,MATCH(VLOOKUP(Assumptions!AJ$2,TIAM15_assumptions!$Y$3:$Z$87,2,FALSE),TIAM15_assumptions!$H$2:$V$2,0))</f>
        <v>1</v>
      </c>
      <c r="AK3" s="9">
        <f ca="1">OFFSET(TIAM15_assumptions!$G3,0,MATCH(VLOOKUP(Assumptions!AK$2,TIAM15_assumptions!$Y$3:$Z$87,2,FALSE),TIAM15_assumptions!$H$2:$V$2,0))</f>
        <v>1</v>
      </c>
      <c r="AL3" s="9">
        <f ca="1">OFFSET(TIAM15_assumptions!$G3,0,MATCH(VLOOKUP(Assumptions!AL$2,TIAM15_assumptions!$Y$3:$Z$87,2,FALSE),TIAM15_assumptions!$H$2:$V$2,0))</f>
        <v>1</v>
      </c>
      <c r="AM3" s="9">
        <f ca="1">OFFSET(TIAM15_assumptions!$G3,0,MATCH(VLOOKUP(Assumptions!AM$2,TIAM15_assumptions!$Y$3:$Z$87,2,FALSE),TIAM15_assumptions!$H$2:$V$2,0))</f>
        <v>0.8</v>
      </c>
      <c r="AN3" s="9">
        <f ca="1">OFFSET(TIAM15_assumptions!$G3,0,MATCH(VLOOKUP(Assumptions!AN$2,TIAM15_assumptions!$Y$3:$Z$87,2,FALSE),TIAM15_assumptions!$H$2:$V$2,0))</f>
        <v>1</v>
      </c>
      <c r="AO3" s="9">
        <f ca="1">OFFSET(TIAM15_assumptions!$G3,0,MATCH(VLOOKUP(Assumptions!AO$2,TIAM15_assumptions!$Y$3:$Z$87,2,FALSE),TIAM15_assumptions!$H$2:$V$2,0))</f>
        <v>0.8</v>
      </c>
      <c r="AP3" s="9">
        <f ca="1">OFFSET(TIAM15_assumptions!$G3,0,MATCH(VLOOKUP(Assumptions!AP$2,TIAM15_assumptions!$Y$3:$Z$87,2,FALSE),TIAM15_assumptions!$H$2:$V$2,0))</f>
        <v>0.8</v>
      </c>
      <c r="AQ3" s="9">
        <f ca="1">OFFSET(TIAM15_assumptions!$G3,0,MATCH(VLOOKUP(Assumptions!AQ$2,TIAM15_assumptions!$Y$3:$Z$87,2,FALSE),TIAM15_assumptions!$H$2:$V$2,0))</f>
        <v>0.8</v>
      </c>
      <c r="AR3" s="9">
        <f ca="1">OFFSET(TIAM15_assumptions!$G3,0,MATCH(VLOOKUP(Assumptions!AR$2,TIAM15_assumptions!$Y$3:$Z$87,2,FALSE),TIAM15_assumptions!$H$2:$V$2,0))</f>
        <v>0.8</v>
      </c>
      <c r="AS3" s="9">
        <f ca="1">OFFSET(TIAM15_assumptions!$G3,0,MATCH(VLOOKUP(Assumptions!AS$2,TIAM15_assumptions!$Y$3:$Z$87,2,FALSE),TIAM15_assumptions!$H$2:$V$2,0))</f>
        <v>0.8</v>
      </c>
      <c r="AT3" s="9">
        <f ca="1">OFFSET(TIAM15_assumptions!$G3,0,MATCH(VLOOKUP(Assumptions!AT$2,TIAM15_assumptions!$Y$3:$Z$87,2,FALSE),TIAM15_assumptions!$H$2:$V$2,0))</f>
        <v>0.8</v>
      </c>
      <c r="AU3" s="9">
        <f ca="1">OFFSET(TIAM15_assumptions!$G3,0,MATCH(VLOOKUP(Assumptions!AU$2,TIAM15_assumptions!$Y$3:$Z$87,2,FALSE),TIAM15_assumptions!$H$2:$V$2,0))</f>
        <v>0.8</v>
      </c>
      <c r="AV3" s="9">
        <f ca="1">OFFSET(TIAM15_assumptions!$G3,0,MATCH(VLOOKUP(Assumptions!AV$2,TIAM15_assumptions!$Y$3:$Z$87,2,FALSE),TIAM15_assumptions!$H$2:$V$2,0))</f>
        <v>0.8</v>
      </c>
      <c r="AW3" s="9">
        <f ca="1">OFFSET(TIAM15_assumptions!$G3,0,MATCH(VLOOKUP(Assumptions!AW$2,TIAM15_assumptions!$Y$3:$Z$87,2,FALSE),TIAM15_assumptions!$H$2:$V$2,0))</f>
        <v>0.8</v>
      </c>
      <c r="AX3" s="9">
        <f ca="1">OFFSET(TIAM15_assumptions!$G3,0,MATCH(VLOOKUP(Assumptions!AX$2,TIAM15_assumptions!$Y$3:$Z$87,2,FALSE),TIAM15_assumptions!$H$2:$V$2,0))</f>
        <v>0.8</v>
      </c>
      <c r="AY3" s="9">
        <f ca="1">OFFSET(TIAM15_assumptions!$G3,0,MATCH(VLOOKUP(Assumptions!AY$2,TIAM15_assumptions!$Y$3:$Z$87,2,FALSE),TIAM15_assumptions!$H$2:$V$2,0))</f>
        <v>0.8</v>
      </c>
      <c r="AZ3" s="9">
        <f ca="1">OFFSET(TIAM15_assumptions!$G3,0,MATCH(VLOOKUP(Assumptions!AZ$2,TIAM15_assumptions!$Y$3:$Z$87,2,FALSE),TIAM15_assumptions!$H$2:$V$2,0))</f>
        <v>0.8</v>
      </c>
      <c r="BA3" s="9">
        <f ca="1">OFFSET(TIAM15_assumptions!$G3,0,MATCH(VLOOKUP(Assumptions!BA$2,TIAM15_assumptions!$Y$3:$Z$87,2,FALSE),TIAM15_assumptions!$H$2:$V$2,0))</f>
        <v>0.8</v>
      </c>
      <c r="BD3" s="34">
        <f ca="1">IFERROR(SUMIFS('TRA balance'!E$5:E$40,'TRA balance'!$C$5:$C$40,Assumptions!$C3,'TRA balance'!$D$5:$D$40,Assumptions!$B3)*CY3*H3,"")</f>
        <v>0</v>
      </c>
      <c r="BE3" s="34">
        <f ca="1">IFERROR(SUMIFS('TRA balance'!F$5:F$40,'TRA balance'!$C$5:$C$40,Assumptions!$C3,'TRA balance'!$D$5:$D$40,Assumptions!$B3)*CZ3*I3,"")</f>
        <v>0.11692560096</v>
      </c>
      <c r="BF3" s="34">
        <f ca="1">IFERROR(SUMIFS('TRA balance'!G$5:G$40,'TRA balance'!$C$5:$C$40,Assumptions!$C3,'TRA balance'!$D$5:$D$40,Assumptions!$B3)*DA3*J3,"")</f>
        <v>0</v>
      </c>
      <c r="BG3" s="34">
        <f ca="1">IFERROR(SUMIFS('TRA balance'!H$5:H$40,'TRA balance'!$C$5:$C$40,Assumptions!$C3,'TRA balance'!$D$5:$D$40,Assumptions!$B3)*DB3*K3,"")</f>
        <v>4.2998435999999996E-3</v>
      </c>
      <c r="BH3" s="34">
        <f ca="1">IFERROR(SUMIFS('TRA balance'!I$5:I$40,'TRA balance'!$C$5:$C$40,Assumptions!$C3,'TRA balance'!$D$5:$D$40,Assumptions!$B3)*DC3*L3,"")</f>
        <v>0</v>
      </c>
      <c r="BI3" s="34">
        <f ca="1">IFERROR(SUMIFS('TRA balance'!J$5:J$40,'TRA balance'!$C$5:$C$40,Assumptions!$C3,'TRA balance'!$D$5:$D$40,Assumptions!$B3)*DD3*M3,"")</f>
        <v>2.6293103999999999E-3</v>
      </c>
      <c r="BJ3" s="34">
        <f ca="1">IFERROR(SUMIFS('TRA balance'!K$5:K$40,'TRA balance'!$C$5:$C$40,Assumptions!$C3,'TRA balance'!$D$5:$D$40,Assumptions!$B3)*DE3*N3,"")</f>
        <v>0</v>
      </c>
      <c r="BK3" s="34">
        <f ca="1">IFERROR(SUMIFS('TRA balance'!L$5:L$40,'TRA balance'!$C$5:$C$40,Assumptions!$C3,'TRA balance'!$D$5:$D$40,Assumptions!$B3)*DF3*O3,"")</f>
        <v>0</v>
      </c>
      <c r="BL3" s="34">
        <f ca="1">IFERROR(SUMIFS('TRA balance'!M$5:M$40,'TRA balance'!$C$5:$C$40,Assumptions!$C3,'TRA balance'!$D$5:$D$40,Assumptions!$B3)*DG3*P3,"")</f>
        <v>3.4398748799999998E-3</v>
      </c>
      <c r="BM3" s="34">
        <f ca="1">IFERROR(SUMIFS('TRA balance'!N$5:N$40,'TRA balance'!$C$5:$C$40,Assumptions!$C3,'TRA balance'!$D$5:$D$40,Assumptions!$B3)*DH3*Q3,"")</f>
        <v>1.0530639360000002E-2</v>
      </c>
      <c r="BN3" s="34">
        <f ca="1">IFERROR(SUMIFS('TRA balance'!O$5:O$40,'TRA balance'!$C$5:$C$40,Assumptions!$C3,'TRA balance'!$D$5:$D$40,Assumptions!$B3)*DI3*R3,"")</f>
        <v>0</v>
      </c>
      <c r="BO3" s="34">
        <f ca="1">IFERROR(SUMIFS('TRA balance'!P$5:P$40,'TRA balance'!$C$5:$C$40,Assumptions!$C3,'TRA balance'!$D$5:$D$40,Assumptions!$B3)*DJ3*S3,"")</f>
        <v>0</v>
      </c>
      <c r="BP3" s="34">
        <f ca="1">IFERROR(SUMIFS('TRA balance'!Q$5:Q$40,'TRA balance'!$C$5:$C$40,Assumptions!$C3,'TRA balance'!$D$5:$D$40,Assumptions!$B3)*DK3*T3,"")</f>
        <v>0</v>
      </c>
      <c r="BQ3" s="34">
        <f ca="1">IFERROR(SUMIFS('TRA balance'!R$5:R$40,'TRA balance'!$C$5:$C$40,Assumptions!$C3,'TRA balance'!$D$5:$D$40,Assumptions!$B3)*DL3*U3,"")</f>
        <v>0</v>
      </c>
      <c r="BR3" s="34">
        <f ca="1">IFERROR(SUMIFS('TRA balance'!S$5:S$40,'TRA balance'!$C$5:$C$40,Assumptions!$C3,'TRA balance'!$D$5:$D$40,Assumptions!$B3)*DM3*V3,"")</f>
        <v>0</v>
      </c>
      <c r="BS3" s="34">
        <f ca="1">IFERROR(SUMIFS('TRA balance'!T$5:T$40,'TRA balance'!$C$5:$C$40,Assumptions!$C3,'TRA balance'!$D$5:$D$40,Assumptions!$B3)*DN3*W3,"")</f>
        <v>0</v>
      </c>
      <c r="BT3" s="34">
        <f ca="1">IFERROR(SUMIFS('TRA balance'!U$5:U$40,'TRA balance'!$C$5:$C$40,Assumptions!$C3,'TRA balance'!$D$5:$D$40,Assumptions!$B3)*DO3*X3,"")</f>
        <v>0</v>
      </c>
      <c r="BU3" s="34">
        <f ca="1">IFERROR(SUMIFS('TRA balance'!V$5:V$40,'TRA balance'!$C$5:$C$40,Assumptions!$C3,'TRA balance'!$D$5:$D$40,Assumptions!$B3)*DP3*Y3,"")</f>
        <v>0</v>
      </c>
      <c r="BV3" s="34">
        <f ca="1">IFERROR(SUMIFS('TRA balance'!W$5:W$40,'TRA balance'!$C$5:$C$40,Assumptions!$C3,'TRA balance'!$D$5:$D$40,Assumptions!$B3)*DQ3*Z3,"")</f>
        <v>2.5192812960000001E-3</v>
      </c>
      <c r="BW3" s="34">
        <f ca="1">IFERROR(SUMIFS('TRA balance'!X$5:X$40,'TRA balance'!$C$5:$C$40,Assumptions!$C3,'TRA balance'!$D$5:$D$40,Assumptions!$B3)*DR3*AA3,"")</f>
        <v>0</v>
      </c>
      <c r="BX3" s="34">
        <f ca="1">IFERROR(SUMIFS('TRA balance'!Y$5:Y$40,'TRA balance'!$C$5:$C$40,Assumptions!$C3,'TRA balance'!$D$5:$D$40,Assumptions!$B3)*DS3*AB3,"")</f>
        <v>0</v>
      </c>
      <c r="BY3" s="34">
        <f ca="1">IFERROR(SUMIFS('TRA balance'!Z$5:Z$40,'TRA balance'!$C$5:$C$40,Assumptions!$C3,'TRA balance'!$D$5:$D$40,Assumptions!$B3)*DT3*AC3,"")</f>
        <v>0</v>
      </c>
      <c r="BZ3" s="34">
        <f ca="1">IFERROR(SUMIFS('TRA balance'!AA$5:AA$40,'TRA balance'!$C$5:$C$40,Assumptions!$C3,'TRA balance'!$D$5:$D$40,Assumptions!$B3)*DU3*AD3,"")</f>
        <v>0</v>
      </c>
      <c r="CA3" s="34">
        <f ca="1">IFERROR(SUMIFS('TRA balance'!AB$5:AB$40,'TRA balance'!$C$5:$C$40,Assumptions!$C3,'TRA balance'!$D$5:$D$40,Assumptions!$B3)*DV3*AE3,"")</f>
        <v>0</v>
      </c>
      <c r="CB3" s="34">
        <f ca="1">IFERROR(SUMIFS('TRA balance'!AC$5:AC$40,'TRA balance'!$C$5:$C$40,Assumptions!$C3,'TRA balance'!$D$5:$D$40,Assumptions!$B3)*DW3*AF3,"")</f>
        <v>1.16939668608</v>
      </c>
      <c r="CC3" s="34">
        <f ca="1">IFERROR(SUMIFS('TRA balance'!AD$5:AD$40,'TRA balance'!$C$5:$C$40,Assumptions!$C3,'TRA balance'!$D$5:$D$40,Assumptions!$B3)*DX3*AG3,"")</f>
        <v>0.19401966144000002</v>
      </c>
      <c r="CD3" s="34">
        <f ca="1">IFERROR(SUMIFS('TRA balance'!AE$5:AE$40,'TRA balance'!$C$5:$C$40,Assumptions!$C3,'TRA balance'!$D$5:$D$40,Assumptions!$B3)*DY3*AH3,"")</f>
        <v>0</v>
      </c>
      <c r="CE3" s="34">
        <f ca="1">IFERROR(SUMIFS('TRA balance'!AF$5:AF$40,'TRA balance'!$C$5:$C$40,Assumptions!$C3,'TRA balance'!$D$5:$D$40,Assumptions!$B3)*DZ3*AI3,"")</f>
        <v>0</v>
      </c>
      <c r="CF3" s="34">
        <f ca="1">IFERROR(SUMIFS('TRA balance'!AG$5:AG$40,'TRA balance'!$C$5:$C$40,Assumptions!$C3,'TRA balance'!$D$5:$D$40,Assumptions!$B3)*EA3*AJ3,"")</f>
        <v>0</v>
      </c>
      <c r="CG3" s="34">
        <f ca="1">IFERROR(SUMIFS('TRA balance'!AH$5:AH$40,'TRA balance'!$C$5:$C$40,Assumptions!$C3,'TRA balance'!$D$5:$D$40,Assumptions!$B3)*EB3*AK3,"")</f>
        <v>0</v>
      </c>
      <c r="CH3" s="34">
        <f ca="1">IFERROR(SUMIFS('TRA balance'!AI$5:AI$40,'TRA balance'!$C$5:$C$40,Assumptions!$C3,'TRA balance'!$D$5:$D$40,Assumptions!$B3)*EC3*AL3,"")</f>
        <v>0</v>
      </c>
      <c r="CI3" s="34">
        <f ca="1">IFERROR(SUMIFS('TRA balance'!AJ$5:AJ$40,'TRA balance'!$C$5:$C$40,Assumptions!$C3,'TRA balance'!$D$5:$D$40,Assumptions!$B3)*ED3*AM3,"")</f>
        <v>0</v>
      </c>
      <c r="CJ3" s="34">
        <f ca="1">IFERROR(SUMIFS('TRA balance'!AK$5:AK$40,'TRA balance'!$C$5:$C$40,Assumptions!$C3,'TRA balance'!$D$5:$D$40,Assumptions!$B3)*EE3*AN3,"")</f>
        <v>0.41068321200000002</v>
      </c>
      <c r="CK3" s="34">
        <f ca="1">IFERROR(SUMIFS('TRA balance'!AL$5:AL$40,'TRA balance'!$C$5:$C$40,Assumptions!$C3,'TRA balance'!$D$5:$D$40,Assumptions!$B3)*EF3*AO3,"")</f>
        <v>0.15827778720000002</v>
      </c>
      <c r="CL3" s="34">
        <f ca="1">IFERROR(SUMIFS('TRA balance'!AM$5:AM$40,'TRA balance'!$C$5:$C$40,Assumptions!$C3,'TRA balance'!$D$5:$D$40,Assumptions!$B3)*EG3*AP3,"")</f>
        <v>0</v>
      </c>
      <c r="CM3" s="34">
        <f ca="1">IFERROR(SUMIFS('TRA balance'!AN$5:AN$40,'TRA balance'!$C$5:$C$40,Assumptions!$C3,'TRA balance'!$D$5:$D$40,Assumptions!$B3)*EH3*AQ3,"")</f>
        <v>0</v>
      </c>
      <c r="CN3" s="34">
        <f ca="1">IFERROR(SUMIFS('TRA balance'!AO$5:AO$40,'TRA balance'!$C$5:$C$40,Assumptions!$C3,'TRA balance'!$D$5:$D$40,Assumptions!$B3)*EI3*AR3,"")</f>
        <v>0</v>
      </c>
      <c r="CO3" s="34">
        <f ca="1">IFERROR(SUMIFS('TRA balance'!AP$5:AP$40,'TRA balance'!$C$5:$C$40,Assumptions!$C3,'TRA balance'!$D$5:$D$40,Assumptions!$B3)*EJ3*AS3,"")</f>
        <v>0</v>
      </c>
      <c r="CP3" s="34">
        <f ca="1">IFERROR(SUMIFS('TRA balance'!AQ$5:AQ$40,'TRA balance'!$C$5:$C$40,Assumptions!$C3,'TRA balance'!$D$5:$D$40,Assumptions!$B3)*EK3*AT3,"")</f>
        <v>0</v>
      </c>
      <c r="CQ3" s="34">
        <f ca="1">IFERROR(SUMIFS('TRA balance'!AR$5:AR$40,'TRA balance'!$C$5:$C$40,Assumptions!$C3,'TRA balance'!$D$5:$D$40,Assumptions!$B3)*EL3*AU3,"")</f>
        <v>0</v>
      </c>
      <c r="CR3" s="34">
        <f ca="1">IFERROR(SUMIFS('TRA balance'!AS$5:AS$40,'TRA balance'!$C$5:$C$40,Assumptions!$C3,'TRA balance'!$D$5:$D$40,Assumptions!$B3)*EM3*AV3,"")</f>
        <v>0</v>
      </c>
      <c r="CS3" s="34">
        <f ca="1">IFERROR(SUMIFS('TRA balance'!AT$5:AT$40,'TRA balance'!$C$5:$C$40,Assumptions!$C3,'TRA balance'!$D$5:$D$40,Assumptions!$B3)*EN3*AW3,"")</f>
        <v>0</v>
      </c>
      <c r="CT3" s="34">
        <f ca="1">IFERROR(SUMIFS('TRA balance'!AU$5:AU$40,'TRA balance'!$C$5:$C$40,Assumptions!$C3,'TRA balance'!$D$5:$D$40,Assumptions!$B3)*EO3*AX3,"")</f>
        <v>0</v>
      </c>
      <c r="CU3" s="34">
        <f ca="1">IFERROR(SUMIFS('TRA balance'!AV$5:AV$40,'TRA balance'!$C$5:$C$40,Assumptions!$C3,'TRA balance'!$D$5:$D$40,Assumptions!$B3)*EP3*AY3,"")</f>
        <v>0</v>
      </c>
      <c r="CV3" s="34">
        <f ca="1">IFERROR(SUMIFS('TRA balance'!AW$5:AW$40,'TRA balance'!$C$5:$C$40,Assumptions!$C3,'TRA balance'!$D$5:$D$40,Assumptions!$B3)*EQ3*AZ3,"")</f>
        <v>0</v>
      </c>
      <c r="CW3" s="34">
        <f ca="1">IFERROR(SUMIFS('TRA balance'!AX$5:AX$40,'TRA balance'!$C$5:$C$40,Assumptions!$C3,'TRA balance'!$D$5:$D$40,Assumptions!$B3)*ER3*BA3,"")</f>
        <v>0</v>
      </c>
      <c r="CY3" s="33">
        <f t="shared" ref="CY3:CY34" si="2">IF($C3="TR",SUMIFS(H$3:H$103,$B$3:$B$103,$B3,$C$3:$C$103,$A3),1)</f>
        <v>1</v>
      </c>
      <c r="CZ3" s="33">
        <f t="shared" ref="CZ3:CZ66" si="3">IF($C3="TR",SUMIFS(I$3:I$103,$B$3:$B$103,$B3,$C$3:$C$103,$A3),1)</f>
        <v>1</v>
      </c>
      <c r="DA3" s="33">
        <f t="shared" ref="DA3:DA66" si="4">IF($C3="TR",SUMIFS(J$3:J$103,$B$3:$B$103,$B3,$C$3:$C$103,$A3),1)</f>
        <v>1</v>
      </c>
      <c r="DB3" s="33">
        <f t="shared" ref="DB3:DB66" si="5">IF($C3="TR",SUMIFS(K$3:K$103,$B$3:$B$103,$B3,$C$3:$C$103,$A3),1)</f>
        <v>1</v>
      </c>
      <c r="DC3" s="33">
        <f t="shared" ref="DC3:DC66" si="6">IF($C3="TR",SUMIFS(L$3:L$103,$B$3:$B$103,$B3,$C$3:$C$103,$A3),1)</f>
        <v>1</v>
      </c>
      <c r="DD3" s="33">
        <f t="shared" ref="DD3:DD66" si="7">IF($C3="TR",SUMIFS(M$3:M$103,$B$3:$B$103,$B3,$C$3:$C$103,$A3),1)</f>
        <v>1</v>
      </c>
      <c r="DE3" s="33">
        <f t="shared" ref="DE3:DE66" si="8">IF($C3="TR",SUMIFS(N$3:N$103,$B$3:$B$103,$B3,$C$3:$C$103,$A3),1)</f>
        <v>1</v>
      </c>
      <c r="DF3" s="33">
        <f t="shared" ref="DF3:DF66" si="9">IF($C3="TR",SUMIFS(O$3:O$103,$B$3:$B$103,$B3,$C$3:$C$103,$A3),1)</f>
        <v>1</v>
      </c>
      <c r="DG3" s="33">
        <f t="shared" ref="DG3:DG66" si="10">IF($C3="TR",SUMIFS(P$3:P$103,$B$3:$B$103,$B3,$C$3:$C$103,$A3),1)</f>
        <v>1</v>
      </c>
      <c r="DH3" s="33">
        <f t="shared" ref="DH3:DH66" si="11">IF($C3="TR",SUMIFS(Q$3:Q$103,$B$3:$B$103,$B3,$C$3:$C$103,$A3),1)</f>
        <v>1</v>
      </c>
      <c r="DI3" s="33">
        <f t="shared" ref="DI3:DI66" si="12">IF($C3="TR",SUMIFS(R$3:R$103,$B$3:$B$103,$B3,$C$3:$C$103,$A3),1)</f>
        <v>1</v>
      </c>
      <c r="DJ3" s="33">
        <f t="shared" ref="DJ3:DJ66" si="13">IF($C3="TR",SUMIFS(S$3:S$103,$B$3:$B$103,$B3,$C$3:$C$103,$A3),1)</f>
        <v>1</v>
      </c>
      <c r="DK3" s="33">
        <f t="shared" ref="DK3:DK66" si="14">IF($C3="TR",SUMIFS(T$3:T$103,$B$3:$B$103,$B3,$C$3:$C$103,$A3),1)</f>
        <v>1</v>
      </c>
      <c r="DL3" s="33">
        <f t="shared" ref="DL3:DL66" si="15">IF($C3="TR",SUMIFS(U$3:U$103,$B$3:$B$103,$B3,$C$3:$C$103,$A3),1)</f>
        <v>1</v>
      </c>
      <c r="DM3" s="33">
        <f t="shared" ref="DM3:DM66" si="16">IF($C3="TR",SUMIFS(V$3:V$103,$B$3:$B$103,$B3,$C$3:$C$103,$A3),1)</f>
        <v>1</v>
      </c>
      <c r="DN3" s="33">
        <f t="shared" ref="DN3:DN66" si="17">IF($C3="TR",SUMIFS(W$3:W$103,$B$3:$B$103,$B3,$C$3:$C$103,$A3),1)</f>
        <v>1</v>
      </c>
      <c r="DO3" s="33">
        <f t="shared" ref="DO3:DO66" si="18">IF($C3="TR",SUMIFS(X$3:X$103,$B$3:$B$103,$B3,$C$3:$C$103,$A3),1)</f>
        <v>1</v>
      </c>
      <c r="DP3" s="33">
        <f t="shared" ref="DP3:DP66" si="19">IF($C3="TR",SUMIFS(Y$3:Y$103,$B$3:$B$103,$B3,$C$3:$C$103,$A3),1)</f>
        <v>1</v>
      </c>
      <c r="DQ3" s="33">
        <f t="shared" ref="DQ3:DQ66" si="20">IF($C3="TR",SUMIFS(Z$3:Z$103,$B$3:$B$103,$B3,$C$3:$C$103,$A3),1)</f>
        <v>1</v>
      </c>
      <c r="DR3" s="33">
        <f t="shared" ref="DR3:DR66" si="21">IF($C3="TR",SUMIFS(AA$3:AA$103,$B$3:$B$103,$B3,$C$3:$C$103,$A3),1)</f>
        <v>1</v>
      </c>
      <c r="DS3" s="33">
        <f t="shared" ref="DS3:DS66" si="22">IF($C3="TR",SUMIFS(AB$3:AB$103,$B$3:$B$103,$B3,$C$3:$C$103,$A3),1)</f>
        <v>1</v>
      </c>
      <c r="DT3" s="33">
        <f t="shared" ref="DT3:DT66" si="23">IF($C3="TR",SUMIFS(AC$3:AC$103,$B$3:$B$103,$B3,$C$3:$C$103,$A3),1)</f>
        <v>1</v>
      </c>
      <c r="DU3" s="33">
        <f t="shared" ref="DU3:DU66" si="24">IF($C3="TR",SUMIFS(AD$3:AD$103,$B$3:$B$103,$B3,$C$3:$C$103,$A3),1)</f>
        <v>1</v>
      </c>
      <c r="DV3" s="33">
        <f t="shared" ref="DV3:DV66" si="25">IF($C3="TR",SUMIFS(AE$3:AE$103,$B$3:$B$103,$B3,$C$3:$C$103,$A3),1)</f>
        <v>1</v>
      </c>
      <c r="DW3" s="33">
        <f t="shared" ref="DW3:DW66" si="26">IF($C3="TR",SUMIFS(AF$3:AF$103,$B$3:$B$103,$B3,$C$3:$C$103,$A3),1)</f>
        <v>1</v>
      </c>
      <c r="DX3" s="33">
        <f t="shared" ref="DX3:DX66" si="27">IF($C3="TR",SUMIFS(AG$3:AG$103,$B$3:$B$103,$B3,$C$3:$C$103,$A3),1)</f>
        <v>1</v>
      </c>
      <c r="DY3" s="33">
        <f t="shared" ref="DY3:DY66" si="28">IF($C3="TR",SUMIFS(AH$3:AH$103,$B$3:$B$103,$B3,$C$3:$C$103,$A3),1)</f>
        <v>1</v>
      </c>
      <c r="DZ3" s="33">
        <f t="shared" ref="DZ3:DZ66" si="29">IF($C3="TR",SUMIFS(AI$3:AI$103,$B$3:$B$103,$B3,$C$3:$C$103,$A3),1)</f>
        <v>1</v>
      </c>
      <c r="EA3" s="33">
        <f t="shared" ref="EA3:EA66" si="30">IF($C3="TR",SUMIFS(AJ$3:AJ$103,$B$3:$B$103,$B3,$C$3:$C$103,$A3),1)</f>
        <v>1</v>
      </c>
      <c r="EB3" s="33">
        <f t="shared" ref="EB3:EB66" si="31">IF($C3="TR",SUMIFS(AK$3:AK$103,$B$3:$B$103,$B3,$C$3:$C$103,$A3),1)</f>
        <v>1</v>
      </c>
      <c r="EC3" s="33">
        <f t="shared" ref="EC3:EC66" si="32">IF($C3="TR",SUMIFS(AL$3:AL$103,$B$3:$B$103,$B3,$C$3:$C$103,$A3),1)</f>
        <v>1</v>
      </c>
      <c r="ED3" s="33">
        <f t="shared" ref="ED3:ED66" si="33">IF($C3="TR",SUMIFS(AM$3:AM$103,$B$3:$B$103,$B3,$C$3:$C$103,$A3),1)</f>
        <v>1</v>
      </c>
      <c r="EE3" s="33">
        <f t="shared" ref="EE3:EE66" si="34">IF($C3="TR",SUMIFS(AN$3:AN$103,$B$3:$B$103,$B3,$C$3:$C$103,$A3),1)</f>
        <v>1</v>
      </c>
      <c r="EF3" s="33">
        <f t="shared" ref="EF3:EF66" si="35">IF($C3="TR",SUMIFS(AO$3:AO$103,$B$3:$B$103,$B3,$C$3:$C$103,$A3),1)</f>
        <v>1</v>
      </c>
      <c r="EG3" s="33">
        <f t="shared" ref="EG3:EG66" si="36">IF($C3="TR",SUMIFS(AP$3:AP$103,$B$3:$B$103,$B3,$C$3:$C$103,$A3),1)</f>
        <v>1</v>
      </c>
      <c r="EH3" s="33">
        <f t="shared" ref="EH3:EH66" si="37">IF($C3="TR",SUMIFS(AQ$3:AQ$103,$B$3:$B$103,$B3,$C$3:$C$103,$A3),1)</f>
        <v>1</v>
      </c>
      <c r="EI3" s="33">
        <f t="shared" ref="EI3:EI66" si="38">IF($C3="TR",SUMIFS(AR$3:AR$103,$B$3:$B$103,$B3,$C$3:$C$103,$A3),1)</f>
        <v>1</v>
      </c>
      <c r="EJ3" s="33">
        <f t="shared" ref="EJ3:EJ66" si="39">IF($C3="TR",SUMIFS(AS$3:AS$103,$B$3:$B$103,$B3,$C$3:$C$103,$A3),1)</f>
        <v>1</v>
      </c>
      <c r="EK3" s="33">
        <f t="shared" ref="EK3:EK66" si="40">IF($C3="TR",SUMIFS(AT$3:AT$103,$B$3:$B$103,$B3,$C$3:$C$103,$A3),1)</f>
        <v>1</v>
      </c>
      <c r="EL3" s="33">
        <f t="shared" ref="EL3:EL66" si="41">IF($C3="TR",SUMIFS(AU$3:AU$103,$B$3:$B$103,$B3,$C$3:$C$103,$A3),1)</f>
        <v>1</v>
      </c>
      <c r="EM3" s="33">
        <f t="shared" ref="EM3:EM66" si="42">IF($C3="TR",SUMIFS(AV$3:AV$103,$B$3:$B$103,$B3,$C$3:$C$103,$A3),1)</f>
        <v>1</v>
      </c>
      <c r="EN3" s="33">
        <f t="shared" ref="EN3:EN66" si="43">IF($C3="TR",SUMIFS(AW$3:AW$103,$B$3:$B$103,$B3,$C$3:$C$103,$A3),1)</f>
        <v>1</v>
      </c>
      <c r="EO3" s="33">
        <f t="shared" ref="EO3:EO66" si="44">IF($C3="TR",SUMIFS(AX$3:AX$103,$B$3:$B$103,$B3,$C$3:$C$103,$A3),1)</f>
        <v>1</v>
      </c>
      <c r="EP3" s="33">
        <f t="shared" ref="EP3:EP66" si="45">IF($C3="TR",SUMIFS(AY$3:AY$103,$B$3:$B$103,$B3,$C$3:$C$103,$A3),1)</f>
        <v>1</v>
      </c>
      <c r="EQ3" s="33">
        <f t="shared" ref="EQ3:EQ66" si="46">IF($C3="TR",SUMIFS(AZ$3:AZ$103,$B$3:$B$103,$B3,$C$3:$C$103,$A3),1)</f>
        <v>1</v>
      </c>
      <c r="ER3" s="33">
        <f t="shared" ref="ER3:ER66" si="47">IF($C3="TR",SUMIFS(BA$3:BA$103,$B$3:$B$103,$B3,$C$3:$C$103,$A3),1)</f>
        <v>1</v>
      </c>
      <c r="EU3" t="s">
        <v>72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6" t="str">
        <f t="shared" ref="C4:C67" si="48">LEFT(G4,2)</f>
        <v>TT</v>
      </c>
      <c r="D4" s="7" t="s">
        <v>17</v>
      </c>
      <c r="E4" s="7" t="s">
        <v>56</v>
      </c>
      <c r="F4" s="8" t="str">
        <f t="shared" ref="F4:F5" si="49">F3</f>
        <v>Coal</v>
      </c>
      <c r="G4" s="6" t="s">
        <v>57</v>
      </c>
      <c r="H4" s="9">
        <f ca="1">OFFSET(TIAM15_assumptions!$G4,0,MATCH(VLOOKUP(Assumptions!H$2,TIAM15_assumptions!$Y$3:$Z$87,2,FALSE),TIAM15_assumptions!$H$2:$V$2,0))</f>
        <v>0.2</v>
      </c>
      <c r="I4" s="9">
        <f ca="1">OFFSET(TIAM15_assumptions!$G4,0,MATCH(VLOOKUP(Assumptions!I$2,TIAM15_assumptions!$Y$3:$Z$87,2,FALSE),TIAM15_assumptions!$H$2:$V$2,0))</f>
        <v>0.2</v>
      </c>
      <c r="J4" s="9">
        <f ca="1">OFFSET(TIAM15_assumptions!$G4,0,MATCH(VLOOKUP(Assumptions!J$2,TIAM15_assumptions!$Y$3:$Z$87,2,FALSE),TIAM15_assumptions!$H$2:$V$2,0))</f>
        <v>0.1</v>
      </c>
      <c r="K4" s="9">
        <f ca="1">OFFSET(TIAM15_assumptions!$G4,0,MATCH(VLOOKUP(Assumptions!K$2,TIAM15_assumptions!$Y$3:$Z$87,2,FALSE),TIAM15_assumptions!$H$2:$V$2,0))</f>
        <v>0</v>
      </c>
      <c r="L4" s="9">
        <f ca="1">OFFSET(TIAM15_assumptions!$G4,0,MATCH(VLOOKUP(Assumptions!L$2,TIAM15_assumptions!$Y$3:$Z$87,2,FALSE),TIAM15_assumptions!$H$2:$V$2,0))</f>
        <v>0.2</v>
      </c>
      <c r="M4" s="9">
        <f ca="1">OFFSET(TIAM15_assumptions!$G4,0,MATCH(VLOOKUP(Assumptions!M$2,TIAM15_assumptions!$Y$3:$Z$87,2,FALSE),TIAM15_assumptions!$H$2:$V$2,0))</f>
        <v>0</v>
      </c>
      <c r="N4" s="9">
        <f ca="1">OFFSET(TIAM15_assumptions!$G4,0,MATCH(VLOOKUP(Assumptions!N$2,TIAM15_assumptions!$Y$3:$Z$87,2,FALSE),TIAM15_assumptions!$H$2:$V$2,0))</f>
        <v>0</v>
      </c>
      <c r="O4" s="9">
        <f ca="1">OFFSET(TIAM15_assumptions!$G4,0,MATCH(VLOOKUP(Assumptions!O$2,TIAM15_assumptions!$Y$3:$Z$87,2,FALSE),TIAM15_assumptions!$H$2:$V$2,0))</f>
        <v>0.25</v>
      </c>
      <c r="P4" s="9">
        <f ca="1">OFFSET(TIAM15_assumptions!$G4,0,MATCH(VLOOKUP(Assumptions!P$2,TIAM15_assumptions!$Y$3:$Z$87,2,FALSE),TIAM15_assumptions!$H$2:$V$2,0))</f>
        <v>0.2</v>
      </c>
      <c r="Q4" s="9">
        <f ca="1">OFFSET(TIAM15_assumptions!$G4,0,MATCH(VLOOKUP(Assumptions!Q$2,TIAM15_assumptions!$Y$3:$Z$87,2,FALSE),TIAM15_assumptions!$H$2:$V$2,0))</f>
        <v>0.2</v>
      </c>
      <c r="R4" s="9">
        <f ca="1">OFFSET(TIAM15_assumptions!$G4,0,MATCH(VLOOKUP(Assumptions!R$2,TIAM15_assumptions!$Y$3:$Z$87,2,FALSE),TIAM15_assumptions!$H$2:$V$2,0))</f>
        <v>0</v>
      </c>
      <c r="S4" s="9">
        <f ca="1">OFFSET(TIAM15_assumptions!$G4,0,MATCH(VLOOKUP(Assumptions!S$2,TIAM15_assumptions!$Y$3:$Z$87,2,FALSE),TIAM15_assumptions!$H$2:$V$2,0))</f>
        <v>0</v>
      </c>
      <c r="T4" s="9">
        <f ca="1">OFFSET(TIAM15_assumptions!$G4,0,MATCH(VLOOKUP(Assumptions!T$2,TIAM15_assumptions!$Y$3:$Z$87,2,FALSE),TIAM15_assumptions!$H$2:$V$2,0))</f>
        <v>0</v>
      </c>
      <c r="U4" s="9">
        <f ca="1">OFFSET(TIAM15_assumptions!$G4,0,MATCH(VLOOKUP(Assumptions!U$2,TIAM15_assumptions!$Y$3:$Z$87,2,FALSE),TIAM15_assumptions!$H$2:$V$2,0))</f>
        <v>0.2</v>
      </c>
      <c r="V4" s="9">
        <f ca="1">OFFSET(TIAM15_assumptions!$G4,0,MATCH(VLOOKUP(Assumptions!V$2,TIAM15_assumptions!$Y$3:$Z$87,2,FALSE),TIAM15_assumptions!$H$2:$V$2,0))</f>
        <v>0</v>
      </c>
      <c r="W4" s="9">
        <f ca="1">OFFSET(TIAM15_assumptions!$G4,0,MATCH(VLOOKUP(Assumptions!W$2,TIAM15_assumptions!$Y$3:$Z$87,2,FALSE),TIAM15_assumptions!$H$2:$V$2,0))</f>
        <v>0.2</v>
      </c>
      <c r="X4" s="9">
        <f ca="1">OFFSET(TIAM15_assumptions!$G4,0,MATCH(VLOOKUP(Assumptions!X$2,TIAM15_assumptions!$Y$3:$Z$87,2,FALSE),TIAM15_assumptions!$H$2:$V$2,0))</f>
        <v>0</v>
      </c>
      <c r="Y4" s="9">
        <f ca="1">OFFSET(TIAM15_assumptions!$G4,0,MATCH(VLOOKUP(Assumptions!Y$2,TIAM15_assumptions!$Y$3:$Z$87,2,FALSE),TIAM15_assumptions!$H$2:$V$2,0))</f>
        <v>0</v>
      </c>
      <c r="Z4" s="9">
        <f ca="1">OFFSET(TIAM15_assumptions!$G4,0,MATCH(VLOOKUP(Assumptions!Z$2,TIAM15_assumptions!$Y$3:$Z$87,2,FALSE),TIAM15_assumptions!$H$2:$V$2,0))</f>
        <v>0.93</v>
      </c>
      <c r="AA4" s="9">
        <f ca="1">OFFSET(TIAM15_assumptions!$G4,0,MATCH(VLOOKUP(Assumptions!AA$2,TIAM15_assumptions!$Y$3:$Z$87,2,FALSE),TIAM15_assumptions!$H$2:$V$2,0))</f>
        <v>0</v>
      </c>
      <c r="AB4" s="9">
        <f ca="1">OFFSET(TIAM15_assumptions!$G4,0,MATCH(VLOOKUP(Assumptions!AB$2,TIAM15_assumptions!$Y$3:$Z$87,2,FALSE),TIAM15_assumptions!$H$2:$V$2,0))</f>
        <v>0.2</v>
      </c>
      <c r="AC4" s="9">
        <f ca="1">OFFSET(TIAM15_assumptions!$G4,0,MATCH(VLOOKUP(Assumptions!AC$2,TIAM15_assumptions!$Y$3:$Z$87,2,FALSE),TIAM15_assumptions!$H$2:$V$2,0))</f>
        <v>0.2</v>
      </c>
      <c r="AD4" s="9">
        <f ca="1">OFFSET(TIAM15_assumptions!$G4,0,MATCH(VLOOKUP(Assumptions!AD$2,TIAM15_assumptions!$Y$3:$Z$87,2,FALSE),TIAM15_assumptions!$H$2:$V$2,0))</f>
        <v>0</v>
      </c>
      <c r="AE4" s="9">
        <f ca="1">OFFSET(TIAM15_assumptions!$G4,0,MATCH(VLOOKUP(Assumptions!AE$2,TIAM15_assumptions!$Y$3:$Z$87,2,FALSE),TIAM15_assumptions!$H$2:$V$2,0))</f>
        <v>0.2</v>
      </c>
      <c r="AF4" s="9">
        <f ca="1">OFFSET(TIAM15_assumptions!$G4,0,MATCH(VLOOKUP(Assumptions!AF$2,TIAM15_assumptions!$Y$3:$Z$87,2,FALSE),TIAM15_assumptions!$H$2:$V$2,0))</f>
        <v>0.2</v>
      </c>
      <c r="AG4" s="9">
        <f ca="1">OFFSET(TIAM15_assumptions!$G4,0,MATCH(VLOOKUP(Assumptions!AG$2,TIAM15_assumptions!$Y$3:$Z$87,2,FALSE),TIAM15_assumptions!$H$2:$V$2,0))</f>
        <v>0.2</v>
      </c>
      <c r="AH4" s="9">
        <f ca="1">OFFSET(TIAM15_assumptions!$G4,0,MATCH(VLOOKUP(Assumptions!AH$2,TIAM15_assumptions!$Y$3:$Z$87,2,FALSE),TIAM15_assumptions!$H$2:$V$2,0))</f>
        <v>0.2</v>
      </c>
      <c r="AI4" s="9">
        <f ca="1">OFFSET(TIAM15_assumptions!$G4,0,MATCH(VLOOKUP(Assumptions!AI$2,TIAM15_assumptions!$Y$3:$Z$87,2,FALSE),TIAM15_assumptions!$H$2:$V$2,0))</f>
        <v>0.2</v>
      </c>
      <c r="AJ4" s="9">
        <f ca="1">OFFSET(TIAM15_assumptions!$G4,0,MATCH(VLOOKUP(Assumptions!AJ$2,TIAM15_assumptions!$Y$3:$Z$87,2,FALSE),TIAM15_assumptions!$H$2:$V$2,0))</f>
        <v>0</v>
      </c>
      <c r="AK4" s="9">
        <f ca="1">OFFSET(TIAM15_assumptions!$G4,0,MATCH(VLOOKUP(Assumptions!AK$2,TIAM15_assumptions!$Y$3:$Z$87,2,FALSE),TIAM15_assumptions!$H$2:$V$2,0))</f>
        <v>0</v>
      </c>
      <c r="AL4" s="9">
        <f ca="1">OFFSET(TIAM15_assumptions!$G4,0,MATCH(VLOOKUP(Assumptions!AL$2,TIAM15_assumptions!$Y$3:$Z$87,2,FALSE),TIAM15_assumptions!$H$2:$V$2,0))</f>
        <v>0</v>
      </c>
      <c r="AM4" s="9">
        <f ca="1">OFFSET(TIAM15_assumptions!$G4,0,MATCH(VLOOKUP(Assumptions!AM$2,TIAM15_assumptions!$Y$3:$Z$87,2,FALSE),TIAM15_assumptions!$H$2:$V$2,0))</f>
        <v>0.2</v>
      </c>
      <c r="AN4" s="9">
        <f ca="1">OFFSET(TIAM15_assumptions!$G4,0,MATCH(VLOOKUP(Assumptions!AN$2,TIAM15_assumptions!$Y$3:$Z$87,2,FALSE),TIAM15_assumptions!$H$2:$V$2,0))</f>
        <v>0</v>
      </c>
      <c r="AO4" s="9">
        <f ca="1">OFFSET(TIAM15_assumptions!$G4,0,MATCH(VLOOKUP(Assumptions!AO$2,TIAM15_assumptions!$Y$3:$Z$87,2,FALSE),TIAM15_assumptions!$H$2:$V$2,0))</f>
        <v>0.2</v>
      </c>
      <c r="AP4" s="9">
        <f ca="1">OFFSET(TIAM15_assumptions!$G4,0,MATCH(VLOOKUP(Assumptions!AP$2,TIAM15_assumptions!$Y$3:$Z$87,2,FALSE),TIAM15_assumptions!$H$2:$V$2,0))</f>
        <v>0.2</v>
      </c>
      <c r="AQ4" s="9">
        <f ca="1">OFFSET(TIAM15_assumptions!$G4,0,MATCH(VLOOKUP(Assumptions!AQ$2,TIAM15_assumptions!$Y$3:$Z$87,2,FALSE),TIAM15_assumptions!$H$2:$V$2,0))</f>
        <v>0.2</v>
      </c>
      <c r="AR4" s="9">
        <f ca="1">OFFSET(TIAM15_assumptions!$G4,0,MATCH(VLOOKUP(Assumptions!AR$2,TIAM15_assumptions!$Y$3:$Z$87,2,FALSE),TIAM15_assumptions!$H$2:$V$2,0))</f>
        <v>0.2</v>
      </c>
      <c r="AS4" s="9">
        <f ca="1">OFFSET(TIAM15_assumptions!$G4,0,MATCH(VLOOKUP(Assumptions!AS$2,TIAM15_assumptions!$Y$3:$Z$87,2,FALSE),TIAM15_assumptions!$H$2:$V$2,0))</f>
        <v>0.2</v>
      </c>
      <c r="AT4" s="9">
        <f ca="1">OFFSET(TIAM15_assumptions!$G4,0,MATCH(VLOOKUP(Assumptions!AT$2,TIAM15_assumptions!$Y$3:$Z$87,2,FALSE),TIAM15_assumptions!$H$2:$V$2,0))</f>
        <v>0.2</v>
      </c>
      <c r="AU4" s="9">
        <f ca="1">OFFSET(TIAM15_assumptions!$G4,0,MATCH(VLOOKUP(Assumptions!AU$2,TIAM15_assumptions!$Y$3:$Z$87,2,FALSE),TIAM15_assumptions!$H$2:$V$2,0))</f>
        <v>0.2</v>
      </c>
      <c r="AV4" s="9">
        <f ca="1">OFFSET(TIAM15_assumptions!$G4,0,MATCH(VLOOKUP(Assumptions!AV$2,TIAM15_assumptions!$Y$3:$Z$87,2,FALSE),TIAM15_assumptions!$H$2:$V$2,0))</f>
        <v>0.2</v>
      </c>
      <c r="AW4" s="9">
        <f ca="1">OFFSET(TIAM15_assumptions!$G4,0,MATCH(VLOOKUP(Assumptions!AW$2,TIAM15_assumptions!$Y$3:$Z$87,2,FALSE),TIAM15_assumptions!$H$2:$V$2,0))</f>
        <v>0.2</v>
      </c>
      <c r="AX4" s="9">
        <f ca="1">OFFSET(TIAM15_assumptions!$G4,0,MATCH(VLOOKUP(Assumptions!AX$2,TIAM15_assumptions!$Y$3:$Z$87,2,FALSE),TIAM15_assumptions!$H$2:$V$2,0))</f>
        <v>0.2</v>
      </c>
      <c r="AY4" s="9">
        <f ca="1">OFFSET(TIAM15_assumptions!$G4,0,MATCH(VLOOKUP(Assumptions!AY$2,TIAM15_assumptions!$Y$3:$Z$87,2,FALSE),TIAM15_assumptions!$H$2:$V$2,0))</f>
        <v>0.2</v>
      </c>
      <c r="AZ4" s="9">
        <f ca="1">OFFSET(TIAM15_assumptions!$G4,0,MATCH(VLOOKUP(Assumptions!AZ$2,TIAM15_assumptions!$Y$3:$Z$87,2,FALSE),TIAM15_assumptions!$H$2:$V$2,0))</f>
        <v>0.2</v>
      </c>
      <c r="BA4" s="9">
        <f ca="1">OFFSET(TIAM15_assumptions!$G4,0,MATCH(VLOOKUP(Assumptions!BA$2,TIAM15_assumptions!$Y$3:$Z$87,2,FALSE),TIAM15_assumptions!$H$2:$V$2,0))</f>
        <v>0.2</v>
      </c>
      <c r="BD4" s="34">
        <f ca="1">IFERROR(SUMIFS('TRA balance'!E$5:E$40,'TRA balance'!$C$5:$C$40,Assumptions!$C4,'TRA balance'!$D$5:$D$40,Assumptions!$B4)*CY4*H4,"")</f>
        <v>0</v>
      </c>
      <c r="BE4" s="34">
        <f ca="1">IFERROR(SUMIFS('TRA balance'!F$5:F$40,'TRA balance'!$C$5:$C$40,Assumptions!$C4,'TRA balance'!$D$5:$D$40,Assumptions!$B4)*CZ4*I4,"")</f>
        <v>2.923140024E-2</v>
      </c>
      <c r="BF4" s="34">
        <f ca="1">IFERROR(SUMIFS('TRA balance'!G$5:G$40,'TRA balance'!$C$5:$C$40,Assumptions!$C4,'TRA balance'!$D$5:$D$40,Assumptions!$B4)*DA4*J4,"")</f>
        <v>0</v>
      </c>
      <c r="BG4" s="34">
        <f ca="1">IFERROR(SUMIFS('TRA balance'!H$5:H$40,'TRA balance'!$C$5:$C$40,Assumptions!$C4,'TRA balance'!$D$5:$D$40,Assumptions!$B4)*DB4*K4,"")</f>
        <v>0</v>
      </c>
      <c r="BH4" s="34">
        <f ca="1">IFERROR(SUMIFS('TRA balance'!I$5:I$40,'TRA balance'!$C$5:$C$40,Assumptions!$C4,'TRA balance'!$D$5:$D$40,Assumptions!$B4)*DC4*L4,"")</f>
        <v>0</v>
      </c>
      <c r="BI4" s="34">
        <f ca="1">IFERROR(SUMIFS('TRA balance'!J$5:J$40,'TRA balance'!$C$5:$C$40,Assumptions!$C4,'TRA balance'!$D$5:$D$40,Assumptions!$B4)*DD4*M4,"")</f>
        <v>0</v>
      </c>
      <c r="BJ4" s="34">
        <f ca="1">IFERROR(SUMIFS('TRA balance'!K$5:K$40,'TRA balance'!$C$5:$C$40,Assumptions!$C4,'TRA balance'!$D$5:$D$40,Assumptions!$B4)*DE4*N4,"")</f>
        <v>0</v>
      </c>
      <c r="BK4" s="34">
        <f ca="1">IFERROR(SUMIFS('TRA balance'!L$5:L$40,'TRA balance'!$C$5:$C$40,Assumptions!$C4,'TRA balance'!$D$5:$D$40,Assumptions!$B4)*DF4*O4,"")</f>
        <v>0</v>
      </c>
      <c r="BL4" s="34">
        <f ca="1">IFERROR(SUMIFS('TRA balance'!M$5:M$40,'TRA balance'!$C$5:$C$40,Assumptions!$C4,'TRA balance'!$D$5:$D$40,Assumptions!$B4)*DG4*P4,"")</f>
        <v>8.5996871999999996E-4</v>
      </c>
      <c r="BM4" s="34">
        <f ca="1">IFERROR(SUMIFS('TRA balance'!N$5:N$40,'TRA balance'!$C$5:$C$40,Assumptions!$C4,'TRA balance'!$D$5:$D$40,Assumptions!$B4)*DH4*Q4,"")</f>
        <v>2.6326598400000004E-3</v>
      </c>
      <c r="BN4" s="34">
        <f ca="1">IFERROR(SUMIFS('TRA balance'!O$5:O$40,'TRA balance'!$C$5:$C$40,Assumptions!$C4,'TRA balance'!$D$5:$D$40,Assumptions!$B4)*DI4*R4,"")</f>
        <v>0</v>
      </c>
      <c r="BO4" s="34">
        <f ca="1">IFERROR(SUMIFS('TRA balance'!P$5:P$40,'TRA balance'!$C$5:$C$40,Assumptions!$C4,'TRA balance'!$D$5:$D$40,Assumptions!$B4)*DJ4*S4,"")</f>
        <v>0</v>
      </c>
      <c r="BP4" s="34">
        <f ca="1">IFERROR(SUMIFS('TRA balance'!Q$5:Q$40,'TRA balance'!$C$5:$C$40,Assumptions!$C4,'TRA balance'!$D$5:$D$40,Assumptions!$B4)*DK4*T4,"")</f>
        <v>0</v>
      </c>
      <c r="BQ4" s="34">
        <f ca="1">IFERROR(SUMIFS('TRA balance'!R$5:R$40,'TRA balance'!$C$5:$C$40,Assumptions!$C4,'TRA balance'!$D$5:$D$40,Assumptions!$B4)*DL4*U4,"")</f>
        <v>0</v>
      </c>
      <c r="BR4" s="34">
        <f ca="1">IFERROR(SUMIFS('TRA balance'!S$5:S$40,'TRA balance'!$C$5:$C$40,Assumptions!$C4,'TRA balance'!$D$5:$D$40,Assumptions!$B4)*DM4*V4,"")</f>
        <v>0</v>
      </c>
      <c r="BS4" s="34">
        <f ca="1">IFERROR(SUMIFS('TRA balance'!T$5:T$40,'TRA balance'!$C$5:$C$40,Assumptions!$C4,'TRA balance'!$D$5:$D$40,Assumptions!$B4)*DN4*W4,"")</f>
        <v>0</v>
      </c>
      <c r="BT4" s="34">
        <f ca="1">IFERROR(SUMIFS('TRA balance'!U$5:U$40,'TRA balance'!$C$5:$C$40,Assumptions!$C4,'TRA balance'!$D$5:$D$40,Assumptions!$B4)*DO4*X4,"")</f>
        <v>0</v>
      </c>
      <c r="BU4" s="34">
        <f ca="1">IFERROR(SUMIFS('TRA balance'!V$5:V$40,'TRA balance'!$C$5:$C$40,Assumptions!$C4,'TRA balance'!$D$5:$D$40,Assumptions!$B4)*DP4*Y4,"")</f>
        <v>0</v>
      </c>
      <c r="BV4" s="34">
        <f ca="1">IFERROR(SUMIFS('TRA balance'!W$5:W$40,'TRA balance'!$C$5:$C$40,Assumptions!$C4,'TRA balance'!$D$5:$D$40,Assumptions!$B4)*DQ4*Z4,"")</f>
        <v>3.3470451504E-2</v>
      </c>
      <c r="BW4" s="34">
        <f ca="1">IFERROR(SUMIFS('TRA balance'!X$5:X$40,'TRA balance'!$C$5:$C$40,Assumptions!$C4,'TRA balance'!$D$5:$D$40,Assumptions!$B4)*DR4*AA4,"")</f>
        <v>0</v>
      </c>
      <c r="BX4" s="34">
        <f ca="1">IFERROR(SUMIFS('TRA balance'!Y$5:Y$40,'TRA balance'!$C$5:$C$40,Assumptions!$C4,'TRA balance'!$D$5:$D$40,Assumptions!$B4)*DS4*AB4,"")</f>
        <v>0</v>
      </c>
      <c r="BY4" s="34">
        <f ca="1">IFERROR(SUMIFS('TRA balance'!Z$5:Z$40,'TRA balance'!$C$5:$C$40,Assumptions!$C4,'TRA balance'!$D$5:$D$40,Assumptions!$B4)*DT4*AC4,"")</f>
        <v>0</v>
      </c>
      <c r="BZ4" s="34">
        <f ca="1">IFERROR(SUMIFS('TRA balance'!AA$5:AA$40,'TRA balance'!$C$5:$C$40,Assumptions!$C4,'TRA balance'!$D$5:$D$40,Assumptions!$B4)*DU4*AD4,"")</f>
        <v>0</v>
      </c>
      <c r="CA4" s="34">
        <f ca="1">IFERROR(SUMIFS('TRA balance'!AB$5:AB$40,'TRA balance'!$C$5:$C$40,Assumptions!$C4,'TRA balance'!$D$5:$D$40,Assumptions!$B4)*DV4*AE4,"")</f>
        <v>0</v>
      </c>
      <c r="CB4" s="34">
        <f ca="1">IFERROR(SUMIFS('TRA balance'!AC$5:AC$40,'TRA balance'!$C$5:$C$40,Assumptions!$C4,'TRA balance'!$D$5:$D$40,Assumptions!$B4)*DW4*AF4,"")</f>
        <v>0.29234917152000001</v>
      </c>
      <c r="CC4" s="34">
        <f ca="1">IFERROR(SUMIFS('TRA balance'!AD$5:AD$40,'TRA balance'!$C$5:$C$40,Assumptions!$C4,'TRA balance'!$D$5:$D$40,Assumptions!$B4)*DX4*AG4,"")</f>
        <v>4.8504915360000005E-2</v>
      </c>
      <c r="CD4" s="34">
        <f ca="1">IFERROR(SUMIFS('TRA balance'!AE$5:AE$40,'TRA balance'!$C$5:$C$40,Assumptions!$C4,'TRA balance'!$D$5:$D$40,Assumptions!$B4)*DY4*AH4,"")</f>
        <v>0</v>
      </c>
      <c r="CE4" s="34">
        <f ca="1">IFERROR(SUMIFS('TRA balance'!AF$5:AF$40,'TRA balance'!$C$5:$C$40,Assumptions!$C4,'TRA balance'!$D$5:$D$40,Assumptions!$B4)*DZ4*AI4,"")</f>
        <v>0</v>
      </c>
      <c r="CF4" s="34">
        <f ca="1">IFERROR(SUMIFS('TRA balance'!AG$5:AG$40,'TRA balance'!$C$5:$C$40,Assumptions!$C4,'TRA balance'!$D$5:$D$40,Assumptions!$B4)*EA4*AJ4,"")</f>
        <v>0</v>
      </c>
      <c r="CG4" s="34">
        <f ca="1">IFERROR(SUMIFS('TRA balance'!AH$5:AH$40,'TRA balance'!$C$5:$C$40,Assumptions!$C4,'TRA balance'!$D$5:$D$40,Assumptions!$B4)*EB4*AK4,"")</f>
        <v>0</v>
      </c>
      <c r="CH4" s="34">
        <f ca="1">IFERROR(SUMIFS('TRA balance'!AI$5:AI$40,'TRA balance'!$C$5:$C$40,Assumptions!$C4,'TRA balance'!$D$5:$D$40,Assumptions!$B4)*EC4*AL4,"")</f>
        <v>0</v>
      </c>
      <c r="CI4" s="34">
        <f ca="1">IFERROR(SUMIFS('TRA balance'!AJ$5:AJ$40,'TRA balance'!$C$5:$C$40,Assumptions!$C4,'TRA balance'!$D$5:$D$40,Assumptions!$B4)*ED4*AM4,"")</f>
        <v>0</v>
      </c>
      <c r="CJ4" s="34">
        <f ca="1">IFERROR(SUMIFS('TRA balance'!AK$5:AK$40,'TRA balance'!$C$5:$C$40,Assumptions!$C4,'TRA balance'!$D$5:$D$40,Assumptions!$B4)*EE4*AN4,"")</f>
        <v>0</v>
      </c>
      <c r="CK4" s="34">
        <f ca="1">IFERROR(SUMIFS('TRA balance'!AL$5:AL$40,'TRA balance'!$C$5:$C$40,Assumptions!$C4,'TRA balance'!$D$5:$D$40,Assumptions!$B4)*EF4*AO4,"")</f>
        <v>3.9569446800000005E-2</v>
      </c>
      <c r="CL4" s="34">
        <f ca="1">IFERROR(SUMIFS('TRA balance'!AM$5:AM$40,'TRA balance'!$C$5:$C$40,Assumptions!$C4,'TRA balance'!$D$5:$D$40,Assumptions!$B4)*EG4*AP4,"")</f>
        <v>0</v>
      </c>
      <c r="CM4" s="34">
        <f ca="1">IFERROR(SUMIFS('TRA balance'!AN$5:AN$40,'TRA balance'!$C$5:$C$40,Assumptions!$C4,'TRA balance'!$D$5:$D$40,Assumptions!$B4)*EH4*AQ4,"")</f>
        <v>0</v>
      </c>
      <c r="CN4" s="34">
        <f ca="1">IFERROR(SUMIFS('TRA balance'!AO$5:AO$40,'TRA balance'!$C$5:$C$40,Assumptions!$C4,'TRA balance'!$D$5:$D$40,Assumptions!$B4)*EI4*AR4,"")</f>
        <v>0</v>
      </c>
      <c r="CO4" s="34">
        <f ca="1">IFERROR(SUMIFS('TRA balance'!AP$5:AP$40,'TRA balance'!$C$5:$C$40,Assumptions!$C4,'TRA balance'!$D$5:$D$40,Assumptions!$B4)*EJ4*AS4,"")</f>
        <v>0</v>
      </c>
      <c r="CP4" s="34">
        <f ca="1">IFERROR(SUMIFS('TRA balance'!AQ$5:AQ$40,'TRA balance'!$C$5:$C$40,Assumptions!$C4,'TRA balance'!$D$5:$D$40,Assumptions!$B4)*EK4*AT4,"")</f>
        <v>0</v>
      </c>
      <c r="CQ4" s="34">
        <f ca="1">IFERROR(SUMIFS('TRA balance'!AR$5:AR$40,'TRA balance'!$C$5:$C$40,Assumptions!$C4,'TRA balance'!$D$5:$D$40,Assumptions!$B4)*EL4*AU4,"")</f>
        <v>0</v>
      </c>
      <c r="CR4" s="34">
        <f ca="1">IFERROR(SUMIFS('TRA balance'!AS$5:AS$40,'TRA balance'!$C$5:$C$40,Assumptions!$C4,'TRA balance'!$D$5:$D$40,Assumptions!$B4)*EM4*AV4,"")</f>
        <v>0</v>
      </c>
      <c r="CS4" s="34">
        <f ca="1">IFERROR(SUMIFS('TRA balance'!AT$5:AT$40,'TRA balance'!$C$5:$C$40,Assumptions!$C4,'TRA balance'!$D$5:$D$40,Assumptions!$B4)*EN4*AW4,"")</f>
        <v>0</v>
      </c>
      <c r="CT4" s="34">
        <f ca="1">IFERROR(SUMIFS('TRA balance'!AU$5:AU$40,'TRA balance'!$C$5:$C$40,Assumptions!$C4,'TRA balance'!$D$5:$D$40,Assumptions!$B4)*EO4*AX4,"")</f>
        <v>0</v>
      </c>
      <c r="CU4" s="34">
        <f ca="1">IFERROR(SUMIFS('TRA balance'!AV$5:AV$40,'TRA balance'!$C$5:$C$40,Assumptions!$C4,'TRA balance'!$D$5:$D$40,Assumptions!$B4)*EP4*AY4,"")</f>
        <v>0</v>
      </c>
      <c r="CV4" s="34">
        <f ca="1">IFERROR(SUMIFS('TRA balance'!AW$5:AW$40,'TRA balance'!$C$5:$C$40,Assumptions!$C4,'TRA balance'!$D$5:$D$40,Assumptions!$B4)*EQ4*AZ4,"")</f>
        <v>0</v>
      </c>
      <c r="CW4" s="34">
        <f ca="1">IFERROR(SUMIFS('TRA balance'!AX$5:AX$40,'TRA balance'!$C$5:$C$40,Assumptions!$C4,'TRA balance'!$D$5:$D$40,Assumptions!$B4)*ER4*BA4,"")</f>
        <v>0</v>
      </c>
      <c r="CY4" s="33">
        <f t="shared" si="2"/>
        <v>1</v>
      </c>
      <c r="CZ4" s="33">
        <f t="shared" si="3"/>
        <v>1</v>
      </c>
      <c r="DA4" s="33">
        <f t="shared" si="4"/>
        <v>1</v>
      </c>
      <c r="DB4" s="33">
        <f t="shared" si="5"/>
        <v>1</v>
      </c>
      <c r="DC4" s="33">
        <f t="shared" si="6"/>
        <v>1</v>
      </c>
      <c r="DD4" s="33">
        <f t="shared" si="7"/>
        <v>1</v>
      </c>
      <c r="DE4" s="33">
        <f t="shared" si="8"/>
        <v>1</v>
      </c>
      <c r="DF4" s="33">
        <f t="shared" si="9"/>
        <v>1</v>
      </c>
      <c r="DG4" s="33">
        <f t="shared" si="10"/>
        <v>1</v>
      </c>
      <c r="DH4" s="33">
        <f t="shared" si="11"/>
        <v>1</v>
      </c>
      <c r="DI4" s="33">
        <f t="shared" si="12"/>
        <v>1</v>
      </c>
      <c r="DJ4" s="33">
        <f t="shared" si="13"/>
        <v>1</v>
      </c>
      <c r="DK4" s="33">
        <f t="shared" si="14"/>
        <v>1</v>
      </c>
      <c r="DL4" s="33">
        <f t="shared" si="15"/>
        <v>1</v>
      </c>
      <c r="DM4" s="33">
        <f t="shared" si="16"/>
        <v>1</v>
      </c>
      <c r="DN4" s="33">
        <f t="shared" si="17"/>
        <v>1</v>
      </c>
      <c r="DO4" s="33">
        <f t="shared" si="18"/>
        <v>1</v>
      </c>
      <c r="DP4" s="33">
        <f t="shared" si="19"/>
        <v>1</v>
      </c>
      <c r="DQ4" s="33">
        <f t="shared" si="20"/>
        <v>1</v>
      </c>
      <c r="DR4" s="33">
        <f t="shared" si="21"/>
        <v>1</v>
      </c>
      <c r="DS4" s="33">
        <f t="shared" si="22"/>
        <v>1</v>
      </c>
      <c r="DT4" s="33">
        <f t="shared" si="23"/>
        <v>1</v>
      </c>
      <c r="DU4" s="33">
        <f t="shared" si="24"/>
        <v>1</v>
      </c>
      <c r="DV4" s="33">
        <f t="shared" si="25"/>
        <v>1</v>
      </c>
      <c r="DW4" s="33">
        <f t="shared" si="26"/>
        <v>1</v>
      </c>
      <c r="DX4" s="33">
        <f t="shared" si="27"/>
        <v>1</v>
      </c>
      <c r="DY4" s="33">
        <f t="shared" si="28"/>
        <v>1</v>
      </c>
      <c r="DZ4" s="33">
        <f t="shared" si="29"/>
        <v>1</v>
      </c>
      <c r="EA4" s="33">
        <f t="shared" si="30"/>
        <v>1</v>
      </c>
      <c r="EB4" s="33">
        <f t="shared" si="31"/>
        <v>1</v>
      </c>
      <c r="EC4" s="33">
        <f t="shared" si="32"/>
        <v>1</v>
      </c>
      <c r="ED4" s="33">
        <f t="shared" si="33"/>
        <v>1</v>
      </c>
      <c r="EE4" s="33">
        <f t="shared" si="34"/>
        <v>1</v>
      </c>
      <c r="EF4" s="33">
        <f t="shared" si="35"/>
        <v>1</v>
      </c>
      <c r="EG4" s="33">
        <f t="shared" si="36"/>
        <v>1</v>
      </c>
      <c r="EH4" s="33">
        <f t="shared" si="37"/>
        <v>1</v>
      </c>
      <c r="EI4" s="33">
        <f t="shared" si="38"/>
        <v>1</v>
      </c>
      <c r="EJ4" s="33">
        <f t="shared" si="39"/>
        <v>1</v>
      </c>
      <c r="EK4" s="33">
        <f t="shared" si="40"/>
        <v>1</v>
      </c>
      <c r="EL4" s="33">
        <f t="shared" si="41"/>
        <v>1</v>
      </c>
      <c r="EM4" s="33">
        <f t="shared" si="42"/>
        <v>1</v>
      </c>
      <c r="EN4" s="33">
        <f t="shared" si="43"/>
        <v>1</v>
      </c>
      <c r="EO4" s="33">
        <f t="shared" si="44"/>
        <v>1</v>
      </c>
      <c r="EP4" s="33">
        <f t="shared" si="45"/>
        <v>1</v>
      </c>
      <c r="EQ4" s="33">
        <f t="shared" si="46"/>
        <v>1</v>
      </c>
      <c r="ER4" s="33">
        <f t="shared" si="47"/>
        <v>1</v>
      </c>
      <c r="EU4" t="s">
        <v>78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11"/>
      <c r="D5" s="11"/>
      <c r="E5" s="12" t="s">
        <v>58</v>
      </c>
      <c r="F5" s="13" t="str">
        <f t="shared" si="49"/>
        <v>Coal</v>
      </c>
      <c r="G5" s="11"/>
      <c r="H5" s="32" t="str">
        <f t="shared" ref="H5" ca="1" si="50">IF(SUM(H3:H4)=1,"-","&lt;&gt;1!!")</f>
        <v>-</v>
      </c>
      <c r="I5" s="32" t="str">
        <f t="shared" ref="I5:BA5" ca="1" si="51">IF(SUM(I3:I4)=1,"-","&lt;&gt;1!!")</f>
        <v>-</v>
      </c>
      <c r="J5" s="32" t="str">
        <f t="shared" ca="1" si="51"/>
        <v>-</v>
      </c>
      <c r="K5" s="32" t="str">
        <f t="shared" ca="1" si="51"/>
        <v>-</v>
      </c>
      <c r="L5" s="32" t="str">
        <f t="shared" ca="1" si="51"/>
        <v>-</v>
      </c>
      <c r="M5" s="32" t="str">
        <f t="shared" ca="1" si="51"/>
        <v>-</v>
      </c>
      <c r="N5" s="32" t="str">
        <f t="shared" ca="1" si="51"/>
        <v>-</v>
      </c>
      <c r="O5" s="32" t="str">
        <f t="shared" ca="1" si="51"/>
        <v>-</v>
      </c>
      <c r="P5" s="32" t="str">
        <f t="shared" ca="1" si="51"/>
        <v>-</v>
      </c>
      <c r="Q5" s="32" t="str">
        <f t="shared" ca="1" si="51"/>
        <v>-</v>
      </c>
      <c r="R5" s="32" t="str">
        <f t="shared" ca="1" si="51"/>
        <v>-</v>
      </c>
      <c r="S5" s="32" t="str">
        <f t="shared" ca="1" si="51"/>
        <v>-</v>
      </c>
      <c r="T5" s="32" t="str">
        <f t="shared" ca="1" si="51"/>
        <v>-</v>
      </c>
      <c r="U5" s="32" t="str">
        <f t="shared" ca="1" si="51"/>
        <v>-</v>
      </c>
      <c r="V5" s="32" t="str">
        <f t="shared" ca="1" si="51"/>
        <v>-</v>
      </c>
      <c r="W5" s="32" t="str">
        <f t="shared" ca="1" si="51"/>
        <v>-</v>
      </c>
      <c r="X5" s="32" t="str">
        <f t="shared" ca="1" si="51"/>
        <v>-</v>
      </c>
      <c r="Y5" s="32" t="str">
        <f t="shared" ca="1" si="51"/>
        <v>-</v>
      </c>
      <c r="Z5" s="32" t="str">
        <f t="shared" ca="1" si="51"/>
        <v>-</v>
      </c>
      <c r="AA5" s="32" t="str">
        <f t="shared" ca="1" si="51"/>
        <v>-</v>
      </c>
      <c r="AB5" s="32" t="str">
        <f t="shared" ca="1" si="51"/>
        <v>-</v>
      </c>
      <c r="AC5" s="32" t="str">
        <f t="shared" ca="1" si="51"/>
        <v>-</v>
      </c>
      <c r="AD5" s="32" t="str">
        <f t="shared" ca="1" si="51"/>
        <v>-</v>
      </c>
      <c r="AE5" s="32" t="str">
        <f t="shared" ca="1" si="51"/>
        <v>-</v>
      </c>
      <c r="AF5" s="32" t="str">
        <f t="shared" ca="1" si="51"/>
        <v>-</v>
      </c>
      <c r="AG5" s="32" t="str">
        <f t="shared" ca="1" si="51"/>
        <v>-</v>
      </c>
      <c r="AH5" s="32" t="str">
        <f t="shared" ca="1" si="51"/>
        <v>-</v>
      </c>
      <c r="AI5" s="32" t="str">
        <f t="shared" ca="1" si="51"/>
        <v>-</v>
      </c>
      <c r="AJ5" s="32" t="str">
        <f t="shared" ca="1" si="51"/>
        <v>-</v>
      </c>
      <c r="AK5" s="32" t="str">
        <f t="shared" ca="1" si="51"/>
        <v>-</v>
      </c>
      <c r="AL5" s="32" t="str">
        <f t="shared" ca="1" si="51"/>
        <v>-</v>
      </c>
      <c r="AM5" s="32" t="str">
        <f t="shared" ca="1" si="51"/>
        <v>-</v>
      </c>
      <c r="AN5" s="32" t="str">
        <f t="shared" ca="1" si="51"/>
        <v>-</v>
      </c>
      <c r="AO5" s="32" t="str">
        <f t="shared" ca="1" si="51"/>
        <v>-</v>
      </c>
      <c r="AP5" s="32" t="str">
        <f t="shared" ca="1" si="51"/>
        <v>-</v>
      </c>
      <c r="AQ5" s="32" t="str">
        <f t="shared" ca="1" si="51"/>
        <v>-</v>
      </c>
      <c r="AR5" s="32" t="str">
        <f t="shared" ca="1" si="51"/>
        <v>-</v>
      </c>
      <c r="AS5" s="32" t="str">
        <f t="shared" ca="1" si="51"/>
        <v>-</v>
      </c>
      <c r="AT5" s="32" t="str">
        <f t="shared" ca="1" si="51"/>
        <v>-</v>
      </c>
      <c r="AU5" s="32" t="str">
        <f t="shared" ca="1" si="51"/>
        <v>-</v>
      </c>
      <c r="AV5" s="32" t="str">
        <f t="shared" ca="1" si="51"/>
        <v>-</v>
      </c>
      <c r="AW5" s="32" t="str">
        <f t="shared" ca="1" si="51"/>
        <v>-</v>
      </c>
      <c r="AX5" s="32" t="str">
        <f t="shared" ca="1" si="51"/>
        <v>-</v>
      </c>
      <c r="AY5" s="32" t="str">
        <f t="shared" ca="1" si="51"/>
        <v>-</v>
      </c>
      <c r="AZ5" s="32" t="str">
        <f t="shared" ca="1" si="51"/>
        <v>-</v>
      </c>
      <c r="BA5" s="32" t="str">
        <f t="shared" ca="1" si="51"/>
        <v>-</v>
      </c>
      <c r="BD5" s="34" t="str">
        <f ca="1">IFERROR(SUMIFS('TRA balance'!E$5:E$40,'TRA balance'!$C$5:$C$40,Assumptions!$C5,'TRA balance'!$D$5:$D$40,Assumptions!$B5)*CY5*H5,"")</f>
        <v/>
      </c>
      <c r="BE5" s="34" t="str">
        <f ca="1">IFERROR(SUMIFS('TRA balance'!F$5:F$40,'TRA balance'!$C$5:$C$40,Assumptions!$C5,'TRA balance'!$D$5:$D$40,Assumptions!$B5)*CZ5*I5,"")</f>
        <v/>
      </c>
      <c r="BF5" s="34" t="str">
        <f ca="1">IFERROR(SUMIFS('TRA balance'!G$5:G$40,'TRA balance'!$C$5:$C$40,Assumptions!$C5,'TRA balance'!$D$5:$D$40,Assumptions!$B5)*DA5*J5,"")</f>
        <v/>
      </c>
      <c r="BG5" s="34" t="str">
        <f ca="1">IFERROR(SUMIFS('TRA balance'!H$5:H$40,'TRA balance'!$C$5:$C$40,Assumptions!$C5,'TRA balance'!$D$5:$D$40,Assumptions!$B5)*DB5*K5,"")</f>
        <v/>
      </c>
      <c r="BH5" s="34" t="str">
        <f ca="1">IFERROR(SUMIFS('TRA balance'!I$5:I$40,'TRA balance'!$C$5:$C$40,Assumptions!$C5,'TRA balance'!$D$5:$D$40,Assumptions!$B5)*DC5*L5,"")</f>
        <v/>
      </c>
      <c r="BI5" s="34" t="str">
        <f ca="1">IFERROR(SUMIFS('TRA balance'!J$5:J$40,'TRA balance'!$C$5:$C$40,Assumptions!$C5,'TRA balance'!$D$5:$D$40,Assumptions!$B5)*DD5*M5,"")</f>
        <v/>
      </c>
      <c r="BJ5" s="34" t="str">
        <f ca="1">IFERROR(SUMIFS('TRA balance'!K$5:K$40,'TRA balance'!$C$5:$C$40,Assumptions!$C5,'TRA balance'!$D$5:$D$40,Assumptions!$B5)*DE5*N5,"")</f>
        <v/>
      </c>
      <c r="BK5" s="34" t="str">
        <f ca="1">IFERROR(SUMIFS('TRA balance'!L$5:L$40,'TRA balance'!$C$5:$C$40,Assumptions!$C5,'TRA balance'!$D$5:$D$40,Assumptions!$B5)*DF5*O5,"")</f>
        <v/>
      </c>
      <c r="BL5" s="34" t="str">
        <f ca="1">IFERROR(SUMIFS('TRA balance'!M$5:M$40,'TRA balance'!$C$5:$C$40,Assumptions!$C5,'TRA balance'!$D$5:$D$40,Assumptions!$B5)*DG5*P5,"")</f>
        <v/>
      </c>
      <c r="BM5" s="34" t="str">
        <f ca="1">IFERROR(SUMIFS('TRA balance'!N$5:N$40,'TRA balance'!$C$5:$C$40,Assumptions!$C5,'TRA balance'!$D$5:$D$40,Assumptions!$B5)*DH5*Q5,"")</f>
        <v/>
      </c>
      <c r="BN5" s="34" t="str">
        <f ca="1">IFERROR(SUMIFS('TRA balance'!O$5:O$40,'TRA balance'!$C$5:$C$40,Assumptions!$C5,'TRA balance'!$D$5:$D$40,Assumptions!$B5)*DI5*R5,"")</f>
        <v/>
      </c>
      <c r="BO5" s="34" t="str">
        <f ca="1">IFERROR(SUMIFS('TRA balance'!P$5:P$40,'TRA balance'!$C$5:$C$40,Assumptions!$C5,'TRA balance'!$D$5:$D$40,Assumptions!$B5)*DJ5*S5,"")</f>
        <v/>
      </c>
      <c r="BP5" s="34" t="str">
        <f ca="1">IFERROR(SUMIFS('TRA balance'!Q$5:Q$40,'TRA balance'!$C$5:$C$40,Assumptions!$C5,'TRA balance'!$D$5:$D$40,Assumptions!$B5)*DK5*T5,"")</f>
        <v/>
      </c>
      <c r="BQ5" s="34" t="str">
        <f ca="1">IFERROR(SUMIFS('TRA balance'!R$5:R$40,'TRA balance'!$C$5:$C$40,Assumptions!$C5,'TRA balance'!$D$5:$D$40,Assumptions!$B5)*DL5*U5,"")</f>
        <v/>
      </c>
      <c r="BR5" s="34" t="str">
        <f ca="1">IFERROR(SUMIFS('TRA balance'!S$5:S$40,'TRA balance'!$C$5:$C$40,Assumptions!$C5,'TRA balance'!$D$5:$D$40,Assumptions!$B5)*DM5*V5,"")</f>
        <v/>
      </c>
      <c r="BS5" s="34" t="str">
        <f ca="1">IFERROR(SUMIFS('TRA balance'!T$5:T$40,'TRA balance'!$C$5:$C$40,Assumptions!$C5,'TRA balance'!$D$5:$D$40,Assumptions!$B5)*DN5*W5,"")</f>
        <v/>
      </c>
      <c r="BT5" s="34" t="str">
        <f ca="1">IFERROR(SUMIFS('TRA balance'!U$5:U$40,'TRA balance'!$C$5:$C$40,Assumptions!$C5,'TRA balance'!$D$5:$D$40,Assumptions!$B5)*DO5*X5,"")</f>
        <v/>
      </c>
      <c r="BU5" s="34" t="str">
        <f ca="1">IFERROR(SUMIFS('TRA balance'!V$5:V$40,'TRA balance'!$C$5:$C$40,Assumptions!$C5,'TRA balance'!$D$5:$D$40,Assumptions!$B5)*DP5*Y5,"")</f>
        <v/>
      </c>
      <c r="BV5" s="34" t="str">
        <f ca="1">IFERROR(SUMIFS('TRA balance'!W$5:W$40,'TRA balance'!$C$5:$C$40,Assumptions!$C5,'TRA balance'!$D$5:$D$40,Assumptions!$B5)*DQ5*Z5,"")</f>
        <v/>
      </c>
      <c r="BW5" s="34" t="str">
        <f ca="1">IFERROR(SUMIFS('TRA balance'!X$5:X$40,'TRA balance'!$C$5:$C$40,Assumptions!$C5,'TRA balance'!$D$5:$D$40,Assumptions!$B5)*DR5*AA5,"")</f>
        <v/>
      </c>
      <c r="BX5" s="34" t="str">
        <f ca="1">IFERROR(SUMIFS('TRA balance'!Y$5:Y$40,'TRA balance'!$C$5:$C$40,Assumptions!$C5,'TRA balance'!$D$5:$D$40,Assumptions!$B5)*DS5*AB5,"")</f>
        <v/>
      </c>
      <c r="BY5" s="34" t="str">
        <f ca="1">IFERROR(SUMIFS('TRA balance'!Z$5:Z$40,'TRA balance'!$C$5:$C$40,Assumptions!$C5,'TRA balance'!$D$5:$D$40,Assumptions!$B5)*DT5*AC5,"")</f>
        <v/>
      </c>
      <c r="BZ5" s="34" t="str">
        <f ca="1">IFERROR(SUMIFS('TRA balance'!AA$5:AA$40,'TRA balance'!$C$5:$C$40,Assumptions!$C5,'TRA balance'!$D$5:$D$40,Assumptions!$B5)*DU5*AD5,"")</f>
        <v/>
      </c>
      <c r="CA5" s="34" t="str">
        <f ca="1">IFERROR(SUMIFS('TRA balance'!AB$5:AB$40,'TRA balance'!$C$5:$C$40,Assumptions!$C5,'TRA balance'!$D$5:$D$40,Assumptions!$B5)*DV5*AE5,"")</f>
        <v/>
      </c>
      <c r="CB5" s="34" t="str">
        <f ca="1">IFERROR(SUMIFS('TRA balance'!AC$5:AC$40,'TRA balance'!$C$5:$C$40,Assumptions!$C5,'TRA balance'!$D$5:$D$40,Assumptions!$B5)*DW5*AF5,"")</f>
        <v/>
      </c>
      <c r="CC5" s="34" t="str">
        <f ca="1">IFERROR(SUMIFS('TRA balance'!AD$5:AD$40,'TRA balance'!$C$5:$C$40,Assumptions!$C5,'TRA balance'!$D$5:$D$40,Assumptions!$B5)*DX5*AG5,"")</f>
        <v/>
      </c>
      <c r="CD5" s="34" t="str">
        <f ca="1">IFERROR(SUMIFS('TRA balance'!AE$5:AE$40,'TRA balance'!$C$5:$C$40,Assumptions!$C5,'TRA balance'!$D$5:$D$40,Assumptions!$B5)*DY5*AH5,"")</f>
        <v/>
      </c>
      <c r="CE5" s="34" t="str">
        <f ca="1">IFERROR(SUMIFS('TRA balance'!AF$5:AF$40,'TRA balance'!$C$5:$C$40,Assumptions!$C5,'TRA balance'!$D$5:$D$40,Assumptions!$B5)*DZ5*AI5,"")</f>
        <v/>
      </c>
      <c r="CF5" s="34" t="str">
        <f ca="1">IFERROR(SUMIFS('TRA balance'!AG$5:AG$40,'TRA balance'!$C$5:$C$40,Assumptions!$C5,'TRA balance'!$D$5:$D$40,Assumptions!$B5)*EA5*AJ5,"")</f>
        <v/>
      </c>
      <c r="CG5" s="34" t="str">
        <f ca="1">IFERROR(SUMIFS('TRA balance'!AH$5:AH$40,'TRA balance'!$C$5:$C$40,Assumptions!$C5,'TRA balance'!$D$5:$D$40,Assumptions!$B5)*EB5*AK5,"")</f>
        <v/>
      </c>
      <c r="CH5" s="34" t="str">
        <f ca="1">IFERROR(SUMIFS('TRA balance'!AI$5:AI$40,'TRA balance'!$C$5:$C$40,Assumptions!$C5,'TRA balance'!$D$5:$D$40,Assumptions!$B5)*EC5*AL5,"")</f>
        <v/>
      </c>
      <c r="CI5" s="34" t="str">
        <f ca="1">IFERROR(SUMIFS('TRA balance'!AJ$5:AJ$40,'TRA balance'!$C$5:$C$40,Assumptions!$C5,'TRA balance'!$D$5:$D$40,Assumptions!$B5)*ED5*AM5,"")</f>
        <v/>
      </c>
      <c r="CJ5" s="34" t="str">
        <f ca="1">IFERROR(SUMIFS('TRA balance'!AK$5:AK$40,'TRA balance'!$C$5:$C$40,Assumptions!$C5,'TRA balance'!$D$5:$D$40,Assumptions!$B5)*EE5*AN5,"")</f>
        <v/>
      </c>
      <c r="CK5" s="34" t="str">
        <f ca="1">IFERROR(SUMIFS('TRA balance'!AL$5:AL$40,'TRA balance'!$C$5:$C$40,Assumptions!$C5,'TRA balance'!$D$5:$D$40,Assumptions!$B5)*EF5*AO5,"")</f>
        <v/>
      </c>
      <c r="CL5" s="34" t="str">
        <f ca="1">IFERROR(SUMIFS('TRA balance'!AM$5:AM$40,'TRA balance'!$C$5:$C$40,Assumptions!$C5,'TRA balance'!$D$5:$D$40,Assumptions!$B5)*EG5*AP5,"")</f>
        <v/>
      </c>
      <c r="CM5" s="34" t="str">
        <f ca="1">IFERROR(SUMIFS('TRA balance'!AN$5:AN$40,'TRA balance'!$C$5:$C$40,Assumptions!$C5,'TRA balance'!$D$5:$D$40,Assumptions!$B5)*EH5*AQ5,"")</f>
        <v/>
      </c>
      <c r="CN5" s="34" t="str">
        <f ca="1">IFERROR(SUMIFS('TRA balance'!AO$5:AO$40,'TRA balance'!$C$5:$C$40,Assumptions!$C5,'TRA balance'!$D$5:$D$40,Assumptions!$B5)*EI5*AR5,"")</f>
        <v/>
      </c>
      <c r="CO5" s="34" t="str">
        <f ca="1">IFERROR(SUMIFS('TRA balance'!AP$5:AP$40,'TRA balance'!$C$5:$C$40,Assumptions!$C5,'TRA balance'!$D$5:$D$40,Assumptions!$B5)*EJ5*AS5,"")</f>
        <v/>
      </c>
      <c r="CP5" s="34" t="str">
        <f ca="1">IFERROR(SUMIFS('TRA balance'!AQ$5:AQ$40,'TRA balance'!$C$5:$C$40,Assumptions!$C5,'TRA balance'!$D$5:$D$40,Assumptions!$B5)*EK5*AT5,"")</f>
        <v/>
      </c>
      <c r="CQ5" s="34" t="str">
        <f ca="1">IFERROR(SUMIFS('TRA balance'!AR$5:AR$40,'TRA balance'!$C$5:$C$40,Assumptions!$C5,'TRA balance'!$D$5:$D$40,Assumptions!$B5)*EL5*AU5,"")</f>
        <v/>
      </c>
      <c r="CR5" s="34" t="str">
        <f ca="1">IFERROR(SUMIFS('TRA balance'!AS$5:AS$40,'TRA balance'!$C$5:$C$40,Assumptions!$C5,'TRA balance'!$D$5:$D$40,Assumptions!$B5)*EM5*AV5,"")</f>
        <v/>
      </c>
      <c r="CS5" s="34" t="str">
        <f ca="1">IFERROR(SUMIFS('TRA balance'!AT$5:AT$40,'TRA balance'!$C$5:$C$40,Assumptions!$C5,'TRA balance'!$D$5:$D$40,Assumptions!$B5)*EN5*AW5,"")</f>
        <v/>
      </c>
      <c r="CT5" s="34" t="str">
        <f ca="1">IFERROR(SUMIFS('TRA balance'!AU$5:AU$40,'TRA balance'!$C$5:$C$40,Assumptions!$C5,'TRA balance'!$D$5:$D$40,Assumptions!$B5)*EO5*AX5,"")</f>
        <v/>
      </c>
      <c r="CU5" s="34" t="str">
        <f ca="1">IFERROR(SUMIFS('TRA balance'!AV$5:AV$40,'TRA balance'!$C$5:$C$40,Assumptions!$C5,'TRA balance'!$D$5:$D$40,Assumptions!$B5)*EP5*AY5,"")</f>
        <v/>
      </c>
      <c r="CV5" s="34" t="str">
        <f ca="1">IFERROR(SUMIFS('TRA balance'!AW$5:AW$40,'TRA balance'!$C$5:$C$40,Assumptions!$C5,'TRA balance'!$D$5:$D$40,Assumptions!$B5)*EQ5*AZ5,"")</f>
        <v/>
      </c>
      <c r="CW5" s="34" t="str">
        <f ca="1">IFERROR(SUMIFS('TRA balance'!AX$5:AX$40,'TRA balance'!$C$5:$C$40,Assumptions!$C5,'TRA balance'!$D$5:$D$40,Assumptions!$B5)*ER5*BA5,"")</f>
        <v/>
      </c>
      <c r="CY5" s="33">
        <f t="shared" si="2"/>
        <v>1</v>
      </c>
      <c r="CZ5" s="33">
        <f t="shared" si="3"/>
        <v>1</v>
      </c>
      <c r="DA5" s="33">
        <f t="shared" si="4"/>
        <v>1</v>
      </c>
      <c r="DB5" s="33">
        <f t="shared" si="5"/>
        <v>1</v>
      </c>
      <c r="DC5" s="33">
        <f t="shared" si="6"/>
        <v>1</v>
      </c>
      <c r="DD5" s="33">
        <f t="shared" si="7"/>
        <v>1</v>
      </c>
      <c r="DE5" s="33">
        <f t="shared" si="8"/>
        <v>1</v>
      </c>
      <c r="DF5" s="33">
        <f t="shared" si="9"/>
        <v>1</v>
      </c>
      <c r="DG5" s="33">
        <f t="shared" si="10"/>
        <v>1</v>
      </c>
      <c r="DH5" s="33">
        <f t="shared" si="11"/>
        <v>1</v>
      </c>
      <c r="DI5" s="33">
        <f t="shared" si="12"/>
        <v>1</v>
      </c>
      <c r="DJ5" s="33">
        <f t="shared" si="13"/>
        <v>1</v>
      </c>
      <c r="DK5" s="33">
        <f t="shared" si="14"/>
        <v>1</v>
      </c>
      <c r="DL5" s="33">
        <f t="shared" si="15"/>
        <v>1</v>
      </c>
      <c r="DM5" s="33">
        <f t="shared" si="16"/>
        <v>1</v>
      </c>
      <c r="DN5" s="33">
        <f t="shared" si="17"/>
        <v>1</v>
      </c>
      <c r="DO5" s="33">
        <f t="shared" si="18"/>
        <v>1</v>
      </c>
      <c r="DP5" s="33">
        <f t="shared" si="19"/>
        <v>1</v>
      </c>
      <c r="DQ5" s="33">
        <f t="shared" si="20"/>
        <v>1</v>
      </c>
      <c r="DR5" s="33">
        <f t="shared" si="21"/>
        <v>1</v>
      </c>
      <c r="DS5" s="33">
        <f t="shared" si="22"/>
        <v>1</v>
      </c>
      <c r="DT5" s="33">
        <f t="shared" si="23"/>
        <v>1</v>
      </c>
      <c r="DU5" s="33">
        <f t="shared" si="24"/>
        <v>1</v>
      </c>
      <c r="DV5" s="33">
        <f t="shared" si="25"/>
        <v>1</v>
      </c>
      <c r="DW5" s="33">
        <f t="shared" si="26"/>
        <v>1</v>
      </c>
      <c r="DX5" s="33">
        <f t="shared" si="27"/>
        <v>1</v>
      </c>
      <c r="DY5" s="33">
        <f t="shared" si="28"/>
        <v>1</v>
      </c>
      <c r="DZ5" s="33">
        <f t="shared" si="29"/>
        <v>1</v>
      </c>
      <c r="EA5" s="33">
        <f t="shared" si="30"/>
        <v>1</v>
      </c>
      <c r="EB5" s="33">
        <f t="shared" si="31"/>
        <v>1</v>
      </c>
      <c r="EC5" s="33">
        <f t="shared" si="32"/>
        <v>1</v>
      </c>
      <c r="ED5" s="33">
        <f t="shared" si="33"/>
        <v>1</v>
      </c>
      <c r="EE5" s="33">
        <f t="shared" si="34"/>
        <v>1</v>
      </c>
      <c r="EF5" s="33">
        <f t="shared" si="35"/>
        <v>1</v>
      </c>
      <c r="EG5" s="33">
        <f t="shared" si="36"/>
        <v>1</v>
      </c>
      <c r="EH5" s="33">
        <f t="shared" si="37"/>
        <v>1</v>
      </c>
      <c r="EI5" s="33">
        <f t="shared" si="38"/>
        <v>1</v>
      </c>
      <c r="EJ5" s="33">
        <f t="shared" si="39"/>
        <v>1</v>
      </c>
      <c r="EK5" s="33">
        <f t="shared" si="40"/>
        <v>1</v>
      </c>
      <c r="EL5" s="33">
        <f t="shared" si="41"/>
        <v>1</v>
      </c>
      <c r="EM5" s="33">
        <f t="shared" si="42"/>
        <v>1</v>
      </c>
      <c r="EN5" s="33">
        <f t="shared" si="43"/>
        <v>1</v>
      </c>
      <c r="EO5" s="33">
        <f t="shared" si="44"/>
        <v>1</v>
      </c>
      <c r="EP5" s="33">
        <f t="shared" si="45"/>
        <v>1</v>
      </c>
      <c r="EQ5" s="33">
        <f t="shared" si="46"/>
        <v>1</v>
      </c>
      <c r="ER5" s="33">
        <f t="shared" si="47"/>
        <v>1</v>
      </c>
      <c r="EU5" t="s">
        <v>66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14">
        <v>1</v>
      </c>
      <c r="D6" s="15" t="s">
        <v>16</v>
      </c>
      <c r="E6" s="15" t="s">
        <v>59</v>
      </c>
      <c r="F6" s="16" t="s">
        <v>60</v>
      </c>
      <c r="G6" s="14"/>
      <c r="H6" s="39">
        <f ca="1">OFFSET(TIAM15_assumptions!$G6,0,MATCH(VLOOKUP(Assumptions!H$2,TIAM15_assumptions!$Y$3:$Z$87,2,FALSE),TIAM15_assumptions!$H$2:$V$2,0))</f>
        <v>0.1</v>
      </c>
      <c r="I6" s="39">
        <f ca="1">OFFSET(TIAM15_assumptions!$G6,0,MATCH(VLOOKUP(Assumptions!I$2,TIAM15_assumptions!$Y$3:$Z$87,2,FALSE),TIAM15_assumptions!$H$2:$V$2,0))</f>
        <v>0.1</v>
      </c>
      <c r="J6" s="39">
        <f ca="1">OFFSET(TIAM15_assumptions!$G6,0,MATCH(VLOOKUP(Assumptions!J$2,TIAM15_assumptions!$Y$3:$Z$87,2,FALSE),TIAM15_assumptions!$H$2:$V$2,0))</f>
        <v>0.02</v>
      </c>
      <c r="K6" s="39">
        <f ca="1">OFFSET(TIAM15_assumptions!$G6,0,MATCH(VLOOKUP(Assumptions!K$2,TIAM15_assumptions!$Y$3:$Z$87,2,FALSE),TIAM15_assumptions!$H$2:$V$2,0))</f>
        <v>0.2</v>
      </c>
      <c r="L6" s="39">
        <f ca="1">OFFSET(TIAM15_assumptions!$G6,0,MATCH(VLOOKUP(Assumptions!L$2,TIAM15_assumptions!$Y$3:$Z$87,2,FALSE),TIAM15_assumptions!$H$2:$V$2,0))</f>
        <v>0.05</v>
      </c>
      <c r="M6" s="39">
        <f ca="1">OFFSET(TIAM15_assumptions!$G6,0,MATCH(VLOOKUP(Assumptions!M$2,TIAM15_assumptions!$Y$3:$Z$87,2,FALSE),TIAM15_assumptions!$H$2:$V$2,0))</f>
        <v>0.2</v>
      </c>
      <c r="N6" s="39">
        <f ca="1">OFFSET(TIAM15_assumptions!$G6,0,MATCH(VLOOKUP(Assumptions!N$2,TIAM15_assumptions!$Y$3:$Z$87,2,FALSE),TIAM15_assumptions!$H$2:$V$2,0))</f>
        <v>7.0000000000000007E-2</v>
      </c>
      <c r="O6" s="39">
        <f ca="1">OFFSET(TIAM15_assumptions!$G6,0,MATCH(VLOOKUP(Assumptions!O$2,TIAM15_assumptions!$Y$3:$Z$87,2,FALSE),TIAM15_assumptions!$H$2:$V$2,0))</f>
        <v>0.1</v>
      </c>
      <c r="P6" s="39">
        <f ca="1">OFFSET(TIAM15_assumptions!$G6,0,MATCH(VLOOKUP(Assumptions!P$2,TIAM15_assumptions!$Y$3:$Z$87,2,FALSE),TIAM15_assumptions!$H$2:$V$2,0))</f>
        <v>0.2</v>
      </c>
      <c r="Q6" s="39">
        <f ca="1">OFFSET(TIAM15_assumptions!$G6,0,MATCH(VLOOKUP(Assumptions!Q$2,TIAM15_assumptions!$Y$3:$Z$87,2,FALSE),TIAM15_assumptions!$H$2:$V$2,0))</f>
        <v>0.2</v>
      </c>
      <c r="R6" s="39">
        <f ca="1">OFFSET(TIAM15_assumptions!$G6,0,MATCH(VLOOKUP(Assumptions!R$2,TIAM15_assumptions!$Y$3:$Z$87,2,FALSE),TIAM15_assumptions!$H$2:$V$2,0))</f>
        <v>0.2</v>
      </c>
      <c r="S6" s="39">
        <f ca="1">OFFSET(TIAM15_assumptions!$G6,0,MATCH(VLOOKUP(Assumptions!S$2,TIAM15_assumptions!$Y$3:$Z$87,2,FALSE),TIAM15_assumptions!$H$2:$V$2,0))</f>
        <v>0.2</v>
      </c>
      <c r="T6" s="39">
        <f ca="1">OFFSET(TIAM15_assumptions!$G6,0,MATCH(VLOOKUP(Assumptions!T$2,TIAM15_assumptions!$Y$3:$Z$87,2,FALSE),TIAM15_assumptions!$H$2:$V$2,0))</f>
        <v>0.2</v>
      </c>
      <c r="U6" s="39">
        <f ca="1">OFFSET(TIAM15_assumptions!$G6,0,MATCH(VLOOKUP(Assumptions!U$2,TIAM15_assumptions!$Y$3:$Z$87,2,FALSE),TIAM15_assumptions!$H$2:$V$2,0))</f>
        <v>0.2</v>
      </c>
      <c r="V6" s="39">
        <f ca="1">OFFSET(TIAM15_assumptions!$G6,0,MATCH(VLOOKUP(Assumptions!V$2,TIAM15_assumptions!$Y$3:$Z$87,2,FALSE),TIAM15_assumptions!$H$2:$V$2,0))</f>
        <v>0.2</v>
      </c>
      <c r="W6" s="39">
        <f ca="1">OFFSET(TIAM15_assumptions!$G6,0,MATCH(VLOOKUP(Assumptions!W$2,TIAM15_assumptions!$Y$3:$Z$87,2,FALSE),TIAM15_assumptions!$H$2:$V$2,0))</f>
        <v>0.25</v>
      </c>
      <c r="X6" s="39">
        <f ca="1">OFFSET(TIAM15_assumptions!$G6,0,MATCH(VLOOKUP(Assumptions!X$2,TIAM15_assumptions!$Y$3:$Z$87,2,FALSE),TIAM15_assumptions!$H$2:$V$2,0))</f>
        <v>0.2</v>
      </c>
      <c r="Y6" s="39">
        <f ca="1">OFFSET(TIAM15_assumptions!$G6,0,MATCH(VLOOKUP(Assumptions!Y$2,TIAM15_assumptions!$Y$3:$Z$87,2,FALSE),TIAM15_assumptions!$H$2:$V$2,0))</f>
        <v>0.2</v>
      </c>
      <c r="Z6" s="39">
        <f ca="1">OFFSET(TIAM15_assumptions!$G6,0,MATCH(VLOOKUP(Assumptions!Z$2,TIAM15_assumptions!$Y$3:$Z$87,2,FALSE),TIAM15_assumptions!$H$2:$V$2,0))</f>
        <v>0.05</v>
      </c>
      <c r="AA6" s="39">
        <f ca="1">OFFSET(TIAM15_assumptions!$G6,0,MATCH(VLOOKUP(Assumptions!AA$2,TIAM15_assumptions!$Y$3:$Z$87,2,FALSE),TIAM15_assumptions!$H$2:$V$2,0))</f>
        <v>7.0000000000000007E-2</v>
      </c>
      <c r="AB6" s="39">
        <f ca="1">OFFSET(TIAM15_assumptions!$G6,0,MATCH(VLOOKUP(Assumptions!AB$2,TIAM15_assumptions!$Y$3:$Z$87,2,FALSE),TIAM15_assumptions!$H$2:$V$2,0))</f>
        <v>0.1</v>
      </c>
      <c r="AC6" s="39">
        <f ca="1">OFFSET(TIAM15_assumptions!$G6,0,MATCH(VLOOKUP(Assumptions!AC$2,TIAM15_assumptions!$Y$3:$Z$87,2,FALSE),TIAM15_assumptions!$H$2:$V$2,0))</f>
        <v>2.4406421822616497E-2</v>
      </c>
      <c r="AD6" s="39">
        <f ca="1">OFFSET(TIAM15_assumptions!$G6,0,MATCH(VLOOKUP(Assumptions!AD$2,TIAM15_assumptions!$Y$3:$Z$87,2,FALSE),TIAM15_assumptions!$H$2:$V$2,0))</f>
        <v>0.2</v>
      </c>
      <c r="AE6" s="39">
        <f ca="1">OFFSET(TIAM15_assumptions!$G6,0,MATCH(VLOOKUP(Assumptions!AE$2,TIAM15_assumptions!$Y$3:$Z$87,2,FALSE),TIAM15_assumptions!$H$2:$V$2,0))</f>
        <v>0.2</v>
      </c>
      <c r="AF6" s="39">
        <f ca="1">OFFSET(TIAM15_assumptions!$G6,0,MATCH(VLOOKUP(Assumptions!AF$2,TIAM15_assumptions!$Y$3:$Z$87,2,FALSE),TIAM15_assumptions!$H$2:$V$2,0))</f>
        <v>0.08</v>
      </c>
      <c r="AG6" s="39">
        <f ca="1">OFFSET(TIAM15_assumptions!$G6,0,MATCH(VLOOKUP(Assumptions!AG$2,TIAM15_assumptions!$Y$3:$Z$87,2,FALSE),TIAM15_assumptions!$H$2:$V$2,0))</f>
        <v>0.05</v>
      </c>
      <c r="AH6" s="39">
        <f ca="1">OFFSET(TIAM15_assumptions!$G6,0,MATCH(VLOOKUP(Assumptions!AH$2,TIAM15_assumptions!$Y$3:$Z$87,2,FALSE),TIAM15_assumptions!$H$2:$V$2,0))</f>
        <v>0.1</v>
      </c>
      <c r="AI6" s="39">
        <f ca="1">OFFSET(TIAM15_assumptions!$G6,0,MATCH(VLOOKUP(Assumptions!AI$2,TIAM15_assumptions!$Y$3:$Z$87,2,FALSE),TIAM15_assumptions!$H$2:$V$2,0))</f>
        <v>0.1</v>
      </c>
      <c r="AJ6" s="39">
        <f ca="1">OFFSET(TIAM15_assumptions!$G6,0,MATCH(VLOOKUP(Assumptions!AJ$2,TIAM15_assumptions!$Y$3:$Z$87,2,FALSE),TIAM15_assumptions!$H$2:$V$2,0))</f>
        <v>0.2</v>
      </c>
      <c r="AK6" s="39">
        <f ca="1">OFFSET(TIAM15_assumptions!$G6,0,MATCH(VLOOKUP(Assumptions!AK$2,TIAM15_assumptions!$Y$3:$Z$87,2,FALSE),TIAM15_assumptions!$H$2:$V$2,0))</f>
        <v>0.2</v>
      </c>
      <c r="AL6" s="39">
        <f ca="1">OFFSET(TIAM15_assumptions!$G6,0,MATCH(VLOOKUP(Assumptions!AL$2,TIAM15_assumptions!$Y$3:$Z$87,2,FALSE),TIAM15_assumptions!$H$2:$V$2,0))</f>
        <v>0.2</v>
      </c>
      <c r="AM6" s="39">
        <f ca="1">OFFSET(TIAM15_assumptions!$G6,0,MATCH(VLOOKUP(Assumptions!AM$2,TIAM15_assumptions!$Y$3:$Z$87,2,FALSE),TIAM15_assumptions!$H$2:$V$2,0))</f>
        <v>0.1</v>
      </c>
      <c r="AN6" s="39">
        <f ca="1">OFFSET(TIAM15_assumptions!$G6,0,MATCH(VLOOKUP(Assumptions!AN$2,TIAM15_assumptions!$Y$3:$Z$87,2,FALSE),TIAM15_assumptions!$H$2:$V$2,0))</f>
        <v>0.2</v>
      </c>
      <c r="AO6" s="39">
        <f ca="1">OFFSET(TIAM15_assumptions!$G6,0,MATCH(VLOOKUP(Assumptions!AO$2,TIAM15_assumptions!$Y$3:$Z$87,2,FALSE),TIAM15_assumptions!$H$2:$V$2,0))</f>
        <v>0.05</v>
      </c>
      <c r="AP6" s="39">
        <f ca="1">OFFSET(TIAM15_assumptions!$G6,0,MATCH(VLOOKUP(Assumptions!AP$2,TIAM15_assumptions!$Y$3:$Z$87,2,FALSE),TIAM15_assumptions!$H$2:$V$2,0))</f>
        <v>0.2</v>
      </c>
      <c r="AQ6" s="39">
        <f ca="1">OFFSET(TIAM15_assumptions!$G6,0,MATCH(VLOOKUP(Assumptions!AQ$2,TIAM15_assumptions!$Y$3:$Z$87,2,FALSE),TIAM15_assumptions!$H$2:$V$2,0))</f>
        <v>2.4406421822616497E-2</v>
      </c>
      <c r="AR6" s="39">
        <f ca="1">OFFSET(TIAM15_assumptions!$G6,0,MATCH(VLOOKUP(Assumptions!AR$2,TIAM15_assumptions!$Y$3:$Z$87,2,FALSE),TIAM15_assumptions!$H$2:$V$2,0))</f>
        <v>2.4406421822616497E-2</v>
      </c>
      <c r="AS6" s="39">
        <f ca="1">OFFSET(TIAM15_assumptions!$G6,0,MATCH(VLOOKUP(Assumptions!AS$2,TIAM15_assumptions!$Y$3:$Z$87,2,FALSE),TIAM15_assumptions!$H$2:$V$2,0))</f>
        <v>2.4406421822616497E-2</v>
      </c>
      <c r="AT6" s="39">
        <f ca="1">OFFSET(TIAM15_assumptions!$G6,0,MATCH(VLOOKUP(Assumptions!AT$2,TIAM15_assumptions!$Y$3:$Z$87,2,FALSE),TIAM15_assumptions!$H$2:$V$2,0))</f>
        <v>2.4406421822616497E-2</v>
      </c>
      <c r="AU6" s="39">
        <f ca="1">OFFSET(TIAM15_assumptions!$G6,0,MATCH(VLOOKUP(Assumptions!AU$2,TIAM15_assumptions!$Y$3:$Z$87,2,FALSE),TIAM15_assumptions!$H$2:$V$2,0))</f>
        <v>2.4406421822616497E-2</v>
      </c>
      <c r="AV6" s="39">
        <f ca="1">OFFSET(TIAM15_assumptions!$G6,0,MATCH(VLOOKUP(Assumptions!AV$2,TIAM15_assumptions!$Y$3:$Z$87,2,FALSE),TIAM15_assumptions!$H$2:$V$2,0))</f>
        <v>2.4406421822616497E-2</v>
      </c>
      <c r="AW6" s="39">
        <f ca="1">OFFSET(TIAM15_assumptions!$G6,0,MATCH(VLOOKUP(Assumptions!AW$2,TIAM15_assumptions!$Y$3:$Z$87,2,FALSE),TIAM15_assumptions!$H$2:$V$2,0))</f>
        <v>2.4406421822616497E-2</v>
      </c>
      <c r="AX6" s="39">
        <f ca="1">OFFSET(TIAM15_assumptions!$G6,0,MATCH(VLOOKUP(Assumptions!AX$2,TIAM15_assumptions!$Y$3:$Z$87,2,FALSE),TIAM15_assumptions!$H$2:$V$2,0))</f>
        <v>2.4406421822616497E-2</v>
      </c>
      <c r="AY6" s="39">
        <f ca="1">OFFSET(TIAM15_assumptions!$G6,0,MATCH(VLOOKUP(Assumptions!AY$2,TIAM15_assumptions!$Y$3:$Z$87,2,FALSE),TIAM15_assumptions!$H$2:$V$2,0))</f>
        <v>2.4406421822616497E-2</v>
      </c>
      <c r="AZ6" s="39">
        <f ca="1">OFFSET(TIAM15_assumptions!$G6,0,MATCH(VLOOKUP(Assumptions!AZ$2,TIAM15_assumptions!$Y$3:$Z$87,2,FALSE),TIAM15_assumptions!$H$2:$V$2,0))</f>
        <v>2.4406421822616497E-2</v>
      </c>
      <c r="BA6" s="39">
        <f ca="1">OFFSET(TIAM15_assumptions!$G6,0,MATCH(VLOOKUP(Assumptions!BA$2,TIAM15_assumptions!$Y$3:$Z$87,2,FALSE),TIAM15_assumptions!$H$2:$V$2,0))</f>
        <v>2.4406421822616497E-2</v>
      </c>
      <c r="BD6" s="34">
        <f ca="1">IFERROR(SUMIFS('TRA balance'!E$5:E$40,'TRA balance'!$C$5:$C$40,Assumptions!$C6,'TRA balance'!$D$5:$D$40,Assumptions!$B6)*CY6*H6,"")</f>
        <v>0</v>
      </c>
      <c r="BE6" s="34">
        <f ca="1">IFERROR(SUMIFS('TRA balance'!F$5:F$40,'TRA balance'!$C$5:$C$40,Assumptions!$C6,'TRA balance'!$D$5:$D$40,Assumptions!$B6)*CZ6*I6,"")</f>
        <v>0</v>
      </c>
      <c r="BF6" s="34">
        <f ca="1">IFERROR(SUMIFS('TRA balance'!G$5:G$40,'TRA balance'!$C$5:$C$40,Assumptions!$C6,'TRA balance'!$D$5:$D$40,Assumptions!$B6)*DA6*J6,"")</f>
        <v>0</v>
      </c>
      <c r="BG6" s="34">
        <f ca="1">IFERROR(SUMIFS('TRA balance'!H$5:H$40,'TRA balance'!$C$5:$C$40,Assumptions!$C6,'TRA balance'!$D$5:$D$40,Assumptions!$B6)*DB6*K6,"")</f>
        <v>0</v>
      </c>
      <c r="BH6" s="34">
        <f ca="1">IFERROR(SUMIFS('TRA balance'!I$5:I$40,'TRA balance'!$C$5:$C$40,Assumptions!$C6,'TRA balance'!$D$5:$D$40,Assumptions!$B6)*DC6*L6,"")</f>
        <v>0</v>
      </c>
      <c r="BI6" s="34">
        <f ca="1">IFERROR(SUMIFS('TRA balance'!J$5:J$40,'TRA balance'!$C$5:$C$40,Assumptions!$C6,'TRA balance'!$D$5:$D$40,Assumptions!$B6)*DD6*M6,"")</f>
        <v>0</v>
      </c>
      <c r="BJ6" s="34">
        <f ca="1">IFERROR(SUMIFS('TRA balance'!K$5:K$40,'TRA balance'!$C$5:$C$40,Assumptions!$C6,'TRA balance'!$D$5:$D$40,Assumptions!$B6)*DE6*N6,"")</f>
        <v>0</v>
      </c>
      <c r="BK6" s="34">
        <f ca="1">IFERROR(SUMIFS('TRA balance'!L$5:L$40,'TRA balance'!$C$5:$C$40,Assumptions!$C6,'TRA balance'!$D$5:$D$40,Assumptions!$B6)*DF6*O6,"")</f>
        <v>0</v>
      </c>
      <c r="BL6" s="34">
        <f ca="1">IFERROR(SUMIFS('TRA balance'!M$5:M$40,'TRA balance'!$C$5:$C$40,Assumptions!$C6,'TRA balance'!$D$5:$D$40,Assumptions!$B6)*DG6*P6,"")</f>
        <v>0</v>
      </c>
      <c r="BM6" s="34">
        <f ca="1">IFERROR(SUMIFS('TRA balance'!N$5:N$40,'TRA balance'!$C$5:$C$40,Assumptions!$C6,'TRA balance'!$D$5:$D$40,Assumptions!$B6)*DH6*Q6,"")</f>
        <v>0</v>
      </c>
      <c r="BN6" s="34">
        <f ca="1">IFERROR(SUMIFS('TRA balance'!O$5:O$40,'TRA balance'!$C$5:$C$40,Assumptions!$C6,'TRA balance'!$D$5:$D$40,Assumptions!$B6)*DI6*R6,"")</f>
        <v>0</v>
      </c>
      <c r="BO6" s="34">
        <f ca="1">IFERROR(SUMIFS('TRA balance'!P$5:P$40,'TRA balance'!$C$5:$C$40,Assumptions!$C6,'TRA balance'!$D$5:$D$40,Assumptions!$B6)*DJ6*S6,"")</f>
        <v>0</v>
      </c>
      <c r="BP6" s="34">
        <f ca="1">IFERROR(SUMIFS('TRA balance'!Q$5:Q$40,'TRA balance'!$C$5:$C$40,Assumptions!$C6,'TRA balance'!$D$5:$D$40,Assumptions!$B6)*DK6*T6,"")</f>
        <v>0</v>
      </c>
      <c r="BQ6" s="34">
        <f ca="1">IFERROR(SUMIFS('TRA balance'!R$5:R$40,'TRA balance'!$C$5:$C$40,Assumptions!$C6,'TRA balance'!$D$5:$D$40,Assumptions!$B6)*DL6*U6,"")</f>
        <v>0</v>
      </c>
      <c r="BR6" s="34">
        <f ca="1">IFERROR(SUMIFS('TRA balance'!S$5:S$40,'TRA balance'!$C$5:$C$40,Assumptions!$C6,'TRA balance'!$D$5:$D$40,Assumptions!$B6)*DM6*V6,"")</f>
        <v>0</v>
      </c>
      <c r="BS6" s="34">
        <f ca="1">IFERROR(SUMIFS('TRA balance'!T$5:T$40,'TRA balance'!$C$5:$C$40,Assumptions!$C6,'TRA balance'!$D$5:$D$40,Assumptions!$B6)*DN6*W6,"")</f>
        <v>0</v>
      </c>
      <c r="BT6" s="34">
        <f ca="1">IFERROR(SUMIFS('TRA balance'!U$5:U$40,'TRA balance'!$C$5:$C$40,Assumptions!$C6,'TRA balance'!$D$5:$D$40,Assumptions!$B6)*DO6*X6,"")</f>
        <v>0</v>
      </c>
      <c r="BU6" s="34">
        <f ca="1">IFERROR(SUMIFS('TRA balance'!V$5:V$40,'TRA balance'!$C$5:$C$40,Assumptions!$C6,'TRA balance'!$D$5:$D$40,Assumptions!$B6)*DP6*Y6,"")</f>
        <v>0</v>
      </c>
      <c r="BV6" s="34">
        <f ca="1">IFERROR(SUMIFS('TRA balance'!W$5:W$40,'TRA balance'!$C$5:$C$40,Assumptions!$C6,'TRA balance'!$D$5:$D$40,Assumptions!$B6)*DQ6*Z6,"")</f>
        <v>0</v>
      </c>
      <c r="BW6" s="34">
        <f ca="1">IFERROR(SUMIFS('TRA balance'!X$5:X$40,'TRA balance'!$C$5:$C$40,Assumptions!$C6,'TRA balance'!$D$5:$D$40,Assumptions!$B6)*DR6*AA6,"")</f>
        <v>0</v>
      </c>
      <c r="BX6" s="34">
        <f ca="1">IFERROR(SUMIFS('TRA balance'!Y$5:Y$40,'TRA balance'!$C$5:$C$40,Assumptions!$C6,'TRA balance'!$D$5:$D$40,Assumptions!$B6)*DS6*AB6,"")</f>
        <v>0</v>
      </c>
      <c r="BY6" s="34">
        <f ca="1">IFERROR(SUMIFS('TRA balance'!Z$5:Z$40,'TRA balance'!$C$5:$C$40,Assumptions!$C6,'TRA balance'!$D$5:$D$40,Assumptions!$B6)*DT6*AC6,"")</f>
        <v>0</v>
      </c>
      <c r="BZ6" s="34">
        <f ca="1">IFERROR(SUMIFS('TRA balance'!AA$5:AA$40,'TRA balance'!$C$5:$C$40,Assumptions!$C6,'TRA balance'!$D$5:$D$40,Assumptions!$B6)*DU6*AD6,"")</f>
        <v>0</v>
      </c>
      <c r="CA6" s="34">
        <f ca="1">IFERROR(SUMIFS('TRA balance'!AB$5:AB$40,'TRA balance'!$C$5:$C$40,Assumptions!$C6,'TRA balance'!$D$5:$D$40,Assumptions!$B6)*DV6*AE6,"")</f>
        <v>0</v>
      </c>
      <c r="CB6" s="34">
        <f ca="1">IFERROR(SUMIFS('TRA balance'!AC$5:AC$40,'TRA balance'!$C$5:$C$40,Assumptions!$C6,'TRA balance'!$D$5:$D$40,Assumptions!$B6)*DW6*AF6,"")</f>
        <v>0</v>
      </c>
      <c r="CC6" s="34">
        <f ca="1">IFERROR(SUMIFS('TRA balance'!AD$5:AD$40,'TRA balance'!$C$5:$C$40,Assumptions!$C6,'TRA balance'!$D$5:$D$40,Assumptions!$B6)*DX6*AG6,"")</f>
        <v>0</v>
      </c>
      <c r="CD6" s="34">
        <f ca="1">IFERROR(SUMIFS('TRA balance'!AE$5:AE$40,'TRA balance'!$C$5:$C$40,Assumptions!$C6,'TRA balance'!$D$5:$D$40,Assumptions!$B6)*DY6*AH6,"")</f>
        <v>0</v>
      </c>
      <c r="CE6" s="34">
        <f ca="1">IFERROR(SUMIFS('TRA balance'!AF$5:AF$40,'TRA balance'!$C$5:$C$40,Assumptions!$C6,'TRA balance'!$D$5:$D$40,Assumptions!$B6)*DZ6*AI6,"")</f>
        <v>0</v>
      </c>
      <c r="CF6" s="34">
        <f ca="1">IFERROR(SUMIFS('TRA balance'!AG$5:AG$40,'TRA balance'!$C$5:$C$40,Assumptions!$C6,'TRA balance'!$D$5:$D$40,Assumptions!$B6)*EA6*AJ6,"")</f>
        <v>0</v>
      </c>
      <c r="CG6" s="34">
        <f ca="1">IFERROR(SUMIFS('TRA balance'!AH$5:AH$40,'TRA balance'!$C$5:$C$40,Assumptions!$C6,'TRA balance'!$D$5:$D$40,Assumptions!$B6)*EB6*AK6,"")</f>
        <v>0</v>
      </c>
      <c r="CH6" s="34">
        <f ca="1">IFERROR(SUMIFS('TRA balance'!AI$5:AI$40,'TRA balance'!$C$5:$C$40,Assumptions!$C6,'TRA balance'!$D$5:$D$40,Assumptions!$B6)*EC6*AL6,"")</f>
        <v>0</v>
      </c>
      <c r="CI6" s="34">
        <f ca="1">IFERROR(SUMIFS('TRA balance'!AJ$5:AJ$40,'TRA balance'!$C$5:$C$40,Assumptions!$C6,'TRA balance'!$D$5:$D$40,Assumptions!$B6)*ED6*AM6,"")</f>
        <v>0</v>
      </c>
      <c r="CJ6" s="34">
        <f ca="1">IFERROR(SUMIFS('TRA balance'!AK$5:AK$40,'TRA balance'!$C$5:$C$40,Assumptions!$C6,'TRA balance'!$D$5:$D$40,Assumptions!$B6)*EE6*AN6,"")</f>
        <v>0</v>
      </c>
      <c r="CK6" s="34">
        <f ca="1">IFERROR(SUMIFS('TRA balance'!AL$5:AL$40,'TRA balance'!$C$5:$C$40,Assumptions!$C6,'TRA balance'!$D$5:$D$40,Assumptions!$B6)*EF6*AO6,"")</f>
        <v>0</v>
      </c>
      <c r="CL6" s="34">
        <f ca="1">IFERROR(SUMIFS('TRA balance'!AM$5:AM$40,'TRA balance'!$C$5:$C$40,Assumptions!$C6,'TRA balance'!$D$5:$D$40,Assumptions!$B6)*EG6*AP6,"")</f>
        <v>0</v>
      </c>
      <c r="CM6" s="34">
        <f ca="1">IFERROR(SUMIFS('TRA balance'!AN$5:AN$40,'TRA balance'!$C$5:$C$40,Assumptions!$C6,'TRA balance'!$D$5:$D$40,Assumptions!$B6)*EH6*AQ6,"")</f>
        <v>0</v>
      </c>
      <c r="CN6" s="34">
        <f ca="1">IFERROR(SUMIFS('TRA balance'!AO$5:AO$40,'TRA balance'!$C$5:$C$40,Assumptions!$C6,'TRA balance'!$D$5:$D$40,Assumptions!$B6)*EI6*AR6,"")</f>
        <v>0</v>
      </c>
      <c r="CO6" s="34">
        <f ca="1">IFERROR(SUMIFS('TRA balance'!AP$5:AP$40,'TRA balance'!$C$5:$C$40,Assumptions!$C6,'TRA balance'!$D$5:$D$40,Assumptions!$B6)*EJ6*AS6,"")</f>
        <v>0</v>
      </c>
      <c r="CP6" s="34">
        <f ca="1">IFERROR(SUMIFS('TRA balance'!AQ$5:AQ$40,'TRA balance'!$C$5:$C$40,Assumptions!$C6,'TRA balance'!$D$5:$D$40,Assumptions!$B6)*EK6*AT6,"")</f>
        <v>0</v>
      </c>
      <c r="CQ6" s="34">
        <f ca="1">IFERROR(SUMIFS('TRA balance'!AR$5:AR$40,'TRA balance'!$C$5:$C$40,Assumptions!$C6,'TRA balance'!$D$5:$D$40,Assumptions!$B6)*EL6*AU6,"")</f>
        <v>0</v>
      </c>
      <c r="CR6" s="34">
        <f ca="1">IFERROR(SUMIFS('TRA balance'!AS$5:AS$40,'TRA balance'!$C$5:$C$40,Assumptions!$C6,'TRA balance'!$D$5:$D$40,Assumptions!$B6)*EM6*AV6,"")</f>
        <v>0</v>
      </c>
      <c r="CS6" s="34">
        <f ca="1">IFERROR(SUMIFS('TRA balance'!AT$5:AT$40,'TRA balance'!$C$5:$C$40,Assumptions!$C6,'TRA balance'!$D$5:$D$40,Assumptions!$B6)*EN6*AW6,"")</f>
        <v>0</v>
      </c>
      <c r="CT6" s="34">
        <f ca="1">IFERROR(SUMIFS('TRA balance'!AU$5:AU$40,'TRA balance'!$C$5:$C$40,Assumptions!$C6,'TRA balance'!$D$5:$D$40,Assumptions!$B6)*EO6*AX6,"")</f>
        <v>0</v>
      </c>
      <c r="CU6" s="34">
        <f ca="1">IFERROR(SUMIFS('TRA balance'!AV$5:AV$40,'TRA balance'!$C$5:$C$40,Assumptions!$C6,'TRA balance'!$D$5:$D$40,Assumptions!$B6)*EP6*AY6,"")</f>
        <v>0</v>
      </c>
      <c r="CV6" s="34">
        <f ca="1">IFERROR(SUMIFS('TRA balance'!AW$5:AW$40,'TRA balance'!$C$5:$C$40,Assumptions!$C6,'TRA balance'!$D$5:$D$40,Assumptions!$B6)*EQ6*AZ6,"")</f>
        <v>0</v>
      </c>
      <c r="CW6" s="34">
        <f ca="1">IFERROR(SUMIFS('TRA balance'!AX$5:AX$40,'TRA balance'!$C$5:$C$40,Assumptions!$C6,'TRA balance'!$D$5:$D$40,Assumptions!$B6)*ER6*BA6,"")</f>
        <v>0</v>
      </c>
      <c r="CY6" s="33">
        <f t="shared" si="2"/>
        <v>1</v>
      </c>
      <c r="CZ6" s="33">
        <f t="shared" si="3"/>
        <v>1</v>
      </c>
      <c r="DA6" s="33">
        <f t="shared" si="4"/>
        <v>1</v>
      </c>
      <c r="DB6" s="33">
        <f t="shared" si="5"/>
        <v>1</v>
      </c>
      <c r="DC6" s="33">
        <f t="shared" si="6"/>
        <v>1</v>
      </c>
      <c r="DD6" s="33">
        <f t="shared" si="7"/>
        <v>1</v>
      </c>
      <c r="DE6" s="33">
        <f t="shared" si="8"/>
        <v>1</v>
      </c>
      <c r="DF6" s="33">
        <f t="shared" si="9"/>
        <v>1</v>
      </c>
      <c r="DG6" s="33">
        <f t="shared" si="10"/>
        <v>1</v>
      </c>
      <c r="DH6" s="33">
        <f t="shared" si="11"/>
        <v>1</v>
      </c>
      <c r="DI6" s="33">
        <f t="shared" si="12"/>
        <v>1</v>
      </c>
      <c r="DJ6" s="33">
        <f t="shared" si="13"/>
        <v>1</v>
      </c>
      <c r="DK6" s="33">
        <f t="shared" si="14"/>
        <v>1</v>
      </c>
      <c r="DL6" s="33">
        <f t="shared" si="15"/>
        <v>1</v>
      </c>
      <c r="DM6" s="33">
        <f t="shared" si="16"/>
        <v>1</v>
      </c>
      <c r="DN6" s="33">
        <f t="shared" si="17"/>
        <v>1</v>
      </c>
      <c r="DO6" s="33">
        <f t="shared" si="18"/>
        <v>1</v>
      </c>
      <c r="DP6" s="33">
        <f t="shared" si="19"/>
        <v>1</v>
      </c>
      <c r="DQ6" s="33">
        <f t="shared" si="20"/>
        <v>1</v>
      </c>
      <c r="DR6" s="33">
        <f t="shared" si="21"/>
        <v>1</v>
      </c>
      <c r="DS6" s="33">
        <f t="shared" si="22"/>
        <v>1</v>
      </c>
      <c r="DT6" s="33">
        <f t="shared" si="23"/>
        <v>1</v>
      </c>
      <c r="DU6" s="33">
        <f t="shared" si="24"/>
        <v>1</v>
      </c>
      <c r="DV6" s="33">
        <f t="shared" si="25"/>
        <v>1</v>
      </c>
      <c r="DW6" s="33">
        <f t="shared" si="26"/>
        <v>1</v>
      </c>
      <c r="DX6" s="33">
        <f t="shared" si="27"/>
        <v>1</v>
      </c>
      <c r="DY6" s="33">
        <f t="shared" si="28"/>
        <v>1</v>
      </c>
      <c r="DZ6" s="33">
        <f t="shared" si="29"/>
        <v>1</v>
      </c>
      <c r="EA6" s="33">
        <f t="shared" si="30"/>
        <v>1</v>
      </c>
      <c r="EB6" s="33">
        <f t="shared" si="31"/>
        <v>1</v>
      </c>
      <c r="EC6" s="33">
        <f t="shared" si="32"/>
        <v>1</v>
      </c>
      <c r="ED6" s="33">
        <f t="shared" si="33"/>
        <v>1</v>
      </c>
      <c r="EE6" s="33">
        <f t="shared" si="34"/>
        <v>1</v>
      </c>
      <c r="EF6" s="33">
        <f t="shared" si="35"/>
        <v>1</v>
      </c>
      <c r="EG6" s="33">
        <f t="shared" si="36"/>
        <v>1</v>
      </c>
      <c r="EH6" s="33">
        <f t="shared" si="37"/>
        <v>1</v>
      </c>
      <c r="EI6" s="33">
        <f t="shared" si="38"/>
        <v>1</v>
      </c>
      <c r="EJ6" s="33">
        <f t="shared" si="39"/>
        <v>1</v>
      </c>
      <c r="EK6" s="33">
        <f t="shared" si="40"/>
        <v>1</v>
      </c>
      <c r="EL6" s="33">
        <f t="shared" si="41"/>
        <v>1</v>
      </c>
      <c r="EM6" s="33">
        <f t="shared" si="42"/>
        <v>1</v>
      </c>
      <c r="EN6" s="33">
        <f t="shared" si="43"/>
        <v>1</v>
      </c>
      <c r="EO6" s="33">
        <f t="shared" si="44"/>
        <v>1</v>
      </c>
      <c r="EP6" s="33">
        <f t="shared" si="45"/>
        <v>1</v>
      </c>
      <c r="EQ6" s="33">
        <f t="shared" si="46"/>
        <v>1</v>
      </c>
      <c r="ER6" s="33">
        <f t="shared" si="47"/>
        <v>1</v>
      </c>
      <c r="EU6" t="s">
        <v>74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6" t="str">
        <f t="shared" si="48"/>
        <v>TR</v>
      </c>
      <c r="D7" s="7" t="s">
        <v>16</v>
      </c>
      <c r="E7" s="18" t="s">
        <v>61</v>
      </c>
      <c r="F7" s="8" t="str">
        <f>F6</f>
        <v>Diesel</v>
      </c>
      <c r="G7" s="6" t="s">
        <v>62</v>
      </c>
      <c r="H7" s="9">
        <f ca="1">OFFSET(TIAM15_assumptions!$G7,0,MATCH(VLOOKUP(Assumptions!H$2,TIAM15_assumptions!$Y$3:$Z$87,2,FALSE),TIAM15_assumptions!$H$2:$V$2,0))</f>
        <v>0.5</v>
      </c>
      <c r="I7" s="9">
        <f ca="1">OFFSET(TIAM15_assumptions!$G7,0,MATCH(VLOOKUP(Assumptions!I$2,TIAM15_assumptions!$Y$3:$Z$87,2,FALSE),TIAM15_assumptions!$H$2:$V$2,0))</f>
        <v>0.5</v>
      </c>
      <c r="J7" s="9">
        <f ca="1">OFFSET(TIAM15_assumptions!$G7,0,MATCH(VLOOKUP(Assumptions!J$2,TIAM15_assumptions!$Y$3:$Z$87,2,FALSE),TIAM15_assumptions!$H$2:$V$2,0))</f>
        <v>0.3</v>
      </c>
      <c r="K7" s="9">
        <f ca="1">OFFSET(TIAM15_assumptions!$G7,0,MATCH(VLOOKUP(Assumptions!K$2,TIAM15_assumptions!$Y$3:$Z$87,2,FALSE),TIAM15_assumptions!$H$2:$V$2,0))</f>
        <v>0.8</v>
      </c>
      <c r="L7" s="9">
        <f ca="1">OFFSET(TIAM15_assumptions!$G7,0,MATCH(VLOOKUP(Assumptions!L$2,TIAM15_assumptions!$Y$3:$Z$87,2,FALSE),TIAM15_assumptions!$H$2:$V$2,0))</f>
        <v>0.51</v>
      </c>
      <c r="M7" s="9">
        <f ca="1">OFFSET(TIAM15_assumptions!$G7,0,MATCH(VLOOKUP(Assumptions!M$2,TIAM15_assumptions!$Y$3:$Z$87,2,FALSE),TIAM15_assumptions!$H$2:$V$2,0))</f>
        <v>0.8</v>
      </c>
      <c r="N7" s="9">
        <f ca="1">OFFSET(TIAM15_assumptions!$G7,0,MATCH(VLOOKUP(Assumptions!N$2,TIAM15_assumptions!$Y$3:$Z$87,2,FALSE),TIAM15_assumptions!$H$2:$V$2,0))</f>
        <v>0.3</v>
      </c>
      <c r="O7" s="9">
        <f ca="1">OFFSET(TIAM15_assumptions!$G7,0,MATCH(VLOOKUP(Assumptions!O$2,TIAM15_assumptions!$Y$3:$Z$87,2,FALSE),TIAM15_assumptions!$H$2:$V$2,0))</f>
        <v>0.2</v>
      </c>
      <c r="P7" s="9">
        <f ca="1">OFFSET(TIAM15_assumptions!$G7,0,MATCH(VLOOKUP(Assumptions!P$2,TIAM15_assumptions!$Y$3:$Z$87,2,FALSE),TIAM15_assumptions!$H$2:$V$2,0))</f>
        <v>0.51</v>
      </c>
      <c r="Q7" s="9">
        <f ca="1">OFFSET(TIAM15_assumptions!$G7,0,MATCH(VLOOKUP(Assumptions!Q$2,TIAM15_assumptions!$Y$3:$Z$87,2,FALSE),TIAM15_assumptions!$H$2:$V$2,0))</f>
        <v>0.51</v>
      </c>
      <c r="R7" s="9">
        <f ca="1">OFFSET(TIAM15_assumptions!$G7,0,MATCH(VLOOKUP(Assumptions!R$2,TIAM15_assumptions!$Y$3:$Z$87,2,FALSE),TIAM15_assumptions!$H$2:$V$2,0))</f>
        <v>0.8</v>
      </c>
      <c r="S7" s="9">
        <f ca="1">OFFSET(TIAM15_assumptions!$G7,0,MATCH(VLOOKUP(Assumptions!S$2,TIAM15_assumptions!$Y$3:$Z$87,2,FALSE),TIAM15_assumptions!$H$2:$V$2,0))</f>
        <v>0.8</v>
      </c>
      <c r="T7" s="9">
        <f ca="1">OFFSET(TIAM15_assumptions!$G7,0,MATCH(VLOOKUP(Assumptions!T$2,TIAM15_assumptions!$Y$3:$Z$87,2,FALSE),TIAM15_assumptions!$H$2:$V$2,0))</f>
        <v>0.8</v>
      </c>
      <c r="U7" s="9">
        <f ca="1">OFFSET(TIAM15_assumptions!$G7,0,MATCH(VLOOKUP(Assumptions!U$2,TIAM15_assumptions!$Y$3:$Z$87,2,FALSE),TIAM15_assumptions!$H$2:$V$2,0))</f>
        <v>0.51</v>
      </c>
      <c r="V7" s="9">
        <f ca="1">OFFSET(TIAM15_assumptions!$G7,0,MATCH(VLOOKUP(Assumptions!V$2,TIAM15_assumptions!$Y$3:$Z$87,2,FALSE),TIAM15_assumptions!$H$2:$V$2,0))</f>
        <v>0.8</v>
      </c>
      <c r="W7" s="9">
        <f ca="1">OFFSET(TIAM15_assumptions!$G7,0,MATCH(VLOOKUP(Assumptions!W$2,TIAM15_assumptions!$Y$3:$Z$87,2,FALSE),TIAM15_assumptions!$H$2:$V$2,0))</f>
        <v>0.4</v>
      </c>
      <c r="X7" s="9">
        <f ca="1">OFFSET(TIAM15_assumptions!$G7,0,MATCH(VLOOKUP(Assumptions!X$2,TIAM15_assumptions!$Y$3:$Z$87,2,FALSE),TIAM15_assumptions!$H$2:$V$2,0))</f>
        <v>0.8</v>
      </c>
      <c r="Y7" s="9">
        <f ca="1">OFFSET(TIAM15_assumptions!$G7,0,MATCH(VLOOKUP(Assumptions!Y$2,TIAM15_assumptions!$Y$3:$Z$87,2,FALSE),TIAM15_assumptions!$H$2:$V$2,0))</f>
        <v>0.8</v>
      </c>
      <c r="Z7" s="9">
        <f ca="1">OFFSET(TIAM15_assumptions!$G7,0,MATCH(VLOOKUP(Assumptions!Z$2,TIAM15_assumptions!$Y$3:$Z$87,2,FALSE),TIAM15_assumptions!$H$2:$V$2,0))</f>
        <v>0.46</v>
      </c>
      <c r="AA7" s="9">
        <f ca="1">OFFSET(TIAM15_assumptions!$G7,0,MATCH(VLOOKUP(Assumptions!AA$2,TIAM15_assumptions!$Y$3:$Z$87,2,FALSE),TIAM15_assumptions!$H$2:$V$2,0))</f>
        <v>0.3</v>
      </c>
      <c r="AB7" s="9">
        <f ca="1">OFFSET(TIAM15_assumptions!$G7,0,MATCH(VLOOKUP(Assumptions!AB$2,TIAM15_assumptions!$Y$3:$Z$87,2,FALSE),TIAM15_assumptions!$H$2:$V$2,0))</f>
        <v>0.2</v>
      </c>
      <c r="AC7" s="9">
        <f ca="1">OFFSET(TIAM15_assumptions!$G7,0,MATCH(VLOOKUP(Assumptions!AC$2,TIAM15_assumptions!$Y$3:$Z$87,2,FALSE),TIAM15_assumptions!$H$2:$V$2,0))</f>
        <v>0.39173710207873419</v>
      </c>
      <c r="AD7" s="9">
        <f ca="1">OFFSET(TIAM15_assumptions!$G7,0,MATCH(VLOOKUP(Assumptions!AD$2,TIAM15_assumptions!$Y$3:$Z$87,2,FALSE),TIAM15_assumptions!$H$2:$V$2,0))</f>
        <v>0.8</v>
      </c>
      <c r="AE7" s="9">
        <f ca="1">OFFSET(TIAM15_assumptions!$G7,0,MATCH(VLOOKUP(Assumptions!AE$2,TIAM15_assumptions!$Y$3:$Z$87,2,FALSE),TIAM15_assumptions!$H$2:$V$2,0))</f>
        <v>0.51</v>
      </c>
      <c r="AF7" s="9">
        <f ca="1">OFFSET(TIAM15_assumptions!$G7,0,MATCH(VLOOKUP(Assumptions!AF$2,TIAM15_assumptions!$Y$3:$Z$87,2,FALSE),TIAM15_assumptions!$H$2:$V$2,0))</f>
        <v>0.34</v>
      </c>
      <c r="AG7" s="9">
        <f ca="1">OFFSET(TIAM15_assumptions!$G7,0,MATCH(VLOOKUP(Assumptions!AG$2,TIAM15_assumptions!$Y$3:$Z$87,2,FALSE),TIAM15_assumptions!$H$2:$V$2,0))</f>
        <v>0.51</v>
      </c>
      <c r="AH7" s="9">
        <f ca="1">OFFSET(TIAM15_assumptions!$G7,0,MATCH(VLOOKUP(Assumptions!AH$2,TIAM15_assumptions!$Y$3:$Z$87,2,FALSE),TIAM15_assumptions!$H$2:$V$2,0))</f>
        <v>0.2</v>
      </c>
      <c r="AI7" s="9">
        <f ca="1">OFFSET(TIAM15_assumptions!$G7,0,MATCH(VLOOKUP(Assumptions!AI$2,TIAM15_assumptions!$Y$3:$Z$87,2,FALSE),TIAM15_assumptions!$H$2:$V$2,0))</f>
        <v>0.5</v>
      </c>
      <c r="AJ7" s="9">
        <f ca="1">OFFSET(TIAM15_assumptions!$G7,0,MATCH(VLOOKUP(Assumptions!AJ$2,TIAM15_assumptions!$Y$3:$Z$87,2,FALSE),TIAM15_assumptions!$H$2:$V$2,0))</f>
        <v>0.8</v>
      </c>
      <c r="AK7" s="9">
        <f ca="1">OFFSET(TIAM15_assumptions!$G7,0,MATCH(VLOOKUP(Assumptions!AK$2,TIAM15_assumptions!$Y$3:$Z$87,2,FALSE),TIAM15_assumptions!$H$2:$V$2,0))</f>
        <v>0.8</v>
      </c>
      <c r="AL7" s="9">
        <f ca="1">OFFSET(TIAM15_assumptions!$G7,0,MATCH(VLOOKUP(Assumptions!AL$2,TIAM15_assumptions!$Y$3:$Z$87,2,FALSE),TIAM15_assumptions!$H$2:$V$2,0))</f>
        <v>0.8</v>
      </c>
      <c r="AM7" s="9">
        <f ca="1">OFFSET(TIAM15_assumptions!$G7,0,MATCH(VLOOKUP(Assumptions!AM$2,TIAM15_assumptions!$Y$3:$Z$87,2,FALSE),TIAM15_assumptions!$H$2:$V$2,0))</f>
        <v>0.2</v>
      </c>
      <c r="AN7" s="9">
        <f ca="1">OFFSET(TIAM15_assumptions!$G7,0,MATCH(VLOOKUP(Assumptions!AN$2,TIAM15_assumptions!$Y$3:$Z$87,2,FALSE),TIAM15_assumptions!$H$2:$V$2,0))</f>
        <v>0.8</v>
      </c>
      <c r="AO7" s="9">
        <f ca="1">OFFSET(TIAM15_assumptions!$G7,0,MATCH(VLOOKUP(Assumptions!AO$2,TIAM15_assumptions!$Y$3:$Z$87,2,FALSE),TIAM15_assumptions!$H$2:$V$2,0))</f>
        <v>0.51</v>
      </c>
      <c r="AP7" s="9">
        <f ca="1">OFFSET(TIAM15_assumptions!$G7,0,MATCH(VLOOKUP(Assumptions!AP$2,TIAM15_assumptions!$Y$3:$Z$87,2,FALSE),TIAM15_assumptions!$H$2:$V$2,0))</f>
        <v>0.51</v>
      </c>
      <c r="AQ7" s="9">
        <f ca="1">OFFSET(TIAM15_assumptions!$G7,0,MATCH(VLOOKUP(Assumptions!AQ$2,TIAM15_assumptions!$Y$3:$Z$87,2,FALSE),TIAM15_assumptions!$H$2:$V$2,0))</f>
        <v>0.39173710207873419</v>
      </c>
      <c r="AR7" s="9">
        <f ca="1">OFFSET(TIAM15_assumptions!$G7,0,MATCH(VLOOKUP(Assumptions!AR$2,TIAM15_assumptions!$Y$3:$Z$87,2,FALSE),TIAM15_assumptions!$H$2:$V$2,0))</f>
        <v>0.39173710207873419</v>
      </c>
      <c r="AS7" s="9">
        <f ca="1">OFFSET(TIAM15_assumptions!$G7,0,MATCH(VLOOKUP(Assumptions!AS$2,TIAM15_assumptions!$Y$3:$Z$87,2,FALSE),TIAM15_assumptions!$H$2:$V$2,0))</f>
        <v>0.39173710207873419</v>
      </c>
      <c r="AT7" s="9">
        <f ca="1">OFFSET(TIAM15_assumptions!$G7,0,MATCH(VLOOKUP(Assumptions!AT$2,TIAM15_assumptions!$Y$3:$Z$87,2,FALSE),TIAM15_assumptions!$H$2:$V$2,0))</f>
        <v>0.39173710207873419</v>
      </c>
      <c r="AU7" s="9">
        <f ca="1">OFFSET(TIAM15_assumptions!$G7,0,MATCH(VLOOKUP(Assumptions!AU$2,TIAM15_assumptions!$Y$3:$Z$87,2,FALSE),TIAM15_assumptions!$H$2:$V$2,0))</f>
        <v>0.39173710207873419</v>
      </c>
      <c r="AV7" s="9">
        <f ca="1">OFFSET(TIAM15_assumptions!$G7,0,MATCH(VLOOKUP(Assumptions!AV$2,TIAM15_assumptions!$Y$3:$Z$87,2,FALSE),TIAM15_assumptions!$H$2:$V$2,0))</f>
        <v>0.39173710207873419</v>
      </c>
      <c r="AW7" s="9">
        <f ca="1">OFFSET(TIAM15_assumptions!$G7,0,MATCH(VLOOKUP(Assumptions!AW$2,TIAM15_assumptions!$Y$3:$Z$87,2,FALSE),TIAM15_assumptions!$H$2:$V$2,0))</f>
        <v>0.39173710207873419</v>
      </c>
      <c r="AX7" s="9">
        <f ca="1">OFFSET(TIAM15_assumptions!$G7,0,MATCH(VLOOKUP(Assumptions!AX$2,TIAM15_assumptions!$Y$3:$Z$87,2,FALSE),TIAM15_assumptions!$H$2:$V$2,0))</f>
        <v>0.39173710207873419</v>
      </c>
      <c r="AY7" s="9">
        <f ca="1">OFFSET(TIAM15_assumptions!$G7,0,MATCH(VLOOKUP(Assumptions!AY$2,TIAM15_assumptions!$Y$3:$Z$87,2,FALSE),TIAM15_assumptions!$H$2:$V$2,0))</f>
        <v>0.39173710207873419</v>
      </c>
      <c r="AZ7" s="9">
        <f ca="1">OFFSET(TIAM15_assumptions!$G7,0,MATCH(VLOOKUP(Assumptions!AZ$2,TIAM15_assumptions!$Y$3:$Z$87,2,FALSE),TIAM15_assumptions!$H$2:$V$2,0))</f>
        <v>0.39173710207873419</v>
      </c>
      <c r="BA7" s="9">
        <f ca="1">OFFSET(TIAM15_assumptions!$G7,0,MATCH(VLOOKUP(Assumptions!BA$2,TIAM15_assumptions!$Y$3:$Z$87,2,FALSE),TIAM15_assumptions!$H$2:$V$2,0))</f>
        <v>0.39173710207873419</v>
      </c>
      <c r="BD7" s="34">
        <f ca="1">IFERROR(SUMIFS('TRA balance'!E$5:E$40,'TRA balance'!$C$5:$C$40,Assumptions!$C7,'TRA balance'!$D$5:$D$40,Assumptions!$B7)*CY7*H7,"")</f>
        <v>55.6010274303</v>
      </c>
      <c r="BE7" s="34">
        <f ca="1">IFERROR(SUMIFS('TRA balance'!F$5:F$40,'TRA balance'!$C$5:$C$40,Assumptions!$C7,'TRA balance'!$D$5:$D$40,Assumptions!$B7)*CZ7*I7,"")</f>
        <v>49.411381006080006</v>
      </c>
      <c r="BF7" s="34">
        <f ca="1">IFERROR(SUMIFS('TRA balance'!G$5:G$40,'TRA balance'!$C$5:$C$40,Assumptions!$C7,'TRA balance'!$D$5:$D$40,Assumptions!$B7)*DA7*J7,"")</f>
        <v>3.4538274663624002</v>
      </c>
      <c r="BG7" s="34">
        <f ca="1">IFERROR(SUMIFS('TRA balance'!H$5:H$40,'TRA balance'!$C$5:$C$40,Assumptions!$C7,'TRA balance'!$D$5:$D$40,Assumptions!$B7)*DB7*K7,"")</f>
        <v>41.384086976448003</v>
      </c>
      <c r="BH7" s="34">
        <f ca="1">IFERROR(SUMIFS('TRA balance'!I$5:I$40,'TRA balance'!$C$5:$C$40,Assumptions!$C7,'TRA balance'!$D$5:$D$40,Assumptions!$B7)*DC7*L7,"")</f>
        <v>3.0923864003070003</v>
      </c>
      <c r="BI7" s="34">
        <f ca="1">IFERROR(SUMIFS('TRA balance'!J$5:J$40,'TRA balance'!$C$5:$C$40,Assumptions!$C7,'TRA balance'!$D$5:$D$40,Assumptions!$B7)*DD7*M7,"")</f>
        <v>87.717149073216021</v>
      </c>
      <c r="BJ7" s="34">
        <f ca="1">IFERROR(SUMIFS('TRA balance'!K$5:K$40,'TRA balance'!$C$5:$C$40,Assumptions!$C7,'TRA balance'!$D$5:$D$40,Assumptions!$B7)*DE7*N7,"")</f>
        <v>30.155824193342404</v>
      </c>
      <c r="BK7" s="34">
        <f ca="1">IFERROR(SUMIFS('TRA balance'!L$5:L$40,'TRA balance'!$C$5:$C$40,Assumptions!$C7,'TRA balance'!$D$5:$D$40,Assumptions!$B7)*DF7*O7,"")</f>
        <v>77.627432255688007</v>
      </c>
      <c r="BL7" s="34">
        <f ca="1">IFERROR(SUMIFS('TRA balance'!M$5:M$40,'TRA balance'!$C$5:$C$40,Assumptions!$C7,'TRA balance'!$D$5:$D$40,Assumptions!$B7)*DG7*P7,"")</f>
        <v>12.290391216468</v>
      </c>
      <c r="BM7" s="34">
        <f ca="1">IFERROR(SUMIFS('TRA balance'!N$5:N$40,'TRA balance'!$C$5:$C$40,Assumptions!$C7,'TRA balance'!$D$5:$D$40,Assumptions!$B7)*DH7*Q7,"")</f>
        <v>26.336257146633603</v>
      </c>
      <c r="BN7" s="34">
        <f ca="1">IFERROR(SUMIFS('TRA balance'!O$5:O$40,'TRA balance'!$C$5:$C$40,Assumptions!$C7,'TRA balance'!$D$5:$D$40,Assumptions!$B7)*DI7*R7,"")</f>
        <v>205.82401981420804</v>
      </c>
      <c r="BO7" s="34">
        <f ca="1">IFERROR(SUMIFS('TRA balance'!P$5:P$40,'TRA balance'!$C$5:$C$40,Assumptions!$C7,'TRA balance'!$D$5:$D$40,Assumptions!$B7)*DJ7*S7,"")</f>
        <v>222.2833917168</v>
      </c>
      <c r="BP7" s="34">
        <f ca="1">IFERROR(SUMIFS('TRA balance'!Q$5:Q$40,'TRA balance'!$C$5:$C$40,Assumptions!$C7,'TRA balance'!$D$5:$D$40,Assumptions!$B7)*DK7*T7,"")</f>
        <v>17.975641284287999</v>
      </c>
      <c r="BQ7" s="34">
        <f ca="1">IFERROR(SUMIFS('TRA balance'!R$5:R$40,'TRA balance'!$C$5:$C$40,Assumptions!$C7,'TRA balance'!$D$5:$D$40,Assumptions!$B7)*DL7*U7,"")</f>
        <v>41.09003445558961</v>
      </c>
      <c r="BR7" s="34">
        <f ca="1">IFERROR(SUMIFS('TRA balance'!S$5:S$40,'TRA balance'!$C$5:$C$40,Assumptions!$C7,'TRA balance'!$D$5:$D$40,Assumptions!$B7)*DM7*V7,"")</f>
        <v>1.2327352663680002</v>
      </c>
      <c r="BS7" s="34">
        <f ca="1">IFERROR(SUMIFS('TRA balance'!T$5:T$40,'TRA balance'!$C$5:$C$40,Assumptions!$C7,'TRA balance'!$D$5:$D$40,Assumptions!$B7)*DN7*W7,"")</f>
        <v>243.36589206996001</v>
      </c>
      <c r="BT7" s="34">
        <f ca="1">IFERROR(SUMIFS('TRA balance'!U$5:U$40,'TRA balance'!$C$5:$C$40,Assumptions!$C7,'TRA balance'!$D$5:$D$40,Assumptions!$B7)*DO7*X7,"")</f>
        <v>19.735141639680002</v>
      </c>
      <c r="BU7" s="34">
        <f ca="1">IFERROR(SUMIFS('TRA balance'!V$5:V$40,'TRA balance'!$C$5:$C$40,Assumptions!$C7,'TRA balance'!$D$5:$D$40,Assumptions!$B7)*DP7*Y7,"")</f>
        <v>144.00719730028803</v>
      </c>
      <c r="BV7" s="34">
        <f ca="1">IFERROR(SUMIFS('TRA balance'!W$5:W$40,'TRA balance'!$C$5:$C$40,Assumptions!$C7,'TRA balance'!$D$5:$D$40,Assumptions!$B7)*DQ7*Z7,"")</f>
        <v>21.005232628402801</v>
      </c>
      <c r="BW7" s="34">
        <f ca="1">IFERROR(SUMIFS('TRA balance'!X$5:X$40,'TRA balance'!$C$5:$C$40,Assumptions!$C7,'TRA balance'!$D$5:$D$40,Assumptions!$B7)*DR7*AA7,"")</f>
        <v>30.961726688289602</v>
      </c>
      <c r="BX7" s="34">
        <f ca="1">IFERROR(SUMIFS('TRA balance'!Y$5:Y$40,'TRA balance'!$C$5:$C$40,Assumptions!$C7,'TRA balance'!$D$5:$D$40,Assumptions!$B7)*DS7*AB7,"")</f>
        <v>29.955318559056003</v>
      </c>
      <c r="BY7" s="34">
        <f ca="1">IFERROR(SUMIFS('TRA balance'!Z$5:Z$40,'TRA balance'!$C$5:$C$40,Assumptions!$C7,'TRA balance'!$D$5:$D$40,Assumptions!$B7)*DT7*AC7,"")</f>
        <v>60.235073070713405</v>
      </c>
      <c r="BZ7" s="34">
        <f ca="1">IFERROR(SUMIFS('TRA balance'!AA$5:AA$40,'TRA balance'!$C$5:$C$40,Assumptions!$C7,'TRA balance'!$D$5:$D$40,Assumptions!$B7)*DU7*AD7,"")</f>
        <v>14.176025830080002</v>
      </c>
      <c r="CA7" s="34">
        <f ca="1">IFERROR(SUMIFS('TRA balance'!AB$5:AB$40,'TRA balance'!$C$5:$C$40,Assumptions!$C7,'TRA balance'!$D$5:$D$40,Assumptions!$B7)*DV7*AE7,"")</f>
        <v>60.465417852765604</v>
      </c>
      <c r="CB7" s="34">
        <f ca="1">IFERROR(SUMIFS('TRA balance'!AC$5:AC$40,'TRA balance'!$C$5:$C$40,Assumptions!$C7,'TRA balance'!$D$5:$D$40,Assumptions!$B7)*DW7*AF7,"")</f>
        <v>109.21810147353794</v>
      </c>
      <c r="CC7" s="34">
        <f ca="1">IFERROR(SUMIFS('TRA balance'!AD$5:AD$40,'TRA balance'!$C$5:$C$40,Assumptions!$C7,'TRA balance'!$D$5:$D$40,Assumptions!$B7)*DX7*AG7,"")</f>
        <v>17.883902969712</v>
      </c>
      <c r="CD7" s="34">
        <f ca="1">IFERROR(SUMIFS('TRA balance'!AE$5:AE$40,'TRA balance'!$C$5:$C$40,Assumptions!$C7,'TRA balance'!$D$5:$D$40,Assumptions!$B7)*DY7*AH7,"")</f>
        <v>17.03597448168</v>
      </c>
      <c r="CE7" s="34">
        <f ca="1">IFERROR(SUMIFS('TRA balance'!AF$5:AF$40,'TRA balance'!$C$5:$C$40,Assumptions!$C7,'TRA balance'!$D$5:$D$40,Assumptions!$B7)*DZ7*AI7,"")</f>
        <v>17.356409544959998</v>
      </c>
      <c r="CF7" s="34">
        <f ca="1">IFERROR(SUMIFS('TRA balance'!AG$5:AG$40,'TRA balance'!$C$5:$C$40,Assumptions!$C7,'TRA balance'!$D$5:$D$40,Assumptions!$B7)*EA7*AJ7,"")</f>
        <v>171.86916827808</v>
      </c>
      <c r="CG7" s="34">
        <f ca="1">IFERROR(SUMIFS('TRA balance'!AH$5:AH$40,'TRA balance'!$C$5:$C$40,Assumptions!$C7,'TRA balance'!$D$5:$D$40,Assumptions!$B7)*EB7*AK7,"")</f>
        <v>51.594066358272009</v>
      </c>
      <c r="CH7" s="34">
        <f ca="1">IFERROR(SUMIFS('TRA balance'!AI$5:AI$40,'TRA balance'!$C$5:$C$40,Assumptions!$C7,'TRA balance'!$D$5:$D$40,Assumptions!$B7)*EC7*AL7,"")</f>
        <v>18.210429659520003</v>
      </c>
      <c r="CI7" s="34">
        <f ca="1">IFERROR(SUMIFS('TRA balance'!AJ$5:AJ$40,'TRA balance'!$C$5:$C$40,Assumptions!$C7,'TRA balance'!$D$5:$D$40,Assumptions!$B7)*ED7*AM7,"")</f>
        <v>16.447008030984001</v>
      </c>
      <c r="CJ7" s="34">
        <f ca="1">IFERROR(SUMIFS('TRA balance'!AK$5:AK$40,'TRA balance'!$C$5:$C$40,Assumptions!$C7,'TRA balance'!$D$5:$D$40,Assumptions!$B7)*EE7*AN7,"")</f>
        <v>162.26230915929602</v>
      </c>
      <c r="CK7" s="34">
        <f ca="1">IFERROR(SUMIFS('TRA balance'!AL$5:AL$40,'TRA balance'!$C$5:$C$40,Assumptions!$C7,'TRA balance'!$D$5:$D$40,Assumptions!$B7)*EF7*AO7,"")</f>
        <v>4.6357572565998</v>
      </c>
      <c r="CL7" s="34">
        <f ca="1">IFERROR(SUMIFS('TRA balance'!AM$5:AM$40,'TRA balance'!$C$5:$C$40,Assumptions!$C7,'TRA balance'!$D$5:$D$40,Assumptions!$B7)*EG7*AP7,"")</f>
        <v>19.147501190412001</v>
      </c>
      <c r="CM7" s="34">
        <f ca="1">IFERROR(SUMIFS('TRA balance'!AN$5:AN$40,'TRA balance'!$C$5:$C$40,Assumptions!$C7,'TRA balance'!$D$5:$D$40,Assumptions!$B7)*EH7*AQ7,"")</f>
        <v>0</v>
      </c>
      <c r="CN7" s="34">
        <f ca="1">IFERROR(SUMIFS('TRA balance'!AO$5:AO$40,'TRA balance'!$C$5:$C$40,Assumptions!$C7,'TRA balance'!$D$5:$D$40,Assumptions!$B7)*EI7*AR7,"")</f>
        <v>0</v>
      </c>
      <c r="CO7" s="34">
        <f ca="1">IFERROR(SUMIFS('TRA balance'!AP$5:AP$40,'TRA balance'!$C$5:$C$40,Assumptions!$C7,'TRA balance'!$D$5:$D$40,Assumptions!$B7)*EJ7*AS7,"")</f>
        <v>0</v>
      </c>
      <c r="CP7" s="34">
        <f ca="1">IFERROR(SUMIFS('TRA balance'!AQ$5:AQ$40,'TRA balance'!$C$5:$C$40,Assumptions!$C7,'TRA balance'!$D$5:$D$40,Assumptions!$B7)*EK7*AT7,"")</f>
        <v>0</v>
      </c>
      <c r="CQ7" s="34">
        <f ca="1">IFERROR(SUMIFS('TRA balance'!AR$5:AR$40,'TRA balance'!$C$5:$C$40,Assumptions!$C7,'TRA balance'!$D$5:$D$40,Assumptions!$B7)*EL7*AU7,"")</f>
        <v>0</v>
      </c>
      <c r="CR7" s="34">
        <f ca="1">IFERROR(SUMIFS('TRA balance'!AS$5:AS$40,'TRA balance'!$C$5:$C$40,Assumptions!$C7,'TRA balance'!$D$5:$D$40,Assumptions!$B7)*EM7*AV7,"")</f>
        <v>0</v>
      </c>
      <c r="CS7" s="34">
        <f ca="1">IFERROR(SUMIFS('TRA balance'!AT$5:AT$40,'TRA balance'!$C$5:$C$40,Assumptions!$C7,'TRA balance'!$D$5:$D$40,Assumptions!$B7)*EN7*AW7,"")</f>
        <v>0</v>
      </c>
      <c r="CT7" s="34">
        <f ca="1">IFERROR(SUMIFS('TRA balance'!AU$5:AU$40,'TRA balance'!$C$5:$C$40,Assumptions!$C7,'TRA balance'!$D$5:$D$40,Assumptions!$B7)*EO7*AX7,"")</f>
        <v>0</v>
      </c>
      <c r="CU7" s="34">
        <f ca="1">IFERROR(SUMIFS('TRA balance'!AV$5:AV$40,'TRA balance'!$C$5:$C$40,Assumptions!$C7,'TRA balance'!$D$5:$D$40,Assumptions!$B7)*EP7*AY7,"")</f>
        <v>0</v>
      </c>
      <c r="CV7" s="34">
        <f ca="1">IFERROR(SUMIFS('TRA balance'!AW$5:AW$40,'TRA balance'!$C$5:$C$40,Assumptions!$C7,'TRA balance'!$D$5:$D$40,Assumptions!$B7)*EQ7*AZ7,"")</f>
        <v>0</v>
      </c>
      <c r="CW7" s="34">
        <f ca="1">IFERROR(SUMIFS('TRA balance'!AX$5:AX$40,'TRA balance'!$C$5:$C$40,Assumptions!$C7,'TRA balance'!$D$5:$D$40,Assumptions!$B7)*ER7*BA7,"")</f>
        <v>0</v>
      </c>
      <c r="CY7" s="33">
        <f t="shared" ca="1" si="2"/>
        <v>0.1</v>
      </c>
      <c r="CZ7" s="33">
        <f t="shared" ca="1" si="3"/>
        <v>0.1</v>
      </c>
      <c r="DA7" s="33">
        <f t="shared" ca="1" si="4"/>
        <v>0.02</v>
      </c>
      <c r="DB7" s="33">
        <f t="shared" ca="1" si="5"/>
        <v>0.2</v>
      </c>
      <c r="DC7" s="33">
        <f t="shared" ca="1" si="6"/>
        <v>0.05</v>
      </c>
      <c r="DD7" s="33">
        <f t="shared" ca="1" si="7"/>
        <v>0.2</v>
      </c>
      <c r="DE7" s="33">
        <f t="shared" ca="1" si="8"/>
        <v>7.0000000000000007E-2</v>
      </c>
      <c r="DF7" s="33">
        <f t="shared" ca="1" si="9"/>
        <v>0.1</v>
      </c>
      <c r="DG7" s="33">
        <f t="shared" ca="1" si="10"/>
        <v>0.2</v>
      </c>
      <c r="DH7" s="33">
        <f t="shared" ca="1" si="11"/>
        <v>0.2</v>
      </c>
      <c r="DI7" s="33">
        <f t="shared" ca="1" si="12"/>
        <v>0.2</v>
      </c>
      <c r="DJ7" s="33">
        <f t="shared" ca="1" si="13"/>
        <v>0.2</v>
      </c>
      <c r="DK7" s="33">
        <f t="shared" ca="1" si="14"/>
        <v>0.2</v>
      </c>
      <c r="DL7" s="33">
        <f t="shared" ca="1" si="15"/>
        <v>0.2</v>
      </c>
      <c r="DM7" s="33">
        <f t="shared" ca="1" si="16"/>
        <v>0.2</v>
      </c>
      <c r="DN7" s="33">
        <f t="shared" ca="1" si="17"/>
        <v>0.25</v>
      </c>
      <c r="DO7" s="33">
        <f t="shared" ca="1" si="18"/>
        <v>0.2</v>
      </c>
      <c r="DP7" s="33">
        <f t="shared" ca="1" si="19"/>
        <v>0.2</v>
      </c>
      <c r="DQ7" s="33">
        <f t="shared" ca="1" si="20"/>
        <v>0.05</v>
      </c>
      <c r="DR7" s="33">
        <f t="shared" ca="1" si="21"/>
        <v>7.0000000000000007E-2</v>
      </c>
      <c r="DS7" s="33">
        <f t="shared" ca="1" si="22"/>
        <v>0.1</v>
      </c>
      <c r="DT7" s="33">
        <f t="shared" ca="1" si="23"/>
        <v>2.4406421822616497E-2</v>
      </c>
      <c r="DU7" s="33">
        <f t="shared" ca="1" si="24"/>
        <v>0.2</v>
      </c>
      <c r="DV7" s="33">
        <f t="shared" ca="1" si="25"/>
        <v>0.2</v>
      </c>
      <c r="DW7" s="33">
        <f t="shared" ca="1" si="26"/>
        <v>0.08</v>
      </c>
      <c r="DX7" s="33">
        <f t="shared" ca="1" si="27"/>
        <v>0.05</v>
      </c>
      <c r="DY7" s="33">
        <f t="shared" ca="1" si="28"/>
        <v>0.1</v>
      </c>
      <c r="DZ7" s="33">
        <f t="shared" ca="1" si="29"/>
        <v>0.1</v>
      </c>
      <c r="EA7" s="33">
        <f t="shared" ca="1" si="30"/>
        <v>0.2</v>
      </c>
      <c r="EB7" s="33">
        <f t="shared" ca="1" si="31"/>
        <v>0.2</v>
      </c>
      <c r="EC7" s="33">
        <f t="shared" ca="1" si="32"/>
        <v>0.2</v>
      </c>
      <c r="ED7" s="33">
        <f t="shared" ca="1" si="33"/>
        <v>0.1</v>
      </c>
      <c r="EE7" s="33">
        <f t="shared" ca="1" si="34"/>
        <v>0.2</v>
      </c>
      <c r="EF7" s="33">
        <f t="shared" ca="1" si="35"/>
        <v>0.05</v>
      </c>
      <c r="EG7" s="33">
        <f t="shared" ca="1" si="36"/>
        <v>0.2</v>
      </c>
      <c r="EH7" s="33">
        <f t="shared" ca="1" si="37"/>
        <v>2.4406421822616497E-2</v>
      </c>
      <c r="EI7" s="33">
        <f t="shared" ca="1" si="38"/>
        <v>2.4406421822616497E-2</v>
      </c>
      <c r="EJ7" s="33">
        <f t="shared" ca="1" si="39"/>
        <v>2.4406421822616497E-2</v>
      </c>
      <c r="EK7" s="33">
        <f t="shared" ca="1" si="40"/>
        <v>2.4406421822616497E-2</v>
      </c>
      <c r="EL7" s="33">
        <f t="shared" ca="1" si="41"/>
        <v>2.4406421822616497E-2</v>
      </c>
      <c r="EM7" s="33">
        <f t="shared" ca="1" si="42"/>
        <v>2.4406421822616497E-2</v>
      </c>
      <c r="EN7" s="33">
        <f t="shared" ca="1" si="43"/>
        <v>2.4406421822616497E-2</v>
      </c>
      <c r="EO7" s="33">
        <f t="shared" ca="1" si="44"/>
        <v>2.4406421822616497E-2</v>
      </c>
      <c r="EP7" s="33">
        <f t="shared" ca="1" si="45"/>
        <v>2.4406421822616497E-2</v>
      </c>
      <c r="EQ7" s="33">
        <f t="shared" ca="1" si="46"/>
        <v>2.4406421822616497E-2</v>
      </c>
      <c r="ER7" s="33">
        <f t="shared" ca="1" si="47"/>
        <v>2.4406421822616497E-2</v>
      </c>
      <c r="EU7" t="s">
        <v>64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6" t="str">
        <f t="shared" si="48"/>
        <v>TR</v>
      </c>
      <c r="D8" s="7" t="s">
        <v>16</v>
      </c>
      <c r="E8" s="18" t="s">
        <v>63</v>
      </c>
      <c r="F8" s="8" t="str">
        <f t="shared" ref="F8:F11" si="52">F7</f>
        <v>Diesel</v>
      </c>
      <c r="G8" s="6" t="s">
        <v>64</v>
      </c>
      <c r="H8" s="9">
        <f ca="1">OFFSET(TIAM15_assumptions!$G8,0,MATCH(VLOOKUP(Assumptions!H$2,TIAM15_assumptions!$Y$3:$Z$87,2,FALSE),TIAM15_assumptions!$H$2:$V$2,0))</f>
        <v>0.5</v>
      </c>
      <c r="I8" s="9">
        <f ca="1">OFFSET(TIAM15_assumptions!$G8,0,MATCH(VLOOKUP(Assumptions!I$2,TIAM15_assumptions!$Y$3:$Z$87,2,FALSE),TIAM15_assumptions!$H$2:$V$2,0))</f>
        <v>0.5</v>
      </c>
      <c r="J8" s="9">
        <f ca="1">OFFSET(TIAM15_assumptions!$G8,0,MATCH(VLOOKUP(Assumptions!J$2,TIAM15_assumptions!$Y$3:$Z$87,2,FALSE),TIAM15_assumptions!$H$2:$V$2,0))</f>
        <v>0.7</v>
      </c>
      <c r="K8" s="9">
        <f ca="1">OFFSET(TIAM15_assumptions!$G8,0,MATCH(VLOOKUP(Assumptions!K$2,TIAM15_assumptions!$Y$3:$Z$87,2,FALSE),TIAM15_assumptions!$H$2:$V$2,0))</f>
        <v>0.2</v>
      </c>
      <c r="L8" s="9">
        <f ca="1">OFFSET(TIAM15_assumptions!$G8,0,MATCH(VLOOKUP(Assumptions!L$2,TIAM15_assumptions!$Y$3:$Z$87,2,FALSE),TIAM15_assumptions!$H$2:$V$2,0))</f>
        <v>0.49</v>
      </c>
      <c r="M8" s="9">
        <f ca="1">OFFSET(TIAM15_assumptions!$G8,0,MATCH(VLOOKUP(Assumptions!M$2,TIAM15_assumptions!$Y$3:$Z$87,2,FALSE),TIAM15_assumptions!$H$2:$V$2,0))</f>
        <v>0.2</v>
      </c>
      <c r="N8" s="9">
        <f ca="1">OFFSET(TIAM15_assumptions!$G8,0,MATCH(VLOOKUP(Assumptions!N$2,TIAM15_assumptions!$Y$3:$Z$87,2,FALSE),TIAM15_assumptions!$H$2:$V$2,0))</f>
        <v>0.69</v>
      </c>
      <c r="O8" s="9">
        <f ca="1">OFFSET(TIAM15_assumptions!$G8,0,MATCH(VLOOKUP(Assumptions!O$2,TIAM15_assumptions!$Y$3:$Z$87,2,FALSE),TIAM15_assumptions!$H$2:$V$2,0))</f>
        <v>0.2</v>
      </c>
      <c r="P8" s="9">
        <f ca="1">OFFSET(TIAM15_assumptions!$G8,0,MATCH(VLOOKUP(Assumptions!P$2,TIAM15_assumptions!$Y$3:$Z$87,2,FALSE),TIAM15_assumptions!$H$2:$V$2,0))</f>
        <v>0.49</v>
      </c>
      <c r="Q8" s="9">
        <f ca="1">OFFSET(TIAM15_assumptions!$G8,0,MATCH(VLOOKUP(Assumptions!Q$2,TIAM15_assumptions!$Y$3:$Z$87,2,FALSE),TIAM15_assumptions!$H$2:$V$2,0))</f>
        <v>0.49</v>
      </c>
      <c r="R8" s="9">
        <f ca="1">OFFSET(TIAM15_assumptions!$G8,0,MATCH(VLOOKUP(Assumptions!R$2,TIAM15_assumptions!$Y$3:$Z$87,2,FALSE),TIAM15_assumptions!$H$2:$V$2,0))</f>
        <v>0.2</v>
      </c>
      <c r="S8" s="9">
        <f ca="1">OFFSET(TIAM15_assumptions!$G8,0,MATCH(VLOOKUP(Assumptions!S$2,TIAM15_assumptions!$Y$3:$Z$87,2,FALSE),TIAM15_assumptions!$H$2:$V$2,0))</f>
        <v>0.2</v>
      </c>
      <c r="T8" s="9">
        <f ca="1">OFFSET(TIAM15_assumptions!$G8,0,MATCH(VLOOKUP(Assumptions!T$2,TIAM15_assumptions!$Y$3:$Z$87,2,FALSE),TIAM15_assumptions!$H$2:$V$2,0))</f>
        <v>0.2</v>
      </c>
      <c r="U8" s="9">
        <f ca="1">OFFSET(TIAM15_assumptions!$G8,0,MATCH(VLOOKUP(Assumptions!U$2,TIAM15_assumptions!$Y$3:$Z$87,2,FALSE),TIAM15_assumptions!$H$2:$V$2,0))</f>
        <v>0.49</v>
      </c>
      <c r="V8" s="9">
        <f ca="1">OFFSET(TIAM15_assumptions!$G8,0,MATCH(VLOOKUP(Assumptions!V$2,TIAM15_assumptions!$Y$3:$Z$87,2,FALSE),TIAM15_assumptions!$H$2:$V$2,0))</f>
        <v>0.2</v>
      </c>
      <c r="W8" s="9">
        <f ca="1">OFFSET(TIAM15_assumptions!$G8,0,MATCH(VLOOKUP(Assumptions!W$2,TIAM15_assumptions!$Y$3:$Z$87,2,FALSE),TIAM15_assumptions!$H$2:$V$2,0))</f>
        <v>0.35</v>
      </c>
      <c r="X8" s="9">
        <f ca="1">OFFSET(TIAM15_assumptions!$G8,0,MATCH(VLOOKUP(Assumptions!X$2,TIAM15_assumptions!$Y$3:$Z$87,2,FALSE),TIAM15_assumptions!$H$2:$V$2,0))</f>
        <v>0.2</v>
      </c>
      <c r="Y8" s="9">
        <f ca="1">OFFSET(TIAM15_assumptions!$G8,0,MATCH(VLOOKUP(Assumptions!Y$2,TIAM15_assumptions!$Y$3:$Z$87,2,FALSE),TIAM15_assumptions!$H$2:$V$2,0))</f>
        <v>0.2</v>
      </c>
      <c r="Z8" s="9">
        <f ca="1">OFFSET(TIAM15_assumptions!$G8,0,MATCH(VLOOKUP(Assumptions!Z$2,TIAM15_assumptions!$Y$3:$Z$87,2,FALSE),TIAM15_assumptions!$H$2:$V$2,0))</f>
        <v>0.53</v>
      </c>
      <c r="AA8" s="9">
        <f ca="1">OFFSET(TIAM15_assumptions!$G8,0,MATCH(VLOOKUP(Assumptions!AA$2,TIAM15_assumptions!$Y$3:$Z$87,2,FALSE),TIAM15_assumptions!$H$2:$V$2,0))</f>
        <v>0.69</v>
      </c>
      <c r="AB8" s="9">
        <f ca="1">OFFSET(TIAM15_assumptions!$G8,0,MATCH(VLOOKUP(Assumptions!AB$2,TIAM15_assumptions!$Y$3:$Z$87,2,FALSE),TIAM15_assumptions!$H$2:$V$2,0))</f>
        <v>0.8</v>
      </c>
      <c r="AC8" s="9">
        <f ca="1">OFFSET(TIAM15_assumptions!$G8,0,MATCH(VLOOKUP(Assumptions!AC$2,TIAM15_assumptions!$Y$3:$Z$87,2,FALSE),TIAM15_assumptions!$H$2:$V$2,0))</f>
        <v>0.60826289792126587</v>
      </c>
      <c r="AD8" s="9">
        <f ca="1">OFFSET(TIAM15_assumptions!$G8,0,MATCH(VLOOKUP(Assumptions!AD$2,TIAM15_assumptions!$Y$3:$Z$87,2,FALSE),TIAM15_assumptions!$H$2:$V$2,0))</f>
        <v>0.2</v>
      </c>
      <c r="AE8" s="9">
        <f ca="1">OFFSET(TIAM15_assumptions!$G8,0,MATCH(VLOOKUP(Assumptions!AE$2,TIAM15_assumptions!$Y$3:$Z$87,2,FALSE),TIAM15_assumptions!$H$2:$V$2,0))</f>
        <v>0.49</v>
      </c>
      <c r="AF8" s="9">
        <f ca="1">OFFSET(TIAM15_assumptions!$G8,0,MATCH(VLOOKUP(Assumptions!AF$2,TIAM15_assumptions!$Y$3:$Z$87,2,FALSE),TIAM15_assumptions!$H$2:$V$2,0))</f>
        <v>0.66</v>
      </c>
      <c r="AG8" s="9">
        <f ca="1">OFFSET(TIAM15_assumptions!$G8,0,MATCH(VLOOKUP(Assumptions!AG$2,TIAM15_assumptions!$Y$3:$Z$87,2,FALSE),TIAM15_assumptions!$H$2:$V$2,0))</f>
        <v>0.49</v>
      </c>
      <c r="AH8" s="9">
        <f ca="1">OFFSET(TIAM15_assumptions!$G8,0,MATCH(VLOOKUP(Assumptions!AH$2,TIAM15_assumptions!$Y$3:$Z$87,2,FALSE),TIAM15_assumptions!$H$2:$V$2,0))</f>
        <v>0.8</v>
      </c>
      <c r="AI8" s="9">
        <f ca="1">OFFSET(TIAM15_assumptions!$G8,0,MATCH(VLOOKUP(Assumptions!AI$2,TIAM15_assumptions!$Y$3:$Z$87,2,FALSE),TIAM15_assumptions!$H$2:$V$2,0))</f>
        <v>0.5</v>
      </c>
      <c r="AJ8" s="9">
        <f ca="1">OFFSET(TIAM15_assumptions!$G8,0,MATCH(VLOOKUP(Assumptions!AJ$2,TIAM15_assumptions!$Y$3:$Z$87,2,FALSE),TIAM15_assumptions!$H$2:$V$2,0))</f>
        <v>0.2</v>
      </c>
      <c r="AK8" s="9">
        <f ca="1">OFFSET(TIAM15_assumptions!$G8,0,MATCH(VLOOKUP(Assumptions!AK$2,TIAM15_assumptions!$Y$3:$Z$87,2,FALSE),TIAM15_assumptions!$H$2:$V$2,0))</f>
        <v>0.2</v>
      </c>
      <c r="AL8" s="9">
        <f ca="1">OFFSET(TIAM15_assumptions!$G8,0,MATCH(VLOOKUP(Assumptions!AL$2,TIAM15_assumptions!$Y$3:$Z$87,2,FALSE),TIAM15_assumptions!$H$2:$V$2,0))</f>
        <v>0.2</v>
      </c>
      <c r="AM8" s="9">
        <f ca="1">OFFSET(TIAM15_assumptions!$G8,0,MATCH(VLOOKUP(Assumptions!AM$2,TIAM15_assumptions!$Y$3:$Z$87,2,FALSE),TIAM15_assumptions!$H$2:$V$2,0))</f>
        <v>0.8</v>
      </c>
      <c r="AN8" s="9">
        <f ca="1">OFFSET(TIAM15_assumptions!$G8,0,MATCH(VLOOKUP(Assumptions!AN$2,TIAM15_assumptions!$Y$3:$Z$87,2,FALSE),TIAM15_assumptions!$H$2:$V$2,0))</f>
        <v>0.2</v>
      </c>
      <c r="AO8" s="9">
        <f ca="1">OFFSET(TIAM15_assumptions!$G8,0,MATCH(VLOOKUP(Assumptions!AO$2,TIAM15_assumptions!$Y$3:$Z$87,2,FALSE),TIAM15_assumptions!$H$2:$V$2,0))</f>
        <v>0.49</v>
      </c>
      <c r="AP8" s="9">
        <f ca="1">OFFSET(TIAM15_assumptions!$G8,0,MATCH(VLOOKUP(Assumptions!AP$2,TIAM15_assumptions!$Y$3:$Z$87,2,FALSE),TIAM15_assumptions!$H$2:$V$2,0))</f>
        <v>0.49</v>
      </c>
      <c r="AQ8" s="9">
        <f ca="1">OFFSET(TIAM15_assumptions!$G8,0,MATCH(VLOOKUP(Assumptions!AQ$2,TIAM15_assumptions!$Y$3:$Z$87,2,FALSE),TIAM15_assumptions!$H$2:$V$2,0))</f>
        <v>0.60826289792126587</v>
      </c>
      <c r="AR8" s="9">
        <f ca="1">OFFSET(TIAM15_assumptions!$G8,0,MATCH(VLOOKUP(Assumptions!AR$2,TIAM15_assumptions!$Y$3:$Z$87,2,FALSE),TIAM15_assumptions!$H$2:$V$2,0))</f>
        <v>0.60826289792126587</v>
      </c>
      <c r="AS8" s="9">
        <f ca="1">OFFSET(TIAM15_assumptions!$G8,0,MATCH(VLOOKUP(Assumptions!AS$2,TIAM15_assumptions!$Y$3:$Z$87,2,FALSE),TIAM15_assumptions!$H$2:$V$2,0))</f>
        <v>0.60826289792126587</v>
      </c>
      <c r="AT8" s="9">
        <f ca="1">OFFSET(TIAM15_assumptions!$G8,0,MATCH(VLOOKUP(Assumptions!AT$2,TIAM15_assumptions!$Y$3:$Z$87,2,FALSE),TIAM15_assumptions!$H$2:$V$2,0))</f>
        <v>0.60826289792126587</v>
      </c>
      <c r="AU8" s="9">
        <f ca="1">OFFSET(TIAM15_assumptions!$G8,0,MATCH(VLOOKUP(Assumptions!AU$2,TIAM15_assumptions!$Y$3:$Z$87,2,FALSE),TIAM15_assumptions!$H$2:$V$2,0))</f>
        <v>0.60826289792126587</v>
      </c>
      <c r="AV8" s="9">
        <f ca="1">OFFSET(TIAM15_assumptions!$G8,0,MATCH(VLOOKUP(Assumptions!AV$2,TIAM15_assumptions!$Y$3:$Z$87,2,FALSE),TIAM15_assumptions!$H$2:$V$2,0))</f>
        <v>0.60826289792126587</v>
      </c>
      <c r="AW8" s="9">
        <f ca="1">OFFSET(TIAM15_assumptions!$G8,0,MATCH(VLOOKUP(Assumptions!AW$2,TIAM15_assumptions!$Y$3:$Z$87,2,FALSE),TIAM15_assumptions!$H$2:$V$2,0))</f>
        <v>0.60826289792126587</v>
      </c>
      <c r="AX8" s="9">
        <f ca="1">OFFSET(TIAM15_assumptions!$G8,0,MATCH(VLOOKUP(Assumptions!AX$2,TIAM15_assumptions!$Y$3:$Z$87,2,FALSE),TIAM15_assumptions!$H$2:$V$2,0))</f>
        <v>0.60826289792126587</v>
      </c>
      <c r="AY8" s="9">
        <f ca="1">OFFSET(TIAM15_assumptions!$G8,0,MATCH(VLOOKUP(Assumptions!AY$2,TIAM15_assumptions!$Y$3:$Z$87,2,FALSE),TIAM15_assumptions!$H$2:$V$2,0))</f>
        <v>0.60826289792126587</v>
      </c>
      <c r="AZ8" s="9">
        <f ca="1">OFFSET(TIAM15_assumptions!$G8,0,MATCH(VLOOKUP(Assumptions!AZ$2,TIAM15_assumptions!$Y$3:$Z$87,2,FALSE),TIAM15_assumptions!$H$2:$V$2,0))</f>
        <v>0.60826289792126587</v>
      </c>
      <c r="BA8" s="9">
        <f ca="1">OFFSET(TIAM15_assumptions!$G8,0,MATCH(VLOOKUP(Assumptions!BA$2,TIAM15_assumptions!$Y$3:$Z$87,2,FALSE),TIAM15_assumptions!$H$2:$V$2,0))</f>
        <v>0.60826289792126587</v>
      </c>
      <c r="BD8" s="34">
        <f ca="1">IFERROR(SUMIFS('TRA balance'!E$5:E$40,'TRA balance'!$C$5:$C$40,Assumptions!$C8,'TRA balance'!$D$5:$D$40,Assumptions!$B8)*CY8*H8,"")</f>
        <v>55.6010274303</v>
      </c>
      <c r="BE8" s="34">
        <f ca="1">IFERROR(SUMIFS('TRA balance'!F$5:F$40,'TRA balance'!$C$5:$C$40,Assumptions!$C8,'TRA balance'!$D$5:$D$40,Assumptions!$B8)*CZ8*I8,"")</f>
        <v>49.411381006080006</v>
      </c>
      <c r="BF8" s="34">
        <f ca="1">IFERROR(SUMIFS('TRA balance'!G$5:G$40,'TRA balance'!$C$5:$C$40,Assumptions!$C8,'TRA balance'!$D$5:$D$40,Assumptions!$B8)*DA8*J8,"")</f>
        <v>8.0589307548455995</v>
      </c>
      <c r="BG8" s="34">
        <f ca="1">IFERROR(SUMIFS('TRA balance'!H$5:H$40,'TRA balance'!$C$5:$C$40,Assumptions!$C8,'TRA balance'!$D$5:$D$40,Assumptions!$B8)*DB8*K8,"")</f>
        <v>10.346021744112001</v>
      </c>
      <c r="BH8" s="34">
        <f ca="1">IFERROR(SUMIFS('TRA balance'!I$5:I$40,'TRA balance'!$C$5:$C$40,Assumptions!$C8,'TRA balance'!$D$5:$D$40,Assumptions!$B8)*DC8*L8,"")</f>
        <v>2.9711163453929998</v>
      </c>
      <c r="BI8" s="34">
        <f ca="1">IFERROR(SUMIFS('TRA balance'!J$5:J$40,'TRA balance'!$C$5:$C$40,Assumptions!$C8,'TRA balance'!$D$5:$D$40,Assumptions!$B8)*DD8*M8,"")</f>
        <v>21.929287268304005</v>
      </c>
      <c r="BJ8" s="34">
        <f ca="1">IFERROR(SUMIFS('TRA balance'!K$5:K$40,'TRA balance'!$C$5:$C$40,Assumptions!$C8,'TRA balance'!$D$5:$D$40,Assumptions!$B8)*DE8*N8,"")</f>
        <v>69.358395644687519</v>
      </c>
      <c r="BK8" s="34">
        <f ca="1">IFERROR(SUMIFS('TRA balance'!L$5:L$40,'TRA balance'!$C$5:$C$40,Assumptions!$C8,'TRA balance'!$D$5:$D$40,Assumptions!$B8)*DF8*O8,"")</f>
        <v>77.627432255688007</v>
      </c>
      <c r="BL8" s="34">
        <f ca="1">IFERROR(SUMIFS('TRA balance'!M$5:M$40,'TRA balance'!$C$5:$C$40,Assumptions!$C8,'TRA balance'!$D$5:$D$40,Assumptions!$B8)*DG8*P8,"")</f>
        <v>11.808415090332</v>
      </c>
      <c r="BM8" s="34">
        <f ca="1">IFERROR(SUMIFS('TRA balance'!N$5:N$40,'TRA balance'!$C$5:$C$40,Assumptions!$C8,'TRA balance'!$D$5:$D$40,Assumptions!$B8)*DH8*Q8,"")</f>
        <v>25.3034627487264</v>
      </c>
      <c r="BN8" s="34">
        <f ca="1">IFERROR(SUMIFS('TRA balance'!O$5:O$40,'TRA balance'!$C$5:$C$40,Assumptions!$C8,'TRA balance'!$D$5:$D$40,Assumptions!$B8)*DI8*R8,"")</f>
        <v>51.456004953552011</v>
      </c>
      <c r="BO8" s="34">
        <f ca="1">IFERROR(SUMIFS('TRA balance'!P$5:P$40,'TRA balance'!$C$5:$C$40,Assumptions!$C8,'TRA balance'!$D$5:$D$40,Assumptions!$B8)*DJ8*S8,"")</f>
        <v>55.570847929199999</v>
      </c>
      <c r="BP8" s="34">
        <f ca="1">IFERROR(SUMIFS('TRA balance'!Q$5:Q$40,'TRA balance'!$C$5:$C$40,Assumptions!$C8,'TRA balance'!$D$5:$D$40,Assumptions!$B8)*DK8*T8,"")</f>
        <v>4.4939103210719997</v>
      </c>
      <c r="BQ8" s="34">
        <f ca="1">IFERROR(SUMIFS('TRA balance'!R$5:R$40,'TRA balance'!$C$5:$C$40,Assumptions!$C8,'TRA balance'!$D$5:$D$40,Assumptions!$B8)*DL8*U8,"")</f>
        <v>39.478660555370404</v>
      </c>
      <c r="BR8" s="34">
        <f ca="1">IFERROR(SUMIFS('TRA balance'!S$5:S$40,'TRA balance'!$C$5:$C$40,Assumptions!$C8,'TRA balance'!$D$5:$D$40,Assumptions!$B8)*DM8*V8,"")</f>
        <v>0.30818381659200006</v>
      </c>
      <c r="BS8" s="34">
        <f ca="1">IFERROR(SUMIFS('TRA balance'!T$5:T$40,'TRA balance'!$C$5:$C$40,Assumptions!$C8,'TRA balance'!$D$5:$D$40,Assumptions!$B8)*DN8*W8,"")</f>
        <v>212.94515556121499</v>
      </c>
      <c r="BT8" s="34">
        <f ca="1">IFERROR(SUMIFS('TRA balance'!U$5:U$40,'TRA balance'!$C$5:$C$40,Assumptions!$C8,'TRA balance'!$D$5:$D$40,Assumptions!$B8)*DO8*X8,"")</f>
        <v>4.9337854099200005</v>
      </c>
      <c r="BU8" s="34">
        <f ca="1">IFERROR(SUMIFS('TRA balance'!V$5:V$40,'TRA balance'!$C$5:$C$40,Assumptions!$C8,'TRA balance'!$D$5:$D$40,Assumptions!$B8)*DP8*Y8,"")</f>
        <v>36.001799325072007</v>
      </c>
      <c r="BV8" s="34">
        <f ca="1">IFERROR(SUMIFS('TRA balance'!W$5:W$40,'TRA balance'!$C$5:$C$40,Assumptions!$C8,'TRA balance'!$D$5:$D$40,Assumptions!$B8)*DQ8*Z8,"")</f>
        <v>24.201681071855401</v>
      </c>
      <c r="BW8" s="34">
        <f ca="1">IFERROR(SUMIFS('TRA balance'!X$5:X$40,'TRA balance'!$C$5:$C$40,Assumptions!$C8,'TRA balance'!$D$5:$D$40,Assumptions!$B8)*DR8*AA8,"")</f>
        <v>71.211971383066086</v>
      </c>
      <c r="BX8" s="34">
        <f ca="1">IFERROR(SUMIFS('TRA balance'!Y$5:Y$40,'TRA balance'!$C$5:$C$40,Assumptions!$C8,'TRA balance'!$D$5:$D$40,Assumptions!$B8)*DS8*AB8,"")</f>
        <v>119.82127423622401</v>
      </c>
      <c r="BY8" s="34">
        <f ca="1">IFERROR(SUMIFS('TRA balance'!Z$5:Z$40,'TRA balance'!$C$5:$C$40,Assumptions!$C8,'TRA balance'!$D$5:$D$40,Assumptions!$B8)*DT8*AC8,"")</f>
        <v>93.528950686747592</v>
      </c>
      <c r="BZ8" s="34">
        <f ca="1">IFERROR(SUMIFS('TRA balance'!AA$5:AA$40,'TRA balance'!$C$5:$C$40,Assumptions!$C8,'TRA balance'!$D$5:$D$40,Assumptions!$B8)*DU8*AD8,"")</f>
        <v>3.5440064575200005</v>
      </c>
      <c r="CA8" s="34">
        <f ca="1">IFERROR(SUMIFS('TRA balance'!AB$5:AB$40,'TRA balance'!$C$5:$C$40,Assumptions!$C8,'TRA balance'!$D$5:$D$40,Assumptions!$B8)*DV8*AE8,"")</f>
        <v>58.094224995794399</v>
      </c>
      <c r="CB8" s="34">
        <f ca="1">IFERROR(SUMIFS('TRA balance'!AC$5:AC$40,'TRA balance'!$C$5:$C$40,Assumptions!$C8,'TRA balance'!$D$5:$D$40,Assumptions!$B8)*DW8*AF8,"")</f>
        <v>212.0116087427501</v>
      </c>
      <c r="CC8" s="34">
        <f ca="1">IFERROR(SUMIFS('TRA balance'!AD$5:AD$40,'TRA balance'!$C$5:$C$40,Assumptions!$C8,'TRA balance'!$D$5:$D$40,Assumptions!$B8)*DX8*AG8,"")</f>
        <v>17.182573441488</v>
      </c>
      <c r="CD8" s="34">
        <f ca="1">IFERROR(SUMIFS('TRA balance'!AE$5:AE$40,'TRA balance'!$C$5:$C$40,Assumptions!$C8,'TRA balance'!$D$5:$D$40,Assumptions!$B8)*DY8*AH8,"")</f>
        <v>68.143897926720001</v>
      </c>
      <c r="CE8" s="34">
        <f ca="1">IFERROR(SUMIFS('TRA balance'!AF$5:AF$40,'TRA balance'!$C$5:$C$40,Assumptions!$C8,'TRA balance'!$D$5:$D$40,Assumptions!$B8)*DZ8*AI8,"")</f>
        <v>17.356409544959998</v>
      </c>
      <c r="CF8" s="34">
        <f ca="1">IFERROR(SUMIFS('TRA balance'!AG$5:AG$40,'TRA balance'!$C$5:$C$40,Assumptions!$C8,'TRA balance'!$D$5:$D$40,Assumptions!$B8)*EA8*AJ8,"")</f>
        <v>42.967292069519999</v>
      </c>
      <c r="CG8" s="34">
        <f ca="1">IFERROR(SUMIFS('TRA balance'!AH$5:AH$40,'TRA balance'!$C$5:$C$40,Assumptions!$C8,'TRA balance'!$D$5:$D$40,Assumptions!$B8)*EB8*AK8,"")</f>
        <v>12.898516589568002</v>
      </c>
      <c r="CH8" s="34">
        <f ca="1">IFERROR(SUMIFS('TRA balance'!AI$5:AI$40,'TRA balance'!$C$5:$C$40,Assumptions!$C8,'TRA balance'!$D$5:$D$40,Assumptions!$B8)*EC8*AL8,"")</f>
        <v>4.5526074148800006</v>
      </c>
      <c r="CI8" s="34">
        <f ca="1">IFERROR(SUMIFS('TRA balance'!AJ$5:AJ$40,'TRA balance'!$C$5:$C$40,Assumptions!$C8,'TRA balance'!$D$5:$D$40,Assumptions!$B8)*ED8*AM8,"")</f>
        <v>65.788032123936006</v>
      </c>
      <c r="CJ8" s="34">
        <f ca="1">IFERROR(SUMIFS('TRA balance'!AK$5:AK$40,'TRA balance'!$C$5:$C$40,Assumptions!$C8,'TRA balance'!$D$5:$D$40,Assumptions!$B8)*EE8*AN8,"")</f>
        <v>40.565577289824006</v>
      </c>
      <c r="CK8" s="34">
        <f ca="1">IFERROR(SUMIFS('TRA balance'!AL$5:AL$40,'TRA balance'!$C$5:$C$40,Assumptions!$C8,'TRA balance'!$D$5:$D$40,Assumptions!$B8)*EF8*AO8,"")</f>
        <v>4.4539628543802001</v>
      </c>
      <c r="CL8" s="34">
        <f ca="1">IFERROR(SUMIFS('TRA balance'!AM$5:AM$40,'TRA balance'!$C$5:$C$40,Assumptions!$C8,'TRA balance'!$D$5:$D$40,Assumptions!$B8)*EG8*AP8,"")</f>
        <v>18.396618790787997</v>
      </c>
      <c r="CM8" s="34">
        <f ca="1">IFERROR(SUMIFS('TRA balance'!AN$5:AN$40,'TRA balance'!$C$5:$C$40,Assumptions!$C8,'TRA balance'!$D$5:$D$40,Assumptions!$B8)*EH8*AQ8,"")</f>
        <v>0</v>
      </c>
      <c r="CN8" s="34">
        <f ca="1">IFERROR(SUMIFS('TRA balance'!AO$5:AO$40,'TRA balance'!$C$5:$C$40,Assumptions!$C8,'TRA balance'!$D$5:$D$40,Assumptions!$B8)*EI8*AR8,"")</f>
        <v>0</v>
      </c>
      <c r="CO8" s="34">
        <f ca="1">IFERROR(SUMIFS('TRA balance'!AP$5:AP$40,'TRA balance'!$C$5:$C$40,Assumptions!$C8,'TRA balance'!$D$5:$D$40,Assumptions!$B8)*EJ8*AS8,"")</f>
        <v>0</v>
      </c>
      <c r="CP8" s="34">
        <f ca="1">IFERROR(SUMIFS('TRA balance'!AQ$5:AQ$40,'TRA balance'!$C$5:$C$40,Assumptions!$C8,'TRA balance'!$D$5:$D$40,Assumptions!$B8)*EK8*AT8,"")</f>
        <v>0</v>
      </c>
      <c r="CQ8" s="34">
        <f ca="1">IFERROR(SUMIFS('TRA balance'!AR$5:AR$40,'TRA balance'!$C$5:$C$40,Assumptions!$C8,'TRA balance'!$D$5:$D$40,Assumptions!$B8)*EL8*AU8,"")</f>
        <v>0</v>
      </c>
      <c r="CR8" s="34">
        <f ca="1">IFERROR(SUMIFS('TRA balance'!AS$5:AS$40,'TRA balance'!$C$5:$C$40,Assumptions!$C8,'TRA balance'!$D$5:$D$40,Assumptions!$B8)*EM8*AV8,"")</f>
        <v>0</v>
      </c>
      <c r="CS8" s="34">
        <f ca="1">IFERROR(SUMIFS('TRA balance'!AT$5:AT$40,'TRA balance'!$C$5:$C$40,Assumptions!$C8,'TRA balance'!$D$5:$D$40,Assumptions!$B8)*EN8*AW8,"")</f>
        <v>0</v>
      </c>
      <c r="CT8" s="34">
        <f ca="1">IFERROR(SUMIFS('TRA balance'!AU$5:AU$40,'TRA balance'!$C$5:$C$40,Assumptions!$C8,'TRA balance'!$D$5:$D$40,Assumptions!$B8)*EO8*AX8,"")</f>
        <v>0</v>
      </c>
      <c r="CU8" s="34">
        <f ca="1">IFERROR(SUMIFS('TRA balance'!AV$5:AV$40,'TRA balance'!$C$5:$C$40,Assumptions!$C8,'TRA balance'!$D$5:$D$40,Assumptions!$B8)*EP8*AY8,"")</f>
        <v>0</v>
      </c>
      <c r="CV8" s="34">
        <f ca="1">IFERROR(SUMIFS('TRA balance'!AW$5:AW$40,'TRA balance'!$C$5:$C$40,Assumptions!$C8,'TRA balance'!$D$5:$D$40,Assumptions!$B8)*EQ8*AZ8,"")</f>
        <v>0</v>
      </c>
      <c r="CW8" s="34">
        <f ca="1">IFERROR(SUMIFS('TRA balance'!AX$5:AX$40,'TRA balance'!$C$5:$C$40,Assumptions!$C8,'TRA balance'!$D$5:$D$40,Assumptions!$B8)*ER8*BA8,"")</f>
        <v>0</v>
      </c>
      <c r="CY8" s="33">
        <f t="shared" ca="1" si="2"/>
        <v>0.1</v>
      </c>
      <c r="CZ8" s="33">
        <f t="shared" ca="1" si="3"/>
        <v>0.1</v>
      </c>
      <c r="DA8" s="33">
        <f t="shared" ca="1" si="4"/>
        <v>0.02</v>
      </c>
      <c r="DB8" s="33">
        <f t="shared" ca="1" si="5"/>
        <v>0.2</v>
      </c>
      <c r="DC8" s="33">
        <f t="shared" ca="1" si="6"/>
        <v>0.05</v>
      </c>
      <c r="DD8" s="33">
        <f t="shared" ca="1" si="7"/>
        <v>0.2</v>
      </c>
      <c r="DE8" s="33">
        <f t="shared" ca="1" si="8"/>
        <v>7.0000000000000007E-2</v>
      </c>
      <c r="DF8" s="33">
        <f t="shared" ca="1" si="9"/>
        <v>0.1</v>
      </c>
      <c r="DG8" s="33">
        <f t="shared" ca="1" si="10"/>
        <v>0.2</v>
      </c>
      <c r="DH8" s="33">
        <f t="shared" ca="1" si="11"/>
        <v>0.2</v>
      </c>
      <c r="DI8" s="33">
        <f t="shared" ca="1" si="12"/>
        <v>0.2</v>
      </c>
      <c r="DJ8" s="33">
        <f t="shared" ca="1" si="13"/>
        <v>0.2</v>
      </c>
      <c r="DK8" s="33">
        <f t="shared" ca="1" si="14"/>
        <v>0.2</v>
      </c>
      <c r="DL8" s="33">
        <f t="shared" ca="1" si="15"/>
        <v>0.2</v>
      </c>
      <c r="DM8" s="33">
        <f t="shared" ca="1" si="16"/>
        <v>0.2</v>
      </c>
      <c r="DN8" s="33">
        <f t="shared" ca="1" si="17"/>
        <v>0.25</v>
      </c>
      <c r="DO8" s="33">
        <f t="shared" ca="1" si="18"/>
        <v>0.2</v>
      </c>
      <c r="DP8" s="33">
        <f t="shared" ca="1" si="19"/>
        <v>0.2</v>
      </c>
      <c r="DQ8" s="33">
        <f t="shared" ca="1" si="20"/>
        <v>0.05</v>
      </c>
      <c r="DR8" s="33">
        <f t="shared" ca="1" si="21"/>
        <v>7.0000000000000007E-2</v>
      </c>
      <c r="DS8" s="33">
        <f t="shared" ca="1" si="22"/>
        <v>0.1</v>
      </c>
      <c r="DT8" s="33">
        <f t="shared" ca="1" si="23"/>
        <v>2.4406421822616497E-2</v>
      </c>
      <c r="DU8" s="33">
        <f t="shared" ca="1" si="24"/>
        <v>0.2</v>
      </c>
      <c r="DV8" s="33">
        <f t="shared" ca="1" si="25"/>
        <v>0.2</v>
      </c>
      <c r="DW8" s="33">
        <f t="shared" ca="1" si="26"/>
        <v>0.08</v>
      </c>
      <c r="DX8" s="33">
        <f t="shared" ca="1" si="27"/>
        <v>0.05</v>
      </c>
      <c r="DY8" s="33">
        <f t="shared" ca="1" si="28"/>
        <v>0.1</v>
      </c>
      <c r="DZ8" s="33">
        <f t="shared" ca="1" si="29"/>
        <v>0.1</v>
      </c>
      <c r="EA8" s="33">
        <f t="shared" ca="1" si="30"/>
        <v>0.2</v>
      </c>
      <c r="EB8" s="33">
        <f t="shared" ca="1" si="31"/>
        <v>0.2</v>
      </c>
      <c r="EC8" s="33">
        <f t="shared" ca="1" si="32"/>
        <v>0.2</v>
      </c>
      <c r="ED8" s="33">
        <f t="shared" ca="1" si="33"/>
        <v>0.1</v>
      </c>
      <c r="EE8" s="33">
        <f t="shared" ca="1" si="34"/>
        <v>0.2</v>
      </c>
      <c r="EF8" s="33">
        <f t="shared" ca="1" si="35"/>
        <v>0.05</v>
      </c>
      <c r="EG8" s="33">
        <f t="shared" ca="1" si="36"/>
        <v>0.2</v>
      </c>
      <c r="EH8" s="33">
        <f t="shared" ca="1" si="37"/>
        <v>2.4406421822616497E-2</v>
      </c>
      <c r="EI8" s="33">
        <f t="shared" ca="1" si="38"/>
        <v>2.4406421822616497E-2</v>
      </c>
      <c r="EJ8" s="33">
        <f t="shared" ca="1" si="39"/>
        <v>2.4406421822616497E-2</v>
      </c>
      <c r="EK8" s="33">
        <f t="shared" ca="1" si="40"/>
        <v>2.4406421822616497E-2</v>
      </c>
      <c r="EL8" s="33">
        <f t="shared" ca="1" si="41"/>
        <v>2.4406421822616497E-2</v>
      </c>
      <c r="EM8" s="33">
        <f t="shared" ca="1" si="42"/>
        <v>2.4406421822616497E-2</v>
      </c>
      <c r="EN8" s="33">
        <f t="shared" ca="1" si="43"/>
        <v>2.4406421822616497E-2</v>
      </c>
      <c r="EO8" s="33">
        <f t="shared" ca="1" si="44"/>
        <v>2.4406421822616497E-2</v>
      </c>
      <c r="EP8" s="33">
        <f t="shared" ca="1" si="45"/>
        <v>2.4406421822616497E-2</v>
      </c>
      <c r="EQ8" s="33">
        <f t="shared" ca="1" si="46"/>
        <v>2.4406421822616497E-2</v>
      </c>
      <c r="ER8" s="33">
        <f t="shared" ca="1" si="47"/>
        <v>2.4406421822616497E-2</v>
      </c>
      <c r="EU8" t="s">
        <v>76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6" t="str">
        <f t="shared" si="48"/>
        <v>TR</v>
      </c>
      <c r="D9" s="7" t="s">
        <v>16</v>
      </c>
      <c r="E9" s="18" t="s">
        <v>65</v>
      </c>
      <c r="F9" s="8" t="str">
        <f t="shared" si="52"/>
        <v>Diesel</v>
      </c>
      <c r="G9" s="6" t="s">
        <v>66</v>
      </c>
      <c r="H9" s="9">
        <f ca="1">OFFSET(TIAM15_assumptions!$G9,0,MATCH(VLOOKUP(Assumptions!H$2,TIAM15_assumptions!$Y$3:$Z$87,2,FALSE),TIAM15_assumptions!$H$2:$V$2,0))</f>
        <v>0</v>
      </c>
      <c r="I9" s="9">
        <f ca="1">OFFSET(TIAM15_assumptions!$G9,0,MATCH(VLOOKUP(Assumptions!I$2,TIAM15_assumptions!$Y$3:$Z$87,2,FALSE),TIAM15_assumptions!$H$2:$V$2,0))</f>
        <v>0</v>
      </c>
      <c r="J9" s="9">
        <f ca="1">OFFSET(TIAM15_assumptions!$G9,0,MATCH(VLOOKUP(Assumptions!J$2,TIAM15_assumptions!$Y$3:$Z$87,2,FALSE),TIAM15_assumptions!$H$2:$V$2,0))</f>
        <v>0</v>
      </c>
      <c r="K9" s="9">
        <f ca="1">OFFSET(TIAM15_assumptions!$G9,0,MATCH(VLOOKUP(Assumptions!K$2,TIAM15_assumptions!$Y$3:$Z$87,2,FALSE),TIAM15_assumptions!$H$2:$V$2,0))</f>
        <v>0</v>
      </c>
      <c r="L9" s="9">
        <f ca="1">OFFSET(TIAM15_assumptions!$G9,0,MATCH(VLOOKUP(Assumptions!L$2,TIAM15_assumptions!$Y$3:$Z$87,2,FALSE),TIAM15_assumptions!$H$2:$V$2,0))</f>
        <v>0</v>
      </c>
      <c r="M9" s="9">
        <f ca="1">OFFSET(TIAM15_assumptions!$G9,0,MATCH(VLOOKUP(Assumptions!M$2,TIAM15_assumptions!$Y$3:$Z$87,2,FALSE),TIAM15_assumptions!$H$2:$V$2,0))</f>
        <v>0</v>
      </c>
      <c r="N9" s="9">
        <f ca="1">OFFSET(TIAM15_assumptions!$G9,0,MATCH(VLOOKUP(Assumptions!N$2,TIAM15_assumptions!$Y$3:$Z$87,2,FALSE),TIAM15_assumptions!$H$2:$V$2,0))</f>
        <v>0.01</v>
      </c>
      <c r="O9" s="9">
        <f ca="1">OFFSET(TIAM15_assumptions!$G9,0,MATCH(VLOOKUP(Assumptions!O$2,TIAM15_assumptions!$Y$3:$Z$87,2,FALSE),TIAM15_assumptions!$H$2:$V$2,0))</f>
        <v>0.6</v>
      </c>
      <c r="P9" s="9">
        <f ca="1">OFFSET(TIAM15_assumptions!$G9,0,MATCH(VLOOKUP(Assumptions!P$2,TIAM15_assumptions!$Y$3:$Z$87,2,FALSE),TIAM15_assumptions!$H$2:$V$2,0))</f>
        <v>0</v>
      </c>
      <c r="Q9" s="9">
        <f ca="1">OFFSET(TIAM15_assumptions!$G9,0,MATCH(VLOOKUP(Assumptions!Q$2,TIAM15_assumptions!$Y$3:$Z$87,2,FALSE),TIAM15_assumptions!$H$2:$V$2,0))</f>
        <v>0</v>
      </c>
      <c r="R9" s="9">
        <f ca="1">OFFSET(TIAM15_assumptions!$G9,0,MATCH(VLOOKUP(Assumptions!R$2,TIAM15_assumptions!$Y$3:$Z$87,2,FALSE),TIAM15_assumptions!$H$2:$V$2,0))</f>
        <v>0</v>
      </c>
      <c r="S9" s="9">
        <f ca="1">OFFSET(TIAM15_assumptions!$G9,0,MATCH(VLOOKUP(Assumptions!S$2,TIAM15_assumptions!$Y$3:$Z$87,2,FALSE),TIAM15_assumptions!$H$2:$V$2,0))</f>
        <v>0</v>
      </c>
      <c r="T9" s="9">
        <f ca="1">OFFSET(TIAM15_assumptions!$G9,0,MATCH(VLOOKUP(Assumptions!T$2,TIAM15_assumptions!$Y$3:$Z$87,2,FALSE),TIAM15_assumptions!$H$2:$V$2,0))</f>
        <v>0</v>
      </c>
      <c r="U9" s="9">
        <f ca="1">OFFSET(TIAM15_assumptions!$G9,0,MATCH(VLOOKUP(Assumptions!U$2,TIAM15_assumptions!$Y$3:$Z$87,2,FALSE),TIAM15_assumptions!$H$2:$V$2,0))</f>
        <v>0</v>
      </c>
      <c r="V9" s="9">
        <f ca="1">OFFSET(TIAM15_assumptions!$G9,0,MATCH(VLOOKUP(Assumptions!V$2,TIAM15_assumptions!$Y$3:$Z$87,2,FALSE),TIAM15_assumptions!$H$2:$V$2,0))</f>
        <v>0</v>
      </c>
      <c r="W9" s="9">
        <f ca="1">OFFSET(TIAM15_assumptions!$G9,0,MATCH(VLOOKUP(Assumptions!W$2,TIAM15_assumptions!$Y$3:$Z$87,2,FALSE),TIAM15_assumptions!$H$2:$V$2,0))</f>
        <v>0.25</v>
      </c>
      <c r="X9" s="9">
        <f ca="1">OFFSET(TIAM15_assumptions!$G9,0,MATCH(VLOOKUP(Assumptions!X$2,TIAM15_assumptions!$Y$3:$Z$87,2,FALSE),TIAM15_assumptions!$H$2:$V$2,0))</f>
        <v>0</v>
      </c>
      <c r="Y9" s="9">
        <f ca="1">OFFSET(TIAM15_assumptions!$G9,0,MATCH(VLOOKUP(Assumptions!Y$2,TIAM15_assumptions!$Y$3:$Z$87,2,FALSE),TIAM15_assumptions!$H$2:$V$2,0))</f>
        <v>0</v>
      </c>
      <c r="Z9" s="9">
        <f ca="1">OFFSET(TIAM15_assumptions!$G9,0,MATCH(VLOOKUP(Assumptions!Z$2,TIAM15_assumptions!$Y$3:$Z$87,2,FALSE),TIAM15_assumptions!$H$2:$V$2,0))</f>
        <v>0.01</v>
      </c>
      <c r="AA9" s="9">
        <f ca="1">OFFSET(TIAM15_assumptions!$G9,0,MATCH(VLOOKUP(Assumptions!AA$2,TIAM15_assumptions!$Y$3:$Z$87,2,FALSE),TIAM15_assumptions!$H$2:$V$2,0))</f>
        <v>0.01</v>
      </c>
      <c r="AB9" s="9">
        <f ca="1">OFFSET(TIAM15_assumptions!$G9,0,MATCH(VLOOKUP(Assumptions!AB$2,TIAM15_assumptions!$Y$3:$Z$87,2,FALSE),TIAM15_assumptions!$H$2:$V$2,0))</f>
        <v>0</v>
      </c>
      <c r="AC9" s="9">
        <f ca="1">OFFSET(TIAM15_assumptions!$G9,0,MATCH(VLOOKUP(Assumptions!AC$2,TIAM15_assumptions!$Y$3:$Z$87,2,FALSE),TIAM15_assumptions!$H$2:$V$2,0))</f>
        <v>0</v>
      </c>
      <c r="AD9" s="9">
        <f ca="1">OFFSET(TIAM15_assumptions!$G9,0,MATCH(VLOOKUP(Assumptions!AD$2,TIAM15_assumptions!$Y$3:$Z$87,2,FALSE),TIAM15_assumptions!$H$2:$V$2,0))</f>
        <v>0</v>
      </c>
      <c r="AE9" s="9">
        <f ca="1">OFFSET(TIAM15_assumptions!$G9,0,MATCH(VLOOKUP(Assumptions!AE$2,TIAM15_assumptions!$Y$3:$Z$87,2,FALSE),TIAM15_assumptions!$H$2:$V$2,0))</f>
        <v>0</v>
      </c>
      <c r="AF9" s="9">
        <f ca="1">OFFSET(TIAM15_assumptions!$G9,0,MATCH(VLOOKUP(Assumptions!AF$2,TIAM15_assumptions!$Y$3:$Z$87,2,FALSE),TIAM15_assumptions!$H$2:$V$2,0))</f>
        <v>0</v>
      </c>
      <c r="AG9" s="9">
        <f ca="1">OFFSET(TIAM15_assumptions!$G9,0,MATCH(VLOOKUP(Assumptions!AG$2,TIAM15_assumptions!$Y$3:$Z$87,2,FALSE),TIAM15_assumptions!$H$2:$V$2,0))</f>
        <v>0</v>
      </c>
      <c r="AH9" s="9">
        <f ca="1">OFFSET(TIAM15_assumptions!$G9,0,MATCH(VLOOKUP(Assumptions!AH$2,TIAM15_assumptions!$Y$3:$Z$87,2,FALSE),TIAM15_assumptions!$H$2:$V$2,0))</f>
        <v>0</v>
      </c>
      <c r="AI9" s="9">
        <f ca="1">OFFSET(TIAM15_assumptions!$G9,0,MATCH(VLOOKUP(Assumptions!AI$2,TIAM15_assumptions!$Y$3:$Z$87,2,FALSE),TIAM15_assumptions!$H$2:$V$2,0))</f>
        <v>0</v>
      </c>
      <c r="AJ9" s="9">
        <f ca="1">OFFSET(TIAM15_assumptions!$G9,0,MATCH(VLOOKUP(Assumptions!AJ$2,TIAM15_assumptions!$Y$3:$Z$87,2,FALSE),TIAM15_assumptions!$H$2:$V$2,0))</f>
        <v>0</v>
      </c>
      <c r="AK9" s="9">
        <f ca="1">OFFSET(TIAM15_assumptions!$G9,0,MATCH(VLOOKUP(Assumptions!AK$2,TIAM15_assumptions!$Y$3:$Z$87,2,FALSE),TIAM15_assumptions!$H$2:$V$2,0))</f>
        <v>0</v>
      </c>
      <c r="AL9" s="9">
        <f ca="1">OFFSET(TIAM15_assumptions!$G9,0,MATCH(VLOOKUP(Assumptions!AL$2,TIAM15_assumptions!$Y$3:$Z$87,2,FALSE),TIAM15_assumptions!$H$2:$V$2,0))</f>
        <v>0</v>
      </c>
      <c r="AM9" s="9">
        <f ca="1">OFFSET(TIAM15_assumptions!$G9,0,MATCH(VLOOKUP(Assumptions!AM$2,TIAM15_assumptions!$Y$3:$Z$87,2,FALSE),TIAM15_assumptions!$H$2:$V$2,0))</f>
        <v>0</v>
      </c>
      <c r="AN9" s="9">
        <f ca="1">OFFSET(TIAM15_assumptions!$G9,0,MATCH(VLOOKUP(Assumptions!AN$2,TIAM15_assumptions!$Y$3:$Z$87,2,FALSE),TIAM15_assumptions!$H$2:$V$2,0))</f>
        <v>0</v>
      </c>
      <c r="AO9" s="9">
        <f ca="1">OFFSET(TIAM15_assumptions!$G9,0,MATCH(VLOOKUP(Assumptions!AO$2,TIAM15_assumptions!$Y$3:$Z$87,2,FALSE),TIAM15_assumptions!$H$2:$V$2,0))</f>
        <v>0</v>
      </c>
      <c r="AP9" s="9">
        <f ca="1">OFFSET(TIAM15_assumptions!$G9,0,MATCH(VLOOKUP(Assumptions!AP$2,TIAM15_assumptions!$Y$3:$Z$87,2,FALSE),TIAM15_assumptions!$H$2:$V$2,0))</f>
        <v>0</v>
      </c>
      <c r="AQ9" s="9">
        <f ca="1">OFFSET(TIAM15_assumptions!$G9,0,MATCH(VLOOKUP(Assumptions!AQ$2,TIAM15_assumptions!$Y$3:$Z$87,2,FALSE),TIAM15_assumptions!$H$2:$V$2,0))</f>
        <v>0</v>
      </c>
      <c r="AR9" s="9">
        <f ca="1">OFFSET(TIAM15_assumptions!$G9,0,MATCH(VLOOKUP(Assumptions!AR$2,TIAM15_assumptions!$Y$3:$Z$87,2,FALSE),TIAM15_assumptions!$H$2:$V$2,0))</f>
        <v>0</v>
      </c>
      <c r="AS9" s="9">
        <f ca="1">OFFSET(TIAM15_assumptions!$G9,0,MATCH(VLOOKUP(Assumptions!AS$2,TIAM15_assumptions!$Y$3:$Z$87,2,FALSE),TIAM15_assumptions!$H$2:$V$2,0))</f>
        <v>0</v>
      </c>
      <c r="AT9" s="9">
        <f ca="1">OFFSET(TIAM15_assumptions!$G9,0,MATCH(VLOOKUP(Assumptions!AT$2,TIAM15_assumptions!$Y$3:$Z$87,2,FALSE),TIAM15_assumptions!$H$2:$V$2,0))</f>
        <v>0</v>
      </c>
      <c r="AU9" s="9">
        <f ca="1">OFFSET(TIAM15_assumptions!$G9,0,MATCH(VLOOKUP(Assumptions!AU$2,TIAM15_assumptions!$Y$3:$Z$87,2,FALSE),TIAM15_assumptions!$H$2:$V$2,0))</f>
        <v>0</v>
      </c>
      <c r="AV9" s="9">
        <f ca="1">OFFSET(TIAM15_assumptions!$G9,0,MATCH(VLOOKUP(Assumptions!AV$2,TIAM15_assumptions!$Y$3:$Z$87,2,FALSE),TIAM15_assumptions!$H$2:$V$2,0))</f>
        <v>0</v>
      </c>
      <c r="AW9" s="9">
        <f ca="1">OFFSET(TIAM15_assumptions!$G9,0,MATCH(VLOOKUP(Assumptions!AW$2,TIAM15_assumptions!$Y$3:$Z$87,2,FALSE),TIAM15_assumptions!$H$2:$V$2,0))</f>
        <v>0</v>
      </c>
      <c r="AX9" s="9">
        <f ca="1">OFFSET(TIAM15_assumptions!$G9,0,MATCH(VLOOKUP(Assumptions!AX$2,TIAM15_assumptions!$Y$3:$Z$87,2,FALSE),TIAM15_assumptions!$H$2:$V$2,0))</f>
        <v>0</v>
      </c>
      <c r="AY9" s="9">
        <f ca="1">OFFSET(TIAM15_assumptions!$G9,0,MATCH(VLOOKUP(Assumptions!AY$2,TIAM15_assumptions!$Y$3:$Z$87,2,FALSE),TIAM15_assumptions!$H$2:$V$2,0))</f>
        <v>0</v>
      </c>
      <c r="AZ9" s="9">
        <f ca="1">OFFSET(TIAM15_assumptions!$G9,0,MATCH(VLOOKUP(Assumptions!AZ$2,TIAM15_assumptions!$Y$3:$Z$87,2,FALSE),TIAM15_assumptions!$H$2:$V$2,0))</f>
        <v>0</v>
      </c>
      <c r="BA9" s="9">
        <f ca="1">OFFSET(TIAM15_assumptions!$G9,0,MATCH(VLOOKUP(Assumptions!BA$2,TIAM15_assumptions!$Y$3:$Z$87,2,FALSE),TIAM15_assumptions!$H$2:$V$2,0))</f>
        <v>0</v>
      </c>
      <c r="BD9" s="34">
        <f ca="1">IFERROR(SUMIFS('TRA balance'!E$5:E$40,'TRA balance'!$C$5:$C$40,Assumptions!$C9,'TRA balance'!$D$5:$D$40,Assumptions!$B9)*CY9*H9,"")</f>
        <v>0</v>
      </c>
      <c r="BE9" s="34">
        <f ca="1">IFERROR(SUMIFS('TRA balance'!F$5:F$40,'TRA balance'!$C$5:$C$40,Assumptions!$C9,'TRA balance'!$D$5:$D$40,Assumptions!$B9)*CZ9*I9,"")</f>
        <v>0</v>
      </c>
      <c r="BF9" s="34">
        <f ca="1">IFERROR(SUMIFS('TRA balance'!G$5:G$40,'TRA balance'!$C$5:$C$40,Assumptions!$C9,'TRA balance'!$D$5:$D$40,Assumptions!$B9)*DA9*J9,"")</f>
        <v>0</v>
      </c>
      <c r="BG9" s="34">
        <f ca="1">IFERROR(SUMIFS('TRA balance'!H$5:H$40,'TRA balance'!$C$5:$C$40,Assumptions!$C9,'TRA balance'!$D$5:$D$40,Assumptions!$B9)*DB9*K9,"")</f>
        <v>0</v>
      </c>
      <c r="BH9" s="34">
        <f ca="1">IFERROR(SUMIFS('TRA balance'!I$5:I$40,'TRA balance'!$C$5:$C$40,Assumptions!$C9,'TRA balance'!$D$5:$D$40,Assumptions!$B9)*DC9*L9,"")</f>
        <v>0</v>
      </c>
      <c r="BI9" s="34">
        <f ca="1">IFERROR(SUMIFS('TRA balance'!J$5:J$40,'TRA balance'!$C$5:$C$40,Assumptions!$C9,'TRA balance'!$D$5:$D$40,Assumptions!$B9)*DD9*M9,"")</f>
        <v>0</v>
      </c>
      <c r="BJ9" s="34">
        <f ca="1">IFERROR(SUMIFS('TRA balance'!K$5:K$40,'TRA balance'!$C$5:$C$40,Assumptions!$C9,'TRA balance'!$D$5:$D$40,Assumptions!$B9)*DE9*N9,"")</f>
        <v>1.0051941397780801</v>
      </c>
      <c r="BK9" s="34">
        <f ca="1">IFERROR(SUMIFS('TRA balance'!L$5:L$40,'TRA balance'!$C$5:$C$40,Assumptions!$C9,'TRA balance'!$D$5:$D$40,Assumptions!$B9)*DF9*O9,"")</f>
        <v>232.88229676706402</v>
      </c>
      <c r="BL9" s="34">
        <f ca="1">IFERROR(SUMIFS('TRA balance'!M$5:M$40,'TRA balance'!$C$5:$C$40,Assumptions!$C9,'TRA balance'!$D$5:$D$40,Assumptions!$B9)*DG9*P9,"")</f>
        <v>0</v>
      </c>
      <c r="BM9" s="34">
        <f ca="1">IFERROR(SUMIFS('TRA balance'!N$5:N$40,'TRA balance'!$C$5:$C$40,Assumptions!$C9,'TRA balance'!$D$5:$D$40,Assumptions!$B9)*DH9*Q9,"")</f>
        <v>0</v>
      </c>
      <c r="BN9" s="34">
        <f ca="1">IFERROR(SUMIFS('TRA balance'!O$5:O$40,'TRA balance'!$C$5:$C$40,Assumptions!$C9,'TRA balance'!$D$5:$D$40,Assumptions!$B9)*DI9*R9,"")</f>
        <v>0</v>
      </c>
      <c r="BO9" s="34">
        <f ca="1">IFERROR(SUMIFS('TRA balance'!P$5:P$40,'TRA balance'!$C$5:$C$40,Assumptions!$C9,'TRA balance'!$D$5:$D$40,Assumptions!$B9)*DJ9*S9,"")</f>
        <v>0</v>
      </c>
      <c r="BP9" s="34">
        <f ca="1">IFERROR(SUMIFS('TRA balance'!Q$5:Q$40,'TRA balance'!$C$5:$C$40,Assumptions!$C9,'TRA balance'!$D$5:$D$40,Assumptions!$B9)*DK9*T9,"")</f>
        <v>0</v>
      </c>
      <c r="BQ9" s="34">
        <f ca="1">IFERROR(SUMIFS('TRA balance'!R$5:R$40,'TRA balance'!$C$5:$C$40,Assumptions!$C9,'TRA balance'!$D$5:$D$40,Assumptions!$B9)*DL9*U9,"")</f>
        <v>0</v>
      </c>
      <c r="BR9" s="34">
        <f ca="1">IFERROR(SUMIFS('TRA balance'!S$5:S$40,'TRA balance'!$C$5:$C$40,Assumptions!$C9,'TRA balance'!$D$5:$D$40,Assumptions!$B9)*DM9*V9,"")</f>
        <v>0</v>
      </c>
      <c r="BS9" s="34">
        <f ca="1">IFERROR(SUMIFS('TRA balance'!T$5:T$40,'TRA balance'!$C$5:$C$40,Assumptions!$C9,'TRA balance'!$D$5:$D$40,Assumptions!$B9)*DN9*W9,"")</f>
        <v>152.103682543725</v>
      </c>
      <c r="BT9" s="34">
        <f ca="1">IFERROR(SUMIFS('TRA balance'!U$5:U$40,'TRA balance'!$C$5:$C$40,Assumptions!$C9,'TRA balance'!$D$5:$D$40,Assumptions!$B9)*DO9*X9,"")</f>
        <v>0</v>
      </c>
      <c r="BU9" s="34">
        <f ca="1">IFERROR(SUMIFS('TRA balance'!V$5:V$40,'TRA balance'!$C$5:$C$40,Assumptions!$C9,'TRA balance'!$D$5:$D$40,Assumptions!$B9)*DP9*Y9,"")</f>
        <v>0</v>
      </c>
      <c r="BV9" s="34">
        <f ca="1">IFERROR(SUMIFS('TRA balance'!W$5:W$40,'TRA balance'!$C$5:$C$40,Assumptions!$C9,'TRA balance'!$D$5:$D$40,Assumptions!$B9)*DQ9*Z9,"")</f>
        <v>0.45663549192180003</v>
      </c>
      <c r="BW9" s="34">
        <f ca="1">IFERROR(SUMIFS('TRA balance'!X$5:X$40,'TRA balance'!$C$5:$C$40,Assumptions!$C9,'TRA balance'!$D$5:$D$40,Assumptions!$B9)*DR9*AA9,"")</f>
        <v>1.0320575562763201</v>
      </c>
      <c r="BX9" s="34">
        <f ca="1">IFERROR(SUMIFS('TRA balance'!Y$5:Y$40,'TRA balance'!$C$5:$C$40,Assumptions!$C9,'TRA balance'!$D$5:$D$40,Assumptions!$B9)*DS9*AB9,"")</f>
        <v>0</v>
      </c>
      <c r="BY9" s="34">
        <f ca="1">IFERROR(SUMIFS('TRA balance'!Z$5:Z$40,'TRA balance'!$C$5:$C$40,Assumptions!$C9,'TRA balance'!$D$5:$D$40,Assumptions!$B9)*DT9*AC9,"")</f>
        <v>0</v>
      </c>
      <c r="BZ9" s="34">
        <f ca="1">IFERROR(SUMIFS('TRA balance'!AA$5:AA$40,'TRA balance'!$C$5:$C$40,Assumptions!$C9,'TRA balance'!$D$5:$D$40,Assumptions!$B9)*DU9*AD9,"")</f>
        <v>0</v>
      </c>
      <c r="CA9" s="34">
        <f ca="1">IFERROR(SUMIFS('TRA balance'!AB$5:AB$40,'TRA balance'!$C$5:$C$40,Assumptions!$C9,'TRA balance'!$D$5:$D$40,Assumptions!$B9)*DV9*AE9,"")</f>
        <v>0</v>
      </c>
      <c r="CB9" s="34">
        <f ca="1">IFERROR(SUMIFS('TRA balance'!AC$5:AC$40,'TRA balance'!$C$5:$C$40,Assumptions!$C9,'TRA balance'!$D$5:$D$40,Assumptions!$B9)*DW9*AF9,"")</f>
        <v>0</v>
      </c>
      <c r="CC9" s="34">
        <f ca="1">IFERROR(SUMIFS('TRA balance'!AD$5:AD$40,'TRA balance'!$C$5:$C$40,Assumptions!$C9,'TRA balance'!$D$5:$D$40,Assumptions!$B9)*DX9*AG9,"")</f>
        <v>0</v>
      </c>
      <c r="CD9" s="34">
        <f ca="1">IFERROR(SUMIFS('TRA balance'!AE$5:AE$40,'TRA balance'!$C$5:$C$40,Assumptions!$C9,'TRA balance'!$D$5:$D$40,Assumptions!$B9)*DY9*AH9,"")</f>
        <v>0</v>
      </c>
      <c r="CE9" s="34">
        <f ca="1">IFERROR(SUMIFS('TRA balance'!AF$5:AF$40,'TRA balance'!$C$5:$C$40,Assumptions!$C9,'TRA balance'!$D$5:$D$40,Assumptions!$B9)*DZ9*AI9,"")</f>
        <v>0</v>
      </c>
      <c r="CF9" s="34">
        <f ca="1">IFERROR(SUMIFS('TRA balance'!AG$5:AG$40,'TRA balance'!$C$5:$C$40,Assumptions!$C9,'TRA balance'!$D$5:$D$40,Assumptions!$B9)*EA9*AJ9,"")</f>
        <v>0</v>
      </c>
      <c r="CG9" s="34">
        <f ca="1">IFERROR(SUMIFS('TRA balance'!AH$5:AH$40,'TRA balance'!$C$5:$C$40,Assumptions!$C9,'TRA balance'!$D$5:$D$40,Assumptions!$B9)*EB9*AK9,"")</f>
        <v>0</v>
      </c>
      <c r="CH9" s="34">
        <f ca="1">IFERROR(SUMIFS('TRA balance'!AI$5:AI$40,'TRA balance'!$C$5:$C$40,Assumptions!$C9,'TRA balance'!$D$5:$D$40,Assumptions!$B9)*EC9*AL9,"")</f>
        <v>0</v>
      </c>
      <c r="CI9" s="34">
        <f ca="1">IFERROR(SUMIFS('TRA balance'!AJ$5:AJ$40,'TRA balance'!$C$5:$C$40,Assumptions!$C9,'TRA balance'!$D$5:$D$40,Assumptions!$B9)*ED9*AM9,"")</f>
        <v>0</v>
      </c>
      <c r="CJ9" s="34">
        <f ca="1">IFERROR(SUMIFS('TRA balance'!AK$5:AK$40,'TRA balance'!$C$5:$C$40,Assumptions!$C9,'TRA balance'!$D$5:$D$40,Assumptions!$B9)*EE9*AN9,"")</f>
        <v>0</v>
      </c>
      <c r="CK9" s="34">
        <f ca="1">IFERROR(SUMIFS('TRA balance'!AL$5:AL$40,'TRA balance'!$C$5:$C$40,Assumptions!$C9,'TRA balance'!$D$5:$D$40,Assumptions!$B9)*EF9*AO9,"")</f>
        <v>0</v>
      </c>
      <c r="CL9" s="34">
        <f ca="1">IFERROR(SUMIFS('TRA balance'!AM$5:AM$40,'TRA balance'!$C$5:$C$40,Assumptions!$C9,'TRA balance'!$D$5:$D$40,Assumptions!$B9)*EG9*AP9,"")</f>
        <v>0</v>
      </c>
      <c r="CM9" s="34">
        <f ca="1">IFERROR(SUMIFS('TRA balance'!AN$5:AN$40,'TRA balance'!$C$5:$C$40,Assumptions!$C9,'TRA balance'!$D$5:$D$40,Assumptions!$B9)*EH9*AQ9,"")</f>
        <v>0</v>
      </c>
      <c r="CN9" s="34">
        <f ca="1">IFERROR(SUMIFS('TRA balance'!AO$5:AO$40,'TRA balance'!$C$5:$C$40,Assumptions!$C9,'TRA balance'!$D$5:$D$40,Assumptions!$B9)*EI9*AR9,"")</f>
        <v>0</v>
      </c>
      <c r="CO9" s="34">
        <f ca="1">IFERROR(SUMIFS('TRA balance'!AP$5:AP$40,'TRA balance'!$C$5:$C$40,Assumptions!$C9,'TRA balance'!$D$5:$D$40,Assumptions!$B9)*EJ9*AS9,"")</f>
        <v>0</v>
      </c>
      <c r="CP9" s="34">
        <f ca="1">IFERROR(SUMIFS('TRA balance'!AQ$5:AQ$40,'TRA balance'!$C$5:$C$40,Assumptions!$C9,'TRA balance'!$D$5:$D$40,Assumptions!$B9)*EK9*AT9,"")</f>
        <v>0</v>
      </c>
      <c r="CQ9" s="34">
        <f ca="1">IFERROR(SUMIFS('TRA balance'!AR$5:AR$40,'TRA balance'!$C$5:$C$40,Assumptions!$C9,'TRA balance'!$D$5:$D$40,Assumptions!$B9)*EL9*AU9,"")</f>
        <v>0</v>
      </c>
      <c r="CR9" s="34">
        <f ca="1">IFERROR(SUMIFS('TRA balance'!AS$5:AS$40,'TRA balance'!$C$5:$C$40,Assumptions!$C9,'TRA balance'!$D$5:$D$40,Assumptions!$B9)*EM9*AV9,"")</f>
        <v>0</v>
      </c>
      <c r="CS9" s="34">
        <f ca="1">IFERROR(SUMIFS('TRA balance'!AT$5:AT$40,'TRA balance'!$C$5:$C$40,Assumptions!$C9,'TRA balance'!$D$5:$D$40,Assumptions!$B9)*EN9*AW9,"")</f>
        <v>0</v>
      </c>
      <c r="CT9" s="34">
        <f ca="1">IFERROR(SUMIFS('TRA balance'!AU$5:AU$40,'TRA balance'!$C$5:$C$40,Assumptions!$C9,'TRA balance'!$D$5:$D$40,Assumptions!$B9)*EO9*AX9,"")</f>
        <v>0</v>
      </c>
      <c r="CU9" s="34">
        <f ca="1">IFERROR(SUMIFS('TRA balance'!AV$5:AV$40,'TRA balance'!$C$5:$C$40,Assumptions!$C9,'TRA balance'!$D$5:$D$40,Assumptions!$B9)*EP9*AY9,"")</f>
        <v>0</v>
      </c>
      <c r="CV9" s="34">
        <f ca="1">IFERROR(SUMIFS('TRA balance'!AW$5:AW$40,'TRA balance'!$C$5:$C$40,Assumptions!$C9,'TRA balance'!$D$5:$D$40,Assumptions!$B9)*EQ9*AZ9,"")</f>
        <v>0</v>
      </c>
      <c r="CW9" s="34">
        <f ca="1">IFERROR(SUMIFS('TRA balance'!AX$5:AX$40,'TRA balance'!$C$5:$C$40,Assumptions!$C9,'TRA balance'!$D$5:$D$40,Assumptions!$B9)*ER9*BA9,"")</f>
        <v>0</v>
      </c>
      <c r="CY9" s="33">
        <f t="shared" ca="1" si="2"/>
        <v>0.1</v>
      </c>
      <c r="CZ9" s="33">
        <f t="shared" ca="1" si="3"/>
        <v>0.1</v>
      </c>
      <c r="DA9" s="33">
        <f t="shared" ca="1" si="4"/>
        <v>0.02</v>
      </c>
      <c r="DB9" s="33">
        <f t="shared" ca="1" si="5"/>
        <v>0.2</v>
      </c>
      <c r="DC9" s="33">
        <f t="shared" ca="1" si="6"/>
        <v>0.05</v>
      </c>
      <c r="DD9" s="33">
        <f t="shared" ca="1" si="7"/>
        <v>0.2</v>
      </c>
      <c r="DE9" s="33">
        <f t="shared" ca="1" si="8"/>
        <v>7.0000000000000007E-2</v>
      </c>
      <c r="DF9" s="33">
        <f t="shared" ca="1" si="9"/>
        <v>0.1</v>
      </c>
      <c r="DG9" s="33">
        <f t="shared" ca="1" si="10"/>
        <v>0.2</v>
      </c>
      <c r="DH9" s="33">
        <f t="shared" ca="1" si="11"/>
        <v>0.2</v>
      </c>
      <c r="DI9" s="33">
        <f t="shared" ca="1" si="12"/>
        <v>0.2</v>
      </c>
      <c r="DJ9" s="33">
        <f t="shared" ca="1" si="13"/>
        <v>0.2</v>
      </c>
      <c r="DK9" s="33">
        <f t="shared" ca="1" si="14"/>
        <v>0.2</v>
      </c>
      <c r="DL9" s="33">
        <f t="shared" ca="1" si="15"/>
        <v>0.2</v>
      </c>
      <c r="DM9" s="33">
        <f t="shared" ca="1" si="16"/>
        <v>0.2</v>
      </c>
      <c r="DN9" s="33">
        <f t="shared" ca="1" si="17"/>
        <v>0.25</v>
      </c>
      <c r="DO9" s="33">
        <f t="shared" ca="1" si="18"/>
        <v>0.2</v>
      </c>
      <c r="DP9" s="33">
        <f t="shared" ca="1" si="19"/>
        <v>0.2</v>
      </c>
      <c r="DQ9" s="33">
        <f t="shared" ca="1" si="20"/>
        <v>0.05</v>
      </c>
      <c r="DR9" s="33">
        <f t="shared" ca="1" si="21"/>
        <v>7.0000000000000007E-2</v>
      </c>
      <c r="DS9" s="33">
        <f t="shared" ca="1" si="22"/>
        <v>0.1</v>
      </c>
      <c r="DT9" s="33">
        <f t="shared" ca="1" si="23"/>
        <v>2.4406421822616497E-2</v>
      </c>
      <c r="DU9" s="33">
        <f t="shared" ca="1" si="24"/>
        <v>0.2</v>
      </c>
      <c r="DV9" s="33">
        <f t="shared" ca="1" si="25"/>
        <v>0.2</v>
      </c>
      <c r="DW9" s="33">
        <f t="shared" ca="1" si="26"/>
        <v>0.08</v>
      </c>
      <c r="DX9" s="33">
        <f t="shared" ca="1" si="27"/>
        <v>0.05</v>
      </c>
      <c r="DY9" s="33">
        <f t="shared" ca="1" si="28"/>
        <v>0.1</v>
      </c>
      <c r="DZ9" s="33">
        <f t="shared" ca="1" si="29"/>
        <v>0.1</v>
      </c>
      <c r="EA9" s="33">
        <f t="shared" ca="1" si="30"/>
        <v>0.2</v>
      </c>
      <c r="EB9" s="33">
        <f t="shared" ca="1" si="31"/>
        <v>0.2</v>
      </c>
      <c r="EC9" s="33">
        <f t="shared" ca="1" si="32"/>
        <v>0.2</v>
      </c>
      <c r="ED9" s="33">
        <f t="shared" ca="1" si="33"/>
        <v>0.1</v>
      </c>
      <c r="EE9" s="33">
        <f t="shared" ca="1" si="34"/>
        <v>0.2</v>
      </c>
      <c r="EF9" s="33">
        <f t="shared" ca="1" si="35"/>
        <v>0.05</v>
      </c>
      <c r="EG9" s="33">
        <f t="shared" ca="1" si="36"/>
        <v>0.2</v>
      </c>
      <c r="EH9" s="33">
        <f t="shared" ca="1" si="37"/>
        <v>2.4406421822616497E-2</v>
      </c>
      <c r="EI9" s="33">
        <f t="shared" ca="1" si="38"/>
        <v>2.4406421822616497E-2</v>
      </c>
      <c r="EJ9" s="33">
        <f t="shared" ca="1" si="39"/>
        <v>2.4406421822616497E-2</v>
      </c>
      <c r="EK9" s="33">
        <f t="shared" ca="1" si="40"/>
        <v>2.4406421822616497E-2</v>
      </c>
      <c r="EL9" s="33">
        <f t="shared" ca="1" si="41"/>
        <v>2.4406421822616497E-2</v>
      </c>
      <c r="EM9" s="33">
        <f t="shared" ca="1" si="42"/>
        <v>2.4406421822616497E-2</v>
      </c>
      <c r="EN9" s="33">
        <f t="shared" ca="1" si="43"/>
        <v>2.4406421822616497E-2</v>
      </c>
      <c r="EO9" s="33">
        <f t="shared" ca="1" si="44"/>
        <v>2.4406421822616497E-2</v>
      </c>
      <c r="EP9" s="33">
        <f t="shared" ca="1" si="45"/>
        <v>2.4406421822616497E-2</v>
      </c>
      <c r="EQ9" s="33">
        <f t="shared" ca="1" si="46"/>
        <v>2.4406421822616497E-2</v>
      </c>
      <c r="ER9" s="33">
        <f t="shared" ca="1" si="47"/>
        <v>2.4406421822616497E-2</v>
      </c>
      <c r="EU9" t="s">
        <v>62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6" t="str">
        <f t="shared" si="48"/>
        <v>TR</v>
      </c>
      <c r="D10" s="7" t="s">
        <v>16</v>
      </c>
      <c r="E10" s="18" t="s">
        <v>67</v>
      </c>
      <c r="F10" s="8" t="str">
        <f t="shared" si="52"/>
        <v>Diesel</v>
      </c>
      <c r="G10" s="6" t="s">
        <v>68</v>
      </c>
      <c r="H10" s="9">
        <f ca="1">OFFSET(TIAM15_assumptions!$G10,0,MATCH(VLOOKUP(Assumptions!H$2,TIAM15_assumptions!$Y$3:$Z$87,2,FALSE),TIAM15_assumptions!$H$2:$V$2,0))</f>
        <v>0</v>
      </c>
      <c r="I10" s="9">
        <f ca="1">OFFSET(TIAM15_assumptions!$G10,0,MATCH(VLOOKUP(Assumptions!I$2,TIAM15_assumptions!$Y$3:$Z$87,2,FALSE),TIAM15_assumptions!$H$2:$V$2,0))</f>
        <v>0</v>
      </c>
      <c r="J10" s="9">
        <f ca="1">OFFSET(TIAM15_assumptions!$G10,0,MATCH(VLOOKUP(Assumptions!J$2,TIAM15_assumptions!$Y$3:$Z$87,2,FALSE),TIAM15_assumptions!$H$2:$V$2,0))</f>
        <v>0</v>
      </c>
      <c r="K10" s="9">
        <f ca="1">OFFSET(TIAM15_assumptions!$G10,0,MATCH(VLOOKUP(Assumptions!K$2,TIAM15_assumptions!$Y$3:$Z$87,2,FALSE),TIAM15_assumptions!$H$2:$V$2,0))</f>
        <v>0</v>
      </c>
      <c r="L10" s="9">
        <f ca="1">OFFSET(TIAM15_assumptions!$G10,0,MATCH(VLOOKUP(Assumptions!L$2,TIAM15_assumptions!$Y$3:$Z$87,2,FALSE),TIAM15_assumptions!$H$2:$V$2,0))</f>
        <v>0</v>
      </c>
      <c r="M10" s="9">
        <f ca="1">OFFSET(TIAM15_assumptions!$G10,0,MATCH(VLOOKUP(Assumptions!M$2,TIAM15_assumptions!$Y$3:$Z$87,2,FALSE),TIAM15_assumptions!$H$2:$V$2,0))</f>
        <v>0</v>
      </c>
      <c r="N10" s="9">
        <f ca="1">OFFSET(TIAM15_assumptions!$G10,0,MATCH(VLOOKUP(Assumptions!N$2,TIAM15_assumptions!$Y$3:$Z$87,2,FALSE),TIAM15_assumptions!$H$2:$V$2,0))</f>
        <v>0</v>
      </c>
      <c r="O10" s="9">
        <f ca="1">OFFSET(TIAM15_assumptions!$G10,0,MATCH(VLOOKUP(Assumptions!O$2,TIAM15_assumptions!$Y$3:$Z$87,2,FALSE),TIAM15_assumptions!$H$2:$V$2,0))</f>
        <v>0</v>
      </c>
      <c r="P10" s="9">
        <f ca="1">OFFSET(TIAM15_assumptions!$G10,0,MATCH(VLOOKUP(Assumptions!P$2,TIAM15_assumptions!$Y$3:$Z$87,2,FALSE),TIAM15_assumptions!$H$2:$V$2,0))</f>
        <v>0</v>
      </c>
      <c r="Q10" s="9">
        <f ca="1">OFFSET(TIAM15_assumptions!$G10,0,MATCH(VLOOKUP(Assumptions!Q$2,TIAM15_assumptions!$Y$3:$Z$87,2,FALSE),TIAM15_assumptions!$H$2:$V$2,0))</f>
        <v>0</v>
      </c>
      <c r="R10" s="9">
        <f ca="1">OFFSET(TIAM15_assumptions!$G10,0,MATCH(VLOOKUP(Assumptions!R$2,TIAM15_assumptions!$Y$3:$Z$87,2,FALSE),TIAM15_assumptions!$H$2:$V$2,0))</f>
        <v>0</v>
      </c>
      <c r="S10" s="9">
        <f ca="1">OFFSET(TIAM15_assumptions!$G10,0,MATCH(VLOOKUP(Assumptions!S$2,TIAM15_assumptions!$Y$3:$Z$87,2,FALSE),TIAM15_assumptions!$H$2:$V$2,0))</f>
        <v>0</v>
      </c>
      <c r="T10" s="9">
        <f ca="1">OFFSET(TIAM15_assumptions!$G10,0,MATCH(VLOOKUP(Assumptions!T$2,TIAM15_assumptions!$Y$3:$Z$87,2,FALSE),TIAM15_assumptions!$H$2:$V$2,0))</f>
        <v>0</v>
      </c>
      <c r="U10" s="9">
        <f ca="1">OFFSET(TIAM15_assumptions!$G10,0,MATCH(VLOOKUP(Assumptions!U$2,TIAM15_assumptions!$Y$3:$Z$87,2,FALSE),TIAM15_assumptions!$H$2:$V$2,0))</f>
        <v>0</v>
      </c>
      <c r="V10" s="9">
        <f ca="1">OFFSET(TIAM15_assumptions!$G10,0,MATCH(VLOOKUP(Assumptions!V$2,TIAM15_assumptions!$Y$3:$Z$87,2,FALSE),TIAM15_assumptions!$H$2:$V$2,0))</f>
        <v>0</v>
      </c>
      <c r="W10" s="9">
        <f ca="1">OFFSET(TIAM15_assumptions!$G10,0,MATCH(VLOOKUP(Assumptions!W$2,TIAM15_assumptions!$Y$3:$Z$87,2,FALSE),TIAM15_assumptions!$H$2:$V$2,0))</f>
        <v>0</v>
      </c>
      <c r="X10" s="9">
        <f ca="1">OFFSET(TIAM15_assumptions!$G10,0,MATCH(VLOOKUP(Assumptions!X$2,TIAM15_assumptions!$Y$3:$Z$87,2,FALSE),TIAM15_assumptions!$H$2:$V$2,0))</f>
        <v>0</v>
      </c>
      <c r="Y10" s="9">
        <f ca="1">OFFSET(TIAM15_assumptions!$G10,0,MATCH(VLOOKUP(Assumptions!Y$2,TIAM15_assumptions!$Y$3:$Z$87,2,FALSE),TIAM15_assumptions!$H$2:$V$2,0))</f>
        <v>0</v>
      </c>
      <c r="Z10" s="9">
        <f ca="1">OFFSET(TIAM15_assumptions!$G10,0,MATCH(VLOOKUP(Assumptions!Z$2,TIAM15_assumptions!$Y$3:$Z$87,2,FALSE),TIAM15_assumptions!$H$2:$V$2,0))</f>
        <v>0</v>
      </c>
      <c r="AA10" s="9">
        <f ca="1">OFFSET(TIAM15_assumptions!$G10,0,MATCH(VLOOKUP(Assumptions!AA$2,TIAM15_assumptions!$Y$3:$Z$87,2,FALSE),TIAM15_assumptions!$H$2:$V$2,0))</f>
        <v>0</v>
      </c>
      <c r="AB10" s="9">
        <f ca="1">OFFSET(TIAM15_assumptions!$G10,0,MATCH(VLOOKUP(Assumptions!AB$2,TIAM15_assumptions!$Y$3:$Z$87,2,FALSE),TIAM15_assumptions!$H$2:$V$2,0))</f>
        <v>0</v>
      </c>
      <c r="AC10" s="9">
        <f ca="1">OFFSET(TIAM15_assumptions!$G10,0,MATCH(VLOOKUP(Assumptions!AC$2,TIAM15_assumptions!$Y$3:$Z$87,2,FALSE),TIAM15_assumptions!$H$2:$V$2,0))</f>
        <v>0</v>
      </c>
      <c r="AD10" s="9">
        <f ca="1">OFFSET(TIAM15_assumptions!$G10,0,MATCH(VLOOKUP(Assumptions!AD$2,TIAM15_assumptions!$Y$3:$Z$87,2,FALSE),TIAM15_assumptions!$H$2:$V$2,0))</f>
        <v>0</v>
      </c>
      <c r="AE10" s="9">
        <f ca="1">OFFSET(TIAM15_assumptions!$G10,0,MATCH(VLOOKUP(Assumptions!AE$2,TIAM15_assumptions!$Y$3:$Z$87,2,FALSE),TIAM15_assumptions!$H$2:$V$2,0))</f>
        <v>0</v>
      </c>
      <c r="AF10" s="9">
        <f ca="1">OFFSET(TIAM15_assumptions!$G10,0,MATCH(VLOOKUP(Assumptions!AF$2,TIAM15_assumptions!$Y$3:$Z$87,2,FALSE),TIAM15_assumptions!$H$2:$V$2,0))</f>
        <v>0</v>
      </c>
      <c r="AG10" s="9">
        <f ca="1">OFFSET(TIAM15_assumptions!$G10,0,MATCH(VLOOKUP(Assumptions!AG$2,TIAM15_assumptions!$Y$3:$Z$87,2,FALSE),TIAM15_assumptions!$H$2:$V$2,0))</f>
        <v>0</v>
      </c>
      <c r="AH10" s="9">
        <f ca="1">OFFSET(TIAM15_assumptions!$G10,0,MATCH(VLOOKUP(Assumptions!AH$2,TIAM15_assumptions!$Y$3:$Z$87,2,FALSE),TIAM15_assumptions!$H$2:$V$2,0))</f>
        <v>0</v>
      </c>
      <c r="AI10" s="9">
        <f ca="1">OFFSET(TIAM15_assumptions!$G10,0,MATCH(VLOOKUP(Assumptions!AI$2,TIAM15_assumptions!$Y$3:$Z$87,2,FALSE),TIAM15_assumptions!$H$2:$V$2,0))</f>
        <v>0</v>
      </c>
      <c r="AJ10" s="9">
        <f ca="1">OFFSET(TIAM15_assumptions!$G10,0,MATCH(VLOOKUP(Assumptions!AJ$2,TIAM15_assumptions!$Y$3:$Z$87,2,FALSE),TIAM15_assumptions!$H$2:$V$2,0))</f>
        <v>0</v>
      </c>
      <c r="AK10" s="9">
        <f ca="1">OFFSET(TIAM15_assumptions!$G10,0,MATCH(VLOOKUP(Assumptions!AK$2,TIAM15_assumptions!$Y$3:$Z$87,2,FALSE),TIAM15_assumptions!$H$2:$V$2,0))</f>
        <v>0</v>
      </c>
      <c r="AL10" s="9">
        <f ca="1">OFFSET(TIAM15_assumptions!$G10,0,MATCH(VLOOKUP(Assumptions!AL$2,TIAM15_assumptions!$Y$3:$Z$87,2,FALSE),TIAM15_assumptions!$H$2:$V$2,0))</f>
        <v>0</v>
      </c>
      <c r="AM10" s="9">
        <f ca="1">OFFSET(TIAM15_assumptions!$G10,0,MATCH(VLOOKUP(Assumptions!AM$2,TIAM15_assumptions!$Y$3:$Z$87,2,FALSE),TIAM15_assumptions!$H$2:$V$2,0))</f>
        <v>0</v>
      </c>
      <c r="AN10" s="9">
        <f ca="1">OFFSET(TIAM15_assumptions!$G10,0,MATCH(VLOOKUP(Assumptions!AN$2,TIAM15_assumptions!$Y$3:$Z$87,2,FALSE),TIAM15_assumptions!$H$2:$V$2,0))</f>
        <v>0</v>
      </c>
      <c r="AO10" s="9">
        <f ca="1">OFFSET(TIAM15_assumptions!$G10,0,MATCH(VLOOKUP(Assumptions!AO$2,TIAM15_assumptions!$Y$3:$Z$87,2,FALSE),TIAM15_assumptions!$H$2:$V$2,0))</f>
        <v>0</v>
      </c>
      <c r="AP10" s="9">
        <f ca="1">OFFSET(TIAM15_assumptions!$G10,0,MATCH(VLOOKUP(Assumptions!AP$2,TIAM15_assumptions!$Y$3:$Z$87,2,FALSE),TIAM15_assumptions!$H$2:$V$2,0))</f>
        <v>0</v>
      </c>
      <c r="AQ10" s="9">
        <f ca="1">OFFSET(TIAM15_assumptions!$G10,0,MATCH(VLOOKUP(Assumptions!AQ$2,TIAM15_assumptions!$Y$3:$Z$87,2,FALSE),TIAM15_assumptions!$H$2:$V$2,0))</f>
        <v>0</v>
      </c>
      <c r="AR10" s="9">
        <f ca="1">OFFSET(TIAM15_assumptions!$G10,0,MATCH(VLOOKUP(Assumptions!AR$2,TIAM15_assumptions!$Y$3:$Z$87,2,FALSE),TIAM15_assumptions!$H$2:$V$2,0))</f>
        <v>0</v>
      </c>
      <c r="AS10" s="9">
        <f ca="1">OFFSET(TIAM15_assumptions!$G10,0,MATCH(VLOOKUP(Assumptions!AS$2,TIAM15_assumptions!$Y$3:$Z$87,2,FALSE),TIAM15_assumptions!$H$2:$V$2,0))</f>
        <v>0</v>
      </c>
      <c r="AT10" s="9">
        <f ca="1">OFFSET(TIAM15_assumptions!$G10,0,MATCH(VLOOKUP(Assumptions!AT$2,TIAM15_assumptions!$Y$3:$Z$87,2,FALSE),TIAM15_assumptions!$H$2:$V$2,0))</f>
        <v>0</v>
      </c>
      <c r="AU10" s="9">
        <f ca="1">OFFSET(TIAM15_assumptions!$G10,0,MATCH(VLOOKUP(Assumptions!AU$2,TIAM15_assumptions!$Y$3:$Z$87,2,FALSE),TIAM15_assumptions!$H$2:$V$2,0))</f>
        <v>0</v>
      </c>
      <c r="AV10" s="9">
        <f ca="1">OFFSET(TIAM15_assumptions!$G10,0,MATCH(VLOOKUP(Assumptions!AV$2,TIAM15_assumptions!$Y$3:$Z$87,2,FALSE),TIAM15_assumptions!$H$2:$V$2,0))</f>
        <v>0</v>
      </c>
      <c r="AW10" s="9">
        <f ca="1">OFFSET(TIAM15_assumptions!$G10,0,MATCH(VLOOKUP(Assumptions!AW$2,TIAM15_assumptions!$Y$3:$Z$87,2,FALSE),TIAM15_assumptions!$H$2:$V$2,0))</f>
        <v>0</v>
      </c>
      <c r="AX10" s="9">
        <f ca="1">OFFSET(TIAM15_assumptions!$G10,0,MATCH(VLOOKUP(Assumptions!AX$2,TIAM15_assumptions!$Y$3:$Z$87,2,FALSE),TIAM15_assumptions!$H$2:$V$2,0))</f>
        <v>0</v>
      </c>
      <c r="AY10" s="9">
        <f ca="1">OFFSET(TIAM15_assumptions!$G10,0,MATCH(VLOOKUP(Assumptions!AY$2,TIAM15_assumptions!$Y$3:$Z$87,2,FALSE),TIAM15_assumptions!$H$2:$V$2,0))</f>
        <v>0</v>
      </c>
      <c r="AZ10" s="9">
        <f ca="1">OFFSET(TIAM15_assumptions!$G10,0,MATCH(VLOOKUP(Assumptions!AZ$2,TIAM15_assumptions!$Y$3:$Z$87,2,FALSE),TIAM15_assumptions!$H$2:$V$2,0))</f>
        <v>0</v>
      </c>
      <c r="BA10" s="9">
        <f ca="1">OFFSET(TIAM15_assumptions!$G10,0,MATCH(VLOOKUP(Assumptions!BA$2,TIAM15_assumptions!$Y$3:$Z$87,2,FALSE),TIAM15_assumptions!$H$2:$V$2,0))</f>
        <v>0</v>
      </c>
      <c r="BD10" s="34">
        <f ca="1">IFERROR(SUMIFS('TRA balance'!E$5:E$40,'TRA balance'!$C$5:$C$40,Assumptions!$C10,'TRA balance'!$D$5:$D$40,Assumptions!$B10)*CY10*H10,"")</f>
        <v>0</v>
      </c>
      <c r="BE10" s="34">
        <f ca="1">IFERROR(SUMIFS('TRA balance'!F$5:F$40,'TRA balance'!$C$5:$C$40,Assumptions!$C10,'TRA balance'!$D$5:$D$40,Assumptions!$B10)*CZ10*I10,"")</f>
        <v>0</v>
      </c>
      <c r="BF10" s="34">
        <f ca="1">IFERROR(SUMIFS('TRA balance'!G$5:G$40,'TRA balance'!$C$5:$C$40,Assumptions!$C10,'TRA balance'!$D$5:$D$40,Assumptions!$B10)*DA10*J10,"")</f>
        <v>0</v>
      </c>
      <c r="BG10" s="34">
        <f ca="1">IFERROR(SUMIFS('TRA balance'!H$5:H$40,'TRA balance'!$C$5:$C$40,Assumptions!$C10,'TRA balance'!$D$5:$D$40,Assumptions!$B10)*DB10*K10,"")</f>
        <v>0</v>
      </c>
      <c r="BH10" s="34">
        <f ca="1">IFERROR(SUMIFS('TRA balance'!I$5:I$40,'TRA balance'!$C$5:$C$40,Assumptions!$C10,'TRA balance'!$D$5:$D$40,Assumptions!$B10)*DC10*L10,"")</f>
        <v>0</v>
      </c>
      <c r="BI10" s="34">
        <f ca="1">IFERROR(SUMIFS('TRA balance'!J$5:J$40,'TRA balance'!$C$5:$C$40,Assumptions!$C10,'TRA balance'!$D$5:$D$40,Assumptions!$B10)*DD10*M10,"")</f>
        <v>0</v>
      </c>
      <c r="BJ10" s="34">
        <f ca="1">IFERROR(SUMIFS('TRA balance'!K$5:K$40,'TRA balance'!$C$5:$C$40,Assumptions!$C10,'TRA balance'!$D$5:$D$40,Assumptions!$B10)*DE10*N10,"")</f>
        <v>0</v>
      </c>
      <c r="BK10" s="34">
        <f ca="1">IFERROR(SUMIFS('TRA balance'!L$5:L$40,'TRA balance'!$C$5:$C$40,Assumptions!$C10,'TRA balance'!$D$5:$D$40,Assumptions!$B10)*DF10*O10,"")</f>
        <v>0</v>
      </c>
      <c r="BL10" s="34">
        <f ca="1">IFERROR(SUMIFS('TRA balance'!M$5:M$40,'TRA balance'!$C$5:$C$40,Assumptions!$C10,'TRA balance'!$D$5:$D$40,Assumptions!$B10)*DG10*P10,"")</f>
        <v>0</v>
      </c>
      <c r="BM10" s="34">
        <f ca="1">IFERROR(SUMIFS('TRA balance'!N$5:N$40,'TRA balance'!$C$5:$C$40,Assumptions!$C10,'TRA balance'!$D$5:$D$40,Assumptions!$B10)*DH10*Q10,"")</f>
        <v>0</v>
      </c>
      <c r="BN10" s="34">
        <f ca="1">IFERROR(SUMIFS('TRA balance'!O$5:O$40,'TRA balance'!$C$5:$C$40,Assumptions!$C10,'TRA balance'!$D$5:$D$40,Assumptions!$B10)*DI10*R10,"")</f>
        <v>0</v>
      </c>
      <c r="BO10" s="34">
        <f ca="1">IFERROR(SUMIFS('TRA balance'!P$5:P$40,'TRA balance'!$C$5:$C$40,Assumptions!$C10,'TRA balance'!$D$5:$D$40,Assumptions!$B10)*DJ10*S10,"")</f>
        <v>0</v>
      </c>
      <c r="BP10" s="34">
        <f ca="1">IFERROR(SUMIFS('TRA balance'!Q$5:Q$40,'TRA balance'!$C$5:$C$40,Assumptions!$C10,'TRA balance'!$D$5:$D$40,Assumptions!$B10)*DK10*T10,"")</f>
        <v>0</v>
      </c>
      <c r="BQ10" s="34">
        <f ca="1">IFERROR(SUMIFS('TRA balance'!R$5:R$40,'TRA balance'!$C$5:$C$40,Assumptions!$C10,'TRA balance'!$D$5:$D$40,Assumptions!$B10)*DL10*U10,"")</f>
        <v>0</v>
      </c>
      <c r="BR10" s="34">
        <f ca="1">IFERROR(SUMIFS('TRA balance'!S$5:S$40,'TRA balance'!$C$5:$C$40,Assumptions!$C10,'TRA balance'!$D$5:$D$40,Assumptions!$B10)*DM10*V10,"")</f>
        <v>0</v>
      </c>
      <c r="BS10" s="34">
        <f ca="1">IFERROR(SUMIFS('TRA balance'!T$5:T$40,'TRA balance'!$C$5:$C$40,Assumptions!$C10,'TRA balance'!$D$5:$D$40,Assumptions!$B10)*DN10*W10,"")</f>
        <v>0</v>
      </c>
      <c r="BT10" s="34">
        <f ca="1">IFERROR(SUMIFS('TRA balance'!U$5:U$40,'TRA balance'!$C$5:$C$40,Assumptions!$C10,'TRA balance'!$D$5:$D$40,Assumptions!$B10)*DO10*X10,"")</f>
        <v>0</v>
      </c>
      <c r="BU10" s="34">
        <f ca="1">IFERROR(SUMIFS('TRA balance'!V$5:V$40,'TRA balance'!$C$5:$C$40,Assumptions!$C10,'TRA balance'!$D$5:$D$40,Assumptions!$B10)*DP10*Y10,"")</f>
        <v>0</v>
      </c>
      <c r="BV10" s="34">
        <f ca="1">IFERROR(SUMIFS('TRA balance'!W$5:W$40,'TRA balance'!$C$5:$C$40,Assumptions!$C10,'TRA balance'!$D$5:$D$40,Assumptions!$B10)*DQ10*Z10,"")</f>
        <v>0</v>
      </c>
      <c r="BW10" s="34">
        <f ca="1">IFERROR(SUMIFS('TRA balance'!X$5:X$40,'TRA balance'!$C$5:$C$40,Assumptions!$C10,'TRA balance'!$D$5:$D$40,Assumptions!$B10)*DR10*AA10,"")</f>
        <v>0</v>
      </c>
      <c r="BX10" s="34">
        <f ca="1">IFERROR(SUMIFS('TRA balance'!Y$5:Y$40,'TRA balance'!$C$5:$C$40,Assumptions!$C10,'TRA balance'!$D$5:$D$40,Assumptions!$B10)*DS10*AB10,"")</f>
        <v>0</v>
      </c>
      <c r="BY10" s="34">
        <f ca="1">IFERROR(SUMIFS('TRA balance'!Z$5:Z$40,'TRA balance'!$C$5:$C$40,Assumptions!$C10,'TRA balance'!$D$5:$D$40,Assumptions!$B10)*DT10*AC10,"")</f>
        <v>0</v>
      </c>
      <c r="BZ10" s="34">
        <f ca="1">IFERROR(SUMIFS('TRA balance'!AA$5:AA$40,'TRA balance'!$C$5:$C$40,Assumptions!$C10,'TRA balance'!$D$5:$D$40,Assumptions!$B10)*DU10*AD10,"")</f>
        <v>0</v>
      </c>
      <c r="CA10" s="34">
        <f ca="1">IFERROR(SUMIFS('TRA balance'!AB$5:AB$40,'TRA balance'!$C$5:$C$40,Assumptions!$C10,'TRA balance'!$D$5:$D$40,Assumptions!$B10)*DV10*AE10,"")</f>
        <v>0</v>
      </c>
      <c r="CB10" s="34">
        <f ca="1">IFERROR(SUMIFS('TRA balance'!AC$5:AC$40,'TRA balance'!$C$5:$C$40,Assumptions!$C10,'TRA balance'!$D$5:$D$40,Assumptions!$B10)*DW10*AF10,"")</f>
        <v>0</v>
      </c>
      <c r="CC10" s="34">
        <f ca="1">IFERROR(SUMIFS('TRA balance'!AD$5:AD$40,'TRA balance'!$C$5:$C$40,Assumptions!$C10,'TRA balance'!$D$5:$D$40,Assumptions!$B10)*DX10*AG10,"")</f>
        <v>0</v>
      </c>
      <c r="CD10" s="34">
        <f ca="1">IFERROR(SUMIFS('TRA balance'!AE$5:AE$40,'TRA balance'!$C$5:$C$40,Assumptions!$C10,'TRA balance'!$D$5:$D$40,Assumptions!$B10)*DY10*AH10,"")</f>
        <v>0</v>
      </c>
      <c r="CE10" s="34">
        <f ca="1">IFERROR(SUMIFS('TRA balance'!AF$5:AF$40,'TRA balance'!$C$5:$C$40,Assumptions!$C10,'TRA balance'!$D$5:$D$40,Assumptions!$B10)*DZ10*AI10,"")</f>
        <v>0</v>
      </c>
      <c r="CF10" s="34">
        <f ca="1">IFERROR(SUMIFS('TRA balance'!AG$5:AG$40,'TRA balance'!$C$5:$C$40,Assumptions!$C10,'TRA balance'!$D$5:$D$40,Assumptions!$B10)*EA10*AJ10,"")</f>
        <v>0</v>
      </c>
      <c r="CG10" s="34">
        <f ca="1">IFERROR(SUMIFS('TRA balance'!AH$5:AH$40,'TRA balance'!$C$5:$C$40,Assumptions!$C10,'TRA balance'!$D$5:$D$40,Assumptions!$B10)*EB10*AK10,"")</f>
        <v>0</v>
      </c>
      <c r="CH10" s="34">
        <f ca="1">IFERROR(SUMIFS('TRA balance'!AI$5:AI$40,'TRA balance'!$C$5:$C$40,Assumptions!$C10,'TRA balance'!$D$5:$D$40,Assumptions!$B10)*EC10*AL10,"")</f>
        <v>0</v>
      </c>
      <c r="CI10" s="34">
        <f ca="1">IFERROR(SUMIFS('TRA balance'!AJ$5:AJ$40,'TRA balance'!$C$5:$C$40,Assumptions!$C10,'TRA balance'!$D$5:$D$40,Assumptions!$B10)*ED10*AM10,"")</f>
        <v>0</v>
      </c>
      <c r="CJ10" s="34">
        <f ca="1">IFERROR(SUMIFS('TRA balance'!AK$5:AK$40,'TRA balance'!$C$5:$C$40,Assumptions!$C10,'TRA balance'!$D$5:$D$40,Assumptions!$B10)*EE10*AN10,"")</f>
        <v>0</v>
      </c>
      <c r="CK10" s="34">
        <f ca="1">IFERROR(SUMIFS('TRA balance'!AL$5:AL$40,'TRA balance'!$C$5:$C$40,Assumptions!$C10,'TRA balance'!$D$5:$D$40,Assumptions!$B10)*EF10*AO10,"")</f>
        <v>0</v>
      </c>
      <c r="CL10" s="34">
        <f ca="1">IFERROR(SUMIFS('TRA balance'!AM$5:AM$40,'TRA balance'!$C$5:$C$40,Assumptions!$C10,'TRA balance'!$D$5:$D$40,Assumptions!$B10)*EG10*AP10,"")</f>
        <v>0</v>
      </c>
      <c r="CM10" s="34">
        <f ca="1">IFERROR(SUMIFS('TRA balance'!AN$5:AN$40,'TRA balance'!$C$5:$C$40,Assumptions!$C10,'TRA balance'!$D$5:$D$40,Assumptions!$B10)*EH10*AQ10,"")</f>
        <v>0</v>
      </c>
      <c r="CN10" s="34">
        <f ca="1">IFERROR(SUMIFS('TRA balance'!AO$5:AO$40,'TRA balance'!$C$5:$C$40,Assumptions!$C10,'TRA balance'!$D$5:$D$40,Assumptions!$B10)*EI10*AR10,"")</f>
        <v>0</v>
      </c>
      <c r="CO10" s="34">
        <f ca="1">IFERROR(SUMIFS('TRA balance'!AP$5:AP$40,'TRA balance'!$C$5:$C$40,Assumptions!$C10,'TRA balance'!$D$5:$D$40,Assumptions!$B10)*EJ10*AS10,"")</f>
        <v>0</v>
      </c>
      <c r="CP10" s="34">
        <f ca="1">IFERROR(SUMIFS('TRA balance'!AQ$5:AQ$40,'TRA balance'!$C$5:$C$40,Assumptions!$C10,'TRA balance'!$D$5:$D$40,Assumptions!$B10)*EK10*AT10,"")</f>
        <v>0</v>
      </c>
      <c r="CQ10" s="34">
        <f ca="1">IFERROR(SUMIFS('TRA balance'!AR$5:AR$40,'TRA balance'!$C$5:$C$40,Assumptions!$C10,'TRA balance'!$D$5:$D$40,Assumptions!$B10)*EL10*AU10,"")</f>
        <v>0</v>
      </c>
      <c r="CR10" s="34">
        <f ca="1">IFERROR(SUMIFS('TRA balance'!AS$5:AS$40,'TRA balance'!$C$5:$C$40,Assumptions!$C10,'TRA balance'!$D$5:$D$40,Assumptions!$B10)*EM10*AV10,"")</f>
        <v>0</v>
      </c>
      <c r="CS10" s="34">
        <f ca="1">IFERROR(SUMIFS('TRA balance'!AT$5:AT$40,'TRA balance'!$C$5:$C$40,Assumptions!$C10,'TRA balance'!$D$5:$D$40,Assumptions!$B10)*EN10*AW10,"")</f>
        <v>0</v>
      </c>
      <c r="CT10" s="34">
        <f ca="1">IFERROR(SUMIFS('TRA balance'!AU$5:AU$40,'TRA balance'!$C$5:$C$40,Assumptions!$C10,'TRA balance'!$D$5:$D$40,Assumptions!$B10)*EO10*AX10,"")</f>
        <v>0</v>
      </c>
      <c r="CU10" s="34">
        <f ca="1">IFERROR(SUMIFS('TRA balance'!AV$5:AV$40,'TRA balance'!$C$5:$C$40,Assumptions!$C10,'TRA balance'!$D$5:$D$40,Assumptions!$B10)*EP10*AY10,"")</f>
        <v>0</v>
      </c>
      <c r="CV10" s="34">
        <f ca="1">IFERROR(SUMIFS('TRA balance'!AW$5:AW$40,'TRA balance'!$C$5:$C$40,Assumptions!$C10,'TRA balance'!$D$5:$D$40,Assumptions!$B10)*EQ10*AZ10,"")</f>
        <v>0</v>
      </c>
      <c r="CW10" s="34">
        <f ca="1">IFERROR(SUMIFS('TRA balance'!AX$5:AX$40,'TRA balance'!$C$5:$C$40,Assumptions!$C10,'TRA balance'!$D$5:$D$40,Assumptions!$B10)*ER10*BA10,"")</f>
        <v>0</v>
      </c>
      <c r="CY10" s="33">
        <f t="shared" ca="1" si="2"/>
        <v>0.1</v>
      </c>
      <c r="CZ10" s="33">
        <f t="shared" ca="1" si="3"/>
        <v>0.1</v>
      </c>
      <c r="DA10" s="33">
        <f t="shared" ca="1" si="4"/>
        <v>0.02</v>
      </c>
      <c r="DB10" s="33">
        <f t="shared" ca="1" si="5"/>
        <v>0.2</v>
      </c>
      <c r="DC10" s="33">
        <f t="shared" ca="1" si="6"/>
        <v>0.05</v>
      </c>
      <c r="DD10" s="33">
        <f t="shared" ca="1" si="7"/>
        <v>0.2</v>
      </c>
      <c r="DE10" s="33">
        <f t="shared" ca="1" si="8"/>
        <v>7.0000000000000007E-2</v>
      </c>
      <c r="DF10" s="33">
        <f t="shared" ca="1" si="9"/>
        <v>0.1</v>
      </c>
      <c r="DG10" s="33">
        <f t="shared" ca="1" si="10"/>
        <v>0.2</v>
      </c>
      <c r="DH10" s="33">
        <f t="shared" ca="1" si="11"/>
        <v>0.2</v>
      </c>
      <c r="DI10" s="33">
        <f t="shared" ca="1" si="12"/>
        <v>0.2</v>
      </c>
      <c r="DJ10" s="33">
        <f t="shared" ca="1" si="13"/>
        <v>0.2</v>
      </c>
      <c r="DK10" s="33">
        <f t="shared" ca="1" si="14"/>
        <v>0.2</v>
      </c>
      <c r="DL10" s="33">
        <f t="shared" ca="1" si="15"/>
        <v>0.2</v>
      </c>
      <c r="DM10" s="33">
        <f t="shared" ca="1" si="16"/>
        <v>0.2</v>
      </c>
      <c r="DN10" s="33">
        <f t="shared" ca="1" si="17"/>
        <v>0.25</v>
      </c>
      <c r="DO10" s="33">
        <f t="shared" ca="1" si="18"/>
        <v>0.2</v>
      </c>
      <c r="DP10" s="33">
        <f t="shared" ca="1" si="19"/>
        <v>0.2</v>
      </c>
      <c r="DQ10" s="33">
        <f t="shared" ca="1" si="20"/>
        <v>0.05</v>
      </c>
      <c r="DR10" s="33">
        <f t="shared" ca="1" si="21"/>
        <v>7.0000000000000007E-2</v>
      </c>
      <c r="DS10" s="33">
        <f t="shared" ca="1" si="22"/>
        <v>0.1</v>
      </c>
      <c r="DT10" s="33">
        <f t="shared" ca="1" si="23"/>
        <v>2.4406421822616497E-2</v>
      </c>
      <c r="DU10" s="33">
        <f t="shared" ca="1" si="24"/>
        <v>0.2</v>
      </c>
      <c r="DV10" s="33">
        <f t="shared" ca="1" si="25"/>
        <v>0.2</v>
      </c>
      <c r="DW10" s="33">
        <f t="shared" ca="1" si="26"/>
        <v>0.08</v>
      </c>
      <c r="DX10" s="33">
        <f t="shared" ca="1" si="27"/>
        <v>0.05</v>
      </c>
      <c r="DY10" s="33">
        <f t="shared" ca="1" si="28"/>
        <v>0.1</v>
      </c>
      <c r="DZ10" s="33">
        <f t="shared" ca="1" si="29"/>
        <v>0.1</v>
      </c>
      <c r="EA10" s="33">
        <f t="shared" ca="1" si="30"/>
        <v>0.2</v>
      </c>
      <c r="EB10" s="33">
        <f t="shared" ca="1" si="31"/>
        <v>0.2</v>
      </c>
      <c r="EC10" s="33">
        <f t="shared" ca="1" si="32"/>
        <v>0.2</v>
      </c>
      <c r="ED10" s="33">
        <f t="shared" ca="1" si="33"/>
        <v>0.1</v>
      </c>
      <c r="EE10" s="33">
        <f t="shared" ca="1" si="34"/>
        <v>0.2</v>
      </c>
      <c r="EF10" s="33">
        <f t="shared" ca="1" si="35"/>
        <v>0.05</v>
      </c>
      <c r="EG10" s="33">
        <f t="shared" ca="1" si="36"/>
        <v>0.2</v>
      </c>
      <c r="EH10" s="33">
        <f t="shared" ca="1" si="37"/>
        <v>2.4406421822616497E-2</v>
      </c>
      <c r="EI10" s="33">
        <f t="shared" ca="1" si="38"/>
        <v>2.4406421822616497E-2</v>
      </c>
      <c r="EJ10" s="33">
        <f t="shared" ca="1" si="39"/>
        <v>2.4406421822616497E-2</v>
      </c>
      <c r="EK10" s="33">
        <f t="shared" ca="1" si="40"/>
        <v>2.4406421822616497E-2</v>
      </c>
      <c r="EL10" s="33">
        <f t="shared" ca="1" si="41"/>
        <v>2.4406421822616497E-2</v>
      </c>
      <c r="EM10" s="33">
        <f t="shared" ca="1" si="42"/>
        <v>2.4406421822616497E-2</v>
      </c>
      <c r="EN10" s="33">
        <f t="shared" ca="1" si="43"/>
        <v>2.4406421822616497E-2</v>
      </c>
      <c r="EO10" s="33">
        <f t="shared" ca="1" si="44"/>
        <v>2.4406421822616497E-2</v>
      </c>
      <c r="EP10" s="33">
        <f t="shared" ca="1" si="45"/>
        <v>2.4406421822616497E-2</v>
      </c>
      <c r="EQ10" s="33">
        <f t="shared" ca="1" si="46"/>
        <v>2.4406421822616497E-2</v>
      </c>
      <c r="ER10" s="33">
        <f t="shared" ca="1" si="47"/>
        <v>2.4406421822616497E-2</v>
      </c>
      <c r="EU10" t="s">
        <v>68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6" t="str">
        <f t="shared" si="48"/>
        <v/>
      </c>
      <c r="D11" s="7"/>
      <c r="E11" s="19" t="s">
        <v>69</v>
      </c>
      <c r="F11" s="8" t="str">
        <f t="shared" si="52"/>
        <v>Diesel</v>
      </c>
      <c r="G11" s="6"/>
      <c r="H11" s="32" t="str">
        <f ca="1">IF(SUM(H7:H10)=1,"-","&lt;&gt;1!!")</f>
        <v>-</v>
      </c>
      <c r="I11" s="32" t="str">
        <f t="shared" ref="I11:BA11" ca="1" si="53">IF(SUM(I7:I10)=1,"-","&lt;&gt;1!!")</f>
        <v>-</v>
      </c>
      <c r="J11" s="32" t="str">
        <f t="shared" ca="1" si="53"/>
        <v>-</v>
      </c>
      <c r="K11" s="32" t="str">
        <f t="shared" ca="1" si="53"/>
        <v>-</v>
      </c>
      <c r="L11" s="32" t="str">
        <f t="shared" ca="1" si="53"/>
        <v>-</v>
      </c>
      <c r="M11" s="32" t="str">
        <f t="shared" ca="1" si="53"/>
        <v>-</v>
      </c>
      <c r="N11" s="32" t="str">
        <f t="shared" ca="1" si="53"/>
        <v>-</v>
      </c>
      <c r="O11" s="32" t="str">
        <f t="shared" ca="1" si="53"/>
        <v>-</v>
      </c>
      <c r="P11" s="32" t="str">
        <f t="shared" ca="1" si="53"/>
        <v>-</v>
      </c>
      <c r="Q11" s="32" t="str">
        <f t="shared" ca="1" si="53"/>
        <v>-</v>
      </c>
      <c r="R11" s="32" t="str">
        <f t="shared" ca="1" si="53"/>
        <v>-</v>
      </c>
      <c r="S11" s="32" t="str">
        <f t="shared" ca="1" si="53"/>
        <v>-</v>
      </c>
      <c r="T11" s="32" t="str">
        <f t="shared" ca="1" si="53"/>
        <v>-</v>
      </c>
      <c r="U11" s="32" t="str">
        <f t="shared" ca="1" si="53"/>
        <v>-</v>
      </c>
      <c r="V11" s="32" t="str">
        <f t="shared" ca="1" si="53"/>
        <v>-</v>
      </c>
      <c r="W11" s="32" t="str">
        <f t="shared" ca="1" si="53"/>
        <v>-</v>
      </c>
      <c r="X11" s="32" t="str">
        <f t="shared" ca="1" si="53"/>
        <v>-</v>
      </c>
      <c r="Y11" s="32" t="str">
        <f t="shared" ca="1" si="53"/>
        <v>-</v>
      </c>
      <c r="Z11" s="32" t="str">
        <f t="shared" ca="1" si="53"/>
        <v>-</v>
      </c>
      <c r="AA11" s="32" t="str">
        <f t="shared" ca="1" si="53"/>
        <v>-</v>
      </c>
      <c r="AB11" s="32" t="str">
        <f t="shared" ca="1" si="53"/>
        <v>-</v>
      </c>
      <c r="AC11" s="32" t="str">
        <f t="shared" ca="1" si="53"/>
        <v>-</v>
      </c>
      <c r="AD11" s="32" t="str">
        <f t="shared" ca="1" si="53"/>
        <v>-</v>
      </c>
      <c r="AE11" s="32" t="str">
        <f t="shared" ca="1" si="53"/>
        <v>-</v>
      </c>
      <c r="AF11" s="32" t="str">
        <f t="shared" ca="1" si="53"/>
        <v>-</v>
      </c>
      <c r="AG11" s="32" t="str">
        <f t="shared" ca="1" si="53"/>
        <v>-</v>
      </c>
      <c r="AH11" s="32" t="str">
        <f t="shared" ca="1" si="53"/>
        <v>-</v>
      </c>
      <c r="AI11" s="32" t="str">
        <f t="shared" ca="1" si="53"/>
        <v>-</v>
      </c>
      <c r="AJ11" s="32" t="str">
        <f t="shared" ca="1" si="53"/>
        <v>-</v>
      </c>
      <c r="AK11" s="32" t="str">
        <f t="shared" ca="1" si="53"/>
        <v>-</v>
      </c>
      <c r="AL11" s="32" t="str">
        <f t="shared" ca="1" si="53"/>
        <v>-</v>
      </c>
      <c r="AM11" s="32" t="str">
        <f t="shared" ca="1" si="53"/>
        <v>-</v>
      </c>
      <c r="AN11" s="32" t="str">
        <f t="shared" ca="1" si="53"/>
        <v>-</v>
      </c>
      <c r="AO11" s="32" t="str">
        <f t="shared" ca="1" si="53"/>
        <v>-</v>
      </c>
      <c r="AP11" s="32" t="str">
        <f t="shared" ca="1" si="53"/>
        <v>-</v>
      </c>
      <c r="AQ11" s="32" t="str">
        <f t="shared" ca="1" si="53"/>
        <v>-</v>
      </c>
      <c r="AR11" s="32" t="str">
        <f t="shared" ca="1" si="53"/>
        <v>-</v>
      </c>
      <c r="AS11" s="32" t="str">
        <f t="shared" ca="1" si="53"/>
        <v>-</v>
      </c>
      <c r="AT11" s="32" t="str">
        <f t="shared" ca="1" si="53"/>
        <v>-</v>
      </c>
      <c r="AU11" s="32" t="str">
        <f t="shared" ca="1" si="53"/>
        <v>-</v>
      </c>
      <c r="AV11" s="32" t="str">
        <f t="shared" ca="1" si="53"/>
        <v>-</v>
      </c>
      <c r="AW11" s="32" t="str">
        <f t="shared" ca="1" si="53"/>
        <v>-</v>
      </c>
      <c r="AX11" s="32" t="str">
        <f t="shared" ca="1" si="53"/>
        <v>-</v>
      </c>
      <c r="AY11" s="32" t="str">
        <f t="shared" ca="1" si="53"/>
        <v>-</v>
      </c>
      <c r="AZ11" s="32" t="str">
        <f t="shared" ca="1" si="53"/>
        <v>-</v>
      </c>
      <c r="BA11" s="32" t="str">
        <f t="shared" ca="1" si="53"/>
        <v>-</v>
      </c>
      <c r="BD11" s="34" t="str">
        <f ca="1">IFERROR(SUMIFS('TRA balance'!E$5:E$40,'TRA balance'!$C$5:$C$40,Assumptions!$C11,'TRA balance'!$D$5:$D$40,Assumptions!$B11)*CY11*H11,"")</f>
        <v/>
      </c>
      <c r="BE11" s="34" t="str">
        <f ca="1">IFERROR(SUMIFS('TRA balance'!F$5:F$40,'TRA balance'!$C$5:$C$40,Assumptions!$C11,'TRA balance'!$D$5:$D$40,Assumptions!$B11)*CZ11*I11,"")</f>
        <v/>
      </c>
      <c r="BF11" s="34" t="str">
        <f ca="1">IFERROR(SUMIFS('TRA balance'!G$5:G$40,'TRA balance'!$C$5:$C$40,Assumptions!$C11,'TRA balance'!$D$5:$D$40,Assumptions!$B11)*DA11*J11,"")</f>
        <v/>
      </c>
      <c r="BG11" s="34" t="str">
        <f ca="1">IFERROR(SUMIFS('TRA balance'!H$5:H$40,'TRA balance'!$C$5:$C$40,Assumptions!$C11,'TRA balance'!$D$5:$D$40,Assumptions!$B11)*DB11*K11,"")</f>
        <v/>
      </c>
      <c r="BH11" s="34" t="str">
        <f ca="1">IFERROR(SUMIFS('TRA balance'!I$5:I$40,'TRA balance'!$C$5:$C$40,Assumptions!$C11,'TRA balance'!$D$5:$D$40,Assumptions!$B11)*DC11*L11,"")</f>
        <v/>
      </c>
      <c r="BI11" s="34" t="str">
        <f ca="1">IFERROR(SUMIFS('TRA balance'!J$5:J$40,'TRA balance'!$C$5:$C$40,Assumptions!$C11,'TRA balance'!$D$5:$D$40,Assumptions!$B11)*DD11*M11,"")</f>
        <v/>
      </c>
      <c r="BJ11" s="34" t="str">
        <f ca="1">IFERROR(SUMIFS('TRA balance'!K$5:K$40,'TRA balance'!$C$5:$C$40,Assumptions!$C11,'TRA balance'!$D$5:$D$40,Assumptions!$B11)*DE11*N11,"")</f>
        <v/>
      </c>
      <c r="BK11" s="34" t="str">
        <f ca="1">IFERROR(SUMIFS('TRA balance'!L$5:L$40,'TRA balance'!$C$5:$C$40,Assumptions!$C11,'TRA balance'!$D$5:$D$40,Assumptions!$B11)*DF11*O11,"")</f>
        <v/>
      </c>
      <c r="BL11" s="34" t="str">
        <f ca="1">IFERROR(SUMIFS('TRA balance'!M$5:M$40,'TRA balance'!$C$5:$C$40,Assumptions!$C11,'TRA balance'!$D$5:$D$40,Assumptions!$B11)*DG11*P11,"")</f>
        <v/>
      </c>
      <c r="BM11" s="34" t="str">
        <f ca="1">IFERROR(SUMIFS('TRA balance'!N$5:N$40,'TRA balance'!$C$5:$C$40,Assumptions!$C11,'TRA balance'!$D$5:$D$40,Assumptions!$B11)*DH11*Q11,"")</f>
        <v/>
      </c>
      <c r="BN11" s="34" t="str">
        <f ca="1">IFERROR(SUMIFS('TRA balance'!O$5:O$40,'TRA balance'!$C$5:$C$40,Assumptions!$C11,'TRA balance'!$D$5:$D$40,Assumptions!$B11)*DI11*R11,"")</f>
        <v/>
      </c>
      <c r="BO11" s="34" t="str">
        <f ca="1">IFERROR(SUMIFS('TRA balance'!P$5:P$40,'TRA balance'!$C$5:$C$40,Assumptions!$C11,'TRA balance'!$D$5:$D$40,Assumptions!$B11)*DJ11*S11,"")</f>
        <v/>
      </c>
      <c r="BP11" s="34" t="str">
        <f ca="1">IFERROR(SUMIFS('TRA balance'!Q$5:Q$40,'TRA balance'!$C$5:$C$40,Assumptions!$C11,'TRA balance'!$D$5:$D$40,Assumptions!$B11)*DK11*T11,"")</f>
        <v/>
      </c>
      <c r="BQ11" s="34" t="str">
        <f ca="1">IFERROR(SUMIFS('TRA balance'!R$5:R$40,'TRA balance'!$C$5:$C$40,Assumptions!$C11,'TRA balance'!$D$5:$D$40,Assumptions!$B11)*DL11*U11,"")</f>
        <v/>
      </c>
      <c r="BR11" s="34" t="str">
        <f ca="1">IFERROR(SUMIFS('TRA balance'!S$5:S$40,'TRA balance'!$C$5:$C$40,Assumptions!$C11,'TRA balance'!$D$5:$D$40,Assumptions!$B11)*DM11*V11,"")</f>
        <v/>
      </c>
      <c r="BS11" s="34" t="str">
        <f ca="1">IFERROR(SUMIFS('TRA balance'!T$5:T$40,'TRA balance'!$C$5:$C$40,Assumptions!$C11,'TRA balance'!$D$5:$D$40,Assumptions!$B11)*DN11*W11,"")</f>
        <v/>
      </c>
      <c r="BT11" s="34" t="str">
        <f ca="1">IFERROR(SUMIFS('TRA balance'!U$5:U$40,'TRA balance'!$C$5:$C$40,Assumptions!$C11,'TRA balance'!$D$5:$D$40,Assumptions!$B11)*DO11*X11,"")</f>
        <v/>
      </c>
      <c r="BU11" s="34" t="str">
        <f ca="1">IFERROR(SUMIFS('TRA balance'!V$5:V$40,'TRA balance'!$C$5:$C$40,Assumptions!$C11,'TRA balance'!$D$5:$D$40,Assumptions!$B11)*DP11*Y11,"")</f>
        <v/>
      </c>
      <c r="BV11" s="34" t="str">
        <f ca="1">IFERROR(SUMIFS('TRA balance'!W$5:W$40,'TRA balance'!$C$5:$C$40,Assumptions!$C11,'TRA balance'!$D$5:$D$40,Assumptions!$B11)*DQ11*Z11,"")</f>
        <v/>
      </c>
      <c r="BW11" s="34" t="str">
        <f ca="1">IFERROR(SUMIFS('TRA balance'!X$5:X$40,'TRA balance'!$C$5:$C$40,Assumptions!$C11,'TRA balance'!$D$5:$D$40,Assumptions!$B11)*DR11*AA11,"")</f>
        <v/>
      </c>
      <c r="BX11" s="34" t="str">
        <f ca="1">IFERROR(SUMIFS('TRA balance'!Y$5:Y$40,'TRA balance'!$C$5:$C$40,Assumptions!$C11,'TRA balance'!$D$5:$D$40,Assumptions!$B11)*DS11*AB11,"")</f>
        <v/>
      </c>
      <c r="BY11" s="34" t="str">
        <f ca="1">IFERROR(SUMIFS('TRA balance'!Z$5:Z$40,'TRA balance'!$C$5:$C$40,Assumptions!$C11,'TRA balance'!$D$5:$D$40,Assumptions!$B11)*DT11*AC11,"")</f>
        <v/>
      </c>
      <c r="BZ11" s="34" t="str">
        <f ca="1">IFERROR(SUMIFS('TRA balance'!AA$5:AA$40,'TRA balance'!$C$5:$C$40,Assumptions!$C11,'TRA balance'!$D$5:$D$40,Assumptions!$B11)*DU11*AD11,"")</f>
        <v/>
      </c>
      <c r="CA11" s="34" t="str">
        <f ca="1">IFERROR(SUMIFS('TRA balance'!AB$5:AB$40,'TRA balance'!$C$5:$C$40,Assumptions!$C11,'TRA balance'!$D$5:$D$40,Assumptions!$B11)*DV11*AE11,"")</f>
        <v/>
      </c>
      <c r="CB11" s="34" t="str">
        <f ca="1">IFERROR(SUMIFS('TRA balance'!AC$5:AC$40,'TRA balance'!$C$5:$C$40,Assumptions!$C11,'TRA balance'!$D$5:$D$40,Assumptions!$B11)*DW11*AF11,"")</f>
        <v/>
      </c>
      <c r="CC11" s="34" t="str">
        <f ca="1">IFERROR(SUMIFS('TRA balance'!AD$5:AD$40,'TRA balance'!$C$5:$C$40,Assumptions!$C11,'TRA balance'!$D$5:$D$40,Assumptions!$B11)*DX11*AG11,"")</f>
        <v/>
      </c>
      <c r="CD11" s="34" t="str">
        <f ca="1">IFERROR(SUMIFS('TRA balance'!AE$5:AE$40,'TRA balance'!$C$5:$C$40,Assumptions!$C11,'TRA balance'!$D$5:$D$40,Assumptions!$B11)*DY11*AH11,"")</f>
        <v/>
      </c>
      <c r="CE11" s="34" t="str">
        <f ca="1">IFERROR(SUMIFS('TRA balance'!AF$5:AF$40,'TRA balance'!$C$5:$C$40,Assumptions!$C11,'TRA balance'!$D$5:$D$40,Assumptions!$B11)*DZ11*AI11,"")</f>
        <v/>
      </c>
      <c r="CF11" s="34" t="str">
        <f ca="1">IFERROR(SUMIFS('TRA balance'!AG$5:AG$40,'TRA balance'!$C$5:$C$40,Assumptions!$C11,'TRA balance'!$D$5:$D$40,Assumptions!$B11)*EA11*AJ11,"")</f>
        <v/>
      </c>
      <c r="CG11" s="34" t="str">
        <f ca="1">IFERROR(SUMIFS('TRA balance'!AH$5:AH$40,'TRA balance'!$C$5:$C$40,Assumptions!$C11,'TRA balance'!$D$5:$D$40,Assumptions!$B11)*EB11*AK11,"")</f>
        <v/>
      </c>
      <c r="CH11" s="34" t="str">
        <f ca="1">IFERROR(SUMIFS('TRA balance'!AI$5:AI$40,'TRA balance'!$C$5:$C$40,Assumptions!$C11,'TRA balance'!$D$5:$D$40,Assumptions!$B11)*EC11*AL11,"")</f>
        <v/>
      </c>
      <c r="CI11" s="34" t="str">
        <f ca="1">IFERROR(SUMIFS('TRA balance'!AJ$5:AJ$40,'TRA balance'!$C$5:$C$40,Assumptions!$C11,'TRA balance'!$D$5:$D$40,Assumptions!$B11)*ED11*AM11,"")</f>
        <v/>
      </c>
      <c r="CJ11" s="34" t="str">
        <f ca="1">IFERROR(SUMIFS('TRA balance'!AK$5:AK$40,'TRA balance'!$C$5:$C$40,Assumptions!$C11,'TRA balance'!$D$5:$D$40,Assumptions!$B11)*EE11*AN11,"")</f>
        <v/>
      </c>
      <c r="CK11" s="34" t="str">
        <f ca="1">IFERROR(SUMIFS('TRA balance'!AL$5:AL$40,'TRA balance'!$C$5:$C$40,Assumptions!$C11,'TRA balance'!$D$5:$D$40,Assumptions!$B11)*EF11*AO11,"")</f>
        <v/>
      </c>
      <c r="CL11" s="34" t="str">
        <f ca="1">IFERROR(SUMIFS('TRA balance'!AM$5:AM$40,'TRA balance'!$C$5:$C$40,Assumptions!$C11,'TRA balance'!$D$5:$D$40,Assumptions!$B11)*EG11*AP11,"")</f>
        <v/>
      </c>
      <c r="CM11" s="34" t="str">
        <f ca="1">IFERROR(SUMIFS('TRA balance'!AN$5:AN$40,'TRA balance'!$C$5:$C$40,Assumptions!$C11,'TRA balance'!$D$5:$D$40,Assumptions!$B11)*EH11*AQ11,"")</f>
        <v/>
      </c>
      <c r="CN11" s="34" t="str">
        <f ca="1">IFERROR(SUMIFS('TRA balance'!AO$5:AO$40,'TRA balance'!$C$5:$C$40,Assumptions!$C11,'TRA balance'!$D$5:$D$40,Assumptions!$B11)*EI11*AR11,"")</f>
        <v/>
      </c>
      <c r="CO11" s="34" t="str">
        <f ca="1">IFERROR(SUMIFS('TRA balance'!AP$5:AP$40,'TRA balance'!$C$5:$C$40,Assumptions!$C11,'TRA balance'!$D$5:$D$40,Assumptions!$B11)*EJ11*AS11,"")</f>
        <v/>
      </c>
      <c r="CP11" s="34" t="str">
        <f ca="1">IFERROR(SUMIFS('TRA balance'!AQ$5:AQ$40,'TRA balance'!$C$5:$C$40,Assumptions!$C11,'TRA balance'!$D$5:$D$40,Assumptions!$B11)*EK11*AT11,"")</f>
        <v/>
      </c>
      <c r="CQ11" s="34" t="str">
        <f ca="1">IFERROR(SUMIFS('TRA balance'!AR$5:AR$40,'TRA balance'!$C$5:$C$40,Assumptions!$C11,'TRA balance'!$D$5:$D$40,Assumptions!$B11)*EL11*AU11,"")</f>
        <v/>
      </c>
      <c r="CR11" s="34" t="str">
        <f ca="1">IFERROR(SUMIFS('TRA balance'!AS$5:AS$40,'TRA balance'!$C$5:$C$40,Assumptions!$C11,'TRA balance'!$D$5:$D$40,Assumptions!$B11)*EM11*AV11,"")</f>
        <v/>
      </c>
      <c r="CS11" s="34" t="str">
        <f ca="1">IFERROR(SUMIFS('TRA balance'!AT$5:AT$40,'TRA balance'!$C$5:$C$40,Assumptions!$C11,'TRA balance'!$D$5:$D$40,Assumptions!$B11)*EN11*AW11,"")</f>
        <v/>
      </c>
      <c r="CT11" s="34" t="str">
        <f ca="1">IFERROR(SUMIFS('TRA balance'!AU$5:AU$40,'TRA balance'!$C$5:$C$40,Assumptions!$C11,'TRA balance'!$D$5:$D$40,Assumptions!$B11)*EO11*AX11,"")</f>
        <v/>
      </c>
      <c r="CU11" s="34" t="str">
        <f ca="1">IFERROR(SUMIFS('TRA balance'!AV$5:AV$40,'TRA balance'!$C$5:$C$40,Assumptions!$C11,'TRA balance'!$D$5:$D$40,Assumptions!$B11)*EP11*AY11,"")</f>
        <v/>
      </c>
      <c r="CV11" s="34" t="str">
        <f ca="1">IFERROR(SUMIFS('TRA balance'!AW$5:AW$40,'TRA balance'!$C$5:$C$40,Assumptions!$C11,'TRA balance'!$D$5:$D$40,Assumptions!$B11)*EQ11*AZ11,"")</f>
        <v/>
      </c>
      <c r="CW11" s="34" t="str">
        <f ca="1">IFERROR(SUMIFS('TRA balance'!AX$5:AX$40,'TRA balance'!$C$5:$C$40,Assumptions!$C11,'TRA balance'!$D$5:$D$40,Assumptions!$B11)*ER11*BA11,"")</f>
        <v/>
      </c>
      <c r="CY11" s="33">
        <f t="shared" si="2"/>
        <v>1</v>
      </c>
      <c r="CZ11" s="33">
        <f t="shared" si="3"/>
        <v>1</v>
      </c>
      <c r="DA11" s="33">
        <f t="shared" si="4"/>
        <v>1</v>
      </c>
      <c r="DB11" s="33">
        <f t="shared" si="5"/>
        <v>1</v>
      </c>
      <c r="DC11" s="33">
        <f t="shared" si="6"/>
        <v>1</v>
      </c>
      <c r="DD11" s="33">
        <f t="shared" si="7"/>
        <v>1</v>
      </c>
      <c r="DE11" s="33">
        <f t="shared" si="8"/>
        <v>1</v>
      </c>
      <c r="DF11" s="33">
        <f t="shared" si="9"/>
        <v>1</v>
      </c>
      <c r="DG11" s="33">
        <f t="shared" si="10"/>
        <v>1</v>
      </c>
      <c r="DH11" s="33">
        <f t="shared" si="11"/>
        <v>1</v>
      </c>
      <c r="DI11" s="33">
        <f t="shared" si="12"/>
        <v>1</v>
      </c>
      <c r="DJ11" s="33">
        <f t="shared" si="13"/>
        <v>1</v>
      </c>
      <c r="DK11" s="33">
        <f t="shared" si="14"/>
        <v>1</v>
      </c>
      <c r="DL11" s="33">
        <f t="shared" si="15"/>
        <v>1</v>
      </c>
      <c r="DM11" s="33">
        <f t="shared" si="16"/>
        <v>1</v>
      </c>
      <c r="DN11" s="33">
        <f t="shared" si="17"/>
        <v>1</v>
      </c>
      <c r="DO11" s="33">
        <f t="shared" si="18"/>
        <v>1</v>
      </c>
      <c r="DP11" s="33">
        <f t="shared" si="19"/>
        <v>1</v>
      </c>
      <c r="DQ11" s="33">
        <f t="shared" si="20"/>
        <v>1</v>
      </c>
      <c r="DR11" s="33">
        <f t="shared" si="21"/>
        <v>1</v>
      </c>
      <c r="DS11" s="33">
        <f t="shared" si="22"/>
        <v>1</v>
      </c>
      <c r="DT11" s="33">
        <f t="shared" si="23"/>
        <v>1</v>
      </c>
      <c r="DU11" s="33">
        <f t="shared" si="24"/>
        <v>1</v>
      </c>
      <c r="DV11" s="33">
        <f t="shared" si="25"/>
        <v>1</v>
      </c>
      <c r="DW11" s="33">
        <f t="shared" si="26"/>
        <v>1</v>
      </c>
      <c r="DX11" s="33">
        <f t="shared" si="27"/>
        <v>1</v>
      </c>
      <c r="DY11" s="33">
        <f t="shared" si="28"/>
        <v>1</v>
      </c>
      <c r="DZ11" s="33">
        <f t="shared" si="29"/>
        <v>1</v>
      </c>
      <c r="EA11" s="33">
        <f t="shared" si="30"/>
        <v>1</v>
      </c>
      <c r="EB11" s="33">
        <f t="shared" si="31"/>
        <v>1</v>
      </c>
      <c r="EC11" s="33">
        <f t="shared" si="32"/>
        <v>1</v>
      </c>
      <c r="ED11" s="33">
        <f t="shared" si="33"/>
        <v>1</v>
      </c>
      <c r="EE11" s="33">
        <f t="shared" si="34"/>
        <v>1</v>
      </c>
      <c r="EF11" s="33">
        <f t="shared" si="35"/>
        <v>1</v>
      </c>
      <c r="EG11" s="33">
        <f t="shared" si="36"/>
        <v>1</v>
      </c>
      <c r="EH11" s="33">
        <f t="shared" si="37"/>
        <v>1</v>
      </c>
      <c r="EI11" s="33">
        <f t="shared" si="38"/>
        <v>1</v>
      </c>
      <c r="EJ11" s="33">
        <f t="shared" si="39"/>
        <v>1</v>
      </c>
      <c r="EK11" s="33">
        <f t="shared" si="40"/>
        <v>1</v>
      </c>
      <c r="EL11" s="33">
        <f t="shared" si="41"/>
        <v>1</v>
      </c>
      <c r="EM11" s="33">
        <f t="shared" si="42"/>
        <v>1</v>
      </c>
      <c r="EN11" s="33">
        <f t="shared" si="43"/>
        <v>1</v>
      </c>
      <c r="EO11" s="33">
        <f t="shared" si="44"/>
        <v>1</v>
      </c>
      <c r="EP11" s="33">
        <f t="shared" si="45"/>
        <v>1</v>
      </c>
      <c r="EQ11" s="33">
        <f t="shared" si="46"/>
        <v>1</v>
      </c>
      <c r="ER11" s="33">
        <f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14">
        <v>2</v>
      </c>
      <c r="D12" s="15" t="s">
        <v>16</v>
      </c>
      <c r="E12" s="15" t="s">
        <v>70</v>
      </c>
      <c r="F12" s="16" t="str">
        <f>F11</f>
        <v>Diesel</v>
      </c>
      <c r="G12" s="14"/>
      <c r="H12" s="21">
        <f ca="1">1-H6</f>
        <v>0.9</v>
      </c>
      <c r="I12" s="21">
        <f t="shared" ref="I12:BA12" ca="1" si="54">1-I6</f>
        <v>0.9</v>
      </c>
      <c r="J12" s="21">
        <f t="shared" ca="1" si="54"/>
        <v>0.98</v>
      </c>
      <c r="K12" s="21">
        <f t="shared" ca="1" si="54"/>
        <v>0.8</v>
      </c>
      <c r="L12" s="21">
        <f t="shared" ca="1" si="54"/>
        <v>0.95</v>
      </c>
      <c r="M12" s="21">
        <f t="shared" ca="1" si="54"/>
        <v>0.8</v>
      </c>
      <c r="N12" s="21">
        <f t="shared" ca="1" si="54"/>
        <v>0.92999999999999994</v>
      </c>
      <c r="O12" s="21">
        <f t="shared" ca="1" si="54"/>
        <v>0.9</v>
      </c>
      <c r="P12" s="21">
        <f t="shared" ca="1" si="54"/>
        <v>0.8</v>
      </c>
      <c r="Q12" s="21">
        <f t="shared" ca="1" si="54"/>
        <v>0.8</v>
      </c>
      <c r="R12" s="21">
        <f t="shared" ca="1" si="54"/>
        <v>0.8</v>
      </c>
      <c r="S12" s="21">
        <f t="shared" ca="1" si="54"/>
        <v>0.8</v>
      </c>
      <c r="T12" s="21">
        <f t="shared" ca="1" si="54"/>
        <v>0.8</v>
      </c>
      <c r="U12" s="21">
        <f t="shared" ca="1" si="54"/>
        <v>0.8</v>
      </c>
      <c r="V12" s="21">
        <f t="shared" ca="1" si="54"/>
        <v>0.8</v>
      </c>
      <c r="W12" s="21">
        <f t="shared" ca="1" si="54"/>
        <v>0.75</v>
      </c>
      <c r="X12" s="21">
        <f t="shared" ca="1" si="54"/>
        <v>0.8</v>
      </c>
      <c r="Y12" s="21">
        <f t="shared" ca="1" si="54"/>
        <v>0.8</v>
      </c>
      <c r="Z12" s="21">
        <f t="shared" ca="1" si="54"/>
        <v>0.95</v>
      </c>
      <c r="AA12" s="21">
        <f t="shared" ca="1" si="54"/>
        <v>0.92999999999999994</v>
      </c>
      <c r="AB12" s="21">
        <f t="shared" ca="1" si="54"/>
        <v>0.9</v>
      </c>
      <c r="AC12" s="21">
        <f t="shared" ca="1" si="54"/>
        <v>0.97559357817738346</v>
      </c>
      <c r="AD12" s="21">
        <f t="shared" ca="1" si="54"/>
        <v>0.8</v>
      </c>
      <c r="AE12" s="21">
        <f t="shared" ca="1" si="54"/>
        <v>0.8</v>
      </c>
      <c r="AF12" s="21">
        <f t="shared" ca="1" si="54"/>
        <v>0.92</v>
      </c>
      <c r="AG12" s="21">
        <f t="shared" ca="1" si="54"/>
        <v>0.95</v>
      </c>
      <c r="AH12" s="21">
        <f t="shared" ca="1" si="54"/>
        <v>0.9</v>
      </c>
      <c r="AI12" s="21">
        <f t="shared" ca="1" si="54"/>
        <v>0.9</v>
      </c>
      <c r="AJ12" s="21">
        <f t="shared" ca="1" si="54"/>
        <v>0.8</v>
      </c>
      <c r="AK12" s="21">
        <f t="shared" ca="1" si="54"/>
        <v>0.8</v>
      </c>
      <c r="AL12" s="21">
        <f t="shared" ca="1" si="54"/>
        <v>0.8</v>
      </c>
      <c r="AM12" s="21">
        <f t="shared" ca="1" si="54"/>
        <v>0.9</v>
      </c>
      <c r="AN12" s="21">
        <f t="shared" ca="1" si="54"/>
        <v>0.8</v>
      </c>
      <c r="AO12" s="21">
        <f t="shared" ca="1" si="54"/>
        <v>0.95</v>
      </c>
      <c r="AP12" s="21">
        <f t="shared" ca="1" si="54"/>
        <v>0.8</v>
      </c>
      <c r="AQ12" s="21">
        <f t="shared" ca="1" si="54"/>
        <v>0.97559357817738346</v>
      </c>
      <c r="AR12" s="21">
        <f t="shared" ca="1" si="54"/>
        <v>0.97559357817738346</v>
      </c>
      <c r="AS12" s="21">
        <f t="shared" ca="1" si="54"/>
        <v>0.97559357817738346</v>
      </c>
      <c r="AT12" s="21">
        <f t="shared" ca="1" si="54"/>
        <v>0.97559357817738346</v>
      </c>
      <c r="AU12" s="21">
        <f t="shared" ca="1" si="54"/>
        <v>0.97559357817738346</v>
      </c>
      <c r="AV12" s="21">
        <f t="shared" ca="1" si="54"/>
        <v>0.97559357817738346</v>
      </c>
      <c r="AW12" s="21">
        <f t="shared" ca="1" si="54"/>
        <v>0.97559357817738346</v>
      </c>
      <c r="AX12" s="21">
        <f t="shared" ca="1" si="54"/>
        <v>0.97559357817738346</v>
      </c>
      <c r="AY12" s="21">
        <f t="shared" ca="1" si="54"/>
        <v>0.97559357817738346</v>
      </c>
      <c r="AZ12" s="21">
        <f t="shared" ca="1" si="54"/>
        <v>0.97559357817738346</v>
      </c>
      <c r="BA12" s="21">
        <f t="shared" ca="1" si="54"/>
        <v>0.97559357817738346</v>
      </c>
      <c r="BD12" s="34">
        <f ca="1">IFERROR(SUMIFS('TRA balance'!E$5:E$40,'TRA balance'!$C$5:$C$40,Assumptions!$C12,'TRA balance'!$D$5:$D$40,Assumptions!$B12)*CY12*H12,"")</f>
        <v>0</v>
      </c>
      <c r="BE12" s="34">
        <f ca="1">IFERROR(SUMIFS('TRA balance'!F$5:F$40,'TRA balance'!$C$5:$C$40,Assumptions!$C12,'TRA balance'!$D$5:$D$40,Assumptions!$B12)*CZ12*I12,"")</f>
        <v>0</v>
      </c>
      <c r="BF12" s="34">
        <f ca="1">IFERROR(SUMIFS('TRA balance'!G$5:G$40,'TRA balance'!$C$5:$C$40,Assumptions!$C12,'TRA balance'!$D$5:$D$40,Assumptions!$B12)*DA12*J12,"")</f>
        <v>0</v>
      </c>
      <c r="BG12" s="34">
        <f ca="1">IFERROR(SUMIFS('TRA balance'!H$5:H$40,'TRA balance'!$C$5:$C$40,Assumptions!$C12,'TRA balance'!$D$5:$D$40,Assumptions!$B12)*DB12*K12,"")</f>
        <v>0</v>
      </c>
      <c r="BH12" s="34">
        <f ca="1">IFERROR(SUMIFS('TRA balance'!I$5:I$40,'TRA balance'!$C$5:$C$40,Assumptions!$C12,'TRA balance'!$D$5:$D$40,Assumptions!$B12)*DC12*L12,"")</f>
        <v>0</v>
      </c>
      <c r="BI12" s="34">
        <f ca="1">IFERROR(SUMIFS('TRA balance'!J$5:J$40,'TRA balance'!$C$5:$C$40,Assumptions!$C12,'TRA balance'!$D$5:$D$40,Assumptions!$B12)*DD12*M12,"")</f>
        <v>0</v>
      </c>
      <c r="BJ12" s="34">
        <f ca="1">IFERROR(SUMIFS('TRA balance'!K$5:K$40,'TRA balance'!$C$5:$C$40,Assumptions!$C12,'TRA balance'!$D$5:$D$40,Assumptions!$B12)*DE12*N12,"")</f>
        <v>0</v>
      </c>
      <c r="BK12" s="34">
        <f ca="1">IFERROR(SUMIFS('TRA balance'!L$5:L$40,'TRA balance'!$C$5:$C$40,Assumptions!$C12,'TRA balance'!$D$5:$D$40,Assumptions!$B12)*DF12*O12,"")</f>
        <v>0</v>
      </c>
      <c r="BL12" s="34">
        <f ca="1">IFERROR(SUMIFS('TRA balance'!M$5:M$40,'TRA balance'!$C$5:$C$40,Assumptions!$C12,'TRA balance'!$D$5:$D$40,Assumptions!$B12)*DG12*P12,"")</f>
        <v>0</v>
      </c>
      <c r="BM12" s="34">
        <f ca="1">IFERROR(SUMIFS('TRA balance'!N$5:N$40,'TRA balance'!$C$5:$C$40,Assumptions!$C12,'TRA balance'!$D$5:$D$40,Assumptions!$B12)*DH12*Q12,"")</f>
        <v>0</v>
      </c>
      <c r="BN12" s="34">
        <f ca="1">IFERROR(SUMIFS('TRA balance'!O$5:O$40,'TRA balance'!$C$5:$C$40,Assumptions!$C12,'TRA balance'!$D$5:$D$40,Assumptions!$B12)*DI12*R12,"")</f>
        <v>0</v>
      </c>
      <c r="BO12" s="34">
        <f ca="1">IFERROR(SUMIFS('TRA balance'!P$5:P$40,'TRA balance'!$C$5:$C$40,Assumptions!$C12,'TRA balance'!$D$5:$D$40,Assumptions!$B12)*DJ12*S12,"")</f>
        <v>0</v>
      </c>
      <c r="BP12" s="34">
        <f ca="1">IFERROR(SUMIFS('TRA balance'!Q$5:Q$40,'TRA balance'!$C$5:$C$40,Assumptions!$C12,'TRA balance'!$D$5:$D$40,Assumptions!$B12)*DK12*T12,"")</f>
        <v>0</v>
      </c>
      <c r="BQ12" s="34">
        <f ca="1">IFERROR(SUMIFS('TRA balance'!R$5:R$40,'TRA balance'!$C$5:$C$40,Assumptions!$C12,'TRA balance'!$D$5:$D$40,Assumptions!$B12)*DL12*U12,"")</f>
        <v>0</v>
      </c>
      <c r="BR12" s="34">
        <f ca="1">IFERROR(SUMIFS('TRA balance'!S$5:S$40,'TRA balance'!$C$5:$C$40,Assumptions!$C12,'TRA balance'!$D$5:$D$40,Assumptions!$B12)*DM12*V12,"")</f>
        <v>0</v>
      </c>
      <c r="BS12" s="34">
        <f ca="1">IFERROR(SUMIFS('TRA balance'!T$5:T$40,'TRA balance'!$C$5:$C$40,Assumptions!$C12,'TRA balance'!$D$5:$D$40,Assumptions!$B12)*DN12*W12,"")</f>
        <v>0</v>
      </c>
      <c r="BT12" s="34">
        <f ca="1">IFERROR(SUMIFS('TRA balance'!U$5:U$40,'TRA balance'!$C$5:$C$40,Assumptions!$C12,'TRA balance'!$D$5:$D$40,Assumptions!$B12)*DO12*X12,"")</f>
        <v>0</v>
      </c>
      <c r="BU12" s="34">
        <f ca="1">IFERROR(SUMIFS('TRA balance'!V$5:V$40,'TRA balance'!$C$5:$C$40,Assumptions!$C12,'TRA balance'!$D$5:$D$40,Assumptions!$B12)*DP12*Y12,"")</f>
        <v>0</v>
      </c>
      <c r="BV12" s="34">
        <f ca="1">IFERROR(SUMIFS('TRA balance'!W$5:W$40,'TRA balance'!$C$5:$C$40,Assumptions!$C12,'TRA balance'!$D$5:$D$40,Assumptions!$B12)*DQ12*Z12,"")</f>
        <v>0</v>
      </c>
      <c r="BW12" s="34">
        <f ca="1">IFERROR(SUMIFS('TRA balance'!X$5:X$40,'TRA balance'!$C$5:$C$40,Assumptions!$C12,'TRA balance'!$D$5:$D$40,Assumptions!$B12)*DR12*AA12,"")</f>
        <v>0</v>
      </c>
      <c r="BX12" s="34">
        <f ca="1">IFERROR(SUMIFS('TRA balance'!Y$5:Y$40,'TRA balance'!$C$5:$C$40,Assumptions!$C12,'TRA balance'!$D$5:$D$40,Assumptions!$B12)*DS12*AB12,"")</f>
        <v>0</v>
      </c>
      <c r="BY12" s="34">
        <f ca="1">IFERROR(SUMIFS('TRA balance'!Z$5:Z$40,'TRA balance'!$C$5:$C$40,Assumptions!$C12,'TRA balance'!$D$5:$D$40,Assumptions!$B12)*DT12*AC12,"")</f>
        <v>0</v>
      </c>
      <c r="BZ12" s="34">
        <f ca="1">IFERROR(SUMIFS('TRA balance'!AA$5:AA$40,'TRA balance'!$C$5:$C$40,Assumptions!$C12,'TRA balance'!$D$5:$D$40,Assumptions!$B12)*DU12*AD12,"")</f>
        <v>0</v>
      </c>
      <c r="CA12" s="34">
        <f ca="1">IFERROR(SUMIFS('TRA balance'!AB$5:AB$40,'TRA balance'!$C$5:$C$40,Assumptions!$C12,'TRA balance'!$D$5:$D$40,Assumptions!$B12)*DV12*AE12,"")</f>
        <v>0</v>
      </c>
      <c r="CB12" s="34">
        <f ca="1">IFERROR(SUMIFS('TRA balance'!AC$5:AC$40,'TRA balance'!$C$5:$C$40,Assumptions!$C12,'TRA balance'!$D$5:$D$40,Assumptions!$B12)*DW12*AF12,"")</f>
        <v>0</v>
      </c>
      <c r="CC12" s="34">
        <f ca="1">IFERROR(SUMIFS('TRA balance'!AD$5:AD$40,'TRA balance'!$C$5:$C$40,Assumptions!$C12,'TRA balance'!$D$5:$D$40,Assumptions!$B12)*DX12*AG12,"")</f>
        <v>0</v>
      </c>
      <c r="CD12" s="34">
        <f ca="1">IFERROR(SUMIFS('TRA balance'!AE$5:AE$40,'TRA balance'!$C$5:$C$40,Assumptions!$C12,'TRA balance'!$D$5:$D$40,Assumptions!$B12)*DY12*AH12,"")</f>
        <v>0</v>
      </c>
      <c r="CE12" s="34">
        <f ca="1">IFERROR(SUMIFS('TRA balance'!AF$5:AF$40,'TRA balance'!$C$5:$C$40,Assumptions!$C12,'TRA balance'!$D$5:$D$40,Assumptions!$B12)*DZ12*AI12,"")</f>
        <v>0</v>
      </c>
      <c r="CF12" s="34">
        <f ca="1">IFERROR(SUMIFS('TRA balance'!AG$5:AG$40,'TRA balance'!$C$5:$C$40,Assumptions!$C12,'TRA balance'!$D$5:$D$40,Assumptions!$B12)*EA12*AJ12,"")</f>
        <v>0</v>
      </c>
      <c r="CG12" s="34">
        <f ca="1">IFERROR(SUMIFS('TRA balance'!AH$5:AH$40,'TRA balance'!$C$5:$C$40,Assumptions!$C12,'TRA balance'!$D$5:$D$40,Assumptions!$B12)*EB12*AK12,"")</f>
        <v>0</v>
      </c>
      <c r="CH12" s="34">
        <f ca="1">IFERROR(SUMIFS('TRA balance'!AI$5:AI$40,'TRA balance'!$C$5:$C$40,Assumptions!$C12,'TRA balance'!$D$5:$D$40,Assumptions!$B12)*EC12*AL12,"")</f>
        <v>0</v>
      </c>
      <c r="CI12" s="34">
        <f ca="1">IFERROR(SUMIFS('TRA balance'!AJ$5:AJ$40,'TRA balance'!$C$5:$C$40,Assumptions!$C12,'TRA balance'!$D$5:$D$40,Assumptions!$B12)*ED12*AM12,"")</f>
        <v>0</v>
      </c>
      <c r="CJ12" s="34">
        <f ca="1">IFERROR(SUMIFS('TRA balance'!AK$5:AK$40,'TRA balance'!$C$5:$C$40,Assumptions!$C12,'TRA balance'!$D$5:$D$40,Assumptions!$B12)*EE12*AN12,"")</f>
        <v>0</v>
      </c>
      <c r="CK12" s="34">
        <f ca="1">IFERROR(SUMIFS('TRA balance'!AL$5:AL$40,'TRA balance'!$C$5:$C$40,Assumptions!$C12,'TRA balance'!$D$5:$D$40,Assumptions!$B12)*EF12*AO12,"")</f>
        <v>0</v>
      </c>
      <c r="CL12" s="34">
        <f ca="1">IFERROR(SUMIFS('TRA balance'!AM$5:AM$40,'TRA balance'!$C$5:$C$40,Assumptions!$C12,'TRA balance'!$D$5:$D$40,Assumptions!$B12)*EG12*AP12,"")</f>
        <v>0</v>
      </c>
      <c r="CM12" s="34">
        <f ca="1">IFERROR(SUMIFS('TRA balance'!AN$5:AN$40,'TRA balance'!$C$5:$C$40,Assumptions!$C12,'TRA balance'!$D$5:$D$40,Assumptions!$B12)*EH12*AQ12,"")</f>
        <v>0</v>
      </c>
      <c r="CN12" s="34">
        <f ca="1">IFERROR(SUMIFS('TRA balance'!AO$5:AO$40,'TRA balance'!$C$5:$C$40,Assumptions!$C12,'TRA balance'!$D$5:$D$40,Assumptions!$B12)*EI12*AR12,"")</f>
        <v>0</v>
      </c>
      <c r="CO12" s="34">
        <f ca="1">IFERROR(SUMIFS('TRA balance'!AP$5:AP$40,'TRA balance'!$C$5:$C$40,Assumptions!$C12,'TRA balance'!$D$5:$D$40,Assumptions!$B12)*EJ12*AS12,"")</f>
        <v>0</v>
      </c>
      <c r="CP12" s="34">
        <f ca="1">IFERROR(SUMIFS('TRA balance'!AQ$5:AQ$40,'TRA balance'!$C$5:$C$40,Assumptions!$C12,'TRA balance'!$D$5:$D$40,Assumptions!$B12)*EK12*AT12,"")</f>
        <v>0</v>
      </c>
      <c r="CQ12" s="34">
        <f ca="1">IFERROR(SUMIFS('TRA balance'!AR$5:AR$40,'TRA balance'!$C$5:$C$40,Assumptions!$C12,'TRA balance'!$D$5:$D$40,Assumptions!$B12)*EL12*AU12,"")</f>
        <v>0</v>
      </c>
      <c r="CR12" s="34">
        <f ca="1">IFERROR(SUMIFS('TRA balance'!AS$5:AS$40,'TRA balance'!$C$5:$C$40,Assumptions!$C12,'TRA balance'!$D$5:$D$40,Assumptions!$B12)*EM12*AV12,"")</f>
        <v>0</v>
      </c>
      <c r="CS12" s="34">
        <f ca="1">IFERROR(SUMIFS('TRA balance'!AT$5:AT$40,'TRA balance'!$C$5:$C$40,Assumptions!$C12,'TRA balance'!$D$5:$D$40,Assumptions!$B12)*EN12*AW12,"")</f>
        <v>0</v>
      </c>
      <c r="CT12" s="34">
        <f ca="1">IFERROR(SUMIFS('TRA balance'!AU$5:AU$40,'TRA balance'!$C$5:$C$40,Assumptions!$C12,'TRA balance'!$D$5:$D$40,Assumptions!$B12)*EO12*AX12,"")</f>
        <v>0</v>
      </c>
      <c r="CU12" s="34">
        <f ca="1">IFERROR(SUMIFS('TRA balance'!AV$5:AV$40,'TRA balance'!$C$5:$C$40,Assumptions!$C12,'TRA balance'!$D$5:$D$40,Assumptions!$B12)*EP12*AY12,"")</f>
        <v>0</v>
      </c>
      <c r="CV12" s="34">
        <f ca="1">IFERROR(SUMIFS('TRA balance'!AW$5:AW$40,'TRA balance'!$C$5:$C$40,Assumptions!$C12,'TRA balance'!$D$5:$D$40,Assumptions!$B12)*EQ12*AZ12,"")</f>
        <v>0</v>
      </c>
      <c r="CW12" s="34">
        <f ca="1">IFERROR(SUMIFS('TRA balance'!AX$5:AX$40,'TRA balance'!$C$5:$C$40,Assumptions!$C12,'TRA balance'!$D$5:$D$40,Assumptions!$B12)*ER12*BA12,"")</f>
        <v>0</v>
      </c>
      <c r="CY12" s="33">
        <f t="shared" si="2"/>
        <v>1</v>
      </c>
      <c r="CZ12" s="33">
        <f t="shared" si="3"/>
        <v>1</v>
      </c>
      <c r="DA12" s="33">
        <f t="shared" si="4"/>
        <v>1</v>
      </c>
      <c r="DB12" s="33">
        <f t="shared" si="5"/>
        <v>1</v>
      </c>
      <c r="DC12" s="33">
        <f t="shared" si="6"/>
        <v>1</v>
      </c>
      <c r="DD12" s="33">
        <f t="shared" si="7"/>
        <v>1</v>
      </c>
      <c r="DE12" s="33">
        <f t="shared" si="8"/>
        <v>1</v>
      </c>
      <c r="DF12" s="33">
        <f t="shared" si="9"/>
        <v>1</v>
      </c>
      <c r="DG12" s="33">
        <f t="shared" si="10"/>
        <v>1</v>
      </c>
      <c r="DH12" s="33">
        <f t="shared" si="11"/>
        <v>1</v>
      </c>
      <c r="DI12" s="33">
        <f t="shared" si="12"/>
        <v>1</v>
      </c>
      <c r="DJ12" s="33">
        <f t="shared" si="13"/>
        <v>1</v>
      </c>
      <c r="DK12" s="33">
        <f t="shared" si="14"/>
        <v>1</v>
      </c>
      <c r="DL12" s="33">
        <f t="shared" si="15"/>
        <v>1</v>
      </c>
      <c r="DM12" s="33">
        <f t="shared" si="16"/>
        <v>1</v>
      </c>
      <c r="DN12" s="33">
        <f t="shared" si="17"/>
        <v>1</v>
      </c>
      <c r="DO12" s="33">
        <f t="shared" si="18"/>
        <v>1</v>
      </c>
      <c r="DP12" s="33">
        <f t="shared" si="19"/>
        <v>1</v>
      </c>
      <c r="DQ12" s="33">
        <f t="shared" si="20"/>
        <v>1</v>
      </c>
      <c r="DR12" s="33">
        <f t="shared" si="21"/>
        <v>1</v>
      </c>
      <c r="DS12" s="33">
        <f t="shared" si="22"/>
        <v>1</v>
      </c>
      <c r="DT12" s="33">
        <f t="shared" si="23"/>
        <v>1</v>
      </c>
      <c r="DU12" s="33">
        <f t="shared" si="24"/>
        <v>1</v>
      </c>
      <c r="DV12" s="33">
        <f t="shared" si="25"/>
        <v>1</v>
      </c>
      <c r="DW12" s="33">
        <f t="shared" si="26"/>
        <v>1</v>
      </c>
      <c r="DX12" s="33">
        <f t="shared" si="27"/>
        <v>1</v>
      </c>
      <c r="DY12" s="33">
        <f t="shared" si="28"/>
        <v>1</v>
      </c>
      <c r="DZ12" s="33">
        <f t="shared" si="29"/>
        <v>1</v>
      </c>
      <c r="EA12" s="33">
        <f t="shared" si="30"/>
        <v>1</v>
      </c>
      <c r="EB12" s="33">
        <f t="shared" si="31"/>
        <v>1</v>
      </c>
      <c r="EC12" s="33">
        <f t="shared" si="32"/>
        <v>1</v>
      </c>
      <c r="ED12" s="33">
        <f t="shared" si="33"/>
        <v>1</v>
      </c>
      <c r="EE12" s="33">
        <f t="shared" si="34"/>
        <v>1</v>
      </c>
      <c r="EF12" s="33">
        <f t="shared" si="35"/>
        <v>1</v>
      </c>
      <c r="EG12" s="33">
        <f t="shared" si="36"/>
        <v>1</v>
      </c>
      <c r="EH12" s="33">
        <f t="shared" si="37"/>
        <v>1</v>
      </c>
      <c r="EI12" s="33">
        <f t="shared" si="38"/>
        <v>1</v>
      </c>
      <c r="EJ12" s="33">
        <f t="shared" si="39"/>
        <v>1</v>
      </c>
      <c r="EK12" s="33">
        <f t="shared" si="40"/>
        <v>1</v>
      </c>
      <c r="EL12" s="33">
        <f t="shared" si="41"/>
        <v>1</v>
      </c>
      <c r="EM12" s="33">
        <f t="shared" si="42"/>
        <v>1</v>
      </c>
      <c r="EN12" s="33">
        <f t="shared" si="43"/>
        <v>1</v>
      </c>
      <c r="EO12" s="33">
        <f t="shared" si="44"/>
        <v>1</v>
      </c>
      <c r="EP12" s="33">
        <f t="shared" si="45"/>
        <v>1</v>
      </c>
      <c r="EQ12" s="33">
        <f t="shared" si="46"/>
        <v>1</v>
      </c>
      <c r="ER12" s="33">
        <f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6" t="str">
        <f t="shared" si="48"/>
        <v>TR</v>
      </c>
      <c r="D13" s="7" t="s">
        <v>16</v>
      </c>
      <c r="E13" s="18" t="s">
        <v>71</v>
      </c>
      <c r="F13" s="8" t="str">
        <f>F12</f>
        <v>Diesel</v>
      </c>
      <c r="G13" s="6" t="s">
        <v>72</v>
      </c>
      <c r="H13" s="9">
        <f ca="1">OFFSET(TIAM15_assumptions!$G13,0,MATCH(VLOOKUP(Assumptions!H$2,TIAM15_assumptions!$Y$3:$Z$87,2,FALSE),TIAM15_assumptions!$H$2:$V$2,0))</f>
        <v>0.35</v>
      </c>
      <c r="I13" s="9">
        <f ca="1">OFFSET(TIAM15_assumptions!$G13,0,MATCH(VLOOKUP(Assumptions!I$2,TIAM15_assumptions!$Y$3:$Z$87,2,FALSE),TIAM15_assumptions!$H$2:$V$2,0))</f>
        <v>0.35</v>
      </c>
      <c r="J13" s="9">
        <f ca="1">OFFSET(TIAM15_assumptions!$G13,0,MATCH(VLOOKUP(Assumptions!J$2,TIAM15_assumptions!$Y$3:$Z$87,2,FALSE),TIAM15_assumptions!$H$2:$V$2,0))</f>
        <v>0.15</v>
      </c>
      <c r="K13" s="9">
        <f ca="1">OFFSET(TIAM15_assumptions!$G13,0,MATCH(VLOOKUP(Assumptions!K$2,TIAM15_assumptions!$Y$3:$Z$87,2,FALSE),TIAM15_assumptions!$H$2:$V$2,0))</f>
        <v>0.05</v>
      </c>
      <c r="L13" s="9">
        <f ca="1">OFFSET(TIAM15_assumptions!$G13,0,MATCH(VLOOKUP(Assumptions!L$2,TIAM15_assumptions!$Y$3:$Z$87,2,FALSE),TIAM15_assumptions!$H$2:$V$2,0))</f>
        <v>0.1</v>
      </c>
      <c r="M13" s="9">
        <f ca="1">OFFSET(TIAM15_assumptions!$G13,0,MATCH(VLOOKUP(Assumptions!M$2,TIAM15_assumptions!$Y$3:$Z$87,2,FALSE),TIAM15_assumptions!$H$2:$V$2,0))</f>
        <v>0.05</v>
      </c>
      <c r="N13" s="9">
        <f ca="1">OFFSET(TIAM15_assumptions!$G13,0,MATCH(VLOOKUP(Assumptions!N$2,TIAM15_assumptions!$Y$3:$Z$87,2,FALSE),TIAM15_assumptions!$H$2:$V$2,0))</f>
        <v>0.1</v>
      </c>
      <c r="O13" s="9">
        <f ca="1">OFFSET(TIAM15_assumptions!$G13,0,MATCH(VLOOKUP(Assumptions!O$2,TIAM15_assumptions!$Y$3:$Z$87,2,FALSE),TIAM15_assumptions!$H$2:$V$2,0))</f>
        <v>0.35</v>
      </c>
      <c r="P13" s="9">
        <f ca="1">OFFSET(TIAM15_assumptions!$G13,0,MATCH(VLOOKUP(Assumptions!P$2,TIAM15_assumptions!$Y$3:$Z$87,2,FALSE),TIAM15_assumptions!$H$2:$V$2,0))</f>
        <v>0.1</v>
      </c>
      <c r="Q13" s="9">
        <f ca="1">OFFSET(TIAM15_assumptions!$G13,0,MATCH(VLOOKUP(Assumptions!Q$2,TIAM15_assumptions!$Y$3:$Z$87,2,FALSE),TIAM15_assumptions!$H$2:$V$2,0))</f>
        <v>0.1</v>
      </c>
      <c r="R13" s="9">
        <f ca="1">OFFSET(TIAM15_assumptions!$G13,0,MATCH(VLOOKUP(Assumptions!R$2,TIAM15_assumptions!$Y$3:$Z$87,2,FALSE),TIAM15_assumptions!$H$2:$V$2,0))</f>
        <v>0.05</v>
      </c>
      <c r="S13" s="9">
        <f ca="1">OFFSET(TIAM15_assumptions!$G13,0,MATCH(VLOOKUP(Assumptions!S$2,TIAM15_assumptions!$Y$3:$Z$87,2,FALSE),TIAM15_assumptions!$H$2:$V$2,0))</f>
        <v>0.05</v>
      </c>
      <c r="T13" s="9">
        <f ca="1">OFFSET(TIAM15_assumptions!$G13,0,MATCH(VLOOKUP(Assumptions!T$2,TIAM15_assumptions!$Y$3:$Z$87,2,FALSE),TIAM15_assumptions!$H$2:$V$2,0))</f>
        <v>0.05</v>
      </c>
      <c r="U13" s="9">
        <f ca="1">OFFSET(TIAM15_assumptions!$G13,0,MATCH(VLOOKUP(Assumptions!U$2,TIAM15_assumptions!$Y$3:$Z$87,2,FALSE),TIAM15_assumptions!$H$2:$V$2,0))</f>
        <v>0.1</v>
      </c>
      <c r="V13" s="9">
        <f ca="1">OFFSET(TIAM15_assumptions!$G13,0,MATCH(VLOOKUP(Assumptions!V$2,TIAM15_assumptions!$Y$3:$Z$87,2,FALSE),TIAM15_assumptions!$H$2:$V$2,0))</f>
        <v>0.05</v>
      </c>
      <c r="W13" s="9">
        <f ca="1">OFFSET(TIAM15_assumptions!$G13,0,MATCH(VLOOKUP(Assumptions!W$2,TIAM15_assumptions!$Y$3:$Z$87,2,FALSE),TIAM15_assumptions!$H$2:$V$2,0))</f>
        <v>0.25</v>
      </c>
      <c r="X13" s="9">
        <f ca="1">OFFSET(TIAM15_assumptions!$G13,0,MATCH(VLOOKUP(Assumptions!X$2,TIAM15_assumptions!$Y$3:$Z$87,2,FALSE),TIAM15_assumptions!$H$2:$V$2,0))</f>
        <v>0.05</v>
      </c>
      <c r="Y13" s="9">
        <f ca="1">OFFSET(TIAM15_assumptions!$G13,0,MATCH(VLOOKUP(Assumptions!Y$2,TIAM15_assumptions!$Y$3:$Z$87,2,FALSE),TIAM15_assumptions!$H$2:$V$2,0))</f>
        <v>0.05</v>
      </c>
      <c r="Z13" s="9">
        <f ca="1">OFFSET(TIAM15_assumptions!$G13,0,MATCH(VLOOKUP(Assumptions!Z$2,TIAM15_assumptions!$Y$3:$Z$87,2,FALSE),TIAM15_assumptions!$H$2:$V$2,0))</f>
        <v>0.05</v>
      </c>
      <c r="AA13" s="9">
        <f ca="1">OFFSET(TIAM15_assumptions!$G13,0,MATCH(VLOOKUP(Assumptions!AA$2,TIAM15_assumptions!$Y$3:$Z$87,2,FALSE),TIAM15_assumptions!$H$2:$V$2,0))</f>
        <v>0.1</v>
      </c>
      <c r="AB13" s="9">
        <f ca="1">OFFSET(TIAM15_assumptions!$G13,0,MATCH(VLOOKUP(Assumptions!AB$2,TIAM15_assumptions!$Y$3:$Z$87,2,FALSE),TIAM15_assumptions!$H$2:$V$2,0))</f>
        <v>0.1</v>
      </c>
      <c r="AC13" s="9">
        <f ca="1">OFFSET(TIAM15_assumptions!$G13,0,MATCH(VLOOKUP(Assumptions!AC$2,TIAM15_assumptions!$Y$3:$Z$87,2,FALSE),TIAM15_assumptions!$H$2:$V$2,0))</f>
        <v>0.04</v>
      </c>
      <c r="AD13" s="9">
        <f ca="1">OFFSET(TIAM15_assumptions!$G13,0,MATCH(VLOOKUP(Assumptions!AD$2,TIAM15_assumptions!$Y$3:$Z$87,2,FALSE),TIAM15_assumptions!$H$2:$V$2,0))</f>
        <v>0.05</v>
      </c>
      <c r="AE13" s="9">
        <f ca="1">OFFSET(TIAM15_assumptions!$G13,0,MATCH(VLOOKUP(Assumptions!AE$2,TIAM15_assumptions!$Y$3:$Z$87,2,FALSE),TIAM15_assumptions!$H$2:$V$2,0))</f>
        <v>0.1</v>
      </c>
      <c r="AF13" s="9">
        <f ca="1">OFFSET(TIAM15_assumptions!$G13,0,MATCH(VLOOKUP(Assumptions!AF$2,TIAM15_assumptions!$Y$3:$Z$87,2,FALSE),TIAM15_assumptions!$H$2:$V$2,0))</f>
        <v>0.15</v>
      </c>
      <c r="AG13" s="9">
        <f ca="1">OFFSET(TIAM15_assumptions!$G13,0,MATCH(VLOOKUP(Assumptions!AG$2,TIAM15_assumptions!$Y$3:$Z$87,2,FALSE),TIAM15_assumptions!$H$2:$V$2,0))</f>
        <v>0.1</v>
      </c>
      <c r="AH13" s="9">
        <f ca="1">OFFSET(TIAM15_assumptions!$G13,0,MATCH(VLOOKUP(Assumptions!AH$2,TIAM15_assumptions!$Y$3:$Z$87,2,FALSE),TIAM15_assumptions!$H$2:$V$2,0))</f>
        <v>0.1</v>
      </c>
      <c r="AI13" s="9">
        <f ca="1">OFFSET(TIAM15_assumptions!$G13,0,MATCH(VLOOKUP(Assumptions!AI$2,TIAM15_assumptions!$Y$3:$Z$87,2,FALSE),TIAM15_assumptions!$H$2:$V$2,0))</f>
        <v>0.35</v>
      </c>
      <c r="AJ13" s="9">
        <f ca="1">OFFSET(TIAM15_assumptions!$G13,0,MATCH(VLOOKUP(Assumptions!AJ$2,TIAM15_assumptions!$Y$3:$Z$87,2,FALSE),TIAM15_assumptions!$H$2:$V$2,0))</f>
        <v>0.05</v>
      </c>
      <c r="AK13" s="9">
        <f ca="1">OFFSET(TIAM15_assumptions!$G13,0,MATCH(VLOOKUP(Assumptions!AK$2,TIAM15_assumptions!$Y$3:$Z$87,2,FALSE),TIAM15_assumptions!$H$2:$V$2,0))</f>
        <v>0.05</v>
      </c>
      <c r="AL13" s="9">
        <f ca="1">OFFSET(TIAM15_assumptions!$G13,0,MATCH(VLOOKUP(Assumptions!AL$2,TIAM15_assumptions!$Y$3:$Z$87,2,FALSE),TIAM15_assumptions!$H$2:$V$2,0))</f>
        <v>0.05</v>
      </c>
      <c r="AM13" s="9">
        <f ca="1">OFFSET(TIAM15_assumptions!$G13,0,MATCH(VLOOKUP(Assumptions!AM$2,TIAM15_assumptions!$Y$3:$Z$87,2,FALSE),TIAM15_assumptions!$H$2:$V$2,0))</f>
        <v>0.1</v>
      </c>
      <c r="AN13" s="9">
        <f ca="1">OFFSET(TIAM15_assumptions!$G13,0,MATCH(VLOOKUP(Assumptions!AN$2,TIAM15_assumptions!$Y$3:$Z$87,2,FALSE),TIAM15_assumptions!$H$2:$V$2,0))</f>
        <v>0.05</v>
      </c>
      <c r="AO13" s="9">
        <f ca="1">OFFSET(TIAM15_assumptions!$G13,0,MATCH(VLOOKUP(Assumptions!AO$2,TIAM15_assumptions!$Y$3:$Z$87,2,FALSE),TIAM15_assumptions!$H$2:$V$2,0))</f>
        <v>0.1</v>
      </c>
      <c r="AP13" s="9">
        <f ca="1">OFFSET(TIAM15_assumptions!$G13,0,MATCH(VLOOKUP(Assumptions!AP$2,TIAM15_assumptions!$Y$3:$Z$87,2,FALSE),TIAM15_assumptions!$H$2:$V$2,0))</f>
        <v>0.1</v>
      </c>
      <c r="AQ13" s="9">
        <f ca="1">OFFSET(TIAM15_assumptions!$G13,0,MATCH(VLOOKUP(Assumptions!AQ$2,TIAM15_assumptions!$Y$3:$Z$87,2,FALSE),TIAM15_assumptions!$H$2:$V$2,0))</f>
        <v>0.04</v>
      </c>
      <c r="AR13" s="9">
        <f ca="1">OFFSET(TIAM15_assumptions!$G13,0,MATCH(VLOOKUP(Assumptions!AR$2,TIAM15_assumptions!$Y$3:$Z$87,2,FALSE),TIAM15_assumptions!$H$2:$V$2,0))</f>
        <v>0.04</v>
      </c>
      <c r="AS13" s="9">
        <f ca="1">OFFSET(TIAM15_assumptions!$G13,0,MATCH(VLOOKUP(Assumptions!AS$2,TIAM15_assumptions!$Y$3:$Z$87,2,FALSE),TIAM15_assumptions!$H$2:$V$2,0))</f>
        <v>0.04</v>
      </c>
      <c r="AT13" s="9">
        <f ca="1">OFFSET(TIAM15_assumptions!$G13,0,MATCH(VLOOKUP(Assumptions!AT$2,TIAM15_assumptions!$Y$3:$Z$87,2,FALSE),TIAM15_assumptions!$H$2:$V$2,0))</f>
        <v>0.04</v>
      </c>
      <c r="AU13" s="9">
        <f ca="1">OFFSET(TIAM15_assumptions!$G13,0,MATCH(VLOOKUP(Assumptions!AU$2,TIAM15_assumptions!$Y$3:$Z$87,2,FALSE),TIAM15_assumptions!$H$2:$V$2,0))</f>
        <v>0.04</v>
      </c>
      <c r="AV13" s="9">
        <f ca="1">OFFSET(TIAM15_assumptions!$G13,0,MATCH(VLOOKUP(Assumptions!AV$2,TIAM15_assumptions!$Y$3:$Z$87,2,FALSE),TIAM15_assumptions!$H$2:$V$2,0))</f>
        <v>0.04</v>
      </c>
      <c r="AW13" s="9">
        <f ca="1">OFFSET(TIAM15_assumptions!$G13,0,MATCH(VLOOKUP(Assumptions!AW$2,TIAM15_assumptions!$Y$3:$Z$87,2,FALSE),TIAM15_assumptions!$H$2:$V$2,0))</f>
        <v>0.04</v>
      </c>
      <c r="AX13" s="9">
        <f ca="1">OFFSET(TIAM15_assumptions!$G13,0,MATCH(VLOOKUP(Assumptions!AX$2,TIAM15_assumptions!$Y$3:$Z$87,2,FALSE),TIAM15_assumptions!$H$2:$V$2,0))</f>
        <v>0.04</v>
      </c>
      <c r="AY13" s="9">
        <f ca="1">OFFSET(TIAM15_assumptions!$G13,0,MATCH(VLOOKUP(Assumptions!AY$2,TIAM15_assumptions!$Y$3:$Z$87,2,FALSE),TIAM15_assumptions!$H$2:$V$2,0))</f>
        <v>0.04</v>
      </c>
      <c r="AZ13" s="9">
        <f ca="1">OFFSET(TIAM15_assumptions!$G13,0,MATCH(VLOOKUP(Assumptions!AZ$2,TIAM15_assumptions!$Y$3:$Z$87,2,FALSE),TIAM15_assumptions!$H$2:$V$2,0))</f>
        <v>0.04</v>
      </c>
      <c r="BA13" s="9">
        <f ca="1">OFFSET(TIAM15_assumptions!$G13,0,MATCH(VLOOKUP(Assumptions!BA$2,TIAM15_assumptions!$Y$3:$Z$87,2,FALSE),TIAM15_assumptions!$H$2:$V$2,0))</f>
        <v>0.04</v>
      </c>
      <c r="BD13" s="34">
        <f ca="1">IFERROR(SUMIFS('TRA balance'!E$5:E$40,'TRA balance'!$C$5:$C$40,Assumptions!$C13,'TRA balance'!$D$5:$D$40,Assumptions!$B13)*CY13*H13,"")</f>
        <v>350.28647281088996</v>
      </c>
      <c r="BE13" s="34">
        <f ca="1">IFERROR(SUMIFS('TRA balance'!F$5:F$40,'TRA balance'!$C$5:$C$40,Assumptions!$C13,'TRA balance'!$D$5:$D$40,Assumptions!$B13)*CZ13*I13,"")</f>
        <v>311.291700338304</v>
      </c>
      <c r="BF13" s="34">
        <f ca="1">IFERROR(SUMIFS('TRA balance'!G$5:G$40,'TRA balance'!$C$5:$C$40,Assumptions!$C13,'TRA balance'!$D$5:$D$40,Assumptions!$B13)*DA13*J13,"")</f>
        <v>84.618772925878787</v>
      </c>
      <c r="BG13" s="34">
        <f ca="1">IFERROR(SUMIFS('TRA balance'!H$5:H$40,'TRA balance'!$C$5:$C$40,Assumptions!$C13,'TRA balance'!$D$5:$D$40,Assumptions!$B13)*DB13*K13,"")</f>
        <v>10.346021744112001</v>
      </c>
      <c r="BH13" s="34">
        <f ca="1">IFERROR(SUMIFS('TRA balance'!I$5:I$40,'TRA balance'!$C$5:$C$40,Assumptions!$C13,'TRA balance'!$D$5:$D$40,Assumptions!$B13)*DC13*L13,"")</f>
        <v>11.520655216830001</v>
      </c>
      <c r="BI13" s="34">
        <f ca="1">IFERROR(SUMIFS('TRA balance'!J$5:J$40,'TRA balance'!$C$5:$C$40,Assumptions!$C13,'TRA balance'!$D$5:$D$40,Assumptions!$B13)*DD13*M13,"")</f>
        <v>21.929287268304005</v>
      </c>
      <c r="BJ13" s="34">
        <f ca="1">IFERROR(SUMIFS('TRA balance'!K$5:K$40,'TRA balance'!$C$5:$C$40,Assumptions!$C13,'TRA balance'!$D$5:$D$40,Assumptions!$B13)*DE13*N13,"")</f>
        <v>133.5472214276592</v>
      </c>
      <c r="BK13" s="34">
        <f ca="1">IFERROR(SUMIFS('TRA balance'!L$5:L$40,'TRA balance'!$C$5:$C$40,Assumptions!$C13,'TRA balance'!$D$5:$D$40,Assumptions!$B13)*DF13*O13,"")</f>
        <v>1222.6320580270858</v>
      </c>
      <c r="BL13" s="34">
        <f ca="1">IFERROR(SUMIFS('TRA balance'!M$5:M$40,'TRA balance'!$C$5:$C$40,Assumptions!$C13,'TRA balance'!$D$5:$D$40,Assumptions!$B13)*DG13*P13,"")</f>
        <v>9.6395225227200001</v>
      </c>
      <c r="BM13" s="34">
        <f ca="1">IFERROR(SUMIFS('TRA balance'!N$5:N$40,'TRA balance'!$C$5:$C$40,Assumptions!$C13,'TRA balance'!$D$5:$D$40,Assumptions!$B13)*DH13*Q13,"")</f>
        <v>20.655887958144003</v>
      </c>
      <c r="BN13" s="34">
        <f ca="1">IFERROR(SUMIFS('TRA balance'!O$5:O$40,'TRA balance'!$C$5:$C$40,Assumptions!$C13,'TRA balance'!$D$5:$D$40,Assumptions!$B13)*DI13*R13,"")</f>
        <v>51.456004953552011</v>
      </c>
      <c r="BO13" s="34">
        <f ca="1">IFERROR(SUMIFS('TRA balance'!P$5:P$40,'TRA balance'!$C$5:$C$40,Assumptions!$C13,'TRA balance'!$D$5:$D$40,Assumptions!$B13)*DJ13*S13,"")</f>
        <v>55.570847929199999</v>
      </c>
      <c r="BP13" s="34">
        <f ca="1">IFERROR(SUMIFS('TRA balance'!Q$5:Q$40,'TRA balance'!$C$5:$C$40,Assumptions!$C13,'TRA balance'!$D$5:$D$40,Assumptions!$B13)*DK13*T13,"")</f>
        <v>4.4939103210719997</v>
      </c>
      <c r="BQ13" s="34">
        <f ca="1">IFERROR(SUMIFS('TRA balance'!R$5:R$40,'TRA balance'!$C$5:$C$40,Assumptions!$C13,'TRA balance'!$D$5:$D$40,Assumptions!$B13)*DL13*U13,"")</f>
        <v>32.227478004384004</v>
      </c>
      <c r="BR13" s="34">
        <f ca="1">IFERROR(SUMIFS('TRA balance'!S$5:S$40,'TRA balance'!$C$5:$C$40,Assumptions!$C13,'TRA balance'!$D$5:$D$40,Assumptions!$B13)*DM13*V13,"")</f>
        <v>0.30818381659200006</v>
      </c>
      <c r="BS13" s="34">
        <f ca="1">IFERROR(SUMIFS('TRA balance'!T$5:T$40,'TRA balance'!$C$5:$C$40,Assumptions!$C13,'TRA balance'!$D$5:$D$40,Assumptions!$B13)*DN13*W13,"")</f>
        <v>456.31104763117503</v>
      </c>
      <c r="BT13" s="34">
        <f ca="1">IFERROR(SUMIFS('TRA balance'!U$5:U$40,'TRA balance'!$C$5:$C$40,Assumptions!$C13,'TRA balance'!$D$5:$D$40,Assumptions!$B13)*DO13*X13,"")</f>
        <v>4.9337854099200005</v>
      </c>
      <c r="BU13" s="34">
        <f ca="1">IFERROR(SUMIFS('TRA balance'!V$5:V$40,'TRA balance'!$C$5:$C$40,Assumptions!$C13,'TRA balance'!$D$5:$D$40,Assumptions!$B13)*DP13*Y13,"")</f>
        <v>36.001799325072007</v>
      </c>
      <c r="BV13" s="34">
        <f ca="1">IFERROR(SUMIFS('TRA balance'!W$5:W$40,'TRA balance'!$C$5:$C$40,Assumptions!$C13,'TRA balance'!$D$5:$D$40,Assumptions!$B13)*DQ13*Z13,"")</f>
        <v>43.380371732571</v>
      </c>
      <c r="BW13" s="34">
        <f ca="1">IFERROR(SUMIFS('TRA balance'!X$5:X$40,'TRA balance'!$C$5:$C$40,Assumptions!$C13,'TRA balance'!$D$5:$D$40,Assumptions!$B13)*DR13*AA13,"")</f>
        <v>137.11621819099682</v>
      </c>
      <c r="BX13" s="34">
        <f ca="1">IFERROR(SUMIFS('TRA balance'!Y$5:Y$40,'TRA balance'!$C$5:$C$40,Assumptions!$C13,'TRA balance'!$D$5:$D$40,Assumptions!$B13)*DS13*AB13,"")</f>
        <v>134.798933515752</v>
      </c>
      <c r="BY13" s="34">
        <f ca="1">IFERROR(SUMIFS('TRA balance'!Z$5:Z$40,'TRA balance'!$C$5:$C$40,Assumptions!$C13,'TRA balance'!$D$5:$D$40,Assumptions!$B13)*DT13*AC13,"")</f>
        <v>245.85528386382953</v>
      </c>
      <c r="BZ13" s="34">
        <f ca="1">IFERROR(SUMIFS('TRA balance'!AA$5:AA$40,'TRA balance'!$C$5:$C$40,Assumptions!$C13,'TRA balance'!$D$5:$D$40,Assumptions!$B13)*DU13*AD13,"")</f>
        <v>3.5440064575200005</v>
      </c>
      <c r="CA13" s="34">
        <f ca="1">IFERROR(SUMIFS('TRA balance'!AB$5:AB$40,'TRA balance'!$C$5:$C$40,Assumptions!$C13,'TRA balance'!$D$5:$D$40,Assumptions!$B13)*DV13*AE13,"")</f>
        <v>47.423857139424001</v>
      </c>
      <c r="CB13" s="34">
        <f ca="1">IFERROR(SUMIFS('TRA balance'!AC$5:AC$40,'TRA balance'!$C$5:$C$40,Assumptions!$C13,'TRA balance'!$D$5:$D$40,Assumptions!$B13)*DW13*AF13,"")</f>
        <v>554.12125012309684</v>
      </c>
      <c r="CC13" s="34">
        <f ca="1">IFERROR(SUMIFS('TRA balance'!AD$5:AD$40,'TRA balance'!$C$5:$C$40,Assumptions!$C13,'TRA balance'!$D$5:$D$40,Assumptions!$B13)*DX13*AG13,"")</f>
        <v>66.626305181280003</v>
      </c>
      <c r="CD13" s="34">
        <f ca="1">IFERROR(SUMIFS('TRA balance'!AE$5:AE$40,'TRA balance'!$C$5:$C$40,Assumptions!$C13,'TRA balance'!$D$5:$D$40,Assumptions!$B13)*DY13*AH13,"")</f>
        <v>76.661885167560001</v>
      </c>
      <c r="CE13" s="34">
        <f ca="1">IFERROR(SUMIFS('TRA balance'!AF$5:AF$40,'TRA balance'!$C$5:$C$40,Assumptions!$C13,'TRA balance'!$D$5:$D$40,Assumptions!$B13)*DZ13*AI13,"")</f>
        <v>109.34538013324799</v>
      </c>
      <c r="CF13" s="34">
        <f ca="1">IFERROR(SUMIFS('TRA balance'!AG$5:AG$40,'TRA balance'!$C$5:$C$40,Assumptions!$C13,'TRA balance'!$D$5:$D$40,Assumptions!$B13)*EA13*AJ13,"")</f>
        <v>42.967292069519999</v>
      </c>
      <c r="CG13" s="34">
        <f ca="1">IFERROR(SUMIFS('TRA balance'!AH$5:AH$40,'TRA balance'!$C$5:$C$40,Assumptions!$C13,'TRA balance'!$D$5:$D$40,Assumptions!$B13)*EB13*AK13,"")</f>
        <v>12.898516589568002</v>
      </c>
      <c r="CH13" s="34">
        <f ca="1">IFERROR(SUMIFS('TRA balance'!AI$5:AI$40,'TRA balance'!$C$5:$C$40,Assumptions!$C13,'TRA balance'!$D$5:$D$40,Assumptions!$B13)*EC13*AL13,"")</f>
        <v>4.5526074148800006</v>
      </c>
      <c r="CI13" s="34">
        <f ca="1">IFERROR(SUMIFS('TRA balance'!AJ$5:AJ$40,'TRA balance'!$C$5:$C$40,Assumptions!$C13,'TRA balance'!$D$5:$D$40,Assumptions!$B13)*ED13*AM13,"")</f>
        <v>74.011536139428003</v>
      </c>
      <c r="CJ13" s="34">
        <f ca="1">IFERROR(SUMIFS('TRA balance'!AK$5:AK$40,'TRA balance'!$C$5:$C$40,Assumptions!$C13,'TRA balance'!$D$5:$D$40,Assumptions!$B13)*EE13*AN13,"")</f>
        <v>40.565577289824006</v>
      </c>
      <c r="CK13" s="34">
        <f ca="1">IFERROR(SUMIFS('TRA balance'!AL$5:AL$40,'TRA balance'!$C$5:$C$40,Assumptions!$C13,'TRA balance'!$D$5:$D$40,Assumptions!$B13)*EF13*AO13,"")</f>
        <v>17.270468210861999</v>
      </c>
      <c r="CL13" s="34">
        <f ca="1">IFERROR(SUMIFS('TRA balance'!AM$5:AM$40,'TRA balance'!$C$5:$C$40,Assumptions!$C13,'TRA balance'!$D$5:$D$40,Assumptions!$B13)*EG13*AP13,"")</f>
        <v>15.017647992480001</v>
      </c>
      <c r="CM13" s="34">
        <f ca="1">IFERROR(SUMIFS('TRA balance'!AN$5:AN$40,'TRA balance'!$C$5:$C$40,Assumptions!$C13,'TRA balance'!$D$5:$D$40,Assumptions!$B13)*EH13*AQ13,"")</f>
        <v>0</v>
      </c>
      <c r="CN13" s="34">
        <f ca="1">IFERROR(SUMIFS('TRA balance'!AO$5:AO$40,'TRA balance'!$C$5:$C$40,Assumptions!$C13,'TRA balance'!$D$5:$D$40,Assumptions!$B13)*EI13*AR13,"")</f>
        <v>0</v>
      </c>
      <c r="CO13" s="34">
        <f ca="1">IFERROR(SUMIFS('TRA balance'!AP$5:AP$40,'TRA balance'!$C$5:$C$40,Assumptions!$C13,'TRA balance'!$D$5:$D$40,Assumptions!$B13)*EJ13*AS13,"")</f>
        <v>0</v>
      </c>
      <c r="CP13" s="34">
        <f ca="1">IFERROR(SUMIFS('TRA balance'!AQ$5:AQ$40,'TRA balance'!$C$5:$C$40,Assumptions!$C13,'TRA balance'!$D$5:$D$40,Assumptions!$B13)*EK13*AT13,"")</f>
        <v>0</v>
      </c>
      <c r="CQ13" s="34">
        <f ca="1">IFERROR(SUMIFS('TRA balance'!AR$5:AR$40,'TRA balance'!$C$5:$C$40,Assumptions!$C13,'TRA balance'!$D$5:$D$40,Assumptions!$B13)*EL13*AU13,"")</f>
        <v>0</v>
      </c>
      <c r="CR13" s="34">
        <f ca="1">IFERROR(SUMIFS('TRA balance'!AS$5:AS$40,'TRA balance'!$C$5:$C$40,Assumptions!$C13,'TRA balance'!$D$5:$D$40,Assumptions!$B13)*EM13*AV13,"")</f>
        <v>0</v>
      </c>
      <c r="CS13" s="34">
        <f ca="1">IFERROR(SUMIFS('TRA balance'!AT$5:AT$40,'TRA balance'!$C$5:$C$40,Assumptions!$C13,'TRA balance'!$D$5:$D$40,Assumptions!$B13)*EN13*AW13,"")</f>
        <v>0</v>
      </c>
      <c r="CT13" s="34">
        <f ca="1">IFERROR(SUMIFS('TRA balance'!AU$5:AU$40,'TRA balance'!$C$5:$C$40,Assumptions!$C13,'TRA balance'!$D$5:$D$40,Assumptions!$B13)*EO13*AX13,"")</f>
        <v>0</v>
      </c>
      <c r="CU13" s="34">
        <f ca="1">IFERROR(SUMIFS('TRA balance'!AV$5:AV$40,'TRA balance'!$C$5:$C$40,Assumptions!$C13,'TRA balance'!$D$5:$D$40,Assumptions!$B13)*EP13*AY13,"")</f>
        <v>0</v>
      </c>
      <c r="CV13" s="34">
        <f ca="1">IFERROR(SUMIFS('TRA balance'!AW$5:AW$40,'TRA balance'!$C$5:$C$40,Assumptions!$C13,'TRA balance'!$D$5:$D$40,Assumptions!$B13)*EQ13*AZ13,"")</f>
        <v>0</v>
      </c>
      <c r="CW13" s="34">
        <f ca="1">IFERROR(SUMIFS('TRA balance'!AX$5:AX$40,'TRA balance'!$C$5:$C$40,Assumptions!$C13,'TRA balance'!$D$5:$D$40,Assumptions!$B13)*ER13*BA13,"")</f>
        <v>0</v>
      </c>
      <c r="CY13" s="33">
        <f t="shared" ca="1" si="2"/>
        <v>0.9</v>
      </c>
      <c r="CZ13" s="33">
        <f t="shared" ca="1" si="3"/>
        <v>0.9</v>
      </c>
      <c r="DA13" s="33">
        <f t="shared" ca="1" si="4"/>
        <v>0.98</v>
      </c>
      <c r="DB13" s="33">
        <f t="shared" ca="1" si="5"/>
        <v>0.8</v>
      </c>
      <c r="DC13" s="33">
        <f t="shared" ca="1" si="6"/>
        <v>0.95</v>
      </c>
      <c r="DD13" s="33">
        <f t="shared" ca="1" si="7"/>
        <v>0.8</v>
      </c>
      <c r="DE13" s="33">
        <f t="shared" ca="1" si="8"/>
        <v>0.92999999999999994</v>
      </c>
      <c r="DF13" s="33">
        <f t="shared" ca="1" si="9"/>
        <v>0.9</v>
      </c>
      <c r="DG13" s="33">
        <f t="shared" ca="1" si="10"/>
        <v>0.8</v>
      </c>
      <c r="DH13" s="33">
        <f t="shared" ca="1" si="11"/>
        <v>0.8</v>
      </c>
      <c r="DI13" s="33">
        <f t="shared" ca="1" si="12"/>
        <v>0.8</v>
      </c>
      <c r="DJ13" s="33">
        <f t="shared" ca="1" si="13"/>
        <v>0.8</v>
      </c>
      <c r="DK13" s="33">
        <f t="shared" ca="1" si="14"/>
        <v>0.8</v>
      </c>
      <c r="DL13" s="33">
        <f t="shared" ca="1" si="15"/>
        <v>0.8</v>
      </c>
      <c r="DM13" s="33">
        <f t="shared" ca="1" si="16"/>
        <v>0.8</v>
      </c>
      <c r="DN13" s="33">
        <f t="shared" ca="1" si="17"/>
        <v>0.75</v>
      </c>
      <c r="DO13" s="33">
        <f t="shared" ca="1" si="18"/>
        <v>0.8</v>
      </c>
      <c r="DP13" s="33">
        <f t="shared" ca="1" si="19"/>
        <v>0.8</v>
      </c>
      <c r="DQ13" s="33">
        <f t="shared" ca="1" si="20"/>
        <v>0.95</v>
      </c>
      <c r="DR13" s="33">
        <f t="shared" ca="1" si="21"/>
        <v>0.92999999999999994</v>
      </c>
      <c r="DS13" s="33">
        <f t="shared" ca="1" si="22"/>
        <v>0.9</v>
      </c>
      <c r="DT13" s="33">
        <f t="shared" ca="1" si="23"/>
        <v>0.97559357817738346</v>
      </c>
      <c r="DU13" s="33">
        <f t="shared" ca="1" si="24"/>
        <v>0.8</v>
      </c>
      <c r="DV13" s="33">
        <f t="shared" ca="1" si="25"/>
        <v>0.8</v>
      </c>
      <c r="DW13" s="33">
        <f t="shared" ca="1" si="26"/>
        <v>0.92</v>
      </c>
      <c r="DX13" s="33">
        <f t="shared" ca="1" si="27"/>
        <v>0.95</v>
      </c>
      <c r="DY13" s="33">
        <f t="shared" ca="1" si="28"/>
        <v>0.9</v>
      </c>
      <c r="DZ13" s="33">
        <f t="shared" ca="1" si="29"/>
        <v>0.9</v>
      </c>
      <c r="EA13" s="33">
        <f t="shared" ca="1" si="30"/>
        <v>0.8</v>
      </c>
      <c r="EB13" s="33">
        <f t="shared" ca="1" si="31"/>
        <v>0.8</v>
      </c>
      <c r="EC13" s="33">
        <f t="shared" ca="1" si="32"/>
        <v>0.8</v>
      </c>
      <c r="ED13" s="33">
        <f t="shared" ca="1" si="33"/>
        <v>0.9</v>
      </c>
      <c r="EE13" s="33">
        <f t="shared" ca="1" si="34"/>
        <v>0.8</v>
      </c>
      <c r="EF13" s="33">
        <f t="shared" ca="1" si="35"/>
        <v>0.95</v>
      </c>
      <c r="EG13" s="33">
        <f t="shared" ca="1" si="36"/>
        <v>0.8</v>
      </c>
      <c r="EH13" s="33">
        <f t="shared" ca="1" si="37"/>
        <v>0.97559357817738346</v>
      </c>
      <c r="EI13" s="33">
        <f t="shared" ca="1" si="38"/>
        <v>0.97559357817738346</v>
      </c>
      <c r="EJ13" s="33">
        <f t="shared" ca="1" si="39"/>
        <v>0.97559357817738346</v>
      </c>
      <c r="EK13" s="33">
        <f t="shared" ca="1" si="40"/>
        <v>0.97559357817738346</v>
      </c>
      <c r="EL13" s="33">
        <f t="shared" ca="1" si="41"/>
        <v>0.97559357817738346</v>
      </c>
      <c r="EM13" s="33">
        <f t="shared" ca="1" si="42"/>
        <v>0.97559357817738346</v>
      </c>
      <c r="EN13" s="33">
        <f t="shared" ca="1" si="43"/>
        <v>0.97559357817738346</v>
      </c>
      <c r="EO13" s="33">
        <f t="shared" ca="1" si="44"/>
        <v>0.97559357817738346</v>
      </c>
      <c r="EP13" s="33">
        <f t="shared" ca="1" si="45"/>
        <v>0.97559357817738346</v>
      </c>
      <c r="EQ13" s="33">
        <f t="shared" ca="1" si="46"/>
        <v>0.97559357817738346</v>
      </c>
      <c r="ER13" s="33">
        <f t="shared" ca="1" si="47"/>
        <v>0.97559357817738346</v>
      </c>
    </row>
    <row r="14" spans="1:152">
      <c r="A14">
        <v>2</v>
      </c>
      <c r="B14" t="str">
        <f>VLOOKUP(F14,'TRA balance'!$BA$5:$BB$14,2,FALSE)</f>
        <v>TRADST</v>
      </c>
      <c r="C14" s="6" t="str">
        <f t="shared" si="48"/>
        <v>TR</v>
      </c>
      <c r="D14" s="7" t="s">
        <v>16</v>
      </c>
      <c r="E14" s="18" t="s">
        <v>73</v>
      </c>
      <c r="F14" s="8" t="str">
        <f t="shared" ref="F14:F20" si="55">F13</f>
        <v>Diesel</v>
      </c>
      <c r="G14" s="6" t="s">
        <v>74</v>
      </c>
      <c r="H14" s="9">
        <f ca="1">OFFSET(TIAM15_assumptions!$G14,0,MATCH(VLOOKUP(Assumptions!H$2,TIAM15_assumptions!$Y$3:$Z$87,2,FALSE),TIAM15_assumptions!$H$2:$V$2,0))</f>
        <v>0.35</v>
      </c>
      <c r="I14" s="9">
        <f ca="1">OFFSET(TIAM15_assumptions!$G14,0,MATCH(VLOOKUP(Assumptions!I$2,TIAM15_assumptions!$Y$3:$Z$87,2,FALSE),TIAM15_assumptions!$H$2:$V$2,0))</f>
        <v>0.35</v>
      </c>
      <c r="J14" s="9">
        <f ca="1">OFFSET(TIAM15_assumptions!$G14,0,MATCH(VLOOKUP(Assumptions!J$2,TIAM15_assumptions!$Y$3:$Z$87,2,FALSE),TIAM15_assumptions!$H$2:$V$2,0))</f>
        <v>0.35</v>
      </c>
      <c r="K14" s="9">
        <f ca="1">OFFSET(TIAM15_assumptions!$G14,0,MATCH(VLOOKUP(Assumptions!K$2,TIAM15_assumptions!$Y$3:$Z$87,2,FALSE),TIAM15_assumptions!$H$2:$V$2,0))</f>
        <v>0.5</v>
      </c>
      <c r="L14" s="9">
        <f ca="1">OFFSET(TIAM15_assumptions!$G14,0,MATCH(VLOOKUP(Assumptions!L$2,TIAM15_assumptions!$Y$3:$Z$87,2,FALSE),TIAM15_assumptions!$H$2:$V$2,0))</f>
        <v>0.6</v>
      </c>
      <c r="M14" s="9">
        <f ca="1">OFFSET(TIAM15_assumptions!$G14,0,MATCH(VLOOKUP(Assumptions!M$2,TIAM15_assumptions!$Y$3:$Z$87,2,FALSE),TIAM15_assumptions!$H$2:$V$2,0))</f>
        <v>0.5</v>
      </c>
      <c r="N14" s="9">
        <f ca="1">OFFSET(TIAM15_assumptions!$G14,0,MATCH(VLOOKUP(Assumptions!N$2,TIAM15_assumptions!$Y$3:$Z$87,2,FALSE),TIAM15_assumptions!$H$2:$V$2,0))</f>
        <v>0.5</v>
      </c>
      <c r="O14" s="9">
        <f ca="1">OFFSET(TIAM15_assumptions!$G14,0,MATCH(VLOOKUP(Assumptions!O$2,TIAM15_assumptions!$Y$3:$Z$87,2,FALSE),TIAM15_assumptions!$H$2:$V$2,0))</f>
        <v>0.35</v>
      </c>
      <c r="P14" s="9">
        <f ca="1">OFFSET(TIAM15_assumptions!$G14,0,MATCH(VLOOKUP(Assumptions!P$2,TIAM15_assumptions!$Y$3:$Z$87,2,FALSE),TIAM15_assumptions!$H$2:$V$2,0))</f>
        <v>0.5</v>
      </c>
      <c r="Q14" s="9">
        <f ca="1">OFFSET(TIAM15_assumptions!$G14,0,MATCH(VLOOKUP(Assumptions!Q$2,TIAM15_assumptions!$Y$3:$Z$87,2,FALSE),TIAM15_assumptions!$H$2:$V$2,0))</f>
        <v>0.5</v>
      </c>
      <c r="R14" s="9">
        <f ca="1">OFFSET(TIAM15_assumptions!$G14,0,MATCH(VLOOKUP(Assumptions!R$2,TIAM15_assumptions!$Y$3:$Z$87,2,FALSE),TIAM15_assumptions!$H$2:$V$2,0))</f>
        <v>0.5</v>
      </c>
      <c r="S14" s="9">
        <f ca="1">OFFSET(TIAM15_assumptions!$G14,0,MATCH(VLOOKUP(Assumptions!S$2,TIAM15_assumptions!$Y$3:$Z$87,2,FALSE),TIAM15_assumptions!$H$2:$V$2,0))</f>
        <v>0.5</v>
      </c>
      <c r="T14" s="9">
        <f ca="1">OFFSET(TIAM15_assumptions!$G14,0,MATCH(VLOOKUP(Assumptions!T$2,TIAM15_assumptions!$Y$3:$Z$87,2,FALSE),TIAM15_assumptions!$H$2:$V$2,0))</f>
        <v>0.5</v>
      </c>
      <c r="U14" s="9">
        <f ca="1">OFFSET(TIAM15_assumptions!$G14,0,MATCH(VLOOKUP(Assumptions!U$2,TIAM15_assumptions!$Y$3:$Z$87,2,FALSE),TIAM15_assumptions!$H$2:$V$2,0))</f>
        <v>0.5</v>
      </c>
      <c r="V14" s="9">
        <f ca="1">OFFSET(TIAM15_assumptions!$G14,0,MATCH(VLOOKUP(Assumptions!V$2,TIAM15_assumptions!$Y$3:$Z$87,2,FALSE),TIAM15_assumptions!$H$2:$V$2,0))</f>
        <v>0.5</v>
      </c>
      <c r="W14" s="9">
        <f ca="1">OFFSET(TIAM15_assumptions!$G14,0,MATCH(VLOOKUP(Assumptions!W$2,TIAM15_assumptions!$Y$3:$Z$87,2,FALSE),TIAM15_assumptions!$H$2:$V$2,0))</f>
        <v>0.3</v>
      </c>
      <c r="X14" s="9">
        <f ca="1">OFFSET(TIAM15_assumptions!$G14,0,MATCH(VLOOKUP(Assumptions!X$2,TIAM15_assumptions!$Y$3:$Z$87,2,FALSE),TIAM15_assumptions!$H$2:$V$2,0))</f>
        <v>0.5</v>
      </c>
      <c r="Y14" s="9">
        <f ca="1">OFFSET(TIAM15_assumptions!$G14,0,MATCH(VLOOKUP(Assumptions!Y$2,TIAM15_assumptions!$Y$3:$Z$87,2,FALSE),TIAM15_assumptions!$H$2:$V$2,0))</f>
        <v>0.5</v>
      </c>
      <c r="Z14" s="9">
        <f ca="1">OFFSET(TIAM15_assumptions!$G14,0,MATCH(VLOOKUP(Assumptions!Z$2,TIAM15_assumptions!$Y$3:$Z$87,2,FALSE),TIAM15_assumptions!$H$2:$V$2,0))</f>
        <v>0.5</v>
      </c>
      <c r="AA14" s="9">
        <f ca="1">OFFSET(TIAM15_assumptions!$G14,0,MATCH(VLOOKUP(Assumptions!AA$2,TIAM15_assumptions!$Y$3:$Z$87,2,FALSE),TIAM15_assumptions!$H$2:$V$2,0))</f>
        <v>0.5</v>
      </c>
      <c r="AB14" s="9">
        <f ca="1">OFFSET(TIAM15_assumptions!$G14,0,MATCH(VLOOKUP(Assumptions!AB$2,TIAM15_assumptions!$Y$3:$Z$87,2,FALSE),TIAM15_assumptions!$H$2:$V$2,0))</f>
        <v>0.5</v>
      </c>
      <c r="AC14" s="9">
        <f ca="1">OFFSET(TIAM15_assumptions!$G14,0,MATCH(VLOOKUP(Assumptions!AC$2,TIAM15_assumptions!$Y$3:$Z$87,2,FALSE),TIAM15_assumptions!$H$2:$V$2,0))</f>
        <v>0.79999999999999993</v>
      </c>
      <c r="AD14" s="9">
        <f ca="1">OFFSET(TIAM15_assumptions!$G14,0,MATCH(VLOOKUP(Assumptions!AD$2,TIAM15_assumptions!$Y$3:$Z$87,2,FALSE),TIAM15_assumptions!$H$2:$V$2,0))</f>
        <v>0.5</v>
      </c>
      <c r="AE14" s="9">
        <f ca="1">OFFSET(TIAM15_assumptions!$G14,0,MATCH(VLOOKUP(Assumptions!AE$2,TIAM15_assumptions!$Y$3:$Z$87,2,FALSE),TIAM15_assumptions!$H$2:$V$2,0))</f>
        <v>0.5</v>
      </c>
      <c r="AF14" s="9">
        <f ca="1">OFFSET(TIAM15_assumptions!$G14,0,MATCH(VLOOKUP(Assumptions!AF$2,TIAM15_assumptions!$Y$3:$Z$87,2,FALSE),TIAM15_assumptions!$H$2:$V$2,0))</f>
        <v>0.5</v>
      </c>
      <c r="AG14" s="9">
        <f ca="1">OFFSET(TIAM15_assumptions!$G14,0,MATCH(VLOOKUP(Assumptions!AG$2,TIAM15_assumptions!$Y$3:$Z$87,2,FALSE),TIAM15_assumptions!$H$2:$V$2,0))</f>
        <v>0.6</v>
      </c>
      <c r="AH14" s="9">
        <f ca="1">OFFSET(TIAM15_assumptions!$G14,0,MATCH(VLOOKUP(Assumptions!AH$2,TIAM15_assumptions!$Y$3:$Z$87,2,FALSE),TIAM15_assumptions!$H$2:$V$2,0))</f>
        <v>0.5</v>
      </c>
      <c r="AI14" s="9">
        <f ca="1">OFFSET(TIAM15_assumptions!$G14,0,MATCH(VLOOKUP(Assumptions!AI$2,TIAM15_assumptions!$Y$3:$Z$87,2,FALSE),TIAM15_assumptions!$H$2:$V$2,0))</f>
        <v>0.35</v>
      </c>
      <c r="AJ14" s="9">
        <f ca="1">OFFSET(TIAM15_assumptions!$G14,0,MATCH(VLOOKUP(Assumptions!AJ$2,TIAM15_assumptions!$Y$3:$Z$87,2,FALSE),TIAM15_assumptions!$H$2:$V$2,0))</f>
        <v>0.5</v>
      </c>
      <c r="AK14" s="9">
        <f ca="1">OFFSET(TIAM15_assumptions!$G14,0,MATCH(VLOOKUP(Assumptions!AK$2,TIAM15_assumptions!$Y$3:$Z$87,2,FALSE),TIAM15_assumptions!$H$2:$V$2,0))</f>
        <v>0.5</v>
      </c>
      <c r="AL14" s="9">
        <f ca="1">OFFSET(TIAM15_assumptions!$G14,0,MATCH(VLOOKUP(Assumptions!AL$2,TIAM15_assumptions!$Y$3:$Z$87,2,FALSE),TIAM15_assumptions!$H$2:$V$2,0))</f>
        <v>0.5</v>
      </c>
      <c r="AM14" s="9">
        <f ca="1">OFFSET(TIAM15_assumptions!$G14,0,MATCH(VLOOKUP(Assumptions!AM$2,TIAM15_assumptions!$Y$3:$Z$87,2,FALSE),TIAM15_assumptions!$H$2:$V$2,0))</f>
        <v>0.5</v>
      </c>
      <c r="AN14" s="9">
        <f ca="1">OFFSET(TIAM15_assumptions!$G14,0,MATCH(VLOOKUP(Assumptions!AN$2,TIAM15_assumptions!$Y$3:$Z$87,2,FALSE),TIAM15_assumptions!$H$2:$V$2,0))</f>
        <v>0.5</v>
      </c>
      <c r="AO14" s="9">
        <f ca="1">OFFSET(TIAM15_assumptions!$G14,0,MATCH(VLOOKUP(Assumptions!AO$2,TIAM15_assumptions!$Y$3:$Z$87,2,FALSE),TIAM15_assumptions!$H$2:$V$2,0))</f>
        <v>0.6</v>
      </c>
      <c r="AP14" s="9">
        <f ca="1">OFFSET(TIAM15_assumptions!$G14,0,MATCH(VLOOKUP(Assumptions!AP$2,TIAM15_assumptions!$Y$3:$Z$87,2,FALSE),TIAM15_assumptions!$H$2:$V$2,0))</f>
        <v>0.5</v>
      </c>
      <c r="AQ14" s="9">
        <f ca="1">OFFSET(TIAM15_assumptions!$G14,0,MATCH(VLOOKUP(Assumptions!AQ$2,TIAM15_assumptions!$Y$3:$Z$87,2,FALSE),TIAM15_assumptions!$H$2:$V$2,0))</f>
        <v>0.79999999999999993</v>
      </c>
      <c r="AR14" s="9">
        <f ca="1">OFFSET(TIAM15_assumptions!$G14,0,MATCH(VLOOKUP(Assumptions!AR$2,TIAM15_assumptions!$Y$3:$Z$87,2,FALSE),TIAM15_assumptions!$H$2:$V$2,0))</f>
        <v>0.79999999999999993</v>
      </c>
      <c r="AS14" s="9">
        <f ca="1">OFFSET(TIAM15_assumptions!$G14,0,MATCH(VLOOKUP(Assumptions!AS$2,TIAM15_assumptions!$Y$3:$Z$87,2,FALSE),TIAM15_assumptions!$H$2:$V$2,0))</f>
        <v>0.79999999999999993</v>
      </c>
      <c r="AT14" s="9">
        <f ca="1">OFFSET(TIAM15_assumptions!$G14,0,MATCH(VLOOKUP(Assumptions!AT$2,TIAM15_assumptions!$Y$3:$Z$87,2,FALSE),TIAM15_assumptions!$H$2:$V$2,0))</f>
        <v>0.79999999999999993</v>
      </c>
      <c r="AU14" s="9">
        <f ca="1">OFFSET(TIAM15_assumptions!$G14,0,MATCH(VLOOKUP(Assumptions!AU$2,TIAM15_assumptions!$Y$3:$Z$87,2,FALSE),TIAM15_assumptions!$H$2:$V$2,0))</f>
        <v>0.79999999999999993</v>
      </c>
      <c r="AV14" s="9">
        <f ca="1">OFFSET(TIAM15_assumptions!$G14,0,MATCH(VLOOKUP(Assumptions!AV$2,TIAM15_assumptions!$Y$3:$Z$87,2,FALSE),TIAM15_assumptions!$H$2:$V$2,0))</f>
        <v>0.79999999999999993</v>
      </c>
      <c r="AW14" s="9">
        <f ca="1">OFFSET(TIAM15_assumptions!$G14,0,MATCH(VLOOKUP(Assumptions!AW$2,TIAM15_assumptions!$Y$3:$Z$87,2,FALSE),TIAM15_assumptions!$H$2:$V$2,0))</f>
        <v>0.79999999999999993</v>
      </c>
      <c r="AX14" s="9">
        <f ca="1">OFFSET(TIAM15_assumptions!$G14,0,MATCH(VLOOKUP(Assumptions!AX$2,TIAM15_assumptions!$Y$3:$Z$87,2,FALSE),TIAM15_assumptions!$H$2:$V$2,0))</f>
        <v>0.79999999999999993</v>
      </c>
      <c r="AY14" s="9">
        <f ca="1">OFFSET(TIAM15_assumptions!$G14,0,MATCH(VLOOKUP(Assumptions!AY$2,TIAM15_assumptions!$Y$3:$Z$87,2,FALSE),TIAM15_assumptions!$H$2:$V$2,0))</f>
        <v>0.79999999999999993</v>
      </c>
      <c r="AZ14" s="9">
        <f ca="1">OFFSET(TIAM15_assumptions!$G14,0,MATCH(VLOOKUP(Assumptions!AZ$2,TIAM15_assumptions!$Y$3:$Z$87,2,FALSE),TIAM15_assumptions!$H$2:$V$2,0))</f>
        <v>0.79999999999999993</v>
      </c>
      <c r="BA14" s="9">
        <f ca="1">OFFSET(TIAM15_assumptions!$G14,0,MATCH(VLOOKUP(Assumptions!BA$2,TIAM15_assumptions!$Y$3:$Z$87,2,FALSE),TIAM15_assumptions!$H$2:$V$2,0))</f>
        <v>0.79999999999999993</v>
      </c>
      <c r="BD14" s="34">
        <f ca="1">IFERROR(SUMIFS('TRA balance'!E$5:E$40,'TRA balance'!$C$5:$C$40,Assumptions!$C14,'TRA balance'!$D$5:$D$40,Assumptions!$B14)*CY14*H14,"")</f>
        <v>350.28647281088996</v>
      </c>
      <c r="BE14" s="34">
        <f ca="1">IFERROR(SUMIFS('TRA balance'!F$5:F$40,'TRA balance'!$C$5:$C$40,Assumptions!$C14,'TRA balance'!$D$5:$D$40,Assumptions!$B14)*CZ14*I14,"")</f>
        <v>311.291700338304</v>
      </c>
      <c r="BF14" s="34">
        <f ca="1">IFERROR(SUMIFS('TRA balance'!G$5:G$40,'TRA balance'!$C$5:$C$40,Assumptions!$C14,'TRA balance'!$D$5:$D$40,Assumptions!$B14)*DA14*J14,"")</f>
        <v>197.44380349371718</v>
      </c>
      <c r="BG14" s="34">
        <f ca="1">IFERROR(SUMIFS('TRA balance'!H$5:H$40,'TRA balance'!$C$5:$C$40,Assumptions!$C14,'TRA balance'!$D$5:$D$40,Assumptions!$B14)*DB14*K14,"")</f>
        <v>103.46021744111999</v>
      </c>
      <c r="BH14" s="34">
        <f ca="1">IFERROR(SUMIFS('TRA balance'!I$5:I$40,'TRA balance'!$C$5:$C$40,Assumptions!$C14,'TRA balance'!$D$5:$D$40,Assumptions!$B14)*DC14*L14,"")</f>
        <v>69.12393130097999</v>
      </c>
      <c r="BI14" s="34">
        <f ca="1">IFERROR(SUMIFS('TRA balance'!J$5:J$40,'TRA balance'!$C$5:$C$40,Assumptions!$C14,'TRA balance'!$D$5:$D$40,Assumptions!$B14)*DD14*M14,"")</f>
        <v>219.29287268304003</v>
      </c>
      <c r="BJ14" s="34">
        <f ca="1">IFERROR(SUMIFS('TRA balance'!K$5:K$40,'TRA balance'!$C$5:$C$40,Assumptions!$C14,'TRA balance'!$D$5:$D$40,Assumptions!$B14)*DE14*N14,"")</f>
        <v>667.73610713829589</v>
      </c>
      <c r="BK14" s="34">
        <f ca="1">IFERROR(SUMIFS('TRA balance'!L$5:L$40,'TRA balance'!$C$5:$C$40,Assumptions!$C14,'TRA balance'!$D$5:$D$40,Assumptions!$B14)*DF14*O14,"")</f>
        <v>1222.6320580270858</v>
      </c>
      <c r="BL14" s="34">
        <f ca="1">IFERROR(SUMIFS('TRA balance'!M$5:M$40,'TRA balance'!$C$5:$C$40,Assumptions!$C14,'TRA balance'!$D$5:$D$40,Assumptions!$B14)*DG14*P14,"")</f>
        <v>48.1976126136</v>
      </c>
      <c r="BM14" s="34">
        <f ca="1">IFERROR(SUMIFS('TRA balance'!N$5:N$40,'TRA balance'!$C$5:$C$40,Assumptions!$C14,'TRA balance'!$D$5:$D$40,Assumptions!$B14)*DH14*Q14,"")</f>
        <v>103.27943979072001</v>
      </c>
      <c r="BN14" s="34">
        <f ca="1">IFERROR(SUMIFS('TRA balance'!O$5:O$40,'TRA balance'!$C$5:$C$40,Assumptions!$C14,'TRA balance'!$D$5:$D$40,Assumptions!$B14)*DI14*R14,"")</f>
        <v>514.56004953552008</v>
      </c>
      <c r="BO14" s="34">
        <f ca="1">IFERROR(SUMIFS('TRA balance'!P$5:P$40,'TRA balance'!$C$5:$C$40,Assumptions!$C14,'TRA balance'!$D$5:$D$40,Assumptions!$B14)*DJ14*S14,"")</f>
        <v>555.70847929199999</v>
      </c>
      <c r="BP14" s="34">
        <f ca="1">IFERROR(SUMIFS('TRA balance'!Q$5:Q$40,'TRA balance'!$C$5:$C$40,Assumptions!$C14,'TRA balance'!$D$5:$D$40,Assumptions!$B14)*DK14*T14,"")</f>
        <v>44.939103210719999</v>
      </c>
      <c r="BQ14" s="34">
        <f ca="1">IFERROR(SUMIFS('TRA balance'!R$5:R$40,'TRA balance'!$C$5:$C$40,Assumptions!$C14,'TRA balance'!$D$5:$D$40,Assumptions!$B14)*DL14*U14,"")</f>
        <v>161.13739002192003</v>
      </c>
      <c r="BR14" s="34">
        <f ca="1">IFERROR(SUMIFS('TRA balance'!S$5:S$40,'TRA balance'!$C$5:$C$40,Assumptions!$C14,'TRA balance'!$D$5:$D$40,Assumptions!$B14)*DM14*V14,"")</f>
        <v>3.0818381659200003</v>
      </c>
      <c r="BS14" s="34">
        <f ca="1">IFERROR(SUMIFS('TRA balance'!T$5:T$40,'TRA balance'!$C$5:$C$40,Assumptions!$C14,'TRA balance'!$D$5:$D$40,Assumptions!$B14)*DN14*W14,"")</f>
        <v>547.57325715741001</v>
      </c>
      <c r="BT14" s="34">
        <f ca="1">IFERROR(SUMIFS('TRA balance'!U$5:U$40,'TRA balance'!$C$5:$C$40,Assumptions!$C14,'TRA balance'!$D$5:$D$40,Assumptions!$B14)*DO14*X14,"")</f>
        <v>49.337854099200001</v>
      </c>
      <c r="BU14" s="34">
        <f ca="1">IFERROR(SUMIFS('TRA balance'!V$5:V$40,'TRA balance'!$C$5:$C$40,Assumptions!$C14,'TRA balance'!$D$5:$D$40,Assumptions!$B14)*DP14*Y14,"")</f>
        <v>360.01799325072005</v>
      </c>
      <c r="BV14" s="34">
        <f ca="1">IFERROR(SUMIFS('TRA balance'!W$5:W$40,'TRA balance'!$C$5:$C$40,Assumptions!$C14,'TRA balance'!$D$5:$D$40,Assumptions!$B14)*DQ14*Z14,"")</f>
        <v>433.80371732570995</v>
      </c>
      <c r="BW14" s="34">
        <f ca="1">IFERROR(SUMIFS('TRA balance'!X$5:X$40,'TRA balance'!$C$5:$C$40,Assumptions!$C14,'TRA balance'!$D$5:$D$40,Assumptions!$B14)*DR14*AA14,"")</f>
        <v>685.58109095498401</v>
      </c>
      <c r="BX14" s="34">
        <f ca="1">IFERROR(SUMIFS('TRA balance'!Y$5:Y$40,'TRA balance'!$C$5:$C$40,Assumptions!$C14,'TRA balance'!$D$5:$D$40,Assumptions!$B14)*DS14*AB14,"")</f>
        <v>673.99466757875996</v>
      </c>
      <c r="BY14" s="34">
        <f ca="1">IFERROR(SUMIFS('TRA balance'!Z$5:Z$40,'TRA balance'!$C$5:$C$40,Assumptions!$C14,'TRA balance'!$D$5:$D$40,Assumptions!$B14)*DT14*AC14,"")</f>
        <v>4917.1056772765905</v>
      </c>
      <c r="BZ14" s="34">
        <f ca="1">IFERROR(SUMIFS('TRA balance'!AA$5:AA$40,'TRA balance'!$C$5:$C$40,Assumptions!$C14,'TRA balance'!$D$5:$D$40,Assumptions!$B14)*DU14*AD14,"")</f>
        <v>35.440064575200005</v>
      </c>
      <c r="CA14" s="34">
        <f ca="1">IFERROR(SUMIFS('TRA balance'!AB$5:AB$40,'TRA balance'!$C$5:$C$40,Assumptions!$C14,'TRA balance'!$D$5:$D$40,Assumptions!$B14)*DV14*AE14,"")</f>
        <v>237.11928569712001</v>
      </c>
      <c r="CB14" s="34">
        <f ca="1">IFERROR(SUMIFS('TRA balance'!AC$5:AC$40,'TRA balance'!$C$5:$C$40,Assumptions!$C14,'TRA balance'!$D$5:$D$40,Assumptions!$B14)*DW14*AF14,"")</f>
        <v>1847.0708337436561</v>
      </c>
      <c r="CC14" s="34">
        <f ca="1">IFERROR(SUMIFS('TRA balance'!AD$5:AD$40,'TRA balance'!$C$5:$C$40,Assumptions!$C14,'TRA balance'!$D$5:$D$40,Assumptions!$B14)*DX14*AG14,"")</f>
        <v>399.75783108767996</v>
      </c>
      <c r="CD14" s="34">
        <f ca="1">IFERROR(SUMIFS('TRA balance'!AE$5:AE$40,'TRA balance'!$C$5:$C$40,Assumptions!$C14,'TRA balance'!$D$5:$D$40,Assumptions!$B14)*DY14*AH14,"")</f>
        <v>383.30942583780001</v>
      </c>
      <c r="CE14" s="34">
        <f ca="1">IFERROR(SUMIFS('TRA balance'!AF$5:AF$40,'TRA balance'!$C$5:$C$40,Assumptions!$C14,'TRA balance'!$D$5:$D$40,Assumptions!$B14)*DZ14*AI14,"")</f>
        <v>109.34538013324799</v>
      </c>
      <c r="CF14" s="34">
        <f ca="1">IFERROR(SUMIFS('TRA balance'!AG$5:AG$40,'TRA balance'!$C$5:$C$40,Assumptions!$C14,'TRA balance'!$D$5:$D$40,Assumptions!$B14)*EA14*AJ14,"")</f>
        <v>429.67292069519999</v>
      </c>
      <c r="CG14" s="34">
        <f ca="1">IFERROR(SUMIFS('TRA balance'!AH$5:AH$40,'TRA balance'!$C$5:$C$40,Assumptions!$C14,'TRA balance'!$D$5:$D$40,Assumptions!$B14)*EB14*AK14,"")</f>
        <v>128.98516589568001</v>
      </c>
      <c r="CH14" s="34">
        <f ca="1">IFERROR(SUMIFS('TRA balance'!AI$5:AI$40,'TRA balance'!$C$5:$C$40,Assumptions!$C14,'TRA balance'!$D$5:$D$40,Assumptions!$B14)*EC14*AL14,"")</f>
        <v>45.526074148800006</v>
      </c>
      <c r="CI14" s="34">
        <f ca="1">IFERROR(SUMIFS('TRA balance'!AJ$5:AJ$40,'TRA balance'!$C$5:$C$40,Assumptions!$C14,'TRA balance'!$D$5:$D$40,Assumptions!$B14)*ED14*AM14,"")</f>
        <v>370.05768069714003</v>
      </c>
      <c r="CJ14" s="34">
        <f ca="1">IFERROR(SUMIFS('TRA balance'!AK$5:AK$40,'TRA balance'!$C$5:$C$40,Assumptions!$C14,'TRA balance'!$D$5:$D$40,Assumptions!$B14)*EE14*AN14,"")</f>
        <v>405.65577289824</v>
      </c>
      <c r="CK14" s="34">
        <f ca="1">IFERROR(SUMIFS('TRA balance'!AL$5:AL$40,'TRA balance'!$C$5:$C$40,Assumptions!$C14,'TRA balance'!$D$5:$D$40,Assumptions!$B14)*EF14*AO14,"")</f>
        <v>103.62280926517198</v>
      </c>
      <c r="CL14" s="34">
        <f ca="1">IFERROR(SUMIFS('TRA balance'!AM$5:AM$40,'TRA balance'!$C$5:$C$40,Assumptions!$C14,'TRA balance'!$D$5:$D$40,Assumptions!$B14)*EG14*AP14,"")</f>
        <v>75.088239962399996</v>
      </c>
      <c r="CM14" s="34">
        <f ca="1">IFERROR(SUMIFS('TRA balance'!AN$5:AN$40,'TRA balance'!$C$5:$C$40,Assumptions!$C14,'TRA balance'!$D$5:$D$40,Assumptions!$B14)*EH14*AQ14,"")</f>
        <v>0</v>
      </c>
      <c r="CN14" s="34">
        <f ca="1">IFERROR(SUMIFS('TRA balance'!AO$5:AO$40,'TRA balance'!$C$5:$C$40,Assumptions!$C14,'TRA balance'!$D$5:$D$40,Assumptions!$B14)*EI14*AR14,"")</f>
        <v>0</v>
      </c>
      <c r="CO14" s="34">
        <f ca="1">IFERROR(SUMIFS('TRA balance'!AP$5:AP$40,'TRA balance'!$C$5:$C$40,Assumptions!$C14,'TRA balance'!$D$5:$D$40,Assumptions!$B14)*EJ14*AS14,"")</f>
        <v>0</v>
      </c>
      <c r="CP14" s="34">
        <f ca="1">IFERROR(SUMIFS('TRA balance'!AQ$5:AQ$40,'TRA balance'!$C$5:$C$40,Assumptions!$C14,'TRA balance'!$D$5:$D$40,Assumptions!$B14)*EK14*AT14,"")</f>
        <v>0</v>
      </c>
      <c r="CQ14" s="34">
        <f ca="1">IFERROR(SUMIFS('TRA balance'!AR$5:AR$40,'TRA balance'!$C$5:$C$40,Assumptions!$C14,'TRA balance'!$D$5:$D$40,Assumptions!$B14)*EL14*AU14,"")</f>
        <v>0</v>
      </c>
      <c r="CR14" s="34">
        <f ca="1">IFERROR(SUMIFS('TRA balance'!AS$5:AS$40,'TRA balance'!$C$5:$C$40,Assumptions!$C14,'TRA balance'!$D$5:$D$40,Assumptions!$B14)*EM14*AV14,"")</f>
        <v>0</v>
      </c>
      <c r="CS14" s="34">
        <f ca="1">IFERROR(SUMIFS('TRA balance'!AT$5:AT$40,'TRA balance'!$C$5:$C$40,Assumptions!$C14,'TRA balance'!$D$5:$D$40,Assumptions!$B14)*EN14*AW14,"")</f>
        <v>0</v>
      </c>
      <c r="CT14" s="34">
        <f ca="1">IFERROR(SUMIFS('TRA balance'!AU$5:AU$40,'TRA balance'!$C$5:$C$40,Assumptions!$C14,'TRA balance'!$D$5:$D$40,Assumptions!$B14)*EO14*AX14,"")</f>
        <v>0</v>
      </c>
      <c r="CU14" s="34">
        <f ca="1">IFERROR(SUMIFS('TRA balance'!AV$5:AV$40,'TRA balance'!$C$5:$C$40,Assumptions!$C14,'TRA balance'!$D$5:$D$40,Assumptions!$B14)*EP14*AY14,"")</f>
        <v>0</v>
      </c>
      <c r="CV14" s="34">
        <f ca="1">IFERROR(SUMIFS('TRA balance'!AW$5:AW$40,'TRA balance'!$C$5:$C$40,Assumptions!$C14,'TRA balance'!$D$5:$D$40,Assumptions!$B14)*EQ14*AZ14,"")</f>
        <v>0</v>
      </c>
      <c r="CW14" s="34">
        <f ca="1">IFERROR(SUMIFS('TRA balance'!AX$5:AX$40,'TRA balance'!$C$5:$C$40,Assumptions!$C14,'TRA balance'!$D$5:$D$40,Assumptions!$B14)*ER14*BA14,"")</f>
        <v>0</v>
      </c>
      <c r="CY14" s="33">
        <f t="shared" ca="1" si="2"/>
        <v>0.9</v>
      </c>
      <c r="CZ14" s="33">
        <f t="shared" ca="1" si="3"/>
        <v>0.9</v>
      </c>
      <c r="DA14" s="33">
        <f t="shared" ca="1" si="4"/>
        <v>0.98</v>
      </c>
      <c r="DB14" s="33">
        <f t="shared" ca="1" si="5"/>
        <v>0.8</v>
      </c>
      <c r="DC14" s="33">
        <f t="shared" ca="1" si="6"/>
        <v>0.95</v>
      </c>
      <c r="DD14" s="33">
        <f t="shared" ca="1" si="7"/>
        <v>0.8</v>
      </c>
      <c r="DE14" s="33">
        <f t="shared" ca="1" si="8"/>
        <v>0.92999999999999994</v>
      </c>
      <c r="DF14" s="33">
        <f t="shared" ca="1" si="9"/>
        <v>0.9</v>
      </c>
      <c r="DG14" s="33">
        <f t="shared" ca="1" si="10"/>
        <v>0.8</v>
      </c>
      <c r="DH14" s="33">
        <f t="shared" ca="1" si="11"/>
        <v>0.8</v>
      </c>
      <c r="DI14" s="33">
        <f t="shared" ca="1" si="12"/>
        <v>0.8</v>
      </c>
      <c r="DJ14" s="33">
        <f t="shared" ca="1" si="13"/>
        <v>0.8</v>
      </c>
      <c r="DK14" s="33">
        <f t="shared" ca="1" si="14"/>
        <v>0.8</v>
      </c>
      <c r="DL14" s="33">
        <f t="shared" ca="1" si="15"/>
        <v>0.8</v>
      </c>
      <c r="DM14" s="33">
        <f t="shared" ca="1" si="16"/>
        <v>0.8</v>
      </c>
      <c r="DN14" s="33">
        <f t="shared" ca="1" si="17"/>
        <v>0.75</v>
      </c>
      <c r="DO14" s="33">
        <f t="shared" ca="1" si="18"/>
        <v>0.8</v>
      </c>
      <c r="DP14" s="33">
        <f t="shared" ca="1" si="19"/>
        <v>0.8</v>
      </c>
      <c r="DQ14" s="33">
        <f t="shared" ca="1" si="20"/>
        <v>0.95</v>
      </c>
      <c r="DR14" s="33">
        <f t="shared" ca="1" si="21"/>
        <v>0.92999999999999994</v>
      </c>
      <c r="DS14" s="33">
        <f t="shared" ca="1" si="22"/>
        <v>0.9</v>
      </c>
      <c r="DT14" s="33">
        <f t="shared" ca="1" si="23"/>
        <v>0.97559357817738346</v>
      </c>
      <c r="DU14" s="33">
        <f t="shared" ca="1" si="24"/>
        <v>0.8</v>
      </c>
      <c r="DV14" s="33">
        <f t="shared" ca="1" si="25"/>
        <v>0.8</v>
      </c>
      <c r="DW14" s="33">
        <f t="shared" ca="1" si="26"/>
        <v>0.92</v>
      </c>
      <c r="DX14" s="33">
        <f t="shared" ca="1" si="27"/>
        <v>0.95</v>
      </c>
      <c r="DY14" s="33">
        <f t="shared" ca="1" si="28"/>
        <v>0.9</v>
      </c>
      <c r="DZ14" s="33">
        <f t="shared" ca="1" si="29"/>
        <v>0.9</v>
      </c>
      <c r="EA14" s="33">
        <f t="shared" ca="1" si="30"/>
        <v>0.8</v>
      </c>
      <c r="EB14" s="33">
        <f t="shared" ca="1" si="31"/>
        <v>0.8</v>
      </c>
      <c r="EC14" s="33">
        <f t="shared" ca="1" si="32"/>
        <v>0.8</v>
      </c>
      <c r="ED14" s="33">
        <f t="shared" ca="1" si="33"/>
        <v>0.9</v>
      </c>
      <c r="EE14" s="33">
        <f t="shared" ca="1" si="34"/>
        <v>0.8</v>
      </c>
      <c r="EF14" s="33">
        <f t="shared" ca="1" si="35"/>
        <v>0.95</v>
      </c>
      <c r="EG14" s="33">
        <f t="shared" ca="1" si="36"/>
        <v>0.8</v>
      </c>
      <c r="EH14" s="33">
        <f t="shared" ca="1" si="37"/>
        <v>0.97559357817738346</v>
      </c>
      <c r="EI14" s="33">
        <f t="shared" ca="1" si="38"/>
        <v>0.97559357817738346</v>
      </c>
      <c r="EJ14" s="33">
        <f t="shared" ca="1" si="39"/>
        <v>0.97559357817738346</v>
      </c>
      <c r="EK14" s="33">
        <f t="shared" ca="1" si="40"/>
        <v>0.97559357817738346</v>
      </c>
      <c r="EL14" s="33">
        <f t="shared" ca="1" si="41"/>
        <v>0.97559357817738346</v>
      </c>
      <c r="EM14" s="33">
        <f t="shared" ca="1" si="42"/>
        <v>0.97559357817738346</v>
      </c>
      <c r="EN14" s="33">
        <f t="shared" ca="1" si="43"/>
        <v>0.97559357817738346</v>
      </c>
      <c r="EO14" s="33">
        <f t="shared" ca="1" si="44"/>
        <v>0.97559357817738346</v>
      </c>
      <c r="EP14" s="33">
        <f t="shared" ca="1" si="45"/>
        <v>0.97559357817738346</v>
      </c>
      <c r="EQ14" s="33">
        <f t="shared" ca="1" si="46"/>
        <v>0.97559357817738346</v>
      </c>
      <c r="ER14" s="33">
        <f t="shared" ca="1" si="47"/>
        <v>0.97559357817738346</v>
      </c>
    </row>
    <row r="15" spans="1:152">
      <c r="A15">
        <v>2</v>
      </c>
      <c r="B15" t="str">
        <f>VLOOKUP(F15,'TRA balance'!$BA$5:$BB$14,2,FALSE)</f>
        <v>TRADST</v>
      </c>
      <c r="C15" s="6" t="str">
        <f t="shared" si="48"/>
        <v>TR</v>
      </c>
      <c r="D15" s="7" t="s">
        <v>16</v>
      </c>
      <c r="E15" s="18" t="s">
        <v>75</v>
      </c>
      <c r="F15" s="8" t="str">
        <f t="shared" si="55"/>
        <v>Diesel</v>
      </c>
      <c r="G15" s="6" t="s">
        <v>76</v>
      </c>
      <c r="H15" s="9">
        <f ca="1">OFFSET(TIAM15_assumptions!$G15,0,MATCH(VLOOKUP(Assumptions!H$2,TIAM15_assumptions!$Y$3:$Z$87,2,FALSE),TIAM15_assumptions!$H$2:$V$2,0))</f>
        <v>0.1</v>
      </c>
      <c r="I15" s="9">
        <f ca="1">OFFSET(TIAM15_assumptions!$G15,0,MATCH(VLOOKUP(Assumptions!I$2,TIAM15_assumptions!$Y$3:$Z$87,2,FALSE),TIAM15_assumptions!$H$2:$V$2,0))</f>
        <v>0.1</v>
      </c>
      <c r="J15" s="9">
        <f ca="1">OFFSET(TIAM15_assumptions!$G15,0,MATCH(VLOOKUP(Assumptions!J$2,TIAM15_assumptions!$Y$3:$Z$87,2,FALSE),TIAM15_assumptions!$H$2:$V$2,0))</f>
        <v>0.3</v>
      </c>
      <c r="K15" s="9">
        <f ca="1">OFFSET(TIAM15_assumptions!$G15,0,MATCH(VLOOKUP(Assumptions!K$2,TIAM15_assumptions!$Y$3:$Z$87,2,FALSE),TIAM15_assumptions!$H$2:$V$2,0))</f>
        <v>0.3</v>
      </c>
      <c r="L15" s="9">
        <f ca="1">OFFSET(TIAM15_assumptions!$G15,0,MATCH(VLOOKUP(Assumptions!L$2,TIAM15_assumptions!$Y$3:$Z$87,2,FALSE),TIAM15_assumptions!$H$2:$V$2,0))</f>
        <v>0.2</v>
      </c>
      <c r="M15" s="9">
        <f ca="1">OFFSET(TIAM15_assumptions!$G15,0,MATCH(VLOOKUP(Assumptions!M$2,TIAM15_assumptions!$Y$3:$Z$87,2,FALSE),TIAM15_assumptions!$H$2:$V$2,0))</f>
        <v>0.3</v>
      </c>
      <c r="N15" s="9">
        <f ca="1">OFFSET(TIAM15_assumptions!$G15,0,MATCH(VLOOKUP(Assumptions!N$2,TIAM15_assumptions!$Y$3:$Z$87,2,FALSE),TIAM15_assumptions!$H$2:$V$2,0))</f>
        <v>0.3</v>
      </c>
      <c r="O15" s="9">
        <f ca="1">OFFSET(TIAM15_assumptions!$G15,0,MATCH(VLOOKUP(Assumptions!O$2,TIAM15_assumptions!$Y$3:$Z$87,2,FALSE),TIAM15_assumptions!$H$2:$V$2,0))</f>
        <v>0.2</v>
      </c>
      <c r="P15" s="9">
        <f ca="1">OFFSET(TIAM15_assumptions!$G15,0,MATCH(VLOOKUP(Assumptions!P$2,TIAM15_assumptions!$Y$3:$Z$87,2,FALSE),TIAM15_assumptions!$H$2:$V$2,0))</f>
        <v>0.25</v>
      </c>
      <c r="Q15" s="9">
        <f ca="1">OFFSET(TIAM15_assumptions!$G15,0,MATCH(VLOOKUP(Assumptions!Q$2,TIAM15_assumptions!$Y$3:$Z$87,2,FALSE),TIAM15_assumptions!$H$2:$V$2,0))</f>
        <v>0.25</v>
      </c>
      <c r="R15" s="9">
        <f ca="1">OFFSET(TIAM15_assumptions!$G15,0,MATCH(VLOOKUP(Assumptions!R$2,TIAM15_assumptions!$Y$3:$Z$87,2,FALSE),TIAM15_assumptions!$H$2:$V$2,0))</f>
        <v>0.3</v>
      </c>
      <c r="S15" s="9">
        <f ca="1">OFFSET(TIAM15_assumptions!$G15,0,MATCH(VLOOKUP(Assumptions!S$2,TIAM15_assumptions!$Y$3:$Z$87,2,FALSE),TIAM15_assumptions!$H$2:$V$2,0))</f>
        <v>0.3</v>
      </c>
      <c r="T15" s="9">
        <f ca="1">OFFSET(TIAM15_assumptions!$G15,0,MATCH(VLOOKUP(Assumptions!T$2,TIAM15_assumptions!$Y$3:$Z$87,2,FALSE),TIAM15_assumptions!$H$2:$V$2,0))</f>
        <v>0.3</v>
      </c>
      <c r="U15" s="9">
        <f ca="1">OFFSET(TIAM15_assumptions!$G15,0,MATCH(VLOOKUP(Assumptions!U$2,TIAM15_assumptions!$Y$3:$Z$87,2,FALSE),TIAM15_assumptions!$H$2:$V$2,0))</f>
        <v>0.25</v>
      </c>
      <c r="V15" s="9">
        <f ca="1">OFFSET(TIAM15_assumptions!$G15,0,MATCH(VLOOKUP(Assumptions!V$2,TIAM15_assumptions!$Y$3:$Z$87,2,FALSE),TIAM15_assumptions!$H$2:$V$2,0))</f>
        <v>0.3</v>
      </c>
      <c r="W15" s="9">
        <f ca="1">OFFSET(TIAM15_assumptions!$G15,0,MATCH(VLOOKUP(Assumptions!W$2,TIAM15_assumptions!$Y$3:$Z$87,2,FALSE),TIAM15_assumptions!$H$2:$V$2,0))</f>
        <v>0.2</v>
      </c>
      <c r="X15" s="9">
        <f ca="1">OFFSET(TIAM15_assumptions!$G15,0,MATCH(VLOOKUP(Assumptions!X$2,TIAM15_assumptions!$Y$3:$Z$87,2,FALSE),TIAM15_assumptions!$H$2:$V$2,0))</f>
        <v>0.3</v>
      </c>
      <c r="Y15" s="9">
        <f ca="1">OFFSET(TIAM15_assumptions!$G15,0,MATCH(VLOOKUP(Assumptions!Y$2,TIAM15_assumptions!$Y$3:$Z$87,2,FALSE),TIAM15_assumptions!$H$2:$V$2,0))</f>
        <v>0.3</v>
      </c>
      <c r="Z15" s="9">
        <f ca="1">OFFSET(TIAM15_assumptions!$G15,0,MATCH(VLOOKUP(Assumptions!Z$2,TIAM15_assumptions!$Y$3:$Z$87,2,FALSE),TIAM15_assumptions!$H$2:$V$2,0))</f>
        <v>0.3</v>
      </c>
      <c r="AA15" s="9">
        <f ca="1">OFFSET(TIAM15_assumptions!$G15,0,MATCH(VLOOKUP(Assumptions!AA$2,TIAM15_assumptions!$Y$3:$Z$87,2,FALSE),TIAM15_assumptions!$H$2:$V$2,0))</f>
        <v>0.3</v>
      </c>
      <c r="AB15" s="9">
        <f ca="1">OFFSET(TIAM15_assumptions!$G15,0,MATCH(VLOOKUP(Assumptions!AB$2,TIAM15_assumptions!$Y$3:$Z$87,2,FALSE),TIAM15_assumptions!$H$2:$V$2,0))</f>
        <v>0.25</v>
      </c>
      <c r="AC15" s="9">
        <f ca="1">OFFSET(TIAM15_assumptions!$G15,0,MATCH(VLOOKUP(Assumptions!AC$2,TIAM15_assumptions!$Y$3:$Z$87,2,FALSE),TIAM15_assumptions!$H$2:$V$2,0))</f>
        <v>0.11</v>
      </c>
      <c r="AD15" s="9">
        <f ca="1">OFFSET(TIAM15_assumptions!$G15,0,MATCH(VLOOKUP(Assumptions!AD$2,TIAM15_assumptions!$Y$3:$Z$87,2,FALSE),TIAM15_assumptions!$H$2:$V$2,0))</f>
        <v>0.3</v>
      </c>
      <c r="AE15" s="9">
        <f ca="1">OFFSET(TIAM15_assumptions!$G15,0,MATCH(VLOOKUP(Assumptions!AE$2,TIAM15_assumptions!$Y$3:$Z$87,2,FALSE),TIAM15_assumptions!$H$2:$V$2,0))</f>
        <v>0.25</v>
      </c>
      <c r="AF15" s="9">
        <f ca="1">OFFSET(TIAM15_assumptions!$G15,0,MATCH(VLOOKUP(Assumptions!AF$2,TIAM15_assumptions!$Y$3:$Z$87,2,FALSE),TIAM15_assumptions!$H$2:$V$2,0))</f>
        <v>0.25</v>
      </c>
      <c r="AG15" s="9">
        <f ca="1">OFFSET(TIAM15_assumptions!$G15,0,MATCH(VLOOKUP(Assumptions!AG$2,TIAM15_assumptions!$Y$3:$Z$87,2,FALSE),TIAM15_assumptions!$H$2:$V$2,0))</f>
        <v>0.2</v>
      </c>
      <c r="AH15" s="9">
        <f ca="1">OFFSET(TIAM15_assumptions!$G15,0,MATCH(VLOOKUP(Assumptions!AH$2,TIAM15_assumptions!$Y$3:$Z$87,2,FALSE),TIAM15_assumptions!$H$2:$V$2,0))</f>
        <v>0.25</v>
      </c>
      <c r="AI15" s="9">
        <f ca="1">OFFSET(TIAM15_assumptions!$G15,0,MATCH(VLOOKUP(Assumptions!AI$2,TIAM15_assumptions!$Y$3:$Z$87,2,FALSE),TIAM15_assumptions!$H$2:$V$2,0))</f>
        <v>0.1</v>
      </c>
      <c r="AJ15" s="9">
        <f ca="1">OFFSET(TIAM15_assumptions!$G15,0,MATCH(VLOOKUP(Assumptions!AJ$2,TIAM15_assumptions!$Y$3:$Z$87,2,FALSE),TIAM15_assumptions!$H$2:$V$2,0))</f>
        <v>0.3</v>
      </c>
      <c r="AK15" s="9">
        <f ca="1">OFFSET(TIAM15_assumptions!$G15,0,MATCH(VLOOKUP(Assumptions!AK$2,TIAM15_assumptions!$Y$3:$Z$87,2,FALSE),TIAM15_assumptions!$H$2:$V$2,0))</f>
        <v>0.3</v>
      </c>
      <c r="AL15" s="9">
        <f ca="1">OFFSET(TIAM15_assumptions!$G15,0,MATCH(VLOOKUP(Assumptions!AL$2,TIAM15_assumptions!$Y$3:$Z$87,2,FALSE),TIAM15_assumptions!$H$2:$V$2,0))</f>
        <v>0.3</v>
      </c>
      <c r="AM15" s="9">
        <f ca="1">OFFSET(TIAM15_assumptions!$G15,0,MATCH(VLOOKUP(Assumptions!AM$2,TIAM15_assumptions!$Y$3:$Z$87,2,FALSE),TIAM15_assumptions!$H$2:$V$2,0))</f>
        <v>0.25</v>
      </c>
      <c r="AN15" s="9">
        <f ca="1">OFFSET(TIAM15_assumptions!$G15,0,MATCH(VLOOKUP(Assumptions!AN$2,TIAM15_assumptions!$Y$3:$Z$87,2,FALSE),TIAM15_assumptions!$H$2:$V$2,0))</f>
        <v>0.3</v>
      </c>
      <c r="AO15" s="9">
        <f ca="1">OFFSET(TIAM15_assumptions!$G15,0,MATCH(VLOOKUP(Assumptions!AO$2,TIAM15_assumptions!$Y$3:$Z$87,2,FALSE),TIAM15_assumptions!$H$2:$V$2,0))</f>
        <v>0.2</v>
      </c>
      <c r="AP15" s="9">
        <f ca="1">OFFSET(TIAM15_assumptions!$G15,0,MATCH(VLOOKUP(Assumptions!AP$2,TIAM15_assumptions!$Y$3:$Z$87,2,FALSE),TIAM15_assumptions!$H$2:$V$2,0))</f>
        <v>0.25</v>
      </c>
      <c r="AQ15" s="9">
        <f ca="1">OFFSET(TIAM15_assumptions!$G15,0,MATCH(VLOOKUP(Assumptions!AQ$2,TIAM15_assumptions!$Y$3:$Z$87,2,FALSE),TIAM15_assumptions!$H$2:$V$2,0))</f>
        <v>0.11</v>
      </c>
      <c r="AR15" s="9">
        <f ca="1">OFFSET(TIAM15_assumptions!$G15,0,MATCH(VLOOKUP(Assumptions!AR$2,TIAM15_assumptions!$Y$3:$Z$87,2,FALSE),TIAM15_assumptions!$H$2:$V$2,0))</f>
        <v>0.11</v>
      </c>
      <c r="AS15" s="9">
        <f ca="1">OFFSET(TIAM15_assumptions!$G15,0,MATCH(VLOOKUP(Assumptions!AS$2,TIAM15_assumptions!$Y$3:$Z$87,2,FALSE),TIAM15_assumptions!$H$2:$V$2,0))</f>
        <v>0.11</v>
      </c>
      <c r="AT15" s="9">
        <f ca="1">OFFSET(TIAM15_assumptions!$G15,0,MATCH(VLOOKUP(Assumptions!AT$2,TIAM15_assumptions!$Y$3:$Z$87,2,FALSE),TIAM15_assumptions!$H$2:$V$2,0))</f>
        <v>0.11</v>
      </c>
      <c r="AU15" s="9">
        <f ca="1">OFFSET(TIAM15_assumptions!$G15,0,MATCH(VLOOKUP(Assumptions!AU$2,TIAM15_assumptions!$Y$3:$Z$87,2,FALSE),TIAM15_assumptions!$H$2:$V$2,0))</f>
        <v>0.11</v>
      </c>
      <c r="AV15" s="9">
        <f ca="1">OFFSET(TIAM15_assumptions!$G15,0,MATCH(VLOOKUP(Assumptions!AV$2,TIAM15_assumptions!$Y$3:$Z$87,2,FALSE),TIAM15_assumptions!$H$2:$V$2,0))</f>
        <v>0.11</v>
      </c>
      <c r="AW15" s="9">
        <f ca="1">OFFSET(TIAM15_assumptions!$G15,0,MATCH(VLOOKUP(Assumptions!AW$2,TIAM15_assumptions!$Y$3:$Z$87,2,FALSE),TIAM15_assumptions!$H$2:$V$2,0))</f>
        <v>0.11</v>
      </c>
      <c r="AX15" s="9">
        <f ca="1">OFFSET(TIAM15_assumptions!$G15,0,MATCH(VLOOKUP(Assumptions!AX$2,TIAM15_assumptions!$Y$3:$Z$87,2,FALSE),TIAM15_assumptions!$H$2:$V$2,0))</f>
        <v>0.11</v>
      </c>
      <c r="AY15" s="9">
        <f ca="1">OFFSET(TIAM15_assumptions!$G15,0,MATCH(VLOOKUP(Assumptions!AY$2,TIAM15_assumptions!$Y$3:$Z$87,2,FALSE),TIAM15_assumptions!$H$2:$V$2,0))</f>
        <v>0.11</v>
      </c>
      <c r="AZ15" s="9">
        <f ca="1">OFFSET(TIAM15_assumptions!$G15,0,MATCH(VLOOKUP(Assumptions!AZ$2,TIAM15_assumptions!$Y$3:$Z$87,2,FALSE),TIAM15_assumptions!$H$2:$V$2,0))</f>
        <v>0.11</v>
      </c>
      <c r="BA15" s="9">
        <f ca="1">OFFSET(TIAM15_assumptions!$G15,0,MATCH(VLOOKUP(Assumptions!BA$2,TIAM15_assumptions!$Y$3:$Z$87,2,FALSE),TIAM15_assumptions!$H$2:$V$2,0))</f>
        <v>0.11</v>
      </c>
      <c r="BD15" s="34">
        <f ca="1">IFERROR(SUMIFS('TRA balance'!E$5:E$40,'TRA balance'!$C$5:$C$40,Assumptions!$C15,'TRA balance'!$D$5:$D$40,Assumptions!$B15)*CY15*H15,"")</f>
        <v>100.08184937454</v>
      </c>
      <c r="BE15" s="34">
        <f ca="1">IFERROR(SUMIFS('TRA balance'!F$5:F$40,'TRA balance'!$C$5:$C$40,Assumptions!$C15,'TRA balance'!$D$5:$D$40,Assumptions!$B15)*CZ15*I15,"")</f>
        <v>88.940485810944011</v>
      </c>
      <c r="BF15" s="34">
        <f ca="1">IFERROR(SUMIFS('TRA balance'!G$5:G$40,'TRA balance'!$C$5:$C$40,Assumptions!$C15,'TRA balance'!$D$5:$D$40,Assumptions!$B15)*DA15*J15,"")</f>
        <v>169.23754585175757</v>
      </c>
      <c r="BG15" s="34">
        <f ca="1">IFERROR(SUMIFS('TRA balance'!H$5:H$40,'TRA balance'!$C$5:$C$40,Assumptions!$C15,'TRA balance'!$D$5:$D$40,Assumptions!$B15)*DB15*K15,"")</f>
        <v>62.076130464671991</v>
      </c>
      <c r="BH15" s="34">
        <f ca="1">IFERROR(SUMIFS('TRA balance'!I$5:I$40,'TRA balance'!$C$5:$C$40,Assumptions!$C15,'TRA balance'!$D$5:$D$40,Assumptions!$B15)*DC15*L15,"")</f>
        <v>23.041310433660001</v>
      </c>
      <c r="BI15" s="34">
        <f ca="1">IFERROR(SUMIFS('TRA balance'!J$5:J$40,'TRA balance'!$C$5:$C$40,Assumptions!$C15,'TRA balance'!$D$5:$D$40,Assumptions!$B15)*DD15*M15,"")</f>
        <v>131.57572360982402</v>
      </c>
      <c r="BJ15" s="34">
        <f ca="1">IFERROR(SUMIFS('TRA balance'!K$5:K$40,'TRA balance'!$C$5:$C$40,Assumptions!$C15,'TRA balance'!$D$5:$D$40,Assumptions!$B15)*DE15*N15,"")</f>
        <v>400.6416642829775</v>
      </c>
      <c r="BK15" s="34">
        <f ca="1">IFERROR(SUMIFS('TRA balance'!L$5:L$40,'TRA balance'!$C$5:$C$40,Assumptions!$C15,'TRA balance'!$D$5:$D$40,Assumptions!$B15)*DF15*O15,"")</f>
        <v>698.646890301192</v>
      </c>
      <c r="BL15" s="34">
        <f ca="1">IFERROR(SUMIFS('TRA balance'!M$5:M$40,'TRA balance'!$C$5:$C$40,Assumptions!$C15,'TRA balance'!$D$5:$D$40,Assumptions!$B15)*DG15*P15,"")</f>
        <v>24.0988063068</v>
      </c>
      <c r="BM15" s="34">
        <f ca="1">IFERROR(SUMIFS('TRA balance'!N$5:N$40,'TRA balance'!$C$5:$C$40,Assumptions!$C15,'TRA balance'!$D$5:$D$40,Assumptions!$B15)*DH15*Q15,"")</f>
        <v>51.639719895360003</v>
      </c>
      <c r="BN15" s="34">
        <f ca="1">IFERROR(SUMIFS('TRA balance'!O$5:O$40,'TRA balance'!$C$5:$C$40,Assumptions!$C15,'TRA balance'!$D$5:$D$40,Assumptions!$B15)*DI15*R15,"")</f>
        <v>308.73602972131204</v>
      </c>
      <c r="BO15" s="34">
        <f ca="1">IFERROR(SUMIFS('TRA balance'!P$5:P$40,'TRA balance'!$C$5:$C$40,Assumptions!$C15,'TRA balance'!$D$5:$D$40,Assumptions!$B15)*DJ15*S15,"")</f>
        <v>333.4250875752</v>
      </c>
      <c r="BP15" s="34">
        <f ca="1">IFERROR(SUMIFS('TRA balance'!Q$5:Q$40,'TRA balance'!$C$5:$C$40,Assumptions!$C15,'TRA balance'!$D$5:$D$40,Assumptions!$B15)*DK15*T15,"")</f>
        <v>26.963461926432</v>
      </c>
      <c r="BQ15" s="34">
        <f ca="1">IFERROR(SUMIFS('TRA balance'!R$5:R$40,'TRA balance'!$C$5:$C$40,Assumptions!$C15,'TRA balance'!$D$5:$D$40,Assumptions!$B15)*DL15*U15,"")</f>
        <v>80.568695010960013</v>
      </c>
      <c r="BR15" s="34">
        <f ca="1">IFERROR(SUMIFS('TRA balance'!S$5:S$40,'TRA balance'!$C$5:$C$40,Assumptions!$C15,'TRA balance'!$D$5:$D$40,Assumptions!$B15)*DM15*V15,"")</f>
        <v>1.849102899552</v>
      </c>
      <c r="BS15" s="34">
        <f ca="1">IFERROR(SUMIFS('TRA balance'!T$5:T$40,'TRA balance'!$C$5:$C$40,Assumptions!$C15,'TRA balance'!$D$5:$D$40,Assumptions!$B15)*DN15*W15,"")</f>
        <v>365.04883810494005</v>
      </c>
      <c r="BT15" s="34">
        <f ca="1">IFERROR(SUMIFS('TRA balance'!U$5:U$40,'TRA balance'!$C$5:$C$40,Assumptions!$C15,'TRA balance'!$D$5:$D$40,Assumptions!$B15)*DO15*X15,"")</f>
        <v>29.602712459519999</v>
      </c>
      <c r="BU15" s="34">
        <f ca="1">IFERROR(SUMIFS('TRA balance'!V$5:V$40,'TRA balance'!$C$5:$C$40,Assumptions!$C15,'TRA balance'!$D$5:$D$40,Assumptions!$B15)*DP15*Y15,"")</f>
        <v>216.01079595043203</v>
      </c>
      <c r="BV15" s="34">
        <f ca="1">IFERROR(SUMIFS('TRA balance'!W$5:W$40,'TRA balance'!$C$5:$C$40,Assumptions!$C15,'TRA balance'!$D$5:$D$40,Assumptions!$B15)*DQ15*Z15,"")</f>
        <v>260.28223039542598</v>
      </c>
      <c r="BW15" s="34">
        <f ca="1">IFERROR(SUMIFS('TRA balance'!X$5:X$40,'TRA balance'!$C$5:$C$40,Assumptions!$C15,'TRA balance'!$D$5:$D$40,Assumptions!$B15)*DR15*AA15,"")</f>
        <v>411.34865457299037</v>
      </c>
      <c r="BX15" s="34">
        <f ca="1">IFERROR(SUMIFS('TRA balance'!Y$5:Y$40,'TRA balance'!$C$5:$C$40,Assumptions!$C15,'TRA balance'!$D$5:$D$40,Assumptions!$B15)*DS15*AB15,"")</f>
        <v>336.99733378937998</v>
      </c>
      <c r="BY15" s="34">
        <f ca="1">IFERROR(SUMIFS('TRA balance'!Z$5:Z$40,'TRA balance'!$C$5:$C$40,Assumptions!$C15,'TRA balance'!$D$5:$D$40,Assumptions!$B15)*DT15*AC15,"")</f>
        <v>676.10203062553126</v>
      </c>
      <c r="BZ15" s="34">
        <f ca="1">IFERROR(SUMIFS('TRA balance'!AA$5:AA$40,'TRA balance'!$C$5:$C$40,Assumptions!$C15,'TRA balance'!$D$5:$D$40,Assumptions!$B15)*DU15*AD15,"")</f>
        <v>21.264038745120001</v>
      </c>
      <c r="CA15" s="34">
        <f ca="1">IFERROR(SUMIFS('TRA balance'!AB$5:AB$40,'TRA balance'!$C$5:$C$40,Assumptions!$C15,'TRA balance'!$D$5:$D$40,Assumptions!$B15)*DV15*AE15,"")</f>
        <v>118.55964284856</v>
      </c>
      <c r="CB15" s="34">
        <f ca="1">IFERROR(SUMIFS('TRA balance'!AC$5:AC$40,'TRA balance'!$C$5:$C$40,Assumptions!$C15,'TRA balance'!$D$5:$D$40,Assumptions!$B15)*DW15*AF15,"")</f>
        <v>923.53541687182803</v>
      </c>
      <c r="CC15" s="34">
        <f ca="1">IFERROR(SUMIFS('TRA balance'!AD$5:AD$40,'TRA balance'!$C$5:$C$40,Assumptions!$C15,'TRA balance'!$D$5:$D$40,Assumptions!$B15)*DX15*AG15,"")</f>
        <v>133.25261036256001</v>
      </c>
      <c r="CD15" s="34">
        <f ca="1">IFERROR(SUMIFS('TRA balance'!AE$5:AE$40,'TRA balance'!$C$5:$C$40,Assumptions!$C15,'TRA balance'!$D$5:$D$40,Assumptions!$B15)*DY15*AH15,"")</f>
        <v>191.6547129189</v>
      </c>
      <c r="CE15" s="34">
        <f ca="1">IFERROR(SUMIFS('TRA balance'!AF$5:AF$40,'TRA balance'!$C$5:$C$40,Assumptions!$C15,'TRA balance'!$D$5:$D$40,Assumptions!$B15)*DZ15*AI15,"")</f>
        <v>31.241537180927999</v>
      </c>
      <c r="CF15" s="34">
        <f ca="1">IFERROR(SUMIFS('TRA balance'!AG$5:AG$40,'TRA balance'!$C$5:$C$40,Assumptions!$C15,'TRA balance'!$D$5:$D$40,Assumptions!$B15)*EA15*AJ15,"")</f>
        <v>257.80375241711999</v>
      </c>
      <c r="CG15" s="34">
        <f ca="1">IFERROR(SUMIFS('TRA balance'!AH$5:AH$40,'TRA balance'!$C$5:$C$40,Assumptions!$C15,'TRA balance'!$D$5:$D$40,Assumptions!$B15)*EB15*AK15,"")</f>
        <v>77.39109953740801</v>
      </c>
      <c r="CH15" s="34">
        <f ca="1">IFERROR(SUMIFS('TRA balance'!AI$5:AI$40,'TRA balance'!$C$5:$C$40,Assumptions!$C15,'TRA balance'!$D$5:$D$40,Assumptions!$B15)*EC15*AL15,"")</f>
        <v>27.315644489280004</v>
      </c>
      <c r="CI15" s="34">
        <f ca="1">IFERROR(SUMIFS('TRA balance'!AJ$5:AJ$40,'TRA balance'!$C$5:$C$40,Assumptions!$C15,'TRA balance'!$D$5:$D$40,Assumptions!$B15)*ED15*AM15,"")</f>
        <v>185.02884034857001</v>
      </c>
      <c r="CJ15" s="34">
        <f ca="1">IFERROR(SUMIFS('TRA balance'!AK$5:AK$40,'TRA balance'!$C$5:$C$40,Assumptions!$C15,'TRA balance'!$D$5:$D$40,Assumptions!$B15)*EE15*AN15,"")</f>
        <v>243.39346373894398</v>
      </c>
      <c r="CK15" s="34">
        <f ca="1">IFERROR(SUMIFS('TRA balance'!AL$5:AL$40,'TRA balance'!$C$5:$C$40,Assumptions!$C15,'TRA balance'!$D$5:$D$40,Assumptions!$B15)*EF15*AO15,"")</f>
        <v>34.540936421723998</v>
      </c>
      <c r="CL15" s="34">
        <f ca="1">IFERROR(SUMIFS('TRA balance'!AM$5:AM$40,'TRA balance'!$C$5:$C$40,Assumptions!$C15,'TRA balance'!$D$5:$D$40,Assumptions!$B15)*EG15*AP15,"")</f>
        <v>37.544119981199998</v>
      </c>
      <c r="CM15" s="34">
        <f ca="1">IFERROR(SUMIFS('TRA balance'!AN$5:AN$40,'TRA balance'!$C$5:$C$40,Assumptions!$C15,'TRA balance'!$D$5:$D$40,Assumptions!$B15)*EH15*AQ15,"")</f>
        <v>0</v>
      </c>
      <c r="CN15" s="34">
        <f ca="1">IFERROR(SUMIFS('TRA balance'!AO$5:AO$40,'TRA balance'!$C$5:$C$40,Assumptions!$C15,'TRA balance'!$D$5:$D$40,Assumptions!$B15)*EI15*AR15,"")</f>
        <v>0</v>
      </c>
      <c r="CO15" s="34">
        <f ca="1">IFERROR(SUMIFS('TRA balance'!AP$5:AP$40,'TRA balance'!$C$5:$C$40,Assumptions!$C15,'TRA balance'!$D$5:$D$40,Assumptions!$B15)*EJ15*AS15,"")</f>
        <v>0</v>
      </c>
      <c r="CP15" s="34">
        <f ca="1">IFERROR(SUMIFS('TRA balance'!AQ$5:AQ$40,'TRA balance'!$C$5:$C$40,Assumptions!$C15,'TRA balance'!$D$5:$D$40,Assumptions!$B15)*EK15*AT15,"")</f>
        <v>0</v>
      </c>
      <c r="CQ15" s="34">
        <f ca="1">IFERROR(SUMIFS('TRA balance'!AR$5:AR$40,'TRA balance'!$C$5:$C$40,Assumptions!$C15,'TRA balance'!$D$5:$D$40,Assumptions!$B15)*EL15*AU15,"")</f>
        <v>0</v>
      </c>
      <c r="CR15" s="34">
        <f ca="1">IFERROR(SUMIFS('TRA balance'!AS$5:AS$40,'TRA balance'!$C$5:$C$40,Assumptions!$C15,'TRA balance'!$D$5:$D$40,Assumptions!$B15)*EM15*AV15,"")</f>
        <v>0</v>
      </c>
      <c r="CS15" s="34">
        <f ca="1">IFERROR(SUMIFS('TRA balance'!AT$5:AT$40,'TRA balance'!$C$5:$C$40,Assumptions!$C15,'TRA balance'!$D$5:$D$40,Assumptions!$B15)*EN15*AW15,"")</f>
        <v>0</v>
      </c>
      <c r="CT15" s="34">
        <f ca="1">IFERROR(SUMIFS('TRA balance'!AU$5:AU$40,'TRA balance'!$C$5:$C$40,Assumptions!$C15,'TRA balance'!$D$5:$D$40,Assumptions!$B15)*EO15*AX15,"")</f>
        <v>0</v>
      </c>
      <c r="CU15" s="34">
        <f ca="1">IFERROR(SUMIFS('TRA balance'!AV$5:AV$40,'TRA balance'!$C$5:$C$40,Assumptions!$C15,'TRA balance'!$D$5:$D$40,Assumptions!$B15)*EP15*AY15,"")</f>
        <v>0</v>
      </c>
      <c r="CV15" s="34">
        <f ca="1">IFERROR(SUMIFS('TRA balance'!AW$5:AW$40,'TRA balance'!$C$5:$C$40,Assumptions!$C15,'TRA balance'!$D$5:$D$40,Assumptions!$B15)*EQ15*AZ15,"")</f>
        <v>0</v>
      </c>
      <c r="CW15" s="34">
        <f ca="1">IFERROR(SUMIFS('TRA balance'!AX$5:AX$40,'TRA balance'!$C$5:$C$40,Assumptions!$C15,'TRA balance'!$D$5:$D$40,Assumptions!$B15)*ER15*BA15,"")</f>
        <v>0</v>
      </c>
      <c r="CY15" s="33">
        <f t="shared" ca="1" si="2"/>
        <v>0.9</v>
      </c>
      <c r="CZ15" s="33">
        <f t="shared" ca="1" si="3"/>
        <v>0.9</v>
      </c>
      <c r="DA15" s="33">
        <f t="shared" ca="1" si="4"/>
        <v>0.98</v>
      </c>
      <c r="DB15" s="33">
        <f t="shared" ca="1" si="5"/>
        <v>0.8</v>
      </c>
      <c r="DC15" s="33">
        <f t="shared" ca="1" si="6"/>
        <v>0.95</v>
      </c>
      <c r="DD15" s="33">
        <f t="shared" ca="1" si="7"/>
        <v>0.8</v>
      </c>
      <c r="DE15" s="33">
        <f t="shared" ca="1" si="8"/>
        <v>0.92999999999999994</v>
      </c>
      <c r="DF15" s="33">
        <f t="shared" ca="1" si="9"/>
        <v>0.9</v>
      </c>
      <c r="DG15" s="33">
        <f t="shared" ca="1" si="10"/>
        <v>0.8</v>
      </c>
      <c r="DH15" s="33">
        <f t="shared" ca="1" si="11"/>
        <v>0.8</v>
      </c>
      <c r="DI15" s="33">
        <f t="shared" ca="1" si="12"/>
        <v>0.8</v>
      </c>
      <c r="DJ15" s="33">
        <f t="shared" ca="1" si="13"/>
        <v>0.8</v>
      </c>
      <c r="DK15" s="33">
        <f t="shared" ca="1" si="14"/>
        <v>0.8</v>
      </c>
      <c r="DL15" s="33">
        <f t="shared" ca="1" si="15"/>
        <v>0.8</v>
      </c>
      <c r="DM15" s="33">
        <f t="shared" ca="1" si="16"/>
        <v>0.8</v>
      </c>
      <c r="DN15" s="33">
        <f t="shared" ca="1" si="17"/>
        <v>0.75</v>
      </c>
      <c r="DO15" s="33">
        <f t="shared" ca="1" si="18"/>
        <v>0.8</v>
      </c>
      <c r="DP15" s="33">
        <f t="shared" ca="1" si="19"/>
        <v>0.8</v>
      </c>
      <c r="DQ15" s="33">
        <f t="shared" ca="1" si="20"/>
        <v>0.95</v>
      </c>
      <c r="DR15" s="33">
        <f t="shared" ca="1" si="21"/>
        <v>0.92999999999999994</v>
      </c>
      <c r="DS15" s="33">
        <f t="shared" ca="1" si="22"/>
        <v>0.9</v>
      </c>
      <c r="DT15" s="33">
        <f t="shared" ca="1" si="23"/>
        <v>0.97559357817738346</v>
      </c>
      <c r="DU15" s="33">
        <f t="shared" ca="1" si="24"/>
        <v>0.8</v>
      </c>
      <c r="DV15" s="33">
        <f t="shared" ca="1" si="25"/>
        <v>0.8</v>
      </c>
      <c r="DW15" s="33">
        <f t="shared" ca="1" si="26"/>
        <v>0.92</v>
      </c>
      <c r="DX15" s="33">
        <f t="shared" ca="1" si="27"/>
        <v>0.95</v>
      </c>
      <c r="DY15" s="33">
        <f t="shared" ca="1" si="28"/>
        <v>0.9</v>
      </c>
      <c r="DZ15" s="33">
        <f t="shared" ca="1" si="29"/>
        <v>0.9</v>
      </c>
      <c r="EA15" s="33">
        <f t="shared" ca="1" si="30"/>
        <v>0.8</v>
      </c>
      <c r="EB15" s="33">
        <f t="shared" ca="1" si="31"/>
        <v>0.8</v>
      </c>
      <c r="EC15" s="33">
        <f t="shared" ca="1" si="32"/>
        <v>0.8</v>
      </c>
      <c r="ED15" s="33">
        <f t="shared" ca="1" si="33"/>
        <v>0.9</v>
      </c>
      <c r="EE15" s="33">
        <f t="shared" ca="1" si="34"/>
        <v>0.8</v>
      </c>
      <c r="EF15" s="33">
        <f t="shared" ca="1" si="35"/>
        <v>0.95</v>
      </c>
      <c r="EG15" s="33">
        <f t="shared" ca="1" si="36"/>
        <v>0.8</v>
      </c>
      <c r="EH15" s="33">
        <f t="shared" ca="1" si="37"/>
        <v>0.97559357817738346</v>
      </c>
      <c r="EI15" s="33">
        <f t="shared" ca="1" si="38"/>
        <v>0.97559357817738346</v>
      </c>
      <c r="EJ15" s="33">
        <f t="shared" ca="1" si="39"/>
        <v>0.97559357817738346</v>
      </c>
      <c r="EK15" s="33">
        <f t="shared" ca="1" si="40"/>
        <v>0.97559357817738346</v>
      </c>
      <c r="EL15" s="33">
        <f t="shared" ca="1" si="41"/>
        <v>0.97559357817738346</v>
      </c>
      <c r="EM15" s="33">
        <f t="shared" ca="1" si="42"/>
        <v>0.97559357817738346</v>
      </c>
      <c r="EN15" s="33">
        <f t="shared" ca="1" si="43"/>
        <v>0.97559357817738346</v>
      </c>
      <c r="EO15" s="33">
        <f t="shared" ca="1" si="44"/>
        <v>0.97559357817738346</v>
      </c>
      <c r="EP15" s="33">
        <f t="shared" ca="1" si="45"/>
        <v>0.97559357817738346</v>
      </c>
      <c r="EQ15" s="33">
        <f t="shared" ca="1" si="46"/>
        <v>0.97559357817738346</v>
      </c>
      <c r="ER15" s="33">
        <f t="shared" ca="1" si="47"/>
        <v>0.97559357817738346</v>
      </c>
    </row>
    <row r="16" spans="1:152">
      <c r="A16">
        <v>2</v>
      </c>
      <c r="B16" t="str">
        <f>VLOOKUP(F16,'TRA balance'!$BA$5:$BB$14,2,FALSE)</f>
        <v>TRADST</v>
      </c>
      <c r="C16" s="6" t="str">
        <f t="shared" si="48"/>
        <v>TR</v>
      </c>
      <c r="D16" s="7" t="s">
        <v>16</v>
      </c>
      <c r="E16" s="18" t="s">
        <v>77</v>
      </c>
      <c r="F16" s="8" t="str">
        <f t="shared" si="55"/>
        <v>Diesel</v>
      </c>
      <c r="G16" s="6" t="s">
        <v>78</v>
      </c>
      <c r="H16" s="9">
        <f ca="1">OFFSET(TIAM15_assumptions!$G16,0,MATCH(VLOOKUP(Assumptions!H$2,TIAM15_assumptions!$Y$3:$Z$87,2,FALSE),TIAM15_assumptions!$H$2:$V$2,0))</f>
        <v>0.2</v>
      </c>
      <c r="I16" s="9">
        <f ca="1">OFFSET(TIAM15_assumptions!$G16,0,MATCH(VLOOKUP(Assumptions!I$2,TIAM15_assumptions!$Y$3:$Z$87,2,FALSE),TIAM15_assumptions!$H$2:$V$2,0))</f>
        <v>0.2</v>
      </c>
      <c r="J16" s="9">
        <f ca="1">OFFSET(TIAM15_assumptions!$G16,0,MATCH(VLOOKUP(Assumptions!J$2,TIAM15_assumptions!$Y$3:$Z$87,2,FALSE),TIAM15_assumptions!$H$2:$V$2,0))</f>
        <v>0.2</v>
      </c>
      <c r="K16" s="9">
        <f ca="1">OFFSET(TIAM15_assumptions!$G16,0,MATCH(VLOOKUP(Assumptions!K$2,TIAM15_assumptions!$Y$3:$Z$87,2,FALSE),TIAM15_assumptions!$H$2:$V$2,0))</f>
        <v>0.15</v>
      </c>
      <c r="L16" s="9">
        <f ca="1">OFFSET(TIAM15_assumptions!$G16,0,MATCH(VLOOKUP(Assumptions!L$2,TIAM15_assumptions!$Y$3:$Z$87,2,FALSE),TIAM15_assumptions!$H$2:$V$2,0))</f>
        <v>0.1</v>
      </c>
      <c r="M16" s="9">
        <f ca="1">OFFSET(TIAM15_assumptions!$G16,0,MATCH(VLOOKUP(Assumptions!M$2,TIAM15_assumptions!$Y$3:$Z$87,2,FALSE),TIAM15_assumptions!$H$2:$V$2,0))</f>
        <v>0.15</v>
      </c>
      <c r="N16" s="9">
        <f ca="1">OFFSET(TIAM15_assumptions!$G16,0,MATCH(VLOOKUP(Assumptions!N$2,TIAM15_assumptions!$Y$3:$Z$87,2,FALSE),TIAM15_assumptions!$H$2:$V$2,0))</f>
        <v>0.1</v>
      </c>
      <c r="O16" s="9">
        <f ca="1">OFFSET(TIAM15_assumptions!$G16,0,MATCH(VLOOKUP(Assumptions!O$2,TIAM15_assumptions!$Y$3:$Z$87,2,FALSE),TIAM15_assumptions!$H$2:$V$2,0))</f>
        <v>0.1</v>
      </c>
      <c r="P16" s="9">
        <f ca="1">OFFSET(TIAM15_assumptions!$G16,0,MATCH(VLOOKUP(Assumptions!P$2,TIAM15_assumptions!$Y$3:$Z$87,2,FALSE),TIAM15_assumptions!$H$2:$V$2,0))</f>
        <v>0.15</v>
      </c>
      <c r="Q16" s="9">
        <f ca="1">OFFSET(TIAM15_assumptions!$G16,0,MATCH(VLOOKUP(Assumptions!Q$2,TIAM15_assumptions!$Y$3:$Z$87,2,FALSE),TIAM15_assumptions!$H$2:$V$2,0))</f>
        <v>0.15</v>
      </c>
      <c r="R16" s="9">
        <f ca="1">OFFSET(TIAM15_assumptions!$G16,0,MATCH(VLOOKUP(Assumptions!R$2,TIAM15_assumptions!$Y$3:$Z$87,2,FALSE),TIAM15_assumptions!$H$2:$V$2,0))</f>
        <v>0.15</v>
      </c>
      <c r="S16" s="9">
        <f ca="1">OFFSET(TIAM15_assumptions!$G16,0,MATCH(VLOOKUP(Assumptions!S$2,TIAM15_assumptions!$Y$3:$Z$87,2,FALSE),TIAM15_assumptions!$H$2:$V$2,0))</f>
        <v>0.15</v>
      </c>
      <c r="T16" s="9">
        <f ca="1">OFFSET(TIAM15_assumptions!$G16,0,MATCH(VLOOKUP(Assumptions!T$2,TIAM15_assumptions!$Y$3:$Z$87,2,FALSE),TIAM15_assumptions!$H$2:$V$2,0))</f>
        <v>0.15</v>
      </c>
      <c r="U16" s="9">
        <f ca="1">OFFSET(TIAM15_assumptions!$G16,0,MATCH(VLOOKUP(Assumptions!U$2,TIAM15_assumptions!$Y$3:$Z$87,2,FALSE),TIAM15_assumptions!$H$2:$V$2,0))</f>
        <v>0.15</v>
      </c>
      <c r="V16" s="9">
        <f ca="1">OFFSET(TIAM15_assumptions!$G16,0,MATCH(VLOOKUP(Assumptions!V$2,TIAM15_assumptions!$Y$3:$Z$87,2,FALSE),TIAM15_assumptions!$H$2:$V$2,0))</f>
        <v>0.15</v>
      </c>
      <c r="W16" s="9">
        <f ca="1">OFFSET(TIAM15_assumptions!$G16,0,MATCH(VLOOKUP(Assumptions!W$2,TIAM15_assumptions!$Y$3:$Z$87,2,FALSE),TIAM15_assumptions!$H$2:$V$2,0))</f>
        <v>0.25</v>
      </c>
      <c r="X16" s="9">
        <f ca="1">OFFSET(TIAM15_assumptions!$G16,0,MATCH(VLOOKUP(Assumptions!X$2,TIAM15_assumptions!$Y$3:$Z$87,2,FALSE),TIAM15_assumptions!$H$2:$V$2,0))</f>
        <v>0.15</v>
      </c>
      <c r="Y16" s="9">
        <f ca="1">OFFSET(TIAM15_assumptions!$G16,0,MATCH(VLOOKUP(Assumptions!Y$2,TIAM15_assumptions!$Y$3:$Z$87,2,FALSE),TIAM15_assumptions!$H$2:$V$2,0))</f>
        <v>0.15</v>
      </c>
      <c r="Z16" s="9">
        <f ca="1">OFFSET(TIAM15_assumptions!$G16,0,MATCH(VLOOKUP(Assumptions!Z$2,TIAM15_assumptions!$Y$3:$Z$87,2,FALSE),TIAM15_assumptions!$H$2:$V$2,0))</f>
        <v>0.15</v>
      </c>
      <c r="AA16" s="9">
        <f ca="1">OFFSET(TIAM15_assumptions!$G16,0,MATCH(VLOOKUP(Assumptions!AA$2,TIAM15_assumptions!$Y$3:$Z$87,2,FALSE),TIAM15_assumptions!$H$2:$V$2,0))</f>
        <v>0.1</v>
      </c>
      <c r="AB16" s="9">
        <f ca="1">OFFSET(TIAM15_assumptions!$G16,0,MATCH(VLOOKUP(Assumptions!AB$2,TIAM15_assumptions!$Y$3:$Z$87,2,FALSE),TIAM15_assumptions!$H$2:$V$2,0))</f>
        <v>0.15</v>
      </c>
      <c r="AC16" s="9">
        <f ca="1">OFFSET(TIAM15_assumptions!$G16,0,MATCH(VLOOKUP(Assumptions!AC$2,TIAM15_assumptions!$Y$3:$Z$87,2,FALSE),TIAM15_assumptions!$H$2:$V$2,0))</f>
        <v>0.05</v>
      </c>
      <c r="AD16" s="9">
        <f ca="1">OFFSET(TIAM15_assumptions!$G16,0,MATCH(VLOOKUP(Assumptions!AD$2,TIAM15_assumptions!$Y$3:$Z$87,2,FALSE),TIAM15_assumptions!$H$2:$V$2,0))</f>
        <v>0.15</v>
      </c>
      <c r="AE16" s="9">
        <f ca="1">OFFSET(TIAM15_assumptions!$G16,0,MATCH(VLOOKUP(Assumptions!AE$2,TIAM15_assumptions!$Y$3:$Z$87,2,FALSE),TIAM15_assumptions!$H$2:$V$2,0))</f>
        <v>0.15</v>
      </c>
      <c r="AF16" s="9">
        <f ca="1">OFFSET(TIAM15_assumptions!$G16,0,MATCH(VLOOKUP(Assumptions!AF$2,TIAM15_assumptions!$Y$3:$Z$87,2,FALSE),TIAM15_assumptions!$H$2:$V$2,0))</f>
        <v>0.1</v>
      </c>
      <c r="AG16" s="9">
        <f ca="1">OFFSET(TIAM15_assumptions!$G16,0,MATCH(VLOOKUP(Assumptions!AG$2,TIAM15_assumptions!$Y$3:$Z$87,2,FALSE),TIAM15_assumptions!$H$2:$V$2,0))</f>
        <v>0.1</v>
      </c>
      <c r="AH16" s="9">
        <f ca="1">OFFSET(TIAM15_assumptions!$G16,0,MATCH(VLOOKUP(Assumptions!AH$2,TIAM15_assumptions!$Y$3:$Z$87,2,FALSE),TIAM15_assumptions!$H$2:$V$2,0))</f>
        <v>0.15</v>
      </c>
      <c r="AI16" s="9">
        <f ca="1">OFFSET(TIAM15_assumptions!$G16,0,MATCH(VLOOKUP(Assumptions!AI$2,TIAM15_assumptions!$Y$3:$Z$87,2,FALSE),TIAM15_assumptions!$H$2:$V$2,0))</f>
        <v>0.2</v>
      </c>
      <c r="AJ16" s="9">
        <f ca="1">OFFSET(TIAM15_assumptions!$G16,0,MATCH(VLOOKUP(Assumptions!AJ$2,TIAM15_assumptions!$Y$3:$Z$87,2,FALSE),TIAM15_assumptions!$H$2:$V$2,0))</f>
        <v>0.15</v>
      </c>
      <c r="AK16" s="9">
        <f ca="1">OFFSET(TIAM15_assumptions!$G16,0,MATCH(VLOOKUP(Assumptions!AK$2,TIAM15_assumptions!$Y$3:$Z$87,2,FALSE),TIAM15_assumptions!$H$2:$V$2,0))</f>
        <v>0.15</v>
      </c>
      <c r="AL16" s="9">
        <f ca="1">OFFSET(TIAM15_assumptions!$G16,0,MATCH(VLOOKUP(Assumptions!AL$2,TIAM15_assumptions!$Y$3:$Z$87,2,FALSE),TIAM15_assumptions!$H$2:$V$2,0))</f>
        <v>0.15</v>
      </c>
      <c r="AM16" s="9">
        <f ca="1">OFFSET(TIAM15_assumptions!$G16,0,MATCH(VLOOKUP(Assumptions!AM$2,TIAM15_assumptions!$Y$3:$Z$87,2,FALSE),TIAM15_assumptions!$H$2:$V$2,0))</f>
        <v>0.15</v>
      </c>
      <c r="AN16" s="9">
        <f ca="1">OFFSET(TIAM15_assumptions!$G16,0,MATCH(VLOOKUP(Assumptions!AN$2,TIAM15_assumptions!$Y$3:$Z$87,2,FALSE),TIAM15_assumptions!$H$2:$V$2,0))</f>
        <v>0.15</v>
      </c>
      <c r="AO16" s="9">
        <f ca="1">OFFSET(TIAM15_assumptions!$G16,0,MATCH(VLOOKUP(Assumptions!AO$2,TIAM15_assumptions!$Y$3:$Z$87,2,FALSE),TIAM15_assumptions!$H$2:$V$2,0))</f>
        <v>0.1</v>
      </c>
      <c r="AP16" s="9">
        <f ca="1">OFFSET(TIAM15_assumptions!$G16,0,MATCH(VLOOKUP(Assumptions!AP$2,TIAM15_assumptions!$Y$3:$Z$87,2,FALSE),TIAM15_assumptions!$H$2:$V$2,0))</f>
        <v>0.15</v>
      </c>
      <c r="AQ16" s="9">
        <f ca="1">OFFSET(TIAM15_assumptions!$G16,0,MATCH(VLOOKUP(Assumptions!AQ$2,TIAM15_assumptions!$Y$3:$Z$87,2,FALSE),TIAM15_assumptions!$H$2:$V$2,0))</f>
        <v>0.05</v>
      </c>
      <c r="AR16" s="9">
        <f ca="1">OFFSET(TIAM15_assumptions!$G16,0,MATCH(VLOOKUP(Assumptions!AR$2,TIAM15_assumptions!$Y$3:$Z$87,2,FALSE),TIAM15_assumptions!$H$2:$V$2,0))</f>
        <v>0.05</v>
      </c>
      <c r="AS16" s="9">
        <f ca="1">OFFSET(TIAM15_assumptions!$G16,0,MATCH(VLOOKUP(Assumptions!AS$2,TIAM15_assumptions!$Y$3:$Z$87,2,FALSE),TIAM15_assumptions!$H$2:$V$2,0))</f>
        <v>0.05</v>
      </c>
      <c r="AT16" s="9">
        <f ca="1">OFFSET(TIAM15_assumptions!$G16,0,MATCH(VLOOKUP(Assumptions!AT$2,TIAM15_assumptions!$Y$3:$Z$87,2,FALSE),TIAM15_assumptions!$H$2:$V$2,0))</f>
        <v>0.05</v>
      </c>
      <c r="AU16" s="9">
        <f ca="1">OFFSET(TIAM15_assumptions!$G16,0,MATCH(VLOOKUP(Assumptions!AU$2,TIAM15_assumptions!$Y$3:$Z$87,2,FALSE),TIAM15_assumptions!$H$2:$V$2,0))</f>
        <v>0.05</v>
      </c>
      <c r="AV16" s="9">
        <f ca="1">OFFSET(TIAM15_assumptions!$G16,0,MATCH(VLOOKUP(Assumptions!AV$2,TIAM15_assumptions!$Y$3:$Z$87,2,FALSE),TIAM15_assumptions!$H$2:$V$2,0))</f>
        <v>0.05</v>
      </c>
      <c r="AW16" s="9">
        <f ca="1">OFFSET(TIAM15_assumptions!$G16,0,MATCH(VLOOKUP(Assumptions!AW$2,TIAM15_assumptions!$Y$3:$Z$87,2,FALSE),TIAM15_assumptions!$H$2:$V$2,0))</f>
        <v>0.05</v>
      </c>
      <c r="AX16" s="9">
        <f ca="1">OFFSET(TIAM15_assumptions!$G16,0,MATCH(VLOOKUP(Assumptions!AX$2,TIAM15_assumptions!$Y$3:$Z$87,2,FALSE),TIAM15_assumptions!$H$2:$V$2,0))</f>
        <v>0.05</v>
      </c>
      <c r="AY16" s="9">
        <f ca="1">OFFSET(TIAM15_assumptions!$G16,0,MATCH(VLOOKUP(Assumptions!AY$2,TIAM15_assumptions!$Y$3:$Z$87,2,FALSE),TIAM15_assumptions!$H$2:$V$2,0))</f>
        <v>0.05</v>
      </c>
      <c r="AZ16" s="9">
        <f ca="1">OFFSET(TIAM15_assumptions!$G16,0,MATCH(VLOOKUP(Assumptions!AZ$2,TIAM15_assumptions!$Y$3:$Z$87,2,FALSE),TIAM15_assumptions!$H$2:$V$2,0))</f>
        <v>0.05</v>
      </c>
      <c r="BA16" s="9">
        <f ca="1">OFFSET(TIAM15_assumptions!$G16,0,MATCH(VLOOKUP(Assumptions!BA$2,TIAM15_assumptions!$Y$3:$Z$87,2,FALSE),TIAM15_assumptions!$H$2:$V$2,0))</f>
        <v>0.05</v>
      </c>
      <c r="BD16" s="34">
        <f ca="1">IFERROR(SUMIFS('TRA balance'!E$5:E$40,'TRA balance'!$C$5:$C$40,Assumptions!$C16,'TRA balance'!$D$5:$D$40,Assumptions!$B16)*CY16*H16,"")</f>
        <v>200.16369874908</v>
      </c>
      <c r="BE16" s="34">
        <f ca="1">IFERROR(SUMIFS('TRA balance'!F$5:F$40,'TRA balance'!$C$5:$C$40,Assumptions!$C16,'TRA balance'!$D$5:$D$40,Assumptions!$B16)*CZ16*I16,"")</f>
        <v>177.88097162188802</v>
      </c>
      <c r="BF16" s="34">
        <f ca="1">IFERROR(SUMIFS('TRA balance'!G$5:G$40,'TRA balance'!$C$5:$C$40,Assumptions!$C16,'TRA balance'!$D$5:$D$40,Assumptions!$B16)*DA16*J16,"")</f>
        <v>112.8250305678384</v>
      </c>
      <c r="BG16" s="34">
        <f ca="1">IFERROR(SUMIFS('TRA balance'!H$5:H$40,'TRA balance'!$C$5:$C$40,Assumptions!$C16,'TRA balance'!$D$5:$D$40,Assumptions!$B16)*DB16*K16,"")</f>
        <v>31.038065232335995</v>
      </c>
      <c r="BH16" s="34">
        <f ca="1">IFERROR(SUMIFS('TRA balance'!I$5:I$40,'TRA balance'!$C$5:$C$40,Assumptions!$C16,'TRA balance'!$D$5:$D$40,Assumptions!$B16)*DC16*L16,"")</f>
        <v>11.520655216830001</v>
      </c>
      <c r="BI16" s="34">
        <f ca="1">IFERROR(SUMIFS('TRA balance'!J$5:J$40,'TRA balance'!$C$5:$C$40,Assumptions!$C16,'TRA balance'!$D$5:$D$40,Assumptions!$B16)*DD16*M16,"")</f>
        <v>65.787861804912012</v>
      </c>
      <c r="BJ16" s="34">
        <f ca="1">IFERROR(SUMIFS('TRA balance'!K$5:K$40,'TRA balance'!$C$5:$C$40,Assumptions!$C16,'TRA balance'!$D$5:$D$40,Assumptions!$B16)*DE16*N16,"")</f>
        <v>133.5472214276592</v>
      </c>
      <c r="BK16" s="34">
        <f ca="1">IFERROR(SUMIFS('TRA balance'!L$5:L$40,'TRA balance'!$C$5:$C$40,Assumptions!$C16,'TRA balance'!$D$5:$D$40,Assumptions!$B16)*DF16*O16,"")</f>
        <v>349.323445150596</v>
      </c>
      <c r="BL16" s="34">
        <f ca="1">IFERROR(SUMIFS('TRA balance'!M$5:M$40,'TRA balance'!$C$5:$C$40,Assumptions!$C16,'TRA balance'!$D$5:$D$40,Assumptions!$B16)*DG16*P16,"")</f>
        <v>14.45928378408</v>
      </c>
      <c r="BM16" s="34">
        <f ca="1">IFERROR(SUMIFS('TRA balance'!N$5:N$40,'TRA balance'!$C$5:$C$40,Assumptions!$C16,'TRA balance'!$D$5:$D$40,Assumptions!$B16)*DH16*Q16,"")</f>
        <v>30.983831937215999</v>
      </c>
      <c r="BN16" s="34">
        <f ca="1">IFERROR(SUMIFS('TRA balance'!O$5:O$40,'TRA balance'!$C$5:$C$40,Assumptions!$C16,'TRA balance'!$D$5:$D$40,Assumptions!$B16)*DI16*R16,"")</f>
        <v>154.36801486065602</v>
      </c>
      <c r="BO16" s="34">
        <f ca="1">IFERROR(SUMIFS('TRA balance'!P$5:P$40,'TRA balance'!$C$5:$C$40,Assumptions!$C16,'TRA balance'!$D$5:$D$40,Assumptions!$B16)*DJ16*S16,"")</f>
        <v>166.7125437876</v>
      </c>
      <c r="BP16" s="34">
        <f ca="1">IFERROR(SUMIFS('TRA balance'!Q$5:Q$40,'TRA balance'!$C$5:$C$40,Assumptions!$C16,'TRA balance'!$D$5:$D$40,Assumptions!$B16)*DK16*T16,"")</f>
        <v>13.481730963216</v>
      </c>
      <c r="BQ16" s="34">
        <f ca="1">IFERROR(SUMIFS('TRA balance'!R$5:R$40,'TRA balance'!$C$5:$C$40,Assumptions!$C16,'TRA balance'!$D$5:$D$40,Assumptions!$B16)*DL16*U16,"")</f>
        <v>48.341217006576009</v>
      </c>
      <c r="BR16" s="34">
        <f ca="1">IFERROR(SUMIFS('TRA balance'!S$5:S$40,'TRA balance'!$C$5:$C$40,Assumptions!$C16,'TRA balance'!$D$5:$D$40,Assumptions!$B16)*DM16*V16,"")</f>
        <v>0.92455144977600001</v>
      </c>
      <c r="BS16" s="34">
        <f ca="1">IFERROR(SUMIFS('TRA balance'!T$5:T$40,'TRA balance'!$C$5:$C$40,Assumptions!$C16,'TRA balance'!$D$5:$D$40,Assumptions!$B16)*DN16*W16,"")</f>
        <v>456.31104763117503</v>
      </c>
      <c r="BT16" s="34">
        <f ca="1">IFERROR(SUMIFS('TRA balance'!U$5:U$40,'TRA balance'!$C$5:$C$40,Assumptions!$C16,'TRA balance'!$D$5:$D$40,Assumptions!$B16)*DO16*X16,"")</f>
        <v>14.80135622976</v>
      </c>
      <c r="BU16" s="34">
        <f ca="1">IFERROR(SUMIFS('TRA balance'!V$5:V$40,'TRA balance'!$C$5:$C$40,Assumptions!$C16,'TRA balance'!$D$5:$D$40,Assumptions!$B16)*DP16*Y16,"")</f>
        <v>108.00539797521601</v>
      </c>
      <c r="BV16" s="34">
        <f ca="1">IFERROR(SUMIFS('TRA balance'!W$5:W$40,'TRA balance'!$C$5:$C$40,Assumptions!$C16,'TRA balance'!$D$5:$D$40,Assumptions!$B16)*DQ16*Z16,"")</f>
        <v>130.14111519771299</v>
      </c>
      <c r="BW16" s="34">
        <f ca="1">IFERROR(SUMIFS('TRA balance'!X$5:X$40,'TRA balance'!$C$5:$C$40,Assumptions!$C16,'TRA balance'!$D$5:$D$40,Assumptions!$B16)*DR16*AA16,"")</f>
        <v>137.11621819099682</v>
      </c>
      <c r="BX16" s="34">
        <f ca="1">IFERROR(SUMIFS('TRA balance'!Y$5:Y$40,'TRA balance'!$C$5:$C$40,Assumptions!$C16,'TRA balance'!$D$5:$D$40,Assumptions!$B16)*DS16*AB16,"")</f>
        <v>202.19840027362798</v>
      </c>
      <c r="BY16" s="34">
        <f ca="1">IFERROR(SUMIFS('TRA balance'!Z$5:Z$40,'TRA balance'!$C$5:$C$40,Assumptions!$C16,'TRA balance'!$D$5:$D$40,Assumptions!$B16)*DT16*AC16,"")</f>
        <v>307.31910482978697</v>
      </c>
      <c r="BZ16" s="34">
        <f ca="1">IFERROR(SUMIFS('TRA balance'!AA$5:AA$40,'TRA balance'!$C$5:$C$40,Assumptions!$C16,'TRA balance'!$D$5:$D$40,Assumptions!$B16)*DU16*AD16,"")</f>
        <v>10.63201937256</v>
      </c>
      <c r="CA16" s="34">
        <f ca="1">IFERROR(SUMIFS('TRA balance'!AB$5:AB$40,'TRA balance'!$C$5:$C$40,Assumptions!$C16,'TRA balance'!$D$5:$D$40,Assumptions!$B16)*DV16*AE16,"")</f>
        <v>71.135785709136002</v>
      </c>
      <c r="CB16" s="34">
        <f ca="1">IFERROR(SUMIFS('TRA balance'!AC$5:AC$40,'TRA balance'!$C$5:$C$40,Assumptions!$C16,'TRA balance'!$D$5:$D$40,Assumptions!$B16)*DW16*AF16,"")</f>
        <v>369.41416674873125</v>
      </c>
      <c r="CC16" s="34">
        <f ca="1">IFERROR(SUMIFS('TRA balance'!AD$5:AD$40,'TRA balance'!$C$5:$C$40,Assumptions!$C16,'TRA balance'!$D$5:$D$40,Assumptions!$B16)*DX16*AG16,"")</f>
        <v>66.626305181280003</v>
      </c>
      <c r="CD16" s="34">
        <f ca="1">IFERROR(SUMIFS('TRA balance'!AE$5:AE$40,'TRA balance'!$C$5:$C$40,Assumptions!$C16,'TRA balance'!$D$5:$D$40,Assumptions!$B16)*DY16*AH16,"")</f>
        <v>114.99282775134</v>
      </c>
      <c r="CE16" s="34">
        <f ca="1">IFERROR(SUMIFS('TRA balance'!AF$5:AF$40,'TRA balance'!$C$5:$C$40,Assumptions!$C16,'TRA balance'!$D$5:$D$40,Assumptions!$B16)*DZ16*AI16,"")</f>
        <v>62.483074361855998</v>
      </c>
      <c r="CF16" s="34">
        <f ca="1">IFERROR(SUMIFS('TRA balance'!AG$5:AG$40,'TRA balance'!$C$5:$C$40,Assumptions!$C16,'TRA balance'!$D$5:$D$40,Assumptions!$B16)*EA16*AJ16,"")</f>
        <v>128.90187620856</v>
      </c>
      <c r="CG16" s="34">
        <f ca="1">IFERROR(SUMIFS('TRA balance'!AH$5:AH$40,'TRA balance'!$C$5:$C$40,Assumptions!$C16,'TRA balance'!$D$5:$D$40,Assumptions!$B16)*EB16*AK16,"")</f>
        <v>38.695549768704005</v>
      </c>
      <c r="CH16" s="34">
        <f ca="1">IFERROR(SUMIFS('TRA balance'!AI$5:AI$40,'TRA balance'!$C$5:$C$40,Assumptions!$C16,'TRA balance'!$D$5:$D$40,Assumptions!$B16)*EC16*AL16,"")</f>
        <v>13.657822244640002</v>
      </c>
      <c r="CI16" s="34">
        <f ca="1">IFERROR(SUMIFS('TRA balance'!AJ$5:AJ$40,'TRA balance'!$C$5:$C$40,Assumptions!$C16,'TRA balance'!$D$5:$D$40,Assumptions!$B16)*ED16*AM16,"")</f>
        <v>111.01730420914201</v>
      </c>
      <c r="CJ16" s="34">
        <f ca="1">IFERROR(SUMIFS('TRA balance'!AK$5:AK$40,'TRA balance'!$C$5:$C$40,Assumptions!$C16,'TRA balance'!$D$5:$D$40,Assumptions!$B16)*EE16*AN16,"")</f>
        <v>121.69673186947199</v>
      </c>
      <c r="CK16" s="34">
        <f ca="1">IFERROR(SUMIFS('TRA balance'!AL$5:AL$40,'TRA balance'!$C$5:$C$40,Assumptions!$C16,'TRA balance'!$D$5:$D$40,Assumptions!$B16)*EF16*AO16,"")</f>
        <v>17.270468210861999</v>
      </c>
      <c r="CL16" s="34">
        <f ca="1">IFERROR(SUMIFS('TRA balance'!AM$5:AM$40,'TRA balance'!$C$5:$C$40,Assumptions!$C16,'TRA balance'!$D$5:$D$40,Assumptions!$B16)*EG16*AP16,"")</f>
        <v>22.526471988719997</v>
      </c>
      <c r="CM16" s="34">
        <f ca="1">IFERROR(SUMIFS('TRA balance'!AN$5:AN$40,'TRA balance'!$C$5:$C$40,Assumptions!$C16,'TRA balance'!$D$5:$D$40,Assumptions!$B16)*EH16*AQ16,"")</f>
        <v>0</v>
      </c>
      <c r="CN16" s="34">
        <f ca="1">IFERROR(SUMIFS('TRA balance'!AO$5:AO$40,'TRA balance'!$C$5:$C$40,Assumptions!$C16,'TRA balance'!$D$5:$D$40,Assumptions!$B16)*EI16*AR16,"")</f>
        <v>0</v>
      </c>
      <c r="CO16" s="34">
        <f ca="1">IFERROR(SUMIFS('TRA balance'!AP$5:AP$40,'TRA balance'!$C$5:$C$40,Assumptions!$C16,'TRA balance'!$D$5:$D$40,Assumptions!$B16)*EJ16*AS16,"")</f>
        <v>0</v>
      </c>
      <c r="CP16" s="34">
        <f ca="1">IFERROR(SUMIFS('TRA balance'!AQ$5:AQ$40,'TRA balance'!$C$5:$C$40,Assumptions!$C16,'TRA balance'!$D$5:$D$40,Assumptions!$B16)*EK16*AT16,"")</f>
        <v>0</v>
      </c>
      <c r="CQ16" s="34">
        <f ca="1">IFERROR(SUMIFS('TRA balance'!AR$5:AR$40,'TRA balance'!$C$5:$C$40,Assumptions!$C16,'TRA balance'!$D$5:$D$40,Assumptions!$B16)*EL16*AU16,"")</f>
        <v>0</v>
      </c>
      <c r="CR16" s="34">
        <f ca="1">IFERROR(SUMIFS('TRA balance'!AS$5:AS$40,'TRA balance'!$C$5:$C$40,Assumptions!$C16,'TRA balance'!$D$5:$D$40,Assumptions!$B16)*EM16*AV16,"")</f>
        <v>0</v>
      </c>
      <c r="CS16" s="34">
        <f ca="1">IFERROR(SUMIFS('TRA balance'!AT$5:AT$40,'TRA balance'!$C$5:$C$40,Assumptions!$C16,'TRA balance'!$D$5:$D$40,Assumptions!$B16)*EN16*AW16,"")</f>
        <v>0</v>
      </c>
      <c r="CT16" s="34">
        <f ca="1">IFERROR(SUMIFS('TRA balance'!AU$5:AU$40,'TRA balance'!$C$5:$C$40,Assumptions!$C16,'TRA balance'!$D$5:$D$40,Assumptions!$B16)*EO16*AX16,"")</f>
        <v>0</v>
      </c>
      <c r="CU16" s="34">
        <f ca="1">IFERROR(SUMIFS('TRA balance'!AV$5:AV$40,'TRA balance'!$C$5:$C$40,Assumptions!$C16,'TRA balance'!$D$5:$D$40,Assumptions!$B16)*EP16*AY16,"")</f>
        <v>0</v>
      </c>
      <c r="CV16" s="34">
        <f ca="1">IFERROR(SUMIFS('TRA balance'!AW$5:AW$40,'TRA balance'!$C$5:$C$40,Assumptions!$C16,'TRA balance'!$D$5:$D$40,Assumptions!$B16)*EQ16*AZ16,"")</f>
        <v>0</v>
      </c>
      <c r="CW16" s="34">
        <f ca="1">IFERROR(SUMIFS('TRA balance'!AX$5:AX$40,'TRA balance'!$C$5:$C$40,Assumptions!$C16,'TRA balance'!$D$5:$D$40,Assumptions!$B16)*ER16*BA16,"")</f>
        <v>0</v>
      </c>
      <c r="CY16" s="33">
        <f t="shared" ca="1" si="2"/>
        <v>0.9</v>
      </c>
      <c r="CZ16" s="33">
        <f t="shared" ca="1" si="3"/>
        <v>0.9</v>
      </c>
      <c r="DA16" s="33">
        <f t="shared" ca="1" si="4"/>
        <v>0.98</v>
      </c>
      <c r="DB16" s="33">
        <f t="shared" ca="1" si="5"/>
        <v>0.8</v>
      </c>
      <c r="DC16" s="33">
        <f t="shared" ca="1" si="6"/>
        <v>0.95</v>
      </c>
      <c r="DD16" s="33">
        <f t="shared" ca="1" si="7"/>
        <v>0.8</v>
      </c>
      <c r="DE16" s="33">
        <f t="shared" ca="1" si="8"/>
        <v>0.92999999999999994</v>
      </c>
      <c r="DF16" s="33">
        <f t="shared" ca="1" si="9"/>
        <v>0.9</v>
      </c>
      <c r="DG16" s="33">
        <f t="shared" ca="1" si="10"/>
        <v>0.8</v>
      </c>
      <c r="DH16" s="33">
        <f t="shared" ca="1" si="11"/>
        <v>0.8</v>
      </c>
      <c r="DI16" s="33">
        <f t="shared" ca="1" si="12"/>
        <v>0.8</v>
      </c>
      <c r="DJ16" s="33">
        <f t="shared" ca="1" si="13"/>
        <v>0.8</v>
      </c>
      <c r="DK16" s="33">
        <f t="shared" ca="1" si="14"/>
        <v>0.8</v>
      </c>
      <c r="DL16" s="33">
        <f t="shared" ca="1" si="15"/>
        <v>0.8</v>
      </c>
      <c r="DM16" s="33">
        <f t="shared" ca="1" si="16"/>
        <v>0.8</v>
      </c>
      <c r="DN16" s="33">
        <f t="shared" ca="1" si="17"/>
        <v>0.75</v>
      </c>
      <c r="DO16" s="33">
        <f t="shared" ca="1" si="18"/>
        <v>0.8</v>
      </c>
      <c r="DP16" s="33">
        <f t="shared" ca="1" si="19"/>
        <v>0.8</v>
      </c>
      <c r="DQ16" s="33">
        <f t="shared" ca="1" si="20"/>
        <v>0.95</v>
      </c>
      <c r="DR16" s="33">
        <f t="shared" ca="1" si="21"/>
        <v>0.92999999999999994</v>
      </c>
      <c r="DS16" s="33">
        <f t="shared" ca="1" si="22"/>
        <v>0.9</v>
      </c>
      <c r="DT16" s="33">
        <f t="shared" ca="1" si="23"/>
        <v>0.97559357817738346</v>
      </c>
      <c r="DU16" s="33">
        <f t="shared" ca="1" si="24"/>
        <v>0.8</v>
      </c>
      <c r="DV16" s="33">
        <f t="shared" ca="1" si="25"/>
        <v>0.8</v>
      </c>
      <c r="DW16" s="33">
        <f t="shared" ca="1" si="26"/>
        <v>0.92</v>
      </c>
      <c r="DX16" s="33">
        <f t="shared" ca="1" si="27"/>
        <v>0.95</v>
      </c>
      <c r="DY16" s="33">
        <f t="shared" ca="1" si="28"/>
        <v>0.9</v>
      </c>
      <c r="DZ16" s="33">
        <f t="shared" ca="1" si="29"/>
        <v>0.9</v>
      </c>
      <c r="EA16" s="33">
        <f t="shared" ca="1" si="30"/>
        <v>0.8</v>
      </c>
      <c r="EB16" s="33">
        <f t="shared" ca="1" si="31"/>
        <v>0.8</v>
      </c>
      <c r="EC16" s="33">
        <f t="shared" ca="1" si="32"/>
        <v>0.8</v>
      </c>
      <c r="ED16" s="33">
        <f t="shared" ca="1" si="33"/>
        <v>0.9</v>
      </c>
      <c r="EE16" s="33">
        <f t="shared" ca="1" si="34"/>
        <v>0.8</v>
      </c>
      <c r="EF16" s="33">
        <f t="shared" ca="1" si="35"/>
        <v>0.95</v>
      </c>
      <c r="EG16" s="33">
        <f t="shared" ca="1" si="36"/>
        <v>0.8</v>
      </c>
      <c r="EH16" s="33">
        <f t="shared" ca="1" si="37"/>
        <v>0.97559357817738346</v>
      </c>
      <c r="EI16" s="33">
        <f t="shared" ca="1" si="38"/>
        <v>0.97559357817738346</v>
      </c>
      <c r="EJ16" s="33">
        <f t="shared" ca="1" si="39"/>
        <v>0.97559357817738346</v>
      </c>
      <c r="EK16" s="33">
        <f t="shared" ca="1" si="40"/>
        <v>0.97559357817738346</v>
      </c>
      <c r="EL16" s="33">
        <f t="shared" ca="1" si="41"/>
        <v>0.97559357817738346</v>
      </c>
      <c r="EM16" s="33">
        <f t="shared" ca="1" si="42"/>
        <v>0.97559357817738346</v>
      </c>
      <c r="EN16" s="33">
        <f t="shared" ca="1" si="43"/>
        <v>0.97559357817738346</v>
      </c>
      <c r="EO16" s="33">
        <f t="shared" ca="1" si="44"/>
        <v>0.97559357817738346</v>
      </c>
      <c r="EP16" s="33">
        <f t="shared" ca="1" si="45"/>
        <v>0.97559357817738346</v>
      </c>
      <c r="EQ16" s="33">
        <f t="shared" ca="1" si="46"/>
        <v>0.97559357817738346</v>
      </c>
      <c r="ER16" s="33">
        <f t="shared" ca="1" si="47"/>
        <v>0.97559357817738346</v>
      </c>
    </row>
    <row r="17" spans="1:148">
      <c r="A17">
        <v>1</v>
      </c>
      <c r="B17" t="str">
        <f>VLOOKUP(F17,'TRA balance'!$BA$5:$BB$14,2,FALSE)</f>
        <v>TRADST</v>
      </c>
      <c r="C17" s="6" t="str">
        <f t="shared" si="48"/>
        <v/>
      </c>
      <c r="D17" s="7"/>
      <c r="E17" s="19" t="s">
        <v>79</v>
      </c>
      <c r="F17" s="8" t="str">
        <f t="shared" si="55"/>
        <v>Diesel</v>
      </c>
      <c r="G17" s="6"/>
      <c r="H17" s="32" t="str">
        <f ca="1">IF(SUM(H13:H16)=1,"-","&lt;&gt;1!!")</f>
        <v>-</v>
      </c>
      <c r="I17" s="32" t="str">
        <f t="shared" ref="I17:BA17" ca="1" si="56">IF(SUM(I13:I16)=1,"-","&lt;&gt;1!!")</f>
        <v>-</v>
      </c>
      <c r="J17" s="32" t="str">
        <f t="shared" ca="1" si="56"/>
        <v>-</v>
      </c>
      <c r="K17" s="32" t="str">
        <f t="shared" ca="1" si="56"/>
        <v>-</v>
      </c>
      <c r="L17" s="32" t="str">
        <f t="shared" ca="1" si="56"/>
        <v>-</v>
      </c>
      <c r="M17" s="32" t="str">
        <f t="shared" ca="1" si="56"/>
        <v>-</v>
      </c>
      <c r="N17" s="32" t="str">
        <f t="shared" ca="1" si="56"/>
        <v>-</v>
      </c>
      <c r="O17" s="32" t="str">
        <f t="shared" ca="1" si="56"/>
        <v>-</v>
      </c>
      <c r="P17" s="32" t="str">
        <f t="shared" ca="1" si="56"/>
        <v>-</v>
      </c>
      <c r="Q17" s="32" t="str">
        <f t="shared" ca="1" si="56"/>
        <v>-</v>
      </c>
      <c r="R17" s="32" t="str">
        <f t="shared" ca="1" si="56"/>
        <v>-</v>
      </c>
      <c r="S17" s="32" t="str">
        <f t="shared" ca="1" si="56"/>
        <v>-</v>
      </c>
      <c r="T17" s="32" t="str">
        <f t="shared" ca="1" si="56"/>
        <v>-</v>
      </c>
      <c r="U17" s="32" t="str">
        <f t="shared" ca="1" si="56"/>
        <v>-</v>
      </c>
      <c r="V17" s="32" t="str">
        <f t="shared" ca="1" si="56"/>
        <v>-</v>
      </c>
      <c r="W17" s="32" t="str">
        <f t="shared" ca="1" si="56"/>
        <v>-</v>
      </c>
      <c r="X17" s="32" t="str">
        <f t="shared" ca="1" si="56"/>
        <v>-</v>
      </c>
      <c r="Y17" s="32" t="str">
        <f t="shared" ca="1" si="56"/>
        <v>-</v>
      </c>
      <c r="Z17" s="32" t="str">
        <f t="shared" ca="1" si="56"/>
        <v>-</v>
      </c>
      <c r="AA17" s="32" t="str">
        <f t="shared" ca="1" si="56"/>
        <v>-</v>
      </c>
      <c r="AB17" s="32" t="str">
        <f t="shared" ca="1" si="56"/>
        <v>-</v>
      </c>
      <c r="AC17" s="32" t="str">
        <f t="shared" ca="1" si="56"/>
        <v>-</v>
      </c>
      <c r="AD17" s="32" t="str">
        <f t="shared" ca="1" si="56"/>
        <v>-</v>
      </c>
      <c r="AE17" s="32" t="str">
        <f t="shared" ca="1" si="56"/>
        <v>-</v>
      </c>
      <c r="AF17" s="32" t="str">
        <f t="shared" ca="1" si="56"/>
        <v>-</v>
      </c>
      <c r="AG17" s="32" t="str">
        <f t="shared" ca="1" si="56"/>
        <v>-</v>
      </c>
      <c r="AH17" s="32" t="str">
        <f t="shared" ca="1" si="56"/>
        <v>-</v>
      </c>
      <c r="AI17" s="32" t="str">
        <f t="shared" ca="1" si="56"/>
        <v>-</v>
      </c>
      <c r="AJ17" s="32" t="str">
        <f t="shared" ca="1" si="56"/>
        <v>-</v>
      </c>
      <c r="AK17" s="32" t="str">
        <f t="shared" ca="1" si="56"/>
        <v>-</v>
      </c>
      <c r="AL17" s="32" t="str">
        <f t="shared" ca="1" si="56"/>
        <v>-</v>
      </c>
      <c r="AM17" s="32" t="str">
        <f t="shared" ca="1" si="56"/>
        <v>-</v>
      </c>
      <c r="AN17" s="32" t="str">
        <f t="shared" ca="1" si="56"/>
        <v>-</v>
      </c>
      <c r="AO17" s="32" t="str">
        <f t="shared" ca="1" si="56"/>
        <v>-</v>
      </c>
      <c r="AP17" s="32" t="str">
        <f t="shared" ca="1" si="56"/>
        <v>-</v>
      </c>
      <c r="AQ17" s="32" t="str">
        <f t="shared" ca="1" si="56"/>
        <v>-</v>
      </c>
      <c r="AR17" s="32" t="str">
        <f t="shared" ca="1" si="56"/>
        <v>-</v>
      </c>
      <c r="AS17" s="32" t="str">
        <f t="shared" ca="1" si="56"/>
        <v>-</v>
      </c>
      <c r="AT17" s="32" t="str">
        <f t="shared" ca="1" si="56"/>
        <v>-</v>
      </c>
      <c r="AU17" s="32" t="str">
        <f t="shared" ca="1" si="56"/>
        <v>-</v>
      </c>
      <c r="AV17" s="32" t="str">
        <f t="shared" ca="1" si="56"/>
        <v>-</v>
      </c>
      <c r="AW17" s="32" t="str">
        <f t="shared" ca="1" si="56"/>
        <v>-</v>
      </c>
      <c r="AX17" s="32" t="str">
        <f t="shared" ca="1" si="56"/>
        <v>-</v>
      </c>
      <c r="AY17" s="32" t="str">
        <f t="shared" ca="1" si="56"/>
        <v>-</v>
      </c>
      <c r="AZ17" s="32" t="str">
        <f t="shared" ca="1" si="56"/>
        <v>-</v>
      </c>
      <c r="BA17" s="32" t="str">
        <f t="shared" ca="1" si="56"/>
        <v>-</v>
      </c>
      <c r="BD17" s="34" t="str">
        <f ca="1">IFERROR(SUMIFS('TRA balance'!E$5:E$40,'TRA balance'!$C$5:$C$40,Assumptions!$C17,'TRA balance'!$D$5:$D$40,Assumptions!$B17)*CY17*H17,"")</f>
        <v/>
      </c>
      <c r="BE17" s="34" t="str">
        <f ca="1">IFERROR(SUMIFS('TRA balance'!F$5:F$40,'TRA balance'!$C$5:$C$40,Assumptions!$C17,'TRA balance'!$D$5:$D$40,Assumptions!$B17)*CZ17*I17,"")</f>
        <v/>
      </c>
      <c r="BF17" s="34" t="str">
        <f ca="1">IFERROR(SUMIFS('TRA balance'!G$5:G$40,'TRA balance'!$C$5:$C$40,Assumptions!$C17,'TRA balance'!$D$5:$D$40,Assumptions!$B17)*DA17*J17,"")</f>
        <v/>
      </c>
      <c r="BG17" s="34" t="str">
        <f ca="1">IFERROR(SUMIFS('TRA balance'!H$5:H$40,'TRA balance'!$C$5:$C$40,Assumptions!$C17,'TRA balance'!$D$5:$D$40,Assumptions!$B17)*DB17*K17,"")</f>
        <v/>
      </c>
      <c r="BH17" s="34" t="str">
        <f ca="1">IFERROR(SUMIFS('TRA balance'!I$5:I$40,'TRA balance'!$C$5:$C$40,Assumptions!$C17,'TRA balance'!$D$5:$D$40,Assumptions!$B17)*DC17*L17,"")</f>
        <v/>
      </c>
      <c r="BI17" s="34" t="str">
        <f ca="1">IFERROR(SUMIFS('TRA balance'!J$5:J$40,'TRA balance'!$C$5:$C$40,Assumptions!$C17,'TRA balance'!$D$5:$D$40,Assumptions!$B17)*DD17*M17,"")</f>
        <v/>
      </c>
      <c r="BJ17" s="34" t="str">
        <f ca="1">IFERROR(SUMIFS('TRA balance'!K$5:K$40,'TRA balance'!$C$5:$C$40,Assumptions!$C17,'TRA balance'!$D$5:$D$40,Assumptions!$B17)*DE17*N17,"")</f>
        <v/>
      </c>
      <c r="BK17" s="34" t="str">
        <f ca="1">IFERROR(SUMIFS('TRA balance'!L$5:L$40,'TRA balance'!$C$5:$C$40,Assumptions!$C17,'TRA balance'!$D$5:$D$40,Assumptions!$B17)*DF17*O17,"")</f>
        <v/>
      </c>
      <c r="BL17" s="34" t="str">
        <f ca="1">IFERROR(SUMIFS('TRA balance'!M$5:M$40,'TRA balance'!$C$5:$C$40,Assumptions!$C17,'TRA balance'!$D$5:$D$40,Assumptions!$B17)*DG17*P17,"")</f>
        <v/>
      </c>
      <c r="BM17" s="34" t="str">
        <f ca="1">IFERROR(SUMIFS('TRA balance'!N$5:N$40,'TRA balance'!$C$5:$C$40,Assumptions!$C17,'TRA balance'!$D$5:$D$40,Assumptions!$B17)*DH17*Q17,"")</f>
        <v/>
      </c>
      <c r="BN17" s="34" t="str">
        <f ca="1">IFERROR(SUMIFS('TRA balance'!O$5:O$40,'TRA balance'!$C$5:$C$40,Assumptions!$C17,'TRA balance'!$D$5:$D$40,Assumptions!$B17)*DI17*R17,"")</f>
        <v/>
      </c>
      <c r="BO17" s="34" t="str">
        <f ca="1">IFERROR(SUMIFS('TRA balance'!P$5:P$40,'TRA balance'!$C$5:$C$40,Assumptions!$C17,'TRA balance'!$D$5:$D$40,Assumptions!$B17)*DJ17*S17,"")</f>
        <v/>
      </c>
      <c r="BP17" s="34" t="str">
        <f ca="1">IFERROR(SUMIFS('TRA balance'!Q$5:Q$40,'TRA balance'!$C$5:$C$40,Assumptions!$C17,'TRA balance'!$D$5:$D$40,Assumptions!$B17)*DK17*T17,"")</f>
        <v/>
      </c>
      <c r="BQ17" s="34" t="str">
        <f ca="1">IFERROR(SUMIFS('TRA balance'!R$5:R$40,'TRA balance'!$C$5:$C$40,Assumptions!$C17,'TRA balance'!$D$5:$D$40,Assumptions!$B17)*DL17*U17,"")</f>
        <v/>
      </c>
      <c r="BR17" s="34" t="str">
        <f ca="1">IFERROR(SUMIFS('TRA balance'!S$5:S$40,'TRA balance'!$C$5:$C$40,Assumptions!$C17,'TRA balance'!$D$5:$D$40,Assumptions!$B17)*DM17*V17,"")</f>
        <v/>
      </c>
      <c r="BS17" s="34" t="str">
        <f ca="1">IFERROR(SUMIFS('TRA balance'!T$5:T$40,'TRA balance'!$C$5:$C$40,Assumptions!$C17,'TRA balance'!$D$5:$D$40,Assumptions!$B17)*DN17*W17,"")</f>
        <v/>
      </c>
      <c r="BT17" s="34" t="str">
        <f ca="1">IFERROR(SUMIFS('TRA balance'!U$5:U$40,'TRA balance'!$C$5:$C$40,Assumptions!$C17,'TRA balance'!$D$5:$D$40,Assumptions!$B17)*DO17*X17,"")</f>
        <v/>
      </c>
      <c r="BU17" s="34" t="str">
        <f ca="1">IFERROR(SUMIFS('TRA balance'!V$5:V$40,'TRA balance'!$C$5:$C$40,Assumptions!$C17,'TRA balance'!$D$5:$D$40,Assumptions!$B17)*DP17*Y17,"")</f>
        <v/>
      </c>
      <c r="BV17" s="34" t="str">
        <f ca="1">IFERROR(SUMIFS('TRA balance'!W$5:W$40,'TRA balance'!$C$5:$C$40,Assumptions!$C17,'TRA balance'!$D$5:$D$40,Assumptions!$B17)*DQ17*Z17,"")</f>
        <v/>
      </c>
      <c r="BW17" s="34" t="str">
        <f ca="1">IFERROR(SUMIFS('TRA balance'!X$5:X$40,'TRA balance'!$C$5:$C$40,Assumptions!$C17,'TRA balance'!$D$5:$D$40,Assumptions!$B17)*DR17*AA17,"")</f>
        <v/>
      </c>
      <c r="BX17" s="34" t="str">
        <f ca="1">IFERROR(SUMIFS('TRA balance'!Y$5:Y$40,'TRA balance'!$C$5:$C$40,Assumptions!$C17,'TRA balance'!$D$5:$D$40,Assumptions!$B17)*DS17*AB17,"")</f>
        <v/>
      </c>
      <c r="BY17" s="34" t="str">
        <f ca="1">IFERROR(SUMIFS('TRA balance'!Z$5:Z$40,'TRA balance'!$C$5:$C$40,Assumptions!$C17,'TRA balance'!$D$5:$D$40,Assumptions!$B17)*DT17*AC17,"")</f>
        <v/>
      </c>
      <c r="BZ17" s="34" t="str">
        <f ca="1">IFERROR(SUMIFS('TRA balance'!AA$5:AA$40,'TRA balance'!$C$5:$C$40,Assumptions!$C17,'TRA balance'!$D$5:$D$40,Assumptions!$B17)*DU17*AD17,"")</f>
        <v/>
      </c>
      <c r="CA17" s="34" t="str">
        <f ca="1">IFERROR(SUMIFS('TRA balance'!AB$5:AB$40,'TRA balance'!$C$5:$C$40,Assumptions!$C17,'TRA balance'!$D$5:$D$40,Assumptions!$B17)*DV17*AE17,"")</f>
        <v/>
      </c>
      <c r="CB17" s="34" t="str">
        <f ca="1">IFERROR(SUMIFS('TRA balance'!AC$5:AC$40,'TRA balance'!$C$5:$C$40,Assumptions!$C17,'TRA balance'!$D$5:$D$40,Assumptions!$B17)*DW17*AF17,"")</f>
        <v/>
      </c>
      <c r="CC17" s="34" t="str">
        <f ca="1">IFERROR(SUMIFS('TRA balance'!AD$5:AD$40,'TRA balance'!$C$5:$C$40,Assumptions!$C17,'TRA balance'!$D$5:$D$40,Assumptions!$B17)*DX17*AG17,"")</f>
        <v/>
      </c>
      <c r="CD17" s="34" t="str">
        <f ca="1">IFERROR(SUMIFS('TRA balance'!AE$5:AE$40,'TRA balance'!$C$5:$C$40,Assumptions!$C17,'TRA balance'!$D$5:$D$40,Assumptions!$B17)*DY17*AH17,"")</f>
        <v/>
      </c>
      <c r="CE17" s="34" t="str">
        <f ca="1">IFERROR(SUMIFS('TRA balance'!AF$5:AF$40,'TRA balance'!$C$5:$C$40,Assumptions!$C17,'TRA balance'!$D$5:$D$40,Assumptions!$B17)*DZ17*AI17,"")</f>
        <v/>
      </c>
      <c r="CF17" s="34" t="str">
        <f ca="1">IFERROR(SUMIFS('TRA balance'!AG$5:AG$40,'TRA balance'!$C$5:$C$40,Assumptions!$C17,'TRA balance'!$D$5:$D$40,Assumptions!$B17)*EA17*AJ17,"")</f>
        <v/>
      </c>
      <c r="CG17" s="34" t="str">
        <f ca="1">IFERROR(SUMIFS('TRA balance'!AH$5:AH$40,'TRA balance'!$C$5:$C$40,Assumptions!$C17,'TRA balance'!$D$5:$D$40,Assumptions!$B17)*EB17*AK17,"")</f>
        <v/>
      </c>
      <c r="CH17" s="34" t="str">
        <f ca="1">IFERROR(SUMIFS('TRA balance'!AI$5:AI$40,'TRA balance'!$C$5:$C$40,Assumptions!$C17,'TRA balance'!$D$5:$D$40,Assumptions!$B17)*EC17*AL17,"")</f>
        <v/>
      </c>
      <c r="CI17" s="34" t="str">
        <f ca="1">IFERROR(SUMIFS('TRA balance'!AJ$5:AJ$40,'TRA balance'!$C$5:$C$40,Assumptions!$C17,'TRA balance'!$D$5:$D$40,Assumptions!$B17)*ED17*AM17,"")</f>
        <v/>
      </c>
      <c r="CJ17" s="34" t="str">
        <f ca="1">IFERROR(SUMIFS('TRA balance'!AK$5:AK$40,'TRA balance'!$C$5:$C$40,Assumptions!$C17,'TRA balance'!$D$5:$D$40,Assumptions!$B17)*EE17*AN17,"")</f>
        <v/>
      </c>
      <c r="CK17" s="34" t="str">
        <f ca="1">IFERROR(SUMIFS('TRA balance'!AL$5:AL$40,'TRA balance'!$C$5:$C$40,Assumptions!$C17,'TRA balance'!$D$5:$D$40,Assumptions!$B17)*EF17*AO17,"")</f>
        <v/>
      </c>
      <c r="CL17" s="34" t="str">
        <f ca="1">IFERROR(SUMIFS('TRA balance'!AM$5:AM$40,'TRA balance'!$C$5:$C$40,Assumptions!$C17,'TRA balance'!$D$5:$D$40,Assumptions!$B17)*EG17*AP17,"")</f>
        <v/>
      </c>
      <c r="CM17" s="34" t="str">
        <f ca="1">IFERROR(SUMIFS('TRA balance'!AN$5:AN$40,'TRA balance'!$C$5:$C$40,Assumptions!$C17,'TRA balance'!$D$5:$D$40,Assumptions!$B17)*EH17*AQ17,"")</f>
        <v/>
      </c>
      <c r="CN17" s="34" t="str">
        <f ca="1">IFERROR(SUMIFS('TRA balance'!AO$5:AO$40,'TRA balance'!$C$5:$C$40,Assumptions!$C17,'TRA balance'!$D$5:$D$40,Assumptions!$B17)*EI17*AR17,"")</f>
        <v/>
      </c>
      <c r="CO17" s="34" t="str">
        <f ca="1">IFERROR(SUMIFS('TRA balance'!AP$5:AP$40,'TRA balance'!$C$5:$C$40,Assumptions!$C17,'TRA balance'!$D$5:$D$40,Assumptions!$B17)*EJ17*AS17,"")</f>
        <v/>
      </c>
      <c r="CP17" s="34" t="str">
        <f ca="1">IFERROR(SUMIFS('TRA balance'!AQ$5:AQ$40,'TRA balance'!$C$5:$C$40,Assumptions!$C17,'TRA balance'!$D$5:$D$40,Assumptions!$B17)*EK17*AT17,"")</f>
        <v/>
      </c>
      <c r="CQ17" s="34" t="str">
        <f ca="1">IFERROR(SUMIFS('TRA balance'!AR$5:AR$40,'TRA balance'!$C$5:$C$40,Assumptions!$C17,'TRA balance'!$D$5:$D$40,Assumptions!$B17)*EL17*AU17,"")</f>
        <v/>
      </c>
      <c r="CR17" s="34" t="str">
        <f ca="1">IFERROR(SUMIFS('TRA balance'!AS$5:AS$40,'TRA balance'!$C$5:$C$40,Assumptions!$C17,'TRA balance'!$D$5:$D$40,Assumptions!$B17)*EM17*AV17,"")</f>
        <v/>
      </c>
      <c r="CS17" s="34" t="str">
        <f ca="1">IFERROR(SUMIFS('TRA balance'!AT$5:AT$40,'TRA balance'!$C$5:$C$40,Assumptions!$C17,'TRA balance'!$D$5:$D$40,Assumptions!$B17)*EN17*AW17,"")</f>
        <v/>
      </c>
      <c r="CT17" s="34" t="str">
        <f ca="1">IFERROR(SUMIFS('TRA balance'!AU$5:AU$40,'TRA balance'!$C$5:$C$40,Assumptions!$C17,'TRA balance'!$D$5:$D$40,Assumptions!$B17)*EO17*AX17,"")</f>
        <v/>
      </c>
      <c r="CU17" s="34" t="str">
        <f ca="1">IFERROR(SUMIFS('TRA balance'!AV$5:AV$40,'TRA balance'!$C$5:$C$40,Assumptions!$C17,'TRA balance'!$D$5:$D$40,Assumptions!$B17)*EP17*AY17,"")</f>
        <v/>
      </c>
      <c r="CV17" s="34" t="str">
        <f ca="1">IFERROR(SUMIFS('TRA balance'!AW$5:AW$40,'TRA balance'!$C$5:$C$40,Assumptions!$C17,'TRA balance'!$D$5:$D$40,Assumptions!$B17)*EQ17*AZ17,"")</f>
        <v/>
      </c>
      <c r="CW17" s="34" t="str">
        <f ca="1">IFERROR(SUMIFS('TRA balance'!AX$5:AX$40,'TRA balance'!$C$5:$C$40,Assumptions!$C17,'TRA balance'!$D$5:$D$40,Assumptions!$B17)*ER17*BA17,"")</f>
        <v/>
      </c>
      <c r="CY17" s="33">
        <f t="shared" si="2"/>
        <v>1</v>
      </c>
      <c r="CZ17" s="33">
        <f t="shared" si="3"/>
        <v>1</v>
      </c>
      <c r="DA17" s="33">
        <f t="shared" si="4"/>
        <v>1</v>
      </c>
      <c r="DB17" s="33">
        <f t="shared" si="5"/>
        <v>1</v>
      </c>
      <c r="DC17" s="33">
        <f t="shared" si="6"/>
        <v>1</v>
      </c>
      <c r="DD17" s="33">
        <f t="shared" si="7"/>
        <v>1</v>
      </c>
      <c r="DE17" s="33">
        <f t="shared" si="8"/>
        <v>1</v>
      </c>
      <c r="DF17" s="33">
        <f t="shared" si="9"/>
        <v>1</v>
      </c>
      <c r="DG17" s="33">
        <f t="shared" si="10"/>
        <v>1</v>
      </c>
      <c r="DH17" s="33">
        <f t="shared" si="11"/>
        <v>1</v>
      </c>
      <c r="DI17" s="33">
        <f t="shared" si="12"/>
        <v>1</v>
      </c>
      <c r="DJ17" s="33">
        <f t="shared" si="13"/>
        <v>1</v>
      </c>
      <c r="DK17" s="33">
        <f t="shared" si="14"/>
        <v>1</v>
      </c>
      <c r="DL17" s="33">
        <f t="shared" si="15"/>
        <v>1</v>
      </c>
      <c r="DM17" s="33">
        <f t="shared" si="16"/>
        <v>1</v>
      </c>
      <c r="DN17" s="33">
        <f t="shared" si="17"/>
        <v>1</v>
      </c>
      <c r="DO17" s="33">
        <f t="shared" si="18"/>
        <v>1</v>
      </c>
      <c r="DP17" s="33">
        <f t="shared" si="19"/>
        <v>1</v>
      </c>
      <c r="DQ17" s="33">
        <f t="shared" si="20"/>
        <v>1</v>
      </c>
      <c r="DR17" s="33">
        <f t="shared" si="21"/>
        <v>1</v>
      </c>
      <c r="DS17" s="33">
        <f t="shared" si="22"/>
        <v>1</v>
      </c>
      <c r="DT17" s="33">
        <f t="shared" si="23"/>
        <v>1</v>
      </c>
      <c r="DU17" s="33">
        <f t="shared" si="24"/>
        <v>1</v>
      </c>
      <c r="DV17" s="33">
        <f t="shared" si="25"/>
        <v>1</v>
      </c>
      <c r="DW17" s="33">
        <f t="shared" si="26"/>
        <v>1</v>
      </c>
      <c r="DX17" s="33">
        <f t="shared" si="27"/>
        <v>1</v>
      </c>
      <c r="DY17" s="33">
        <f t="shared" si="28"/>
        <v>1</v>
      </c>
      <c r="DZ17" s="33">
        <f t="shared" si="29"/>
        <v>1</v>
      </c>
      <c r="EA17" s="33">
        <f t="shared" si="30"/>
        <v>1</v>
      </c>
      <c r="EB17" s="33">
        <f t="shared" si="31"/>
        <v>1</v>
      </c>
      <c r="EC17" s="33">
        <f t="shared" si="32"/>
        <v>1</v>
      </c>
      <c r="ED17" s="33">
        <f t="shared" si="33"/>
        <v>1</v>
      </c>
      <c r="EE17" s="33">
        <f t="shared" si="34"/>
        <v>1</v>
      </c>
      <c r="EF17" s="33">
        <f t="shared" si="35"/>
        <v>1</v>
      </c>
      <c r="EG17" s="33">
        <f t="shared" si="36"/>
        <v>1</v>
      </c>
      <c r="EH17" s="33">
        <f t="shared" si="37"/>
        <v>1</v>
      </c>
      <c r="EI17" s="33">
        <f t="shared" si="38"/>
        <v>1</v>
      </c>
      <c r="EJ17" s="33">
        <f t="shared" si="39"/>
        <v>1</v>
      </c>
      <c r="EK17" s="33">
        <f t="shared" si="40"/>
        <v>1</v>
      </c>
      <c r="EL17" s="33">
        <f t="shared" si="41"/>
        <v>1</v>
      </c>
      <c r="EM17" s="33">
        <f t="shared" si="42"/>
        <v>1</v>
      </c>
      <c r="EN17" s="33">
        <f t="shared" si="43"/>
        <v>1</v>
      </c>
      <c r="EO17" s="33">
        <f t="shared" si="44"/>
        <v>1</v>
      </c>
      <c r="EP17" s="33">
        <f t="shared" si="45"/>
        <v>1</v>
      </c>
      <c r="EQ17" s="33">
        <f t="shared" si="46"/>
        <v>1</v>
      </c>
      <c r="ER17" s="33">
        <f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6" t="str">
        <f t="shared" si="48"/>
        <v>TT</v>
      </c>
      <c r="D18" s="7" t="s">
        <v>17</v>
      </c>
      <c r="E18" s="7" t="s">
        <v>53</v>
      </c>
      <c r="F18" s="8" t="str">
        <f t="shared" si="55"/>
        <v>Diesel</v>
      </c>
      <c r="G18" s="6" t="s">
        <v>55</v>
      </c>
      <c r="H18" s="9">
        <f ca="1">OFFSET(TIAM15_assumptions!$G18,0,MATCH(VLOOKUP(Assumptions!H$2,TIAM15_assumptions!$Y$3:$Z$87,2,FALSE),TIAM15_assumptions!$H$2:$V$2,0))</f>
        <v>0.7</v>
      </c>
      <c r="I18" s="9">
        <f ca="1">OFFSET(TIAM15_assumptions!$G18,0,MATCH(VLOOKUP(Assumptions!I$2,TIAM15_assumptions!$Y$3:$Z$87,2,FALSE),TIAM15_assumptions!$H$2:$V$2,0))</f>
        <v>0.7</v>
      </c>
      <c r="J18" s="9">
        <f ca="1">OFFSET(TIAM15_assumptions!$G18,0,MATCH(VLOOKUP(Assumptions!J$2,TIAM15_assumptions!$Y$3:$Z$87,2,FALSE),TIAM15_assumptions!$H$2:$V$2,0))</f>
        <v>0.7</v>
      </c>
      <c r="K18" s="9">
        <f ca="1">OFFSET(TIAM15_assumptions!$G18,0,MATCH(VLOOKUP(Assumptions!K$2,TIAM15_assumptions!$Y$3:$Z$87,2,FALSE),TIAM15_assumptions!$H$2:$V$2,0))</f>
        <v>0.9</v>
      </c>
      <c r="L18" s="9">
        <f ca="1">OFFSET(TIAM15_assumptions!$G18,0,MATCH(VLOOKUP(Assumptions!L$2,TIAM15_assumptions!$Y$3:$Z$87,2,FALSE),TIAM15_assumptions!$H$2:$V$2,0))</f>
        <v>0.9</v>
      </c>
      <c r="M18" s="9">
        <f ca="1">OFFSET(TIAM15_assumptions!$G18,0,MATCH(VLOOKUP(Assumptions!M$2,TIAM15_assumptions!$Y$3:$Z$87,2,FALSE),TIAM15_assumptions!$H$2:$V$2,0))</f>
        <v>0.9</v>
      </c>
      <c r="N18" s="9">
        <f ca="1">OFFSET(TIAM15_assumptions!$G18,0,MATCH(VLOOKUP(Assumptions!N$2,TIAM15_assumptions!$Y$3:$Z$87,2,FALSE),TIAM15_assumptions!$H$2:$V$2,0))</f>
        <v>0.8</v>
      </c>
      <c r="O18" s="9">
        <f ca="1">OFFSET(TIAM15_assumptions!$G18,0,MATCH(VLOOKUP(Assumptions!O$2,TIAM15_assumptions!$Y$3:$Z$87,2,FALSE),TIAM15_assumptions!$H$2:$V$2,0))</f>
        <v>0.6</v>
      </c>
      <c r="P18" s="9">
        <f ca="1">OFFSET(TIAM15_assumptions!$G18,0,MATCH(VLOOKUP(Assumptions!P$2,TIAM15_assumptions!$Y$3:$Z$87,2,FALSE),TIAM15_assumptions!$H$2:$V$2,0))</f>
        <v>0.9</v>
      </c>
      <c r="Q18" s="9">
        <f ca="1">OFFSET(TIAM15_assumptions!$G18,0,MATCH(VLOOKUP(Assumptions!Q$2,TIAM15_assumptions!$Y$3:$Z$87,2,FALSE),TIAM15_assumptions!$H$2:$V$2,0))</f>
        <v>0.9</v>
      </c>
      <c r="R18" s="9">
        <f ca="1">OFFSET(TIAM15_assumptions!$G18,0,MATCH(VLOOKUP(Assumptions!R$2,TIAM15_assumptions!$Y$3:$Z$87,2,FALSE),TIAM15_assumptions!$H$2:$V$2,0))</f>
        <v>0.9</v>
      </c>
      <c r="S18" s="9">
        <f ca="1">OFFSET(TIAM15_assumptions!$G18,0,MATCH(VLOOKUP(Assumptions!S$2,TIAM15_assumptions!$Y$3:$Z$87,2,FALSE),TIAM15_assumptions!$H$2:$V$2,0))</f>
        <v>0.9</v>
      </c>
      <c r="T18" s="9">
        <f ca="1">OFFSET(TIAM15_assumptions!$G18,0,MATCH(VLOOKUP(Assumptions!T$2,TIAM15_assumptions!$Y$3:$Z$87,2,FALSE),TIAM15_assumptions!$H$2:$V$2,0))</f>
        <v>0.9</v>
      </c>
      <c r="U18" s="9">
        <f ca="1">OFFSET(TIAM15_assumptions!$G18,0,MATCH(VLOOKUP(Assumptions!U$2,TIAM15_assumptions!$Y$3:$Z$87,2,FALSE),TIAM15_assumptions!$H$2:$V$2,0))</f>
        <v>0.9</v>
      </c>
      <c r="V18" s="9">
        <f ca="1">OFFSET(TIAM15_assumptions!$G18,0,MATCH(VLOOKUP(Assumptions!V$2,TIAM15_assumptions!$Y$3:$Z$87,2,FALSE),TIAM15_assumptions!$H$2:$V$2,0))</f>
        <v>0.9</v>
      </c>
      <c r="W18" s="9">
        <f ca="1">OFFSET(TIAM15_assumptions!$G18,0,MATCH(VLOOKUP(Assumptions!W$2,TIAM15_assumptions!$Y$3:$Z$87,2,FALSE),TIAM15_assumptions!$H$2:$V$2,0))</f>
        <v>0.5</v>
      </c>
      <c r="X18" s="9">
        <f ca="1">OFFSET(TIAM15_assumptions!$G18,0,MATCH(VLOOKUP(Assumptions!X$2,TIAM15_assumptions!$Y$3:$Z$87,2,FALSE),TIAM15_assumptions!$H$2:$V$2,0))</f>
        <v>0.9</v>
      </c>
      <c r="Y18" s="9">
        <f ca="1">OFFSET(TIAM15_assumptions!$G18,0,MATCH(VLOOKUP(Assumptions!Y$2,TIAM15_assumptions!$Y$3:$Z$87,2,FALSE),TIAM15_assumptions!$H$2:$V$2,0))</f>
        <v>0.9</v>
      </c>
      <c r="Z18" s="9">
        <f ca="1">OFFSET(TIAM15_assumptions!$G18,0,MATCH(VLOOKUP(Assumptions!Z$2,TIAM15_assumptions!$Y$3:$Z$87,2,FALSE),TIAM15_assumptions!$H$2:$V$2,0))</f>
        <v>0.3</v>
      </c>
      <c r="AA18" s="9">
        <f ca="1">OFFSET(TIAM15_assumptions!$G18,0,MATCH(VLOOKUP(Assumptions!AA$2,TIAM15_assumptions!$Y$3:$Z$87,2,FALSE),TIAM15_assumptions!$H$2:$V$2,0))</f>
        <v>0.8</v>
      </c>
      <c r="AB18" s="9">
        <f ca="1">OFFSET(TIAM15_assumptions!$G18,0,MATCH(VLOOKUP(Assumptions!AB$2,TIAM15_assumptions!$Y$3:$Z$87,2,FALSE),TIAM15_assumptions!$H$2:$V$2,0))</f>
        <v>0.7</v>
      </c>
      <c r="AC18" s="9">
        <f ca="1">OFFSET(TIAM15_assumptions!$G18,0,MATCH(VLOOKUP(Assumptions!AC$2,TIAM15_assumptions!$Y$3:$Z$87,2,FALSE),TIAM15_assumptions!$H$2:$V$2,0))</f>
        <v>0.96032123091737276</v>
      </c>
      <c r="AD18" s="9">
        <f ca="1">OFFSET(TIAM15_assumptions!$G18,0,MATCH(VLOOKUP(Assumptions!AD$2,TIAM15_assumptions!$Y$3:$Z$87,2,FALSE),TIAM15_assumptions!$H$2:$V$2,0))</f>
        <v>0.9</v>
      </c>
      <c r="AE18" s="9">
        <f ca="1">OFFSET(TIAM15_assumptions!$G18,0,MATCH(VLOOKUP(Assumptions!AE$2,TIAM15_assumptions!$Y$3:$Z$87,2,FALSE),TIAM15_assumptions!$H$2:$V$2,0))</f>
        <v>0.9</v>
      </c>
      <c r="AF18" s="9">
        <f ca="1">OFFSET(TIAM15_assumptions!$G18,0,MATCH(VLOOKUP(Assumptions!AF$2,TIAM15_assumptions!$Y$3:$Z$87,2,FALSE),TIAM15_assumptions!$H$2:$V$2,0))</f>
        <v>0.8</v>
      </c>
      <c r="AG18" s="9">
        <f ca="1">OFFSET(TIAM15_assumptions!$G18,0,MATCH(VLOOKUP(Assumptions!AG$2,TIAM15_assumptions!$Y$3:$Z$87,2,FALSE),TIAM15_assumptions!$H$2:$V$2,0))</f>
        <v>0.9</v>
      </c>
      <c r="AH18" s="9">
        <f ca="1">OFFSET(TIAM15_assumptions!$G18,0,MATCH(VLOOKUP(Assumptions!AH$2,TIAM15_assumptions!$Y$3:$Z$87,2,FALSE),TIAM15_assumptions!$H$2:$V$2,0))</f>
        <v>0.7</v>
      </c>
      <c r="AI18" s="9">
        <f ca="1">OFFSET(TIAM15_assumptions!$G18,0,MATCH(VLOOKUP(Assumptions!AI$2,TIAM15_assumptions!$Y$3:$Z$87,2,FALSE),TIAM15_assumptions!$H$2:$V$2,0))</f>
        <v>0.7</v>
      </c>
      <c r="AJ18" s="9">
        <f ca="1">OFFSET(TIAM15_assumptions!$G18,0,MATCH(VLOOKUP(Assumptions!AJ$2,TIAM15_assumptions!$Y$3:$Z$87,2,FALSE),TIAM15_assumptions!$H$2:$V$2,0))</f>
        <v>0.9</v>
      </c>
      <c r="AK18" s="9">
        <f ca="1">OFFSET(TIAM15_assumptions!$G18,0,MATCH(VLOOKUP(Assumptions!AK$2,TIAM15_assumptions!$Y$3:$Z$87,2,FALSE),TIAM15_assumptions!$H$2:$V$2,0))</f>
        <v>0.9</v>
      </c>
      <c r="AL18" s="9">
        <f ca="1">OFFSET(TIAM15_assumptions!$G18,0,MATCH(VLOOKUP(Assumptions!AL$2,TIAM15_assumptions!$Y$3:$Z$87,2,FALSE),TIAM15_assumptions!$H$2:$V$2,0))</f>
        <v>0.9</v>
      </c>
      <c r="AM18" s="9">
        <f ca="1">OFFSET(TIAM15_assumptions!$G18,0,MATCH(VLOOKUP(Assumptions!AM$2,TIAM15_assumptions!$Y$3:$Z$87,2,FALSE),TIAM15_assumptions!$H$2:$V$2,0))</f>
        <v>0.7</v>
      </c>
      <c r="AN18" s="9">
        <f ca="1">OFFSET(TIAM15_assumptions!$G18,0,MATCH(VLOOKUP(Assumptions!AN$2,TIAM15_assumptions!$Y$3:$Z$87,2,FALSE),TIAM15_assumptions!$H$2:$V$2,0))</f>
        <v>0.9</v>
      </c>
      <c r="AO18" s="9">
        <f ca="1">OFFSET(TIAM15_assumptions!$G18,0,MATCH(VLOOKUP(Assumptions!AO$2,TIAM15_assumptions!$Y$3:$Z$87,2,FALSE),TIAM15_assumptions!$H$2:$V$2,0))</f>
        <v>0.9</v>
      </c>
      <c r="AP18" s="9">
        <f ca="1">OFFSET(TIAM15_assumptions!$G18,0,MATCH(VLOOKUP(Assumptions!AP$2,TIAM15_assumptions!$Y$3:$Z$87,2,FALSE),TIAM15_assumptions!$H$2:$V$2,0))</f>
        <v>0.9</v>
      </c>
      <c r="AQ18" s="9">
        <f ca="1">OFFSET(TIAM15_assumptions!$G18,0,MATCH(VLOOKUP(Assumptions!AQ$2,TIAM15_assumptions!$Y$3:$Z$87,2,FALSE),TIAM15_assumptions!$H$2:$V$2,0))</f>
        <v>0.96032123091737276</v>
      </c>
      <c r="AR18" s="9">
        <f ca="1">OFFSET(TIAM15_assumptions!$G18,0,MATCH(VLOOKUP(Assumptions!AR$2,TIAM15_assumptions!$Y$3:$Z$87,2,FALSE),TIAM15_assumptions!$H$2:$V$2,0))</f>
        <v>0.96032123091737276</v>
      </c>
      <c r="AS18" s="9">
        <f ca="1">OFFSET(TIAM15_assumptions!$G18,0,MATCH(VLOOKUP(Assumptions!AS$2,TIAM15_assumptions!$Y$3:$Z$87,2,FALSE),TIAM15_assumptions!$H$2:$V$2,0))</f>
        <v>0.96032123091737276</v>
      </c>
      <c r="AT18" s="9">
        <f ca="1">OFFSET(TIAM15_assumptions!$G18,0,MATCH(VLOOKUP(Assumptions!AT$2,TIAM15_assumptions!$Y$3:$Z$87,2,FALSE),TIAM15_assumptions!$H$2:$V$2,0))</f>
        <v>0.96032123091737276</v>
      </c>
      <c r="AU18" s="9">
        <f ca="1">OFFSET(TIAM15_assumptions!$G18,0,MATCH(VLOOKUP(Assumptions!AU$2,TIAM15_assumptions!$Y$3:$Z$87,2,FALSE),TIAM15_assumptions!$H$2:$V$2,0))</f>
        <v>0.96032123091737276</v>
      </c>
      <c r="AV18" s="9">
        <f ca="1">OFFSET(TIAM15_assumptions!$G18,0,MATCH(VLOOKUP(Assumptions!AV$2,TIAM15_assumptions!$Y$3:$Z$87,2,FALSE),TIAM15_assumptions!$H$2:$V$2,0))</f>
        <v>0.96032123091737276</v>
      </c>
      <c r="AW18" s="9">
        <f ca="1">OFFSET(TIAM15_assumptions!$G18,0,MATCH(VLOOKUP(Assumptions!AW$2,TIAM15_assumptions!$Y$3:$Z$87,2,FALSE),TIAM15_assumptions!$H$2:$V$2,0))</f>
        <v>0.96032123091737276</v>
      </c>
      <c r="AX18" s="9">
        <f ca="1">OFFSET(TIAM15_assumptions!$G18,0,MATCH(VLOOKUP(Assumptions!AX$2,TIAM15_assumptions!$Y$3:$Z$87,2,FALSE),TIAM15_assumptions!$H$2:$V$2,0))</f>
        <v>0.96032123091737276</v>
      </c>
      <c r="AY18" s="9">
        <f ca="1">OFFSET(TIAM15_assumptions!$G18,0,MATCH(VLOOKUP(Assumptions!AY$2,TIAM15_assumptions!$Y$3:$Z$87,2,FALSE),TIAM15_assumptions!$H$2:$V$2,0))</f>
        <v>0.96032123091737276</v>
      </c>
      <c r="AZ18" s="9">
        <f ca="1">OFFSET(TIAM15_assumptions!$G18,0,MATCH(VLOOKUP(Assumptions!AZ$2,TIAM15_assumptions!$Y$3:$Z$87,2,FALSE),TIAM15_assumptions!$H$2:$V$2,0))</f>
        <v>0.96032123091737276</v>
      </c>
      <c r="BA18" s="9">
        <f ca="1">OFFSET(TIAM15_assumptions!$G18,0,MATCH(VLOOKUP(Assumptions!BA$2,TIAM15_assumptions!$Y$3:$Z$87,2,FALSE),TIAM15_assumptions!$H$2:$V$2,0))</f>
        <v>0.96032123091737276</v>
      </c>
      <c r="BD18" s="34">
        <f ca="1">IFERROR(SUMIFS('TRA balance'!E$5:E$40,'TRA balance'!$C$5:$C$40,Assumptions!$C18,'TRA balance'!$D$5:$D$40,Assumptions!$B18)*CY18*H18,"")</f>
        <v>1.8674744104799998</v>
      </c>
      <c r="BE18" s="34">
        <f ca="1">IFERROR(SUMIFS('TRA balance'!F$5:F$40,'TRA balance'!$C$5:$C$40,Assumptions!$C18,'TRA balance'!$D$5:$D$40,Assumptions!$B18)*CZ18*I18,"")</f>
        <v>10.55918831184</v>
      </c>
      <c r="BF18" s="34">
        <f ca="1">IFERROR(SUMIFS('TRA balance'!G$5:G$40,'TRA balance'!$C$5:$C$40,Assumptions!$C18,'TRA balance'!$D$5:$D$40,Assumptions!$B18)*DA18*J18,"")</f>
        <v>33.367804565759997</v>
      </c>
      <c r="BG18" s="34">
        <f ca="1">IFERROR(SUMIFS('TRA balance'!H$5:H$40,'TRA balance'!$C$5:$C$40,Assumptions!$C18,'TRA balance'!$D$5:$D$40,Assumptions!$B18)*DB18*K18,"")</f>
        <v>1.1942528803199999</v>
      </c>
      <c r="BH18" s="34">
        <f ca="1">IFERROR(SUMIFS('TRA balance'!I$5:I$40,'TRA balance'!$C$5:$C$40,Assumptions!$C18,'TRA balance'!$D$5:$D$40,Assumptions!$B18)*DC18*L18,"")</f>
        <v>4.1495780919599996</v>
      </c>
      <c r="BI18" s="34">
        <f ca="1">IFERROR(SUMIFS('TRA balance'!J$5:J$40,'TRA balance'!$C$5:$C$40,Assumptions!$C18,'TRA balance'!$D$5:$D$40,Assumptions!$B18)*DD18*M18,"")</f>
        <v>1.70708647608</v>
      </c>
      <c r="BJ18" s="34">
        <f ca="1">IFERROR(SUMIFS('TRA balance'!K$5:K$40,'TRA balance'!$C$5:$C$40,Assumptions!$C18,'TRA balance'!$D$5:$D$40,Assumptions!$B18)*DE18*N18,"")</f>
        <v>32.628616652160005</v>
      </c>
      <c r="BK18" s="34">
        <f ca="1">IFERROR(SUMIFS('TRA balance'!L$5:L$40,'TRA balance'!$C$5:$C$40,Assumptions!$C18,'TRA balance'!$D$5:$D$40,Assumptions!$B18)*DF18*O18,"")</f>
        <v>68.470907940719997</v>
      </c>
      <c r="BL18" s="34">
        <f ca="1">IFERROR(SUMIFS('TRA balance'!M$5:M$40,'TRA balance'!$C$5:$C$40,Assumptions!$C18,'TRA balance'!$D$5:$D$40,Assumptions!$B18)*DG18*P18,"")</f>
        <v>0.82871509535999999</v>
      </c>
      <c r="BM18" s="34">
        <f ca="1">IFERROR(SUMIFS('TRA balance'!N$5:N$40,'TRA balance'!$C$5:$C$40,Assumptions!$C18,'TRA balance'!$D$5:$D$40,Assumptions!$B18)*DH18*Q18,"")</f>
        <v>2.9521788314399999</v>
      </c>
      <c r="BN18" s="34">
        <f ca="1">IFERROR(SUMIFS('TRA balance'!O$5:O$40,'TRA balance'!$C$5:$C$40,Assumptions!$C18,'TRA balance'!$D$5:$D$40,Assumptions!$B18)*DI18*R18,"")</f>
        <v>4.4217154864800001</v>
      </c>
      <c r="BO18" s="34">
        <f ca="1">IFERROR(SUMIFS('TRA balance'!P$5:P$40,'TRA balance'!$C$5:$C$40,Assumptions!$C18,'TRA balance'!$D$5:$D$40,Assumptions!$B18)*DJ18*S18,"")</f>
        <v>9.6616782309599998</v>
      </c>
      <c r="BP18" s="34">
        <f ca="1">IFERROR(SUMIFS('TRA balance'!Q$5:Q$40,'TRA balance'!$C$5:$C$40,Assumptions!$C18,'TRA balance'!$D$5:$D$40,Assumptions!$B18)*DK18*T18,"")</f>
        <v>0.39973347396000003</v>
      </c>
      <c r="BQ18" s="34">
        <f ca="1">IFERROR(SUMIFS('TRA balance'!R$5:R$40,'TRA balance'!$C$5:$C$40,Assumptions!$C18,'TRA balance'!$D$5:$D$40,Assumptions!$B18)*DL18*U18,"")</f>
        <v>6.7088437466400004</v>
      </c>
      <c r="BR18" s="34">
        <f ca="1">IFERROR(SUMIFS('TRA balance'!S$5:S$40,'TRA balance'!$C$5:$C$40,Assumptions!$C18,'TRA balance'!$D$5:$D$40,Assumptions!$B18)*DM18*V18,"")</f>
        <v>0</v>
      </c>
      <c r="BS18" s="34">
        <f ca="1">IFERROR(SUMIFS('TRA balance'!T$5:T$40,'TRA balance'!$C$5:$C$40,Assumptions!$C18,'TRA balance'!$D$5:$D$40,Assumptions!$B18)*DN18*W18,"")</f>
        <v>54.978009609600001</v>
      </c>
      <c r="BT18" s="34">
        <f ca="1">IFERROR(SUMIFS('TRA balance'!U$5:U$40,'TRA balance'!$C$5:$C$40,Assumptions!$C18,'TRA balance'!$D$5:$D$40,Assumptions!$B18)*DO18*X18,"")</f>
        <v>1.47555434268</v>
      </c>
      <c r="BU18" s="34">
        <f ca="1">IFERROR(SUMIFS('TRA balance'!V$5:V$40,'TRA balance'!$C$5:$C$40,Assumptions!$C18,'TRA balance'!$D$5:$D$40,Assumptions!$B18)*DP18*Y18,"")</f>
        <v>1.6486203261600001</v>
      </c>
      <c r="BV18" s="34">
        <f ca="1">IFERROR(SUMIFS('TRA balance'!W$5:W$40,'TRA balance'!$C$5:$C$40,Assumptions!$C18,'TRA balance'!$D$5:$D$40,Assumptions!$B18)*DQ18*Z18,"")</f>
        <v>2.0070602290799999</v>
      </c>
      <c r="BW18" s="34">
        <f ca="1">IFERROR(SUMIFS('TRA balance'!X$5:X$40,'TRA balance'!$C$5:$C$40,Assumptions!$C18,'TRA balance'!$D$5:$D$40,Assumptions!$B18)*DR18*AA18,"")</f>
        <v>1.5625707004800002</v>
      </c>
      <c r="BX18" s="34">
        <f ca="1">IFERROR(SUMIFS('TRA balance'!Y$5:Y$40,'TRA balance'!$C$5:$C$40,Assumptions!$C18,'TRA balance'!$D$5:$D$40,Assumptions!$B18)*DS18*AB18,"")</f>
        <v>2.40085514592</v>
      </c>
      <c r="BY18" s="34">
        <f ca="1">IFERROR(SUMIFS('TRA balance'!Z$5:Z$40,'TRA balance'!$C$5:$C$40,Assumptions!$C18,'TRA balance'!$D$5:$D$40,Assumptions!$B18)*DT18*AC18,"")</f>
        <v>656.75167724562834</v>
      </c>
      <c r="BZ18" s="34">
        <f ca="1">IFERROR(SUMIFS('TRA balance'!AA$5:AA$40,'TRA balance'!$C$5:$C$40,Assumptions!$C18,'TRA balance'!$D$5:$D$40,Assumptions!$B18)*DU18*AD18,"")</f>
        <v>0.51252837803999995</v>
      </c>
      <c r="CA18" s="34">
        <f ca="1">IFERROR(SUMIFS('TRA balance'!AB$5:AB$40,'TRA balance'!$C$5:$C$40,Assumptions!$C18,'TRA balance'!$D$5:$D$40,Assumptions!$B18)*DV18*AE18,"")</f>
        <v>3.2239733270399999</v>
      </c>
      <c r="CB18" s="34">
        <f ca="1">IFERROR(SUMIFS('TRA balance'!AC$5:AC$40,'TRA balance'!$C$5:$C$40,Assumptions!$C18,'TRA balance'!$D$5:$D$40,Assumptions!$B18)*DW18*AF18,"")</f>
        <v>62.247232252799996</v>
      </c>
      <c r="CC18" s="34">
        <f ca="1">IFERROR(SUMIFS('TRA balance'!AD$5:AD$40,'TRA balance'!$C$5:$C$40,Assumptions!$C18,'TRA balance'!$D$5:$D$40,Assumptions!$B18)*DX18*AG18,"")</f>
        <v>154.81258092396001</v>
      </c>
      <c r="CD18" s="34">
        <f ca="1">IFERROR(SUMIFS('TRA balance'!AE$5:AE$40,'TRA balance'!$C$5:$C$40,Assumptions!$C18,'TRA balance'!$D$5:$D$40,Assumptions!$B18)*DY18*AH18,"")</f>
        <v>0</v>
      </c>
      <c r="CE18" s="34">
        <f ca="1">IFERROR(SUMIFS('TRA balance'!AF$5:AF$40,'TRA balance'!$C$5:$C$40,Assumptions!$C18,'TRA balance'!$D$5:$D$40,Assumptions!$B18)*DZ18*AI18,"")</f>
        <v>3.5336349165599996</v>
      </c>
      <c r="CF18" s="34">
        <f ca="1">IFERROR(SUMIFS('TRA balance'!AG$5:AG$40,'TRA balance'!$C$5:$C$40,Assumptions!$C18,'TRA balance'!$D$5:$D$40,Assumptions!$B18)*EA18*AJ18,"")</f>
        <v>3.4793162107200004</v>
      </c>
      <c r="CG18" s="34">
        <f ca="1">IFERROR(SUMIFS('TRA balance'!AH$5:AH$40,'TRA balance'!$C$5:$C$40,Assumptions!$C18,'TRA balance'!$D$5:$D$40,Assumptions!$B18)*EB18*AK18,"")</f>
        <v>4.0979322392399995</v>
      </c>
      <c r="CH18" s="34">
        <f ca="1">IFERROR(SUMIFS('TRA balance'!AI$5:AI$40,'TRA balance'!$C$5:$C$40,Assumptions!$C18,'TRA balance'!$D$5:$D$40,Assumptions!$B18)*EC18*AL18,"")</f>
        <v>0.34149341123999999</v>
      </c>
      <c r="CI18" s="34">
        <f ca="1">IFERROR(SUMIFS('TRA balance'!AJ$5:AJ$40,'TRA balance'!$C$5:$C$40,Assumptions!$C18,'TRA balance'!$D$5:$D$40,Assumptions!$B18)*ED18*AM18,"")</f>
        <v>3.3994793775599996</v>
      </c>
      <c r="CJ18" s="34">
        <f ca="1">IFERROR(SUMIFS('TRA balance'!AK$5:AK$40,'TRA balance'!$C$5:$C$40,Assumptions!$C18,'TRA balance'!$D$5:$D$40,Assumptions!$B18)*EE18*AN18,"")</f>
        <v>24.327879532560001</v>
      </c>
      <c r="CK18" s="34">
        <f ca="1">IFERROR(SUMIFS('TRA balance'!AL$5:AL$40,'TRA balance'!$C$5:$C$40,Assumptions!$C18,'TRA balance'!$D$5:$D$40,Assumptions!$B18)*EF18*AO18,"")</f>
        <v>1.27820659392</v>
      </c>
      <c r="CL18" s="34">
        <f ca="1">IFERROR(SUMIFS('TRA balance'!AM$5:AM$40,'TRA balance'!$C$5:$C$40,Assumptions!$C18,'TRA balance'!$D$5:$D$40,Assumptions!$B18)*EG18*AP18,"")</f>
        <v>0.70488713592000007</v>
      </c>
      <c r="CM18" s="34">
        <f ca="1">IFERROR(SUMIFS('TRA balance'!AN$5:AN$40,'TRA balance'!$C$5:$C$40,Assumptions!$C18,'TRA balance'!$D$5:$D$40,Assumptions!$B18)*EH18*AQ18,"")</f>
        <v>0</v>
      </c>
      <c r="CN18" s="34">
        <f ca="1">IFERROR(SUMIFS('TRA balance'!AO$5:AO$40,'TRA balance'!$C$5:$C$40,Assumptions!$C18,'TRA balance'!$D$5:$D$40,Assumptions!$B18)*EI18*AR18,"")</f>
        <v>0</v>
      </c>
      <c r="CO18" s="34">
        <f ca="1">IFERROR(SUMIFS('TRA balance'!AP$5:AP$40,'TRA balance'!$C$5:$C$40,Assumptions!$C18,'TRA balance'!$D$5:$D$40,Assumptions!$B18)*EJ18*AS18,"")</f>
        <v>0</v>
      </c>
      <c r="CP18" s="34">
        <f ca="1">IFERROR(SUMIFS('TRA balance'!AQ$5:AQ$40,'TRA balance'!$C$5:$C$40,Assumptions!$C18,'TRA balance'!$D$5:$D$40,Assumptions!$B18)*EK18*AT18,"")</f>
        <v>0</v>
      </c>
      <c r="CQ18" s="34">
        <f ca="1">IFERROR(SUMIFS('TRA balance'!AR$5:AR$40,'TRA balance'!$C$5:$C$40,Assumptions!$C18,'TRA balance'!$D$5:$D$40,Assumptions!$B18)*EL18*AU18,"")</f>
        <v>0</v>
      </c>
      <c r="CR18" s="34">
        <f ca="1">IFERROR(SUMIFS('TRA balance'!AS$5:AS$40,'TRA balance'!$C$5:$C$40,Assumptions!$C18,'TRA balance'!$D$5:$D$40,Assumptions!$B18)*EM18*AV18,"")</f>
        <v>0</v>
      </c>
      <c r="CS18" s="34">
        <f ca="1">IFERROR(SUMIFS('TRA balance'!AT$5:AT$40,'TRA balance'!$C$5:$C$40,Assumptions!$C18,'TRA balance'!$D$5:$D$40,Assumptions!$B18)*EN18*AW18,"")</f>
        <v>0</v>
      </c>
      <c r="CT18" s="34">
        <f ca="1">IFERROR(SUMIFS('TRA balance'!AU$5:AU$40,'TRA balance'!$C$5:$C$40,Assumptions!$C18,'TRA balance'!$D$5:$D$40,Assumptions!$B18)*EO18*AX18,"")</f>
        <v>0</v>
      </c>
      <c r="CU18" s="34">
        <f ca="1">IFERROR(SUMIFS('TRA balance'!AV$5:AV$40,'TRA balance'!$C$5:$C$40,Assumptions!$C18,'TRA balance'!$D$5:$D$40,Assumptions!$B18)*EP18*AY18,"")</f>
        <v>0</v>
      </c>
      <c r="CV18" s="34">
        <f ca="1">IFERROR(SUMIFS('TRA balance'!AW$5:AW$40,'TRA balance'!$C$5:$C$40,Assumptions!$C18,'TRA balance'!$D$5:$D$40,Assumptions!$B18)*EQ18*AZ18,"")</f>
        <v>0</v>
      </c>
      <c r="CW18" s="34">
        <f ca="1">IFERROR(SUMIFS('TRA balance'!AX$5:AX$40,'TRA balance'!$C$5:$C$40,Assumptions!$C18,'TRA balance'!$D$5:$D$40,Assumptions!$B18)*ER18*BA18,"")</f>
        <v>0</v>
      </c>
      <c r="CY18" s="33">
        <f t="shared" si="2"/>
        <v>1</v>
      </c>
      <c r="CZ18" s="33">
        <f t="shared" si="3"/>
        <v>1</v>
      </c>
      <c r="DA18" s="33">
        <f t="shared" si="4"/>
        <v>1</v>
      </c>
      <c r="DB18" s="33">
        <f t="shared" si="5"/>
        <v>1</v>
      </c>
      <c r="DC18" s="33">
        <f t="shared" si="6"/>
        <v>1</v>
      </c>
      <c r="DD18" s="33">
        <f t="shared" si="7"/>
        <v>1</v>
      </c>
      <c r="DE18" s="33">
        <f t="shared" si="8"/>
        <v>1</v>
      </c>
      <c r="DF18" s="33">
        <f t="shared" si="9"/>
        <v>1</v>
      </c>
      <c r="DG18" s="33">
        <f t="shared" si="10"/>
        <v>1</v>
      </c>
      <c r="DH18" s="33">
        <f t="shared" si="11"/>
        <v>1</v>
      </c>
      <c r="DI18" s="33">
        <f t="shared" si="12"/>
        <v>1</v>
      </c>
      <c r="DJ18" s="33">
        <f t="shared" si="13"/>
        <v>1</v>
      </c>
      <c r="DK18" s="33">
        <f t="shared" si="14"/>
        <v>1</v>
      </c>
      <c r="DL18" s="33">
        <f t="shared" si="15"/>
        <v>1</v>
      </c>
      <c r="DM18" s="33">
        <f t="shared" si="16"/>
        <v>1</v>
      </c>
      <c r="DN18" s="33">
        <f t="shared" si="17"/>
        <v>1</v>
      </c>
      <c r="DO18" s="33">
        <f t="shared" si="18"/>
        <v>1</v>
      </c>
      <c r="DP18" s="33">
        <f t="shared" si="19"/>
        <v>1</v>
      </c>
      <c r="DQ18" s="33">
        <f t="shared" si="20"/>
        <v>1</v>
      </c>
      <c r="DR18" s="33">
        <f t="shared" si="21"/>
        <v>1</v>
      </c>
      <c r="DS18" s="33">
        <f t="shared" si="22"/>
        <v>1</v>
      </c>
      <c r="DT18" s="33">
        <f t="shared" si="23"/>
        <v>1</v>
      </c>
      <c r="DU18" s="33">
        <f t="shared" si="24"/>
        <v>1</v>
      </c>
      <c r="DV18" s="33">
        <f t="shared" si="25"/>
        <v>1</v>
      </c>
      <c r="DW18" s="33">
        <f t="shared" si="26"/>
        <v>1</v>
      </c>
      <c r="DX18" s="33">
        <f t="shared" si="27"/>
        <v>1</v>
      </c>
      <c r="DY18" s="33">
        <f t="shared" si="28"/>
        <v>1</v>
      </c>
      <c r="DZ18" s="33">
        <f t="shared" si="29"/>
        <v>1</v>
      </c>
      <c r="EA18" s="33">
        <f t="shared" si="30"/>
        <v>1</v>
      </c>
      <c r="EB18" s="33">
        <f t="shared" si="31"/>
        <v>1</v>
      </c>
      <c r="EC18" s="33">
        <f t="shared" si="32"/>
        <v>1</v>
      </c>
      <c r="ED18" s="33">
        <f t="shared" si="33"/>
        <v>1</v>
      </c>
      <c r="EE18" s="33">
        <f t="shared" si="34"/>
        <v>1</v>
      </c>
      <c r="EF18" s="33">
        <f t="shared" si="35"/>
        <v>1</v>
      </c>
      <c r="EG18" s="33">
        <f t="shared" si="36"/>
        <v>1</v>
      </c>
      <c r="EH18" s="33">
        <f t="shared" si="37"/>
        <v>1</v>
      </c>
      <c r="EI18" s="33">
        <f t="shared" si="38"/>
        <v>1</v>
      </c>
      <c r="EJ18" s="33">
        <f t="shared" si="39"/>
        <v>1</v>
      </c>
      <c r="EK18" s="33">
        <f t="shared" si="40"/>
        <v>1</v>
      </c>
      <c r="EL18" s="33">
        <f t="shared" si="41"/>
        <v>1</v>
      </c>
      <c r="EM18" s="33">
        <f t="shared" si="42"/>
        <v>1</v>
      </c>
      <c r="EN18" s="33">
        <f t="shared" si="43"/>
        <v>1</v>
      </c>
      <c r="EO18" s="33">
        <f t="shared" si="44"/>
        <v>1</v>
      </c>
      <c r="EP18" s="33">
        <f t="shared" si="45"/>
        <v>1</v>
      </c>
      <c r="EQ18" s="33">
        <f t="shared" si="46"/>
        <v>1</v>
      </c>
      <c r="ER18" s="33">
        <f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6" t="str">
        <f t="shared" si="48"/>
        <v>TT</v>
      </c>
      <c r="D19" s="7" t="s">
        <v>17</v>
      </c>
      <c r="E19" s="7" t="s">
        <v>56</v>
      </c>
      <c r="F19" s="8" t="str">
        <f t="shared" si="55"/>
        <v>Diesel</v>
      </c>
      <c r="G19" s="6" t="s">
        <v>57</v>
      </c>
      <c r="H19" s="9">
        <f ca="1">OFFSET(TIAM15_assumptions!$G19,0,MATCH(VLOOKUP(Assumptions!H$2,TIAM15_assumptions!$Y$3:$Z$87,2,FALSE),TIAM15_assumptions!$H$2:$V$2,0))</f>
        <v>0.3</v>
      </c>
      <c r="I19" s="9">
        <f ca="1">OFFSET(TIAM15_assumptions!$G19,0,MATCH(VLOOKUP(Assumptions!I$2,TIAM15_assumptions!$Y$3:$Z$87,2,FALSE),TIAM15_assumptions!$H$2:$V$2,0))</f>
        <v>0.3</v>
      </c>
      <c r="J19" s="9">
        <f ca="1">OFFSET(TIAM15_assumptions!$G19,0,MATCH(VLOOKUP(Assumptions!J$2,TIAM15_assumptions!$Y$3:$Z$87,2,FALSE),TIAM15_assumptions!$H$2:$V$2,0))</f>
        <v>0.3</v>
      </c>
      <c r="K19" s="9">
        <f ca="1">OFFSET(TIAM15_assumptions!$G19,0,MATCH(VLOOKUP(Assumptions!K$2,TIAM15_assumptions!$Y$3:$Z$87,2,FALSE),TIAM15_assumptions!$H$2:$V$2,0))</f>
        <v>0.1</v>
      </c>
      <c r="L19" s="9">
        <f ca="1">OFFSET(TIAM15_assumptions!$G19,0,MATCH(VLOOKUP(Assumptions!L$2,TIAM15_assumptions!$Y$3:$Z$87,2,FALSE),TIAM15_assumptions!$H$2:$V$2,0))</f>
        <v>0.1</v>
      </c>
      <c r="M19" s="9">
        <f ca="1">OFFSET(TIAM15_assumptions!$G19,0,MATCH(VLOOKUP(Assumptions!M$2,TIAM15_assumptions!$Y$3:$Z$87,2,FALSE),TIAM15_assumptions!$H$2:$V$2,0))</f>
        <v>0.1</v>
      </c>
      <c r="N19" s="9">
        <f ca="1">OFFSET(TIAM15_assumptions!$G19,0,MATCH(VLOOKUP(Assumptions!N$2,TIAM15_assumptions!$Y$3:$Z$87,2,FALSE),TIAM15_assumptions!$H$2:$V$2,0))</f>
        <v>0.2</v>
      </c>
      <c r="O19" s="9">
        <f ca="1">OFFSET(TIAM15_assumptions!$G19,0,MATCH(VLOOKUP(Assumptions!O$2,TIAM15_assumptions!$Y$3:$Z$87,2,FALSE),TIAM15_assumptions!$H$2:$V$2,0))</f>
        <v>0.4</v>
      </c>
      <c r="P19" s="9">
        <f ca="1">OFFSET(TIAM15_assumptions!$G19,0,MATCH(VLOOKUP(Assumptions!P$2,TIAM15_assumptions!$Y$3:$Z$87,2,FALSE),TIAM15_assumptions!$H$2:$V$2,0))</f>
        <v>0.1</v>
      </c>
      <c r="Q19" s="9">
        <f ca="1">OFFSET(TIAM15_assumptions!$G19,0,MATCH(VLOOKUP(Assumptions!Q$2,TIAM15_assumptions!$Y$3:$Z$87,2,FALSE),TIAM15_assumptions!$H$2:$V$2,0))</f>
        <v>0.1</v>
      </c>
      <c r="R19" s="9">
        <f ca="1">OFFSET(TIAM15_assumptions!$G19,0,MATCH(VLOOKUP(Assumptions!R$2,TIAM15_assumptions!$Y$3:$Z$87,2,FALSE),TIAM15_assumptions!$H$2:$V$2,0))</f>
        <v>0.1</v>
      </c>
      <c r="S19" s="9">
        <f ca="1">OFFSET(TIAM15_assumptions!$G19,0,MATCH(VLOOKUP(Assumptions!S$2,TIAM15_assumptions!$Y$3:$Z$87,2,FALSE),TIAM15_assumptions!$H$2:$V$2,0))</f>
        <v>0.1</v>
      </c>
      <c r="T19" s="9">
        <f ca="1">OFFSET(TIAM15_assumptions!$G19,0,MATCH(VLOOKUP(Assumptions!T$2,TIAM15_assumptions!$Y$3:$Z$87,2,FALSE),TIAM15_assumptions!$H$2:$V$2,0))</f>
        <v>0.1</v>
      </c>
      <c r="U19" s="9">
        <f ca="1">OFFSET(TIAM15_assumptions!$G19,0,MATCH(VLOOKUP(Assumptions!U$2,TIAM15_assumptions!$Y$3:$Z$87,2,FALSE),TIAM15_assumptions!$H$2:$V$2,0))</f>
        <v>0.1</v>
      </c>
      <c r="V19" s="9">
        <f ca="1">OFFSET(TIAM15_assumptions!$G19,0,MATCH(VLOOKUP(Assumptions!V$2,TIAM15_assumptions!$Y$3:$Z$87,2,FALSE),TIAM15_assumptions!$H$2:$V$2,0))</f>
        <v>0.1</v>
      </c>
      <c r="W19" s="9">
        <f ca="1">OFFSET(TIAM15_assumptions!$G19,0,MATCH(VLOOKUP(Assumptions!W$2,TIAM15_assumptions!$Y$3:$Z$87,2,FALSE),TIAM15_assumptions!$H$2:$V$2,0))</f>
        <v>0.5</v>
      </c>
      <c r="X19" s="9">
        <f ca="1">OFFSET(TIAM15_assumptions!$G19,0,MATCH(VLOOKUP(Assumptions!X$2,TIAM15_assumptions!$Y$3:$Z$87,2,FALSE),TIAM15_assumptions!$H$2:$V$2,0))</f>
        <v>0.1</v>
      </c>
      <c r="Y19" s="9">
        <f ca="1">OFFSET(TIAM15_assumptions!$G19,0,MATCH(VLOOKUP(Assumptions!Y$2,TIAM15_assumptions!$Y$3:$Z$87,2,FALSE),TIAM15_assumptions!$H$2:$V$2,0))</f>
        <v>0.1</v>
      </c>
      <c r="Z19" s="9">
        <f ca="1">OFFSET(TIAM15_assumptions!$G19,0,MATCH(VLOOKUP(Assumptions!Z$2,TIAM15_assumptions!$Y$3:$Z$87,2,FALSE),TIAM15_assumptions!$H$2:$V$2,0))</f>
        <v>0.7</v>
      </c>
      <c r="AA19" s="9">
        <f ca="1">OFFSET(TIAM15_assumptions!$G19,0,MATCH(VLOOKUP(Assumptions!AA$2,TIAM15_assumptions!$Y$3:$Z$87,2,FALSE),TIAM15_assumptions!$H$2:$V$2,0))</f>
        <v>0.2</v>
      </c>
      <c r="AB19" s="9">
        <f ca="1">OFFSET(TIAM15_assumptions!$G19,0,MATCH(VLOOKUP(Assumptions!AB$2,TIAM15_assumptions!$Y$3:$Z$87,2,FALSE),TIAM15_assumptions!$H$2:$V$2,0))</f>
        <v>0.3</v>
      </c>
      <c r="AC19" s="9">
        <f ca="1">OFFSET(TIAM15_assumptions!$G19,0,MATCH(VLOOKUP(Assumptions!AC$2,TIAM15_assumptions!$Y$3:$Z$87,2,FALSE),TIAM15_assumptions!$H$2:$V$2,0))</f>
        <v>3.9678769082627241E-2</v>
      </c>
      <c r="AD19" s="9">
        <f ca="1">OFFSET(TIAM15_assumptions!$G19,0,MATCH(VLOOKUP(Assumptions!AD$2,TIAM15_assumptions!$Y$3:$Z$87,2,FALSE),TIAM15_assumptions!$H$2:$V$2,0))</f>
        <v>0.1</v>
      </c>
      <c r="AE19" s="9">
        <f ca="1">OFFSET(TIAM15_assumptions!$G19,0,MATCH(VLOOKUP(Assumptions!AE$2,TIAM15_assumptions!$Y$3:$Z$87,2,FALSE),TIAM15_assumptions!$H$2:$V$2,0))</f>
        <v>0.1</v>
      </c>
      <c r="AF19" s="9">
        <f ca="1">OFFSET(TIAM15_assumptions!$G19,0,MATCH(VLOOKUP(Assumptions!AF$2,TIAM15_assumptions!$Y$3:$Z$87,2,FALSE),TIAM15_assumptions!$H$2:$V$2,0))</f>
        <v>0.2</v>
      </c>
      <c r="AG19" s="9">
        <f ca="1">OFFSET(TIAM15_assumptions!$G19,0,MATCH(VLOOKUP(Assumptions!AG$2,TIAM15_assumptions!$Y$3:$Z$87,2,FALSE),TIAM15_assumptions!$H$2:$V$2,0))</f>
        <v>0.1</v>
      </c>
      <c r="AH19" s="9">
        <f ca="1">OFFSET(TIAM15_assumptions!$G19,0,MATCH(VLOOKUP(Assumptions!AH$2,TIAM15_assumptions!$Y$3:$Z$87,2,FALSE),TIAM15_assumptions!$H$2:$V$2,0))</f>
        <v>0.3</v>
      </c>
      <c r="AI19" s="9">
        <f ca="1">OFFSET(TIAM15_assumptions!$G19,0,MATCH(VLOOKUP(Assumptions!AI$2,TIAM15_assumptions!$Y$3:$Z$87,2,FALSE),TIAM15_assumptions!$H$2:$V$2,0))</f>
        <v>0.3</v>
      </c>
      <c r="AJ19" s="9">
        <f ca="1">OFFSET(TIAM15_assumptions!$G19,0,MATCH(VLOOKUP(Assumptions!AJ$2,TIAM15_assumptions!$Y$3:$Z$87,2,FALSE),TIAM15_assumptions!$H$2:$V$2,0))</f>
        <v>0.1</v>
      </c>
      <c r="AK19" s="9">
        <f ca="1">OFFSET(TIAM15_assumptions!$G19,0,MATCH(VLOOKUP(Assumptions!AK$2,TIAM15_assumptions!$Y$3:$Z$87,2,FALSE),TIAM15_assumptions!$H$2:$V$2,0))</f>
        <v>0.1</v>
      </c>
      <c r="AL19" s="9">
        <f ca="1">OFFSET(TIAM15_assumptions!$G19,0,MATCH(VLOOKUP(Assumptions!AL$2,TIAM15_assumptions!$Y$3:$Z$87,2,FALSE),TIAM15_assumptions!$H$2:$V$2,0))</f>
        <v>0.1</v>
      </c>
      <c r="AM19" s="9">
        <f ca="1">OFFSET(TIAM15_assumptions!$G19,0,MATCH(VLOOKUP(Assumptions!AM$2,TIAM15_assumptions!$Y$3:$Z$87,2,FALSE),TIAM15_assumptions!$H$2:$V$2,0))</f>
        <v>0.3</v>
      </c>
      <c r="AN19" s="9">
        <f ca="1">OFFSET(TIAM15_assumptions!$G19,0,MATCH(VLOOKUP(Assumptions!AN$2,TIAM15_assumptions!$Y$3:$Z$87,2,FALSE),TIAM15_assumptions!$H$2:$V$2,0))</f>
        <v>0.1</v>
      </c>
      <c r="AO19" s="9">
        <f ca="1">OFFSET(TIAM15_assumptions!$G19,0,MATCH(VLOOKUP(Assumptions!AO$2,TIAM15_assumptions!$Y$3:$Z$87,2,FALSE),TIAM15_assumptions!$H$2:$V$2,0))</f>
        <v>0.1</v>
      </c>
      <c r="AP19" s="9">
        <f ca="1">OFFSET(TIAM15_assumptions!$G19,0,MATCH(VLOOKUP(Assumptions!AP$2,TIAM15_assumptions!$Y$3:$Z$87,2,FALSE),TIAM15_assumptions!$H$2:$V$2,0))</f>
        <v>0.1</v>
      </c>
      <c r="AQ19" s="9">
        <f ca="1">OFFSET(TIAM15_assumptions!$G19,0,MATCH(VLOOKUP(Assumptions!AQ$2,TIAM15_assumptions!$Y$3:$Z$87,2,FALSE),TIAM15_assumptions!$H$2:$V$2,0))</f>
        <v>3.9678769082627241E-2</v>
      </c>
      <c r="AR19" s="9">
        <f ca="1">OFFSET(TIAM15_assumptions!$G19,0,MATCH(VLOOKUP(Assumptions!AR$2,TIAM15_assumptions!$Y$3:$Z$87,2,FALSE),TIAM15_assumptions!$H$2:$V$2,0))</f>
        <v>3.9678769082627241E-2</v>
      </c>
      <c r="AS19" s="9">
        <f ca="1">OFFSET(TIAM15_assumptions!$G19,0,MATCH(VLOOKUP(Assumptions!AS$2,TIAM15_assumptions!$Y$3:$Z$87,2,FALSE),TIAM15_assumptions!$H$2:$V$2,0))</f>
        <v>3.9678769082627241E-2</v>
      </c>
      <c r="AT19" s="9">
        <f ca="1">OFFSET(TIAM15_assumptions!$G19,0,MATCH(VLOOKUP(Assumptions!AT$2,TIAM15_assumptions!$Y$3:$Z$87,2,FALSE),TIAM15_assumptions!$H$2:$V$2,0))</f>
        <v>3.9678769082627241E-2</v>
      </c>
      <c r="AU19" s="9">
        <f ca="1">OFFSET(TIAM15_assumptions!$G19,0,MATCH(VLOOKUP(Assumptions!AU$2,TIAM15_assumptions!$Y$3:$Z$87,2,FALSE),TIAM15_assumptions!$H$2:$V$2,0))</f>
        <v>3.9678769082627241E-2</v>
      </c>
      <c r="AV19" s="9">
        <f ca="1">OFFSET(TIAM15_assumptions!$G19,0,MATCH(VLOOKUP(Assumptions!AV$2,TIAM15_assumptions!$Y$3:$Z$87,2,FALSE),TIAM15_assumptions!$H$2:$V$2,0))</f>
        <v>3.9678769082627241E-2</v>
      </c>
      <c r="AW19" s="9">
        <f ca="1">OFFSET(TIAM15_assumptions!$G19,0,MATCH(VLOOKUP(Assumptions!AW$2,TIAM15_assumptions!$Y$3:$Z$87,2,FALSE),TIAM15_assumptions!$H$2:$V$2,0))</f>
        <v>3.9678769082627241E-2</v>
      </c>
      <c r="AX19" s="9">
        <f ca="1">OFFSET(TIAM15_assumptions!$G19,0,MATCH(VLOOKUP(Assumptions!AX$2,TIAM15_assumptions!$Y$3:$Z$87,2,FALSE),TIAM15_assumptions!$H$2:$V$2,0))</f>
        <v>3.9678769082627241E-2</v>
      </c>
      <c r="AY19" s="9">
        <f ca="1">OFFSET(TIAM15_assumptions!$G19,0,MATCH(VLOOKUP(Assumptions!AY$2,TIAM15_assumptions!$Y$3:$Z$87,2,FALSE),TIAM15_assumptions!$H$2:$V$2,0))</f>
        <v>3.9678769082627241E-2</v>
      </c>
      <c r="AZ19" s="9">
        <f ca="1">OFFSET(TIAM15_assumptions!$G19,0,MATCH(VLOOKUP(Assumptions!AZ$2,TIAM15_assumptions!$Y$3:$Z$87,2,FALSE),TIAM15_assumptions!$H$2:$V$2,0))</f>
        <v>3.9678769082627241E-2</v>
      </c>
      <c r="BA19" s="9">
        <f ca="1">OFFSET(TIAM15_assumptions!$G19,0,MATCH(VLOOKUP(Assumptions!BA$2,TIAM15_assumptions!$Y$3:$Z$87,2,FALSE),TIAM15_assumptions!$H$2:$V$2,0))</f>
        <v>3.9678769082627241E-2</v>
      </c>
      <c r="BD19" s="34">
        <f ca="1">IFERROR(SUMIFS('TRA balance'!E$5:E$40,'TRA balance'!$C$5:$C$40,Assumptions!$C19,'TRA balance'!$D$5:$D$40,Assumptions!$B19)*CY19*H19,"")</f>
        <v>0.80034617592000001</v>
      </c>
      <c r="BE19" s="34">
        <f ca="1">IFERROR(SUMIFS('TRA balance'!F$5:F$40,'TRA balance'!$C$5:$C$40,Assumptions!$C19,'TRA balance'!$D$5:$D$40,Assumptions!$B19)*CZ19*I19,"")</f>
        <v>4.5253664193600001</v>
      </c>
      <c r="BF19" s="34">
        <f ca="1">IFERROR(SUMIFS('TRA balance'!G$5:G$40,'TRA balance'!$C$5:$C$40,Assumptions!$C19,'TRA balance'!$D$5:$D$40,Assumptions!$B19)*DA19*J19,"")</f>
        <v>14.300487671039999</v>
      </c>
      <c r="BG19" s="34">
        <f ca="1">IFERROR(SUMIFS('TRA balance'!H$5:H$40,'TRA balance'!$C$5:$C$40,Assumptions!$C19,'TRA balance'!$D$5:$D$40,Assumptions!$B19)*DB19*K19,"")</f>
        <v>0.13269476448</v>
      </c>
      <c r="BH19" s="34">
        <f ca="1">IFERROR(SUMIFS('TRA balance'!I$5:I$40,'TRA balance'!$C$5:$C$40,Assumptions!$C19,'TRA balance'!$D$5:$D$40,Assumptions!$B19)*DC19*L19,"")</f>
        <v>0.46106423244</v>
      </c>
      <c r="BI19" s="34">
        <f ca="1">IFERROR(SUMIFS('TRA balance'!J$5:J$40,'TRA balance'!$C$5:$C$40,Assumptions!$C19,'TRA balance'!$D$5:$D$40,Assumptions!$B19)*DD19*M19,"")</f>
        <v>0.18967627512000002</v>
      </c>
      <c r="BJ19" s="34">
        <f ca="1">IFERROR(SUMIFS('TRA balance'!K$5:K$40,'TRA balance'!$C$5:$C$40,Assumptions!$C19,'TRA balance'!$D$5:$D$40,Assumptions!$B19)*DE19*N19,"")</f>
        <v>8.1571541630400013</v>
      </c>
      <c r="BK19" s="34">
        <f ca="1">IFERROR(SUMIFS('TRA balance'!L$5:L$40,'TRA balance'!$C$5:$C$40,Assumptions!$C19,'TRA balance'!$D$5:$D$40,Assumptions!$B19)*DF19*O19,"")</f>
        <v>45.647271960479998</v>
      </c>
      <c r="BL19" s="34">
        <f ca="1">IFERROR(SUMIFS('TRA balance'!M$5:M$40,'TRA balance'!$C$5:$C$40,Assumptions!$C19,'TRA balance'!$D$5:$D$40,Assumptions!$B19)*DG19*P19,"")</f>
        <v>9.2079455040000008E-2</v>
      </c>
      <c r="BM19" s="34">
        <f ca="1">IFERROR(SUMIFS('TRA balance'!N$5:N$40,'TRA balance'!$C$5:$C$40,Assumptions!$C19,'TRA balance'!$D$5:$D$40,Assumptions!$B19)*DH19*Q19,"")</f>
        <v>0.32801987016</v>
      </c>
      <c r="BN19" s="34">
        <f ca="1">IFERROR(SUMIFS('TRA balance'!O$5:O$40,'TRA balance'!$C$5:$C$40,Assumptions!$C19,'TRA balance'!$D$5:$D$40,Assumptions!$B19)*DI19*R19,"")</f>
        <v>0.49130172072000006</v>
      </c>
      <c r="BO19" s="34">
        <f ca="1">IFERROR(SUMIFS('TRA balance'!P$5:P$40,'TRA balance'!$C$5:$C$40,Assumptions!$C19,'TRA balance'!$D$5:$D$40,Assumptions!$B19)*DJ19*S19,"")</f>
        <v>1.07351980344</v>
      </c>
      <c r="BP19" s="34">
        <f ca="1">IFERROR(SUMIFS('TRA balance'!Q$5:Q$40,'TRA balance'!$C$5:$C$40,Assumptions!$C19,'TRA balance'!$D$5:$D$40,Assumptions!$B19)*DK19*T19,"")</f>
        <v>4.4414830440000004E-2</v>
      </c>
      <c r="BQ19" s="34">
        <f ca="1">IFERROR(SUMIFS('TRA balance'!R$5:R$40,'TRA balance'!$C$5:$C$40,Assumptions!$C19,'TRA balance'!$D$5:$D$40,Assumptions!$B19)*DL19*U19,"")</f>
        <v>0.74542708296000004</v>
      </c>
      <c r="BR19" s="34">
        <f ca="1">IFERROR(SUMIFS('TRA balance'!S$5:S$40,'TRA balance'!$C$5:$C$40,Assumptions!$C19,'TRA balance'!$D$5:$D$40,Assumptions!$B19)*DM19*V19,"")</f>
        <v>0</v>
      </c>
      <c r="BS19" s="34">
        <f ca="1">IFERROR(SUMIFS('TRA balance'!T$5:T$40,'TRA balance'!$C$5:$C$40,Assumptions!$C19,'TRA balance'!$D$5:$D$40,Assumptions!$B19)*DN19*W19,"")</f>
        <v>54.978009609600001</v>
      </c>
      <c r="BT19" s="34">
        <f ca="1">IFERROR(SUMIFS('TRA balance'!U$5:U$40,'TRA balance'!$C$5:$C$40,Assumptions!$C19,'TRA balance'!$D$5:$D$40,Assumptions!$B19)*DO19*X19,"")</f>
        <v>0.16395048252</v>
      </c>
      <c r="BU19" s="34">
        <f ca="1">IFERROR(SUMIFS('TRA balance'!V$5:V$40,'TRA balance'!$C$5:$C$40,Assumptions!$C19,'TRA balance'!$D$5:$D$40,Assumptions!$B19)*DP19*Y19,"")</f>
        <v>0.18318003624000001</v>
      </c>
      <c r="BV19" s="34">
        <f ca="1">IFERROR(SUMIFS('TRA balance'!W$5:W$40,'TRA balance'!$C$5:$C$40,Assumptions!$C19,'TRA balance'!$D$5:$D$40,Assumptions!$B19)*DQ19*Z19,"")</f>
        <v>4.6831405345199997</v>
      </c>
      <c r="BW19" s="34">
        <f ca="1">IFERROR(SUMIFS('TRA balance'!X$5:X$40,'TRA balance'!$C$5:$C$40,Assumptions!$C19,'TRA balance'!$D$5:$D$40,Assumptions!$B19)*DR19*AA19,"")</f>
        <v>0.39064267512000006</v>
      </c>
      <c r="BX19" s="34">
        <f ca="1">IFERROR(SUMIFS('TRA balance'!Y$5:Y$40,'TRA balance'!$C$5:$C$40,Assumptions!$C19,'TRA balance'!$D$5:$D$40,Assumptions!$B19)*DS19*AB19,"")</f>
        <v>1.0289379196799999</v>
      </c>
      <c r="BY19" s="34">
        <f ca="1">IFERROR(SUMIFS('TRA balance'!Z$5:Z$40,'TRA balance'!$C$5:$C$40,Assumptions!$C19,'TRA balance'!$D$5:$D$40,Assumptions!$B19)*DT19*AC19,"")</f>
        <v>27.135813837171717</v>
      </c>
      <c r="BZ19" s="34">
        <f ca="1">IFERROR(SUMIFS('TRA balance'!AA$5:AA$40,'TRA balance'!$C$5:$C$40,Assumptions!$C19,'TRA balance'!$D$5:$D$40,Assumptions!$B19)*DU19*AD19,"")</f>
        <v>5.694759756E-2</v>
      </c>
      <c r="CA19" s="34">
        <f ca="1">IFERROR(SUMIFS('TRA balance'!AB$5:AB$40,'TRA balance'!$C$5:$C$40,Assumptions!$C19,'TRA balance'!$D$5:$D$40,Assumptions!$B19)*DV19*AE19,"")</f>
        <v>0.35821925856000003</v>
      </c>
      <c r="CB19" s="34">
        <f ca="1">IFERROR(SUMIFS('TRA balance'!AC$5:AC$40,'TRA balance'!$C$5:$C$40,Assumptions!$C19,'TRA balance'!$D$5:$D$40,Assumptions!$B19)*DW19*AF19,"")</f>
        <v>15.561808063199999</v>
      </c>
      <c r="CC19" s="34">
        <f ca="1">IFERROR(SUMIFS('TRA balance'!AD$5:AD$40,'TRA balance'!$C$5:$C$40,Assumptions!$C19,'TRA balance'!$D$5:$D$40,Assumptions!$B19)*DX19*AG19,"")</f>
        <v>17.201397880440002</v>
      </c>
      <c r="CD19" s="34">
        <f ca="1">IFERROR(SUMIFS('TRA balance'!AE$5:AE$40,'TRA balance'!$C$5:$C$40,Assumptions!$C19,'TRA balance'!$D$5:$D$40,Assumptions!$B19)*DY19*AH19,"")</f>
        <v>0</v>
      </c>
      <c r="CE19" s="34">
        <f ca="1">IFERROR(SUMIFS('TRA balance'!AF$5:AF$40,'TRA balance'!$C$5:$C$40,Assumptions!$C19,'TRA balance'!$D$5:$D$40,Assumptions!$B19)*DZ19*AI19,"")</f>
        <v>1.51441496424</v>
      </c>
      <c r="CF19" s="34">
        <f ca="1">IFERROR(SUMIFS('TRA balance'!AG$5:AG$40,'TRA balance'!$C$5:$C$40,Assumptions!$C19,'TRA balance'!$D$5:$D$40,Assumptions!$B19)*EA19*AJ19,"")</f>
        <v>0.38659069008000002</v>
      </c>
      <c r="CG19" s="34">
        <f ca="1">IFERROR(SUMIFS('TRA balance'!AH$5:AH$40,'TRA balance'!$C$5:$C$40,Assumptions!$C19,'TRA balance'!$D$5:$D$40,Assumptions!$B19)*EB19*AK19,"")</f>
        <v>0.45532580435999997</v>
      </c>
      <c r="CH19" s="34">
        <f ca="1">IFERROR(SUMIFS('TRA balance'!AI$5:AI$40,'TRA balance'!$C$5:$C$40,Assumptions!$C19,'TRA balance'!$D$5:$D$40,Assumptions!$B19)*EC19*AL19,"")</f>
        <v>3.794371236E-2</v>
      </c>
      <c r="CI19" s="34">
        <f ca="1">IFERROR(SUMIFS('TRA balance'!AJ$5:AJ$40,'TRA balance'!$C$5:$C$40,Assumptions!$C19,'TRA balance'!$D$5:$D$40,Assumptions!$B19)*ED19*AM19,"")</f>
        <v>1.4569197332399999</v>
      </c>
      <c r="CJ19" s="34">
        <f ca="1">IFERROR(SUMIFS('TRA balance'!AK$5:AK$40,'TRA balance'!$C$5:$C$40,Assumptions!$C19,'TRA balance'!$D$5:$D$40,Assumptions!$B19)*EE19*AN19,"")</f>
        <v>2.7030977258400002</v>
      </c>
      <c r="CK19" s="34">
        <f ca="1">IFERROR(SUMIFS('TRA balance'!AL$5:AL$40,'TRA balance'!$C$5:$C$40,Assumptions!$C19,'TRA balance'!$D$5:$D$40,Assumptions!$B19)*EF19*AO19,"")</f>
        <v>0.14202295488000002</v>
      </c>
      <c r="CL19" s="34">
        <f ca="1">IFERROR(SUMIFS('TRA balance'!AM$5:AM$40,'TRA balance'!$C$5:$C$40,Assumptions!$C19,'TRA balance'!$D$5:$D$40,Assumptions!$B19)*EG19*AP19,"")</f>
        <v>7.8320792880000004E-2</v>
      </c>
      <c r="CM19" s="34">
        <f ca="1">IFERROR(SUMIFS('TRA balance'!AN$5:AN$40,'TRA balance'!$C$5:$C$40,Assumptions!$C19,'TRA balance'!$D$5:$D$40,Assumptions!$B19)*EH19*AQ19,"")</f>
        <v>0</v>
      </c>
      <c r="CN19" s="34">
        <f ca="1">IFERROR(SUMIFS('TRA balance'!AO$5:AO$40,'TRA balance'!$C$5:$C$40,Assumptions!$C19,'TRA balance'!$D$5:$D$40,Assumptions!$B19)*EI19*AR19,"")</f>
        <v>0</v>
      </c>
      <c r="CO19" s="34">
        <f ca="1">IFERROR(SUMIFS('TRA balance'!AP$5:AP$40,'TRA balance'!$C$5:$C$40,Assumptions!$C19,'TRA balance'!$D$5:$D$40,Assumptions!$B19)*EJ19*AS19,"")</f>
        <v>0</v>
      </c>
      <c r="CP19" s="34">
        <f ca="1">IFERROR(SUMIFS('TRA balance'!AQ$5:AQ$40,'TRA balance'!$C$5:$C$40,Assumptions!$C19,'TRA balance'!$D$5:$D$40,Assumptions!$B19)*EK19*AT19,"")</f>
        <v>0</v>
      </c>
      <c r="CQ19" s="34">
        <f ca="1">IFERROR(SUMIFS('TRA balance'!AR$5:AR$40,'TRA balance'!$C$5:$C$40,Assumptions!$C19,'TRA balance'!$D$5:$D$40,Assumptions!$B19)*EL19*AU19,"")</f>
        <v>0</v>
      </c>
      <c r="CR19" s="34">
        <f ca="1">IFERROR(SUMIFS('TRA balance'!AS$5:AS$40,'TRA balance'!$C$5:$C$40,Assumptions!$C19,'TRA balance'!$D$5:$D$40,Assumptions!$B19)*EM19*AV19,"")</f>
        <v>0</v>
      </c>
      <c r="CS19" s="34">
        <f ca="1">IFERROR(SUMIFS('TRA balance'!AT$5:AT$40,'TRA balance'!$C$5:$C$40,Assumptions!$C19,'TRA balance'!$D$5:$D$40,Assumptions!$B19)*EN19*AW19,"")</f>
        <v>0</v>
      </c>
      <c r="CT19" s="34">
        <f ca="1">IFERROR(SUMIFS('TRA balance'!AU$5:AU$40,'TRA balance'!$C$5:$C$40,Assumptions!$C19,'TRA balance'!$D$5:$D$40,Assumptions!$B19)*EO19*AX19,"")</f>
        <v>0</v>
      </c>
      <c r="CU19" s="34">
        <f ca="1">IFERROR(SUMIFS('TRA balance'!AV$5:AV$40,'TRA balance'!$C$5:$C$40,Assumptions!$C19,'TRA balance'!$D$5:$D$40,Assumptions!$B19)*EP19*AY19,"")</f>
        <v>0</v>
      </c>
      <c r="CV19" s="34">
        <f ca="1">IFERROR(SUMIFS('TRA balance'!AW$5:AW$40,'TRA balance'!$C$5:$C$40,Assumptions!$C19,'TRA balance'!$D$5:$D$40,Assumptions!$B19)*EQ19*AZ19,"")</f>
        <v>0</v>
      </c>
      <c r="CW19" s="34">
        <f ca="1">IFERROR(SUMIFS('TRA balance'!AX$5:AX$40,'TRA balance'!$C$5:$C$40,Assumptions!$C19,'TRA balance'!$D$5:$D$40,Assumptions!$B19)*ER19*BA19,"")</f>
        <v>0</v>
      </c>
      <c r="CY19" s="33">
        <f t="shared" si="2"/>
        <v>1</v>
      </c>
      <c r="CZ19" s="33">
        <f t="shared" si="3"/>
        <v>1</v>
      </c>
      <c r="DA19" s="33">
        <f t="shared" si="4"/>
        <v>1</v>
      </c>
      <c r="DB19" s="33">
        <f t="shared" si="5"/>
        <v>1</v>
      </c>
      <c r="DC19" s="33">
        <f t="shared" si="6"/>
        <v>1</v>
      </c>
      <c r="DD19" s="33">
        <f t="shared" si="7"/>
        <v>1</v>
      </c>
      <c r="DE19" s="33">
        <f t="shared" si="8"/>
        <v>1</v>
      </c>
      <c r="DF19" s="33">
        <f t="shared" si="9"/>
        <v>1</v>
      </c>
      <c r="DG19" s="33">
        <f t="shared" si="10"/>
        <v>1</v>
      </c>
      <c r="DH19" s="33">
        <f t="shared" si="11"/>
        <v>1</v>
      </c>
      <c r="DI19" s="33">
        <f t="shared" si="12"/>
        <v>1</v>
      </c>
      <c r="DJ19" s="33">
        <f t="shared" si="13"/>
        <v>1</v>
      </c>
      <c r="DK19" s="33">
        <f t="shared" si="14"/>
        <v>1</v>
      </c>
      <c r="DL19" s="33">
        <f t="shared" si="15"/>
        <v>1</v>
      </c>
      <c r="DM19" s="33">
        <f t="shared" si="16"/>
        <v>1</v>
      </c>
      <c r="DN19" s="33">
        <f t="shared" si="17"/>
        <v>1</v>
      </c>
      <c r="DO19" s="33">
        <f t="shared" si="18"/>
        <v>1</v>
      </c>
      <c r="DP19" s="33">
        <f t="shared" si="19"/>
        <v>1</v>
      </c>
      <c r="DQ19" s="33">
        <f t="shared" si="20"/>
        <v>1</v>
      </c>
      <c r="DR19" s="33">
        <f t="shared" si="21"/>
        <v>1</v>
      </c>
      <c r="DS19" s="33">
        <f t="shared" si="22"/>
        <v>1</v>
      </c>
      <c r="DT19" s="33">
        <f t="shared" si="23"/>
        <v>1</v>
      </c>
      <c r="DU19" s="33">
        <f t="shared" si="24"/>
        <v>1</v>
      </c>
      <c r="DV19" s="33">
        <f t="shared" si="25"/>
        <v>1</v>
      </c>
      <c r="DW19" s="33">
        <f t="shared" si="26"/>
        <v>1</v>
      </c>
      <c r="DX19" s="33">
        <f t="shared" si="27"/>
        <v>1</v>
      </c>
      <c r="DY19" s="33">
        <f t="shared" si="28"/>
        <v>1</v>
      </c>
      <c r="DZ19" s="33">
        <f t="shared" si="29"/>
        <v>1</v>
      </c>
      <c r="EA19" s="33">
        <f t="shared" si="30"/>
        <v>1</v>
      </c>
      <c r="EB19" s="33">
        <f t="shared" si="31"/>
        <v>1</v>
      </c>
      <c r="EC19" s="33">
        <f t="shared" si="32"/>
        <v>1</v>
      </c>
      <c r="ED19" s="33">
        <f t="shared" si="33"/>
        <v>1</v>
      </c>
      <c r="EE19" s="33">
        <f t="shared" si="34"/>
        <v>1</v>
      </c>
      <c r="EF19" s="33">
        <f t="shared" si="35"/>
        <v>1</v>
      </c>
      <c r="EG19" s="33">
        <f t="shared" si="36"/>
        <v>1</v>
      </c>
      <c r="EH19" s="33">
        <f t="shared" si="37"/>
        <v>1</v>
      </c>
      <c r="EI19" s="33">
        <f t="shared" si="38"/>
        <v>1</v>
      </c>
      <c r="EJ19" s="33">
        <f t="shared" si="39"/>
        <v>1</v>
      </c>
      <c r="EK19" s="33">
        <f t="shared" si="40"/>
        <v>1</v>
      </c>
      <c r="EL19" s="33">
        <f t="shared" si="41"/>
        <v>1</v>
      </c>
      <c r="EM19" s="33">
        <f t="shared" si="42"/>
        <v>1</v>
      </c>
      <c r="EN19" s="33">
        <f t="shared" si="43"/>
        <v>1</v>
      </c>
      <c r="EO19" s="33">
        <f t="shared" si="44"/>
        <v>1</v>
      </c>
      <c r="EP19" s="33">
        <f t="shared" si="45"/>
        <v>1</v>
      </c>
      <c r="EQ19" s="33">
        <f t="shared" si="46"/>
        <v>1</v>
      </c>
      <c r="ER19" s="33">
        <f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11"/>
      <c r="D20" s="11"/>
      <c r="E20" s="12" t="s">
        <v>58</v>
      </c>
      <c r="F20" s="13" t="str">
        <f t="shared" si="55"/>
        <v>Diesel</v>
      </c>
      <c r="G20" s="11"/>
      <c r="H20" s="12" t="str">
        <f t="shared" ref="H20" ca="1" si="57">IF(SUM(H18:H19)=1,"-","&lt;&gt;1!!")</f>
        <v>-</v>
      </c>
      <c r="I20" s="12" t="str">
        <f t="shared" ref="I20:BA20" ca="1" si="58">IF(SUM(I18:I19)=1,"-","&lt;&gt;1!!")</f>
        <v>-</v>
      </c>
      <c r="J20" s="12" t="str">
        <f t="shared" ca="1" si="58"/>
        <v>-</v>
      </c>
      <c r="K20" s="12" t="str">
        <f t="shared" ca="1" si="58"/>
        <v>-</v>
      </c>
      <c r="L20" s="12" t="str">
        <f t="shared" ca="1" si="58"/>
        <v>-</v>
      </c>
      <c r="M20" s="12" t="str">
        <f t="shared" ca="1" si="58"/>
        <v>-</v>
      </c>
      <c r="N20" s="12" t="str">
        <f t="shared" ca="1" si="58"/>
        <v>-</v>
      </c>
      <c r="O20" s="12" t="str">
        <f t="shared" ca="1" si="58"/>
        <v>-</v>
      </c>
      <c r="P20" s="12" t="str">
        <f t="shared" ca="1" si="58"/>
        <v>-</v>
      </c>
      <c r="Q20" s="12" t="str">
        <f t="shared" ca="1" si="58"/>
        <v>-</v>
      </c>
      <c r="R20" s="12" t="str">
        <f t="shared" ca="1" si="58"/>
        <v>-</v>
      </c>
      <c r="S20" s="12" t="str">
        <f t="shared" ca="1" si="58"/>
        <v>-</v>
      </c>
      <c r="T20" s="12" t="str">
        <f t="shared" ca="1" si="58"/>
        <v>-</v>
      </c>
      <c r="U20" s="12" t="str">
        <f t="shared" ca="1" si="58"/>
        <v>-</v>
      </c>
      <c r="V20" s="12" t="str">
        <f t="shared" ca="1" si="58"/>
        <v>-</v>
      </c>
      <c r="W20" s="12" t="str">
        <f t="shared" ca="1" si="58"/>
        <v>-</v>
      </c>
      <c r="X20" s="12" t="str">
        <f t="shared" ca="1" si="58"/>
        <v>-</v>
      </c>
      <c r="Y20" s="12" t="str">
        <f t="shared" ca="1" si="58"/>
        <v>-</v>
      </c>
      <c r="Z20" s="12" t="str">
        <f t="shared" ca="1" si="58"/>
        <v>-</v>
      </c>
      <c r="AA20" s="12" t="str">
        <f t="shared" ca="1" si="58"/>
        <v>-</v>
      </c>
      <c r="AB20" s="12" t="str">
        <f t="shared" ca="1" si="58"/>
        <v>-</v>
      </c>
      <c r="AC20" s="12" t="str">
        <f t="shared" ca="1" si="58"/>
        <v>-</v>
      </c>
      <c r="AD20" s="12" t="str">
        <f t="shared" ca="1" si="58"/>
        <v>-</v>
      </c>
      <c r="AE20" s="12" t="str">
        <f t="shared" ca="1" si="58"/>
        <v>-</v>
      </c>
      <c r="AF20" s="12" t="str">
        <f t="shared" ca="1" si="58"/>
        <v>-</v>
      </c>
      <c r="AG20" s="12" t="str">
        <f t="shared" ca="1" si="58"/>
        <v>-</v>
      </c>
      <c r="AH20" s="12" t="str">
        <f t="shared" ca="1" si="58"/>
        <v>-</v>
      </c>
      <c r="AI20" s="12" t="str">
        <f t="shared" ca="1" si="58"/>
        <v>-</v>
      </c>
      <c r="AJ20" s="12" t="str">
        <f t="shared" ca="1" si="58"/>
        <v>-</v>
      </c>
      <c r="AK20" s="12" t="str">
        <f t="shared" ca="1" si="58"/>
        <v>-</v>
      </c>
      <c r="AL20" s="12" t="str">
        <f t="shared" ca="1" si="58"/>
        <v>-</v>
      </c>
      <c r="AM20" s="12" t="str">
        <f t="shared" ca="1" si="58"/>
        <v>-</v>
      </c>
      <c r="AN20" s="12" t="str">
        <f t="shared" ca="1" si="58"/>
        <v>-</v>
      </c>
      <c r="AO20" s="12" t="str">
        <f t="shared" ca="1" si="58"/>
        <v>-</v>
      </c>
      <c r="AP20" s="12" t="str">
        <f t="shared" ca="1" si="58"/>
        <v>-</v>
      </c>
      <c r="AQ20" s="12" t="str">
        <f t="shared" ca="1" si="58"/>
        <v>-</v>
      </c>
      <c r="AR20" s="12" t="str">
        <f t="shared" ca="1" si="58"/>
        <v>-</v>
      </c>
      <c r="AS20" s="12" t="str">
        <f t="shared" ca="1" si="58"/>
        <v>-</v>
      </c>
      <c r="AT20" s="12" t="str">
        <f t="shared" ca="1" si="58"/>
        <v>-</v>
      </c>
      <c r="AU20" s="12" t="str">
        <f t="shared" ca="1" si="58"/>
        <v>-</v>
      </c>
      <c r="AV20" s="12" t="str">
        <f t="shared" ca="1" si="58"/>
        <v>-</v>
      </c>
      <c r="AW20" s="12" t="str">
        <f t="shared" ca="1" si="58"/>
        <v>-</v>
      </c>
      <c r="AX20" s="12" t="str">
        <f t="shared" ca="1" si="58"/>
        <v>-</v>
      </c>
      <c r="AY20" s="12" t="str">
        <f t="shared" ca="1" si="58"/>
        <v>-</v>
      </c>
      <c r="AZ20" s="12" t="str">
        <f t="shared" ca="1" si="58"/>
        <v>-</v>
      </c>
      <c r="BA20" s="12" t="str">
        <f t="shared" ca="1" si="58"/>
        <v>-</v>
      </c>
      <c r="BD20" s="34" t="str">
        <f ca="1">IFERROR(SUMIFS('TRA balance'!E$5:E$40,'TRA balance'!$C$5:$C$40,Assumptions!$C20,'TRA balance'!$D$5:$D$40,Assumptions!$B20)*CY20*H20,"")</f>
        <v/>
      </c>
      <c r="BE20" s="34" t="str">
        <f ca="1">IFERROR(SUMIFS('TRA balance'!F$5:F$40,'TRA balance'!$C$5:$C$40,Assumptions!$C20,'TRA balance'!$D$5:$D$40,Assumptions!$B20)*CZ20*I20,"")</f>
        <v/>
      </c>
      <c r="BF20" s="34" t="str">
        <f ca="1">IFERROR(SUMIFS('TRA balance'!G$5:G$40,'TRA balance'!$C$5:$C$40,Assumptions!$C20,'TRA balance'!$D$5:$D$40,Assumptions!$B20)*DA20*J20,"")</f>
        <v/>
      </c>
      <c r="BG20" s="34" t="str">
        <f ca="1">IFERROR(SUMIFS('TRA balance'!H$5:H$40,'TRA balance'!$C$5:$C$40,Assumptions!$C20,'TRA balance'!$D$5:$D$40,Assumptions!$B20)*DB20*K20,"")</f>
        <v/>
      </c>
      <c r="BH20" s="34" t="str">
        <f ca="1">IFERROR(SUMIFS('TRA balance'!I$5:I$40,'TRA balance'!$C$5:$C$40,Assumptions!$C20,'TRA balance'!$D$5:$D$40,Assumptions!$B20)*DC20*L20,"")</f>
        <v/>
      </c>
      <c r="BI20" s="34" t="str">
        <f ca="1">IFERROR(SUMIFS('TRA balance'!J$5:J$40,'TRA balance'!$C$5:$C$40,Assumptions!$C20,'TRA balance'!$D$5:$D$40,Assumptions!$B20)*DD20*M20,"")</f>
        <v/>
      </c>
      <c r="BJ20" s="34" t="str">
        <f ca="1">IFERROR(SUMIFS('TRA balance'!K$5:K$40,'TRA balance'!$C$5:$C$40,Assumptions!$C20,'TRA balance'!$D$5:$D$40,Assumptions!$B20)*DE20*N20,"")</f>
        <v/>
      </c>
      <c r="BK20" s="34" t="str">
        <f ca="1">IFERROR(SUMIFS('TRA balance'!L$5:L$40,'TRA balance'!$C$5:$C$40,Assumptions!$C20,'TRA balance'!$D$5:$D$40,Assumptions!$B20)*DF20*O20,"")</f>
        <v/>
      </c>
      <c r="BL20" s="34" t="str">
        <f ca="1">IFERROR(SUMIFS('TRA balance'!M$5:M$40,'TRA balance'!$C$5:$C$40,Assumptions!$C20,'TRA balance'!$D$5:$D$40,Assumptions!$B20)*DG20*P20,"")</f>
        <v/>
      </c>
      <c r="BM20" s="34" t="str">
        <f ca="1">IFERROR(SUMIFS('TRA balance'!N$5:N$40,'TRA balance'!$C$5:$C$40,Assumptions!$C20,'TRA balance'!$D$5:$D$40,Assumptions!$B20)*DH20*Q20,"")</f>
        <v/>
      </c>
      <c r="BN20" s="34" t="str">
        <f ca="1">IFERROR(SUMIFS('TRA balance'!O$5:O$40,'TRA balance'!$C$5:$C$40,Assumptions!$C20,'TRA balance'!$D$5:$D$40,Assumptions!$B20)*DI20*R20,"")</f>
        <v/>
      </c>
      <c r="BO20" s="34" t="str">
        <f ca="1">IFERROR(SUMIFS('TRA balance'!P$5:P$40,'TRA balance'!$C$5:$C$40,Assumptions!$C20,'TRA balance'!$D$5:$D$40,Assumptions!$B20)*DJ20*S20,"")</f>
        <v/>
      </c>
      <c r="BP20" s="34" t="str">
        <f ca="1">IFERROR(SUMIFS('TRA balance'!Q$5:Q$40,'TRA balance'!$C$5:$C$40,Assumptions!$C20,'TRA balance'!$D$5:$D$40,Assumptions!$B20)*DK20*T20,"")</f>
        <v/>
      </c>
      <c r="BQ20" s="34" t="str">
        <f ca="1">IFERROR(SUMIFS('TRA balance'!R$5:R$40,'TRA balance'!$C$5:$C$40,Assumptions!$C20,'TRA balance'!$D$5:$D$40,Assumptions!$B20)*DL20*U20,"")</f>
        <v/>
      </c>
      <c r="BR20" s="34" t="str">
        <f ca="1">IFERROR(SUMIFS('TRA balance'!S$5:S$40,'TRA balance'!$C$5:$C$40,Assumptions!$C20,'TRA balance'!$D$5:$D$40,Assumptions!$B20)*DM20*V20,"")</f>
        <v/>
      </c>
      <c r="BS20" s="34" t="str">
        <f ca="1">IFERROR(SUMIFS('TRA balance'!T$5:T$40,'TRA balance'!$C$5:$C$40,Assumptions!$C20,'TRA balance'!$D$5:$D$40,Assumptions!$B20)*DN20*W20,"")</f>
        <v/>
      </c>
      <c r="BT20" s="34" t="str">
        <f ca="1">IFERROR(SUMIFS('TRA balance'!U$5:U$40,'TRA balance'!$C$5:$C$40,Assumptions!$C20,'TRA balance'!$D$5:$D$40,Assumptions!$B20)*DO20*X20,"")</f>
        <v/>
      </c>
      <c r="BU20" s="34" t="str">
        <f ca="1">IFERROR(SUMIFS('TRA balance'!V$5:V$40,'TRA balance'!$C$5:$C$40,Assumptions!$C20,'TRA balance'!$D$5:$D$40,Assumptions!$B20)*DP20*Y20,"")</f>
        <v/>
      </c>
      <c r="BV20" s="34" t="str">
        <f ca="1">IFERROR(SUMIFS('TRA balance'!W$5:W$40,'TRA balance'!$C$5:$C$40,Assumptions!$C20,'TRA balance'!$D$5:$D$40,Assumptions!$B20)*DQ20*Z20,"")</f>
        <v/>
      </c>
      <c r="BW20" s="34" t="str">
        <f ca="1">IFERROR(SUMIFS('TRA balance'!X$5:X$40,'TRA balance'!$C$5:$C$40,Assumptions!$C20,'TRA balance'!$D$5:$D$40,Assumptions!$B20)*DR20*AA20,"")</f>
        <v/>
      </c>
      <c r="BX20" s="34" t="str">
        <f ca="1">IFERROR(SUMIFS('TRA balance'!Y$5:Y$40,'TRA balance'!$C$5:$C$40,Assumptions!$C20,'TRA balance'!$D$5:$D$40,Assumptions!$B20)*DS20*AB20,"")</f>
        <v/>
      </c>
      <c r="BY20" s="34" t="str">
        <f ca="1">IFERROR(SUMIFS('TRA balance'!Z$5:Z$40,'TRA balance'!$C$5:$C$40,Assumptions!$C20,'TRA balance'!$D$5:$D$40,Assumptions!$B20)*DT20*AC20,"")</f>
        <v/>
      </c>
      <c r="BZ20" s="34" t="str">
        <f ca="1">IFERROR(SUMIFS('TRA balance'!AA$5:AA$40,'TRA balance'!$C$5:$C$40,Assumptions!$C20,'TRA balance'!$D$5:$D$40,Assumptions!$B20)*DU20*AD20,"")</f>
        <v/>
      </c>
      <c r="CA20" s="34" t="str">
        <f ca="1">IFERROR(SUMIFS('TRA balance'!AB$5:AB$40,'TRA balance'!$C$5:$C$40,Assumptions!$C20,'TRA balance'!$D$5:$D$40,Assumptions!$B20)*DV20*AE20,"")</f>
        <v/>
      </c>
      <c r="CB20" s="34" t="str">
        <f ca="1">IFERROR(SUMIFS('TRA balance'!AC$5:AC$40,'TRA balance'!$C$5:$C$40,Assumptions!$C20,'TRA balance'!$D$5:$D$40,Assumptions!$B20)*DW20*AF20,"")</f>
        <v/>
      </c>
      <c r="CC20" s="34" t="str">
        <f ca="1">IFERROR(SUMIFS('TRA balance'!AD$5:AD$40,'TRA balance'!$C$5:$C$40,Assumptions!$C20,'TRA balance'!$D$5:$D$40,Assumptions!$B20)*DX20*AG20,"")</f>
        <v/>
      </c>
      <c r="CD20" s="34" t="str">
        <f ca="1">IFERROR(SUMIFS('TRA balance'!AE$5:AE$40,'TRA balance'!$C$5:$C$40,Assumptions!$C20,'TRA balance'!$D$5:$D$40,Assumptions!$B20)*DY20*AH20,"")</f>
        <v/>
      </c>
      <c r="CE20" s="34" t="str">
        <f ca="1">IFERROR(SUMIFS('TRA balance'!AF$5:AF$40,'TRA balance'!$C$5:$C$40,Assumptions!$C20,'TRA balance'!$D$5:$D$40,Assumptions!$B20)*DZ20*AI20,"")</f>
        <v/>
      </c>
      <c r="CF20" s="34" t="str">
        <f ca="1">IFERROR(SUMIFS('TRA balance'!AG$5:AG$40,'TRA balance'!$C$5:$C$40,Assumptions!$C20,'TRA balance'!$D$5:$D$40,Assumptions!$B20)*EA20*AJ20,"")</f>
        <v/>
      </c>
      <c r="CG20" s="34" t="str">
        <f ca="1">IFERROR(SUMIFS('TRA balance'!AH$5:AH$40,'TRA balance'!$C$5:$C$40,Assumptions!$C20,'TRA balance'!$D$5:$D$40,Assumptions!$B20)*EB20*AK20,"")</f>
        <v/>
      </c>
      <c r="CH20" s="34" t="str">
        <f ca="1">IFERROR(SUMIFS('TRA balance'!AI$5:AI$40,'TRA balance'!$C$5:$C$40,Assumptions!$C20,'TRA balance'!$D$5:$D$40,Assumptions!$B20)*EC20*AL20,"")</f>
        <v/>
      </c>
      <c r="CI20" s="34" t="str">
        <f ca="1">IFERROR(SUMIFS('TRA balance'!AJ$5:AJ$40,'TRA balance'!$C$5:$C$40,Assumptions!$C20,'TRA balance'!$D$5:$D$40,Assumptions!$B20)*ED20*AM20,"")</f>
        <v/>
      </c>
      <c r="CJ20" s="34" t="str">
        <f ca="1">IFERROR(SUMIFS('TRA balance'!AK$5:AK$40,'TRA balance'!$C$5:$C$40,Assumptions!$C20,'TRA balance'!$D$5:$D$40,Assumptions!$B20)*EE20*AN20,"")</f>
        <v/>
      </c>
      <c r="CK20" s="34" t="str">
        <f ca="1">IFERROR(SUMIFS('TRA balance'!AL$5:AL$40,'TRA balance'!$C$5:$C$40,Assumptions!$C20,'TRA balance'!$D$5:$D$40,Assumptions!$B20)*EF20*AO20,"")</f>
        <v/>
      </c>
      <c r="CL20" s="34" t="str">
        <f ca="1">IFERROR(SUMIFS('TRA balance'!AM$5:AM$40,'TRA balance'!$C$5:$C$40,Assumptions!$C20,'TRA balance'!$D$5:$D$40,Assumptions!$B20)*EG20*AP20,"")</f>
        <v/>
      </c>
      <c r="CM20" s="34" t="str">
        <f ca="1">IFERROR(SUMIFS('TRA balance'!AN$5:AN$40,'TRA balance'!$C$5:$C$40,Assumptions!$C20,'TRA balance'!$D$5:$D$40,Assumptions!$B20)*EH20*AQ20,"")</f>
        <v/>
      </c>
      <c r="CN20" s="34" t="str">
        <f ca="1">IFERROR(SUMIFS('TRA balance'!AO$5:AO$40,'TRA balance'!$C$5:$C$40,Assumptions!$C20,'TRA balance'!$D$5:$D$40,Assumptions!$B20)*EI20*AR20,"")</f>
        <v/>
      </c>
      <c r="CO20" s="34" t="str">
        <f ca="1">IFERROR(SUMIFS('TRA balance'!AP$5:AP$40,'TRA balance'!$C$5:$C$40,Assumptions!$C20,'TRA balance'!$D$5:$D$40,Assumptions!$B20)*EJ20*AS20,"")</f>
        <v/>
      </c>
      <c r="CP20" s="34" t="str">
        <f ca="1">IFERROR(SUMIFS('TRA balance'!AQ$5:AQ$40,'TRA balance'!$C$5:$C$40,Assumptions!$C20,'TRA balance'!$D$5:$D$40,Assumptions!$B20)*EK20*AT20,"")</f>
        <v/>
      </c>
      <c r="CQ20" s="34" t="str">
        <f ca="1">IFERROR(SUMIFS('TRA balance'!AR$5:AR$40,'TRA balance'!$C$5:$C$40,Assumptions!$C20,'TRA balance'!$D$5:$D$40,Assumptions!$B20)*EL20*AU20,"")</f>
        <v/>
      </c>
      <c r="CR20" s="34" t="str">
        <f ca="1">IFERROR(SUMIFS('TRA balance'!AS$5:AS$40,'TRA balance'!$C$5:$C$40,Assumptions!$C20,'TRA balance'!$D$5:$D$40,Assumptions!$B20)*EM20*AV20,"")</f>
        <v/>
      </c>
      <c r="CS20" s="34" t="str">
        <f ca="1">IFERROR(SUMIFS('TRA balance'!AT$5:AT$40,'TRA balance'!$C$5:$C$40,Assumptions!$C20,'TRA balance'!$D$5:$D$40,Assumptions!$B20)*EN20*AW20,"")</f>
        <v/>
      </c>
      <c r="CT20" s="34" t="str">
        <f ca="1">IFERROR(SUMIFS('TRA balance'!AU$5:AU$40,'TRA balance'!$C$5:$C$40,Assumptions!$C20,'TRA balance'!$D$5:$D$40,Assumptions!$B20)*EO20*AX20,"")</f>
        <v/>
      </c>
      <c r="CU20" s="34" t="str">
        <f ca="1">IFERROR(SUMIFS('TRA balance'!AV$5:AV$40,'TRA balance'!$C$5:$C$40,Assumptions!$C20,'TRA balance'!$D$5:$D$40,Assumptions!$B20)*EP20*AY20,"")</f>
        <v/>
      </c>
      <c r="CV20" s="34" t="str">
        <f ca="1">IFERROR(SUMIFS('TRA balance'!AW$5:AW$40,'TRA balance'!$C$5:$C$40,Assumptions!$C20,'TRA balance'!$D$5:$D$40,Assumptions!$B20)*EQ20*AZ20,"")</f>
        <v/>
      </c>
      <c r="CW20" s="34" t="str">
        <f ca="1">IFERROR(SUMIFS('TRA balance'!AX$5:AX$40,'TRA balance'!$C$5:$C$40,Assumptions!$C20,'TRA balance'!$D$5:$D$40,Assumptions!$B20)*ER20*BA20,"")</f>
        <v/>
      </c>
      <c r="CY20" s="33">
        <f t="shared" si="2"/>
        <v>1</v>
      </c>
      <c r="CZ20" s="33">
        <f t="shared" si="3"/>
        <v>1</v>
      </c>
      <c r="DA20" s="33">
        <f t="shared" si="4"/>
        <v>1</v>
      </c>
      <c r="DB20" s="33">
        <f t="shared" si="5"/>
        <v>1</v>
      </c>
      <c r="DC20" s="33">
        <f t="shared" si="6"/>
        <v>1</v>
      </c>
      <c r="DD20" s="33">
        <f t="shared" si="7"/>
        <v>1</v>
      </c>
      <c r="DE20" s="33">
        <f t="shared" si="8"/>
        <v>1</v>
      </c>
      <c r="DF20" s="33">
        <f t="shared" si="9"/>
        <v>1</v>
      </c>
      <c r="DG20" s="33">
        <f t="shared" si="10"/>
        <v>1</v>
      </c>
      <c r="DH20" s="33">
        <f t="shared" si="11"/>
        <v>1</v>
      </c>
      <c r="DI20" s="33">
        <f t="shared" si="12"/>
        <v>1</v>
      </c>
      <c r="DJ20" s="33">
        <f t="shared" si="13"/>
        <v>1</v>
      </c>
      <c r="DK20" s="33">
        <f t="shared" si="14"/>
        <v>1</v>
      </c>
      <c r="DL20" s="33">
        <f t="shared" si="15"/>
        <v>1</v>
      </c>
      <c r="DM20" s="33">
        <f t="shared" si="16"/>
        <v>1</v>
      </c>
      <c r="DN20" s="33">
        <f t="shared" si="17"/>
        <v>1</v>
      </c>
      <c r="DO20" s="33">
        <f t="shared" si="18"/>
        <v>1</v>
      </c>
      <c r="DP20" s="33">
        <f t="shared" si="19"/>
        <v>1</v>
      </c>
      <c r="DQ20" s="33">
        <f t="shared" si="20"/>
        <v>1</v>
      </c>
      <c r="DR20" s="33">
        <f t="shared" si="21"/>
        <v>1</v>
      </c>
      <c r="DS20" s="33">
        <f t="shared" si="22"/>
        <v>1</v>
      </c>
      <c r="DT20" s="33">
        <f t="shared" si="23"/>
        <v>1</v>
      </c>
      <c r="DU20" s="33">
        <f t="shared" si="24"/>
        <v>1</v>
      </c>
      <c r="DV20" s="33">
        <f t="shared" si="25"/>
        <v>1</v>
      </c>
      <c r="DW20" s="33">
        <f t="shared" si="26"/>
        <v>1</v>
      </c>
      <c r="DX20" s="33">
        <f t="shared" si="27"/>
        <v>1</v>
      </c>
      <c r="DY20" s="33">
        <f t="shared" si="28"/>
        <v>1</v>
      </c>
      <c r="DZ20" s="33">
        <f t="shared" si="29"/>
        <v>1</v>
      </c>
      <c r="EA20" s="33">
        <f t="shared" si="30"/>
        <v>1</v>
      </c>
      <c r="EB20" s="33">
        <f t="shared" si="31"/>
        <v>1</v>
      </c>
      <c r="EC20" s="33">
        <f t="shared" si="32"/>
        <v>1</v>
      </c>
      <c r="ED20" s="33">
        <f t="shared" si="33"/>
        <v>1</v>
      </c>
      <c r="EE20" s="33">
        <f t="shared" si="34"/>
        <v>1</v>
      </c>
      <c r="EF20" s="33">
        <f t="shared" si="35"/>
        <v>1</v>
      </c>
      <c r="EG20" s="33">
        <f t="shared" si="36"/>
        <v>1</v>
      </c>
      <c r="EH20" s="33">
        <f t="shared" si="37"/>
        <v>1</v>
      </c>
      <c r="EI20" s="33">
        <f t="shared" si="38"/>
        <v>1</v>
      </c>
      <c r="EJ20" s="33">
        <f t="shared" si="39"/>
        <v>1</v>
      </c>
      <c r="EK20" s="33">
        <f t="shared" si="40"/>
        <v>1</v>
      </c>
      <c r="EL20" s="33">
        <f t="shared" si="41"/>
        <v>1</v>
      </c>
      <c r="EM20" s="33">
        <f t="shared" si="42"/>
        <v>1</v>
      </c>
      <c r="EN20" s="33">
        <f t="shared" si="43"/>
        <v>1</v>
      </c>
      <c r="EO20" s="33">
        <f t="shared" si="44"/>
        <v>1</v>
      </c>
      <c r="EP20" s="33">
        <f t="shared" si="45"/>
        <v>1</v>
      </c>
      <c r="EQ20" s="33">
        <f t="shared" si="46"/>
        <v>1</v>
      </c>
      <c r="ER20" s="33">
        <f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14">
        <v>1</v>
      </c>
      <c r="D21" s="15" t="s">
        <v>16</v>
      </c>
      <c r="E21" s="15" t="s">
        <v>59</v>
      </c>
      <c r="F21" s="16" t="s">
        <v>80</v>
      </c>
      <c r="G21" s="14"/>
      <c r="H21" s="14">
        <f ca="1">OFFSET(TIAM15_assumptions!$G21,0,MATCH(VLOOKUP(Assumptions!H$2,TIAM15_assumptions!$Y$3:$Z$87,2,FALSE),TIAM15_assumptions!$H$2:$V$2,0))</f>
        <v>1</v>
      </c>
      <c r="I21" s="14">
        <f ca="1">OFFSET(TIAM15_assumptions!$G21,0,MATCH(VLOOKUP(Assumptions!I$2,TIAM15_assumptions!$Y$3:$Z$87,2,FALSE),TIAM15_assumptions!$H$2:$V$2,0))</f>
        <v>1</v>
      </c>
      <c r="J21" s="14">
        <f ca="1">OFFSET(TIAM15_assumptions!$G21,0,MATCH(VLOOKUP(Assumptions!J$2,TIAM15_assumptions!$Y$3:$Z$87,2,FALSE),TIAM15_assumptions!$H$2:$V$2,0))</f>
        <v>0.9</v>
      </c>
      <c r="K21" s="14">
        <f ca="1">OFFSET(TIAM15_assumptions!$G21,0,MATCH(VLOOKUP(Assumptions!K$2,TIAM15_assumptions!$Y$3:$Z$87,2,FALSE),TIAM15_assumptions!$H$2:$V$2,0))</f>
        <v>0.97</v>
      </c>
      <c r="L21" s="14">
        <f ca="1">OFFSET(TIAM15_assumptions!$G21,0,MATCH(VLOOKUP(Assumptions!L$2,TIAM15_assumptions!$Y$3:$Z$87,2,FALSE),TIAM15_assumptions!$H$2:$V$2,0))</f>
        <v>0.7</v>
      </c>
      <c r="M21" s="14">
        <f ca="1">OFFSET(TIAM15_assumptions!$G21,0,MATCH(VLOOKUP(Assumptions!M$2,TIAM15_assumptions!$Y$3:$Z$87,2,FALSE),TIAM15_assumptions!$H$2:$V$2,0))</f>
        <v>0.97</v>
      </c>
      <c r="N21" s="14">
        <f ca="1">OFFSET(TIAM15_assumptions!$G21,0,MATCH(VLOOKUP(Assumptions!N$2,TIAM15_assumptions!$Y$3:$Z$87,2,FALSE),TIAM15_assumptions!$H$2:$V$2,0))</f>
        <v>0.9</v>
      </c>
      <c r="O21" s="14">
        <f ca="1">OFFSET(TIAM15_assumptions!$G21,0,MATCH(VLOOKUP(Assumptions!O$2,TIAM15_assumptions!$Y$3:$Z$87,2,FALSE),TIAM15_assumptions!$H$2:$V$2,0))</f>
        <v>0.9</v>
      </c>
      <c r="P21" s="14">
        <f ca="1">OFFSET(TIAM15_assumptions!$G21,0,MATCH(VLOOKUP(Assumptions!P$2,TIAM15_assumptions!$Y$3:$Z$87,2,FALSE),TIAM15_assumptions!$H$2:$V$2,0))</f>
        <v>0.9</v>
      </c>
      <c r="Q21" s="14">
        <f ca="1">OFFSET(TIAM15_assumptions!$G21,0,MATCH(VLOOKUP(Assumptions!Q$2,TIAM15_assumptions!$Y$3:$Z$87,2,FALSE),TIAM15_assumptions!$H$2:$V$2,0))</f>
        <v>0.9</v>
      </c>
      <c r="R21" s="14">
        <f ca="1">OFFSET(TIAM15_assumptions!$G21,0,MATCH(VLOOKUP(Assumptions!R$2,TIAM15_assumptions!$Y$3:$Z$87,2,FALSE),TIAM15_assumptions!$H$2:$V$2,0))</f>
        <v>0.97</v>
      </c>
      <c r="S21" s="14">
        <f ca="1">OFFSET(TIAM15_assumptions!$G21,0,MATCH(VLOOKUP(Assumptions!S$2,TIAM15_assumptions!$Y$3:$Z$87,2,FALSE),TIAM15_assumptions!$H$2:$V$2,0))</f>
        <v>0.97</v>
      </c>
      <c r="T21" s="14">
        <f ca="1">OFFSET(TIAM15_assumptions!$G21,0,MATCH(VLOOKUP(Assumptions!T$2,TIAM15_assumptions!$Y$3:$Z$87,2,FALSE),TIAM15_assumptions!$H$2:$V$2,0))</f>
        <v>0.97</v>
      </c>
      <c r="U21" s="14">
        <f ca="1">OFFSET(TIAM15_assumptions!$G21,0,MATCH(VLOOKUP(Assumptions!U$2,TIAM15_assumptions!$Y$3:$Z$87,2,FALSE),TIAM15_assumptions!$H$2:$V$2,0))</f>
        <v>0.9</v>
      </c>
      <c r="V21" s="14">
        <f ca="1">OFFSET(TIAM15_assumptions!$G21,0,MATCH(VLOOKUP(Assumptions!V$2,TIAM15_assumptions!$Y$3:$Z$87,2,FALSE),TIAM15_assumptions!$H$2:$V$2,0))</f>
        <v>0.97</v>
      </c>
      <c r="W21" s="14">
        <f ca="1">OFFSET(TIAM15_assumptions!$G21,0,MATCH(VLOOKUP(Assumptions!W$2,TIAM15_assumptions!$Y$3:$Z$87,2,FALSE),TIAM15_assumptions!$H$2:$V$2,0))</f>
        <v>1</v>
      </c>
      <c r="X21" s="14">
        <f ca="1">OFFSET(TIAM15_assumptions!$G21,0,MATCH(VLOOKUP(Assumptions!X$2,TIAM15_assumptions!$Y$3:$Z$87,2,FALSE),TIAM15_assumptions!$H$2:$V$2,0))</f>
        <v>0.97</v>
      </c>
      <c r="Y21" s="14">
        <f ca="1">OFFSET(TIAM15_assumptions!$G21,0,MATCH(VLOOKUP(Assumptions!Y$2,TIAM15_assumptions!$Y$3:$Z$87,2,FALSE),TIAM15_assumptions!$H$2:$V$2,0))</f>
        <v>0.97</v>
      </c>
      <c r="Z21" s="14">
        <f ca="1">OFFSET(TIAM15_assumptions!$G21,0,MATCH(VLOOKUP(Assumptions!Z$2,TIAM15_assumptions!$Y$3:$Z$87,2,FALSE),TIAM15_assumptions!$H$2:$V$2,0))</f>
        <v>0.9</v>
      </c>
      <c r="AA21" s="14">
        <f ca="1">OFFSET(TIAM15_assumptions!$G21,0,MATCH(VLOOKUP(Assumptions!AA$2,TIAM15_assumptions!$Y$3:$Z$87,2,FALSE),TIAM15_assumptions!$H$2:$V$2,0))</f>
        <v>0.9</v>
      </c>
      <c r="AB21" s="14">
        <f ca="1">OFFSET(TIAM15_assumptions!$G21,0,MATCH(VLOOKUP(Assumptions!AB$2,TIAM15_assumptions!$Y$3:$Z$87,2,FALSE),TIAM15_assumptions!$H$2:$V$2,0))</f>
        <v>0.7</v>
      </c>
      <c r="AC21" s="14">
        <f ca="1">OFFSET(TIAM15_assumptions!$G21,0,MATCH(VLOOKUP(Assumptions!AC$2,TIAM15_assumptions!$Y$3:$Z$87,2,FALSE),TIAM15_assumptions!$H$2:$V$2,0))</f>
        <v>0.8</v>
      </c>
      <c r="AD21" s="14">
        <f ca="1">OFFSET(TIAM15_assumptions!$G21,0,MATCH(VLOOKUP(Assumptions!AD$2,TIAM15_assumptions!$Y$3:$Z$87,2,FALSE),TIAM15_assumptions!$H$2:$V$2,0))</f>
        <v>0.97</v>
      </c>
      <c r="AE21" s="14">
        <f ca="1">OFFSET(TIAM15_assumptions!$G21,0,MATCH(VLOOKUP(Assumptions!AE$2,TIAM15_assumptions!$Y$3:$Z$87,2,FALSE),TIAM15_assumptions!$H$2:$V$2,0))</f>
        <v>0.9</v>
      </c>
      <c r="AF21" s="14">
        <f ca="1">OFFSET(TIAM15_assumptions!$G21,0,MATCH(VLOOKUP(Assumptions!AF$2,TIAM15_assumptions!$Y$3:$Z$87,2,FALSE),TIAM15_assumptions!$H$2:$V$2,0))</f>
        <v>1</v>
      </c>
      <c r="AG21" s="14">
        <f ca="1">OFFSET(TIAM15_assumptions!$G21,0,MATCH(VLOOKUP(Assumptions!AG$2,TIAM15_assumptions!$Y$3:$Z$87,2,FALSE),TIAM15_assumptions!$H$2:$V$2,0))</f>
        <v>0.7</v>
      </c>
      <c r="AH21" s="14">
        <f ca="1">OFFSET(TIAM15_assumptions!$G21,0,MATCH(VLOOKUP(Assumptions!AH$2,TIAM15_assumptions!$Y$3:$Z$87,2,FALSE),TIAM15_assumptions!$H$2:$V$2,0))</f>
        <v>0.7</v>
      </c>
      <c r="AI21" s="14">
        <f ca="1">OFFSET(TIAM15_assumptions!$G21,0,MATCH(VLOOKUP(Assumptions!AI$2,TIAM15_assumptions!$Y$3:$Z$87,2,FALSE),TIAM15_assumptions!$H$2:$V$2,0))</f>
        <v>1</v>
      </c>
      <c r="AJ21" s="14">
        <f ca="1">OFFSET(TIAM15_assumptions!$G21,0,MATCH(VLOOKUP(Assumptions!AJ$2,TIAM15_assumptions!$Y$3:$Z$87,2,FALSE),TIAM15_assumptions!$H$2:$V$2,0))</f>
        <v>0.97</v>
      </c>
      <c r="AK21" s="14">
        <f ca="1">OFFSET(TIAM15_assumptions!$G21,0,MATCH(VLOOKUP(Assumptions!AK$2,TIAM15_assumptions!$Y$3:$Z$87,2,FALSE),TIAM15_assumptions!$H$2:$V$2,0))</f>
        <v>0.97</v>
      </c>
      <c r="AL21" s="14">
        <f ca="1">OFFSET(TIAM15_assumptions!$G21,0,MATCH(VLOOKUP(Assumptions!AL$2,TIAM15_assumptions!$Y$3:$Z$87,2,FALSE),TIAM15_assumptions!$H$2:$V$2,0))</f>
        <v>0.97</v>
      </c>
      <c r="AM21" s="14">
        <f ca="1">OFFSET(TIAM15_assumptions!$G21,0,MATCH(VLOOKUP(Assumptions!AM$2,TIAM15_assumptions!$Y$3:$Z$87,2,FALSE),TIAM15_assumptions!$H$2:$V$2,0))</f>
        <v>0.7</v>
      </c>
      <c r="AN21" s="14">
        <f ca="1">OFFSET(TIAM15_assumptions!$G21,0,MATCH(VLOOKUP(Assumptions!AN$2,TIAM15_assumptions!$Y$3:$Z$87,2,FALSE),TIAM15_assumptions!$H$2:$V$2,0))</f>
        <v>0.97</v>
      </c>
      <c r="AO21" s="14">
        <f ca="1">OFFSET(TIAM15_assumptions!$G21,0,MATCH(VLOOKUP(Assumptions!AO$2,TIAM15_assumptions!$Y$3:$Z$87,2,FALSE),TIAM15_assumptions!$H$2:$V$2,0))</f>
        <v>0.7</v>
      </c>
      <c r="AP21" s="14">
        <f ca="1">OFFSET(TIAM15_assumptions!$G21,0,MATCH(VLOOKUP(Assumptions!AP$2,TIAM15_assumptions!$Y$3:$Z$87,2,FALSE),TIAM15_assumptions!$H$2:$V$2,0))</f>
        <v>0.9</v>
      </c>
      <c r="AQ21" s="14">
        <f ca="1">OFFSET(TIAM15_assumptions!$G21,0,MATCH(VLOOKUP(Assumptions!AQ$2,TIAM15_assumptions!$Y$3:$Z$87,2,FALSE),TIAM15_assumptions!$H$2:$V$2,0))</f>
        <v>0.8</v>
      </c>
      <c r="AR21" s="14">
        <f ca="1">OFFSET(TIAM15_assumptions!$G21,0,MATCH(VLOOKUP(Assumptions!AR$2,TIAM15_assumptions!$Y$3:$Z$87,2,FALSE),TIAM15_assumptions!$H$2:$V$2,0))</f>
        <v>0.8</v>
      </c>
      <c r="AS21" s="14">
        <f ca="1">OFFSET(TIAM15_assumptions!$G21,0,MATCH(VLOOKUP(Assumptions!AS$2,TIAM15_assumptions!$Y$3:$Z$87,2,FALSE),TIAM15_assumptions!$H$2:$V$2,0))</f>
        <v>0.8</v>
      </c>
      <c r="AT21" s="14">
        <f ca="1">OFFSET(TIAM15_assumptions!$G21,0,MATCH(VLOOKUP(Assumptions!AT$2,TIAM15_assumptions!$Y$3:$Z$87,2,FALSE),TIAM15_assumptions!$H$2:$V$2,0))</f>
        <v>0.8</v>
      </c>
      <c r="AU21" s="14">
        <f ca="1">OFFSET(TIAM15_assumptions!$G21,0,MATCH(VLOOKUP(Assumptions!AU$2,TIAM15_assumptions!$Y$3:$Z$87,2,FALSE),TIAM15_assumptions!$H$2:$V$2,0))</f>
        <v>0.8</v>
      </c>
      <c r="AV21" s="14">
        <f ca="1">OFFSET(TIAM15_assumptions!$G21,0,MATCH(VLOOKUP(Assumptions!AV$2,TIAM15_assumptions!$Y$3:$Z$87,2,FALSE),TIAM15_assumptions!$H$2:$V$2,0))</f>
        <v>0.8</v>
      </c>
      <c r="AW21" s="14">
        <f ca="1">OFFSET(TIAM15_assumptions!$G21,0,MATCH(VLOOKUP(Assumptions!AW$2,TIAM15_assumptions!$Y$3:$Z$87,2,FALSE),TIAM15_assumptions!$H$2:$V$2,0))</f>
        <v>0.8</v>
      </c>
      <c r="AX21" s="14">
        <f ca="1">OFFSET(TIAM15_assumptions!$G21,0,MATCH(VLOOKUP(Assumptions!AX$2,TIAM15_assumptions!$Y$3:$Z$87,2,FALSE),TIAM15_assumptions!$H$2:$V$2,0))</f>
        <v>0.8</v>
      </c>
      <c r="AY21" s="14">
        <f ca="1">OFFSET(TIAM15_assumptions!$G21,0,MATCH(VLOOKUP(Assumptions!AY$2,TIAM15_assumptions!$Y$3:$Z$87,2,FALSE),TIAM15_assumptions!$H$2:$V$2,0))</f>
        <v>0.8</v>
      </c>
      <c r="AZ21" s="14">
        <f ca="1">OFFSET(TIAM15_assumptions!$G21,0,MATCH(VLOOKUP(Assumptions!AZ$2,TIAM15_assumptions!$Y$3:$Z$87,2,FALSE),TIAM15_assumptions!$H$2:$V$2,0))</f>
        <v>0.8</v>
      </c>
      <c r="BA21" s="14">
        <f ca="1">OFFSET(TIAM15_assumptions!$G21,0,MATCH(VLOOKUP(Assumptions!BA$2,TIAM15_assumptions!$Y$3:$Z$87,2,FALSE),TIAM15_assumptions!$H$2:$V$2,0))</f>
        <v>0.8</v>
      </c>
      <c r="BD21" s="34">
        <f ca="1">IFERROR(SUMIFS('TRA balance'!E$5:E$40,'TRA balance'!$C$5:$C$40,Assumptions!$C21,'TRA balance'!$D$5:$D$40,Assumptions!$B21)*CY21*H21,"")</f>
        <v>0</v>
      </c>
      <c r="BE21" s="34">
        <f ca="1">IFERROR(SUMIFS('TRA balance'!F$5:F$40,'TRA balance'!$C$5:$C$40,Assumptions!$C21,'TRA balance'!$D$5:$D$40,Assumptions!$B21)*CZ21*I21,"")</f>
        <v>0</v>
      </c>
      <c r="BF21" s="34">
        <f ca="1">IFERROR(SUMIFS('TRA balance'!G$5:G$40,'TRA balance'!$C$5:$C$40,Assumptions!$C21,'TRA balance'!$D$5:$D$40,Assumptions!$B21)*DA21*J21,"")</f>
        <v>0</v>
      </c>
      <c r="BG21" s="34">
        <f ca="1">IFERROR(SUMIFS('TRA balance'!H$5:H$40,'TRA balance'!$C$5:$C$40,Assumptions!$C21,'TRA balance'!$D$5:$D$40,Assumptions!$B21)*DB21*K21,"")</f>
        <v>0</v>
      </c>
      <c r="BH21" s="34">
        <f ca="1">IFERROR(SUMIFS('TRA balance'!I$5:I$40,'TRA balance'!$C$5:$C$40,Assumptions!$C21,'TRA balance'!$D$5:$D$40,Assumptions!$B21)*DC21*L21,"")</f>
        <v>0</v>
      </c>
      <c r="BI21" s="34">
        <f ca="1">IFERROR(SUMIFS('TRA balance'!J$5:J$40,'TRA balance'!$C$5:$C$40,Assumptions!$C21,'TRA balance'!$D$5:$D$40,Assumptions!$B21)*DD21*M21,"")</f>
        <v>0</v>
      </c>
      <c r="BJ21" s="34">
        <f ca="1">IFERROR(SUMIFS('TRA balance'!K$5:K$40,'TRA balance'!$C$5:$C$40,Assumptions!$C21,'TRA balance'!$D$5:$D$40,Assumptions!$B21)*DE21*N21,"")</f>
        <v>0</v>
      </c>
      <c r="BK21" s="34">
        <f ca="1">IFERROR(SUMIFS('TRA balance'!L$5:L$40,'TRA balance'!$C$5:$C$40,Assumptions!$C21,'TRA balance'!$D$5:$D$40,Assumptions!$B21)*DF21*O21,"")</f>
        <v>0</v>
      </c>
      <c r="BL21" s="34">
        <f ca="1">IFERROR(SUMIFS('TRA balance'!M$5:M$40,'TRA balance'!$C$5:$C$40,Assumptions!$C21,'TRA balance'!$D$5:$D$40,Assumptions!$B21)*DG21*P21,"")</f>
        <v>0</v>
      </c>
      <c r="BM21" s="34">
        <f ca="1">IFERROR(SUMIFS('TRA balance'!N$5:N$40,'TRA balance'!$C$5:$C$40,Assumptions!$C21,'TRA balance'!$D$5:$D$40,Assumptions!$B21)*DH21*Q21,"")</f>
        <v>0</v>
      </c>
      <c r="BN21" s="34">
        <f ca="1">IFERROR(SUMIFS('TRA balance'!O$5:O$40,'TRA balance'!$C$5:$C$40,Assumptions!$C21,'TRA balance'!$D$5:$D$40,Assumptions!$B21)*DI21*R21,"")</f>
        <v>0</v>
      </c>
      <c r="BO21" s="34">
        <f ca="1">IFERROR(SUMIFS('TRA balance'!P$5:P$40,'TRA balance'!$C$5:$C$40,Assumptions!$C21,'TRA balance'!$D$5:$D$40,Assumptions!$B21)*DJ21*S21,"")</f>
        <v>0</v>
      </c>
      <c r="BP21" s="34">
        <f ca="1">IFERROR(SUMIFS('TRA balance'!Q$5:Q$40,'TRA balance'!$C$5:$C$40,Assumptions!$C21,'TRA balance'!$D$5:$D$40,Assumptions!$B21)*DK21*T21,"")</f>
        <v>0</v>
      </c>
      <c r="BQ21" s="34">
        <f ca="1">IFERROR(SUMIFS('TRA balance'!R$5:R$40,'TRA balance'!$C$5:$C$40,Assumptions!$C21,'TRA balance'!$D$5:$D$40,Assumptions!$B21)*DL21*U21,"")</f>
        <v>0</v>
      </c>
      <c r="BR21" s="34">
        <f ca="1">IFERROR(SUMIFS('TRA balance'!S$5:S$40,'TRA balance'!$C$5:$C$40,Assumptions!$C21,'TRA balance'!$D$5:$D$40,Assumptions!$B21)*DM21*V21,"")</f>
        <v>0</v>
      </c>
      <c r="BS21" s="34">
        <f ca="1">IFERROR(SUMIFS('TRA balance'!T$5:T$40,'TRA balance'!$C$5:$C$40,Assumptions!$C21,'TRA balance'!$D$5:$D$40,Assumptions!$B21)*DN21*W21,"")</f>
        <v>0</v>
      </c>
      <c r="BT21" s="34">
        <f ca="1">IFERROR(SUMIFS('TRA balance'!U$5:U$40,'TRA balance'!$C$5:$C$40,Assumptions!$C21,'TRA balance'!$D$5:$D$40,Assumptions!$B21)*DO21*X21,"")</f>
        <v>0</v>
      </c>
      <c r="BU21" s="34">
        <f ca="1">IFERROR(SUMIFS('TRA balance'!V$5:V$40,'TRA balance'!$C$5:$C$40,Assumptions!$C21,'TRA balance'!$D$5:$D$40,Assumptions!$B21)*DP21*Y21,"")</f>
        <v>0</v>
      </c>
      <c r="BV21" s="34">
        <f ca="1">IFERROR(SUMIFS('TRA balance'!W$5:W$40,'TRA balance'!$C$5:$C$40,Assumptions!$C21,'TRA balance'!$D$5:$D$40,Assumptions!$B21)*DQ21*Z21,"")</f>
        <v>0</v>
      </c>
      <c r="BW21" s="34">
        <f ca="1">IFERROR(SUMIFS('TRA balance'!X$5:X$40,'TRA balance'!$C$5:$C$40,Assumptions!$C21,'TRA balance'!$D$5:$D$40,Assumptions!$B21)*DR21*AA21,"")</f>
        <v>0</v>
      </c>
      <c r="BX21" s="34">
        <f ca="1">IFERROR(SUMIFS('TRA balance'!Y$5:Y$40,'TRA balance'!$C$5:$C$40,Assumptions!$C21,'TRA balance'!$D$5:$D$40,Assumptions!$B21)*DS21*AB21,"")</f>
        <v>0</v>
      </c>
      <c r="BY21" s="34">
        <f ca="1">IFERROR(SUMIFS('TRA balance'!Z$5:Z$40,'TRA balance'!$C$5:$C$40,Assumptions!$C21,'TRA balance'!$D$5:$D$40,Assumptions!$B21)*DT21*AC21,"")</f>
        <v>0</v>
      </c>
      <c r="BZ21" s="34">
        <f ca="1">IFERROR(SUMIFS('TRA balance'!AA$5:AA$40,'TRA balance'!$C$5:$C$40,Assumptions!$C21,'TRA balance'!$D$5:$D$40,Assumptions!$B21)*DU21*AD21,"")</f>
        <v>0</v>
      </c>
      <c r="CA21" s="34">
        <f ca="1">IFERROR(SUMIFS('TRA balance'!AB$5:AB$40,'TRA balance'!$C$5:$C$40,Assumptions!$C21,'TRA balance'!$D$5:$D$40,Assumptions!$B21)*DV21*AE21,"")</f>
        <v>0</v>
      </c>
      <c r="CB21" s="34">
        <f ca="1">IFERROR(SUMIFS('TRA balance'!AC$5:AC$40,'TRA balance'!$C$5:$C$40,Assumptions!$C21,'TRA balance'!$D$5:$D$40,Assumptions!$B21)*DW21*AF21,"")</f>
        <v>0</v>
      </c>
      <c r="CC21" s="34">
        <f ca="1">IFERROR(SUMIFS('TRA balance'!AD$5:AD$40,'TRA balance'!$C$5:$C$40,Assumptions!$C21,'TRA balance'!$D$5:$D$40,Assumptions!$B21)*DX21*AG21,"")</f>
        <v>0</v>
      </c>
      <c r="CD21" s="34">
        <f ca="1">IFERROR(SUMIFS('TRA balance'!AE$5:AE$40,'TRA balance'!$C$5:$C$40,Assumptions!$C21,'TRA balance'!$D$5:$D$40,Assumptions!$B21)*DY21*AH21,"")</f>
        <v>0</v>
      </c>
      <c r="CE21" s="34">
        <f ca="1">IFERROR(SUMIFS('TRA balance'!AF$5:AF$40,'TRA balance'!$C$5:$C$40,Assumptions!$C21,'TRA balance'!$D$5:$D$40,Assumptions!$B21)*DZ21*AI21,"")</f>
        <v>0</v>
      </c>
      <c r="CF21" s="34">
        <f ca="1">IFERROR(SUMIFS('TRA balance'!AG$5:AG$40,'TRA balance'!$C$5:$C$40,Assumptions!$C21,'TRA balance'!$D$5:$D$40,Assumptions!$B21)*EA21*AJ21,"")</f>
        <v>0</v>
      </c>
      <c r="CG21" s="34">
        <f ca="1">IFERROR(SUMIFS('TRA balance'!AH$5:AH$40,'TRA balance'!$C$5:$C$40,Assumptions!$C21,'TRA balance'!$D$5:$D$40,Assumptions!$B21)*EB21*AK21,"")</f>
        <v>0</v>
      </c>
      <c r="CH21" s="34">
        <f ca="1">IFERROR(SUMIFS('TRA balance'!AI$5:AI$40,'TRA balance'!$C$5:$C$40,Assumptions!$C21,'TRA balance'!$D$5:$D$40,Assumptions!$B21)*EC21*AL21,"")</f>
        <v>0</v>
      </c>
      <c r="CI21" s="34">
        <f ca="1">IFERROR(SUMIFS('TRA balance'!AJ$5:AJ$40,'TRA balance'!$C$5:$C$40,Assumptions!$C21,'TRA balance'!$D$5:$D$40,Assumptions!$B21)*ED21*AM21,"")</f>
        <v>0</v>
      </c>
      <c r="CJ21" s="34">
        <f ca="1">IFERROR(SUMIFS('TRA balance'!AK$5:AK$40,'TRA balance'!$C$5:$C$40,Assumptions!$C21,'TRA balance'!$D$5:$D$40,Assumptions!$B21)*EE21*AN21,"")</f>
        <v>0</v>
      </c>
      <c r="CK21" s="34">
        <f ca="1">IFERROR(SUMIFS('TRA balance'!AL$5:AL$40,'TRA balance'!$C$5:$C$40,Assumptions!$C21,'TRA balance'!$D$5:$D$40,Assumptions!$B21)*EF21*AO21,"")</f>
        <v>0</v>
      </c>
      <c r="CL21" s="34">
        <f ca="1">IFERROR(SUMIFS('TRA balance'!AM$5:AM$40,'TRA balance'!$C$5:$C$40,Assumptions!$C21,'TRA balance'!$D$5:$D$40,Assumptions!$B21)*EG21*AP21,"")</f>
        <v>0</v>
      </c>
      <c r="CM21" s="34">
        <f ca="1">IFERROR(SUMIFS('TRA balance'!AN$5:AN$40,'TRA balance'!$C$5:$C$40,Assumptions!$C21,'TRA balance'!$D$5:$D$40,Assumptions!$B21)*EH21*AQ21,"")</f>
        <v>0</v>
      </c>
      <c r="CN21" s="34">
        <f ca="1">IFERROR(SUMIFS('TRA balance'!AO$5:AO$40,'TRA balance'!$C$5:$C$40,Assumptions!$C21,'TRA balance'!$D$5:$D$40,Assumptions!$B21)*EI21*AR21,"")</f>
        <v>0</v>
      </c>
      <c r="CO21" s="34">
        <f ca="1">IFERROR(SUMIFS('TRA balance'!AP$5:AP$40,'TRA balance'!$C$5:$C$40,Assumptions!$C21,'TRA balance'!$D$5:$D$40,Assumptions!$B21)*EJ21*AS21,"")</f>
        <v>0</v>
      </c>
      <c r="CP21" s="34">
        <f ca="1">IFERROR(SUMIFS('TRA balance'!AQ$5:AQ$40,'TRA balance'!$C$5:$C$40,Assumptions!$C21,'TRA balance'!$D$5:$D$40,Assumptions!$B21)*EK21*AT21,"")</f>
        <v>0</v>
      </c>
      <c r="CQ21" s="34">
        <f ca="1">IFERROR(SUMIFS('TRA balance'!AR$5:AR$40,'TRA balance'!$C$5:$C$40,Assumptions!$C21,'TRA balance'!$D$5:$D$40,Assumptions!$B21)*EL21*AU21,"")</f>
        <v>0</v>
      </c>
      <c r="CR21" s="34">
        <f ca="1">IFERROR(SUMIFS('TRA balance'!AS$5:AS$40,'TRA balance'!$C$5:$C$40,Assumptions!$C21,'TRA balance'!$D$5:$D$40,Assumptions!$B21)*EM21*AV21,"")</f>
        <v>0</v>
      </c>
      <c r="CS21" s="34">
        <f ca="1">IFERROR(SUMIFS('TRA balance'!AT$5:AT$40,'TRA balance'!$C$5:$C$40,Assumptions!$C21,'TRA balance'!$D$5:$D$40,Assumptions!$B21)*EN21*AW21,"")</f>
        <v>0</v>
      </c>
      <c r="CT21" s="34">
        <f ca="1">IFERROR(SUMIFS('TRA balance'!AU$5:AU$40,'TRA balance'!$C$5:$C$40,Assumptions!$C21,'TRA balance'!$D$5:$D$40,Assumptions!$B21)*EO21*AX21,"")</f>
        <v>0</v>
      </c>
      <c r="CU21" s="34">
        <f ca="1">IFERROR(SUMIFS('TRA balance'!AV$5:AV$40,'TRA balance'!$C$5:$C$40,Assumptions!$C21,'TRA balance'!$D$5:$D$40,Assumptions!$B21)*EP21*AY21,"")</f>
        <v>0</v>
      </c>
      <c r="CV21" s="34">
        <f ca="1">IFERROR(SUMIFS('TRA balance'!AW$5:AW$40,'TRA balance'!$C$5:$C$40,Assumptions!$C21,'TRA balance'!$D$5:$D$40,Assumptions!$B21)*EQ21*AZ21,"")</f>
        <v>0</v>
      </c>
      <c r="CW21" s="34">
        <f ca="1">IFERROR(SUMIFS('TRA balance'!AX$5:AX$40,'TRA balance'!$C$5:$C$40,Assumptions!$C21,'TRA balance'!$D$5:$D$40,Assumptions!$B21)*ER21*BA21,"")</f>
        <v>0</v>
      </c>
      <c r="CY21" s="33">
        <f t="shared" si="2"/>
        <v>1</v>
      </c>
      <c r="CZ21" s="33">
        <f t="shared" si="3"/>
        <v>1</v>
      </c>
      <c r="DA21" s="33">
        <f t="shared" si="4"/>
        <v>1</v>
      </c>
      <c r="DB21" s="33">
        <f t="shared" si="5"/>
        <v>1</v>
      </c>
      <c r="DC21" s="33">
        <f t="shared" si="6"/>
        <v>1</v>
      </c>
      <c r="DD21" s="33">
        <f t="shared" si="7"/>
        <v>1</v>
      </c>
      <c r="DE21" s="33">
        <f t="shared" si="8"/>
        <v>1</v>
      </c>
      <c r="DF21" s="33">
        <f t="shared" si="9"/>
        <v>1</v>
      </c>
      <c r="DG21" s="33">
        <f t="shared" si="10"/>
        <v>1</v>
      </c>
      <c r="DH21" s="33">
        <f t="shared" si="11"/>
        <v>1</v>
      </c>
      <c r="DI21" s="33">
        <f t="shared" si="12"/>
        <v>1</v>
      </c>
      <c r="DJ21" s="33">
        <f t="shared" si="13"/>
        <v>1</v>
      </c>
      <c r="DK21" s="33">
        <f t="shared" si="14"/>
        <v>1</v>
      </c>
      <c r="DL21" s="33">
        <f t="shared" si="15"/>
        <v>1</v>
      </c>
      <c r="DM21" s="33">
        <f t="shared" si="16"/>
        <v>1</v>
      </c>
      <c r="DN21" s="33">
        <f t="shared" si="17"/>
        <v>1</v>
      </c>
      <c r="DO21" s="33">
        <f t="shared" si="18"/>
        <v>1</v>
      </c>
      <c r="DP21" s="33">
        <f t="shared" si="19"/>
        <v>1</v>
      </c>
      <c r="DQ21" s="33">
        <f t="shared" si="20"/>
        <v>1</v>
      </c>
      <c r="DR21" s="33">
        <f t="shared" si="21"/>
        <v>1</v>
      </c>
      <c r="DS21" s="33">
        <f t="shared" si="22"/>
        <v>1</v>
      </c>
      <c r="DT21" s="33">
        <f t="shared" si="23"/>
        <v>1</v>
      </c>
      <c r="DU21" s="33">
        <f t="shared" si="24"/>
        <v>1</v>
      </c>
      <c r="DV21" s="33">
        <f t="shared" si="25"/>
        <v>1</v>
      </c>
      <c r="DW21" s="33">
        <f t="shared" si="26"/>
        <v>1</v>
      </c>
      <c r="DX21" s="33">
        <f t="shared" si="27"/>
        <v>1</v>
      </c>
      <c r="DY21" s="33">
        <f t="shared" si="28"/>
        <v>1</v>
      </c>
      <c r="DZ21" s="33">
        <f t="shared" si="29"/>
        <v>1</v>
      </c>
      <c r="EA21" s="33">
        <f t="shared" si="30"/>
        <v>1</v>
      </c>
      <c r="EB21" s="33">
        <f t="shared" si="31"/>
        <v>1</v>
      </c>
      <c r="EC21" s="33">
        <f t="shared" si="32"/>
        <v>1</v>
      </c>
      <c r="ED21" s="33">
        <f t="shared" si="33"/>
        <v>1</v>
      </c>
      <c r="EE21" s="33">
        <f t="shared" si="34"/>
        <v>1</v>
      </c>
      <c r="EF21" s="33">
        <f t="shared" si="35"/>
        <v>1</v>
      </c>
      <c r="EG21" s="33">
        <f t="shared" si="36"/>
        <v>1</v>
      </c>
      <c r="EH21" s="33">
        <f t="shared" si="37"/>
        <v>1</v>
      </c>
      <c r="EI21" s="33">
        <f t="shared" si="38"/>
        <v>1</v>
      </c>
      <c r="EJ21" s="33">
        <f t="shared" si="39"/>
        <v>1</v>
      </c>
      <c r="EK21" s="33">
        <f t="shared" si="40"/>
        <v>1</v>
      </c>
      <c r="EL21" s="33">
        <f t="shared" si="41"/>
        <v>1</v>
      </c>
      <c r="EM21" s="33">
        <f t="shared" si="42"/>
        <v>1</v>
      </c>
      <c r="EN21" s="33">
        <f t="shared" si="43"/>
        <v>1</v>
      </c>
      <c r="EO21" s="33">
        <f t="shared" si="44"/>
        <v>1</v>
      </c>
      <c r="EP21" s="33">
        <f t="shared" si="45"/>
        <v>1</v>
      </c>
      <c r="EQ21" s="33">
        <f t="shared" si="46"/>
        <v>1</v>
      </c>
      <c r="ER21" s="33">
        <f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6" t="str">
        <f t="shared" si="48"/>
        <v>TR</v>
      </c>
      <c r="D22" s="7" t="s">
        <v>16</v>
      </c>
      <c r="E22" s="18" t="s">
        <v>61</v>
      </c>
      <c r="F22" s="8" t="str">
        <f>F21</f>
        <v>Gasoline</v>
      </c>
      <c r="G22" s="6" t="s">
        <v>62</v>
      </c>
      <c r="H22" s="9">
        <f ca="1">OFFSET(TIAM15_assumptions!$G22,0,MATCH(VLOOKUP(Assumptions!H$2,TIAM15_assumptions!$Y$3:$Z$87,2,FALSE),TIAM15_assumptions!$H$2:$V$2,0))</f>
        <v>0.45</v>
      </c>
      <c r="I22" s="9">
        <f ca="1">OFFSET(TIAM15_assumptions!$G22,0,MATCH(VLOOKUP(Assumptions!I$2,TIAM15_assumptions!$Y$3:$Z$87,2,FALSE),TIAM15_assumptions!$H$2:$V$2,0))</f>
        <v>0.45</v>
      </c>
      <c r="J22" s="9">
        <f ca="1">OFFSET(TIAM15_assumptions!$G22,0,MATCH(VLOOKUP(Assumptions!J$2,TIAM15_assumptions!$Y$3:$Z$87,2,FALSE),TIAM15_assumptions!$H$2:$V$2,0))</f>
        <v>0.69</v>
      </c>
      <c r="K22" s="9">
        <f ca="1">OFFSET(TIAM15_assumptions!$G22,0,MATCH(VLOOKUP(Assumptions!K$2,TIAM15_assumptions!$Y$3:$Z$87,2,FALSE),TIAM15_assumptions!$H$2:$V$2,0))</f>
        <v>0.64</v>
      </c>
      <c r="L22" s="9">
        <f ca="1">OFFSET(TIAM15_assumptions!$G22,0,MATCH(VLOOKUP(Assumptions!L$2,TIAM15_assumptions!$Y$3:$Z$87,2,FALSE),TIAM15_assumptions!$H$2:$V$2,0))</f>
        <v>0.65</v>
      </c>
      <c r="M22" s="9">
        <f ca="1">OFFSET(TIAM15_assumptions!$G22,0,MATCH(VLOOKUP(Assumptions!M$2,TIAM15_assumptions!$Y$3:$Z$87,2,FALSE),TIAM15_assumptions!$H$2:$V$2,0))</f>
        <v>0.64</v>
      </c>
      <c r="N22" s="9">
        <f ca="1">OFFSET(TIAM15_assumptions!$G22,0,MATCH(VLOOKUP(Assumptions!N$2,TIAM15_assumptions!$Y$3:$Z$87,2,FALSE),TIAM15_assumptions!$H$2:$V$2,0))</f>
        <v>0.67</v>
      </c>
      <c r="O22" s="9">
        <f ca="1">OFFSET(TIAM15_assumptions!$G22,0,MATCH(VLOOKUP(Assumptions!O$2,TIAM15_assumptions!$Y$3:$Z$87,2,FALSE),TIAM15_assumptions!$H$2:$V$2,0))</f>
        <v>0.45</v>
      </c>
      <c r="P22" s="9">
        <f ca="1">OFFSET(TIAM15_assumptions!$G22,0,MATCH(VLOOKUP(Assumptions!P$2,TIAM15_assumptions!$Y$3:$Z$87,2,FALSE),TIAM15_assumptions!$H$2:$V$2,0))</f>
        <v>0.65</v>
      </c>
      <c r="Q22" s="9">
        <f ca="1">OFFSET(TIAM15_assumptions!$G22,0,MATCH(VLOOKUP(Assumptions!Q$2,TIAM15_assumptions!$Y$3:$Z$87,2,FALSE),TIAM15_assumptions!$H$2:$V$2,0))</f>
        <v>0.65</v>
      </c>
      <c r="R22" s="9">
        <f ca="1">OFFSET(TIAM15_assumptions!$G22,0,MATCH(VLOOKUP(Assumptions!R$2,TIAM15_assumptions!$Y$3:$Z$87,2,FALSE),TIAM15_assumptions!$H$2:$V$2,0))</f>
        <v>0.64</v>
      </c>
      <c r="S22" s="9">
        <f ca="1">OFFSET(TIAM15_assumptions!$G22,0,MATCH(VLOOKUP(Assumptions!S$2,TIAM15_assumptions!$Y$3:$Z$87,2,FALSE),TIAM15_assumptions!$H$2:$V$2,0))</f>
        <v>0.64</v>
      </c>
      <c r="T22" s="9">
        <f ca="1">OFFSET(TIAM15_assumptions!$G22,0,MATCH(VLOOKUP(Assumptions!T$2,TIAM15_assumptions!$Y$3:$Z$87,2,FALSE),TIAM15_assumptions!$H$2:$V$2,0))</f>
        <v>0.64</v>
      </c>
      <c r="U22" s="9">
        <f ca="1">OFFSET(TIAM15_assumptions!$G22,0,MATCH(VLOOKUP(Assumptions!U$2,TIAM15_assumptions!$Y$3:$Z$87,2,FALSE),TIAM15_assumptions!$H$2:$V$2,0))</f>
        <v>0.65</v>
      </c>
      <c r="V22" s="9">
        <f ca="1">OFFSET(TIAM15_assumptions!$G22,0,MATCH(VLOOKUP(Assumptions!V$2,TIAM15_assumptions!$Y$3:$Z$87,2,FALSE),TIAM15_assumptions!$H$2:$V$2,0))</f>
        <v>0.64</v>
      </c>
      <c r="W22" s="9">
        <f ca="1">OFFSET(TIAM15_assumptions!$G22,0,MATCH(VLOOKUP(Assumptions!W$2,TIAM15_assumptions!$Y$3:$Z$87,2,FALSE),TIAM15_assumptions!$H$2:$V$2,0))</f>
        <v>0.45</v>
      </c>
      <c r="X22" s="9">
        <f ca="1">OFFSET(TIAM15_assumptions!$G22,0,MATCH(VLOOKUP(Assumptions!X$2,TIAM15_assumptions!$Y$3:$Z$87,2,FALSE),TIAM15_assumptions!$H$2:$V$2,0))</f>
        <v>0.64</v>
      </c>
      <c r="Y22" s="9">
        <f ca="1">OFFSET(TIAM15_assumptions!$G22,0,MATCH(VLOOKUP(Assumptions!Y$2,TIAM15_assumptions!$Y$3:$Z$87,2,FALSE),TIAM15_assumptions!$H$2:$V$2,0))</f>
        <v>0.64</v>
      </c>
      <c r="Z22" s="9">
        <f ca="1">OFFSET(TIAM15_assumptions!$G22,0,MATCH(VLOOKUP(Assumptions!Z$2,TIAM15_assumptions!$Y$3:$Z$87,2,FALSE),TIAM15_assumptions!$H$2:$V$2,0))</f>
        <v>0.7</v>
      </c>
      <c r="AA22" s="9">
        <f ca="1">OFFSET(TIAM15_assumptions!$G22,0,MATCH(VLOOKUP(Assumptions!AA$2,TIAM15_assumptions!$Y$3:$Z$87,2,FALSE),TIAM15_assumptions!$H$2:$V$2,0))</f>
        <v>0.67</v>
      </c>
      <c r="AB22" s="9">
        <f ca="1">OFFSET(TIAM15_assumptions!$G22,0,MATCH(VLOOKUP(Assumptions!AB$2,TIAM15_assumptions!$Y$3:$Z$87,2,FALSE),TIAM15_assumptions!$H$2:$V$2,0))</f>
        <v>0.55000000000000004</v>
      </c>
      <c r="AC22" s="9">
        <f ca="1">OFFSET(TIAM15_assumptions!$G22,0,MATCH(VLOOKUP(Assumptions!AC$2,TIAM15_assumptions!$Y$3:$Z$87,2,FALSE),TIAM15_assumptions!$H$2:$V$2,0))</f>
        <v>0.58299999999999996</v>
      </c>
      <c r="AD22" s="9">
        <f ca="1">OFFSET(TIAM15_assumptions!$G22,0,MATCH(VLOOKUP(Assumptions!AD$2,TIAM15_assumptions!$Y$3:$Z$87,2,FALSE),TIAM15_assumptions!$H$2:$V$2,0))</f>
        <v>0.64</v>
      </c>
      <c r="AE22" s="9">
        <f ca="1">OFFSET(TIAM15_assumptions!$G22,0,MATCH(VLOOKUP(Assumptions!AE$2,TIAM15_assumptions!$Y$3:$Z$87,2,FALSE),TIAM15_assumptions!$H$2:$V$2,0))</f>
        <v>0.65</v>
      </c>
      <c r="AF22" s="9">
        <f ca="1">OFFSET(TIAM15_assumptions!$G22,0,MATCH(VLOOKUP(Assumptions!AF$2,TIAM15_assumptions!$Y$3:$Z$87,2,FALSE),TIAM15_assumptions!$H$2:$V$2,0))</f>
        <v>0.45</v>
      </c>
      <c r="AG22" s="9">
        <f ca="1">OFFSET(TIAM15_assumptions!$G22,0,MATCH(VLOOKUP(Assumptions!AG$2,TIAM15_assumptions!$Y$3:$Z$87,2,FALSE),TIAM15_assumptions!$H$2:$V$2,0))</f>
        <v>0.65</v>
      </c>
      <c r="AH22" s="9">
        <f ca="1">OFFSET(TIAM15_assumptions!$G22,0,MATCH(VLOOKUP(Assumptions!AH$2,TIAM15_assumptions!$Y$3:$Z$87,2,FALSE),TIAM15_assumptions!$H$2:$V$2,0))</f>
        <v>0.55000000000000004</v>
      </c>
      <c r="AI22" s="9">
        <f ca="1">OFFSET(TIAM15_assumptions!$G22,0,MATCH(VLOOKUP(Assumptions!AI$2,TIAM15_assumptions!$Y$3:$Z$87,2,FALSE),TIAM15_assumptions!$H$2:$V$2,0))</f>
        <v>0.45</v>
      </c>
      <c r="AJ22" s="9">
        <f ca="1">OFFSET(TIAM15_assumptions!$G22,0,MATCH(VLOOKUP(Assumptions!AJ$2,TIAM15_assumptions!$Y$3:$Z$87,2,FALSE),TIAM15_assumptions!$H$2:$V$2,0))</f>
        <v>0.64</v>
      </c>
      <c r="AK22" s="9">
        <f ca="1">OFFSET(TIAM15_assumptions!$G22,0,MATCH(VLOOKUP(Assumptions!AK$2,TIAM15_assumptions!$Y$3:$Z$87,2,FALSE),TIAM15_assumptions!$H$2:$V$2,0))</f>
        <v>0.64</v>
      </c>
      <c r="AL22" s="9">
        <f ca="1">OFFSET(TIAM15_assumptions!$G22,0,MATCH(VLOOKUP(Assumptions!AL$2,TIAM15_assumptions!$Y$3:$Z$87,2,FALSE),TIAM15_assumptions!$H$2:$V$2,0))</f>
        <v>0.64</v>
      </c>
      <c r="AM22" s="9">
        <f ca="1">OFFSET(TIAM15_assumptions!$G22,0,MATCH(VLOOKUP(Assumptions!AM$2,TIAM15_assumptions!$Y$3:$Z$87,2,FALSE),TIAM15_assumptions!$H$2:$V$2,0))</f>
        <v>0.55000000000000004</v>
      </c>
      <c r="AN22" s="9">
        <f ca="1">OFFSET(TIAM15_assumptions!$G22,0,MATCH(VLOOKUP(Assumptions!AN$2,TIAM15_assumptions!$Y$3:$Z$87,2,FALSE),TIAM15_assumptions!$H$2:$V$2,0))</f>
        <v>0.64</v>
      </c>
      <c r="AO22" s="9">
        <f ca="1">OFFSET(TIAM15_assumptions!$G22,0,MATCH(VLOOKUP(Assumptions!AO$2,TIAM15_assumptions!$Y$3:$Z$87,2,FALSE),TIAM15_assumptions!$H$2:$V$2,0))</f>
        <v>0.65</v>
      </c>
      <c r="AP22" s="9">
        <f ca="1">OFFSET(TIAM15_assumptions!$G22,0,MATCH(VLOOKUP(Assumptions!AP$2,TIAM15_assumptions!$Y$3:$Z$87,2,FALSE),TIAM15_assumptions!$H$2:$V$2,0))</f>
        <v>0.65</v>
      </c>
      <c r="AQ22" s="9">
        <f ca="1">OFFSET(TIAM15_assumptions!$G22,0,MATCH(VLOOKUP(Assumptions!AQ$2,TIAM15_assumptions!$Y$3:$Z$87,2,FALSE),TIAM15_assumptions!$H$2:$V$2,0))</f>
        <v>0.58299999999999996</v>
      </c>
      <c r="AR22" s="9">
        <f ca="1">OFFSET(TIAM15_assumptions!$G22,0,MATCH(VLOOKUP(Assumptions!AR$2,TIAM15_assumptions!$Y$3:$Z$87,2,FALSE),TIAM15_assumptions!$H$2:$V$2,0))</f>
        <v>0.58299999999999996</v>
      </c>
      <c r="AS22" s="9">
        <f ca="1">OFFSET(TIAM15_assumptions!$G22,0,MATCH(VLOOKUP(Assumptions!AS$2,TIAM15_assumptions!$Y$3:$Z$87,2,FALSE),TIAM15_assumptions!$H$2:$V$2,0))</f>
        <v>0.58299999999999996</v>
      </c>
      <c r="AT22" s="9">
        <f ca="1">OFFSET(TIAM15_assumptions!$G22,0,MATCH(VLOOKUP(Assumptions!AT$2,TIAM15_assumptions!$Y$3:$Z$87,2,FALSE),TIAM15_assumptions!$H$2:$V$2,0))</f>
        <v>0.58299999999999996</v>
      </c>
      <c r="AU22" s="9">
        <f ca="1">OFFSET(TIAM15_assumptions!$G22,0,MATCH(VLOOKUP(Assumptions!AU$2,TIAM15_assumptions!$Y$3:$Z$87,2,FALSE),TIAM15_assumptions!$H$2:$V$2,0))</f>
        <v>0.58299999999999996</v>
      </c>
      <c r="AV22" s="9">
        <f ca="1">OFFSET(TIAM15_assumptions!$G22,0,MATCH(VLOOKUP(Assumptions!AV$2,TIAM15_assumptions!$Y$3:$Z$87,2,FALSE),TIAM15_assumptions!$H$2:$V$2,0))</f>
        <v>0.58299999999999996</v>
      </c>
      <c r="AW22" s="9">
        <f ca="1">OFFSET(TIAM15_assumptions!$G22,0,MATCH(VLOOKUP(Assumptions!AW$2,TIAM15_assumptions!$Y$3:$Z$87,2,FALSE),TIAM15_assumptions!$H$2:$V$2,0))</f>
        <v>0.58299999999999996</v>
      </c>
      <c r="AX22" s="9">
        <f ca="1">OFFSET(TIAM15_assumptions!$G22,0,MATCH(VLOOKUP(Assumptions!AX$2,TIAM15_assumptions!$Y$3:$Z$87,2,FALSE),TIAM15_assumptions!$H$2:$V$2,0))</f>
        <v>0.58299999999999996</v>
      </c>
      <c r="AY22" s="9">
        <f ca="1">OFFSET(TIAM15_assumptions!$G22,0,MATCH(VLOOKUP(Assumptions!AY$2,TIAM15_assumptions!$Y$3:$Z$87,2,FALSE),TIAM15_assumptions!$H$2:$V$2,0))</f>
        <v>0.58299999999999996</v>
      </c>
      <c r="AZ22" s="9">
        <f ca="1">OFFSET(TIAM15_assumptions!$G22,0,MATCH(VLOOKUP(Assumptions!AZ$2,TIAM15_assumptions!$Y$3:$Z$87,2,FALSE),TIAM15_assumptions!$H$2:$V$2,0))</f>
        <v>0.58299999999999996</v>
      </c>
      <c r="BA22" s="9">
        <f ca="1">OFFSET(TIAM15_assumptions!$G22,0,MATCH(VLOOKUP(Assumptions!BA$2,TIAM15_assumptions!$Y$3:$Z$87,2,FALSE),TIAM15_assumptions!$H$2:$V$2,0))</f>
        <v>0.58299999999999996</v>
      </c>
      <c r="BD22" s="34">
        <f ca="1">IFERROR(SUMIFS('TRA balance'!E$5:E$40,'TRA balance'!$C$5:$C$40,Assumptions!$C22,'TRA balance'!$D$5:$D$40,Assumptions!$B22)*CY22*H22,"")</f>
        <v>322.05163218678001</v>
      </c>
      <c r="BE22" s="34">
        <f ca="1">IFERROR(SUMIFS('TRA balance'!F$5:F$40,'TRA balance'!$C$5:$C$40,Assumptions!$C22,'TRA balance'!$D$5:$D$40,Assumptions!$B22)*CZ22*I22,"")</f>
        <v>559.23847964748006</v>
      </c>
      <c r="BF22" s="34">
        <f ca="1">IFERROR(SUMIFS('TRA balance'!G$5:G$40,'TRA balance'!$C$5:$C$40,Assumptions!$C22,'TRA balance'!$D$5:$D$40,Assumptions!$B22)*DA22*J22,"")</f>
        <v>353.30046007700878</v>
      </c>
      <c r="BG22" s="34">
        <f ca="1">IFERROR(SUMIFS('TRA balance'!H$5:H$40,'TRA balance'!$C$5:$C$40,Assumptions!$C22,'TRA balance'!$D$5:$D$40,Assumptions!$B22)*DB22*K22,"")</f>
        <v>42.986781074211841</v>
      </c>
      <c r="BH22" s="34">
        <f ca="1">IFERROR(SUMIFS('TRA balance'!I$5:I$40,'TRA balance'!$C$5:$C$40,Assumptions!$C22,'TRA balance'!$D$5:$D$40,Assumptions!$B22)*DC22*L22,"")</f>
        <v>13.156743906306</v>
      </c>
      <c r="BI22" s="34">
        <f ca="1">IFERROR(SUMIFS('TRA balance'!J$5:J$40,'TRA balance'!$C$5:$C$40,Assumptions!$C22,'TRA balance'!$D$5:$D$40,Assumptions!$B22)*DD22*M22,"")</f>
        <v>166.31979336347905</v>
      </c>
      <c r="BJ22" s="34">
        <f ca="1">IFERROR(SUMIFS('TRA balance'!K$5:K$40,'TRA balance'!$C$5:$C$40,Assumptions!$C22,'TRA balance'!$D$5:$D$40,Assumptions!$B22)*DE22*N22,"")</f>
        <v>541.60364974889876</v>
      </c>
      <c r="BK22" s="34">
        <f ca="1">IFERROR(SUMIFS('TRA balance'!L$5:L$40,'TRA balance'!$C$5:$C$40,Assumptions!$C22,'TRA balance'!$D$5:$D$40,Assumptions!$B22)*DF22*O22,"")</f>
        <v>2430.7673686162198</v>
      </c>
      <c r="BL22" s="34">
        <f ca="1">IFERROR(SUMIFS('TRA balance'!M$5:M$40,'TRA balance'!$C$5:$C$40,Assumptions!$C22,'TRA balance'!$D$5:$D$40,Assumptions!$B22)*DG22*P22,"")</f>
        <v>21.987494359974004</v>
      </c>
      <c r="BM22" s="34">
        <f ca="1">IFERROR(SUMIFS('TRA balance'!N$5:N$40,'TRA balance'!$C$5:$C$40,Assumptions!$C22,'TRA balance'!$D$5:$D$40,Assumptions!$B22)*DH22*Q22,"")</f>
        <v>52.123501495260008</v>
      </c>
      <c r="BN22" s="34">
        <f ca="1">IFERROR(SUMIFS('TRA balance'!O$5:O$40,'TRA balance'!$C$5:$C$40,Assumptions!$C22,'TRA balance'!$D$5:$D$40,Assumptions!$B22)*DI22*R22,"")</f>
        <v>204.30728764708604</v>
      </c>
      <c r="BO22" s="34">
        <f ca="1">IFERROR(SUMIFS('TRA balance'!P$5:P$40,'TRA balance'!$C$5:$C$40,Assumptions!$C22,'TRA balance'!$D$5:$D$40,Assumptions!$B22)*DJ22*S22,"")</f>
        <v>448.5975294601958</v>
      </c>
      <c r="BP22" s="34">
        <f ca="1">IFERROR(SUMIFS('TRA balance'!Q$5:Q$40,'TRA balance'!$C$5:$C$40,Assumptions!$C22,'TRA balance'!$D$5:$D$40,Assumptions!$B22)*DK22*T22,"")</f>
        <v>70.159909517452803</v>
      </c>
      <c r="BQ22" s="34">
        <f ca="1">IFERROR(SUMIFS('TRA balance'!R$5:R$40,'TRA balance'!$C$5:$C$40,Assumptions!$C22,'TRA balance'!$D$5:$D$40,Assumptions!$B22)*DL22*U22,"")</f>
        <v>81.237500848764</v>
      </c>
      <c r="BR22" s="34">
        <f ca="1">IFERROR(SUMIFS('TRA balance'!S$5:S$40,'TRA balance'!$C$5:$C$40,Assumptions!$C22,'TRA balance'!$D$5:$D$40,Assumptions!$B22)*DM22*V22,"")</f>
        <v>3.2435167467340795</v>
      </c>
      <c r="BS22" s="34">
        <f ca="1">IFERROR(SUMIFS('TRA balance'!T$5:T$40,'TRA balance'!$C$5:$C$40,Assumptions!$C22,'TRA balance'!$D$5:$D$40,Assumptions!$B22)*DN22*W22,"")</f>
        <v>604.29600063468001</v>
      </c>
      <c r="BT22" s="34">
        <f ca="1">IFERROR(SUMIFS('TRA balance'!U$5:U$40,'TRA balance'!$C$5:$C$40,Assumptions!$C22,'TRA balance'!$D$5:$D$40,Assumptions!$B22)*DO22*X22,"")</f>
        <v>20.010049419663357</v>
      </c>
      <c r="BU22" s="34">
        <f ca="1">IFERROR(SUMIFS('TRA balance'!V$5:V$40,'TRA balance'!$C$5:$C$40,Assumptions!$C22,'TRA balance'!$D$5:$D$40,Assumptions!$B22)*DP22*Y22,"")</f>
        <v>202.6786193923968</v>
      </c>
      <c r="BV22" s="34">
        <f ca="1">IFERROR(SUMIFS('TRA balance'!W$5:W$40,'TRA balance'!$C$5:$C$40,Assumptions!$C22,'TRA balance'!$D$5:$D$40,Assumptions!$B22)*DQ22*Z22,"")</f>
        <v>998.25908414853598</v>
      </c>
      <c r="BW22" s="34">
        <f ca="1">IFERROR(SUMIFS('TRA balance'!X$5:X$40,'TRA balance'!$C$5:$C$40,Assumptions!$C22,'TRA balance'!$D$5:$D$40,Assumptions!$B22)*DR22*AA22,"")</f>
        <v>1029.7977416233525</v>
      </c>
      <c r="BX22" s="34">
        <f ca="1">IFERROR(SUMIFS('TRA balance'!Y$5:Y$40,'TRA balance'!$C$5:$C$40,Assumptions!$C22,'TRA balance'!$D$5:$D$40,Assumptions!$B22)*DS22*AB22,"")</f>
        <v>908.45519972823001</v>
      </c>
      <c r="BY22" s="34">
        <f ca="1">IFERROR(SUMIFS('TRA balance'!Z$5:Z$40,'TRA balance'!$C$5:$C$40,Assumptions!$C22,'TRA balance'!$D$5:$D$40,Assumptions!$B22)*DT22*AC22,"")</f>
        <v>8557.1570779981867</v>
      </c>
      <c r="BZ22" s="34">
        <f ca="1">IFERROR(SUMIFS('TRA balance'!AA$5:AA$40,'TRA balance'!$C$5:$C$40,Assumptions!$C22,'TRA balance'!$D$5:$D$40,Assumptions!$B22)*DU22*AD22,"")</f>
        <v>17.317755881948159</v>
      </c>
      <c r="CA22" s="34">
        <f ca="1">IFERROR(SUMIFS('TRA balance'!AB$5:AB$40,'TRA balance'!$C$5:$C$40,Assumptions!$C22,'TRA balance'!$D$5:$D$40,Assumptions!$B22)*DV22*AE22,"")</f>
        <v>113.67538108617602</v>
      </c>
      <c r="CB22" s="34">
        <f ca="1">IFERROR(SUMIFS('TRA balance'!AC$5:AC$40,'TRA balance'!$C$5:$C$40,Assumptions!$C22,'TRA balance'!$D$5:$D$40,Assumptions!$B22)*DW22*AF22,"")</f>
        <v>2035.3529307567601</v>
      </c>
      <c r="CC22" s="34">
        <f ca="1">IFERROR(SUMIFS('TRA balance'!AD$5:AD$40,'TRA balance'!$C$5:$C$40,Assumptions!$C22,'TRA balance'!$D$5:$D$40,Assumptions!$B22)*DX22*AG22,"")</f>
        <v>703.86996753473409</v>
      </c>
      <c r="CD22" s="34">
        <f ca="1">IFERROR(SUMIFS('TRA balance'!AE$5:AE$40,'TRA balance'!$C$5:$C$40,Assumptions!$C22,'TRA balance'!$D$5:$D$40,Assumptions!$B22)*DY22*AH22,"")</f>
        <v>392.457714926508</v>
      </c>
      <c r="CE22" s="34">
        <f ca="1">IFERROR(SUMIFS('TRA balance'!AF$5:AF$40,'TRA balance'!$C$5:$C$40,Assumptions!$C22,'TRA balance'!$D$5:$D$40,Assumptions!$B22)*DZ22*AI22,"")</f>
        <v>142.45850182248</v>
      </c>
      <c r="CF22" s="34">
        <f ca="1">IFERROR(SUMIFS('TRA balance'!AG$5:AG$40,'TRA balance'!$C$5:$C$40,Assumptions!$C22,'TRA balance'!$D$5:$D$40,Assumptions!$B22)*EA22*AJ22,"")</f>
        <v>168.32289999062019</v>
      </c>
      <c r="CG22" s="34">
        <f ca="1">IFERROR(SUMIFS('TRA balance'!AH$5:AH$40,'TRA balance'!$C$5:$C$40,Assumptions!$C22,'TRA balance'!$D$5:$D$40,Assumptions!$B22)*EB22*AK22,"")</f>
        <v>118.05323656020481</v>
      </c>
      <c r="CH22" s="34">
        <f ca="1">IFERROR(SUMIFS('TRA balance'!AI$5:AI$40,'TRA balance'!$C$5:$C$40,Assumptions!$C22,'TRA balance'!$D$5:$D$40,Assumptions!$B22)*EC22*AL22,"")</f>
        <v>62.00135272952064</v>
      </c>
      <c r="CI22" s="34">
        <f ca="1">IFERROR(SUMIFS('TRA balance'!AJ$5:AJ$40,'TRA balance'!$C$5:$C$40,Assumptions!$C22,'TRA balance'!$D$5:$D$40,Assumptions!$B22)*ED22*AM22,"")</f>
        <v>38.233579512744001</v>
      </c>
      <c r="CJ22" s="34">
        <f ca="1">IFERROR(SUMIFS('TRA balance'!AK$5:AK$40,'TRA balance'!$C$5:$C$40,Assumptions!$C22,'TRA balance'!$D$5:$D$40,Assumptions!$B22)*EE22*AN22,"")</f>
        <v>319.95468209355261</v>
      </c>
      <c r="CK22" s="34">
        <f ca="1">IFERROR(SUMIFS('TRA balance'!AL$5:AL$40,'TRA balance'!$C$5:$C$40,Assumptions!$C22,'TRA balance'!$D$5:$D$40,Assumptions!$B22)*EF22*AO22,"")</f>
        <v>35.103469217543996</v>
      </c>
      <c r="CL22" s="34">
        <f ca="1">IFERROR(SUMIFS('TRA balance'!AM$5:AM$40,'TRA balance'!$C$5:$C$40,Assumptions!$C22,'TRA balance'!$D$5:$D$40,Assumptions!$B22)*EG22*AP22,"")</f>
        <v>22.884738369714</v>
      </c>
      <c r="CM22" s="34">
        <f ca="1">IFERROR(SUMIFS('TRA balance'!AN$5:AN$40,'TRA balance'!$C$5:$C$40,Assumptions!$C22,'TRA balance'!$D$5:$D$40,Assumptions!$B22)*EH22*AQ22,"")</f>
        <v>0</v>
      </c>
      <c r="CN22" s="34">
        <f ca="1">IFERROR(SUMIFS('TRA balance'!AO$5:AO$40,'TRA balance'!$C$5:$C$40,Assumptions!$C22,'TRA balance'!$D$5:$D$40,Assumptions!$B22)*EI22*AR22,"")</f>
        <v>0</v>
      </c>
      <c r="CO22" s="34">
        <f ca="1">IFERROR(SUMIFS('TRA balance'!AP$5:AP$40,'TRA balance'!$C$5:$C$40,Assumptions!$C22,'TRA balance'!$D$5:$D$40,Assumptions!$B22)*EJ22*AS22,"")</f>
        <v>0</v>
      </c>
      <c r="CP22" s="34">
        <f ca="1">IFERROR(SUMIFS('TRA balance'!AQ$5:AQ$40,'TRA balance'!$C$5:$C$40,Assumptions!$C22,'TRA balance'!$D$5:$D$40,Assumptions!$B22)*EK22*AT22,"")</f>
        <v>0</v>
      </c>
      <c r="CQ22" s="34">
        <f ca="1">IFERROR(SUMIFS('TRA balance'!AR$5:AR$40,'TRA balance'!$C$5:$C$40,Assumptions!$C22,'TRA balance'!$D$5:$D$40,Assumptions!$B22)*EL22*AU22,"")</f>
        <v>0</v>
      </c>
      <c r="CR22" s="34">
        <f ca="1">IFERROR(SUMIFS('TRA balance'!AS$5:AS$40,'TRA balance'!$C$5:$C$40,Assumptions!$C22,'TRA balance'!$D$5:$D$40,Assumptions!$B22)*EM22*AV22,"")</f>
        <v>0</v>
      </c>
      <c r="CS22" s="34">
        <f ca="1">IFERROR(SUMIFS('TRA balance'!AT$5:AT$40,'TRA balance'!$C$5:$C$40,Assumptions!$C22,'TRA balance'!$D$5:$D$40,Assumptions!$B22)*EN22*AW22,"")</f>
        <v>0</v>
      </c>
      <c r="CT22" s="34">
        <f ca="1">IFERROR(SUMIFS('TRA balance'!AU$5:AU$40,'TRA balance'!$C$5:$C$40,Assumptions!$C22,'TRA balance'!$D$5:$D$40,Assumptions!$B22)*EO22*AX22,"")</f>
        <v>0</v>
      </c>
      <c r="CU22" s="34">
        <f ca="1">IFERROR(SUMIFS('TRA balance'!AV$5:AV$40,'TRA balance'!$C$5:$C$40,Assumptions!$C22,'TRA balance'!$D$5:$D$40,Assumptions!$B22)*EP22*AY22,"")</f>
        <v>0</v>
      </c>
      <c r="CV22" s="34">
        <f ca="1">IFERROR(SUMIFS('TRA balance'!AW$5:AW$40,'TRA balance'!$C$5:$C$40,Assumptions!$C22,'TRA balance'!$D$5:$D$40,Assumptions!$B22)*EQ22*AZ22,"")</f>
        <v>0</v>
      </c>
      <c r="CW22" s="34">
        <f ca="1">IFERROR(SUMIFS('TRA balance'!AX$5:AX$40,'TRA balance'!$C$5:$C$40,Assumptions!$C22,'TRA balance'!$D$5:$D$40,Assumptions!$B22)*ER22*BA22,"")</f>
        <v>0</v>
      </c>
      <c r="CY22" s="33">
        <f t="shared" ca="1" si="2"/>
        <v>1</v>
      </c>
      <c r="CZ22" s="33">
        <f t="shared" ca="1" si="3"/>
        <v>1</v>
      </c>
      <c r="DA22" s="33">
        <f t="shared" ca="1" si="4"/>
        <v>0.9</v>
      </c>
      <c r="DB22" s="33">
        <f t="shared" ca="1" si="5"/>
        <v>0.97</v>
      </c>
      <c r="DC22" s="33">
        <f t="shared" ca="1" si="6"/>
        <v>0.7</v>
      </c>
      <c r="DD22" s="33">
        <f t="shared" ca="1" si="7"/>
        <v>0.97</v>
      </c>
      <c r="DE22" s="33">
        <f t="shared" ca="1" si="8"/>
        <v>0.9</v>
      </c>
      <c r="DF22" s="33">
        <f t="shared" ca="1" si="9"/>
        <v>0.9</v>
      </c>
      <c r="DG22" s="33">
        <f t="shared" ca="1" si="10"/>
        <v>0.9</v>
      </c>
      <c r="DH22" s="33">
        <f t="shared" ca="1" si="11"/>
        <v>0.9</v>
      </c>
      <c r="DI22" s="33">
        <f t="shared" ca="1" si="12"/>
        <v>0.97</v>
      </c>
      <c r="DJ22" s="33">
        <f t="shared" ca="1" si="13"/>
        <v>0.97</v>
      </c>
      <c r="DK22" s="33">
        <f t="shared" ca="1" si="14"/>
        <v>0.97</v>
      </c>
      <c r="DL22" s="33">
        <f t="shared" ca="1" si="15"/>
        <v>0.9</v>
      </c>
      <c r="DM22" s="33">
        <f t="shared" ca="1" si="16"/>
        <v>0.97</v>
      </c>
      <c r="DN22" s="33">
        <f t="shared" ca="1" si="17"/>
        <v>1</v>
      </c>
      <c r="DO22" s="33">
        <f t="shared" ca="1" si="18"/>
        <v>0.97</v>
      </c>
      <c r="DP22" s="33">
        <f t="shared" ca="1" si="19"/>
        <v>0.97</v>
      </c>
      <c r="DQ22" s="33">
        <f t="shared" ca="1" si="20"/>
        <v>0.9</v>
      </c>
      <c r="DR22" s="33">
        <f t="shared" ca="1" si="21"/>
        <v>0.9</v>
      </c>
      <c r="DS22" s="33">
        <f t="shared" ca="1" si="22"/>
        <v>0.7</v>
      </c>
      <c r="DT22" s="33">
        <f t="shared" ca="1" si="23"/>
        <v>0.8</v>
      </c>
      <c r="DU22" s="33">
        <f t="shared" ca="1" si="24"/>
        <v>0.97</v>
      </c>
      <c r="DV22" s="33">
        <f t="shared" ca="1" si="25"/>
        <v>0.9</v>
      </c>
      <c r="DW22" s="33">
        <f t="shared" ca="1" si="26"/>
        <v>1</v>
      </c>
      <c r="DX22" s="33">
        <f t="shared" ca="1" si="27"/>
        <v>0.7</v>
      </c>
      <c r="DY22" s="33">
        <f t="shared" ca="1" si="28"/>
        <v>0.7</v>
      </c>
      <c r="DZ22" s="33">
        <f t="shared" ca="1" si="29"/>
        <v>1</v>
      </c>
      <c r="EA22" s="33">
        <f t="shared" ca="1" si="30"/>
        <v>0.97</v>
      </c>
      <c r="EB22" s="33">
        <f t="shared" ca="1" si="31"/>
        <v>0.97</v>
      </c>
      <c r="EC22" s="33">
        <f t="shared" ca="1" si="32"/>
        <v>0.97</v>
      </c>
      <c r="ED22" s="33">
        <f t="shared" ca="1" si="33"/>
        <v>0.7</v>
      </c>
      <c r="EE22" s="33">
        <f t="shared" ca="1" si="34"/>
        <v>0.97</v>
      </c>
      <c r="EF22" s="33">
        <f t="shared" ca="1" si="35"/>
        <v>0.7</v>
      </c>
      <c r="EG22" s="33">
        <f t="shared" ca="1" si="36"/>
        <v>0.9</v>
      </c>
      <c r="EH22" s="33">
        <f t="shared" ca="1" si="37"/>
        <v>0.8</v>
      </c>
      <c r="EI22" s="33">
        <f t="shared" ca="1" si="38"/>
        <v>0.8</v>
      </c>
      <c r="EJ22" s="33">
        <f t="shared" ca="1" si="39"/>
        <v>0.8</v>
      </c>
      <c r="EK22" s="33">
        <f t="shared" ca="1" si="40"/>
        <v>0.8</v>
      </c>
      <c r="EL22" s="33">
        <f t="shared" ca="1" si="41"/>
        <v>0.8</v>
      </c>
      <c r="EM22" s="33">
        <f t="shared" ca="1" si="42"/>
        <v>0.8</v>
      </c>
      <c r="EN22" s="33">
        <f t="shared" ca="1" si="43"/>
        <v>0.8</v>
      </c>
      <c r="EO22" s="33">
        <f t="shared" ca="1" si="44"/>
        <v>0.8</v>
      </c>
      <c r="EP22" s="33">
        <f t="shared" ca="1" si="45"/>
        <v>0.8</v>
      </c>
      <c r="EQ22" s="33">
        <f t="shared" ca="1" si="46"/>
        <v>0.8</v>
      </c>
      <c r="ER22" s="33">
        <f t="shared" ca="1" si="47"/>
        <v>0.8</v>
      </c>
    </row>
    <row r="23" spans="1:148">
      <c r="A23">
        <v>1</v>
      </c>
      <c r="B23" t="str">
        <f>VLOOKUP(F23,'TRA balance'!$BA$5:$BB$14,2,FALSE)</f>
        <v>TRAGSL</v>
      </c>
      <c r="C23" s="6" t="str">
        <f t="shared" si="48"/>
        <v>TR</v>
      </c>
      <c r="D23" s="7" t="s">
        <v>16</v>
      </c>
      <c r="E23" s="18" t="s">
        <v>63</v>
      </c>
      <c r="F23" s="8" t="str">
        <f t="shared" ref="F23:F26" si="59">F22</f>
        <v>Gasoline</v>
      </c>
      <c r="G23" s="6" t="s">
        <v>64</v>
      </c>
      <c r="H23" s="9">
        <f ca="1">OFFSET(TIAM15_assumptions!$G23,0,MATCH(VLOOKUP(Assumptions!H$2,TIAM15_assumptions!$Y$3:$Z$87,2,FALSE),TIAM15_assumptions!$H$2:$V$2,0))</f>
        <v>0.1</v>
      </c>
      <c r="I23" s="9">
        <f ca="1">OFFSET(TIAM15_assumptions!$G23,0,MATCH(VLOOKUP(Assumptions!I$2,TIAM15_assumptions!$Y$3:$Z$87,2,FALSE),TIAM15_assumptions!$H$2:$V$2,0))</f>
        <v>0.1</v>
      </c>
      <c r="J23" s="9">
        <f ca="1">OFFSET(TIAM15_assumptions!$G23,0,MATCH(VLOOKUP(Assumptions!J$2,TIAM15_assumptions!$Y$3:$Z$87,2,FALSE),TIAM15_assumptions!$H$2:$V$2,0))</f>
        <v>0.28999999999999998</v>
      </c>
      <c r="K23" s="9">
        <f ca="1">OFFSET(TIAM15_assumptions!$G23,0,MATCH(VLOOKUP(Assumptions!K$2,TIAM15_assumptions!$Y$3:$Z$87,2,FALSE),TIAM15_assumptions!$H$2:$V$2,0))</f>
        <v>0.35</v>
      </c>
      <c r="L23" s="9">
        <f ca="1">OFFSET(TIAM15_assumptions!$G23,0,MATCH(VLOOKUP(Assumptions!L$2,TIAM15_assumptions!$Y$3:$Z$87,2,FALSE),TIAM15_assumptions!$H$2:$V$2,0))</f>
        <v>0.33</v>
      </c>
      <c r="M23" s="9">
        <f ca="1">OFFSET(TIAM15_assumptions!$G23,0,MATCH(VLOOKUP(Assumptions!M$2,TIAM15_assumptions!$Y$3:$Z$87,2,FALSE),TIAM15_assumptions!$H$2:$V$2,0))</f>
        <v>0.35</v>
      </c>
      <c r="N23" s="9">
        <f ca="1">OFFSET(TIAM15_assumptions!$G23,0,MATCH(VLOOKUP(Assumptions!N$2,TIAM15_assumptions!$Y$3:$Z$87,2,FALSE),TIAM15_assumptions!$H$2:$V$2,0))</f>
        <v>0.31</v>
      </c>
      <c r="O23" s="9">
        <f ca="1">OFFSET(TIAM15_assumptions!$G23,0,MATCH(VLOOKUP(Assumptions!O$2,TIAM15_assumptions!$Y$3:$Z$87,2,FALSE),TIAM15_assumptions!$H$2:$V$2,0))</f>
        <v>0.25</v>
      </c>
      <c r="P23" s="9">
        <f ca="1">OFFSET(TIAM15_assumptions!$G23,0,MATCH(VLOOKUP(Assumptions!P$2,TIAM15_assumptions!$Y$3:$Z$87,2,FALSE),TIAM15_assumptions!$H$2:$V$2,0))</f>
        <v>0.33</v>
      </c>
      <c r="Q23" s="9">
        <f ca="1">OFFSET(TIAM15_assumptions!$G23,0,MATCH(VLOOKUP(Assumptions!Q$2,TIAM15_assumptions!$Y$3:$Z$87,2,FALSE),TIAM15_assumptions!$H$2:$V$2,0))</f>
        <v>0.33</v>
      </c>
      <c r="R23" s="9">
        <f ca="1">OFFSET(TIAM15_assumptions!$G23,0,MATCH(VLOOKUP(Assumptions!R$2,TIAM15_assumptions!$Y$3:$Z$87,2,FALSE),TIAM15_assumptions!$H$2:$V$2,0))</f>
        <v>0.35</v>
      </c>
      <c r="S23" s="9">
        <f ca="1">OFFSET(TIAM15_assumptions!$G23,0,MATCH(VLOOKUP(Assumptions!S$2,TIAM15_assumptions!$Y$3:$Z$87,2,FALSE),TIAM15_assumptions!$H$2:$V$2,0))</f>
        <v>0.35</v>
      </c>
      <c r="T23" s="9">
        <f ca="1">OFFSET(TIAM15_assumptions!$G23,0,MATCH(VLOOKUP(Assumptions!T$2,TIAM15_assumptions!$Y$3:$Z$87,2,FALSE),TIAM15_assumptions!$H$2:$V$2,0))</f>
        <v>0.35</v>
      </c>
      <c r="U23" s="9">
        <f ca="1">OFFSET(TIAM15_assumptions!$G23,0,MATCH(VLOOKUP(Assumptions!U$2,TIAM15_assumptions!$Y$3:$Z$87,2,FALSE),TIAM15_assumptions!$H$2:$V$2,0))</f>
        <v>0.33</v>
      </c>
      <c r="V23" s="9">
        <f ca="1">OFFSET(TIAM15_assumptions!$G23,0,MATCH(VLOOKUP(Assumptions!V$2,TIAM15_assumptions!$Y$3:$Z$87,2,FALSE),TIAM15_assumptions!$H$2:$V$2,0))</f>
        <v>0.35</v>
      </c>
      <c r="W23" s="9">
        <f ca="1">OFFSET(TIAM15_assumptions!$G23,0,MATCH(VLOOKUP(Assumptions!W$2,TIAM15_assumptions!$Y$3:$Z$87,2,FALSE),TIAM15_assumptions!$H$2:$V$2,0))</f>
        <v>0.05</v>
      </c>
      <c r="X23" s="9">
        <f ca="1">OFFSET(TIAM15_assumptions!$G23,0,MATCH(VLOOKUP(Assumptions!X$2,TIAM15_assumptions!$Y$3:$Z$87,2,FALSE),TIAM15_assumptions!$H$2:$V$2,0))</f>
        <v>0.35</v>
      </c>
      <c r="Y23" s="9">
        <f ca="1">OFFSET(TIAM15_assumptions!$G23,0,MATCH(VLOOKUP(Assumptions!Y$2,TIAM15_assumptions!$Y$3:$Z$87,2,FALSE),TIAM15_assumptions!$H$2:$V$2,0))</f>
        <v>0.35</v>
      </c>
      <c r="Z23" s="9">
        <f ca="1">OFFSET(TIAM15_assumptions!$G23,0,MATCH(VLOOKUP(Assumptions!Z$2,TIAM15_assumptions!$Y$3:$Z$87,2,FALSE),TIAM15_assumptions!$H$2:$V$2,0))</f>
        <v>0.28499999999999998</v>
      </c>
      <c r="AA23" s="9">
        <f ca="1">OFFSET(TIAM15_assumptions!$G23,0,MATCH(VLOOKUP(Assumptions!AA$2,TIAM15_assumptions!$Y$3:$Z$87,2,FALSE),TIAM15_assumptions!$H$2:$V$2,0))</f>
        <v>0.31</v>
      </c>
      <c r="AB23" s="9">
        <f ca="1">OFFSET(TIAM15_assumptions!$G23,0,MATCH(VLOOKUP(Assumptions!AB$2,TIAM15_assumptions!$Y$3:$Z$87,2,FALSE),TIAM15_assumptions!$H$2:$V$2,0))</f>
        <v>0.42</v>
      </c>
      <c r="AC23" s="9">
        <f ca="1">OFFSET(TIAM15_assumptions!$G23,0,MATCH(VLOOKUP(Assumptions!AC$2,TIAM15_assumptions!$Y$3:$Z$87,2,FALSE),TIAM15_assumptions!$H$2:$V$2,0))</f>
        <v>0.41499999999999998</v>
      </c>
      <c r="AD23" s="9">
        <f ca="1">OFFSET(TIAM15_assumptions!$G23,0,MATCH(VLOOKUP(Assumptions!AD$2,TIAM15_assumptions!$Y$3:$Z$87,2,FALSE),TIAM15_assumptions!$H$2:$V$2,0))</f>
        <v>0.35</v>
      </c>
      <c r="AE23" s="9">
        <f ca="1">OFFSET(TIAM15_assumptions!$G23,0,MATCH(VLOOKUP(Assumptions!AE$2,TIAM15_assumptions!$Y$3:$Z$87,2,FALSE),TIAM15_assumptions!$H$2:$V$2,0))</f>
        <v>0.33</v>
      </c>
      <c r="AF23" s="9">
        <f ca="1">OFFSET(TIAM15_assumptions!$G23,0,MATCH(VLOOKUP(Assumptions!AF$2,TIAM15_assumptions!$Y$3:$Z$87,2,FALSE),TIAM15_assumptions!$H$2:$V$2,0))</f>
        <v>0.1</v>
      </c>
      <c r="AG23" s="9">
        <f ca="1">OFFSET(TIAM15_assumptions!$G23,0,MATCH(VLOOKUP(Assumptions!AG$2,TIAM15_assumptions!$Y$3:$Z$87,2,FALSE),TIAM15_assumptions!$H$2:$V$2,0))</f>
        <v>0.33</v>
      </c>
      <c r="AH23" s="9">
        <f ca="1">OFFSET(TIAM15_assumptions!$G23,0,MATCH(VLOOKUP(Assumptions!AH$2,TIAM15_assumptions!$Y$3:$Z$87,2,FALSE),TIAM15_assumptions!$H$2:$V$2,0))</f>
        <v>0.42</v>
      </c>
      <c r="AI23" s="9">
        <f ca="1">OFFSET(TIAM15_assumptions!$G23,0,MATCH(VLOOKUP(Assumptions!AI$2,TIAM15_assumptions!$Y$3:$Z$87,2,FALSE),TIAM15_assumptions!$H$2:$V$2,0))</f>
        <v>0.1</v>
      </c>
      <c r="AJ23" s="9">
        <f ca="1">OFFSET(TIAM15_assumptions!$G23,0,MATCH(VLOOKUP(Assumptions!AJ$2,TIAM15_assumptions!$Y$3:$Z$87,2,FALSE),TIAM15_assumptions!$H$2:$V$2,0))</f>
        <v>0.35</v>
      </c>
      <c r="AK23" s="9">
        <f ca="1">OFFSET(TIAM15_assumptions!$G23,0,MATCH(VLOOKUP(Assumptions!AK$2,TIAM15_assumptions!$Y$3:$Z$87,2,FALSE),TIAM15_assumptions!$H$2:$V$2,0))</f>
        <v>0.35</v>
      </c>
      <c r="AL23" s="9">
        <f ca="1">OFFSET(TIAM15_assumptions!$G23,0,MATCH(VLOOKUP(Assumptions!AL$2,TIAM15_assumptions!$Y$3:$Z$87,2,FALSE),TIAM15_assumptions!$H$2:$V$2,0))</f>
        <v>0.35</v>
      </c>
      <c r="AM23" s="9">
        <f ca="1">OFFSET(TIAM15_assumptions!$G23,0,MATCH(VLOOKUP(Assumptions!AM$2,TIAM15_assumptions!$Y$3:$Z$87,2,FALSE),TIAM15_assumptions!$H$2:$V$2,0))</f>
        <v>0.42</v>
      </c>
      <c r="AN23" s="9">
        <f ca="1">OFFSET(TIAM15_assumptions!$G23,0,MATCH(VLOOKUP(Assumptions!AN$2,TIAM15_assumptions!$Y$3:$Z$87,2,FALSE),TIAM15_assumptions!$H$2:$V$2,0))</f>
        <v>0.35</v>
      </c>
      <c r="AO23" s="9">
        <f ca="1">OFFSET(TIAM15_assumptions!$G23,0,MATCH(VLOOKUP(Assumptions!AO$2,TIAM15_assumptions!$Y$3:$Z$87,2,FALSE),TIAM15_assumptions!$H$2:$V$2,0))</f>
        <v>0.33</v>
      </c>
      <c r="AP23" s="9">
        <f ca="1">OFFSET(TIAM15_assumptions!$G23,0,MATCH(VLOOKUP(Assumptions!AP$2,TIAM15_assumptions!$Y$3:$Z$87,2,FALSE),TIAM15_assumptions!$H$2:$V$2,0))</f>
        <v>0.33</v>
      </c>
      <c r="AQ23" s="9">
        <f ca="1">OFFSET(TIAM15_assumptions!$G23,0,MATCH(VLOOKUP(Assumptions!AQ$2,TIAM15_assumptions!$Y$3:$Z$87,2,FALSE),TIAM15_assumptions!$H$2:$V$2,0))</f>
        <v>0.41499999999999998</v>
      </c>
      <c r="AR23" s="9">
        <f ca="1">OFFSET(TIAM15_assumptions!$G23,0,MATCH(VLOOKUP(Assumptions!AR$2,TIAM15_assumptions!$Y$3:$Z$87,2,FALSE),TIAM15_assumptions!$H$2:$V$2,0))</f>
        <v>0.41499999999999998</v>
      </c>
      <c r="AS23" s="9">
        <f ca="1">OFFSET(TIAM15_assumptions!$G23,0,MATCH(VLOOKUP(Assumptions!AS$2,TIAM15_assumptions!$Y$3:$Z$87,2,FALSE),TIAM15_assumptions!$H$2:$V$2,0))</f>
        <v>0.41499999999999998</v>
      </c>
      <c r="AT23" s="9">
        <f ca="1">OFFSET(TIAM15_assumptions!$G23,0,MATCH(VLOOKUP(Assumptions!AT$2,TIAM15_assumptions!$Y$3:$Z$87,2,FALSE),TIAM15_assumptions!$H$2:$V$2,0))</f>
        <v>0.41499999999999998</v>
      </c>
      <c r="AU23" s="9">
        <f ca="1">OFFSET(TIAM15_assumptions!$G23,0,MATCH(VLOOKUP(Assumptions!AU$2,TIAM15_assumptions!$Y$3:$Z$87,2,FALSE),TIAM15_assumptions!$H$2:$V$2,0))</f>
        <v>0.41499999999999998</v>
      </c>
      <c r="AV23" s="9">
        <f ca="1">OFFSET(TIAM15_assumptions!$G23,0,MATCH(VLOOKUP(Assumptions!AV$2,TIAM15_assumptions!$Y$3:$Z$87,2,FALSE),TIAM15_assumptions!$H$2:$V$2,0))</f>
        <v>0.41499999999999998</v>
      </c>
      <c r="AW23" s="9">
        <f ca="1">OFFSET(TIAM15_assumptions!$G23,0,MATCH(VLOOKUP(Assumptions!AW$2,TIAM15_assumptions!$Y$3:$Z$87,2,FALSE),TIAM15_assumptions!$H$2:$V$2,0))</f>
        <v>0.41499999999999998</v>
      </c>
      <c r="AX23" s="9">
        <f ca="1">OFFSET(TIAM15_assumptions!$G23,0,MATCH(VLOOKUP(Assumptions!AX$2,TIAM15_assumptions!$Y$3:$Z$87,2,FALSE),TIAM15_assumptions!$H$2:$V$2,0))</f>
        <v>0.41499999999999998</v>
      </c>
      <c r="AY23" s="9">
        <f ca="1">OFFSET(TIAM15_assumptions!$G23,0,MATCH(VLOOKUP(Assumptions!AY$2,TIAM15_assumptions!$Y$3:$Z$87,2,FALSE),TIAM15_assumptions!$H$2:$V$2,0))</f>
        <v>0.41499999999999998</v>
      </c>
      <c r="AZ23" s="9">
        <f ca="1">OFFSET(TIAM15_assumptions!$G23,0,MATCH(VLOOKUP(Assumptions!AZ$2,TIAM15_assumptions!$Y$3:$Z$87,2,FALSE),TIAM15_assumptions!$H$2:$V$2,0))</f>
        <v>0.41499999999999998</v>
      </c>
      <c r="BA23" s="9">
        <f ca="1">OFFSET(TIAM15_assumptions!$G23,0,MATCH(VLOOKUP(Assumptions!BA$2,TIAM15_assumptions!$Y$3:$Z$87,2,FALSE),TIAM15_assumptions!$H$2:$V$2,0))</f>
        <v>0.41499999999999998</v>
      </c>
      <c r="BD23" s="34">
        <f ca="1">IFERROR(SUMIFS('TRA balance'!E$5:E$40,'TRA balance'!$C$5:$C$40,Assumptions!$C23,'TRA balance'!$D$5:$D$40,Assumptions!$B23)*CY23*H23,"")</f>
        <v>71.567029374840004</v>
      </c>
      <c r="BE23" s="34">
        <f ca="1">IFERROR(SUMIFS('TRA balance'!F$5:F$40,'TRA balance'!$C$5:$C$40,Assumptions!$C23,'TRA balance'!$D$5:$D$40,Assumptions!$B23)*CZ23*I23,"")</f>
        <v>124.27521769944002</v>
      </c>
      <c r="BF23" s="34">
        <f ca="1">IFERROR(SUMIFS('TRA balance'!G$5:G$40,'TRA balance'!$C$5:$C$40,Assumptions!$C23,'TRA balance'!$D$5:$D$40,Assumptions!$B23)*DA23*J23,"")</f>
        <v>148.4885991628008</v>
      </c>
      <c r="BG23" s="34">
        <f ca="1">IFERROR(SUMIFS('TRA balance'!H$5:H$40,'TRA balance'!$C$5:$C$40,Assumptions!$C23,'TRA balance'!$D$5:$D$40,Assumptions!$B23)*DB23*K23,"")</f>
        <v>23.508395899959599</v>
      </c>
      <c r="BH23" s="34">
        <f ca="1">IFERROR(SUMIFS('TRA balance'!I$5:I$40,'TRA balance'!$C$5:$C$40,Assumptions!$C23,'TRA balance'!$D$5:$D$40,Assumptions!$B23)*DC23*L23,"")</f>
        <v>6.6795776755091998</v>
      </c>
      <c r="BI23" s="34">
        <f ca="1">IFERROR(SUMIFS('TRA balance'!J$5:J$40,'TRA balance'!$C$5:$C$40,Assumptions!$C23,'TRA balance'!$D$5:$D$40,Assumptions!$B23)*DD23*M23,"")</f>
        <v>90.956136995652599</v>
      </c>
      <c r="BJ23" s="34">
        <f ca="1">IFERROR(SUMIFS('TRA balance'!K$5:K$40,'TRA balance'!$C$5:$C$40,Assumptions!$C23,'TRA balance'!$D$5:$D$40,Assumptions!$B23)*DE23*N23,"")</f>
        <v>250.5927334659084</v>
      </c>
      <c r="BK23" s="34">
        <f ca="1">IFERROR(SUMIFS('TRA balance'!L$5:L$40,'TRA balance'!$C$5:$C$40,Assumptions!$C23,'TRA balance'!$D$5:$D$40,Assumptions!$B23)*DF23*O23,"")</f>
        <v>1350.4263158978999</v>
      </c>
      <c r="BL23" s="34">
        <f ca="1">IFERROR(SUMIFS('TRA balance'!M$5:M$40,'TRA balance'!$C$5:$C$40,Assumptions!$C23,'TRA balance'!$D$5:$D$40,Assumptions!$B23)*DG23*P23,"")</f>
        <v>11.162881751986802</v>
      </c>
      <c r="BM23" s="34">
        <f ca="1">IFERROR(SUMIFS('TRA balance'!N$5:N$40,'TRA balance'!$C$5:$C$40,Assumptions!$C23,'TRA balance'!$D$5:$D$40,Assumptions!$B23)*DH23*Q23,"")</f>
        <v>26.462700759132005</v>
      </c>
      <c r="BN23" s="34">
        <f ca="1">IFERROR(SUMIFS('TRA balance'!O$5:O$40,'TRA balance'!$C$5:$C$40,Assumptions!$C23,'TRA balance'!$D$5:$D$40,Assumptions!$B23)*DI23*R23,"")</f>
        <v>111.73054793200018</v>
      </c>
      <c r="BO23" s="34">
        <f ca="1">IFERROR(SUMIFS('TRA balance'!P$5:P$40,'TRA balance'!$C$5:$C$40,Assumptions!$C23,'TRA balance'!$D$5:$D$40,Assumptions!$B23)*DJ23*S23,"")</f>
        <v>245.32677392354455</v>
      </c>
      <c r="BP23" s="34">
        <f ca="1">IFERROR(SUMIFS('TRA balance'!Q$5:Q$40,'TRA balance'!$C$5:$C$40,Assumptions!$C23,'TRA balance'!$D$5:$D$40,Assumptions!$B23)*DK23*T23,"")</f>
        <v>38.368700517356999</v>
      </c>
      <c r="BQ23" s="34">
        <f ca="1">IFERROR(SUMIFS('TRA balance'!R$5:R$40,'TRA balance'!$C$5:$C$40,Assumptions!$C23,'TRA balance'!$D$5:$D$40,Assumptions!$B23)*DL23*U23,"")</f>
        <v>41.243654277064799</v>
      </c>
      <c r="BR23" s="34">
        <f ca="1">IFERROR(SUMIFS('TRA balance'!S$5:S$40,'TRA balance'!$C$5:$C$40,Assumptions!$C23,'TRA balance'!$D$5:$D$40,Assumptions!$B23)*DM23*V23,"")</f>
        <v>1.7737982208701997</v>
      </c>
      <c r="BS23" s="34">
        <f ca="1">IFERROR(SUMIFS('TRA balance'!T$5:T$40,'TRA balance'!$C$5:$C$40,Assumptions!$C23,'TRA balance'!$D$5:$D$40,Assumptions!$B23)*DN23*W23,"")</f>
        <v>67.144000070519994</v>
      </c>
      <c r="BT23" s="34">
        <f ca="1">IFERROR(SUMIFS('TRA balance'!U$5:U$40,'TRA balance'!$C$5:$C$40,Assumptions!$C23,'TRA balance'!$D$5:$D$40,Assumptions!$B23)*DO23*X23,"")</f>
        <v>10.942995776378398</v>
      </c>
      <c r="BU23" s="34">
        <f ca="1">IFERROR(SUMIFS('TRA balance'!V$5:V$40,'TRA balance'!$C$5:$C$40,Assumptions!$C23,'TRA balance'!$D$5:$D$40,Assumptions!$B23)*DP23*Y23,"")</f>
        <v>110.83986998021699</v>
      </c>
      <c r="BV23" s="34">
        <f ca="1">IFERROR(SUMIFS('TRA balance'!W$5:W$40,'TRA balance'!$C$5:$C$40,Assumptions!$C23,'TRA balance'!$D$5:$D$40,Assumptions!$B23)*DQ23*Z23,"")</f>
        <v>406.43405568904677</v>
      </c>
      <c r="BW23" s="34">
        <f ca="1">IFERROR(SUMIFS('TRA balance'!X$5:X$40,'TRA balance'!$C$5:$C$40,Assumptions!$C23,'TRA balance'!$D$5:$D$40,Assumptions!$B23)*DR23*AA23,"")</f>
        <v>476.47358194513322</v>
      </c>
      <c r="BX23" s="34">
        <f ca="1">IFERROR(SUMIFS('TRA balance'!Y$5:Y$40,'TRA balance'!$C$5:$C$40,Assumptions!$C23,'TRA balance'!$D$5:$D$40,Assumptions!$B23)*DS23*AB23,"")</f>
        <v>693.72942524701193</v>
      </c>
      <c r="BY23" s="34">
        <f ca="1">IFERROR(SUMIFS('TRA balance'!Z$5:Z$40,'TRA balance'!$C$5:$C$40,Assumptions!$C23,'TRA balance'!$D$5:$D$40,Assumptions!$B23)*DT23*AC23,"")</f>
        <v>6091.2867707877313</v>
      </c>
      <c r="BZ23" s="34">
        <f ca="1">IFERROR(SUMIFS('TRA balance'!AA$5:AA$40,'TRA balance'!$C$5:$C$40,Assumptions!$C23,'TRA balance'!$D$5:$D$40,Assumptions!$B23)*DU23*AD23,"")</f>
        <v>9.470647747940399</v>
      </c>
      <c r="CA23" s="34">
        <f ca="1">IFERROR(SUMIFS('TRA balance'!AB$5:AB$40,'TRA balance'!$C$5:$C$40,Assumptions!$C23,'TRA balance'!$D$5:$D$40,Assumptions!$B23)*DV23*AE23,"")</f>
        <v>57.712116551443209</v>
      </c>
      <c r="CB23" s="34">
        <f ca="1">IFERROR(SUMIFS('TRA balance'!AC$5:AC$40,'TRA balance'!$C$5:$C$40,Assumptions!$C23,'TRA balance'!$D$5:$D$40,Assumptions!$B23)*DW23*AF23,"")</f>
        <v>452.30065127928003</v>
      </c>
      <c r="CC23" s="34">
        <f ca="1">IFERROR(SUMIFS('TRA balance'!AD$5:AD$40,'TRA balance'!$C$5:$C$40,Assumptions!$C23,'TRA balance'!$D$5:$D$40,Assumptions!$B23)*DX23*AG23,"")</f>
        <v>357.34936813301886</v>
      </c>
      <c r="CD23" s="34">
        <f ca="1">IFERROR(SUMIFS('TRA balance'!AE$5:AE$40,'TRA balance'!$C$5:$C$40,Assumptions!$C23,'TRA balance'!$D$5:$D$40,Assumptions!$B23)*DY23*AH23,"")</f>
        <v>299.69498230751515</v>
      </c>
      <c r="CE23" s="34">
        <f ca="1">IFERROR(SUMIFS('TRA balance'!AF$5:AF$40,'TRA balance'!$C$5:$C$40,Assumptions!$C23,'TRA balance'!$D$5:$D$40,Assumptions!$B23)*DZ23*AI23,"")</f>
        <v>31.657444849439997</v>
      </c>
      <c r="CF23" s="34">
        <f ca="1">IFERROR(SUMIFS('TRA balance'!AG$5:AG$40,'TRA balance'!$C$5:$C$40,Assumptions!$C23,'TRA balance'!$D$5:$D$40,Assumptions!$B23)*EA23*AJ23,"")</f>
        <v>92.051585932370401</v>
      </c>
      <c r="CG23" s="34">
        <f ca="1">IFERROR(SUMIFS('TRA balance'!AH$5:AH$40,'TRA balance'!$C$5:$C$40,Assumptions!$C23,'TRA balance'!$D$5:$D$40,Assumptions!$B23)*EB23*AK23,"")</f>
        <v>64.560363743861998</v>
      </c>
      <c r="CH23" s="34">
        <f ca="1">IFERROR(SUMIFS('TRA balance'!AI$5:AI$40,'TRA balance'!$C$5:$C$40,Assumptions!$C23,'TRA balance'!$D$5:$D$40,Assumptions!$B23)*EC23*AL23,"")</f>
        <v>33.906989773956596</v>
      </c>
      <c r="CI23" s="34">
        <f ca="1">IFERROR(SUMIFS('TRA balance'!AJ$5:AJ$40,'TRA balance'!$C$5:$C$40,Assumptions!$C23,'TRA balance'!$D$5:$D$40,Assumptions!$B23)*ED23*AM23,"")</f>
        <v>29.196551627913596</v>
      </c>
      <c r="CJ23" s="34">
        <f ca="1">IFERROR(SUMIFS('TRA balance'!AK$5:AK$40,'TRA balance'!$C$5:$C$40,Assumptions!$C23,'TRA balance'!$D$5:$D$40,Assumptions!$B23)*EE23*AN23,"")</f>
        <v>174.97521676991158</v>
      </c>
      <c r="CK23" s="34">
        <f ca="1">IFERROR(SUMIFS('TRA balance'!AL$5:AL$40,'TRA balance'!$C$5:$C$40,Assumptions!$C23,'TRA balance'!$D$5:$D$40,Assumptions!$B23)*EF23*AO23,"")</f>
        <v>17.821761295060799</v>
      </c>
      <c r="CL23" s="34">
        <f ca="1">IFERROR(SUMIFS('TRA balance'!AM$5:AM$40,'TRA balance'!$C$5:$C$40,Assumptions!$C23,'TRA balance'!$D$5:$D$40,Assumptions!$B23)*EG23*AP23,"")</f>
        <v>11.618405633854801</v>
      </c>
      <c r="CM23" s="34">
        <f ca="1">IFERROR(SUMIFS('TRA balance'!AN$5:AN$40,'TRA balance'!$C$5:$C$40,Assumptions!$C23,'TRA balance'!$D$5:$D$40,Assumptions!$B23)*EH23*AQ23,"")</f>
        <v>0</v>
      </c>
      <c r="CN23" s="34">
        <f ca="1">IFERROR(SUMIFS('TRA balance'!AO$5:AO$40,'TRA balance'!$C$5:$C$40,Assumptions!$C23,'TRA balance'!$D$5:$D$40,Assumptions!$B23)*EI23*AR23,"")</f>
        <v>0</v>
      </c>
      <c r="CO23" s="34">
        <f ca="1">IFERROR(SUMIFS('TRA balance'!AP$5:AP$40,'TRA balance'!$C$5:$C$40,Assumptions!$C23,'TRA balance'!$D$5:$D$40,Assumptions!$B23)*EJ23*AS23,"")</f>
        <v>0</v>
      </c>
      <c r="CP23" s="34">
        <f ca="1">IFERROR(SUMIFS('TRA balance'!AQ$5:AQ$40,'TRA balance'!$C$5:$C$40,Assumptions!$C23,'TRA balance'!$D$5:$D$40,Assumptions!$B23)*EK23*AT23,"")</f>
        <v>0</v>
      </c>
      <c r="CQ23" s="34">
        <f ca="1">IFERROR(SUMIFS('TRA balance'!AR$5:AR$40,'TRA balance'!$C$5:$C$40,Assumptions!$C23,'TRA balance'!$D$5:$D$40,Assumptions!$B23)*EL23*AU23,"")</f>
        <v>0</v>
      </c>
      <c r="CR23" s="34">
        <f ca="1">IFERROR(SUMIFS('TRA balance'!AS$5:AS$40,'TRA balance'!$C$5:$C$40,Assumptions!$C23,'TRA balance'!$D$5:$D$40,Assumptions!$B23)*EM23*AV23,"")</f>
        <v>0</v>
      </c>
      <c r="CS23" s="34">
        <f ca="1">IFERROR(SUMIFS('TRA balance'!AT$5:AT$40,'TRA balance'!$C$5:$C$40,Assumptions!$C23,'TRA balance'!$D$5:$D$40,Assumptions!$B23)*EN23*AW23,"")</f>
        <v>0</v>
      </c>
      <c r="CT23" s="34">
        <f ca="1">IFERROR(SUMIFS('TRA balance'!AU$5:AU$40,'TRA balance'!$C$5:$C$40,Assumptions!$C23,'TRA balance'!$D$5:$D$40,Assumptions!$B23)*EO23*AX23,"")</f>
        <v>0</v>
      </c>
      <c r="CU23" s="34">
        <f ca="1">IFERROR(SUMIFS('TRA balance'!AV$5:AV$40,'TRA balance'!$C$5:$C$40,Assumptions!$C23,'TRA balance'!$D$5:$D$40,Assumptions!$B23)*EP23*AY23,"")</f>
        <v>0</v>
      </c>
      <c r="CV23" s="34">
        <f ca="1">IFERROR(SUMIFS('TRA balance'!AW$5:AW$40,'TRA balance'!$C$5:$C$40,Assumptions!$C23,'TRA balance'!$D$5:$D$40,Assumptions!$B23)*EQ23*AZ23,"")</f>
        <v>0</v>
      </c>
      <c r="CW23" s="34">
        <f ca="1">IFERROR(SUMIFS('TRA balance'!AX$5:AX$40,'TRA balance'!$C$5:$C$40,Assumptions!$C23,'TRA balance'!$D$5:$D$40,Assumptions!$B23)*ER23*BA23,"")</f>
        <v>0</v>
      </c>
      <c r="CY23" s="33">
        <f t="shared" ca="1" si="2"/>
        <v>1</v>
      </c>
      <c r="CZ23" s="33">
        <f t="shared" ca="1" si="3"/>
        <v>1</v>
      </c>
      <c r="DA23" s="33">
        <f t="shared" ca="1" si="4"/>
        <v>0.9</v>
      </c>
      <c r="DB23" s="33">
        <f t="shared" ca="1" si="5"/>
        <v>0.97</v>
      </c>
      <c r="DC23" s="33">
        <f t="shared" ca="1" si="6"/>
        <v>0.7</v>
      </c>
      <c r="DD23" s="33">
        <f t="shared" ca="1" si="7"/>
        <v>0.97</v>
      </c>
      <c r="DE23" s="33">
        <f t="shared" ca="1" si="8"/>
        <v>0.9</v>
      </c>
      <c r="DF23" s="33">
        <f t="shared" ca="1" si="9"/>
        <v>0.9</v>
      </c>
      <c r="DG23" s="33">
        <f t="shared" ca="1" si="10"/>
        <v>0.9</v>
      </c>
      <c r="DH23" s="33">
        <f t="shared" ca="1" si="11"/>
        <v>0.9</v>
      </c>
      <c r="DI23" s="33">
        <f t="shared" ca="1" si="12"/>
        <v>0.97</v>
      </c>
      <c r="DJ23" s="33">
        <f t="shared" ca="1" si="13"/>
        <v>0.97</v>
      </c>
      <c r="DK23" s="33">
        <f t="shared" ca="1" si="14"/>
        <v>0.97</v>
      </c>
      <c r="DL23" s="33">
        <f t="shared" ca="1" si="15"/>
        <v>0.9</v>
      </c>
      <c r="DM23" s="33">
        <f t="shared" ca="1" si="16"/>
        <v>0.97</v>
      </c>
      <c r="DN23" s="33">
        <f t="shared" ca="1" si="17"/>
        <v>1</v>
      </c>
      <c r="DO23" s="33">
        <f t="shared" ca="1" si="18"/>
        <v>0.97</v>
      </c>
      <c r="DP23" s="33">
        <f t="shared" ca="1" si="19"/>
        <v>0.97</v>
      </c>
      <c r="DQ23" s="33">
        <f t="shared" ca="1" si="20"/>
        <v>0.9</v>
      </c>
      <c r="DR23" s="33">
        <f t="shared" ca="1" si="21"/>
        <v>0.9</v>
      </c>
      <c r="DS23" s="33">
        <f t="shared" ca="1" si="22"/>
        <v>0.7</v>
      </c>
      <c r="DT23" s="33">
        <f t="shared" ca="1" si="23"/>
        <v>0.8</v>
      </c>
      <c r="DU23" s="33">
        <f t="shared" ca="1" si="24"/>
        <v>0.97</v>
      </c>
      <c r="DV23" s="33">
        <f t="shared" ca="1" si="25"/>
        <v>0.9</v>
      </c>
      <c r="DW23" s="33">
        <f t="shared" ca="1" si="26"/>
        <v>1</v>
      </c>
      <c r="DX23" s="33">
        <f t="shared" ca="1" si="27"/>
        <v>0.7</v>
      </c>
      <c r="DY23" s="33">
        <f t="shared" ca="1" si="28"/>
        <v>0.7</v>
      </c>
      <c r="DZ23" s="33">
        <f t="shared" ca="1" si="29"/>
        <v>1</v>
      </c>
      <c r="EA23" s="33">
        <f t="shared" ca="1" si="30"/>
        <v>0.97</v>
      </c>
      <c r="EB23" s="33">
        <f t="shared" ca="1" si="31"/>
        <v>0.97</v>
      </c>
      <c r="EC23" s="33">
        <f t="shared" ca="1" si="32"/>
        <v>0.97</v>
      </c>
      <c r="ED23" s="33">
        <f t="shared" ca="1" si="33"/>
        <v>0.7</v>
      </c>
      <c r="EE23" s="33">
        <f t="shared" ca="1" si="34"/>
        <v>0.97</v>
      </c>
      <c r="EF23" s="33">
        <f t="shared" ca="1" si="35"/>
        <v>0.7</v>
      </c>
      <c r="EG23" s="33">
        <f t="shared" ca="1" si="36"/>
        <v>0.9</v>
      </c>
      <c r="EH23" s="33">
        <f t="shared" ca="1" si="37"/>
        <v>0.8</v>
      </c>
      <c r="EI23" s="33">
        <f t="shared" ca="1" si="38"/>
        <v>0.8</v>
      </c>
      <c r="EJ23" s="33">
        <f t="shared" ca="1" si="39"/>
        <v>0.8</v>
      </c>
      <c r="EK23" s="33">
        <f t="shared" ca="1" si="40"/>
        <v>0.8</v>
      </c>
      <c r="EL23" s="33">
        <f t="shared" ca="1" si="41"/>
        <v>0.8</v>
      </c>
      <c r="EM23" s="33">
        <f t="shared" ca="1" si="42"/>
        <v>0.8</v>
      </c>
      <c r="EN23" s="33">
        <f t="shared" ca="1" si="43"/>
        <v>0.8</v>
      </c>
      <c r="EO23" s="33">
        <f t="shared" ca="1" si="44"/>
        <v>0.8</v>
      </c>
      <c r="EP23" s="33">
        <f t="shared" ca="1" si="45"/>
        <v>0.8</v>
      </c>
      <c r="EQ23" s="33">
        <f t="shared" ca="1" si="46"/>
        <v>0.8</v>
      </c>
      <c r="ER23" s="33">
        <f t="shared" ca="1" si="47"/>
        <v>0.8</v>
      </c>
    </row>
    <row r="24" spans="1:148">
      <c r="A24">
        <v>1</v>
      </c>
      <c r="B24" t="str">
        <f>VLOOKUP(F24,'TRA balance'!$BA$5:$BB$14,2,FALSE)</f>
        <v>TRAGSL</v>
      </c>
      <c r="C24" s="6" t="str">
        <f t="shared" si="48"/>
        <v>TR</v>
      </c>
      <c r="D24" s="7" t="s">
        <v>16</v>
      </c>
      <c r="E24" s="18" t="s">
        <v>65</v>
      </c>
      <c r="F24" s="8" t="str">
        <f t="shared" si="59"/>
        <v>Gasoline</v>
      </c>
      <c r="G24" s="6" t="s">
        <v>66</v>
      </c>
      <c r="H24" s="9">
        <f ca="1">OFFSET(TIAM15_assumptions!$G24,0,MATCH(VLOOKUP(Assumptions!H$2,TIAM15_assumptions!$Y$3:$Z$87,2,FALSE),TIAM15_assumptions!$H$2:$V$2,0))</f>
        <v>0.1</v>
      </c>
      <c r="I24" s="9">
        <f ca="1">OFFSET(TIAM15_assumptions!$G24,0,MATCH(VLOOKUP(Assumptions!I$2,TIAM15_assumptions!$Y$3:$Z$87,2,FALSE),TIAM15_assumptions!$H$2:$V$2,0))</f>
        <v>0.1</v>
      </c>
      <c r="J24" s="9">
        <f ca="1">OFFSET(TIAM15_assumptions!$G24,0,MATCH(VLOOKUP(Assumptions!J$2,TIAM15_assumptions!$Y$3:$Z$87,2,FALSE),TIAM15_assumptions!$H$2:$V$2,0))</f>
        <v>0</v>
      </c>
      <c r="K24" s="9">
        <f ca="1">OFFSET(TIAM15_assumptions!$G24,0,MATCH(VLOOKUP(Assumptions!K$2,TIAM15_assumptions!$Y$3:$Z$87,2,FALSE),TIAM15_assumptions!$H$2:$V$2,0))</f>
        <v>5.0000000000000001E-3</v>
      </c>
      <c r="L24" s="9">
        <f ca="1">OFFSET(TIAM15_assumptions!$G24,0,MATCH(VLOOKUP(Assumptions!L$2,TIAM15_assumptions!$Y$3:$Z$87,2,FALSE),TIAM15_assumptions!$H$2:$V$2,0))</f>
        <v>5.0000000000000001E-3</v>
      </c>
      <c r="M24" s="9">
        <f ca="1">OFFSET(TIAM15_assumptions!$G24,0,MATCH(VLOOKUP(Assumptions!M$2,TIAM15_assumptions!$Y$3:$Z$87,2,FALSE),TIAM15_assumptions!$H$2:$V$2,0))</f>
        <v>5.0000000000000001E-3</v>
      </c>
      <c r="N24" s="9">
        <f ca="1">OFFSET(TIAM15_assumptions!$G24,0,MATCH(VLOOKUP(Assumptions!N$2,TIAM15_assumptions!$Y$3:$Z$87,2,FALSE),TIAM15_assumptions!$H$2:$V$2,0))</f>
        <v>5.0000000000000001E-3</v>
      </c>
      <c r="O24" s="9">
        <f ca="1">OFFSET(TIAM15_assumptions!$G24,0,MATCH(VLOOKUP(Assumptions!O$2,TIAM15_assumptions!$Y$3:$Z$87,2,FALSE),TIAM15_assumptions!$H$2:$V$2,0))</f>
        <v>0</v>
      </c>
      <c r="P24" s="9">
        <f ca="1">OFFSET(TIAM15_assumptions!$G24,0,MATCH(VLOOKUP(Assumptions!P$2,TIAM15_assumptions!$Y$3:$Z$87,2,FALSE),TIAM15_assumptions!$H$2:$V$2,0))</f>
        <v>5.0000000000000001E-3</v>
      </c>
      <c r="Q24" s="9">
        <f ca="1">OFFSET(TIAM15_assumptions!$G24,0,MATCH(VLOOKUP(Assumptions!Q$2,TIAM15_assumptions!$Y$3:$Z$87,2,FALSE),TIAM15_assumptions!$H$2:$V$2,0))</f>
        <v>5.0000000000000001E-3</v>
      </c>
      <c r="R24" s="9">
        <f ca="1">OFFSET(TIAM15_assumptions!$G24,0,MATCH(VLOOKUP(Assumptions!R$2,TIAM15_assumptions!$Y$3:$Z$87,2,FALSE),TIAM15_assumptions!$H$2:$V$2,0))</f>
        <v>5.0000000000000001E-3</v>
      </c>
      <c r="S24" s="9">
        <f ca="1">OFFSET(TIAM15_assumptions!$G24,0,MATCH(VLOOKUP(Assumptions!S$2,TIAM15_assumptions!$Y$3:$Z$87,2,FALSE),TIAM15_assumptions!$H$2:$V$2,0))</f>
        <v>5.0000000000000001E-3</v>
      </c>
      <c r="T24" s="9">
        <f ca="1">OFFSET(TIAM15_assumptions!$G24,0,MATCH(VLOOKUP(Assumptions!T$2,TIAM15_assumptions!$Y$3:$Z$87,2,FALSE),TIAM15_assumptions!$H$2:$V$2,0))</f>
        <v>5.0000000000000001E-3</v>
      </c>
      <c r="U24" s="9">
        <f ca="1">OFFSET(TIAM15_assumptions!$G24,0,MATCH(VLOOKUP(Assumptions!U$2,TIAM15_assumptions!$Y$3:$Z$87,2,FALSE),TIAM15_assumptions!$H$2:$V$2,0))</f>
        <v>5.0000000000000001E-3</v>
      </c>
      <c r="V24" s="9">
        <f ca="1">OFFSET(TIAM15_assumptions!$G24,0,MATCH(VLOOKUP(Assumptions!V$2,TIAM15_assumptions!$Y$3:$Z$87,2,FALSE),TIAM15_assumptions!$H$2:$V$2,0))</f>
        <v>5.0000000000000001E-3</v>
      </c>
      <c r="W24" s="9">
        <f ca="1">OFFSET(TIAM15_assumptions!$G24,0,MATCH(VLOOKUP(Assumptions!W$2,TIAM15_assumptions!$Y$3:$Z$87,2,FALSE),TIAM15_assumptions!$H$2:$V$2,0))</f>
        <v>0.1</v>
      </c>
      <c r="X24" s="9">
        <f ca="1">OFFSET(TIAM15_assumptions!$G24,0,MATCH(VLOOKUP(Assumptions!X$2,TIAM15_assumptions!$Y$3:$Z$87,2,FALSE),TIAM15_assumptions!$H$2:$V$2,0))</f>
        <v>5.0000000000000001E-3</v>
      </c>
      <c r="Y24" s="9">
        <f ca="1">OFFSET(TIAM15_assumptions!$G24,0,MATCH(VLOOKUP(Assumptions!Y$2,TIAM15_assumptions!$Y$3:$Z$87,2,FALSE),TIAM15_assumptions!$H$2:$V$2,0))</f>
        <v>5.0000000000000001E-3</v>
      </c>
      <c r="Z24" s="9">
        <f ca="1">OFFSET(TIAM15_assumptions!$G24,0,MATCH(VLOOKUP(Assumptions!Z$2,TIAM15_assumptions!$Y$3:$Z$87,2,FALSE),TIAM15_assumptions!$H$2:$V$2,0))</f>
        <v>5.0000000000000001E-3</v>
      </c>
      <c r="AA24" s="9">
        <f ca="1">OFFSET(TIAM15_assumptions!$G24,0,MATCH(VLOOKUP(Assumptions!AA$2,TIAM15_assumptions!$Y$3:$Z$87,2,FALSE),TIAM15_assumptions!$H$2:$V$2,0))</f>
        <v>5.0000000000000001E-3</v>
      </c>
      <c r="AB24" s="9">
        <f ca="1">OFFSET(TIAM15_assumptions!$G24,0,MATCH(VLOOKUP(Assumptions!AB$2,TIAM15_assumptions!$Y$3:$Z$87,2,FALSE),TIAM15_assumptions!$H$2:$V$2,0))</f>
        <v>0.01</v>
      </c>
      <c r="AC24" s="9">
        <f ca="1">OFFSET(TIAM15_assumptions!$G24,0,MATCH(VLOOKUP(Assumptions!AC$2,TIAM15_assumptions!$Y$3:$Z$87,2,FALSE),TIAM15_assumptions!$H$2:$V$2,0))</f>
        <v>1E-3</v>
      </c>
      <c r="AD24" s="9">
        <f ca="1">OFFSET(TIAM15_assumptions!$G24,0,MATCH(VLOOKUP(Assumptions!AD$2,TIAM15_assumptions!$Y$3:$Z$87,2,FALSE),TIAM15_assumptions!$H$2:$V$2,0))</f>
        <v>5.0000000000000001E-3</v>
      </c>
      <c r="AE24" s="9">
        <f ca="1">OFFSET(TIAM15_assumptions!$G24,0,MATCH(VLOOKUP(Assumptions!AE$2,TIAM15_assumptions!$Y$3:$Z$87,2,FALSE),TIAM15_assumptions!$H$2:$V$2,0))</f>
        <v>5.0000000000000001E-3</v>
      </c>
      <c r="AF24" s="9">
        <f ca="1">OFFSET(TIAM15_assumptions!$G24,0,MATCH(VLOOKUP(Assumptions!AF$2,TIAM15_assumptions!$Y$3:$Z$87,2,FALSE),TIAM15_assumptions!$H$2:$V$2,0))</f>
        <v>0.1</v>
      </c>
      <c r="AG24" s="9">
        <f ca="1">OFFSET(TIAM15_assumptions!$G24,0,MATCH(VLOOKUP(Assumptions!AG$2,TIAM15_assumptions!$Y$3:$Z$87,2,FALSE),TIAM15_assumptions!$H$2:$V$2,0))</f>
        <v>5.0000000000000001E-3</v>
      </c>
      <c r="AH24" s="9">
        <f ca="1">OFFSET(TIAM15_assumptions!$G24,0,MATCH(VLOOKUP(Assumptions!AH$2,TIAM15_assumptions!$Y$3:$Z$87,2,FALSE),TIAM15_assumptions!$H$2:$V$2,0))</f>
        <v>0.01</v>
      </c>
      <c r="AI24" s="9">
        <f ca="1">OFFSET(TIAM15_assumptions!$G24,0,MATCH(VLOOKUP(Assumptions!AI$2,TIAM15_assumptions!$Y$3:$Z$87,2,FALSE),TIAM15_assumptions!$H$2:$V$2,0))</f>
        <v>0.1</v>
      </c>
      <c r="AJ24" s="9">
        <f ca="1">OFFSET(TIAM15_assumptions!$G24,0,MATCH(VLOOKUP(Assumptions!AJ$2,TIAM15_assumptions!$Y$3:$Z$87,2,FALSE),TIAM15_assumptions!$H$2:$V$2,0))</f>
        <v>5.0000000000000001E-3</v>
      </c>
      <c r="AK24" s="9">
        <f ca="1">OFFSET(TIAM15_assumptions!$G24,0,MATCH(VLOOKUP(Assumptions!AK$2,TIAM15_assumptions!$Y$3:$Z$87,2,FALSE),TIAM15_assumptions!$H$2:$V$2,0))</f>
        <v>5.0000000000000001E-3</v>
      </c>
      <c r="AL24" s="9">
        <f ca="1">OFFSET(TIAM15_assumptions!$G24,0,MATCH(VLOOKUP(Assumptions!AL$2,TIAM15_assumptions!$Y$3:$Z$87,2,FALSE),TIAM15_assumptions!$H$2:$V$2,0))</f>
        <v>5.0000000000000001E-3</v>
      </c>
      <c r="AM24" s="9">
        <f ca="1">OFFSET(TIAM15_assumptions!$G24,0,MATCH(VLOOKUP(Assumptions!AM$2,TIAM15_assumptions!$Y$3:$Z$87,2,FALSE),TIAM15_assumptions!$H$2:$V$2,0))</f>
        <v>0.01</v>
      </c>
      <c r="AN24" s="9">
        <f ca="1">OFFSET(TIAM15_assumptions!$G24,0,MATCH(VLOOKUP(Assumptions!AN$2,TIAM15_assumptions!$Y$3:$Z$87,2,FALSE),TIAM15_assumptions!$H$2:$V$2,0))</f>
        <v>5.0000000000000001E-3</v>
      </c>
      <c r="AO24" s="9">
        <f ca="1">OFFSET(TIAM15_assumptions!$G24,0,MATCH(VLOOKUP(Assumptions!AO$2,TIAM15_assumptions!$Y$3:$Z$87,2,FALSE),TIAM15_assumptions!$H$2:$V$2,0))</f>
        <v>5.0000000000000001E-3</v>
      </c>
      <c r="AP24" s="9">
        <f ca="1">OFFSET(TIAM15_assumptions!$G24,0,MATCH(VLOOKUP(Assumptions!AP$2,TIAM15_assumptions!$Y$3:$Z$87,2,FALSE),TIAM15_assumptions!$H$2:$V$2,0))</f>
        <v>5.0000000000000001E-3</v>
      </c>
      <c r="AQ24" s="9">
        <f ca="1">OFFSET(TIAM15_assumptions!$G24,0,MATCH(VLOOKUP(Assumptions!AQ$2,TIAM15_assumptions!$Y$3:$Z$87,2,FALSE),TIAM15_assumptions!$H$2:$V$2,0))</f>
        <v>1E-3</v>
      </c>
      <c r="AR24" s="9">
        <f ca="1">OFFSET(TIAM15_assumptions!$G24,0,MATCH(VLOOKUP(Assumptions!AR$2,TIAM15_assumptions!$Y$3:$Z$87,2,FALSE),TIAM15_assumptions!$H$2:$V$2,0))</f>
        <v>1E-3</v>
      </c>
      <c r="AS24" s="9">
        <f ca="1">OFFSET(TIAM15_assumptions!$G24,0,MATCH(VLOOKUP(Assumptions!AS$2,TIAM15_assumptions!$Y$3:$Z$87,2,FALSE),TIAM15_assumptions!$H$2:$V$2,0))</f>
        <v>1E-3</v>
      </c>
      <c r="AT24" s="9">
        <f ca="1">OFFSET(TIAM15_assumptions!$G24,0,MATCH(VLOOKUP(Assumptions!AT$2,TIAM15_assumptions!$Y$3:$Z$87,2,FALSE),TIAM15_assumptions!$H$2:$V$2,0))</f>
        <v>1E-3</v>
      </c>
      <c r="AU24" s="9">
        <f ca="1">OFFSET(TIAM15_assumptions!$G24,0,MATCH(VLOOKUP(Assumptions!AU$2,TIAM15_assumptions!$Y$3:$Z$87,2,FALSE),TIAM15_assumptions!$H$2:$V$2,0))</f>
        <v>1E-3</v>
      </c>
      <c r="AV24" s="9">
        <f ca="1">OFFSET(TIAM15_assumptions!$G24,0,MATCH(VLOOKUP(Assumptions!AV$2,TIAM15_assumptions!$Y$3:$Z$87,2,FALSE),TIAM15_assumptions!$H$2:$V$2,0))</f>
        <v>1E-3</v>
      </c>
      <c r="AW24" s="9">
        <f ca="1">OFFSET(TIAM15_assumptions!$G24,0,MATCH(VLOOKUP(Assumptions!AW$2,TIAM15_assumptions!$Y$3:$Z$87,2,FALSE),TIAM15_assumptions!$H$2:$V$2,0))</f>
        <v>1E-3</v>
      </c>
      <c r="AX24" s="9">
        <f ca="1">OFFSET(TIAM15_assumptions!$G24,0,MATCH(VLOOKUP(Assumptions!AX$2,TIAM15_assumptions!$Y$3:$Z$87,2,FALSE),TIAM15_assumptions!$H$2:$V$2,0))</f>
        <v>1E-3</v>
      </c>
      <c r="AY24" s="9">
        <f ca="1">OFFSET(TIAM15_assumptions!$G24,0,MATCH(VLOOKUP(Assumptions!AY$2,TIAM15_assumptions!$Y$3:$Z$87,2,FALSE),TIAM15_assumptions!$H$2:$V$2,0))</f>
        <v>1E-3</v>
      </c>
      <c r="AZ24" s="9">
        <f ca="1">OFFSET(TIAM15_assumptions!$G24,0,MATCH(VLOOKUP(Assumptions!AZ$2,TIAM15_assumptions!$Y$3:$Z$87,2,FALSE),TIAM15_assumptions!$H$2:$V$2,0))</f>
        <v>1E-3</v>
      </c>
      <c r="BA24" s="9">
        <f ca="1">OFFSET(TIAM15_assumptions!$G24,0,MATCH(VLOOKUP(Assumptions!BA$2,TIAM15_assumptions!$Y$3:$Z$87,2,FALSE),TIAM15_assumptions!$H$2:$V$2,0))</f>
        <v>1E-3</v>
      </c>
      <c r="BD24" s="34">
        <f ca="1">IFERROR(SUMIFS('TRA balance'!E$5:E$40,'TRA balance'!$C$5:$C$40,Assumptions!$C24,'TRA balance'!$D$5:$D$40,Assumptions!$B24)*CY24*H24,"")</f>
        <v>71.567029374840004</v>
      </c>
      <c r="BE24" s="34">
        <f ca="1">IFERROR(SUMIFS('TRA balance'!F$5:F$40,'TRA balance'!$C$5:$C$40,Assumptions!$C24,'TRA balance'!$D$5:$D$40,Assumptions!$B24)*CZ24*I24,"")</f>
        <v>124.27521769944002</v>
      </c>
      <c r="BF24" s="34">
        <f ca="1">IFERROR(SUMIFS('TRA balance'!G$5:G$40,'TRA balance'!$C$5:$C$40,Assumptions!$C24,'TRA balance'!$D$5:$D$40,Assumptions!$B24)*DA24*J24,"")</f>
        <v>0</v>
      </c>
      <c r="BG24" s="34">
        <f ca="1">IFERROR(SUMIFS('TRA balance'!H$5:H$40,'TRA balance'!$C$5:$C$40,Assumptions!$C24,'TRA balance'!$D$5:$D$40,Assumptions!$B24)*DB24*K24,"")</f>
        <v>0.33583422714228001</v>
      </c>
      <c r="BH24" s="34">
        <f ca="1">IFERROR(SUMIFS('TRA balance'!I$5:I$40,'TRA balance'!$C$5:$C$40,Assumptions!$C24,'TRA balance'!$D$5:$D$40,Assumptions!$B24)*DC24*L24,"")</f>
        <v>0.1012057223562</v>
      </c>
      <c r="BI24" s="34">
        <f ca="1">IFERROR(SUMIFS('TRA balance'!J$5:J$40,'TRA balance'!$C$5:$C$40,Assumptions!$C24,'TRA balance'!$D$5:$D$40,Assumptions!$B24)*DD24*M24,"")</f>
        <v>1.2993733856521801</v>
      </c>
      <c r="BJ24" s="34">
        <f ca="1">IFERROR(SUMIFS('TRA balance'!K$5:K$40,'TRA balance'!$C$5:$C$40,Assumptions!$C24,'TRA balance'!$D$5:$D$40,Assumptions!$B24)*DE24*N24,"")</f>
        <v>4.0418182817082</v>
      </c>
      <c r="BK24" s="34">
        <f ca="1">IFERROR(SUMIFS('TRA balance'!L$5:L$40,'TRA balance'!$C$5:$C$40,Assumptions!$C24,'TRA balance'!$D$5:$D$40,Assumptions!$B24)*DF24*O24,"")</f>
        <v>0</v>
      </c>
      <c r="BL24" s="34">
        <f ca="1">IFERROR(SUMIFS('TRA balance'!M$5:M$40,'TRA balance'!$C$5:$C$40,Assumptions!$C24,'TRA balance'!$D$5:$D$40,Assumptions!$B24)*DG24*P24,"")</f>
        <v>0.16913457199980003</v>
      </c>
      <c r="BM24" s="34">
        <f ca="1">IFERROR(SUMIFS('TRA balance'!N$5:N$40,'TRA balance'!$C$5:$C$40,Assumptions!$C24,'TRA balance'!$D$5:$D$40,Assumptions!$B24)*DH24*Q24,"")</f>
        <v>0.40095001150200005</v>
      </c>
      <c r="BN24" s="34">
        <f ca="1">IFERROR(SUMIFS('TRA balance'!O$5:O$40,'TRA balance'!$C$5:$C$40,Assumptions!$C24,'TRA balance'!$D$5:$D$40,Assumptions!$B24)*DI24*R24,"")</f>
        <v>1.5961506847428597</v>
      </c>
      <c r="BO24" s="34">
        <f ca="1">IFERROR(SUMIFS('TRA balance'!P$5:P$40,'TRA balance'!$C$5:$C$40,Assumptions!$C24,'TRA balance'!$D$5:$D$40,Assumptions!$B24)*DJ24*S24,"")</f>
        <v>3.5046681989077797</v>
      </c>
      <c r="BP24" s="34">
        <f ca="1">IFERROR(SUMIFS('TRA balance'!Q$5:Q$40,'TRA balance'!$C$5:$C$40,Assumptions!$C24,'TRA balance'!$D$5:$D$40,Assumptions!$B24)*DK24*T24,"")</f>
        <v>0.54812429310510002</v>
      </c>
      <c r="BQ24" s="34">
        <f ca="1">IFERROR(SUMIFS('TRA balance'!R$5:R$40,'TRA balance'!$C$5:$C$40,Assumptions!$C24,'TRA balance'!$D$5:$D$40,Assumptions!$B24)*DL24*U24,"")</f>
        <v>0.62490385268280002</v>
      </c>
      <c r="BR24" s="34">
        <f ca="1">IFERROR(SUMIFS('TRA balance'!S$5:S$40,'TRA balance'!$C$5:$C$40,Assumptions!$C24,'TRA balance'!$D$5:$D$40,Assumptions!$B24)*DM24*V24,"")</f>
        <v>2.5339974583859996E-2</v>
      </c>
      <c r="BS24" s="34">
        <f ca="1">IFERROR(SUMIFS('TRA balance'!T$5:T$40,'TRA balance'!$C$5:$C$40,Assumptions!$C24,'TRA balance'!$D$5:$D$40,Assumptions!$B24)*DN24*W24,"")</f>
        <v>134.28800014103999</v>
      </c>
      <c r="BT24" s="34">
        <f ca="1">IFERROR(SUMIFS('TRA balance'!U$5:U$40,'TRA balance'!$C$5:$C$40,Assumptions!$C24,'TRA balance'!$D$5:$D$40,Assumptions!$B24)*DO24*X24,"")</f>
        <v>0.15632851109111998</v>
      </c>
      <c r="BU24" s="34">
        <f ca="1">IFERROR(SUMIFS('TRA balance'!V$5:V$40,'TRA balance'!$C$5:$C$40,Assumptions!$C24,'TRA balance'!$D$5:$D$40,Assumptions!$B24)*DP24*Y24,"")</f>
        <v>1.5834267140031</v>
      </c>
      <c r="BV24" s="34">
        <f ca="1">IFERROR(SUMIFS('TRA balance'!W$5:W$40,'TRA balance'!$C$5:$C$40,Assumptions!$C24,'TRA balance'!$D$5:$D$40,Assumptions!$B24)*DQ24*Z24,"")</f>
        <v>7.1304220296323999</v>
      </c>
      <c r="BW24" s="34">
        <f ca="1">IFERROR(SUMIFS('TRA balance'!X$5:X$40,'TRA balance'!$C$5:$C$40,Assumptions!$C24,'TRA balance'!$D$5:$D$40,Assumptions!$B24)*DR24*AA24,"")</f>
        <v>7.6850577733086007</v>
      </c>
      <c r="BX24" s="34">
        <f ca="1">IFERROR(SUMIFS('TRA balance'!Y$5:Y$40,'TRA balance'!$C$5:$C$40,Assumptions!$C24,'TRA balance'!$D$5:$D$40,Assumptions!$B24)*DS24*AB24,"")</f>
        <v>16.517367267786</v>
      </c>
      <c r="BY24" s="34">
        <f ca="1">IFERROR(SUMIFS('TRA balance'!Z$5:Z$40,'TRA balance'!$C$5:$C$40,Assumptions!$C24,'TRA balance'!$D$5:$D$40,Assumptions!$B24)*DT24*AC24,"")</f>
        <v>14.677799447681283</v>
      </c>
      <c r="BZ24" s="34">
        <f ca="1">IFERROR(SUMIFS('TRA balance'!AA$5:AA$40,'TRA balance'!$C$5:$C$40,Assumptions!$C24,'TRA balance'!$D$5:$D$40,Assumptions!$B24)*DU24*AD24,"")</f>
        <v>0.13529496782771999</v>
      </c>
      <c r="CA24" s="34">
        <f ca="1">IFERROR(SUMIFS('TRA balance'!AB$5:AB$40,'TRA balance'!$C$5:$C$40,Assumptions!$C24,'TRA balance'!$D$5:$D$40,Assumptions!$B24)*DV24*AE24,"")</f>
        <v>0.87442600835520012</v>
      </c>
      <c r="CB24" s="34">
        <f ca="1">IFERROR(SUMIFS('TRA balance'!AC$5:AC$40,'TRA balance'!$C$5:$C$40,Assumptions!$C24,'TRA balance'!$D$5:$D$40,Assumptions!$B24)*DW24*AF24,"")</f>
        <v>452.30065127928003</v>
      </c>
      <c r="CC24" s="34">
        <f ca="1">IFERROR(SUMIFS('TRA balance'!AD$5:AD$40,'TRA balance'!$C$5:$C$40,Assumptions!$C24,'TRA balance'!$D$5:$D$40,Assumptions!$B24)*DX24*AG24,"")</f>
        <v>5.4143843656518005</v>
      </c>
      <c r="CD24" s="34">
        <f ca="1">IFERROR(SUMIFS('TRA balance'!AE$5:AE$40,'TRA balance'!$C$5:$C$40,Assumptions!$C24,'TRA balance'!$D$5:$D$40,Assumptions!$B24)*DY24*AH24,"")</f>
        <v>7.1355948168455994</v>
      </c>
      <c r="CE24" s="34">
        <f ca="1">IFERROR(SUMIFS('TRA balance'!AF$5:AF$40,'TRA balance'!$C$5:$C$40,Assumptions!$C24,'TRA balance'!$D$5:$D$40,Assumptions!$B24)*DZ24*AI24,"")</f>
        <v>31.657444849439997</v>
      </c>
      <c r="CF24" s="34">
        <f ca="1">IFERROR(SUMIFS('TRA balance'!AG$5:AG$40,'TRA balance'!$C$5:$C$40,Assumptions!$C24,'TRA balance'!$D$5:$D$40,Assumptions!$B24)*EA24*AJ24,"")</f>
        <v>1.3150226561767202</v>
      </c>
      <c r="CG24" s="34">
        <f ca="1">IFERROR(SUMIFS('TRA balance'!AH$5:AH$40,'TRA balance'!$C$5:$C$40,Assumptions!$C24,'TRA balance'!$D$5:$D$40,Assumptions!$B24)*EB24*AK24,"")</f>
        <v>0.92229091062660007</v>
      </c>
      <c r="CH24" s="34">
        <f ca="1">IFERROR(SUMIFS('TRA balance'!AI$5:AI$40,'TRA balance'!$C$5:$C$40,Assumptions!$C24,'TRA balance'!$D$5:$D$40,Assumptions!$B24)*EC24*AL24,"")</f>
        <v>0.48438556819938</v>
      </c>
      <c r="CI24" s="34">
        <f ca="1">IFERROR(SUMIFS('TRA balance'!AJ$5:AJ$40,'TRA balance'!$C$5:$C$40,Assumptions!$C24,'TRA balance'!$D$5:$D$40,Assumptions!$B24)*ED24*AM24,"")</f>
        <v>0.69515599114079996</v>
      </c>
      <c r="CJ24" s="34">
        <f ca="1">IFERROR(SUMIFS('TRA balance'!AK$5:AK$40,'TRA balance'!$C$5:$C$40,Assumptions!$C24,'TRA balance'!$D$5:$D$40,Assumptions!$B24)*EE24*AN24,"")</f>
        <v>2.4996459538558797</v>
      </c>
      <c r="CK24" s="34">
        <f ca="1">IFERROR(SUMIFS('TRA balance'!AL$5:AL$40,'TRA balance'!$C$5:$C$40,Assumptions!$C24,'TRA balance'!$D$5:$D$40,Assumptions!$B24)*EF24*AO24,"")</f>
        <v>0.27002668628879994</v>
      </c>
      <c r="CL24" s="34">
        <f ca="1">IFERROR(SUMIFS('TRA balance'!AM$5:AM$40,'TRA balance'!$C$5:$C$40,Assumptions!$C24,'TRA balance'!$D$5:$D$40,Assumptions!$B24)*EG24*AP24,"")</f>
        <v>0.17603644899780002</v>
      </c>
      <c r="CM24" s="34">
        <f ca="1">IFERROR(SUMIFS('TRA balance'!AN$5:AN$40,'TRA balance'!$C$5:$C$40,Assumptions!$C24,'TRA balance'!$D$5:$D$40,Assumptions!$B24)*EH24*AQ24,"")</f>
        <v>0</v>
      </c>
      <c r="CN24" s="34">
        <f ca="1">IFERROR(SUMIFS('TRA balance'!AO$5:AO$40,'TRA balance'!$C$5:$C$40,Assumptions!$C24,'TRA balance'!$D$5:$D$40,Assumptions!$B24)*EI24*AR24,"")</f>
        <v>0</v>
      </c>
      <c r="CO24" s="34">
        <f ca="1">IFERROR(SUMIFS('TRA balance'!AP$5:AP$40,'TRA balance'!$C$5:$C$40,Assumptions!$C24,'TRA balance'!$D$5:$D$40,Assumptions!$B24)*EJ24*AS24,"")</f>
        <v>0</v>
      </c>
      <c r="CP24" s="34">
        <f ca="1">IFERROR(SUMIFS('TRA balance'!AQ$5:AQ$40,'TRA balance'!$C$5:$C$40,Assumptions!$C24,'TRA balance'!$D$5:$D$40,Assumptions!$B24)*EK24*AT24,"")</f>
        <v>0</v>
      </c>
      <c r="CQ24" s="34">
        <f ca="1">IFERROR(SUMIFS('TRA balance'!AR$5:AR$40,'TRA balance'!$C$5:$C$40,Assumptions!$C24,'TRA balance'!$D$5:$D$40,Assumptions!$B24)*EL24*AU24,"")</f>
        <v>0</v>
      </c>
      <c r="CR24" s="34">
        <f ca="1">IFERROR(SUMIFS('TRA balance'!AS$5:AS$40,'TRA balance'!$C$5:$C$40,Assumptions!$C24,'TRA balance'!$D$5:$D$40,Assumptions!$B24)*EM24*AV24,"")</f>
        <v>0</v>
      </c>
      <c r="CS24" s="34">
        <f ca="1">IFERROR(SUMIFS('TRA balance'!AT$5:AT$40,'TRA balance'!$C$5:$C$40,Assumptions!$C24,'TRA balance'!$D$5:$D$40,Assumptions!$B24)*EN24*AW24,"")</f>
        <v>0</v>
      </c>
      <c r="CT24" s="34">
        <f ca="1">IFERROR(SUMIFS('TRA balance'!AU$5:AU$40,'TRA balance'!$C$5:$C$40,Assumptions!$C24,'TRA balance'!$D$5:$D$40,Assumptions!$B24)*EO24*AX24,"")</f>
        <v>0</v>
      </c>
      <c r="CU24" s="34">
        <f ca="1">IFERROR(SUMIFS('TRA balance'!AV$5:AV$40,'TRA balance'!$C$5:$C$40,Assumptions!$C24,'TRA balance'!$D$5:$D$40,Assumptions!$B24)*EP24*AY24,"")</f>
        <v>0</v>
      </c>
      <c r="CV24" s="34">
        <f ca="1">IFERROR(SUMIFS('TRA balance'!AW$5:AW$40,'TRA balance'!$C$5:$C$40,Assumptions!$C24,'TRA balance'!$D$5:$D$40,Assumptions!$B24)*EQ24*AZ24,"")</f>
        <v>0</v>
      </c>
      <c r="CW24" s="34">
        <f ca="1">IFERROR(SUMIFS('TRA balance'!AX$5:AX$40,'TRA balance'!$C$5:$C$40,Assumptions!$C24,'TRA balance'!$D$5:$D$40,Assumptions!$B24)*ER24*BA24,"")</f>
        <v>0</v>
      </c>
      <c r="CY24" s="33">
        <f t="shared" ca="1" si="2"/>
        <v>1</v>
      </c>
      <c r="CZ24" s="33">
        <f t="shared" ca="1" si="3"/>
        <v>1</v>
      </c>
      <c r="DA24" s="33">
        <f t="shared" ca="1" si="4"/>
        <v>0.9</v>
      </c>
      <c r="DB24" s="33">
        <f t="shared" ca="1" si="5"/>
        <v>0.97</v>
      </c>
      <c r="DC24" s="33">
        <f t="shared" ca="1" si="6"/>
        <v>0.7</v>
      </c>
      <c r="DD24" s="33">
        <f t="shared" ca="1" si="7"/>
        <v>0.97</v>
      </c>
      <c r="DE24" s="33">
        <f t="shared" ca="1" si="8"/>
        <v>0.9</v>
      </c>
      <c r="DF24" s="33">
        <f t="shared" ca="1" si="9"/>
        <v>0.9</v>
      </c>
      <c r="DG24" s="33">
        <f t="shared" ca="1" si="10"/>
        <v>0.9</v>
      </c>
      <c r="DH24" s="33">
        <f t="shared" ca="1" si="11"/>
        <v>0.9</v>
      </c>
      <c r="DI24" s="33">
        <f t="shared" ca="1" si="12"/>
        <v>0.97</v>
      </c>
      <c r="DJ24" s="33">
        <f t="shared" ca="1" si="13"/>
        <v>0.97</v>
      </c>
      <c r="DK24" s="33">
        <f t="shared" ca="1" si="14"/>
        <v>0.97</v>
      </c>
      <c r="DL24" s="33">
        <f t="shared" ca="1" si="15"/>
        <v>0.9</v>
      </c>
      <c r="DM24" s="33">
        <f t="shared" ca="1" si="16"/>
        <v>0.97</v>
      </c>
      <c r="DN24" s="33">
        <f t="shared" ca="1" si="17"/>
        <v>1</v>
      </c>
      <c r="DO24" s="33">
        <f t="shared" ca="1" si="18"/>
        <v>0.97</v>
      </c>
      <c r="DP24" s="33">
        <f t="shared" ca="1" si="19"/>
        <v>0.97</v>
      </c>
      <c r="DQ24" s="33">
        <f t="shared" ca="1" si="20"/>
        <v>0.9</v>
      </c>
      <c r="DR24" s="33">
        <f t="shared" ca="1" si="21"/>
        <v>0.9</v>
      </c>
      <c r="DS24" s="33">
        <f t="shared" ca="1" si="22"/>
        <v>0.7</v>
      </c>
      <c r="DT24" s="33">
        <f t="shared" ca="1" si="23"/>
        <v>0.8</v>
      </c>
      <c r="DU24" s="33">
        <f t="shared" ca="1" si="24"/>
        <v>0.97</v>
      </c>
      <c r="DV24" s="33">
        <f t="shared" ca="1" si="25"/>
        <v>0.9</v>
      </c>
      <c r="DW24" s="33">
        <f t="shared" ca="1" si="26"/>
        <v>1</v>
      </c>
      <c r="DX24" s="33">
        <f t="shared" ca="1" si="27"/>
        <v>0.7</v>
      </c>
      <c r="DY24" s="33">
        <f t="shared" ca="1" si="28"/>
        <v>0.7</v>
      </c>
      <c r="DZ24" s="33">
        <f t="shared" ca="1" si="29"/>
        <v>1</v>
      </c>
      <c r="EA24" s="33">
        <f t="shared" ca="1" si="30"/>
        <v>0.97</v>
      </c>
      <c r="EB24" s="33">
        <f t="shared" ca="1" si="31"/>
        <v>0.97</v>
      </c>
      <c r="EC24" s="33">
        <f t="shared" ca="1" si="32"/>
        <v>0.97</v>
      </c>
      <c r="ED24" s="33">
        <f t="shared" ca="1" si="33"/>
        <v>0.7</v>
      </c>
      <c r="EE24" s="33">
        <f t="shared" ca="1" si="34"/>
        <v>0.97</v>
      </c>
      <c r="EF24" s="33">
        <f t="shared" ca="1" si="35"/>
        <v>0.7</v>
      </c>
      <c r="EG24" s="33">
        <f t="shared" ca="1" si="36"/>
        <v>0.9</v>
      </c>
      <c r="EH24" s="33">
        <f t="shared" ca="1" si="37"/>
        <v>0.8</v>
      </c>
      <c r="EI24" s="33">
        <f t="shared" ca="1" si="38"/>
        <v>0.8</v>
      </c>
      <c r="EJ24" s="33">
        <f t="shared" ca="1" si="39"/>
        <v>0.8</v>
      </c>
      <c r="EK24" s="33">
        <f t="shared" ca="1" si="40"/>
        <v>0.8</v>
      </c>
      <c r="EL24" s="33">
        <f t="shared" ca="1" si="41"/>
        <v>0.8</v>
      </c>
      <c r="EM24" s="33">
        <f t="shared" ca="1" si="42"/>
        <v>0.8</v>
      </c>
      <c r="EN24" s="33">
        <f t="shared" ca="1" si="43"/>
        <v>0.8</v>
      </c>
      <c r="EO24" s="33">
        <f t="shared" ca="1" si="44"/>
        <v>0.8</v>
      </c>
      <c r="EP24" s="33">
        <f t="shared" ca="1" si="45"/>
        <v>0.8</v>
      </c>
      <c r="EQ24" s="33">
        <f t="shared" ca="1" si="46"/>
        <v>0.8</v>
      </c>
      <c r="ER24" s="33">
        <f t="shared" ca="1" si="47"/>
        <v>0.8</v>
      </c>
    </row>
    <row r="25" spans="1:148">
      <c r="A25">
        <v>1</v>
      </c>
      <c r="B25" t="str">
        <f>VLOOKUP(F25,'TRA balance'!$BA$5:$BB$14,2,FALSE)</f>
        <v>TRAGSL</v>
      </c>
      <c r="C25" s="6" t="str">
        <f t="shared" si="48"/>
        <v>TR</v>
      </c>
      <c r="D25" s="7" t="s">
        <v>16</v>
      </c>
      <c r="E25" s="18" t="s">
        <v>67</v>
      </c>
      <c r="F25" s="8" t="str">
        <f t="shared" si="59"/>
        <v>Gasoline</v>
      </c>
      <c r="G25" s="6" t="s">
        <v>68</v>
      </c>
      <c r="H25" s="9">
        <f ca="1">OFFSET(TIAM15_assumptions!$G25,0,MATCH(VLOOKUP(Assumptions!H$2,TIAM15_assumptions!$Y$3:$Z$87,2,FALSE),TIAM15_assumptions!$H$2:$V$2,0))</f>
        <v>0.35</v>
      </c>
      <c r="I25" s="9">
        <f ca="1">OFFSET(TIAM15_assumptions!$G25,0,MATCH(VLOOKUP(Assumptions!I$2,TIAM15_assumptions!$Y$3:$Z$87,2,FALSE),TIAM15_assumptions!$H$2:$V$2,0))</f>
        <v>0.35</v>
      </c>
      <c r="J25" s="9">
        <f ca="1">OFFSET(TIAM15_assumptions!$G25,0,MATCH(VLOOKUP(Assumptions!J$2,TIAM15_assumptions!$Y$3:$Z$87,2,FALSE),TIAM15_assumptions!$H$2:$V$2,0))</f>
        <v>0.02</v>
      </c>
      <c r="K25" s="9">
        <f ca="1">OFFSET(TIAM15_assumptions!$G25,0,MATCH(VLOOKUP(Assumptions!K$2,TIAM15_assumptions!$Y$3:$Z$87,2,FALSE),TIAM15_assumptions!$H$2:$V$2,0))</f>
        <v>5.0000000000000001E-3</v>
      </c>
      <c r="L25" s="9">
        <f ca="1">OFFSET(TIAM15_assumptions!$G25,0,MATCH(VLOOKUP(Assumptions!L$2,TIAM15_assumptions!$Y$3:$Z$87,2,FALSE),TIAM15_assumptions!$H$2:$V$2,0))</f>
        <v>1.4999999999999999E-2</v>
      </c>
      <c r="M25" s="9">
        <f ca="1">OFFSET(TIAM15_assumptions!$G25,0,MATCH(VLOOKUP(Assumptions!M$2,TIAM15_assumptions!$Y$3:$Z$87,2,FALSE),TIAM15_assumptions!$H$2:$V$2,0))</f>
        <v>5.0000000000000001E-3</v>
      </c>
      <c r="N25" s="9">
        <f ca="1">OFFSET(TIAM15_assumptions!$G25,0,MATCH(VLOOKUP(Assumptions!N$2,TIAM15_assumptions!$Y$3:$Z$87,2,FALSE),TIAM15_assumptions!$H$2:$V$2,0))</f>
        <v>1.4999999999999999E-2</v>
      </c>
      <c r="O25" s="9">
        <f ca="1">OFFSET(TIAM15_assumptions!$G25,0,MATCH(VLOOKUP(Assumptions!O$2,TIAM15_assumptions!$Y$3:$Z$87,2,FALSE),TIAM15_assumptions!$H$2:$V$2,0))</f>
        <v>0.3</v>
      </c>
      <c r="P25" s="9">
        <f ca="1">OFFSET(TIAM15_assumptions!$G25,0,MATCH(VLOOKUP(Assumptions!P$2,TIAM15_assumptions!$Y$3:$Z$87,2,FALSE),TIAM15_assumptions!$H$2:$V$2,0))</f>
        <v>1.4999999999999999E-2</v>
      </c>
      <c r="Q25" s="9">
        <f ca="1">OFFSET(TIAM15_assumptions!$G25,0,MATCH(VLOOKUP(Assumptions!Q$2,TIAM15_assumptions!$Y$3:$Z$87,2,FALSE),TIAM15_assumptions!$H$2:$V$2,0))</f>
        <v>1.4999999999999999E-2</v>
      </c>
      <c r="R25" s="9">
        <f ca="1">OFFSET(TIAM15_assumptions!$G25,0,MATCH(VLOOKUP(Assumptions!R$2,TIAM15_assumptions!$Y$3:$Z$87,2,FALSE),TIAM15_assumptions!$H$2:$V$2,0))</f>
        <v>5.0000000000000001E-3</v>
      </c>
      <c r="S25" s="9">
        <f ca="1">OFFSET(TIAM15_assumptions!$G25,0,MATCH(VLOOKUP(Assumptions!S$2,TIAM15_assumptions!$Y$3:$Z$87,2,FALSE),TIAM15_assumptions!$H$2:$V$2,0))</f>
        <v>5.0000000000000001E-3</v>
      </c>
      <c r="T25" s="9">
        <f ca="1">OFFSET(TIAM15_assumptions!$G25,0,MATCH(VLOOKUP(Assumptions!T$2,TIAM15_assumptions!$Y$3:$Z$87,2,FALSE),TIAM15_assumptions!$H$2:$V$2,0))</f>
        <v>5.0000000000000001E-3</v>
      </c>
      <c r="U25" s="9">
        <f ca="1">OFFSET(TIAM15_assumptions!$G25,0,MATCH(VLOOKUP(Assumptions!U$2,TIAM15_assumptions!$Y$3:$Z$87,2,FALSE),TIAM15_assumptions!$H$2:$V$2,0))</f>
        <v>1.4999999999999999E-2</v>
      </c>
      <c r="V25" s="9">
        <f ca="1">OFFSET(TIAM15_assumptions!$G25,0,MATCH(VLOOKUP(Assumptions!V$2,TIAM15_assumptions!$Y$3:$Z$87,2,FALSE),TIAM15_assumptions!$H$2:$V$2,0))</f>
        <v>5.0000000000000001E-3</v>
      </c>
      <c r="W25" s="9">
        <f ca="1">OFFSET(TIAM15_assumptions!$G25,0,MATCH(VLOOKUP(Assumptions!W$2,TIAM15_assumptions!$Y$3:$Z$87,2,FALSE),TIAM15_assumptions!$H$2:$V$2,0))</f>
        <v>0.4</v>
      </c>
      <c r="X25" s="9">
        <f ca="1">OFFSET(TIAM15_assumptions!$G25,0,MATCH(VLOOKUP(Assumptions!X$2,TIAM15_assumptions!$Y$3:$Z$87,2,FALSE),TIAM15_assumptions!$H$2:$V$2,0))</f>
        <v>5.0000000000000001E-3</v>
      </c>
      <c r="Y25" s="9">
        <f ca="1">OFFSET(TIAM15_assumptions!$G25,0,MATCH(VLOOKUP(Assumptions!Y$2,TIAM15_assumptions!$Y$3:$Z$87,2,FALSE),TIAM15_assumptions!$H$2:$V$2,0))</f>
        <v>5.0000000000000001E-3</v>
      </c>
      <c r="Z25" s="9">
        <f ca="1">OFFSET(TIAM15_assumptions!$G25,0,MATCH(VLOOKUP(Assumptions!Z$2,TIAM15_assumptions!$Y$3:$Z$87,2,FALSE),TIAM15_assumptions!$H$2:$V$2,0))</f>
        <v>0.01</v>
      </c>
      <c r="AA25" s="9">
        <f ca="1">OFFSET(TIAM15_assumptions!$G25,0,MATCH(VLOOKUP(Assumptions!AA$2,TIAM15_assumptions!$Y$3:$Z$87,2,FALSE),TIAM15_assumptions!$H$2:$V$2,0))</f>
        <v>1.4999999999999999E-2</v>
      </c>
      <c r="AB25" s="9">
        <f ca="1">OFFSET(TIAM15_assumptions!$G25,0,MATCH(VLOOKUP(Assumptions!AB$2,TIAM15_assumptions!$Y$3:$Z$87,2,FALSE),TIAM15_assumptions!$H$2:$V$2,0))</f>
        <v>0.02</v>
      </c>
      <c r="AC25" s="9">
        <f ca="1">OFFSET(TIAM15_assumptions!$G25,0,MATCH(VLOOKUP(Assumptions!AC$2,TIAM15_assumptions!$Y$3:$Z$87,2,FALSE),TIAM15_assumptions!$H$2:$V$2,0))</f>
        <v>1E-3</v>
      </c>
      <c r="AD25" s="9">
        <f ca="1">OFFSET(TIAM15_assumptions!$G25,0,MATCH(VLOOKUP(Assumptions!AD$2,TIAM15_assumptions!$Y$3:$Z$87,2,FALSE),TIAM15_assumptions!$H$2:$V$2,0))</f>
        <v>5.0000000000000001E-3</v>
      </c>
      <c r="AE25" s="9">
        <f ca="1">OFFSET(TIAM15_assumptions!$G25,0,MATCH(VLOOKUP(Assumptions!AE$2,TIAM15_assumptions!$Y$3:$Z$87,2,FALSE),TIAM15_assumptions!$H$2:$V$2,0))</f>
        <v>1.4999999999999999E-2</v>
      </c>
      <c r="AF25" s="9">
        <f ca="1">OFFSET(TIAM15_assumptions!$G25,0,MATCH(VLOOKUP(Assumptions!AF$2,TIAM15_assumptions!$Y$3:$Z$87,2,FALSE),TIAM15_assumptions!$H$2:$V$2,0))</f>
        <v>0.35</v>
      </c>
      <c r="AG25" s="9">
        <f ca="1">OFFSET(TIAM15_assumptions!$G25,0,MATCH(VLOOKUP(Assumptions!AG$2,TIAM15_assumptions!$Y$3:$Z$87,2,FALSE),TIAM15_assumptions!$H$2:$V$2,0))</f>
        <v>1.4999999999999999E-2</v>
      </c>
      <c r="AH25" s="9">
        <f ca="1">OFFSET(TIAM15_assumptions!$G25,0,MATCH(VLOOKUP(Assumptions!AH$2,TIAM15_assumptions!$Y$3:$Z$87,2,FALSE),TIAM15_assumptions!$H$2:$V$2,0))</f>
        <v>0.02</v>
      </c>
      <c r="AI25" s="9">
        <f ca="1">OFFSET(TIAM15_assumptions!$G25,0,MATCH(VLOOKUP(Assumptions!AI$2,TIAM15_assumptions!$Y$3:$Z$87,2,FALSE),TIAM15_assumptions!$H$2:$V$2,0))</f>
        <v>0.35</v>
      </c>
      <c r="AJ25" s="9">
        <f ca="1">OFFSET(TIAM15_assumptions!$G25,0,MATCH(VLOOKUP(Assumptions!AJ$2,TIAM15_assumptions!$Y$3:$Z$87,2,FALSE),TIAM15_assumptions!$H$2:$V$2,0))</f>
        <v>5.0000000000000001E-3</v>
      </c>
      <c r="AK25" s="9">
        <f ca="1">OFFSET(TIAM15_assumptions!$G25,0,MATCH(VLOOKUP(Assumptions!AK$2,TIAM15_assumptions!$Y$3:$Z$87,2,FALSE),TIAM15_assumptions!$H$2:$V$2,0))</f>
        <v>5.0000000000000001E-3</v>
      </c>
      <c r="AL25" s="9">
        <f ca="1">OFFSET(TIAM15_assumptions!$G25,0,MATCH(VLOOKUP(Assumptions!AL$2,TIAM15_assumptions!$Y$3:$Z$87,2,FALSE),TIAM15_assumptions!$H$2:$V$2,0))</f>
        <v>5.0000000000000001E-3</v>
      </c>
      <c r="AM25" s="9">
        <f ca="1">OFFSET(TIAM15_assumptions!$G25,0,MATCH(VLOOKUP(Assumptions!AM$2,TIAM15_assumptions!$Y$3:$Z$87,2,FALSE),TIAM15_assumptions!$H$2:$V$2,0))</f>
        <v>0.02</v>
      </c>
      <c r="AN25" s="9">
        <f ca="1">OFFSET(TIAM15_assumptions!$G25,0,MATCH(VLOOKUP(Assumptions!AN$2,TIAM15_assumptions!$Y$3:$Z$87,2,FALSE),TIAM15_assumptions!$H$2:$V$2,0))</f>
        <v>5.0000000000000001E-3</v>
      </c>
      <c r="AO25" s="9">
        <f ca="1">OFFSET(TIAM15_assumptions!$G25,0,MATCH(VLOOKUP(Assumptions!AO$2,TIAM15_assumptions!$Y$3:$Z$87,2,FALSE),TIAM15_assumptions!$H$2:$V$2,0))</f>
        <v>1.4999999999999999E-2</v>
      </c>
      <c r="AP25" s="9">
        <f ca="1">OFFSET(TIAM15_assumptions!$G25,0,MATCH(VLOOKUP(Assumptions!AP$2,TIAM15_assumptions!$Y$3:$Z$87,2,FALSE),TIAM15_assumptions!$H$2:$V$2,0))</f>
        <v>1.4999999999999999E-2</v>
      </c>
      <c r="AQ25" s="9">
        <f ca="1">OFFSET(TIAM15_assumptions!$G25,0,MATCH(VLOOKUP(Assumptions!AQ$2,TIAM15_assumptions!$Y$3:$Z$87,2,FALSE),TIAM15_assumptions!$H$2:$V$2,0))</f>
        <v>1E-3</v>
      </c>
      <c r="AR25" s="9">
        <f ca="1">OFFSET(TIAM15_assumptions!$G25,0,MATCH(VLOOKUP(Assumptions!AR$2,TIAM15_assumptions!$Y$3:$Z$87,2,FALSE),TIAM15_assumptions!$H$2:$V$2,0))</f>
        <v>1E-3</v>
      </c>
      <c r="AS25" s="9">
        <f ca="1">OFFSET(TIAM15_assumptions!$G25,0,MATCH(VLOOKUP(Assumptions!AS$2,TIAM15_assumptions!$Y$3:$Z$87,2,FALSE),TIAM15_assumptions!$H$2:$V$2,0))</f>
        <v>1E-3</v>
      </c>
      <c r="AT25" s="9">
        <f ca="1">OFFSET(TIAM15_assumptions!$G25,0,MATCH(VLOOKUP(Assumptions!AT$2,TIAM15_assumptions!$Y$3:$Z$87,2,FALSE),TIAM15_assumptions!$H$2:$V$2,0))</f>
        <v>1E-3</v>
      </c>
      <c r="AU25" s="9">
        <f ca="1">OFFSET(TIAM15_assumptions!$G25,0,MATCH(VLOOKUP(Assumptions!AU$2,TIAM15_assumptions!$Y$3:$Z$87,2,FALSE),TIAM15_assumptions!$H$2:$V$2,0))</f>
        <v>1E-3</v>
      </c>
      <c r="AV25" s="9">
        <f ca="1">OFFSET(TIAM15_assumptions!$G25,0,MATCH(VLOOKUP(Assumptions!AV$2,TIAM15_assumptions!$Y$3:$Z$87,2,FALSE),TIAM15_assumptions!$H$2:$V$2,0))</f>
        <v>1E-3</v>
      </c>
      <c r="AW25" s="9">
        <f ca="1">OFFSET(TIAM15_assumptions!$G25,0,MATCH(VLOOKUP(Assumptions!AW$2,TIAM15_assumptions!$Y$3:$Z$87,2,FALSE),TIAM15_assumptions!$H$2:$V$2,0))</f>
        <v>1E-3</v>
      </c>
      <c r="AX25" s="9">
        <f ca="1">OFFSET(TIAM15_assumptions!$G25,0,MATCH(VLOOKUP(Assumptions!AX$2,TIAM15_assumptions!$Y$3:$Z$87,2,FALSE),TIAM15_assumptions!$H$2:$V$2,0))</f>
        <v>1E-3</v>
      </c>
      <c r="AY25" s="9">
        <f ca="1">OFFSET(TIAM15_assumptions!$G25,0,MATCH(VLOOKUP(Assumptions!AY$2,TIAM15_assumptions!$Y$3:$Z$87,2,FALSE),TIAM15_assumptions!$H$2:$V$2,0))</f>
        <v>1E-3</v>
      </c>
      <c r="AZ25" s="9">
        <f ca="1">OFFSET(TIAM15_assumptions!$G25,0,MATCH(VLOOKUP(Assumptions!AZ$2,TIAM15_assumptions!$Y$3:$Z$87,2,FALSE),TIAM15_assumptions!$H$2:$V$2,0))</f>
        <v>1E-3</v>
      </c>
      <c r="BA25" s="9">
        <f ca="1">OFFSET(TIAM15_assumptions!$G25,0,MATCH(VLOOKUP(Assumptions!BA$2,TIAM15_assumptions!$Y$3:$Z$87,2,FALSE),TIAM15_assumptions!$H$2:$V$2,0))</f>
        <v>1E-3</v>
      </c>
      <c r="BD25" s="34">
        <f ca="1">IFERROR(SUMIFS('TRA balance'!E$5:E$40,'TRA balance'!$C$5:$C$40,Assumptions!$C25,'TRA balance'!$D$5:$D$40,Assumptions!$B25)*CY25*H25,"")</f>
        <v>250.48460281193999</v>
      </c>
      <c r="BE25" s="34">
        <f ca="1">IFERROR(SUMIFS('TRA balance'!F$5:F$40,'TRA balance'!$C$5:$C$40,Assumptions!$C25,'TRA balance'!$D$5:$D$40,Assumptions!$B25)*CZ25*I25,"")</f>
        <v>434.96326194803999</v>
      </c>
      <c r="BF25" s="34">
        <f ca="1">IFERROR(SUMIFS('TRA balance'!G$5:G$40,'TRA balance'!$C$5:$C$40,Assumptions!$C25,'TRA balance'!$D$5:$D$40,Assumptions!$B25)*DA25*J25,"")</f>
        <v>10.2405930457104</v>
      </c>
      <c r="BG25" s="34">
        <f ca="1">IFERROR(SUMIFS('TRA balance'!H$5:H$40,'TRA balance'!$C$5:$C$40,Assumptions!$C25,'TRA balance'!$D$5:$D$40,Assumptions!$B25)*DB25*K25,"")</f>
        <v>0.33583422714228001</v>
      </c>
      <c r="BH25" s="34">
        <f ca="1">IFERROR(SUMIFS('TRA balance'!I$5:I$40,'TRA balance'!$C$5:$C$40,Assumptions!$C25,'TRA balance'!$D$5:$D$40,Assumptions!$B25)*DC25*L25,"")</f>
        <v>0.30361716706859998</v>
      </c>
      <c r="BI25" s="34">
        <f ca="1">IFERROR(SUMIFS('TRA balance'!J$5:J$40,'TRA balance'!$C$5:$C$40,Assumptions!$C25,'TRA balance'!$D$5:$D$40,Assumptions!$B25)*DD25*M25,"")</f>
        <v>1.2993733856521801</v>
      </c>
      <c r="BJ25" s="34">
        <f ca="1">IFERROR(SUMIFS('TRA balance'!K$5:K$40,'TRA balance'!$C$5:$C$40,Assumptions!$C25,'TRA balance'!$D$5:$D$40,Assumptions!$B25)*DE25*N25,"")</f>
        <v>12.125454845124599</v>
      </c>
      <c r="BK25" s="34">
        <f ca="1">IFERROR(SUMIFS('TRA balance'!L$5:L$40,'TRA balance'!$C$5:$C$40,Assumptions!$C25,'TRA balance'!$D$5:$D$40,Assumptions!$B25)*DF25*O25,"")</f>
        <v>1620.5115790774798</v>
      </c>
      <c r="BL25" s="34">
        <f ca="1">IFERROR(SUMIFS('TRA balance'!M$5:M$40,'TRA balance'!$C$5:$C$40,Assumptions!$C25,'TRA balance'!$D$5:$D$40,Assumptions!$B25)*DG25*P25,"")</f>
        <v>0.50740371599940004</v>
      </c>
      <c r="BM25" s="34">
        <f ca="1">IFERROR(SUMIFS('TRA balance'!N$5:N$40,'TRA balance'!$C$5:$C$40,Assumptions!$C25,'TRA balance'!$D$5:$D$40,Assumptions!$B25)*DH25*Q25,"")</f>
        <v>1.202850034506</v>
      </c>
      <c r="BN25" s="34">
        <f ca="1">IFERROR(SUMIFS('TRA balance'!O$5:O$40,'TRA balance'!$C$5:$C$40,Assumptions!$C25,'TRA balance'!$D$5:$D$40,Assumptions!$B25)*DI25*R25,"")</f>
        <v>1.5961506847428597</v>
      </c>
      <c r="BO25" s="34">
        <f ca="1">IFERROR(SUMIFS('TRA balance'!P$5:P$40,'TRA balance'!$C$5:$C$40,Assumptions!$C25,'TRA balance'!$D$5:$D$40,Assumptions!$B25)*DJ25*S25,"")</f>
        <v>3.5046681989077797</v>
      </c>
      <c r="BP25" s="34">
        <f ca="1">IFERROR(SUMIFS('TRA balance'!Q$5:Q$40,'TRA balance'!$C$5:$C$40,Assumptions!$C25,'TRA balance'!$D$5:$D$40,Assumptions!$B25)*DK25*T25,"")</f>
        <v>0.54812429310510002</v>
      </c>
      <c r="BQ25" s="34">
        <f ca="1">IFERROR(SUMIFS('TRA balance'!R$5:R$40,'TRA balance'!$C$5:$C$40,Assumptions!$C25,'TRA balance'!$D$5:$D$40,Assumptions!$B25)*DL25*U25,"")</f>
        <v>1.8747115580484</v>
      </c>
      <c r="BR25" s="34">
        <f ca="1">IFERROR(SUMIFS('TRA balance'!S$5:S$40,'TRA balance'!$C$5:$C$40,Assumptions!$C25,'TRA balance'!$D$5:$D$40,Assumptions!$B25)*DM25*V25,"")</f>
        <v>2.5339974583859996E-2</v>
      </c>
      <c r="BS25" s="34">
        <f ca="1">IFERROR(SUMIFS('TRA balance'!T$5:T$40,'TRA balance'!$C$5:$C$40,Assumptions!$C25,'TRA balance'!$D$5:$D$40,Assumptions!$B25)*DN25*W25,"")</f>
        <v>537.15200056415995</v>
      </c>
      <c r="BT25" s="34">
        <f ca="1">IFERROR(SUMIFS('TRA balance'!U$5:U$40,'TRA balance'!$C$5:$C$40,Assumptions!$C25,'TRA balance'!$D$5:$D$40,Assumptions!$B25)*DO25*X25,"")</f>
        <v>0.15632851109111998</v>
      </c>
      <c r="BU25" s="34">
        <f ca="1">IFERROR(SUMIFS('TRA balance'!V$5:V$40,'TRA balance'!$C$5:$C$40,Assumptions!$C25,'TRA balance'!$D$5:$D$40,Assumptions!$B25)*DP25*Y25,"")</f>
        <v>1.5834267140031</v>
      </c>
      <c r="BV25" s="34">
        <f ca="1">IFERROR(SUMIFS('TRA balance'!W$5:W$40,'TRA balance'!$C$5:$C$40,Assumptions!$C25,'TRA balance'!$D$5:$D$40,Assumptions!$B25)*DQ25*Z25,"")</f>
        <v>14.2608440592648</v>
      </c>
      <c r="BW25" s="34">
        <f ca="1">IFERROR(SUMIFS('TRA balance'!X$5:X$40,'TRA balance'!$C$5:$C$40,Assumptions!$C25,'TRA balance'!$D$5:$D$40,Assumptions!$B25)*DR25*AA25,"")</f>
        <v>23.0551733199258</v>
      </c>
      <c r="BX25" s="34">
        <f ca="1">IFERROR(SUMIFS('TRA balance'!Y$5:Y$40,'TRA balance'!$C$5:$C$40,Assumptions!$C25,'TRA balance'!$D$5:$D$40,Assumptions!$B25)*DS25*AB25,"")</f>
        <v>33.034734535571999</v>
      </c>
      <c r="BY25" s="34">
        <f ca="1">IFERROR(SUMIFS('TRA balance'!Z$5:Z$40,'TRA balance'!$C$5:$C$40,Assumptions!$C25,'TRA balance'!$D$5:$D$40,Assumptions!$B25)*DT25*AC25,"")</f>
        <v>14.677799447681283</v>
      </c>
      <c r="BZ25" s="34">
        <f ca="1">IFERROR(SUMIFS('TRA balance'!AA$5:AA$40,'TRA balance'!$C$5:$C$40,Assumptions!$C25,'TRA balance'!$D$5:$D$40,Assumptions!$B25)*DU25*AD25,"")</f>
        <v>0.13529496782771999</v>
      </c>
      <c r="CA25" s="34">
        <f ca="1">IFERROR(SUMIFS('TRA balance'!AB$5:AB$40,'TRA balance'!$C$5:$C$40,Assumptions!$C25,'TRA balance'!$D$5:$D$40,Assumptions!$B25)*DV25*AE25,"")</f>
        <v>2.6232780250656003</v>
      </c>
      <c r="CB25" s="34">
        <f ca="1">IFERROR(SUMIFS('TRA balance'!AC$5:AC$40,'TRA balance'!$C$5:$C$40,Assumptions!$C25,'TRA balance'!$D$5:$D$40,Assumptions!$B25)*DW25*AF25,"")</f>
        <v>1583.0522794774799</v>
      </c>
      <c r="CC25" s="34">
        <f ca="1">IFERROR(SUMIFS('TRA balance'!AD$5:AD$40,'TRA balance'!$C$5:$C$40,Assumptions!$C25,'TRA balance'!$D$5:$D$40,Assumptions!$B25)*DX25*AG25,"")</f>
        <v>16.2431530969554</v>
      </c>
      <c r="CD25" s="34">
        <f ca="1">IFERROR(SUMIFS('TRA balance'!AE$5:AE$40,'TRA balance'!$C$5:$C$40,Assumptions!$C25,'TRA balance'!$D$5:$D$40,Assumptions!$B25)*DY25*AH25,"")</f>
        <v>14.271189633691199</v>
      </c>
      <c r="CE25" s="34">
        <f ca="1">IFERROR(SUMIFS('TRA balance'!AF$5:AF$40,'TRA balance'!$C$5:$C$40,Assumptions!$C25,'TRA balance'!$D$5:$D$40,Assumptions!$B25)*DZ25*AI25,"")</f>
        <v>110.80105697303999</v>
      </c>
      <c r="CF25" s="34">
        <f ca="1">IFERROR(SUMIFS('TRA balance'!AG$5:AG$40,'TRA balance'!$C$5:$C$40,Assumptions!$C25,'TRA balance'!$D$5:$D$40,Assumptions!$B25)*EA25*AJ25,"")</f>
        <v>1.3150226561767202</v>
      </c>
      <c r="CG25" s="34">
        <f ca="1">IFERROR(SUMIFS('TRA balance'!AH$5:AH$40,'TRA balance'!$C$5:$C$40,Assumptions!$C25,'TRA balance'!$D$5:$D$40,Assumptions!$B25)*EB25*AK25,"")</f>
        <v>0.92229091062660007</v>
      </c>
      <c r="CH25" s="34">
        <f ca="1">IFERROR(SUMIFS('TRA balance'!AI$5:AI$40,'TRA balance'!$C$5:$C$40,Assumptions!$C25,'TRA balance'!$D$5:$D$40,Assumptions!$B25)*EC25*AL25,"")</f>
        <v>0.48438556819938</v>
      </c>
      <c r="CI25" s="34">
        <f ca="1">IFERROR(SUMIFS('TRA balance'!AJ$5:AJ$40,'TRA balance'!$C$5:$C$40,Assumptions!$C25,'TRA balance'!$D$5:$D$40,Assumptions!$B25)*ED25*AM25,"")</f>
        <v>1.3903119822815999</v>
      </c>
      <c r="CJ25" s="34">
        <f ca="1">IFERROR(SUMIFS('TRA balance'!AK$5:AK$40,'TRA balance'!$C$5:$C$40,Assumptions!$C25,'TRA balance'!$D$5:$D$40,Assumptions!$B25)*EE25*AN25,"")</f>
        <v>2.4996459538558797</v>
      </c>
      <c r="CK25" s="34">
        <f ca="1">IFERROR(SUMIFS('TRA balance'!AL$5:AL$40,'TRA balance'!$C$5:$C$40,Assumptions!$C25,'TRA balance'!$D$5:$D$40,Assumptions!$B25)*EF25*AO25,"")</f>
        <v>0.81008005886639978</v>
      </c>
      <c r="CL25" s="34">
        <f ca="1">IFERROR(SUMIFS('TRA balance'!AM$5:AM$40,'TRA balance'!$C$5:$C$40,Assumptions!$C25,'TRA balance'!$D$5:$D$40,Assumptions!$B25)*EG25*AP25,"")</f>
        <v>0.52810934699339995</v>
      </c>
      <c r="CM25" s="34">
        <f ca="1">IFERROR(SUMIFS('TRA balance'!AN$5:AN$40,'TRA balance'!$C$5:$C$40,Assumptions!$C25,'TRA balance'!$D$5:$D$40,Assumptions!$B25)*EH25*AQ25,"")</f>
        <v>0</v>
      </c>
      <c r="CN25" s="34">
        <f ca="1">IFERROR(SUMIFS('TRA balance'!AO$5:AO$40,'TRA balance'!$C$5:$C$40,Assumptions!$C25,'TRA balance'!$D$5:$D$40,Assumptions!$B25)*EI25*AR25,"")</f>
        <v>0</v>
      </c>
      <c r="CO25" s="34">
        <f ca="1">IFERROR(SUMIFS('TRA balance'!AP$5:AP$40,'TRA balance'!$C$5:$C$40,Assumptions!$C25,'TRA balance'!$D$5:$D$40,Assumptions!$B25)*EJ25*AS25,"")</f>
        <v>0</v>
      </c>
      <c r="CP25" s="34">
        <f ca="1">IFERROR(SUMIFS('TRA balance'!AQ$5:AQ$40,'TRA balance'!$C$5:$C$40,Assumptions!$C25,'TRA balance'!$D$5:$D$40,Assumptions!$B25)*EK25*AT25,"")</f>
        <v>0</v>
      </c>
      <c r="CQ25" s="34">
        <f ca="1">IFERROR(SUMIFS('TRA balance'!AR$5:AR$40,'TRA balance'!$C$5:$C$40,Assumptions!$C25,'TRA balance'!$D$5:$D$40,Assumptions!$B25)*EL25*AU25,"")</f>
        <v>0</v>
      </c>
      <c r="CR25" s="34">
        <f ca="1">IFERROR(SUMIFS('TRA balance'!AS$5:AS$40,'TRA balance'!$C$5:$C$40,Assumptions!$C25,'TRA balance'!$D$5:$D$40,Assumptions!$B25)*EM25*AV25,"")</f>
        <v>0</v>
      </c>
      <c r="CS25" s="34">
        <f ca="1">IFERROR(SUMIFS('TRA balance'!AT$5:AT$40,'TRA balance'!$C$5:$C$40,Assumptions!$C25,'TRA balance'!$D$5:$D$40,Assumptions!$B25)*EN25*AW25,"")</f>
        <v>0</v>
      </c>
      <c r="CT25" s="34">
        <f ca="1">IFERROR(SUMIFS('TRA balance'!AU$5:AU$40,'TRA balance'!$C$5:$C$40,Assumptions!$C25,'TRA balance'!$D$5:$D$40,Assumptions!$B25)*EO25*AX25,"")</f>
        <v>0</v>
      </c>
      <c r="CU25" s="34">
        <f ca="1">IFERROR(SUMIFS('TRA balance'!AV$5:AV$40,'TRA balance'!$C$5:$C$40,Assumptions!$C25,'TRA balance'!$D$5:$D$40,Assumptions!$B25)*EP25*AY25,"")</f>
        <v>0</v>
      </c>
      <c r="CV25" s="34">
        <f ca="1">IFERROR(SUMIFS('TRA balance'!AW$5:AW$40,'TRA balance'!$C$5:$C$40,Assumptions!$C25,'TRA balance'!$D$5:$D$40,Assumptions!$B25)*EQ25*AZ25,"")</f>
        <v>0</v>
      </c>
      <c r="CW25" s="34">
        <f ca="1">IFERROR(SUMIFS('TRA balance'!AX$5:AX$40,'TRA balance'!$C$5:$C$40,Assumptions!$C25,'TRA balance'!$D$5:$D$40,Assumptions!$B25)*ER25*BA25,"")</f>
        <v>0</v>
      </c>
      <c r="CY25" s="33">
        <f t="shared" ca="1" si="2"/>
        <v>1</v>
      </c>
      <c r="CZ25" s="33">
        <f t="shared" ca="1" si="3"/>
        <v>1</v>
      </c>
      <c r="DA25" s="33">
        <f t="shared" ca="1" si="4"/>
        <v>0.9</v>
      </c>
      <c r="DB25" s="33">
        <f t="shared" ca="1" si="5"/>
        <v>0.97</v>
      </c>
      <c r="DC25" s="33">
        <f t="shared" ca="1" si="6"/>
        <v>0.7</v>
      </c>
      <c r="DD25" s="33">
        <f t="shared" ca="1" si="7"/>
        <v>0.97</v>
      </c>
      <c r="DE25" s="33">
        <f t="shared" ca="1" si="8"/>
        <v>0.9</v>
      </c>
      <c r="DF25" s="33">
        <f t="shared" ca="1" si="9"/>
        <v>0.9</v>
      </c>
      <c r="DG25" s="33">
        <f t="shared" ca="1" si="10"/>
        <v>0.9</v>
      </c>
      <c r="DH25" s="33">
        <f t="shared" ca="1" si="11"/>
        <v>0.9</v>
      </c>
      <c r="DI25" s="33">
        <f t="shared" ca="1" si="12"/>
        <v>0.97</v>
      </c>
      <c r="DJ25" s="33">
        <f t="shared" ca="1" si="13"/>
        <v>0.97</v>
      </c>
      <c r="DK25" s="33">
        <f t="shared" ca="1" si="14"/>
        <v>0.97</v>
      </c>
      <c r="DL25" s="33">
        <f t="shared" ca="1" si="15"/>
        <v>0.9</v>
      </c>
      <c r="DM25" s="33">
        <f t="shared" ca="1" si="16"/>
        <v>0.97</v>
      </c>
      <c r="DN25" s="33">
        <f t="shared" ca="1" si="17"/>
        <v>1</v>
      </c>
      <c r="DO25" s="33">
        <f t="shared" ca="1" si="18"/>
        <v>0.97</v>
      </c>
      <c r="DP25" s="33">
        <f t="shared" ca="1" si="19"/>
        <v>0.97</v>
      </c>
      <c r="DQ25" s="33">
        <f t="shared" ca="1" si="20"/>
        <v>0.9</v>
      </c>
      <c r="DR25" s="33">
        <f t="shared" ca="1" si="21"/>
        <v>0.9</v>
      </c>
      <c r="DS25" s="33">
        <f t="shared" ca="1" si="22"/>
        <v>0.7</v>
      </c>
      <c r="DT25" s="33">
        <f t="shared" ca="1" si="23"/>
        <v>0.8</v>
      </c>
      <c r="DU25" s="33">
        <f t="shared" ca="1" si="24"/>
        <v>0.97</v>
      </c>
      <c r="DV25" s="33">
        <f t="shared" ca="1" si="25"/>
        <v>0.9</v>
      </c>
      <c r="DW25" s="33">
        <f t="shared" ca="1" si="26"/>
        <v>1</v>
      </c>
      <c r="DX25" s="33">
        <f t="shared" ca="1" si="27"/>
        <v>0.7</v>
      </c>
      <c r="DY25" s="33">
        <f t="shared" ca="1" si="28"/>
        <v>0.7</v>
      </c>
      <c r="DZ25" s="33">
        <f t="shared" ca="1" si="29"/>
        <v>1</v>
      </c>
      <c r="EA25" s="33">
        <f t="shared" ca="1" si="30"/>
        <v>0.97</v>
      </c>
      <c r="EB25" s="33">
        <f t="shared" ca="1" si="31"/>
        <v>0.97</v>
      </c>
      <c r="EC25" s="33">
        <f t="shared" ca="1" si="32"/>
        <v>0.97</v>
      </c>
      <c r="ED25" s="33">
        <f t="shared" ca="1" si="33"/>
        <v>0.7</v>
      </c>
      <c r="EE25" s="33">
        <f t="shared" ca="1" si="34"/>
        <v>0.97</v>
      </c>
      <c r="EF25" s="33">
        <f t="shared" ca="1" si="35"/>
        <v>0.7</v>
      </c>
      <c r="EG25" s="33">
        <f t="shared" ca="1" si="36"/>
        <v>0.9</v>
      </c>
      <c r="EH25" s="33">
        <f t="shared" ca="1" si="37"/>
        <v>0.8</v>
      </c>
      <c r="EI25" s="33">
        <f t="shared" ca="1" si="38"/>
        <v>0.8</v>
      </c>
      <c r="EJ25" s="33">
        <f t="shared" ca="1" si="39"/>
        <v>0.8</v>
      </c>
      <c r="EK25" s="33">
        <f t="shared" ca="1" si="40"/>
        <v>0.8</v>
      </c>
      <c r="EL25" s="33">
        <f t="shared" ca="1" si="41"/>
        <v>0.8</v>
      </c>
      <c r="EM25" s="33">
        <f t="shared" ca="1" si="42"/>
        <v>0.8</v>
      </c>
      <c r="EN25" s="33">
        <f t="shared" ca="1" si="43"/>
        <v>0.8</v>
      </c>
      <c r="EO25" s="33">
        <f t="shared" ca="1" si="44"/>
        <v>0.8</v>
      </c>
      <c r="EP25" s="33">
        <f t="shared" ca="1" si="45"/>
        <v>0.8</v>
      </c>
      <c r="EQ25" s="33">
        <f t="shared" ca="1" si="46"/>
        <v>0.8</v>
      </c>
      <c r="ER25" s="33">
        <f t="shared" ca="1" si="47"/>
        <v>0.8</v>
      </c>
    </row>
    <row r="26" spans="1:148">
      <c r="A26">
        <v>1</v>
      </c>
      <c r="B26" t="str">
        <f>VLOOKUP(F26,'TRA balance'!$BA$5:$BB$14,2,FALSE)</f>
        <v>TRAGSL</v>
      </c>
      <c r="C26" s="6" t="str">
        <f t="shared" si="48"/>
        <v/>
      </c>
      <c r="D26" s="7"/>
      <c r="E26" s="19" t="s">
        <v>69</v>
      </c>
      <c r="F26" s="8" t="str">
        <f t="shared" si="59"/>
        <v>Gasoline</v>
      </c>
      <c r="G26" s="6"/>
      <c r="H26" s="20" t="str">
        <f ca="1">IF(SUM(H22:H25)=1,"-","&lt;&gt;1!!")</f>
        <v>-</v>
      </c>
      <c r="I26" s="20" t="str">
        <f t="shared" ref="I26:BA26" ca="1" si="60">IF(SUM(I22:I25)=1,"-","&lt;&gt;1!!")</f>
        <v>-</v>
      </c>
      <c r="J26" s="20" t="str">
        <f t="shared" ca="1" si="60"/>
        <v>-</v>
      </c>
      <c r="K26" s="20" t="str">
        <f t="shared" ca="1" si="60"/>
        <v>-</v>
      </c>
      <c r="L26" s="20" t="str">
        <f t="shared" ca="1" si="60"/>
        <v>-</v>
      </c>
      <c r="M26" s="20" t="str">
        <f t="shared" ca="1" si="60"/>
        <v>-</v>
      </c>
      <c r="N26" s="20" t="str">
        <f t="shared" ca="1" si="60"/>
        <v>-</v>
      </c>
      <c r="O26" s="20" t="str">
        <f t="shared" ca="1" si="60"/>
        <v>-</v>
      </c>
      <c r="P26" s="20" t="str">
        <f t="shared" ca="1" si="60"/>
        <v>-</v>
      </c>
      <c r="Q26" s="20" t="str">
        <f t="shared" ca="1" si="60"/>
        <v>-</v>
      </c>
      <c r="R26" s="20" t="str">
        <f t="shared" ca="1" si="60"/>
        <v>-</v>
      </c>
      <c r="S26" s="20" t="str">
        <f t="shared" ca="1" si="60"/>
        <v>-</v>
      </c>
      <c r="T26" s="20" t="str">
        <f t="shared" ca="1" si="60"/>
        <v>-</v>
      </c>
      <c r="U26" s="20" t="str">
        <f t="shared" ca="1" si="60"/>
        <v>-</v>
      </c>
      <c r="V26" s="20" t="str">
        <f t="shared" ca="1" si="60"/>
        <v>-</v>
      </c>
      <c r="W26" s="20" t="str">
        <f t="shared" ca="1" si="60"/>
        <v>-</v>
      </c>
      <c r="X26" s="20" t="str">
        <f t="shared" ca="1" si="60"/>
        <v>-</v>
      </c>
      <c r="Y26" s="20" t="str">
        <f t="shared" ca="1" si="60"/>
        <v>-</v>
      </c>
      <c r="Z26" s="20" t="str">
        <f t="shared" ca="1" si="60"/>
        <v>-</v>
      </c>
      <c r="AA26" s="20" t="str">
        <f t="shared" ca="1" si="60"/>
        <v>-</v>
      </c>
      <c r="AB26" s="20" t="str">
        <f t="shared" ca="1" si="60"/>
        <v>-</v>
      </c>
      <c r="AC26" s="20" t="str">
        <f t="shared" ca="1" si="60"/>
        <v>-</v>
      </c>
      <c r="AD26" s="20" t="str">
        <f t="shared" ca="1" si="60"/>
        <v>-</v>
      </c>
      <c r="AE26" s="20" t="str">
        <f t="shared" ca="1" si="60"/>
        <v>-</v>
      </c>
      <c r="AF26" s="20" t="str">
        <f t="shared" ca="1" si="60"/>
        <v>-</v>
      </c>
      <c r="AG26" s="20" t="str">
        <f t="shared" ca="1" si="60"/>
        <v>-</v>
      </c>
      <c r="AH26" s="20" t="str">
        <f t="shared" ca="1" si="60"/>
        <v>-</v>
      </c>
      <c r="AI26" s="20" t="str">
        <f t="shared" ca="1" si="60"/>
        <v>-</v>
      </c>
      <c r="AJ26" s="20" t="str">
        <f t="shared" ca="1" si="60"/>
        <v>-</v>
      </c>
      <c r="AK26" s="20" t="str">
        <f t="shared" ca="1" si="60"/>
        <v>-</v>
      </c>
      <c r="AL26" s="20" t="str">
        <f t="shared" ca="1" si="60"/>
        <v>-</v>
      </c>
      <c r="AM26" s="20" t="str">
        <f t="shared" ca="1" si="60"/>
        <v>-</v>
      </c>
      <c r="AN26" s="20" t="str">
        <f t="shared" ca="1" si="60"/>
        <v>-</v>
      </c>
      <c r="AO26" s="20" t="str">
        <f t="shared" ca="1" si="60"/>
        <v>-</v>
      </c>
      <c r="AP26" s="20" t="str">
        <f t="shared" ca="1" si="60"/>
        <v>-</v>
      </c>
      <c r="AQ26" s="20" t="str">
        <f t="shared" ca="1" si="60"/>
        <v>-</v>
      </c>
      <c r="AR26" s="20" t="str">
        <f t="shared" ca="1" si="60"/>
        <v>-</v>
      </c>
      <c r="AS26" s="20" t="str">
        <f t="shared" ca="1" si="60"/>
        <v>-</v>
      </c>
      <c r="AT26" s="20" t="str">
        <f t="shared" ca="1" si="60"/>
        <v>-</v>
      </c>
      <c r="AU26" s="20" t="str">
        <f t="shared" ca="1" si="60"/>
        <v>-</v>
      </c>
      <c r="AV26" s="20" t="str">
        <f t="shared" ca="1" si="60"/>
        <v>-</v>
      </c>
      <c r="AW26" s="20" t="str">
        <f t="shared" ca="1" si="60"/>
        <v>-</v>
      </c>
      <c r="AX26" s="20" t="str">
        <f t="shared" ca="1" si="60"/>
        <v>-</v>
      </c>
      <c r="AY26" s="20" t="str">
        <f t="shared" ca="1" si="60"/>
        <v>-</v>
      </c>
      <c r="AZ26" s="20" t="str">
        <f t="shared" ca="1" si="60"/>
        <v>-</v>
      </c>
      <c r="BA26" s="20" t="str">
        <f t="shared" ca="1" si="60"/>
        <v>-</v>
      </c>
      <c r="BD26" s="34" t="str">
        <f ca="1">IFERROR(SUMIFS('TRA balance'!E$5:E$40,'TRA balance'!$C$5:$C$40,Assumptions!$C26,'TRA balance'!$D$5:$D$40,Assumptions!$B26)*CY26*H26,"")</f>
        <v/>
      </c>
      <c r="BE26" s="34" t="str">
        <f ca="1">IFERROR(SUMIFS('TRA balance'!F$5:F$40,'TRA balance'!$C$5:$C$40,Assumptions!$C26,'TRA balance'!$D$5:$D$40,Assumptions!$B26)*CZ26*I26,"")</f>
        <v/>
      </c>
      <c r="BF26" s="34" t="str">
        <f ca="1">IFERROR(SUMIFS('TRA balance'!G$5:G$40,'TRA balance'!$C$5:$C$40,Assumptions!$C26,'TRA balance'!$D$5:$D$40,Assumptions!$B26)*DA26*J26,"")</f>
        <v/>
      </c>
      <c r="BG26" s="34" t="str">
        <f ca="1">IFERROR(SUMIFS('TRA balance'!H$5:H$40,'TRA balance'!$C$5:$C$40,Assumptions!$C26,'TRA balance'!$D$5:$D$40,Assumptions!$B26)*DB26*K26,"")</f>
        <v/>
      </c>
      <c r="BH26" s="34" t="str">
        <f ca="1">IFERROR(SUMIFS('TRA balance'!I$5:I$40,'TRA balance'!$C$5:$C$40,Assumptions!$C26,'TRA balance'!$D$5:$D$40,Assumptions!$B26)*DC26*L26,"")</f>
        <v/>
      </c>
      <c r="BI26" s="34" t="str">
        <f ca="1">IFERROR(SUMIFS('TRA balance'!J$5:J$40,'TRA balance'!$C$5:$C$40,Assumptions!$C26,'TRA balance'!$D$5:$D$40,Assumptions!$B26)*DD26*M26,"")</f>
        <v/>
      </c>
      <c r="BJ26" s="34" t="str">
        <f ca="1">IFERROR(SUMIFS('TRA balance'!K$5:K$40,'TRA balance'!$C$5:$C$40,Assumptions!$C26,'TRA balance'!$D$5:$D$40,Assumptions!$B26)*DE26*N26,"")</f>
        <v/>
      </c>
      <c r="BK26" s="34" t="str">
        <f ca="1">IFERROR(SUMIFS('TRA balance'!L$5:L$40,'TRA balance'!$C$5:$C$40,Assumptions!$C26,'TRA balance'!$D$5:$D$40,Assumptions!$B26)*DF26*O26,"")</f>
        <v/>
      </c>
      <c r="BL26" s="34" t="str">
        <f ca="1">IFERROR(SUMIFS('TRA balance'!M$5:M$40,'TRA balance'!$C$5:$C$40,Assumptions!$C26,'TRA balance'!$D$5:$D$40,Assumptions!$B26)*DG26*P26,"")</f>
        <v/>
      </c>
      <c r="BM26" s="34" t="str">
        <f ca="1">IFERROR(SUMIFS('TRA balance'!N$5:N$40,'TRA balance'!$C$5:$C$40,Assumptions!$C26,'TRA balance'!$D$5:$D$40,Assumptions!$B26)*DH26*Q26,"")</f>
        <v/>
      </c>
      <c r="BN26" s="34" t="str">
        <f ca="1">IFERROR(SUMIFS('TRA balance'!O$5:O$40,'TRA balance'!$C$5:$C$40,Assumptions!$C26,'TRA balance'!$D$5:$D$40,Assumptions!$B26)*DI26*R26,"")</f>
        <v/>
      </c>
      <c r="BO26" s="34" t="str">
        <f ca="1">IFERROR(SUMIFS('TRA balance'!P$5:P$40,'TRA balance'!$C$5:$C$40,Assumptions!$C26,'TRA balance'!$D$5:$D$40,Assumptions!$B26)*DJ26*S26,"")</f>
        <v/>
      </c>
      <c r="BP26" s="34" t="str">
        <f ca="1">IFERROR(SUMIFS('TRA balance'!Q$5:Q$40,'TRA balance'!$C$5:$C$40,Assumptions!$C26,'TRA balance'!$D$5:$D$40,Assumptions!$B26)*DK26*T26,"")</f>
        <v/>
      </c>
      <c r="BQ26" s="34" t="str">
        <f ca="1">IFERROR(SUMIFS('TRA balance'!R$5:R$40,'TRA balance'!$C$5:$C$40,Assumptions!$C26,'TRA balance'!$D$5:$D$40,Assumptions!$B26)*DL26*U26,"")</f>
        <v/>
      </c>
      <c r="BR26" s="34" t="str">
        <f ca="1">IFERROR(SUMIFS('TRA balance'!S$5:S$40,'TRA balance'!$C$5:$C$40,Assumptions!$C26,'TRA balance'!$D$5:$D$40,Assumptions!$B26)*DM26*V26,"")</f>
        <v/>
      </c>
      <c r="BS26" s="34" t="str">
        <f ca="1">IFERROR(SUMIFS('TRA balance'!T$5:T$40,'TRA balance'!$C$5:$C$40,Assumptions!$C26,'TRA balance'!$D$5:$D$40,Assumptions!$B26)*DN26*W26,"")</f>
        <v/>
      </c>
      <c r="BT26" s="34" t="str">
        <f ca="1">IFERROR(SUMIFS('TRA balance'!U$5:U$40,'TRA balance'!$C$5:$C$40,Assumptions!$C26,'TRA balance'!$D$5:$D$40,Assumptions!$B26)*DO26*X26,"")</f>
        <v/>
      </c>
      <c r="BU26" s="34" t="str">
        <f ca="1">IFERROR(SUMIFS('TRA balance'!V$5:V$40,'TRA balance'!$C$5:$C$40,Assumptions!$C26,'TRA balance'!$D$5:$D$40,Assumptions!$B26)*DP26*Y26,"")</f>
        <v/>
      </c>
      <c r="BV26" s="34" t="str">
        <f ca="1">IFERROR(SUMIFS('TRA balance'!W$5:W$40,'TRA balance'!$C$5:$C$40,Assumptions!$C26,'TRA balance'!$D$5:$D$40,Assumptions!$B26)*DQ26*Z26,"")</f>
        <v/>
      </c>
      <c r="BW26" s="34" t="str">
        <f ca="1">IFERROR(SUMIFS('TRA balance'!X$5:X$40,'TRA balance'!$C$5:$C$40,Assumptions!$C26,'TRA balance'!$D$5:$D$40,Assumptions!$B26)*DR26*AA26,"")</f>
        <v/>
      </c>
      <c r="BX26" s="34" t="str">
        <f ca="1">IFERROR(SUMIFS('TRA balance'!Y$5:Y$40,'TRA balance'!$C$5:$C$40,Assumptions!$C26,'TRA balance'!$D$5:$D$40,Assumptions!$B26)*DS26*AB26,"")</f>
        <v/>
      </c>
      <c r="BY26" s="34" t="str">
        <f ca="1">IFERROR(SUMIFS('TRA balance'!Z$5:Z$40,'TRA balance'!$C$5:$C$40,Assumptions!$C26,'TRA balance'!$D$5:$D$40,Assumptions!$B26)*DT26*AC26,"")</f>
        <v/>
      </c>
      <c r="BZ26" s="34" t="str">
        <f ca="1">IFERROR(SUMIFS('TRA balance'!AA$5:AA$40,'TRA balance'!$C$5:$C$40,Assumptions!$C26,'TRA balance'!$D$5:$D$40,Assumptions!$B26)*DU26*AD26,"")</f>
        <v/>
      </c>
      <c r="CA26" s="34" t="str">
        <f ca="1">IFERROR(SUMIFS('TRA balance'!AB$5:AB$40,'TRA balance'!$C$5:$C$40,Assumptions!$C26,'TRA balance'!$D$5:$D$40,Assumptions!$B26)*DV26*AE26,"")</f>
        <v/>
      </c>
      <c r="CB26" s="34" t="str">
        <f ca="1">IFERROR(SUMIFS('TRA balance'!AC$5:AC$40,'TRA balance'!$C$5:$C$40,Assumptions!$C26,'TRA balance'!$D$5:$D$40,Assumptions!$B26)*DW26*AF26,"")</f>
        <v/>
      </c>
      <c r="CC26" s="34" t="str">
        <f ca="1">IFERROR(SUMIFS('TRA balance'!AD$5:AD$40,'TRA balance'!$C$5:$C$40,Assumptions!$C26,'TRA balance'!$D$5:$D$40,Assumptions!$B26)*DX26*AG26,"")</f>
        <v/>
      </c>
      <c r="CD26" s="34" t="str">
        <f ca="1">IFERROR(SUMIFS('TRA balance'!AE$5:AE$40,'TRA balance'!$C$5:$C$40,Assumptions!$C26,'TRA balance'!$D$5:$D$40,Assumptions!$B26)*DY26*AH26,"")</f>
        <v/>
      </c>
      <c r="CE26" s="34" t="str">
        <f ca="1">IFERROR(SUMIFS('TRA balance'!AF$5:AF$40,'TRA balance'!$C$5:$C$40,Assumptions!$C26,'TRA balance'!$D$5:$D$40,Assumptions!$B26)*DZ26*AI26,"")</f>
        <v/>
      </c>
      <c r="CF26" s="34" t="str">
        <f ca="1">IFERROR(SUMIFS('TRA balance'!AG$5:AG$40,'TRA balance'!$C$5:$C$40,Assumptions!$C26,'TRA balance'!$D$5:$D$40,Assumptions!$B26)*EA26*AJ26,"")</f>
        <v/>
      </c>
      <c r="CG26" s="34" t="str">
        <f ca="1">IFERROR(SUMIFS('TRA balance'!AH$5:AH$40,'TRA balance'!$C$5:$C$40,Assumptions!$C26,'TRA balance'!$D$5:$D$40,Assumptions!$B26)*EB26*AK26,"")</f>
        <v/>
      </c>
      <c r="CH26" s="34" t="str">
        <f ca="1">IFERROR(SUMIFS('TRA balance'!AI$5:AI$40,'TRA balance'!$C$5:$C$40,Assumptions!$C26,'TRA balance'!$D$5:$D$40,Assumptions!$B26)*EC26*AL26,"")</f>
        <v/>
      </c>
      <c r="CI26" s="34" t="str">
        <f ca="1">IFERROR(SUMIFS('TRA balance'!AJ$5:AJ$40,'TRA balance'!$C$5:$C$40,Assumptions!$C26,'TRA balance'!$D$5:$D$40,Assumptions!$B26)*ED26*AM26,"")</f>
        <v/>
      </c>
      <c r="CJ26" s="34" t="str">
        <f ca="1">IFERROR(SUMIFS('TRA balance'!AK$5:AK$40,'TRA balance'!$C$5:$C$40,Assumptions!$C26,'TRA balance'!$D$5:$D$40,Assumptions!$B26)*EE26*AN26,"")</f>
        <v/>
      </c>
      <c r="CK26" s="34" t="str">
        <f ca="1">IFERROR(SUMIFS('TRA balance'!AL$5:AL$40,'TRA balance'!$C$5:$C$40,Assumptions!$C26,'TRA balance'!$D$5:$D$40,Assumptions!$B26)*EF26*AO26,"")</f>
        <v/>
      </c>
      <c r="CL26" s="34" t="str">
        <f ca="1">IFERROR(SUMIFS('TRA balance'!AM$5:AM$40,'TRA balance'!$C$5:$C$40,Assumptions!$C26,'TRA balance'!$D$5:$D$40,Assumptions!$B26)*EG26*AP26,"")</f>
        <v/>
      </c>
      <c r="CM26" s="34" t="str">
        <f ca="1">IFERROR(SUMIFS('TRA balance'!AN$5:AN$40,'TRA balance'!$C$5:$C$40,Assumptions!$C26,'TRA balance'!$D$5:$D$40,Assumptions!$B26)*EH26*AQ26,"")</f>
        <v/>
      </c>
      <c r="CN26" s="34" t="str">
        <f ca="1">IFERROR(SUMIFS('TRA balance'!AO$5:AO$40,'TRA balance'!$C$5:$C$40,Assumptions!$C26,'TRA balance'!$D$5:$D$40,Assumptions!$B26)*EI26*AR26,"")</f>
        <v/>
      </c>
      <c r="CO26" s="34" t="str">
        <f ca="1">IFERROR(SUMIFS('TRA balance'!AP$5:AP$40,'TRA balance'!$C$5:$C$40,Assumptions!$C26,'TRA balance'!$D$5:$D$40,Assumptions!$B26)*EJ26*AS26,"")</f>
        <v/>
      </c>
      <c r="CP26" s="34" t="str">
        <f ca="1">IFERROR(SUMIFS('TRA balance'!AQ$5:AQ$40,'TRA balance'!$C$5:$C$40,Assumptions!$C26,'TRA balance'!$D$5:$D$40,Assumptions!$B26)*EK26*AT26,"")</f>
        <v/>
      </c>
      <c r="CQ26" s="34" t="str">
        <f ca="1">IFERROR(SUMIFS('TRA balance'!AR$5:AR$40,'TRA balance'!$C$5:$C$40,Assumptions!$C26,'TRA balance'!$D$5:$D$40,Assumptions!$B26)*EL26*AU26,"")</f>
        <v/>
      </c>
      <c r="CR26" s="34" t="str">
        <f ca="1">IFERROR(SUMIFS('TRA balance'!AS$5:AS$40,'TRA balance'!$C$5:$C$40,Assumptions!$C26,'TRA balance'!$D$5:$D$40,Assumptions!$B26)*EM26*AV26,"")</f>
        <v/>
      </c>
      <c r="CS26" s="34" t="str">
        <f ca="1">IFERROR(SUMIFS('TRA balance'!AT$5:AT$40,'TRA balance'!$C$5:$C$40,Assumptions!$C26,'TRA balance'!$D$5:$D$40,Assumptions!$B26)*EN26*AW26,"")</f>
        <v/>
      </c>
      <c r="CT26" s="34" t="str">
        <f ca="1">IFERROR(SUMIFS('TRA balance'!AU$5:AU$40,'TRA balance'!$C$5:$C$40,Assumptions!$C26,'TRA balance'!$D$5:$D$40,Assumptions!$B26)*EO26*AX26,"")</f>
        <v/>
      </c>
      <c r="CU26" s="34" t="str">
        <f ca="1">IFERROR(SUMIFS('TRA balance'!AV$5:AV$40,'TRA balance'!$C$5:$C$40,Assumptions!$C26,'TRA balance'!$D$5:$D$40,Assumptions!$B26)*EP26*AY26,"")</f>
        <v/>
      </c>
      <c r="CV26" s="34" t="str">
        <f ca="1">IFERROR(SUMIFS('TRA balance'!AW$5:AW$40,'TRA balance'!$C$5:$C$40,Assumptions!$C26,'TRA balance'!$D$5:$D$40,Assumptions!$B26)*EQ26*AZ26,"")</f>
        <v/>
      </c>
      <c r="CW26" s="34" t="str">
        <f ca="1">IFERROR(SUMIFS('TRA balance'!AX$5:AX$40,'TRA balance'!$C$5:$C$40,Assumptions!$C26,'TRA balance'!$D$5:$D$40,Assumptions!$B26)*ER26*BA26,"")</f>
        <v/>
      </c>
      <c r="CY26" s="33">
        <f t="shared" si="2"/>
        <v>1</v>
      </c>
      <c r="CZ26" s="33">
        <f t="shared" si="3"/>
        <v>1</v>
      </c>
      <c r="DA26" s="33">
        <f t="shared" si="4"/>
        <v>1</v>
      </c>
      <c r="DB26" s="33">
        <f t="shared" si="5"/>
        <v>1</v>
      </c>
      <c r="DC26" s="33">
        <f t="shared" si="6"/>
        <v>1</v>
      </c>
      <c r="DD26" s="33">
        <f t="shared" si="7"/>
        <v>1</v>
      </c>
      <c r="DE26" s="33">
        <f t="shared" si="8"/>
        <v>1</v>
      </c>
      <c r="DF26" s="33">
        <f t="shared" si="9"/>
        <v>1</v>
      </c>
      <c r="DG26" s="33">
        <f t="shared" si="10"/>
        <v>1</v>
      </c>
      <c r="DH26" s="33">
        <f t="shared" si="11"/>
        <v>1</v>
      </c>
      <c r="DI26" s="33">
        <f t="shared" si="12"/>
        <v>1</v>
      </c>
      <c r="DJ26" s="33">
        <f t="shared" si="13"/>
        <v>1</v>
      </c>
      <c r="DK26" s="33">
        <f t="shared" si="14"/>
        <v>1</v>
      </c>
      <c r="DL26" s="33">
        <f t="shared" si="15"/>
        <v>1</v>
      </c>
      <c r="DM26" s="33">
        <f t="shared" si="16"/>
        <v>1</v>
      </c>
      <c r="DN26" s="33">
        <f t="shared" si="17"/>
        <v>1</v>
      </c>
      <c r="DO26" s="33">
        <f t="shared" si="18"/>
        <v>1</v>
      </c>
      <c r="DP26" s="33">
        <f t="shared" si="19"/>
        <v>1</v>
      </c>
      <c r="DQ26" s="33">
        <f t="shared" si="20"/>
        <v>1</v>
      </c>
      <c r="DR26" s="33">
        <f t="shared" si="21"/>
        <v>1</v>
      </c>
      <c r="DS26" s="33">
        <f t="shared" si="22"/>
        <v>1</v>
      </c>
      <c r="DT26" s="33">
        <f t="shared" si="23"/>
        <v>1</v>
      </c>
      <c r="DU26" s="33">
        <f t="shared" si="24"/>
        <v>1</v>
      </c>
      <c r="DV26" s="33">
        <f t="shared" si="25"/>
        <v>1</v>
      </c>
      <c r="DW26" s="33">
        <f t="shared" si="26"/>
        <v>1</v>
      </c>
      <c r="DX26" s="33">
        <f t="shared" si="27"/>
        <v>1</v>
      </c>
      <c r="DY26" s="33">
        <f t="shared" si="28"/>
        <v>1</v>
      </c>
      <c r="DZ26" s="33">
        <f t="shared" si="29"/>
        <v>1</v>
      </c>
      <c r="EA26" s="33">
        <f t="shared" si="30"/>
        <v>1</v>
      </c>
      <c r="EB26" s="33">
        <f t="shared" si="31"/>
        <v>1</v>
      </c>
      <c r="EC26" s="33">
        <f t="shared" si="32"/>
        <v>1</v>
      </c>
      <c r="ED26" s="33">
        <f t="shared" si="33"/>
        <v>1</v>
      </c>
      <c r="EE26" s="33">
        <f t="shared" si="34"/>
        <v>1</v>
      </c>
      <c r="EF26" s="33">
        <f t="shared" si="35"/>
        <v>1</v>
      </c>
      <c r="EG26" s="33">
        <f t="shared" si="36"/>
        <v>1</v>
      </c>
      <c r="EH26" s="33">
        <f t="shared" si="37"/>
        <v>1</v>
      </c>
      <c r="EI26" s="33">
        <f t="shared" si="38"/>
        <v>1</v>
      </c>
      <c r="EJ26" s="33">
        <f t="shared" si="39"/>
        <v>1</v>
      </c>
      <c r="EK26" s="33">
        <f t="shared" si="40"/>
        <v>1</v>
      </c>
      <c r="EL26" s="33">
        <f t="shared" si="41"/>
        <v>1</v>
      </c>
      <c r="EM26" s="33">
        <f t="shared" si="42"/>
        <v>1</v>
      </c>
      <c r="EN26" s="33">
        <f t="shared" si="43"/>
        <v>1</v>
      </c>
      <c r="EO26" s="33">
        <f t="shared" si="44"/>
        <v>1</v>
      </c>
      <c r="EP26" s="33">
        <f t="shared" si="45"/>
        <v>1</v>
      </c>
      <c r="EQ26" s="33">
        <f t="shared" si="46"/>
        <v>1</v>
      </c>
      <c r="ER26" s="33">
        <f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14">
        <v>2</v>
      </c>
      <c r="D27" s="15" t="s">
        <v>16</v>
      </c>
      <c r="E27" s="15" t="s">
        <v>70</v>
      </c>
      <c r="F27" s="16" t="str">
        <f>F26</f>
        <v>Gasoline</v>
      </c>
      <c r="G27" s="14"/>
      <c r="H27" s="21">
        <f ca="1">1-H21</f>
        <v>0</v>
      </c>
      <c r="I27" s="21">
        <f t="shared" ref="I27:BA27" ca="1" si="61">1-I21</f>
        <v>0</v>
      </c>
      <c r="J27" s="21">
        <f t="shared" ca="1" si="61"/>
        <v>9.9999999999999978E-2</v>
      </c>
      <c r="K27" s="21">
        <f t="shared" ca="1" si="61"/>
        <v>3.0000000000000027E-2</v>
      </c>
      <c r="L27" s="21">
        <f t="shared" ca="1" si="61"/>
        <v>0.30000000000000004</v>
      </c>
      <c r="M27" s="21">
        <f t="shared" ca="1" si="61"/>
        <v>3.0000000000000027E-2</v>
      </c>
      <c r="N27" s="21">
        <f t="shared" ca="1" si="61"/>
        <v>9.9999999999999978E-2</v>
      </c>
      <c r="O27" s="21">
        <f t="shared" ca="1" si="61"/>
        <v>9.9999999999999978E-2</v>
      </c>
      <c r="P27" s="21">
        <f t="shared" ca="1" si="61"/>
        <v>9.9999999999999978E-2</v>
      </c>
      <c r="Q27" s="21">
        <f t="shared" ca="1" si="61"/>
        <v>9.9999999999999978E-2</v>
      </c>
      <c r="R27" s="21">
        <f t="shared" ca="1" si="61"/>
        <v>3.0000000000000027E-2</v>
      </c>
      <c r="S27" s="21">
        <f t="shared" ca="1" si="61"/>
        <v>3.0000000000000027E-2</v>
      </c>
      <c r="T27" s="21">
        <f t="shared" ca="1" si="61"/>
        <v>3.0000000000000027E-2</v>
      </c>
      <c r="U27" s="21">
        <f t="shared" ca="1" si="61"/>
        <v>9.9999999999999978E-2</v>
      </c>
      <c r="V27" s="21">
        <f t="shared" ca="1" si="61"/>
        <v>3.0000000000000027E-2</v>
      </c>
      <c r="W27" s="21">
        <f t="shared" ca="1" si="61"/>
        <v>0</v>
      </c>
      <c r="X27" s="21">
        <f t="shared" ca="1" si="61"/>
        <v>3.0000000000000027E-2</v>
      </c>
      <c r="Y27" s="21">
        <f t="shared" ca="1" si="61"/>
        <v>3.0000000000000027E-2</v>
      </c>
      <c r="Z27" s="21">
        <f t="shared" ca="1" si="61"/>
        <v>9.9999999999999978E-2</v>
      </c>
      <c r="AA27" s="21">
        <f t="shared" ca="1" si="61"/>
        <v>9.9999999999999978E-2</v>
      </c>
      <c r="AB27" s="21">
        <f t="shared" ca="1" si="61"/>
        <v>0.30000000000000004</v>
      </c>
      <c r="AC27" s="21">
        <f t="shared" ca="1" si="61"/>
        <v>0.19999999999999996</v>
      </c>
      <c r="AD27" s="21">
        <f t="shared" ca="1" si="61"/>
        <v>3.0000000000000027E-2</v>
      </c>
      <c r="AE27" s="21">
        <f t="shared" ca="1" si="61"/>
        <v>9.9999999999999978E-2</v>
      </c>
      <c r="AF27" s="21">
        <f t="shared" ca="1" si="61"/>
        <v>0</v>
      </c>
      <c r="AG27" s="21">
        <f t="shared" ca="1" si="61"/>
        <v>0.30000000000000004</v>
      </c>
      <c r="AH27" s="21">
        <f t="shared" ca="1" si="61"/>
        <v>0.30000000000000004</v>
      </c>
      <c r="AI27" s="21">
        <f t="shared" ca="1" si="61"/>
        <v>0</v>
      </c>
      <c r="AJ27" s="21">
        <f t="shared" ca="1" si="61"/>
        <v>3.0000000000000027E-2</v>
      </c>
      <c r="AK27" s="21">
        <f t="shared" ca="1" si="61"/>
        <v>3.0000000000000027E-2</v>
      </c>
      <c r="AL27" s="21">
        <f t="shared" ca="1" si="61"/>
        <v>3.0000000000000027E-2</v>
      </c>
      <c r="AM27" s="21">
        <f t="shared" ca="1" si="61"/>
        <v>0.30000000000000004</v>
      </c>
      <c r="AN27" s="21">
        <f t="shared" ca="1" si="61"/>
        <v>3.0000000000000027E-2</v>
      </c>
      <c r="AO27" s="21">
        <f t="shared" ca="1" si="61"/>
        <v>0.30000000000000004</v>
      </c>
      <c r="AP27" s="21">
        <f t="shared" ca="1" si="61"/>
        <v>9.9999999999999978E-2</v>
      </c>
      <c r="AQ27" s="21">
        <f t="shared" ca="1" si="61"/>
        <v>0.19999999999999996</v>
      </c>
      <c r="AR27" s="21">
        <f t="shared" ca="1" si="61"/>
        <v>0.19999999999999996</v>
      </c>
      <c r="AS27" s="21">
        <f t="shared" ca="1" si="61"/>
        <v>0.19999999999999996</v>
      </c>
      <c r="AT27" s="21">
        <f t="shared" ca="1" si="61"/>
        <v>0.19999999999999996</v>
      </c>
      <c r="AU27" s="21">
        <f t="shared" ca="1" si="61"/>
        <v>0.19999999999999996</v>
      </c>
      <c r="AV27" s="21">
        <f t="shared" ca="1" si="61"/>
        <v>0.19999999999999996</v>
      </c>
      <c r="AW27" s="21">
        <f t="shared" ca="1" si="61"/>
        <v>0.19999999999999996</v>
      </c>
      <c r="AX27" s="21">
        <f t="shared" ca="1" si="61"/>
        <v>0.19999999999999996</v>
      </c>
      <c r="AY27" s="21">
        <f t="shared" ca="1" si="61"/>
        <v>0.19999999999999996</v>
      </c>
      <c r="AZ27" s="21">
        <f t="shared" ca="1" si="61"/>
        <v>0.19999999999999996</v>
      </c>
      <c r="BA27" s="21">
        <f t="shared" ca="1" si="61"/>
        <v>0.19999999999999996</v>
      </c>
      <c r="BD27" s="34">
        <f ca="1">IFERROR(SUMIFS('TRA balance'!E$5:E$40,'TRA balance'!$C$5:$C$40,Assumptions!$C27,'TRA balance'!$D$5:$D$40,Assumptions!$B27)*CY27*H27,"")</f>
        <v>0</v>
      </c>
      <c r="BE27" s="34">
        <f ca="1">IFERROR(SUMIFS('TRA balance'!F$5:F$40,'TRA balance'!$C$5:$C$40,Assumptions!$C27,'TRA balance'!$D$5:$D$40,Assumptions!$B27)*CZ27*I27,"")</f>
        <v>0</v>
      </c>
      <c r="BF27" s="34">
        <f ca="1">IFERROR(SUMIFS('TRA balance'!G$5:G$40,'TRA balance'!$C$5:$C$40,Assumptions!$C27,'TRA balance'!$D$5:$D$40,Assumptions!$B27)*DA27*J27,"")</f>
        <v>0</v>
      </c>
      <c r="BG27" s="34">
        <f ca="1">IFERROR(SUMIFS('TRA balance'!H$5:H$40,'TRA balance'!$C$5:$C$40,Assumptions!$C27,'TRA balance'!$D$5:$D$40,Assumptions!$B27)*DB27*K27,"")</f>
        <v>0</v>
      </c>
      <c r="BH27" s="34">
        <f ca="1">IFERROR(SUMIFS('TRA balance'!I$5:I$40,'TRA balance'!$C$5:$C$40,Assumptions!$C27,'TRA balance'!$D$5:$D$40,Assumptions!$B27)*DC27*L27,"")</f>
        <v>0</v>
      </c>
      <c r="BI27" s="34">
        <f ca="1">IFERROR(SUMIFS('TRA balance'!J$5:J$40,'TRA balance'!$C$5:$C$40,Assumptions!$C27,'TRA balance'!$D$5:$D$40,Assumptions!$B27)*DD27*M27,"")</f>
        <v>0</v>
      </c>
      <c r="BJ27" s="34">
        <f ca="1">IFERROR(SUMIFS('TRA balance'!K$5:K$40,'TRA balance'!$C$5:$C$40,Assumptions!$C27,'TRA balance'!$D$5:$D$40,Assumptions!$B27)*DE27*N27,"")</f>
        <v>0</v>
      </c>
      <c r="BK27" s="34">
        <f ca="1">IFERROR(SUMIFS('TRA balance'!L$5:L$40,'TRA balance'!$C$5:$C$40,Assumptions!$C27,'TRA balance'!$D$5:$D$40,Assumptions!$B27)*DF27*O27,"")</f>
        <v>0</v>
      </c>
      <c r="BL27" s="34">
        <f ca="1">IFERROR(SUMIFS('TRA balance'!M$5:M$40,'TRA balance'!$C$5:$C$40,Assumptions!$C27,'TRA balance'!$D$5:$D$40,Assumptions!$B27)*DG27*P27,"")</f>
        <v>0</v>
      </c>
      <c r="BM27" s="34">
        <f ca="1">IFERROR(SUMIFS('TRA balance'!N$5:N$40,'TRA balance'!$C$5:$C$40,Assumptions!$C27,'TRA balance'!$D$5:$D$40,Assumptions!$B27)*DH27*Q27,"")</f>
        <v>0</v>
      </c>
      <c r="BN27" s="34">
        <f ca="1">IFERROR(SUMIFS('TRA balance'!O$5:O$40,'TRA balance'!$C$5:$C$40,Assumptions!$C27,'TRA balance'!$D$5:$D$40,Assumptions!$B27)*DI27*R27,"")</f>
        <v>0</v>
      </c>
      <c r="BO27" s="34">
        <f ca="1">IFERROR(SUMIFS('TRA balance'!P$5:P$40,'TRA balance'!$C$5:$C$40,Assumptions!$C27,'TRA balance'!$D$5:$D$40,Assumptions!$B27)*DJ27*S27,"")</f>
        <v>0</v>
      </c>
      <c r="BP27" s="34">
        <f ca="1">IFERROR(SUMIFS('TRA balance'!Q$5:Q$40,'TRA balance'!$C$5:$C$40,Assumptions!$C27,'TRA balance'!$D$5:$D$40,Assumptions!$B27)*DK27*T27,"")</f>
        <v>0</v>
      </c>
      <c r="BQ27" s="34">
        <f ca="1">IFERROR(SUMIFS('TRA balance'!R$5:R$40,'TRA balance'!$C$5:$C$40,Assumptions!$C27,'TRA balance'!$D$5:$D$40,Assumptions!$B27)*DL27*U27,"")</f>
        <v>0</v>
      </c>
      <c r="BR27" s="34">
        <f ca="1">IFERROR(SUMIFS('TRA balance'!S$5:S$40,'TRA balance'!$C$5:$C$40,Assumptions!$C27,'TRA balance'!$D$5:$D$40,Assumptions!$B27)*DM27*V27,"")</f>
        <v>0</v>
      </c>
      <c r="BS27" s="34">
        <f ca="1">IFERROR(SUMIFS('TRA balance'!T$5:T$40,'TRA balance'!$C$5:$C$40,Assumptions!$C27,'TRA balance'!$D$5:$D$40,Assumptions!$B27)*DN27*W27,"")</f>
        <v>0</v>
      </c>
      <c r="BT27" s="34">
        <f ca="1">IFERROR(SUMIFS('TRA balance'!U$5:U$40,'TRA balance'!$C$5:$C$40,Assumptions!$C27,'TRA balance'!$D$5:$D$40,Assumptions!$B27)*DO27*X27,"")</f>
        <v>0</v>
      </c>
      <c r="BU27" s="34">
        <f ca="1">IFERROR(SUMIFS('TRA balance'!V$5:V$40,'TRA balance'!$C$5:$C$40,Assumptions!$C27,'TRA balance'!$D$5:$D$40,Assumptions!$B27)*DP27*Y27,"")</f>
        <v>0</v>
      </c>
      <c r="BV27" s="34">
        <f ca="1">IFERROR(SUMIFS('TRA balance'!W$5:W$40,'TRA balance'!$C$5:$C$40,Assumptions!$C27,'TRA balance'!$D$5:$D$40,Assumptions!$B27)*DQ27*Z27,"")</f>
        <v>0</v>
      </c>
      <c r="BW27" s="34">
        <f ca="1">IFERROR(SUMIFS('TRA balance'!X$5:X$40,'TRA balance'!$C$5:$C$40,Assumptions!$C27,'TRA balance'!$D$5:$D$40,Assumptions!$B27)*DR27*AA27,"")</f>
        <v>0</v>
      </c>
      <c r="BX27" s="34">
        <f ca="1">IFERROR(SUMIFS('TRA balance'!Y$5:Y$40,'TRA balance'!$C$5:$C$40,Assumptions!$C27,'TRA balance'!$D$5:$D$40,Assumptions!$B27)*DS27*AB27,"")</f>
        <v>0</v>
      </c>
      <c r="BY27" s="34">
        <f ca="1">IFERROR(SUMIFS('TRA balance'!Z$5:Z$40,'TRA balance'!$C$5:$C$40,Assumptions!$C27,'TRA balance'!$D$5:$D$40,Assumptions!$B27)*DT27*AC27,"")</f>
        <v>0</v>
      </c>
      <c r="BZ27" s="34">
        <f ca="1">IFERROR(SUMIFS('TRA balance'!AA$5:AA$40,'TRA balance'!$C$5:$C$40,Assumptions!$C27,'TRA balance'!$D$5:$D$40,Assumptions!$B27)*DU27*AD27,"")</f>
        <v>0</v>
      </c>
      <c r="CA27" s="34">
        <f ca="1">IFERROR(SUMIFS('TRA balance'!AB$5:AB$40,'TRA balance'!$C$5:$C$40,Assumptions!$C27,'TRA balance'!$D$5:$D$40,Assumptions!$B27)*DV27*AE27,"")</f>
        <v>0</v>
      </c>
      <c r="CB27" s="34">
        <f ca="1">IFERROR(SUMIFS('TRA balance'!AC$5:AC$40,'TRA balance'!$C$5:$C$40,Assumptions!$C27,'TRA balance'!$D$5:$D$40,Assumptions!$B27)*DW27*AF27,"")</f>
        <v>0</v>
      </c>
      <c r="CC27" s="34">
        <f ca="1">IFERROR(SUMIFS('TRA balance'!AD$5:AD$40,'TRA balance'!$C$5:$C$40,Assumptions!$C27,'TRA balance'!$D$5:$D$40,Assumptions!$B27)*DX27*AG27,"")</f>
        <v>0</v>
      </c>
      <c r="CD27" s="34">
        <f ca="1">IFERROR(SUMIFS('TRA balance'!AE$5:AE$40,'TRA balance'!$C$5:$C$40,Assumptions!$C27,'TRA balance'!$D$5:$D$40,Assumptions!$B27)*DY27*AH27,"")</f>
        <v>0</v>
      </c>
      <c r="CE27" s="34">
        <f ca="1">IFERROR(SUMIFS('TRA balance'!AF$5:AF$40,'TRA balance'!$C$5:$C$40,Assumptions!$C27,'TRA balance'!$D$5:$D$40,Assumptions!$B27)*DZ27*AI27,"")</f>
        <v>0</v>
      </c>
      <c r="CF27" s="34">
        <f ca="1">IFERROR(SUMIFS('TRA balance'!AG$5:AG$40,'TRA balance'!$C$5:$C$40,Assumptions!$C27,'TRA balance'!$D$5:$D$40,Assumptions!$B27)*EA27*AJ27,"")</f>
        <v>0</v>
      </c>
      <c r="CG27" s="34">
        <f ca="1">IFERROR(SUMIFS('TRA balance'!AH$5:AH$40,'TRA balance'!$C$5:$C$40,Assumptions!$C27,'TRA balance'!$D$5:$D$40,Assumptions!$B27)*EB27*AK27,"")</f>
        <v>0</v>
      </c>
      <c r="CH27" s="34">
        <f ca="1">IFERROR(SUMIFS('TRA balance'!AI$5:AI$40,'TRA balance'!$C$5:$C$40,Assumptions!$C27,'TRA balance'!$D$5:$D$40,Assumptions!$B27)*EC27*AL27,"")</f>
        <v>0</v>
      </c>
      <c r="CI27" s="34">
        <f ca="1">IFERROR(SUMIFS('TRA balance'!AJ$5:AJ$40,'TRA balance'!$C$5:$C$40,Assumptions!$C27,'TRA balance'!$D$5:$D$40,Assumptions!$B27)*ED27*AM27,"")</f>
        <v>0</v>
      </c>
      <c r="CJ27" s="34">
        <f ca="1">IFERROR(SUMIFS('TRA balance'!AK$5:AK$40,'TRA balance'!$C$5:$C$40,Assumptions!$C27,'TRA balance'!$D$5:$D$40,Assumptions!$B27)*EE27*AN27,"")</f>
        <v>0</v>
      </c>
      <c r="CK27" s="34">
        <f ca="1">IFERROR(SUMIFS('TRA balance'!AL$5:AL$40,'TRA balance'!$C$5:$C$40,Assumptions!$C27,'TRA balance'!$D$5:$D$40,Assumptions!$B27)*EF27*AO27,"")</f>
        <v>0</v>
      </c>
      <c r="CL27" s="34">
        <f ca="1">IFERROR(SUMIFS('TRA balance'!AM$5:AM$40,'TRA balance'!$C$5:$C$40,Assumptions!$C27,'TRA balance'!$D$5:$D$40,Assumptions!$B27)*EG27*AP27,"")</f>
        <v>0</v>
      </c>
      <c r="CM27" s="34">
        <f ca="1">IFERROR(SUMIFS('TRA balance'!AN$5:AN$40,'TRA balance'!$C$5:$C$40,Assumptions!$C27,'TRA balance'!$D$5:$D$40,Assumptions!$B27)*EH27*AQ27,"")</f>
        <v>0</v>
      </c>
      <c r="CN27" s="34">
        <f ca="1">IFERROR(SUMIFS('TRA balance'!AO$5:AO$40,'TRA balance'!$C$5:$C$40,Assumptions!$C27,'TRA balance'!$D$5:$D$40,Assumptions!$B27)*EI27*AR27,"")</f>
        <v>0</v>
      </c>
      <c r="CO27" s="34">
        <f ca="1">IFERROR(SUMIFS('TRA balance'!AP$5:AP$40,'TRA balance'!$C$5:$C$40,Assumptions!$C27,'TRA balance'!$D$5:$D$40,Assumptions!$B27)*EJ27*AS27,"")</f>
        <v>0</v>
      </c>
      <c r="CP27" s="34">
        <f ca="1">IFERROR(SUMIFS('TRA balance'!AQ$5:AQ$40,'TRA balance'!$C$5:$C$40,Assumptions!$C27,'TRA balance'!$D$5:$D$40,Assumptions!$B27)*EK27*AT27,"")</f>
        <v>0</v>
      </c>
      <c r="CQ27" s="34">
        <f ca="1">IFERROR(SUMIFS('TRA balance'!AR$5:AR$40,'TRA balance'!$C$5:$C$40,Assumptions!$C27,'TRA balance'!$D$5:$D$40,Assumptions!$B27)*EL27*AU27,"")</f>
        <v>0</v>
      </c>
      <c r="CR27" s="34">
        <f ca="1">IFERROR(SUMIFS('TRA balance'!AS$5:AS$40,'TRA balance'!$C$5:$C$40,Assumptions!$C27,'TRA balance'!$D$5:$D$40,Assumptions!$B27)*EM27*AV27,"")</f>
        <v>0</v>
      </c>
      <c r="CS27" s="34">
        <f ca="1">IFERROR(SUMIFS('TRA balance'!AT$5:AT$40,'TRA balance'!$C$5:$C$40,Assumptions!$C27,'TRA balance'!$D$5:$D$40,Assumptions!$B27)*EN27*AW27,"")</f>
        <v>0</v>
      </c>
      <c r="CT27" s="34">
        <f ca="1">IFERROR(SUMIFS('TRA balance'!AU$5:AU$40,'TRA balance'!$C$5:$C$40,Assumptions!$C27,'TRA balance'!$D$5:$D$40,Assumptions!$B27)*EO27*AX27,"")</f>
        <v>0</v>
      </c>
      <c r="CU27" s="34">
        <f ca="1">IFERROR(SUMIFS('TRA balance'!AV$5:AV$40,'TRA balance'!$C$5:$C$40,Assumptions!$C27,'TRA balance'!$D$5:$D$40,Assumptions!$B27)*EP27*AY27,"")</f>
        <v>0</v>
      </c>
      <c r="CV27" s="34">
        <f ca="1">IFERROR(SUMIFS('TRA balance'!AW$5:AW$40,'TRA balance'!$C$5:$C$40,Assumptions!$C27,'TRA balance'!$D$5:$D$40,Assumptions!$B27)*EQ27*AZ27,"")</f>
        <v>0</v>
      </c>
      <c r="CW27" s="34">
        <f ca="1">IFERROR(SUMIFS('TRA balance'!AX$5:AX$40,'TRA balance'!$C$5:$C$40,Assumptions!$C27,'TRA balance'!$D$5:$D$40,Assumptions!$B27)*ER27*BA27,"")</f>
        <v>0</v>
      </c>
      <c r="CY27" s="33">
        <f t="shared" si="2"/>
        <v>1</v>
      </c>
      <c r="CZ27" s="33">
        <f t="shared" si="3"/>
        <v>1</v>
      </c>
      <c r="DA27" s="33">
        <f t="shared" si="4"/>
        <v>1</v>
      </c>
      <c r="DB27" s="33">
        <f t="shared" si="5"/>
        <v>1</v>
      </c>
      <c r="DC27" s="33">
        <f t="shared" si="6"/>
        <v>1</v>
      </c>
      <c r="DD27" s="33">
        <f t="shared" si="7"/>
        <v>1</v>
      </c>
      <c r="DE27" s="33">
        <f t="shared" si="8"/>
        <v>1</v>
      </c>
      <c r="DF27" s="33">
        <f t="shared" si="9"/>
        <v>1</v>
      </c>
      <c r="DG27" s="33">
        <f t="shared" si="10"/>
        <v>1</v>
      </c>
      <c r="DH27" s="33">
        <f t="shared" si="11"/>
        <v>1</v>
      </c>
      <c r="DI27" s="33">
        <f t="shared" si="12"/>
        <v>1</v>
      </c>
      <c r="DJ27" s="33">
        <f t="shared" si="13"/>
        <v>1</v>
      </c>
      <c r="DK27" s="33">
        <f t="shared" si="14"/>
        <v>1</v>
      </c>
      <c r="DL27" s="33">
        <f t="shared" si="15"/>
        <v>1</v>
      </c>
      <c r="DM27" s="33">
        <f t="shared" si="16"/>
        <v>1</v>
      </c>
      <c r="DN27" s="33">
        <f t="shared" si="17"/>
        <v>1</v>
      </c>
      <c r="DO27" s="33">
        <f t="shared" si="18"/>
        <v>1</v>
      </c>
      <c r="DP27" s="33">
        <f t="shared" si="19"/>
        <v>1</v>
      </c>
      <c r="DQ27" s="33">
        <f t="shared" si="20"/>
        <v>1</v>
      </c>
      <c r="DR27" s="33">
        <f t="shared" si="21"/>
        <v>1</v>
      </c>
      <c r="DS27" s="33">
        <f t="shared" si="22"/>
        <v>1</v>
      </c>
      <c r="DT27" s="33">
        <f t="shared" si="23"/>
        <v>1</v>
      </c>
      <c r="DU27" s="33">
        <f t="shared" si="24"/>
        <v>1</v>
      </c>
      <c r="DV27" s="33">
        <f t="shared" si="25"/>
        <v>1</v>
      </c>
      <c r="DW27" s="33">
        <f t="shared" si="26"/>
        <v>1</v>
      </c>
      <c r="DX27" s="33">
        <f t="shared" si="27"/>
        <v>1</v>
      </c>
      <c r="DY27" s="33">
        <f t="shared" si="28"/>
        <v>1</v>
      </c>
      <c r="DZ27" s="33">
        <f t="shared" si="29"/>
        <v>1</v>
      </c>
      <c r="EA27" s="33">
        <f t="shared" si="30"/>
        <v>1</v>
      </c>
      <c r="EB27" s="33">
        <f t="shared" si="31"/>
        <v>1</v>
      </c>
      <c r="EC27" s="33">
        <f t="shared" si="32"/>
        <v>1</v>
      </c>
      <c r="ED27" s="33">
        <f t="shared" si="33"/>
        <v>1</v>
      </c>
      <c r="EE27" s="33">
        <f t="shared" si="34"/>
        <v>1</v>
      </c>
      <c r="EF27" s="33">
        <f t="shared" si="35"/>
        <v>1</v>
      </c>
      <c r="EG27" s="33">
        <f t="shared" si="36"/>
        <v>1</v>
      </c>
      <c r="EH27" s="33">
        <f t="shared" si="37"/>
        <v>1</v>
      </c>
      <c r="EI27" s="33">
        <f t="shared" si="38"/>
        <v>1</v>
      </c>
      <c r="EJ27" s="33">
        <f t="shared" si="39"/>
        <v>1</v>
      </c>
      <c r="EK27" s="33">
        <f t="shared" si="40"/>
        <v>1</v>
      </c>
      <c r="EL27" s="33">
        <f t="shared" si="41"/>
        <v>1</v>
      </c>
      <c r="EM27" s="33">
        <f t="shared" si="42"/>
        <v>1</v>
      </c>
      <c r="EN27" s="33">
        <f t="shared" si="43"/>
        <v>1</v>
      </c>
      <c r="EO27" s="33">
        <f t="shared" si="44"/>
        <v>1</v>
      </c>
      <c r="EP27" s="33">
        <f t="shared" si="45"/>
        <v>1</v>
      </c>
      <c r="EQ27" s="33">
        <f t="shared" si="46"/>
        <v>1</v>
      </c>
      <c r="ER27" s="33">
        <f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6" t="str">
        <f t="shared" si="48"/>
        <v>TR</v>
      </c>
      <c r="D28" s="7" t="s">
        <v>16</v>
      </c>
      <c r="E28" s="18" t="s">
        <v>71</v>
      </c>
      <c r="F28" s="8" t="str">
        <f>F27</f>
        <v>Gasoline</v>
      </c>
      <c r="G28" s="6" t="s">
        <v>72</v>
      </c>
      <c r="H28" s="9">
        <f ca="1">OFFSET(TIAM15_assumptions!$G28,0,MATCH(VLOOKUP(Assumptions!H$2,TIAM15_assumptions!$Y$3:$Z$87,2,FALSE),TIAM15_assumptions!$H$2:$V$2,0))</f>
        <v>0.05</v>
      </c>
      <c r="I28" s="9">
        <f ca="1">OFFSET(TIAM15_assumptions!$G28,0,MATCH(VLOOKUP(Assumptions!I$2,TIAM15_assumptions!$Y$3:$Z$87,2,FALSE),TIAM15_assumptions!$H$2:$V$2,0))</f>
        <v>0.05</v>
      </c>
      <c r="J28" s="9">
        <f ca="1">OFFSET(TIAM15_assumptions!$G28,0,MATCH(VLOOKUP(Assumptions!J$2,TIAM15_assumptions!$Y$3:$Z$87,2,FALSE),TIAM15_assumptions!$H$2:$V$2,0))</f>
        <v>0.05</v>
      </c>
      <c r="K28" s="9">
        <f ca="1">OFFSET(TIAM15_assumptions!$G28,0,MATCH(VLOOKUP(Assumptions!K$2,TIAM15_assumptions!$Y$3:$Z$87,2,FALSE),TIAM15_assumptions!$H$2:$V$2,0))</f>
        <v>0.05</v>
      </c>
      <c r="L28" s="9">
        <f ca="1">OFFSET(TIAM15_assumptions!$G28,0,MATCH(VLOOKUP(Assumptions!L$2,TIAM15_assumptions!$Y$3:$Z$87,2,FALSE),TIAM15_assumptions!$H$2:$V$2,0))</f>
        <v>0.05</v>
      </c>
      <c r="M28" s="9">
        <f ca="1">OFFSET(TIAM15_assumptions!$G28,0,MATCH(VLOOKUP(Assumptions!M$2,TIAM15_assumptions!$Y$3:$Z$87,2,FALSE),TIAM15_assumptions!$H$2:$V$2,0))</f>
        <v>0.05</v>
      </c>
      <c r="N28" s="9">
        <f ca="1">OFFSET(TIAM15_assumptions!$G28,0,MATCH(VLOOKUP(Assumptions!N$2,TIAM15_assumptions!$Y$3:$Z$87,2,FALSE),TIAM15_assumptions!$H$2:$V$2,0))</f>
        <v>0.12</v>
      </c>
      <c r="O28" s="9">
        <f ca="1">OFFSET(TIAM15_assumptions!$G28,0,MATCH(VLOOKUP(Assumptions!O$2,TIAM15_assumptions!$Y$3:$Z$87,2,FALSE),TIAM15_assumptions!$H$2:$V$2,0))</f>
        <v>0.1</v>
      </c>
      <c r="P28" s="9">
        <f ca="1">OFFSET(TIAM15_assumptions!$G28,0,MATCH(VLOOKUP(Assumptions!P$2,TIAM15_assumptions!$Y$3:$Z$87,2,FALSE),TIAM15_assumptions!$H$2:$V$2,0))</f>
        <v>0.1</v>
      </c>
      <c r="Q28" s="9">
        <f ca="1">OFFSET(TIAM15_assumptions!$G28,0,MATCH(VLOOKUP(Assumptions!Q$2,TIAM15_assumptions!$Y$3:$Z$87,2,FALSE),TIAM15_assumptions!$H$2:$V$2,0))</f>
        <v>0.1</v>
      </c>
      <c r="R28" s="9">
        <f ca="1">OFFSET(TIAM15_assumptions!$G28,0,MATCH(VLOOKUP(Assumptions!R$2,TIAM15_assumptions!$Y$3:$Z$87,2,FALSE),TIAM15_assumptions!$H$2:$V$2,0))</f>
        <v>0.05</v>
      </c>
      <c r="S28" s="9">
        <f ca="1">OFFSET(TIAM15_assumptions!$G28,0,MATCH(VLOOKUP(Assumptions!S$2,TIAM15_assumptions!$Y$3:$Z$87,2,FALSE),TIAM15_assumptions!$H$2:$V$2,0))</f>
        <v>0.05</v>
      </c>
      <c r="T28" s="9">
        <f ca="1">OFFSET(TIAM15_assumptions!$G28,0,MATCH(VLOOKUP(Assumptions!T$2,TIAM15_assumptions!$Y$3:$Z$87,2,FALSE),TIAM15_assumptions!$H$2:$V$2,0))</f>
        <v>0.05</v>
      </c>
      <c r="U28" s="9">
        <f ca="1">OFFSET(TIAM15_assumptions!$G28,0,MATCH(VLOOKUP(Assumptions!U$2,TIAM15_assumptions!$Y$3:$Z$87,2,FALSE),TIAM15_assumptions!$H$2:$V$2,0))</f>
        <v>0.1</v>
      </c>
      <c r="V28" s="9">
        <f ca="1">OFFSET(TIAM15_assumptions!$G28,0,MATCH(VLOOKUP(Assumptions!V$2,TIAM15_assumptions!$Y$3:$Z$87,2,FALSE),TIAM15_assumptions!$H$2:$V$2,0))</f>
        <v>0.05</v>
      </c>
      <c r="W28" s="9">
        <f ca="1">OFFSET(TIAM15_assumptions!$G28,0,MATCH(VLOOKUP(Assumptions!W$2,TIAM15_assumptions!$Y$3:$Z$87,2,FALSE),TIAM15_assumptions!$H$2:$V$2,0))</f>
        <v>0</v>
      </c>
      <c r="X28" s="9">
        <f ca="1">OFFSET(TIAM15_assumptions!$G28,0,MATCH(VLOOKUP(Assumptions!X$2,TIAM15_assumptions!$Y$3:$Z$87,2,FALSE),TIAM15_assumptions!$H$2:$V$2,0))</f>
        <v>0.05</v>
      </c>
      <c r="Y28" s="9">
        <f ca="1">OFFSET(TIAM15_assumptions!$G28,0,MATCH(VLOOKUP(Assumptions!Y$2,TIAM15_assumptions!$Y$3:$Z$87,2,FALSE),TIAM15_assumptions!$H$2:$V$2,0))</f>
        <v>0.05</v>
      </c>
      <c r="Z28" s="9">
        <f ca="1">OFFSET(TIAM15_assumptions!$G28,0,MATCH(VLOOKUP(Assumptions!Z$2,TIAM15_assumptions!$Y$3:$Z$87,2,FALSE),TIAM15_assumptions!$H$2:$V$2,0))</f>
        <v>0</v>
      </c>
      <c r="AA28" s="9">
        <f ca="1">OFFSET(TIAM15_assumptions!$G28,0,MATCH(VLOOKUP(Assumptions!AA$2,TIAM15_assumptions!$Y$3:$Z$87,2,FALSE),TIAM15_assumptions!$H$2:$V$2,0))</f>
        <v>0.12</v>
      </c>
      <c r="AB28" s="9">
        <f ca="1">OFFSET(TIAM15_assumptions!$G28,0,MATCH(VLOOKUP(Assumptions!AB$2,TIAM15_assumptions!$Y$3:$Z$87,2,FALSE),TIAM15_assumptions!$H$2:$V$2,0))</f>
        <v>0.1</v>
      </c>
      <c r="AC28" s="9">
        <f ca="1">OFFSET(TIAM15_assumptions!$G28,0,MATCH(VLOOKUP(Assumptions!AC$2,TIAM15_assumptions!$Y$3:$Z$87,2,FALSE),TIAM15_assumptions!$H$2:$V$2,0))</f>
        <v>5.0000000000000001E-3</v>
      </c>
      <c r="AD28" s="9">
        <f ca="1">OFFSET(TIAM15_assumptions!$G28,0,MATCH(VLOOKUP(Assumptions!AD$2,TIAM15_assumptions!$Y$3:$Z$87,2,FALSE),TIAM15_assumptions!$H$2:$V$2,0))</f>
        <v>0.05</v>
      </c>
      <c r="AE28" s="9">
        <f ca="1">OFFSET(TIAM15_assumptions!$G28,0,MATCH(VLOOKUP(Assumptions!AE$2,TIAM15_assumptions!$Y$3:$Z$87,2,FALSE),TIAM15_assumptions!$H$2:$V$2,0))</f>
        <v>0.1</v>
      </c>
      <c r="AF28" s="9">
        <f ca="1">OFFSET(TIAM15_assumptions!$G28,0,MATCH(VLOOKUP(Assumptions!AF$2,TIAM15_assumptions!$Y$3:$Z$87,2,FALSE),TIAM15_assumptions!$H$2:$V$2,0))</f>
        <v>0.15</v>
      </c>
      <c r="AG28" s="9">
        <f ca="1">OFFSET(TIAM15_assumptions!$G28,0,MATCH(VLOOKUP(Assumptions!AG$2,TIAM15_assumptions!$Y$3:$Z$87,2,FALSE),TIAM15_assumptions!$H$2:$V$2,0))</f>
        <v>0.05</v>
      </c>
      <c r="AH28" s="9">
        <f ca="1">OFFSET(TIAM15_assumptions!$G28,0,MATCH(VLOOKUP(Assumptions!AH$2,TIAM15_assumptions!$Y$3:$Z$87,2,FALSE),TIAM15_assumptions!$H$2:$V$2,0))</f>
        <v>0.1</v>
      </c>
      <c r="AI28" s="9">
        <f ca="1">OFFSET(TIAM15_assumptions!$G28,0,MATCH(VLOOKUP(Assumptions!AI$2,TIAM15_assumptions!$Y$3:$Z$87,2,FALSE),TIAM15_assumptions!$H$2:$V$2,0))</f>
        <v>0.05</v>
      </c>
      <c r="AJ28" s="9">
        <f ca="1">OFFSET(TIAM15_assumptions!$G28,0,MATCH(VLOOKUP(Assumptions!AJ$2,TIAM15_assumptions!$Y$3:$Z$87,2,FALSE),TIAM15_assumptions!$H$2:$V$2,0))</f>
        <v>0.05</v>
      </c>
      <c r="AK28" s="9">
        <f ca="1">OFFSET(TIAM15_assumptions!$G28,0,MATCH(VLOOKUP(Assumptions!AK$2,TIAM15_assumptions!$Y$3:$Z$87,2,FALSE),TIAM15_assumptions!$H$2:$V$2,0))</f>
        <v>0.05</v>
      </c>
      <c r="AL28" s="9">
        <f ca="1">OFFSET(TIAM15_assumptions!$G28,0,MATCH(VLOOKUP(Assumptions!AL$2,TIAM15_assumptions!$Y$3:$Z$87,2,FALSE),TIAM15_assumptions!$H$2:$V$2,0))</f>
        <v>0.05</v>
      </c>
      <c r="AM28" s="9">
        <f ca="1">OFFSET(TIAM15_assumptions!$G28,0,MATCH(VLOOKUP(Assumptions!AM$2,TIAM15_assumptions!$Y$3:$Z$87,2,FALSE),TIAM15_assumptions!$H$2:$V$2,0))</f>
        <v>0.1</v>
      </c>
      <c r="AN28" s="9">
        <f ca="1">OFFSET(TIAM15_assumptions!$G28,0,MATCH(VLOOKUP(Assumptions!AN$2,TIAM15_assumptions!$Y$3:$Z$87,2,FALSE),TIAM15_assumptions!$H$2:$V$2,0))</f>
        <v>0.05</v>
      </c>
      <c r="AO28" s="9">
        <f ca="1">OFFSET(TIAM15_assumptions!$G28,0,MATCH(VLOOKUP(Assumptions!AO$2,TIAM15_assumptions!$Y$3:$Z$87,2,FALSE),TIAM15_assumptions!$H$2:$V$2,0))</f>
        <v>0.05</v>
      </c>
      <c r="AP28" s="9">
        <f ca="1">OFFSET(TIAM15_assumptions!$G28,0,MATCH(VLOOKUP(Assumptions!AP$2,TIAM15_assumptions!$Y$3:$Z$87,2,FALSE),TIAM15_assumptions!$H$2:$V$2,0))</f>
        <v>0.1</v>
      </c>
      <c r="AQ28" s="9">
        <f ca="1">OFFSET(TIAM15_assumptions!$G28,0,MATCH(VLOOKUP(Assumptions!AQ$2,TIAM15_assumptions!$Y$3:$Z$87,2,FALSE),TIAM15_assumptions!$H$2:$V$2,0))</f>
        <v>5.0000000000000001E-3</v>
      </c>
      <c r="AR28" s="9">
        <f ca="1">OFFSET(TIAM15_assumptions!$G28,0,MATCH(VLOOKUP(Assumptions!AR$2,TIAM15_assumptions!$Y$3:$Z$87,2,FALSE),TIAM15_assumptions!$H$2:$V$2,0))</f>
        <v>5.0000000000000001E-3</v>
      </c>
      <c r="AS28" s="9">
        <f ca="1">OFFSET(TIAM15_assumptions!$G28,0,MATCH(VLOOKUP(Assumptions!AS$2,TIAM15_assumptions!$Y$3:$Z$87,2,FALSE),TIAM15_assumptions!$H$2:$V$2,0))</f>
        <v>5.0000000000000001E-3</v>
      </c>
      <c r="AT28" s="9">
        <f ca="1">OFFSET(TIAM15_assumptions!$G28,0,MATCH(VLOOKUP(Assumptions!AT$2,TIAM15_assumptions!$Y$3:$Z$87,2,FALSE),TIAM15_assumptions!$H$2:$V$2,0))</f>
        <v>5.0000000000000001E-3</v>
      </c>
      <c r="AU28" s="9">
        <f ca="1">OFFSET(TIAM15_assumptions!$G28,0,MATCH(VLOOKUP(Assumptions!AU$2,TIAM15_assumptions!$Y$3:$Z$87,2,FALSE),TIAM15_assumptions!$H$2:$V$2,0))</f>
        <v>5.0000000000000001E-3</v>
      </c>
      <c r="AV28" s="9">
        <f ca="1">OFFSET(TIAM15_assumptions!$G28,0,MATCH(VLOOKUP(Assumptions!AV$2,TIAM15_assumptions!$Y$3:$Z$87,2,FALSE),TIAM15_assumptions!$H$2:$V$2,0))</f>
        <v>5.0000000000000001E-3</v>
      </c>
      <c r="AW28" s="9">
        <f ca="1">OFFSET(TIAM15_assumptions!$G28,0,MATCH(VLOOKUP(Assumptions!AW$2,TIAM15_assumptions!$Y$3:$Z$87,2,FALSE),TIAM15_assumptions!$H$2:$V$2,0))</f>
        <v>5.0000000000000001E-3</v>
      </c>
      <c r="AX28" s="9">
        <f ca="1">OFFSET(TIAM15_assumptions!$G28,0,MATCH(VLOOKUP(Assumptions!AX$2,TIAM15_assumptions!$Y$3:$Z$87,2,FALSE),TIAM15_assumptions!$H$2:$V$2,0))</f>
        <v>5.0000000000000001E-3</v>
      </c>
      <c r="AY28" s="9">
        <f ca="1">OFFSET(TIAM15_assumptions!$G28,0,MATCH(VLOOKUP(Assumptions!AY$2,TIAM15_assumptions!$Y$3:$Z$87,2,FALSE),TIAM15_assumptions!$H$2:$V$2,0))</f>
        <v>5.0000000000000001E-3</v>
      </c>
      <c r="AZ28" s="9">
        <f ca="1">OFFSET(TIAM15_assumptions!$G28,0,MATCH(VLOOKUP(Assumptions!AZ$2,TIAM15_assumptions!$Y$3:$Z$87,2,FALSE),TIAM15_assumptions!$H$2:$V$2,0))</f>
        <v>5.0000000000000001E-3</v>
      </c>
      <c r="BA28" s="9">
        <f ca="1">OFFSET(TIAM15_assumptions!$G28,0,MATCH(VLOOKUP(Assumptions!BA$2,TIAM15_assumptions!$Y$3:$Z$87,2,FALSE),TIAM15_assumptions!$H$2:$V$2,0))</f>
        <v>5.0000000000000001E-3</v>
      </c>
      <c r="BD28" s="34">
        <f ca="1">IFERROR(SUMIFS('TRA balance'!E$5:E$40,'TRA balance'!$C$5:$C$40,Assumptions!$C28,'TRA balance'!$D$5:$D$40,Assumptions!$B28)*CY28*H28,"")</f>
        <v>0</v>
      </c>
      <c r="BE28" s="34">
        <f ca="1">IFERROR(SUMIFS('TRA balance'!F$5:F$40,'TRA balance'!$C$5:$C$40,Assumptions!$C28,'TRA balance'!$D$5:$D$40,Assumptions!$B28)*CZ28*I28,"")</f>
        <v>0</v>
      </c>
      <c r="BF28" s="34">
        <f ca="1">IFERROR(SUMIFS('TRA balance'!G$5:G$40,'TRA balance'!$C$5:$C$40,Assumptions!$C28,'TRA balance'!$D$5:$D$40,Assumptions!$B28)*DA28*J28,"")</f>
        <v>2.8446091793639994</v>
      </c>
      <c r="BG28" s="34">
        <f ca="1">IFERROR(SUMIFS('TRA balance'!H$5:H$40,'TRA balance'!$C$5:$C$40,Assumptions!$C28,'TRA balance'!$D$5:$D$40,Assumptions!$B28)*DB28*K28,"")</f>
        <v>0.10386625581720009</v>
      </c>
      <c r="BH28" s="34">
        <f ca="1">IFERROR(SUMIFS('TRA balance'!I$5:I$40,'TRA balance'!$C$5:$C$40,Assumptions!$C28,'TRA balance'!$D$5:$D$40,Assumptions!$B28)*DC28*L28,"")</f>
        <v>0.43373881009800003</v>
      </c>
      <c r="BI28" s="34">
        <f ca="1">IFERROR(SUMIFS('TRA balance'!J$5:J$40,'TRA balance'!$C$5:$C$40,Assumptions!$C28,'TRA balance'!$D$5:$D$40,Assumptions!$B28)*DD28*M28,"")</f>
        <v>0.40186805741820042</v>
      </c>
      <c r="BJ28" s="34">
        <f ca="1">IFERROR(SUMIFS('TRA balance'!K$5:K$40,'TRA balance'!$C$5:$C$40,Assumptions!$C28,'TRA balance'!$D$5:$D$40,Assumptions!$B28)*DE28*N28,"")</f>
        <v>10.778182084555198</v>
      </c>
      <c r="BK28" s="34">
        <f ca="1">IFERROR(SUMIFS('TRA balance'!L$5:L$40,'TRA balance'!$C$5:$C$40,Assumptions!$C28,'TRA balance'!$D$5:$D$40,Assumptions!$B28)*DF28*O28,"")</f>
        <v>60.018947373239989</v>
      </c>
      <c r="BL28" s="34">
        <f ca="1">IFERROR(SUMIFS('TRA balance'!M$5:M$40,'TRA balance'!$C$5:$C$40,Assumptions!$C28,'TRA balance'!$D$5:$D$40,Assumptions!$B28)*DG28*P28,"")</f>
        <v>0.37585460444399993</v>
      </c>
      <c r="BM28" s="34">
        <f ca="1">IFERROR(SUMIFS('TRA balance'!N$5:N$40,'TRA balance'!$C$5:$C$40,Assumptions!$C28,'TRA balance'!$D$5:$D$40,Assumptions!$B28)*DH28*Q28,"")</f>
        <v>0.89100002555999991</v>
      </c>
      <c r="BN28" s="34">
        <f ca="1">IFERROR(SUMIFS('TRA balance'!O$5:O$40,'TRA balance'!$C$5:$C$40,Assumptions!$C28,'TRA balance'!$D$5:$D$40,Assumptions!$B28)*DI28*R28,"")</f>
        <v>0.49365485095140038</v>
      </c>
      <c r="BO28" s="34">
        <f ca="1">IFERROR(SUMIFS('TRA balance'!P$5:P$40,'TRA balance'!$C$5:$C$40,Assumptions!$C28,'TRA balance'!$D$5:$D$40,Assumptions!$B28)*DJ28*S28,"")</f>
        <v>1.083917999662201</v>
      </c>
      <c r="BP28" s="34">
        <f ca="1">IFERROR(SUMIFS('TRA balance'!Q$5:Q$40,'TRA balance'!$C$5:$C$40,Assumptions!$C28,'TRA balance'!$D$5:$D$40,Assumptions!$B28)*DK28*T28,"")</f>
        <v>0.16952297724900017</v>
      </c>
      <c r="BQ28" s="34">
        <f ca="1">IFERROR(SUMIFS('TRA balance'!R$5:R$40,'TRA balance'!$C$5:$C$40,Assumptions!$C28,'TRA balance'!$D$5:$D$40,Assumptions!$B28)*DL28*U28,"")</f>
        <v>1.3886752281839998</v>
      </c>
      <c r="BR28" s="34">
        <f ca="1">IFERROR(SUMIFS('TRA balance'!S$5:S$40,'TRA balance'!$C$5:$C$40,Assumptions!$C28,'TRA balance'!$D$5:$D$40,Assumptions!$B28)*DM28*V28,"")</f>
        <v>7.8371055414000069E-3</v>
      </c>
      <c r="BS28" s="34">
        <f ca="1">IFERROR(SUMIFS('TRA balance'!T$5:T$40,'TRA balance'!$C$5:$C$40,Assumptions!$C28,'TRA balance'!$D$5:$D$40,Assumptions!$B28)*DN28*W28,"")</f>
        <v>0</v>
      </c>
      <c r="BT28" s="34">
        <f ca="1">IFERROR(SUMIFS('TRA balance'!U$5:U$40,'TRA balance'!$C$5:$C$40,Assumptions!$C28,'TRA balance'!$D$5:$D$40,Assumptions!$B28)*DO28*X28,"")</f>
        <v>4.8349024048800038E-2</v>
      </c>
      <c r="BU28" s="34">
        <f ca="1">IFERROR(SUMIFS('TRA balance'!V$5:V$40,'TRA balance'!$C$5:$C$40,Assumptions!$C28,'TRA balance'!$D$5:$D$40,Assumptions!$B28)*DP28*Y28,"")</f>
        <v>0.48971960226900041</v>
      </c>
      <c r="BV28" s="34">
        <f ca="1">IFERROR(SUMIFS('TRA balance'!W$5:W$40,'TRA balance'!$C$5:$C$40,Assumptions!$C28,'TRA balance'!$D$5:$D$40,Assumptions!$B28)*DQ28*Z28,"")</f>
        <v>0</v>
      </c>
      <c r="BW28" s="34">
        <f ca="1">IFERROR(SUMIFS('TRA balance'!X$5:X$40,'TRA balance'!$C$5:$C$40,Assumptions!$C28,'TRA balance'!$D$5:$D$40,Assumptions!$B28)*DR28*AA28,"")</f>
        <v>20.493487395489595</v>
      </c>
      <c r="BX28" s="34">
        <f ca="1">IFERROR(SUMIFS('TRA balance'!Y$5:Y$40,'TRA balance'!$C$5:$C$40,Assumptions!$C28,'TRA balance'!$D$5:$D$40,Assumptions!$B28)*DS28*AB28,"")</f>
        <v>70.788716861940017</v>
      </c>
      <c r="BY28" s="34">
        <f ca="1">IFERROR(SUMIFS('TRA balance'!Z$5:Z$40,'TRA balance'!$C$5:$C$40,Assumptions!$C28,'TRA balance'!$D$5:$D$40,Assumptions!$B28)*DT28*AC28,"")</f>
        <v>18.347249309601597</v>
      </c>
      <c r="BZ28" s="34">
        <f ca="1">IFERROR(SUMIFS('TRA balance'!AA$5:AA$40,'TRA balance'!$C$5:$C$40,Assumptions!$C28,'TRA balance'!$D$5:$D$40,Assumptions!$B28)*DU28*AD28,"")</f>
        <v>4.1843804482800034E-2</v>
      </c>
      <c r="CA28" s="34">
        <f ca="1">IFERROR(SUMIFS('TRA balance'!AB$5:AB$40,'TRA balance'!$C$5:$C$40,Assumptions!$C28,'TRA balance'!$D$5:$D$40,Assumptions!$B28)*DV28*AE28,"")</f>
        <v>1.9431689074559999</v>
      </c>
      <c r="CB28" s="34">
        <f ca="1">IFERROR(SUMIFS('TRA balance'!AC$5:AC$40,'TRA balance'!$C$5:$C$40,Assumptions!$C28,'TRA balance'!$D$5:$D$40,Assumptions!$B28)*DW28*AF28,"")</f>
        <v>0</v>
      </c>
      <c r="CC28" s="34">
        <f ca="1">IFERROR(SUMIFS('TRA balance'!AD$5:AD$40,'TRA balance'!$C$5:$C$40,Assumptions!$C28,'TRA balance'!$D$5:$D$40,Assumptions!$B28)*DX28*AG28,"")</f>
        <v>23.204504424222009</v>
      </c>
      <c r="CD28" s="34">
        <f ca="1">IFERROR(SUMIFS('TRA balance'!AE$5:AE$40,'TRA balance'!$C$5:$C$40,Assumptions!$C28,'TRA balance'!$D$5:$D$40,Assumptions!$B28)*DY28*AH28,"")</f>
        <v>30.581120643624004</v>
      </c>
      <c r="CE28" s="34">
        <f ca="1">IFERROR(SUMIFS('TRA balance'!AF$5:AF$40,'TRA balance'!$C$5:$C$40,Assumptions!$C28,'TRA balance'!$D$5:$D$40,Assumptions!$B28)*DZ28*AI28,"")</f>
        <v>0</v>
      </c>
      <c r="CF28" s="34">
        <f ca="1">IFERROR(SUMIFS('TRA balance'!AG$5:AG$40,'TRA balance'!$C$5:$C$40,Assumptions!$C28,'TRA balance'!$D$5:$D$40,Assumptions!$B28)*EA28*AJ28,"")</f>
        <v>0.40670803799280036</v>
      </c>
      <c r="CG28" s="34">
        <f ca="1">IFERROR(SUMIFS('TRA balance'!AH$5:AH$40,'TRA balance'!$C$5:$C$40,Assumptions!$C28,'TRA balance'!$D$5:$D$40,Assumptions!$B28)*EB28*AK28,"")</f>
        <v>0.28524461153400027</v>
      </c>
      <c r="CH28" s="34">
        <f ca="1">IFERROR(SUMIFS('TRA balance'!AI$5:AI$40,'TRA balance'!$C$5:$C$40,Assumptions!$C28,'TRA balance'!$D$5:$D$40,Assumptions!$B28)*EC28*AL28,"")</f>
        <v>0.14980996954620016</v>
      </c>
      <c r="CI28" s="34">
        <f ca="1">IFERROR(SUMIFS('TRA balance'!AJ$5:AJ$40,'TRA balance'!$C$5:$C$40,Assumptions!$C28,'TRA balance'!$D$5:$D$40,Assumptions!$B28)*ED28*AM28,"")</f>
        <v>2.9792399620320005</v>
      </c>
      <c r="CJ28" s="34">
        <f ca="1">IFERROR(SUMIFS('TRA balance'!AK$5:AK$40,'TRA balance'!$C$5:$C$40,Assumptions!$C28,'TRA balance'!$D$5:$D$40,Assumptions!$B28)*EE28*AN28,"")</f>
        <v>0.77308637748120068</v>
      </c>
      <c r="CK28" s="34">
        <f ca="1">IFERROR(SUMIFS('TRA balance'!AL$5:AL$40,'TRA balance'!$C$5:$C$40,Assumptions!$C28,'TRA balance'!$D$5:$D$40,Assumptions!$B28)*EF28*AO28,"")</f>
        <v>1.1572572269520001</v>
      </c>
      <c r="CL28" s="34">
        <f ca="1">IFERROR(SUMIFS('TRA balance'!AM$5:AM$40,'TRA balance'!$C$5:$C$40,Assumptions!$C28,'TRA balance'!$D$5:$D$40,Assumptions!$B28)*EG28*AP28,"")</f>
        <v>0.39119210888399991</v>
      </c>
      <c r="CM28" s="34">
        <f ca="1">IFERROR(SUMIFS('TRA balance'!AN$5:AN$40,'TRA balance'!$C$5:$C$40,Assumptions!$C28,'TRA balance'!$D$5:$D$40,Assumptions!$B28)*EH28*AQ28,"")</f>
        <v>0</v>
      </c>
      <c r="CN28" s="34">
        <f ca="1">IFERROR(SUMIFS('TRA balance'!AO$5:AO$40,'TRA balance'!$C$5:$C$40,Assumptions!$C28,'TRA balance'!$D$5:$D$40,Assumptions!$B28)*EI28*AR28,"")</f>
        <v>0</v>
      </c>
      <c r="CO28" s="34">
        <f ca="1">IFERROR(SUMIFS('TRA balance'!AP$5:AP$40,'TRA balance'!$C$5:$C$40,Assumptions!$C28,'TRA balance'!$D$5:$D$40,Assumptions!$B28)*EJ28*AS28,"")</f>
        <v>0</v>
      </c>
      <c r="CP28" s="34">
        <f ca="1">IFERROR(SUMIFS('TRA balance'!AQ$5:AQ$40,'TRA balance'!$C$5:$C$40,Assumptions!$C28,'TRA balance'!$D$5:$D$40,Assumptions!$B28)*EK28*AT28,"")</f>
        <v>0</v>
      </c>
      <c r="CQ28" s="34">
        <f ca="1">IFERROR(SUMIFS('TRA balance'!AR$5:AR$40,'TRA balance'!$C$5:$C$40,Assumptions!$C28,'TRA balance'!$D$5:$D$40,Assumptions!$B28)*EL28*AU28,"")</f>
        <v>0</v>
      </c>
      <c r="CR28" s="34">
        <f ca="1">IFERROR(SUMIFS('TRA balance'!AS$5:AS$40,'TRA balance'!$C$5:$C$40,Assumptions!$C28,'TRA balance'!$D$5:$D$40,Assumptions!$B28)*EM28*AV28,"")</f>
        <v>0</v>
      </c>
      <c r="CS28" s="34">
        <f ca="1">IFERROR(SUMIFS('TRA balance'!AT$5:AT$40,'TRA balance'!$C$5:$C$40,Assumptions!$C28,'TRA balance'!$D$5:$D$40,Assumptions!$B28)*EN28*AW28,"")</f>
        <v>0</v>
      </c>
      <c r="CT28" s="34">
        <f ca="1">IFERROR(SUMIFS('TRA balance'!AU$5:AU$40,'TRA balance'!$C$5:$C$40,Assumptions!$C28,'TRA balance'!$D$5:$D$40,Assumptions!$B28)*EO28*AX28,"")</f>
        <v>0</v>
      </c>
      <c r="CU28" s="34">
        <f ca="1">IFERROR(SUMIFS('TRA balance'!AV$5:AV$40,'TRA balance'!$C$5:$C$40,Assumptions!$C28,'TRA balance'!$D$5:$D$40,Assumptions!$B28)*EP28*AY28,"")</f>
        <v>0</v>
      </c>
      <c r="CV28" s="34">
        <f ca="1">IFERROR(SUMIFS('TRA balance'!AW$5:AW$40,'TRA balance'!$C$5:$C$40,Assumptions!$C28,'TRA balance'!$D$5:$D$40,Assumptions!$B28)*EQ28*AZ28,"")</f>
        <v>0</v>
      </c>
      <c r="CW28" s="34">
        <f ca="1">IFERROR(SUMIFS('TRA balance'!AX$5:AX$40,'TRA balance'!$C$5:$C$40,Assumptions!$C28,'TRA balance'!$D$5:$D$40,Assumptions!$B28)*ER28*BA28,"")</f>
        <v>0</v>
      </c>
      <c r="CY28" s="33">
        <f t="shared" ca="1" si="2"/>
        <v>0</v>
      </c>
      <c r="CZ28" s="33">
        <f t="shared" ca="1" si="3"/>
        <v>0</v>
      </c>
      <c r="DA28" s="33">
        <f t="shared" ca="1" si="4"/>
        <v>9.9999999999999978E-2</v>
      </c>
      <c r="DB28" s="33">
        <f t="shared" ca="1" si="5"/>
        <v>3.0000000000000027E-2</v>
      </c>
      <c r="DC28" s="33">
        <f t="shared" ca="1" si="6"/>
        <v>0.30000000000000004</v>
      </c>
      <c r="DD28" s="33">
        <f t="shared" ca="1" si="7"/>
        <v>3.0000000000000027E-2</v>
      </c>
      <c r="DE28" s="33">
        <f t="shared" ca="1" si="8"/>
        <v>9.9999999999999978E-2</v>
      </c>
      <c r="DF28" s="33">
        <f t="shared" ca="1" si="9"/>
        <v>9.9999999999999978E-2</v>
      </c>
      <c r="DG28" s="33">
        <f t="shared" ca="1" si="10"/>
        <v>9.9999999999999978E-2</v>
      </c>
      <c r="DH28" s="33">
        <f t="shared" ca="1" si="11"/>
        <v>9.9999999999999978E-2</v>
      </c>
      <c r="DI28" s="33">
        <f t="shared" ca="1" si="12"/>
        <v>3.0000000000000027E-2</v>
      </c>
      <c r="DJ28" s="33">
        <f t="shared" ca="1" si="13"/>
        <v>3.0000000000000027E-2</v>
      </c>
      <c r="DK28" s="33">
        <f t="shared" ca="1" si="14"/>
        <v>3.0000000000000027E-2</v>
      </c>
      <c r="DL28" s="33">
        <f t="shared" ca="1" si="15"/>
        <v>9.9999999999999978E-2</v>
      </c>
      <c r="DM28" s="33">
        <f t="shared" ca="1" si="16"/>
        <v>3.0000000000000027E-2</v>
      </c>
      <c r="DN28" s="33">
        <f t="shared" ca="1" si="17"/>
        <v>0</v>
      </c>
      <c r="DO28" s="33">
        <f t="shared" ca="1" si="18"/>
        <v>3.0000000000000027E-2</v>
      </c>
      <c r="DP28" s="33">
        <f t="shared" ca="1" si="19"/>
        <v>3.0000000000000027E-2</v>
      </c>
      <c r="DQ28" s="33">
        <f t="shared" ca="1" si="20"/>
        <v>9.9999999999999978E-2</v>
      </c>
      <c r="DR28" s="33">
        <f t="shared" ca="1" si="21"/>
        <v>9.9999999999999978E-2</v>
      </c>
      <c r="DS28" s="33">
        <f t="shared" ca="1" si="22"/>
        <v>0.30000000000000004</v>
      </c>
      <c r="DT28" s="33">
        <f t="shared" ca="1" si="23"/>
        <v>0.19999999999999996</v>
      </c>
      <c r="DU28" s="33">
        <f t="shared" ca="1" si="24"/>
        <v>3.0000000000000027E-2</v>
      </c>
      <c r="DV28" s="33">
        <f t="shared" ca="1" si="25"/>
        <v>9.9999999999999978E-2</v>
      </c>
      <c r="DW28" s="33">
        <f t="shared" ca="1" si="26"/>
        <v>0</v>
      </c>
      <c r="DX28" s="33">
        <f t="shared" ca="1" si="27"/>
        <v>0.30000000000000004</v>
      </c>
      <c r="DY28" s="33">
        <f t="shared" ca="1" si="28"/>
        <v>0.30000000000000004</v>
      </c>
      <c r="DZ28" s="33">
        <f t="shared" ca="1" si="29"/>
        <v>0</v>
      </c>
      <c r="EA28" s="33">
        <f t="shared" ca="1" si="30"/>
        <v>3.0000000000000027E-2</v>
      </c>
      <c r="EB28" s="33">
        <f t="shared" ca="1" si="31"/>
        <v>3.0000000000000027E-2</v>
      </c>
      <c r="EC28" s="33">
        <f t="shared" ca="1" si="32"/>
        <v>3.0000000000000027E-2</v>
      </c>
      <c r="ED28" s="33">
        <f t="shared" ca="1" si="33"/>
        <v>0.30000000000000004</v>
      </c>
      <c r="EE28" s="33">
        <f t="shared" ca="1" si="34"/>
        <v>3.0000000000000027E-2</v>
      </c>
      <c r="EF28" s="33">
        <f t="shared" ca="1" si="35"/>
        <v>0.30000000000000004</v>
      </c>
      <c r="EG28" s="33">
        <f t="shared" ca="1" si="36"/>
        <v>9.9999999999999978E-2</v>
      </c>
      <c r="EH28" s="33">
        <f t="shared" ca="1" si="37"/>
        <v>0.19999999999999996</v>
      </c>
      <c r="EI28" s="33">
        <f t="shared" ca="1" si="38"/>
        <v>0.19999999999999996</v>
      </c>
      <c r="EJ28" s="33">
        <f t="shared" ca="1" si="39"/>
        <v>0.19999999999999996</v>
      </c>
      <c r="EK28" s="33">
        <f t="shared" ca="1" si="40"/>
        <v>0.19999999999999996</v>
      </c>
      <c r="EL28" s="33">
        <f t="shared" ca="1" si="41"/>
        <v>0.19999999999999996</v>
      </c>
      <c r="EM28" s="33">
        <f t="shared" ca="1" si="42"/>
        <v>0.19999999999999996</v>
      </c>
      <c r="EN28" s="33">
        <f t="shared" ca="1" si="43"/>
        <v>0.19999999999999996</v>
      </c>
      <c r="EO28" s="33">
        <f t="shared" ca="1" si="44"/>
        <v>0.19999999999999996</v>
      </c>
      <c r="EP28" s="33">
        <f t="shared" ca="1" si="45"/>
        <v>0.19999999999999996</v>
      </c>
      <c r="EQ28" s="33">
        <f t="shared" ca="1" si="46"/>
        <v>0.19999999999999996</v>
      </c>
      <c r="ER28" s="33">
        <f t="shared" ca="1" si="47"/>
        <v>0.19999999999999996</v>
      </c>
    </row>
    <row r="29" spans="1:148">
      <c r="A29">
        <v>2</v>
      </c>
      <c r="B29" t="str">
        <f>VLOOKUP(F29,'TRA balance'!$BA$5:$BB$14,2,FALSE)</f>
        <v>TRAGSL</v>
      </c>
      <c r="C29" s="6" t="str">
        <f t="shared" si="48"/>
        <v>TR</v>
      </c>
      <c r="D29" s="7" t="s">
        <v>16</v>
      </c>
      <c r="E29" s="18" t="s">
        <v>73</v>
      </c>
      <c r="F29" s="8" t="str">
        <f t="shared" ref="F29:F35" si="62">F28</f>
        <v>Gasoline</v>
      </c>
      <c r="G29" s="6" t="s">
        <v>74</v>
      </c>
      <c r="H29" s="9">
        <f ca="1">OFFSET(TIAM15_assumptions!$G29,0,MATCH(VLOOKUP(Assumptions!H$2,TIAM15_assumptions!$Y$3:$Z$87,2,FALSE),TIAM15_assumptions!$H$2:$V$2,0))</f>
        <v>0</v>
      </c>
      <c r="I29" s="9">
        <f ca="1">OFFSET(TIAM15_assumptions!$G29,0,MATCH(VLOOKUP(Assumptions!I$2,TIAM15_assumptions!$Y$3:$Z$87,2,FALSE),TIAM15_assumptions!$H$2:$V$2,0))</f>
        <v>0</v>
      </c>
      <c r="J29" s="9">
        <f ca="1">OFFSET(TIAM15_assumptions!$G29,0,MATCH(VLOOKUP(Assumptions!J$2,TIAM15_assumptions!$Y$3:$Z$87,2,FALSE),TIAM15_assumptions!$H$2:$V$2,0))</f>
        <v>0</v>
      </c>
      <c r="K29" s="9">
        <f ca="1">OFFSET(TIAM15_assumptions!$G29,0,MATCH(VLOOKUP(Assumptions!K$2,TIAM15_assumptions!$Y$3:$Z$87,2,FALSE),TIAM15_assumptions!$H$2:$V$2,0))</f>
        <v>0</v>
      </c>
      <c r="L29" s="9">
        <f ca="1">OFFSET(TIAM15_assumptions!$G29,0,MATCH(VLOOKUP(Assumptions!L$2,TIAM15_assumptions!$Y$3:$Z$87,2,FALSE),TIAM15_assumptions!$H$2:$V$2,0))</f>
        <v>0</v>
      </c>
      <c r="M29" s="9">
        <f ca="1">OFFSET(TIAM15_assumptions!$G29,0,MATCH(VLOOKUP(Assumptions!M$2,TIAM15_assumptions!$Y$3:$Z$87,2,FALSE),TIAM15_assumptions!$H$2:$V$2,0))</f>
        <v>0</v>
      </c>
      <c r="N29" s="9">
        <f ca="1">OFFSET(TIAM15_assumptions!$G29,0,MATCH(VLOOKUP(Assumptions!N$2,TIAM15_assumptions!$Y$3:$Z$87,2,FALSE),TIAM15_assumptions!$H$2:$V$2,0))</f>
        <v>0</v>
      </c>
      <c r="O29" s="9">
        <f ca="1">OFFSET(TIAM15_assumptions!$G29,0,MATCH(VLOOKUP(Assumptions!O$2,TIAM15_assumptions!$Y$3:$Z$87,2,FALSE),TIAM15_assumptions!$H$2:$V$2,0))</f>
        <v>0</v>
      </c>
      <c r="P29" s="9">
        <f ca="1">OFFSET(TIAM15_assumptions!$G29,0,MATCH(VLOOKUP(Assumptions!P$2,TIAM15_assumptions!$Y$3:$Z$87,2,FALSE),TIAM15_assumptions!$H$2:$V$2,0))</f>
        <v>0</v>
      </c>
      <c r="Q29" s="9">
        <f ca="1">OFFSET(TIAM15_assumptions!$G29,0,MATCH(VLOOKUP(Assumptions!Q$2,TIAM15_assumptions!$Y$3:$Z$87,2,FALSE),TIAM15_assumptions!$H$2:$V$2,0))</f>
        <v>0</v>
      </c>
      <c r="R29" s="9">
        <f ca="1">OFFSET(TIAM15_assumptions!$G29,0,MATCH(VLOOKUP(Assumptions!R$2,TIAM15_assumptions!$Y$3:$Z$87,2,FALSE),TIAM15_assumptions!$H$2:$V$2,0))</f>
        <v>0</v>
      </c>
      <c r="S29" s="9">
        <f ca="1">OFFSET(TIAM15_assumptions!$G29,0,MATCH(VLOOKUP(Assumptions!S$2,TIAM15_assumptions!$Y$3:$Z$87,2,FALSE),TIAM15_assumptions!$H$2:$V$2,0))</f>
        <v>0</v>
      </c>
      <c r="T29" s="9">
        <f ca="1">OFFSET(TIAM15_assumptions!$G29,0,MATCH(VLOOKUP(Assumptions!T$2,TIAM15_assumptions!$Y$3:$Z$87,2,FALSE),TIAM15_assumptions!$H$2:$V$2,0))</f>
        <v>0</v>
      </c>
      <c r="U29" s="9">
        <f ca="1">OFFSET(TIAM15_assumptions!$G29,0,MATCH(VLOOKUP(Assumptions!U$2,TIAM15_assumptions!$Y$3:$Z$87,2,FALSE),TIAM15_assumptions!$H$2:$V$2,0))</f>
        <v>0</v>
      </c>
      <c r="V29" s="9">
        <f ca="1">OFFSET(TIAM15_assumptions!$G29,0,MATCH(VLOOKUP(Assumptions!V$2,TIAM15_assumptions!$Y$3:$Z$87,2,FALSE),TIAM15_assumptions!$H$2:$V$2,0))</f>
        <v>0</v>
      </c>
      <c r="W29" s="9">
        <f ca="1">OFFSET(TIAM15_assumptions!$G29,0,MATCH(VLOOKUP(Assumptions!W$2,TIAM15_assumptions!$Y$3:$Z$87,2,FALSE),TIAM15_assumptions!$H$2:$V$2,0))</f>
        <v>0</v>
      </c>
      <c r="X29" s="9">
        <f ca="1">OFFSET(TIAM15_assumptions!$G29,0,MATCH(VLOOKUP(Assumptions!X$2,TIAM15_assumptions!$Y$3:$Z$87,2,FALSE),TIAM15_assumptions!$H$2:$V$2,0))</f>
        <v>0</v>
      </c>
      <c r="Y29" s="9">
        <f ca="1">OFFSET(TIAM15_assumptions!$G29,0,MATCH(VLOOKUP(Assumptions!Y$2,TIAM15_assumptions!$Y$3:$Z$87,2,FALSE),TIAM15_assumptions!$H$2:$V$2,0))</f>
        <v>0</v>
      </c>
      <c r="Z29" s="9">
        <f ca="1">OFFSET(TIAM15_assumptions!$G29,0,MATCH(VLOOKUP(Assumptions!Z$2,TIAM15_assumptions!$Y$3:$Z$87,2,FALSE),TIAM15_assumptions!$H$2:$V$2,0))</f>
        <v>0</v>
      </c>
      <c r="AA29" s="9">
        <f ca="1">OFFSET(TIAM15_assumptions!$G29,0,MATCH(VLOOKUP(Assumptions!AA$2,TIAM15_assumptions!$Y$3:$Z$87,2,FALSE),TIAM15_assumptions!$H$2:$V$2,0))</f>
        <v>0</v>
      </c>
      <c r="AB29" s="9">
        <f ca="1">OFFSET(TIAM15_assumptions!$G29,0,MATCH(VLOOKUP(Assumptions!AB$2,TIAM15_assumptions!$Y$3:$Z$87,2,FALSE),TIAM15_assumptions!$H$2:$V$2,0))</f>
        <v>0</v>
      </c>
      <c r="AC29" s="9">
        <f ca="1">OFFSET(TIAM15_assumptions!$G29,0,MATCH(VLOOKUP(Assumptions!AC$2,TIAM15_assumptions!$Y$3:$Z$87,2,FALSE),TIAM15_assumptions!$H$2:$V$2,0))</f>
        <v>0</v>
      </c>
      <c r="AD29" s="9">
        <f ca="1">OFFSET(TIAM15_assumptions!$G29,0,MATCH(VLOOKUP(Assumptions!AD$2,TIAM15_assumptions!$Y$3:$Z$87,2,FALSE),TIAM15_assumptions!$H$2:$V$2,0))</f>
        <v>0</v>
      </c>
      <c r="AE29" s="9">
        <f ca="1">OFFSET(TIAM15_assumptions!$G29,0,MATCH(VLOOKUP(Assumptions!AE$2,TIAM15_assumptions!$Y$3:$Z$87,2,FALSE),TIAM15_assumptions!$H$2:$V$2,0))</f>
        <v>0</v>
      </c>
      <c r="AF29" s="9">
        <f ca="1">OFFSET(TIAM15_assumptions!$G29,0,MATCH(VLOOKUP(Assumptions!AF$2,TIAM15_assumptions!$Y$3:$Z$87,2,FALSE),TIAM15_assumptions!$H$2:$V$2,0))</f>
        <v>0</v>
      </c>
      <c r="AG29" s="9">
        <f ca="1">OFFSET(TIAM15_assumptions!$G29,0,MATCH(VLOOKUP(Assumptions!AG$2,TIAM15_assumptions!$Y$3:$Z$87,2,FALSE),TIAM15_assumptions!$H$2:$V$2,0))</f>
        <v>0</v>
      </c>
      <c r="AH29" s="9">
        <f ca="1">OFFSET(TIAM15_assumptions!$G29,0,MATCH(VLOOKUP(Assumptions!AH$2,TIAM15_assumptions!$Y$3:$Z$87,2,FALSE),TIAM15_assumptions!$H$2:$V$2,0))</f>
        <v>0</v>
      </c>
      <c r="AI29" s="9">
        <f ca="1">OFFSET(TIAM15_assumptions!$G29,0,MATCH(VLOOKUP(Assumptions!AI$2,TIAM15_assumptions!$Y$3:$Z$87,2,FALSE),TIAM15_assumptions!$H$2:$V$2,0))</f>
        <v>0</v>
      </c>
      <c r="AJ29" s="9">
        <f ca="1">OFFSET(TIAM15_assumptions!$G29,0,MATCH(VLOOKUP(Assumptions!AJ$2,TIAM15_assumptions!$Y$3:$Z$87,2,FALSE),TIAM15_assumptions!$H$2:$V$2,0))</f>
        <v>0</v>
      </c>
      <c r="AK29" s="9">
        <f ca="1">OFFSET(TIAM15_assumptions!$G29,0,MATCH(VLOOKUP(Assumptions!AK$2,TIAM15_assumptions!$Y$3:$Z$87,2,FALSE),TIAM15_assumptions!$H$2:$V$2,0))</f>
        <v>0</v>
      </c>
      <c r="AL29" s="9">
        <f ca="1">OFFSET(TIAM15_assumptions!$G29,0,MATCH(VLOOKUP(Assumptions!AL$2,TIAM15_assumptions!$Y$3:$Z$87,2,FALSE),TIAM15_assumptions!$H$2:$V$2,0))</f>
        <v>0</v>
      </c>
      <c r="AM29" s="9">
        <f ca="1">OFFSET(TIAM15_assumptions!$G29,0,MATCH(VLOOKUP(Assumptions!AM$2,TIAM15_assumptions!$Y$3:$Z$87,2,FALSE),TIAM15_assumptions!$H$2:$V$2,0))</f>
        <v>0</v>
      </c>
      <c r="AN29" s="9">
        <f ca="1">OFFSET(TIAM15_assumptions!$G29,0,MATCH(VLOOKUP(Assumptions!AN$2,TIAM15_assumptions!$Y$3:$Z$87,2,FALSE),TIAM15_assumptions!$H$2:$V$2,0))</f>
        <v>0</v>
      </c>
      <c r="AO29" s="9">
        <f ca="1">OFFSET(TIAM15_assumptions!$G29,0,MATCH(VLOOKUP(Assumptions!AO$2,TIAM15_assumptions!$Y$3:$Z$87,2,FALSE),TIAM15_assumptions!$H$2:$V$2,0))</f>
        <v>0</v>
      </c>
      <c r="AP29" s="9">
        <f ca="1">OFFSET(TIAM15_assumptions!$G29,0,MATCH(VLOOKUP(Assumptions!AP$2,TIAM15_assumptions!$Y$3:$Z$87,2,FALSE),TIAM15_assumptions!$H$2:$V$2,0))</f>
        <v>0</v>
      </c>
      <c r="AQ29" s="9">
        <f ca="1">OFFSET(TIAM15_assumptions!$G29,0,MATCH(VLOOKUP(Assumptions!AQ$2,TIAM15_assumptions!$Y$3:$Z$87,2,FALSE),TIAM15_assumptions!$H$2:$V$2,0))</f>
        <v>0</v>
      </c>
      <c r="AR29" s="9">
        <f ca="1">OFFSET(TIAM15_assumptions!$G29,0,MATCH(VLOOKUP(Assumptions!AR$2,TIAM15_assumptions!$Y$3:$Z$87,2,FALSE),TIAM15_assumptions!$H$2:$V$2,0))</f>
        <v>0</v>
      </c>
      <c r="AS29" s="9">
        <f ca="1">OFFSET(TIAM15_assumptions!$G29,0,MATCH(VLOOKUP(Assumptions!AS$2,TIAM15_assumptions!$Y$3:$Z$87,2,FALSE),TIAM15_assumptions!$H$2:$V$2,0))</f>
        <v>0</v>
      </c>
      <c r="AT29" s="9">
        <f ca="1">OFFSET(TIAM15_assumptions!$G29,0,MATCH(VLOOKUP(Assumptions!AT$2,TIAM15_assumptions!$Y$3:$Z$87,2,FALSE),TIAM15_assumptions!$H$2:$V$2,0))</f>
        <v>0</v>
      </c>
      <c r="AU29" s="9">
        <f ca="1">OFFSET(TIAM15_assumptions!$G29,0,MATCH(VLOOKUP(Assumptions!AU$2,TIAM15_assumptions!$Y$3:$Z$87,2,FALSE),TIAM15_assumptions!$H$2:$V$2,0))</f>
        <v>0</v>
      </c>
      <c r="AV29" s="9">
        <f ca="1">OFFSET(TIAM15_assumptions!$G29,0,MATCH(VLOOKUP(Assumptions!AV$2,TIAM15_assumptions!$Y$3:$Z$87,2,FALSE),TIAM15_assumptions!$H$2:$V$2,0))</f>
        <v>0</v>
      </c>
      <c r="AW29" s="9">
        <f ca="1">OFFSET(TIAM15_assumptions!$G29,0,MATCH(VLOOKUP(Assumptions!AW$2,TIAM15_assumptions!$Y$3:$Z$87,2,FALSE),TIAM15_assumptions!$H$2:$V$2,0))</f>
        <v>0</v>
      </c>
      <c r="AX29" s="9">
        <f ca="1">OFFSET(TIAM15_assumptions!$G29,0,MATCH(VLOOKUP(Assumptions!AX$2,TIAM15_assumptions!$Y$3:$Z$87,2,FALSE),TIAM15_assumptions!$H$2:$V$2,0))</f>
        <v>0</v>
      </c>
      <c r="AY29" s="9">
        <f ca="1">OFFSET(TIAM15_assumptions!$G29,0,MATCH(VLOOKUP(Assumptions!AY$2,TIAM15_assumptions!$Y$3:$Z$87,2,FALSE),TIAM15_assumptions!$H$2:$V$2,0))</f>
        <v>0</v>
      </c>
      <c r="AZ29" s="9">
        <f ca="1">OFFSET(TIAM15_assumptions!$G29,0,MATCH(VLOOKUP(Assumptions!AZ$2,TIAM15_assumptions!$Y$3:$Z$87,2,FALSE),TIAM15_assumptions!$H$2:$V$2,0))</f>
        <v>0</v>
      </c>
      <c r="BA29" s="9">
        <f ca="1">OFFSET(TIAM15_assumptions!$G29,0,MATCH(VLOOKUP(Assumptions!BA$2,TIAM15_assumptions!$Y$3:$Z$87,2,FALSE),TIAM15_assumptions!$H$2:$V$2,0))</f>
        <v>0</v>
      </c>
      <c r="BD29" s="34">
        <f ca="1">IFERROR(SUMIFS('TRA balance'!E$5:E$40,'TRA balance'!$C$5:$C$40,Assumptions!$C29,'TRA balance'!$D$5:$D$40,Assumptions!$B29)*CY29*H29,"")</f>
        <v>0</v>
      </c>
      <c r="BE29" s="34">
        <f ca="1">IFERROR(SUMIFS('TRA balance'!F$5:F$40,'TRA balance'!$C$5:$C$40,Assumptions!$C29,'TRA balance'!$D$5:$D$40,Assumptions!$B29)*CZ29*I29,"")</f>
        <v>0</v>
      </c>
      <c r="BF29" s="34">
        <f ca="1">IFERROR(SUMIFS('TRA balance'!G$5:G$40,'TRA balance'!$C$5:$C$40,Assumptions!$C29,'TRA balance'!$D$5:$D$40,Assumptions!$B29)*DA29*J29,"")</f>
        <v>0</v>
      </c>
      <c r="BG29" s="34">
        <f ca="1">IFERROR(SUMIFS('TRA balance'!H$5:H$40,'TRA balance'!$C$5:$C$40,Assumptions!$C29,'TRA balance'!$D$5:$D$40,Assumptions!$B29)*DB29*K29,"")</f>
        <v>0</v>
      </c>
      <c r="BH29" s="34">
        <f ca="1">IFERROR(SUMIFS('TRA balance'!I$5:I$40,'TRA balance'!$C$5:$C$40,Assumptions!$C29,'TRA balance'!$D$5:$D$40,Assumptions!$B29)*DC29*L29,"")</f>
        <v>0</v>
      </c>
      <c r="BI29" s="34">
        <f ca="1">IFERROR(SUMIFS('TRA balance'!J$5:J$40,'TRA balance'!$C$5:$C$40,Assumptions!$C29,'TRA balance'!$D$5:$D$40,Assumptions!$B29)*DD29*M29,"")</f>
        <v>0</v>
      </c>
      <c r="BJ29" s="34">
        <f ca="1">IFERROR(SUMIFS('TRA balance'!K$5:K$40,'TRA balance'!$C$5:$C$40,Assumptions!$C29,'TRA balance'!$D$5:$D$40,Assumptions!$B29)*DE29*N29,"")</f>
        <v>0</v>
      </c>
      <c r="BK29" s="34">
        <f ca="1">IFERROR(SUMIFS('TRA balance'!L$5:L$40,'TRA balance'!$C$5:$C$40,Assumptions!$C29,'TRA balance'!$D$5:$D$40,Assumptions!$B29)*DF29*O29,"")</f>
        <v>0</v>
      </c>
      <c r="BL29" s="34">
        <f ca="1">IFERROR(SUMIFS('TRA balance'!M$5:M$40,'TRA balance'!$C$5:$C$40,Assumptions!$C29,'TRA balance'!$D$5:$D$40,Assumptions!$B29)*DG29*P29,"")</f>
        <v>0</v>
      </c>
      <c r="BM29" s="34">
        <f ca="1">IFERROR(SUMIFS('TRA balance'!N$5:N$40,'TRA balance'!$C$5:$C$40,Assumptions!$C29,'TRA balance'!$D$5:$D$40,Assumptions!$B29)*DH29*Q29,"")</f>
        <v>0</v>
      </c>
      <c r="BN29" s="34">
        <f ca="1">IFERROR(SUMIFS('TRA balance'!O$5:O$40,'TRA balance'!$C$5:$C$40,Assumptions!$C29,'TRA balance'!$D$5:$D$40,Assumptions!$B29)*DI29*R29,"")</f>
        <v>0</v>
      </c>
      <c r="BO29" s="34">
        <f ca="1">IFERROR(SUMIFS('TRA balance'!P$5:P$40,'TRA balance'!$C$5:$C$40,Assumptions!$C29,'TRA balance'!$D$5:$D$40,Assumptions!$B29)*DJ29*S29,"")</f>
        <v>0</v>
      </c>
      <c r="BP29" s="34">
        <f ca="1">IFERROR(SUMIFS('TRA balance'!Q$5:Q$40,'TRA balance'!$C$5:$C$40,Assumptions!$C29,'TRA balance'!$D$5:$D$40,Assumptions!$B29)*DK29*T29,"")</f>
        <v>0</v>
      </c>
      <c r="BQ29" s="34">
        <f ca="1">IFERROR(SUMIFS('TRA balance'!R$5:R$40,'TRA balance'!$C$5:$C$40,Assumptions!$C29,'TRA balance'!$D$5:$D$40,Assumptions!$B29)*DL29*U29,"")</f>
        <v>0</v>
      </c>
      <c r="BR29" s="34">
        <f ca="1">IFERROR(SUMIFS('TRA balance'!S$5:S$40,'TRA balance'!$C$5:$C$40,Assumptions!$C29,'TRA balance'!$D$5:$D$40,Assumptions!$B29)*DM29*V29,"")</f>
        <v>0</v>
      </c>
      <c r="BS29" s="34">
        <f ca="1">IFERROR(SUMIFS('TRA balance'!T$5:T$40,'TRA balance'!$C$5:$C$40,Assumptions!$C29,'TRA balance'!$D$5:$D$40,Assumptions!$B29)*DN29*W29,"")</f>
        <v>0</v>
      </c>
      <c r="BT29" s="34">
        <f ca="1">IFERROR(SUMIFS('TRA balance'!U$5:U$40,'TRA balance'!$C$5:$C$40,Assumptions!$C29,'TRA balance'!$D$5:$D$40,Assumptions!$B29)*DO29*X29,"")</f>
        <v>0</v>
      </c>
      <c r="BU29" s="34">
        <f ca="1">IFERROR(SUMIFS('TRA balance'!V$5:V$40,'TRA balance'!$C$5:$C$40,Assumptions!$C29,'TRA balance'!$D$5:$D$40,Assumptions!$B29)*DP29*Y29,"")</f>
        <v>0</v>
      </c>
      <c r="BV29" s="34">
        <f ca="1">IFERROR(SUMIFS('TRA balance'!W$5:W$40,'TRA balance'!$C$5:$C$40,Assumptions!$C29,'TRA balance'!$D$5:$D$40,Assumptions!$B29)*DQ29*Z29,"")</f>
        <v>0</v>
      </c>
      <c r="BW29" s="34">
        <f ca="1">IFERROR(SUMIFS('TRA balance'!X$5:X$40,'TRA balance'!$C$5:$C$40,Assumptions!$C29,'TRA balance'!$D$5:$D$40,Assumptions!$B29)*DR29*AA29,"")</f>
        <v>0</v>
      </c>
      <c r="BX29" s="34">
        <f ca="1">IFERROR(SUMIFS('TRA balance'!Y$5:Y$40,'TRA balance'!$C$5:$C$40,Assumptions!$C29,'TRA balance'!$D$5:$D$40,Assumptions!$B29)*DS29*AB29,"")</f>
        <v>0</v>
      </c>
      <c r="BY29" s="34">
        <f ca="1">IFERROR(SUMIFS('TRA balance'!Z$5:Z$40,'TRA balance'!$C$5:$C$40,Assumptions!$C29,'TRA balance'!$D$5:$D$40,Assumptions!$B29)*DT29*AC29,"")</f>
        <v>0</v>
      </c>
      <c r="BZ29" s="34">
        <f ca="1">IFERROR(SUMIFS('TRA balance'!AA$5:AA$40,'TRA balance'!$C$5:$C$40,Assumptions!$C29,'TRA balance'!$D$5:$D$40,Assumptions!$B29)*DU29*AD29,"")</f>
        <v>0</v>
      </c>
      <c r="CA29" s="34">
        <f ca="1">IFERROR(SUMIFS('TRA balance'!AB$5:AB$40,'TRA balance'!$C$5:$C$40,Assumptions!$C29,'TRA balance'!$D$5:$D$40,Assumptions!$B29)*DV29*AE29,"")</f>
        <v>0</v>
      </c>
      <c r="CB29" s="34">
        <f ca="1">IFERROR(SUMIFS('TRA balance'!AC$5:AC$40,'TRA balance'!$C$5:$C$40,Assumptions!$C29,'TRA balance'!$D$5:$D$40,Assumptions!$B29)*DW29*AF29,"")</f>
        <v>0</v>
      </c>
      <c r="CC29" s="34">
        <f ca="1">IFERROR(SUMIFS('TRA balance'!AD$5:AD$40,'TRA balance'!$C$5:$C$40,Assumptions!$C29,'TRA balance'!$D$5:$D$40,Assumptions!$B29)*DX29*AG29,"")</f>
        <v>0</v>
      </c>
      <c r="CD29" s="34">
        <f ca="1">IFERROR(SUMIFS('TRA balance'!AE$5:AE$40,'TRA balance'!$C$5:$C$40,Assumptions!$C29,'TRA balance'!$D$5:$D$40,Assumptions!$B29)*DY29*AH29,"")</f>
        <v>0</v>
      </c>
      <c r="CE29" s="34">
        <f ca="1">IFERROR(SUMIFS('TRA balance'!AF$5:AF$40,'TRA balance'!$C$5:$C$40,Assumptions!$C29,'TRA balance'!$D$5:$D$40,Assumptions!$B29)*DZ29*AI29,"")</f>
        <v>0</v>
      </c>
      <c r="CF29" s="34">
        <f ca="1">IFERROR(SUMIFS('TRA balance'!AG$5:AG$40,'TRA balance'!$C$5:$C$40,Assumptions!$C29,'TRA balance'!$D$5:$D$40,Assumptions!$B29)*EA29*AJ29,"")</f>
        <v>0</v>
      </c>
      <c r="CG29" s="34">
        <f ca="1">IFERROR(SUMIFS('TRA balance'!AH$5:AH$40,'TRA balance'!$C$5:$C$40,Assumptions!$C29,'TRA balance'!$D$5:$D$40,Assumptions!$B29)*EB29*AK29,"")</f>
        <v>0</v>
      </c>
      <c r="CH29" s="34">
        <f ca="1">IFERROR(SUMIFS('TRA balance'!AI$5:AI$40,'TRA balance'!$C$5:$C$40,Assumptions!$C29,'TRA balance'!$D$5:$D$40,Assumptions!$B29)*EC29*AL29,"")</f>
        <v>0</v>
      </c>
      <c r="CI29" s="34">
        <f ca="1">IFERROR(SUMIFS('TRA balance'!AJ$5:AJ$40,'TRA balance'!$C$5:$C$40,Assumptions!$C29,'TRA balance'!$D$5:$D$40,Assumptions!$B29)*ED29*AM29,"")</f>
        <v>0</v>
      </c>
      <c r="CJ29" s="34">
        <f ca="1">IFERROR(SUMIFS('TRA balance'!AK$5:AK$40,'TRA balance'!$C$5:$C$40,Assumptions!$C29,'TRA balance'!$D$5:$D$40,Assumptions!$B29)*EE29*AN29,"")</f>
        <v>0</v>
      </c>
      <c r="CK29" s="34">
        <f ca="1">IFERROR(SUMIFS('TRA balance'!AL$5:AL$40,'TRA balance'!$C$5:$C$40,Assumptions!$C29,'TRA balance'!$D$5:$D$40,Assumptions!$B29)*EF29*AO29,"")</f>
        <v>0</v>
      </c>
      <c r="CL29" s="34">
        <f ca="1">IFERROR(SUMIFS('TRA balance'!AM$5:AM$40,'TRA balance'!$C$5:$C$40,Assumptions!$C29,'TRA balance'!$D$5:$D$40,Assumptions!$B29)*EG29*AP29,"")</f>
        <v>0</v>
      </c>
      <c r="CM29" s="34">
        <f ca="1">IFERROR(SUMIFS('TRA balance'!AN$5:AN$40,'TRA balance'!$C$5:$C$40,Assumptions!$C29,'TRA balance'!$D$5:$D$40,Assumptions!$B29)*EH29*AQ29,"")</f>
        <v>0</v>
      </c>
      <c r="CN29" s="34">
        <f ca="1">IFERROR(SUMIFS('TRA balance'!AO$5:AO$40,'TRA balance'!$C$5:$C$40,Assumptions!$C29,'TRA balance'!$D$5:$D$40,Assumptions!$B29)*EI29*AR29,"")</f>
        <v>0</v>
      </c>
      <c r="CO29" s="34">
        <f ca="1">IFERROR(SUMIFS('TRA balance'!AP$5:AP$40,'TRA balance'!$C$5:$C$40,Assumptions!$C29,'TRA balance'!$D$5:$D$40,Assumptions!$B29)*EJ29*AS29,"")</f>
        <v>0</v>
      </c>
      <c r="CP29" s="34">
        <f ca="1">IFERROR(SUMIFS('TRA balance'!AQ$5:AQ$40,'TRA balance'!$C$5:$C$40,Assumptions!$C29,'TRA balance'!$D$5:$D$40,Assumptions!$B29)*EK29*AT29,"")</f>
        <v>0</v>
      </c>
      <c r="CQ29" s="34">
        <f ca="1">IFERROR(SUMIFS('TRA balance'!AR$5:AR$40,'TRA balance'!$C$5:$C$40,Assumptions!$C29,'TRA balance'!$D$5:$D$40,Assumptions!$B29)*EL29*AU29,"")</f>
        <v>0</v>
      </c>
      <c r="CR29" s="34">
        <f ca="1">IFERROR(SUMIFS('TRA balance'!AS$5:AS$40,'TRA balance'!$C$5:$C$40,Assumptions!$C29,'TRA balance'!$D$5:$D$40,Assumptions!$B29)*EM29*AV29,"")</f>
        <v>0</v>
      </c>
      <c r="CS29" s="34">
        <f ca="1">IFERROR(SUMIFS('TRA balance'!AT$5:AT$40,'TRA balance'!$C$5:$C$40,Assumptions!$C29,'TRA balance'!$D$5:$D$40,Assumptions!$B29)*EN29*AW29,"")</f>
        <v>0</v>
      </c>
      <c r="CT29" s="34">
        <f ca="1">IFERROR(SUMIFS('TRA balance'!AU$5:AU$40,'TRA balance'!$C$5:$C$40,Assumptions!$C29,'TRA balance'!$D$5:$D$40,Assumptions!$B29)*EO29*AX29,"")</f>
        <v>0</v>
      </c>
      <c r="CU29" s="34">
        <f ca="1">IFERROR(SUMIFS('TRA balance'!AV$5:AV$40,'TRA balance'!$C$5:$C$40,Assumptions!$C29,'TRA balance'!$D$5:$D$40,Assumptions!$B29)*EP29*AY29,"")</f>
        <v>0</v>
      </c>
      <c r="CV29" s="34">
        <f ca="1">IFERROR(SUMIFS('TRA balance'!AW$5:AW$40,'TRA balance'!$C$5:$C$40,Assumptions!$C29,'TRA balance'!$D$5:$D$40,Assumptions!$B29)*EQ29*AZ29,"")</f>
        <v>0</v>
      </c>
      <c r="CW29" s="34">
        <f ca="1">IFERROR(SUMIFS('TRA balance'!AX$5:AX$40,'TRA balance'!$C$5:$C$40,Assumptions!$C29,'TRA balance'!$D$5:$D$40,Assumptions!$B29)*ER29*BA29,"")</f>
        <v>0</v>
      </c>
      <c r="CY29" s="33">
        <f t="shared" ca="1" si="2"/>
        <v>0</v>
      </c>
      <c r="CZ29" s="33">
        <f t="shared" ca="1" si="3"/>
        <v>0</v>
      </c>
      <c r="DA29" s="33">
        <f t="shared" ca="1" si="4"/>
        <v>9.9999999999999978E-2</v>
      </c>
      <c r="DB29" s="33">
        <f t="shared" ca="1" si="5"/>
        <v>3.0000000000000027E-2</v>
      </c>
      <c r="DC29" s="33">
        <f t="shared" ca="1" si="6"/>
        <v>0.30000000000000004</v>
      </c>
      <c r="DD29" s="33">
        <f t="shared" ca="1" si="7"/>
        <v>3.0000000000000027E-2</v>
      </c>
      <c r="DE29" s="33">
        <f t="shared" ca="1" si="8"/>
        <v>9.9999999999999978E-2</v>
      </c>
      <c r="DF29" s="33">
        <f t="shared" ca="1" si="9"/>
        <v>9.9999999999999978E-2</v>
      </c>
      <c r="DG29" s="33">
        <f t="shared" ca="1" si="10"/>
        <v>9.9999999999999978E-2</v>
      </c>
      <c r="DH29" s="33">
        <f t="shared" ca="1" si="11"/>
        <v>9.9999999999999978E-2</v>
      </c>
      <c r="DI29" s="33">
        <f t="shared" ca="1" si="12"/>
        <v>3.0000000000000027E-2</v>
      </c>
      <c r="DJ29" s="33">
        <f t="shared" ca="1" si="13"/>
        <v>3.0000000000000027E-2</v>
      </c>
      <c r="DK29" s="33">
        <f t="shared" ca="1" si="14"/>
        <v>3.0000000000000027E-2</v>
      </c>
      <c r="DL29" s="33">
        <f t="shared" ca="1" si="15"/>
        <v>9.9999999999999978E-2</v>
      </c>
      <c r="DM29" s="33">
        <f t="shared" ca="1" si="16"/>
        <v>3.0000000000000027E-2</v>
      </c>
      <c r="DN29" s="33">
        <f t="shared" ca="1" si="17"/>
        <v>0</v>
      </c>
      <c r="DO29" s="33">
        <f t="shared" ca="1" si="18"/>
        <v>3.0000000000000027E-2</v>
      </c>
      <c r="DP29" s="33">
        <f t="shared" ca="1" si="19"/>
        <v>3.0000000000000027E-2</v>
      </c>
      <c r="DQ29" s="33">
        <f t="shared" ca="1" si="20"/>
        <v>9.9999999999999978E-2</v>
      </c>
      <c r="DR29" s="33">
        <f t="shared" ca="1" si="21"/>
        <v>9.9999999999999978E-2</v>
      </c>
      <c r="DS29" s="33">
        <f t="shared" ca="1" si="22"/>
        <v>0.30000000000000004</v>
      </c>
      <c r="DT29" s="33">
        <f t="shared" ca="1" si="23"/>
        <v>0.19999999999999996</v>
      </c>
      <c r="DU29" s="33">
        <f t="shared" ca="1" si="24"/>
        <v>3.0000000000000027E-2</v>
      </c>
      <c r="DV29" s="33">
        <f t="shared" ca="1" si="25"/>
        <v>9.9999999999999978E-2</v>
      </c>
      <c r="DW29" s="33">
        <f t="shared" ca="1" si="26"/>
        <v>0</v>
      </c>
      <c r="DX29" s="33">
        <f t="shared" ca="1" si="27"/>
        <v>0.30000000000000004</v>
      </c>
      <c r="DY29" s="33">
        <f t="shared" ca="1" si="28"/>
        <v>0.30000000000000004</v>
      </c>
      <c r="DZ29" s="33">
        <f t="shared" ca="1" si="29"/>
        <v>0</v>
      </c>
      <c r="EA29" s="33">
        <f t="shared" ca="1" si="30"/>
        <v>3.0000000000000027E-2</v>
      </c>
      <c r="EB29" s="33">
        <f t="shared" ca="1" si="31"/>
        <v>3.0000000000000027E-2</v>
      </c>
      <c r="EC29" s="33">
        <f t="shared" ca="1" si="32"/>
        <v>3.0000000000000027E-2</v>
      </c>
      <c r="ED29" s="33">
        <f t="shared" ca="1" si="33"/>
        <v>0.30000000000000004</v>
      </c>
      <c r="EE29" s="33">
        <f t="shared" ca="1" si="34"/>
        <v>3.0000000000000027E-2</v>
      </c>
      <c r="EF29" s="33">
        <f t="shared" ca="1" si="35"/>
        <v>0.30000000000000004</v>
      </c>
      <c r="EG29" s="33">
        <f t="shared" ca="1" si="36"/>
        <v>9.9999999999999978E-2</v>
      </c>
      <c r="EH29" s="33">
        <f t="shared" ca="1" si="37"/>
        <v>0.19999999999999996</v>
      </c>
      <c r="EI29" s="33">
        <f t="shared" ca="1" si="38"/>
        <v>0.19999999999999996</v>
      </c>
      <c r="EJ29" s="33">
        <f t="shared" ca="1" si="39"/>
        <v>0.19999999999999996</v>
      </c>
      <c r="EK29" s="33">
        <f t="shared" ca="1" si="40"/>
        <v>0.19999999999999996</v>
      </c>
      <c r="EL29" s="33">
        <f t="shared" ca="1" si="41"/>
        <v>0.19999999999999996</v>
      </c>
      <c r="EM29" s="33">
        <f t="shared" ca="1" si="42"/>
        <v>0.19999999999999996</v>
      </c>
      <c r="EN29" s="33">
        <f t="shared" ca="1" si="43"/>
        <v>0.19999999999999996</v>
      </c>
      <c r="EO29" s="33">
        <f t="shared" ca="1" si="44"/>
        <v>0.19999999999999996</v>
      </c>
      <c r="EP29" s="33">
        <f t="shared" ca="1" si="45"/>
        <v>0.19999999999999996</v>
      </c>
      <c r="EQ29" s="33">
        <f t="shared" ca="1" si="46"/>
        <v>0.19999999999999996</v>
      </c>
      <c r="ER29" s="33">
        <f t="shared" ca="1" si="47"/>
        <v>0.19999999999999996</v>
      </c>
    </row>
    <row r="30" spans="1:148">
      <c r="A30">
        <v>2</v>
      </c>
      <c r="B30" t="str">
        <f>VLOOKUP(F30,'TRA balance'!$BA$5:$BB$14,2,FALSE)</f>
        <v>TRAGSL</v>
      </c>
      <c r="C30" s="6" t="str">
        <f t="shared" si="48"/>
        <v>TR</v>
      </c>
      <c r="D30" s="7" t="s">
        <v>16</v>
      </c>
      <c r="E30" s="18" t="s">
        <v>75</v>
      </c>
      <c r="F30" s="8" t="str">
        <f t="shared" si="62"/>
        <v>Gasoline</v>
      </c>
      <c r="G30" s="6" t="s">
        <v>76</v>
      </c>
      <c r="H30" s="9">
        <f ca="1">OFFSET(TIAM15_assumptions!$G30,0,MATCH(VLOOKUP(Assumptions!H$2,TIAM15_assumptions!$Y$3:$Z$87,2,FALSE),TIAM15_assumptions!$H$2:$V$2,0))</f>
        <v>0.4</v>
      </c>
      <c r="I30" s="9">
        <f ca="1">OFFSET(TIAM15_assumptions!$G30,0,MATCH(VLOOKUP(Assumptions!I$2,TIAM15_assumptions!$Y$3:$Z$87,2,FALSE),TIAM15_assumptions!$H$2:$V$2,0))</f>
        <v>0.4</v>
      </c>
      <c r="J30" s="9">
        <f ca="1">OFFSET(TIAM15_assumptions!$G30,0,MATCH(VLOOKUP(Assumptions!J$2,TIAM15_assumptions!$Y$3:$Z$87,2,FALSE),TIAM15_assumptions!$H$2:$V$2,0))</f>
        <v>0</v>
      </c>
      <c r="K30" s="9">
        <f ca="1">OFFSET(TIAM15_assumptions!$G30,0,MATCH(VLOOKUP(Assumptions!K$2,TIAM15_assumptions!$Y$3:$Z$87,2,FALSE),TIAM15_assumptions!$H$2:$V$2,0))</f>
        <v>0</v>
      </c>
      <c r="L30" s="9">
        <f ca="1">OFFSET(TIAM15_assumptions!$G30,0,MATCH(VLOOKUP(Assumptions!L$2,TIAM15_assumptions!$Y$3:$Z$87,2,FALSE),TIAM15_assumptions!$H$2:$V$2,0))</f>
        <v>0.4</v>
      </c>
      <c r="M30" s="9">
        <f ca="1">OFFSET(TIAM15_assumptions!$G30,0,MATCH(VLOOKUP(Assumptions!M$2,TIAM15_assumptions!$Y$3:$Z$87,2,FALSE),TIAM15_assumptions!$H$2:$V$2,0))</f>
        <v>0</v>
      </c>
      <c r="N30" s="9">
        <f ca="1">OFFSET(TIAM15_assumptions!$G30,0,MATCH(VLOOKUP(Assumptions!N$2,TIAM15_assumptions!$Y$3:$Z$87,2,FALSE),TIAM15_assumptions!$H$2:$V$2,0))</f>
        <v>0.3</v>
      </c>
      <c r="O30" s="9">
        <f ca="1">OFFSET(TIAM15_assumptions!$G30,0,MATCH(VLOOKUP(Assumptions!O$2,TIAM15_assumptions!$Y$3:$Z$87,2,FALSE),TIAM15_assumptions!$H$2:$V$2,0))</f>
        <v>0.1</v>
      </c>
      <c r="P30" s="9">
        <f ca="1">OFFSET(TIAM15_assumptions!$G30,0,MATCH(VLOOKUP(Assumptions!P$2,TIAM15_assumptions!$Y$3:$Z$87,2,FALSE),TIAM15_assumptions!$H$2:$V$2,0))</f>
        <v>0.4</v>
      </c>
      <c r="Q30" s="9">
        <f ca="1">OFFSET(TIAM15_assumptions!$G30,0,MATCH(VLOOKUP(Assumptions!Q$2,TIAM15_assumptions!$Y$3:$Z$87,2,FALSE),TIAM15_assumptions!$H$2:$V$2,0))</f>
        <v>0.4</v>
      </c>
      <c r="R30" s="9">
        <f ca="1">OFFSET(TIAM15_assumptions!$G30,0,MATCH(VLOOKUP(Assumptions!R$2,TIAM15_assumptions!$Y$3:$Z$87,2,FALSE),TIAM15_assumptions!$H$2:$V$2,0))</f>
        <v>0</v>
      </c>
      <c r="S30" s="9">
        <f ca="1">OFFSET(TIAM15_assumptions!$G30,0,MATCH(VLOOKUP(Assumptions!S$2,TIAM15_assumptions!$Y$3:$Z$87,2,FALSE),TIAM15_assumptions!$H$2:$V$2,0))</f>
        <v>0</v>
      </c>
      <c r="T30" s="9">
        <f ca="1">OFFSET(TIAM15_assumptions!$G30,0,MATCH(VLOOKUP(Assumptions!T$2,TIAM15_assumptions!$Y$3:$Z$87,2,FALSE),TIAM15_assumptions!$H$2:$V$2,0))</f>
        <v>0</v>
      </c>
      <c r="U30" s="9">
        <f ca="1">OFFSET(TIAM15_assumptions!$G30,0,MATCH(VLOOKUP(Assumptions!U$2,TIAM15_assumptions!$Y$3:$Z$87,2,FALSE),TIAM15_assumptions!$H$2:$V$2,0))</f>
        <v>0.4</v>
      </c>
      <c r="V30" s="9">
        <f ca="1">OFFSET(TIAM15_assumptions!$G30,0,MATCH(VLOOKUP(Assumptions!V$2,TIAM15_assumptions!$Y$3:$Z$87,2,FALSE),TIAM15_assumptions!$H$2:$V$2,0))</f>
        <v>0</v>
      </c>
      <c r="W30" s="9">
        <f ca="1">OFFSET(TIAM15_assumptions!$G30,0,MATCH(VLOOKUP(Assumptions!W$2,TIAM15_assumptions!$Y$3:$Z$87,2,FALSE),TIAM15_assumptions!$H$2:$V$2,0))</f>
        <v>0.3</v>
      </c>
      <c r="X30" s="9">
        <f ca="1">OFFSET(TIAM15_assumptions!$G30,0,MATCH(VLOOKUP(Assumptions!X$2,TIAM15_assumptions!$Y$3:$Z$87,2,FALSE),TIAM15_assumptions!$H$2:$V$2,0))</f>
        <v>0</v>
      </c>
      <c r="Y30" s="9">
        <f ca="1">OFFSET(TIAM15_assumptions!$G30,0,MATCH(VLOOKUP(Assumptions!Y$2,TIAM15_assumptions!$Y$3:$Z$87,2,FALSE),TIAM15_assumptions!$H$2:$V$2,0))</f>
        <v>0</v>
      </c>
      <c r="Z30" s="9">
        <f ca="1">OFFSET(TIAM15_assumptions!$G30,0,MATCH(VLOOKUP(Assumptions!Z$2,TIAM15_assumptions!$Y$3:$Z$87,2,FALSE),TIAM15_assumptions!$H$2:$V$2,0))</f>
        <v>0</v>
      </c>
      <c r="AA30" s="9">
        <f ca="1">OFFSET(TIAM15_assumptions!$G30,0,MATCH(VLOOKUP(Assumptions!AA$2,TIAM15_assumptions!$Y$3:$Z$87,2,FALSE),TIAM15_assumptions!$H$2:$V$2,0))</f>
        <v>0.3</v>
      </c>
      <c r="AB30" s="9">
        <f ca="1">OFFSET(TIAM15_assumptions!$G30,0,MATCH(VLOOKUP(Assumptions!AB$2,TIAM15_assumptions!$Y$3:$Z$87,2,FALSE),TIAM15_assumptions!$H$2:$V$2,0))</f>
        <v>0.35</v>
      </c>
      <c r="AC30" s="9">
        <f ca="1">OFFSET(TIAM15_assumptions!$G30,0,MATCH(VLOOKUP(Assumptions!AC$2,TIAM15_assumptions!$Y$3:$Z$87,2,FALSE),TIAM15_assumptions!$H$2:$V$2,0))</f>
        <v>0.3</v>
      </c>
      <c r="AD30" s="9">
        <f ca="1">OFFSET(TIAM15_assumptions!$G30,0,MATCH(VLOOKUP(Assumptions!AD$2,TIAM15_assumptions!$Y$3:$Z$87,2,FALSE),TIAM15_assumptions!$H$2:$V$2,0))</f>
        <v>0</v>
      </c>
      <c r="AE30" s="9">
        <f ca="1">OFFSET(TIAM15_assumptions!$G30,0,MATCH(VLOOKUP(Assumptions!AE$2,TIAM15_assumptions!$Y$3:$Z$87,2,FALSE),TIAM15_assumptions!$H$2:$V$2,0))</f>
        <v>0.4</v>
      </c>
      <c r="AF30" s="9">
        <f ca="1">OFFSET(TIAM15_assumptions!$G30,0,MATCH(VLOOKUP(Assumptions!AF$2,TIAM15_assumptions!$Y$3:$Z$87,2,FALSE),TIAM15_assumptions!$H$2:$V$2,0))</f>
        <v>0.35</v>
      </c>
      <c r="AG30" s="9">
        <f ca="1">OFFSET(TIAM15_assumptions!$G30,0,MATCH(VLOOKUP(Assumptions!AG$2,TIAM15_assumptions!$Y$3:$Z$87,2,FALSE),TIAM15_assumptions!$H$2:$V$2,0))</f>
        <v>0.4</v>
      </c>
      <c r="AH30" s="9">
        <f ca="1">OFFSET(TIAM15_assumptions!$G30,0,MATCH(VLOOKUP(Assumptions!AH$2,TIAM15_assumptions!$Y$3:$Z$87,2,FALSE),TIAM15_assumptions!$H$2:$V$2,0))</f>
        <v>0.35</v>
      </c>
      <c r="AI30" s="9">
        <f ca="1">OFFSET(TIAM15_assumptions!$G30,0,MATCH(VLOOKUP(Assumptions!AI$2,TIAM15_assumptions!$Y$3:$Z$87,2,FALSE),TIAM15_assumptions!$H$2:$V$2,0))</f>
        <v>0.4</v>
      </c>
      <c r="AJ30" s="9">
        <f ca="1">OFFSET(TIAM15_assumptions!$G30,0,MATCH(VLOOKUP(Assumptions!AJ$2,TIAM15_assumptions!$Y$3:$Z$87,2,FALSE),TIAM15_assumptions!$H$2:$V$2,0))</f>
        <v>0</v>
      </c>
      <c r="AK30" s="9">
        <f ca="1">OFFSET(TIAM15_assumptions!$G30,0,MATCH(VLOOKUP(Assumptions!AK$2,TIAM15_assumptions!$Y$3:$Z$87,2,FALSE),TIAM15_assumptions!$H$2:$V$2,0))</f>
        <v>0</v>
      </c>
      <c r="AL30" s="9">
        <f ca="1">OFFSET(TIAM15_assumptions!$G30,0,MATCH(VLOOKUP(Assumptions!AL$2,TIAM15_assumptions!$Y$3:$Z$87,2,FALSE),TIAM15_assumptions!$H$2:$V$2,0))</f>
        <v>0</v>
      </c>
      <c r="AM30" s="9">
        <f ca="1">OFFSET(TIAM15_assumptions!$G30,0,MATCH(VLOOKUP(Assumptions!AM$2,TIAM15_assumptions!$Y$3:$Z$87,2,FALSE),TIAM15_assumptions!$H$2:$V$2,0))</f>
        <v>0.35</v>
      </c>
      <c r="AN30" s="9">
        <f ca="1">OFFSET(TIAM15_assumptions!$G30,0,MATCH(VLOOKUP(Assumptions!AN$2,TIAM15_assumptions!$Y$3:$Z$87,2,FALSE),TIAM15_assumptions!$H$2:$V$2,0))</f>
        <v>0</v>
      </c>
      <c r="AO30" s="9">
        <f ca="1">OFFSET(TIAM15_assumptions!$G30,0,MATCH(VLOOKUP(Assumptions!AO$2,TIAM15_assumptions!$Y$3:$Z$87,2,FALSE),TIAM15_assumptions!$H$2:$V$2,0))</f>
        <v>0.4</v>
      </c>
      <c r="AP30" s="9">
        <f ca="1">OFFSET(TIAM15_assumptions!$G30,0,MATCH(VLOOKUP(Assumptions!AP$2,TIAM15_assumptions!$Y$3:$Z$87,2,FALSE),TIAM15_assumptions!$H$2:$V$2,0))</f>
        <v>0.4</v>
      </c>
      <c r="AQ30" s="9">
        <f ca="1">OFFSET(TIAM15_assumptions!$G30,0,MATCH(VLOOKUP(Assumptions!AQ$2,TIAM15_assumptions!$Y$3:$Z$87,2,FALSE),TIAM15_assumptions!$H$2:$V$2,0))</f>
        <v>0.3</v>
      </c>
      <c r="AR30" s="9">
        <f ca="1">OFFSET(TIAM15_assumptions!$G30,0,MATCH(VLOOKUP(Assumptions!AR$2,TIAM15_assumptions!$Y$3:$Z$87,2,FALSE),TIAM15_assumptions!$H$2:$V$2,0))</f>
        <v>0.3</v>
      </c>
      <c r="AS30" s="9">
        <f ca="1">OFFSET(TIAM15_assumptions!$G30,0,MATCH(VLOOKUP(Assumptions!AS$2,TIAM15_assumptions!$Y$3:$Z$87,2,FALSE),TIAM15_assumptions!$H$2:$V$2,0))</f>
        <v>0.3</v>
      </c>
      <c r="AT30" s="9">
        <f ca="1">OFFSET(TIAM15_assumptions!$G30,0,MATCH(VLOOKUP(Assumptions!AT$2,TIAM15_assumptions!$Y$3:$Z$87,2,FALSE),TIAM15_assumptions!$H$2:$V$2,0))</f>
        <v>0.3</v>
      </c>
      <c r="AU30" s="9">
        <f ca="1">OFFSET(TIAM15_assumptions!$G30,0,MATCH(VLOOKUP(Assumptions!AU$2,TIAM15_assumptions!$Y$3:$Z$87,2,FALSE),TIAM15_assumptions!$H$2:$V$2,0))</f>
        <v>0.3</v>
      </c>
      <c r="AV30" s="9">
        <f ca="1">OFFSET(TIAM15_assumptions!$G30,0,MATCH(VLOOKUP(Assumptions!AV$2,TIAM15_assumptions!$Y$3:$Z$87,2,FALSE),TIAM15_assumptions!$H$2:$V$2,0))</f>
        <v>0.3</v>
      </c>
      <c r="AW30" s="9">
        <f ca="1">OFFSET(TIAM15_assumptions!$G30,0,MATCH(VLOOKUP(Assumptions!AW$2,TIAM15_assumptions!$Y$3:$Z$87,2,FALSE),TIAM15_assumptions!$H$2:$V$2,0))</f>
        <v>0.3</v>
      </c>
      <c r="AX30" s="9">
        <f ca="1">OFFSET(TIAM15_assumptions!$G30,0,MATCH(VLOOKUP(Assumptions!AX$2,TIAM15_assumptions!$Y$3:$Z$87,2,FALSE),TIAM15_assumptions!$H$2:$V$2,0))</f>
        <v>0.3</v>
      </c>
      <c r="AY30" s="9">
        <f ca="1">OFFSET(TIAM15_assumptions!$G30,0,MATCH(VLOOKUP(Assumptions!AY$2,TIAM15_assumptions!$Y$3:$Z$87,2,FALSE),TIAM15_assumptions!$H$2:$V$2,0))</f>
        <v>0.3</v>
      </c>
      <c r="AZ30" s="9">
        <f ca="1">OFFSET(TIAM15_assumptions!$G30,0,MATCH(VLOOKUP(Assumptions!AZ$2,TIAM15_assumptions!$Y$3:$Z$87,2,FALSE),TIAM15_assumptions!$H$2:$V$2,0))</f>
        <v>0.3</v>
      </c>
      <c r="BA30" s="9">
        <f ca="1">OFFSET(TIAM15_assumptions!$G30,0,MATCH(VLOOKUP(Assumptions!BA$2,TIAM15_assumptions!$Y$3:$Z$87,2,FALSE),TIAM15_assumptions!$H$2:$V$2,0))</f>
        <v>0.3</v>
      </c>
      <c r="BD30" s="34">
        <f ca="1">IFERROR(SUMIFS('TRA balance'!E$5:E$40,'TRA balance'!$C$5:$C$40,Assumptions!$C30,'TRA balance'!$D$5:$D$40,Assumptions!$B30)*CY30*H30,"")</f>
        <v>0</v>
      </c>
      <c r="BE30" s="34">
        <f ca="1">IFERROR(SUMIFS('TRA balance'!F$5:F$40,'TRA balance'!$C$5:$C$40,Assumptions!$C30,'TRA balance'!$D$5:$D$40,Assumptions!$B30)*CZ30*I30,"")</f>
        <v>0</v>
      </c>
      <c r="BF30" s="34">
        <f ca="1">IFERROR(SUMIFS('TRA balance'!G$5:G$40,'TRA balance'!$C$5:$C$40,Assumptions!$C30,'TRA balance'!$D$5:$D$40,Assumptions!$B30)*DA30*J30,"")</f>
        <v>0</v>
      </c>
      <c r="BG30" s="34">
        <f ca="1">IFERROR(SUMIFS('TRA balance'!H$5:H$40,'TRA balance'!$C$5:$C$40,Assumptions!$C30,'TRA balance'!$D$5:$D$40,Assumptions!$B30)*DB30*K30,"")</f>
        <v>0</v>
      </c>
      <c r="BH30" s="34">
        <f ca="1">IFERROR(SUMIFS('TRA balance'!I$5:I$40,'TRA balance'!$C$5:$C$40,Assumptions!$C30,'TRA balance'!$D$5:$D$40,Assumptions!$B30)*DC30*L30,"")</f>
        <v>3.4699104807840002</v>
      </c>
      <c r="BI30" s="34">
        <f ca="1">IFERROR(SUMIFS('TRA balance'!J$5:J$40,'TRA balance'!$C$5:$C$40,Assumptions!$C30,'TRA balance'!$D$5:$D$40,Assumptions!$B30)*DD30*M30,"")</f>
        <v>0</v>
      </c>
      <c r="BJ30" s="34">
        <f ca="1">IFERROR(SUMIFS('TRA balance'!K$5:K$40,'TRA balance'!$C$5:$C$40,Assumptions!$C30,'TRA balance'!$D$5:$D$40,Assumptions!$B30)*DE30*N30,"")</f>
        <v>26.945455211387994</v>
      </c>
      <c r="BK30" s="34">
        <f ca="1">IFERROR(SUMIFS('TRA balance'!L$5:L$40,'TRA balance'!$C$5:$C$40,Assumptions!$C30,'TRA balance'!$D$5:$D$40,Assumptions!$B30)*DF30*O30,"")</f>
        <v>60.018947373239989</v>
      </c>
      <c r="BL30" s="34">
        <f ca="1">IFERROR(SUMIFS('TRA balance'!M$5:M$40,'TRA balance'!$C$5:$C$40,Assumptions!$C30,'TRA balance'!$D$5:$D$40,Assumptions!$B30)*DG30*P30,"")</f>
        <v>1.5034184177759997</v>
      </c>
      <c r="BM30" s="34">
        <f ca="1">IFERROR(SUMIFS('TRA balance'!N$5:N$40,'TRA balance'!$C$5:$C$40,Assumptions!$C30,'TRA balance'!$D$5:$D$40,Assumptions!$B30)*DH30*Q30,"")</f>
        <v>3.5640001022399996</v>
      </c>
      <c r="BN30" s="34">
        <f ca="1">IFERROR(SUMIFS('TRA balance'!O$5:O$40,'TRA balance'!$C$5:$C$40,Assumptions!$C30,'TRA balance'!$D$5:$D$40,Assumptions!$B30)*DI30*R30,"")</f>
        <v>0</v>
      </c>
      <c r="BO30" s="34">
        <f ca="1">IFERROR(SUMIFS('TRA balance'!P$5:P$40,'TRA balance'!$C$5:$C$40,Assumptions!$C30,'TRA balance'!$D$5:$D$40,Assumptions!$B30)*DJ30*S30,"")</f>
        <v>0</v>
      </c>
      <c r="BP30" s="34">
        <f ca="1">IFERROR(SUMIFS('TRA balance'!Q$5:Q$40,'TRA balance'!$C$5:$C$40,Assumptions!$C30,'TRA balance'!$D$5:$D$40,Assumptions!$B30)*DK30*T30,"")</f>
        <v>0</v>
      </c>
      <c r="BQ30" s="34">
        <f ca="1">IFERROR(SUMIFS('TRA balance'!R$5:R$40,'TRA balance'!$C$5:$C$40,Assumptions!$C30,'TRA balance'!$D$5:$D$40,Assumptions!$B30)*DL30*U30,"")</f>
        <v>5.5547009127359992</v>
      </c>
      <c r="BR30" s="34">
        <f ca="1">IFERROR(SUMIFS('TRA balance'!S$5:S$40,'TRA balance'!$C$5:$C$40,Assumptions!$C30,'TRA balance'!$D$5:$D$40,Assumptions!$B30)*DM30*V30,"")</f>
        <v>0</v>
      </c>
      <c r="BS30" s="34">
        <f ca="1">IFERROR(SUMIFS('TRA balance'!T$5:T$40,'TRA balance'!$C$5:$C$40,Assumptions!$C30,'TRA balance'!$D$5:$D$40,Assumptions!$B30)*DN30*W30,"")</f>
        <v>0</v>
      </c>
      <c r="BT30" s="34">
        <f ca="1">IFERROR(SUMIFS('TRA balance'!U$5:U$40,'TRA balance'!$C$5:$C$40,Assumptions!$C30,'TRA balance'!$D$5:$D$40,Assumptions!$B30)*DO30*X30,"")</f>
        <v>0</v>
      </c>
      <c r="BU30" s="34">
        <f ca="1">IFERROR(SUMIFS('TRA balance'!V$5:V$40,'TRA balance'!$C$5:$C$40,Assumptions!$C30,'TRA balance'!$D$5:$D$40,Assumptions!$B30)*DP30*Y30,"")</f>
        <v>0</v>
      </c>
      <c r="BV30" s="34">
        <f ca="1">IFERROR(SUMIFS('TRA balance'!W$5:W$40,'TRA balance'!$C$5:$C$40,Assumptions!$C30,'TRA balance'!$D$5:$D$40,Assumptions!$B30)*DQ30*Z30,"")</f>
        <v>0</v>
      </c>
      <c r="BW30" s="34">
        <f ca="1">IFERROR(SUMIFS('TRA balance'!X$5:X$40,'TRA balance'!$C$5:$C$40,Assumptions!$C30,'TRA balance'!$D$5:$D$40,Assumptions!$B30)*DR30*AA30,"")</f>
        <v>51.233718488723987</v>
      </c>
      <c r="BX30" s="34">
        <f ca="1">IFERROR(SUMIFS('TRA balance'!Y$5:Y$40,'TRA balance'!$C$5:$C$40,Assumptions!$C30,'TRA balance'!$D$5:$D$40,Assumptions!$B30)*DS30*AB30,"")</f>
        <v>247.76050901679002</v>
      </c>
      <c r="BY30" s="34">
        <f ca="1">IFERROR(SUMIFS('TRA balance'!Z$5:Z$40,'TRA balance'!$C$5:$C$40,Assumptions!$C30,'TRA balance'!$D$5:$D$40,Assumptions!$B30)*DT30*AC30,"")</f>
        <v>1100.8349585760957</v>
      </c>
      <c r="BZ30" s="34">
        <f ca="1">IFERROR(SUMIFS('TRA balance'!AA$5:AA$40,'TRA balance'!$C$5:$C$40,Assumptions!$C30,'TRA balance'!$D$5:$D$40,Assumptions!$B30)*DU30*AD30,"")</f>
        <v>0</v>
      </c>
      <c r="CA30" s="34">
        <f ca="1">IFERROR(SUMIFS('TRA balance'!AB$5:AB$40,'TRA balance'!$C$5:$C$40,Assumptions!$C30,'TRA balance'!$D$5:$D$40,Assumptions!$B30)*DV30*AE30,"")</f>
        <v>7.7726756298239996</v>
      </c>
      <c r="CB30" s="34">
        <f ca="1">IFERROR(SUMIFS('TRA balance'!AC$5:AC$40,'TRA balance'!$C$5:$C$40,Assumptions!$C30,'TRA balance'!$D$5:$D$40,Assumptions!$B30)*DW30*AF30,"")</f>
        <v>0</v>
      </c>
      <c r="CC30" s="34">
        <f ca="1">IFERROR(SUMIFS('TRA balance'!AD$5:AD$40,'TRA balance'!$C$5:$C$40,Assumptions!$C30,'TRA balance'!$D$5:$D$40,Assumptions!$B30)*DX30*AG30,"")</f>
        <v>185.63603539377607</v>
      </c>
      <c r="CD30" s="34">
        <f ca="1">IFERROR(SUMIFS('TRA balance'!AE$5:AE$40,'TRA balance'!$C$5:$C$40,Assumptions!$C30,'TRA balance'!$D$5:$D$40,Assumptions!$B30)*DY30*AH30,"")</f>
        <v>107.03392225268399</v>
      </c>
      <c r="CE30" s="34">
        <f ca="1">IFERROR(SUMIFS('TRA balance'!AF$5:AF$40,'TRA balance'!$C$5:$C$40,Assumptions!$C30,'TRA balance'!$D$5:$D$40,Assumptions!$B30)*DZ30*AI30,"")</f>
        <v>0</v>
      </c>
      <c r="CF30" s="34">
        <f ca="1">IFERROR(SUMIFS('TRA balance'!AG$5:AG$40,'TRA balance'!$C$5:$C$40,Assumptions!$C30,'TRA balance'!$D$5:$D$40,Assumptions!$B30)*EA30*AJ30,"")</f>
        <v>0</v>
      </c>
      <c r="CG30" s="34">
        <f ca="1">IFERROR(SUMIFS('TRA balance'!AH$5:AH$40,'TRA balance'!$C$5:$C$40,Assumptions!$C30,'TRA balance'!$D$5:$D$40,Assumptions!$B30)*EB30*AK30,"")</f>
        <v>0</v>
      </c>
      <c r="CH30" s="34">
        <f ca="1">IFERROR(SUMIFS('TRA balance'!AI$5:AI$40,'TRA balance'!$C$5:$C$40,Assumptions!$C30,'TRA balance'!$D$5:$D$40,Assumptions!$B30)*EC30*AL30,"")</f>
        <v>0</v>
      </c>
      <c r="CI30" s="34">
        <f ca="1">IFERROR(SUMIFS('TRA balance'!AJ$5:AJ$40,'TRA balance'!$C$5:$C$40,Assumptions!$C30,'TRA balance'!$D$5:$D$40,Assumptions!$B30)*ED30*AM30,"")</f>
        <v>10.427339867112002</v>
      </c>
      <c r="CJ30" s="34">
        <f ca="1">IFERROR(SUMIFS('TRA balance'!AK$5:AK$40,'TRA balance'!$C$5:$C$40,Assumptions!$C30,'TRA balance'!$D$5:$D$40,Assumptions!$B30)*EE30*AN30,"")</f>
        <v>0</v>
      </c>
      <c r="CK30" s="34">
        <f ca="1">IFERROR(SUMIFS('TRA balance'!AL$5:AL$40,'TRA balance'!$C$5:$C$40,Assumptions!$C30,'TRA balance'!$D$5:$D$40,Assumptions!$B30)*EF30*AO30,"")</f>
        <v>9.2580578156160005</v>
      </c>
      <c r="CL30" s="34">
        <f ca="1">IFERROR(SUMIFS('TRA balance'!AM$5:AM$40,'TRA balance'!$C$5:$C$40,Assumptions!$C30,'TRA balance'!$D$5:$D$40,Assumptions!$B30)*EG30*AP30,"")</f>
        <v>1.5647684355359996</v>
      </c>
      <c r="CM30" s="34">
        <f ca="1">IFERROR(SUMIFS('TRA balance'!AN$5:AN$40,'TRA balance'!$C$5:$C$40,Assumptions!$C30,'TRA balance'!$D$5:$D$40,Assumptions!$B30)*EH30*AQ30,"")</f>
        <v>0</v>
      </c>
      <c r="CN30" s="34">
        <f ca="1">IFERROR(SUMIFS('TRA balance'!AO$5:AO$40,'TRA balance'!$C$5:$C$40,Assumptions!$C30,'TRA balance'!$D$5:$D$40,Assumptions!$B30)*EI30*AR30,"")</f>
        <v>0</v>
      </c>
      <c r="CO30" s="34">
        <f ca="1">IFERROR(SUMIFS('TRA balance'!AP$5:AP$40,'TRA balance'!$C$5:$C$40,Assumptions!$C30,'TRA balance'!$D$5:$D$40,Assumptions!$B30)*EJ30*AS30,"")</f>
        <v>0</v>
      </c>
      <c r="CP30" s="34">
        <f ca="1">IFERROR(SUMIFS('TRA balance'!AQ$5:AQ$40,'TRA balance'!$C$5:$C$40,Assumptions!$C30,'TRA balance'!$D$5:$D$40,Assumptions!$B30)*EK30*AT30,"")</f>
        <v>0</v>
      </c>
      <c r="CQ30" s="34">
        <f ca="1">IFERROR(SUMIFS('TRA balance'!AR$5:AR$40,'TRA balance'!$C$5:$C$40,Assumptions!$C30,'TRA balance'!$D$5:$D$40,Assumptions!$B30)*EL30*AU30,"")</f>
        <v>0</v>
      </c>
      <c r="CR30" s="34">
        <f ca="1">IFERROR(SUMIFS('TRA balance'!AS$5:AS$40,'TRA balance'!$C$5:$C$40,Assumptions!$C30,'TRA balance'!$D$5:$D$40,Assumptions!$B30)*EM30*AV30,"")</f>
        <v>0</v>
      </c>
      <c r="CS30" s="34">
        <f ca="1">IFERROR(SUMIFS('TRA balance'!AT$5:AT$40,'TRA balance'!$C$5:$C$40,Assumptions!$C30,'TRA balance'!$D$5:$D$40,Assumptions!$B30)*EN30*AW30,"")</f>
        <v>0</v>
      </c>
      <c r="CT30" s="34">
        <f ca="1">IFERROR(SUMIFS('TRA balance'!AU$5:AU$40,'TRA balance'!$C$5:$C$40,Assumptions!$C30,'TRA balance'!$D$5:$D$40,Assumptions!$B30)*EO30*AX30,"")</f>
        <v>0</v>
      </c>
      <c r="CU30" s="34">
        <f ca="1">IFERROR(SUMIFS('TRA balance'!AV$5:AV$40,'TRA balance'!$C$5:$C$40,Assumptions!$C30,'TRA balance'!$D$5:$D$40,Assumptions!$B30)*EP30*AY30,"")</f>
        <v>0</v>
      </c>
      <c r="CV30" s="34">
        <f ca="1">IFERROR(SUMIFS('TRA balance'!AW$5:AW$40,'TRA balance'!$C$5:$C$40,Assumptions!$C30,'TRA balance'!$D$5:$D$40,Assumptions!$B30)*EQ30*AZ30,"")</f>
        <v>0</v>
      </c>
      <c r="CW30" s="34">
        <f ca="1">IFERROR(SUMIFS('TRA balance'!AX$5:AX$40,'TRA balance'!$C$5:$C$40,Assumptions!$C30,'TRA balance'!$D$5:$D$40,Assumptions!$B30)*ER30*BA30,"")</f>
        <v>0</v>
      </c>
      <c r="CY30" s="33">
        <f t="shared" ca="1" si="2"/>
        <v>0</v>
      </c>
      <c r="CZ30" s="33">
        <f t="shared" ca="1" si="3"/>
        <v>0</v>
      </c>
      <c r="DA30" s="33">
        <f t="shared" ca="1" si="4"/>
        <v>9.9999999999999978E-2</v>
      </c>
      <c r="DB30" s="33">
        <f t="shared" ca="1" si="5"/>
        <v>3.0000000000000027E-2</v>
      </c>
      <c r="DC30" s="33">
        <f t="shared" ca="1" si="6"/>
        <v>0.30000000000000004</v>
      </c>
      <c r="DD30" s="33">
        <f t="shared" ca="1" si="7"/>
        <v>3.0000000000000027E-2</v>
      </c>
      <c r="DE30" s="33">
        <f t="shared" ca="1" si="8"/>
        <v>9.9999999999999978E-2</v>
      </c>
      <c r="DF30" s="33">
        <f t="shared" ca="1" si="9"/>
        <v>9.9999999999999978E-2</v>
      </c>
      <c r="DG30" s="33">
        <f t="shared" ca="1" si="10"/>
        <v>9.9999999999999978E-2</v>
      </c>
      <c r="DH30" s="33">
        <f t="shared" ca="1" si="11"/>
        <v>9.9999999999999978E-2</v>
      </c>
      <c r="DI30" s="33">
        <f t="shared" ca="1" si="12"/>
        <v>3.0000000000000027E-2</v>
      </c>
      <c r="DJ30" s="33">
        <f t="shared" ca="1" si="13"/>
        <v>3.0000000000000027E-2</v>
      </c>
      <c r="DK30" s="33">
        <f t="shared" ca="1" si="14"/>
        <v>3.0000000000000027E-2</v>
      </c>
      <c r="DL30" s="33">
        <f t="shared" ca="1" si="15"/>
        <v>9.9999999999999978E-2</v>
      </c>
      <c r="DM30" s="33">
        <f t="shared" ca="1" si="16"/>
        <v>3.0000000000000027E-2</v>
      </c>
      <c r="DN30" s="33">
        <f t="shared" ca="1" si="17"/>
        <v>0</v>
      </c>
      <c r="DO30" s="33">
        <f t="shared" ca="1" si="18"/>
        <v>3.0000000000000027E-2</v>
      </c>
      <c r="DP30" s="33">
        <f t="shared" ca="1" si="19"/>
        <v>3.0000000000000027E-2</v>
      </c>
      <c r="DQ30" s="33">
        <f t="shared" ca="1" si="20"/>
        <v>9.9999999999999978E-2</v>
      </c>
      <c r="DR30" s="33">
        <f t="shared" ca="1" si="21"/>
        <v>9.9999999999999978E-2</v>
      </c>
      <c r="DS30" s="33">
        <f t="shared" ca="1" si="22"/>
        <v>0.30000000000000004</v>
      </c>
      <c r="DT30" s="33">
        <f t="shared" ca="1" si="23"/>
        <v>0.19999999999999996</v>
      </c>
      <c r="DU30" s="33">
        <f t="shared" ca="1" si="24"/>
        <v>3.0000000000000027E-2</v>
      </c>
      <c r="DV30" s="33">
        <f t="shared" ca="1" si="25"/>
        <v>9.9999999999999978E-2</v>
      </c>
      <c r="DW30" s="33">
        <f t="shared" ca="1" si="26"/>
        <v>0</v>
      </c>
      <c r="DX30" s="33">
        <f t="shared" ca="1" si="27"/>
        <v>0.30000000000000004</v>
      </c>
      <c r="DY30" s="33">
        <f t="shared" ca="1" si="28"/>
        <v>0.30000000000000004</v>
      </c>
      <c r="DZ30" s="33">
        <f t="shared" ca="1" si="29"/>
        <v>0</v>
      </c>
      <c r="EA30" s="33">
        <f t="shared" ca="1" si="30"/>
        <v>3.0000000000000027E-2</v>
      </c>
      <c r="EB30" s="33">
        <f t="shared" ca="1" si="31"/>
        <v>3.0000000000000027E-2</v>
      </c>
      <c r="EC30" s="33">
        <f t="shared" ca="1" si="32"/>
        <v>3.0000000000000027E-2</v>
      </c>
      <c r="ED30" s="33">
        <f t="shared" ca="1" si="33"/>
        <v>0.30000000000000004</v>
      </c>
      <c r="EE30" s="33">
        <f t="shared" ca="1" si="34"/>
        <v>3.0000000000000027E-2</v>
      </c>
      <c r="EF30" s="33">
        <f t="shared" ca="1" si="35"/>
        <v>0.30000000000000004</v>
      </c>
      <c r="EG30" s="33">
        <f t="shared" ca="1" si="36"/>
        <v>9.9999999999999978E-2</v>
      </c>
      <c r="EH30" s="33">
        <f t="shared" ca="1" si="37"/>
        <v>0.19999999999999996</v>
      </c>
      <c r="EI30" s="33">
        <f t="shared" ca="1" si="38"/>
        <v>0.19999999999999996</v>
      </c>
      <c r="EJ30" s="33">
        <f t="shared" ca="1" si="39"/>
        <v>0.19999999999999996</v>
      </c>
      <c r="EK30" s="33">
        <f t="shared" ca="1" si="40"/>
        <v>0.19999999999999996</v>
      </c>
      <c r="EL30" s="33">
        <f t="shared" ca="1" si="41"/>
        <v>0.19999999999999996</v>
      </c>
      <c r="EM30" s="33">
        <f t="shared" ca="1" si="42"/>
        <v>0.19999999999999996</v>
      </c>
      <c r="EN30" s="33">
        <f t="shared" ca="1" si="43"/>
        <v>0.19999999999999996</v>
      </c>
      <c r="EO30" s="33">
        <f t="shared" ca="1" si="44"/>
        <v>0.19999999999999996</v>
      </c>
      <c r="EP30" s="33">
        <f t="shared" ca="1" si="45"/>
        <v>0.19999999999999996</v>
      </c>
      <c r="EQ30" s="33">
        <f t="shared" ca="1" si="46"/>
        <v>0.19999999999999996</v>
      </c>
      <c r="ER30" s="33">
        <f t="shared" ca="1" si="47"/>
        <v>0.19999999999999996</v>
      </c>
    </row>
    <row r="31" spans="1:148">
      <c r="A31">
        <v>2</v>
      </c>
      <c r="B31" t="str">
        <f>VLOOKUP(F31,'TRA balance'!$BA$5:$BB$14,2,FALSE)</f>
        <v>TRAGSL</v>
      </c>
      <c r="C31" s="6" t="str">
        <f t="shared" si="48"/>
        <v>TR</v>
      </c>
      <c r="D31" s="7" t="s">
        <v>16</v>
      </c>
      <c r="E31" s="18" t="s">
        <v>77</v>
      </c>
      <c r="F31" s="8" t="str">
        <f t="shared" si="62"/>
        <v>Gasoline</v>
      </c>
      <c r="G31" s="6" t="s">
        <v>78</v>
      </c>
      <c r="H31" s="9">
        <f ca="1">OFFSET(TIAM15_assumptions!$G31,0,MATCH(VLOOKUP(Assumptions!H$2,TIAM15_assumptions!$Y$3:$Z$87,2,FALSE),TIAM15_assumptions!$H$2:$V$2,0))</f>
        <v>0.55000000000000004</v>
      </c>
      <c r="I31" s="9">
        <f ca="1">OFFSET(TIAM15_assumptions!$G31,0,MATCH(VLOOKUP(Assumptions!I$2,TIAM15_assumptions!$Y$3:$Z$87,2,FALSE),TIAM15_assumptions!$H$2:$V$2,0))</f>
        <v>0.55000000000000004</v>
      </c>
      <c r="J31" s="9">
        <f ca="1">OFFSET(TIAM15_assumptions!$G31,0,MATCH(VLOOKUP(Assumptions!J$2,TIAM15_assumptions!$Y$3:$Z$87,2,FALSE),TIAM15_assumptions!$H$2:$V$2,0))</f>
        <v>0.95</v>
      </c>
      <c r="K31" s="9">
        <f ca="1">OFFSET(TIAM15_assumptions!$G31,0,MATCH(VLOOKUP(Assumptions!K$2,TIAM15_assumptions!$Y$3:$Z$87,2,FALSE),TIAM15_assumptions!$H$2:$V$2,0))</f>
        <v>0.95</v>
      </c>
      <c r="L31" s="9">
        <f ca="1">OFFSET(TIAM15_assumptions!$G31,0,MATCH(VLOOKUP(Assumptions!L$2,TIAM15_assumptions!$Y$3:$Z$87,2,FALSE),TIAM15_assumptions!$H$2:$V$2,0))</f>
        <v>0.55000000000000004</v>
      </c>
      <c r="M31" s="9">
        <f ca="1">OFFSET(TIAM15_assumptions!$G31,0,MATCH(VLOOKUP(Assumptions!M$2,TIAM15_assumptions!$Y$3:$Z$87,2,FALSE),TIAM15_assumptions!$H$2:$V$2,0))</f>
        <v>0.95</v>
      </c>
      <c r="N31" s="9">
        <f ca="1">OFFSET(TIAM15_assumptions!$G31,0,MATCH(VLOOKUP(Assumptions!N$2,TIAM15_assumptions!$Y$3:$Z$87,2,FALSE),TIAM15_assumptions!$H$2:$V$2,0))</f>
        <v>0.58000000000000007</v>
      </c>
      <c r="O31" s="9">
        <f ca="1">OFFSET(TIAM15_assumptions!$G31,0,MATCH(VLOOKUP(Assumptions!O$2,TIAM15_assumptions!$Y$3:$Z$87,2,FALSE),TIAM15_assumptions!$H$2:$V$2,0))</f>
        <v>0.8</v>
      </c>
      <c r="P31" s="9">
        <f ca="1">OFFSET(TIAM15_assumptions!$G31,0,MATCH(VLOOKUP(Assumptions!P$2,TIAM15_assumptions!$Y$3:$Z$87,2,FALSE),TIAM15_assumptions!$H$2:$V$2,0))</f>
        <v>0.5</v>
      </c>
      <c r="Q31" s="9">
        <f ca="1">OFFSET(TIAM15_assumptions!$G31,0,MATCH(VLOOKUP(Assumptions!Q$2,TIAM15_assumptions!$Y$3:$Z$87,2,FALSE),TIAM15_assumptions!$H$2:$V$2,0))</f>
        <v>0.5</v>
      </c>
      <c r="R31" s="9">
        <f ca="1">OFFSET(TIAM15_assumptions!$G31,0,MATCH(VLOOKUP(Assumptions!R$2,TIAM15_assumptions!$Y$3:$Z$87,2,FALSE),TIAM15_assumptions!$H$2:$V$2,0))</f>
        <v>0.95</v>
      </c>
      <c r="S31" s="9">
        <f ca="1">OFFSET(TIAM15_assumptions!$G31,0,MATCH(VLOOKUP(Assumptions!S$2,TIAM15_assumptions!$Y$3:$Z$87,2,FALSE),TIAM15_assumptions!$H$2:$V$2,0))</f>
        <v>0.95</v>
      </c>
      <c r="T31" s="9">
        <f ca="1">OFFSET(TIAM15_assumptions!$G31,0,MATCH(VLOOKUP(Assumptions!T$2,TIAM15_assumptions!$Y$3:$Z$87,2,FALSE),TIAM15_assumptions!$H$2:$V$2,0))</f>
        <v>0.95</v>
      </c>
      <c r="U31" s="9">
        <f ca="1">OFFSET(TIAM15_assumptions!$G31,0,MATCH(VLOOKUP(Assumptions!U$2,TIAM15_assumptions!$Y$3:$Z$87,2,FALSE),TIAM15_assumptions!$H$2:$V$2,0))</f>
        <v>0.5</v>
      </c>
      <c r="V31" s="9">
        <f ca="1">OFFSET(TIAM15_assumptions!$G31,0,MATCH(VLOOKUP(Assumptions!V$2,TIAM15_assumptions!$Y$3:$Z$87,2,FALSE),TIAM15_assumptions!$H$2:$V$2,0))</f>
        <v>0.95</v>
      </c>
      <c r="W31" s="9">
        <f ca="1">OFFSET(TIAM15_assumptions!$G31,0,MATCH(VLOOKUP(Assumptions!W$2,TIAM15_assumptions!$Y$3:$Z$87,2,FALSE),TIAM15_assumptions!$H$2:$V$2,0))</f>
        <v>0.7</v>
      </c>
      <c r="X31" s="9">
        <f ca="1">OFFSET(TIAM15_assumptions!$G31,0,MATCH(VLOOKUP(Assumptions!X$2,TIAM15_assumptions!$Y$3:$Z$87,2,FALSE),TIAM15_assumptions!$H$2:$V$2,0))</f>
        <v>0.95</v>
      </c>
      <c r="Y31" s="9">
        <f ca="1">OFFSET(TIAM15_assumptions!$G31,0,MATCH(VLOOKUP(Assumptions!Y$2,TIAM15_assumptions!$Y$3:$Z$87,2,FALSE),TIAM15_assumptions!$H$2:$V$2,0))</f>
        <v>0.95</v>
      </c>
      <c r="Z31" s="9">
        <f ca="1">OFFSET(TIAM15_assumptions!$G31,0,MATCH(VLOOKUP(Assumptions!Z$2,TIAM15_assumptions!$Y$3:$Z$87,2,FALSE),TIAM15_assumptions!$H$2:$V$2,0))</f>
        <v>1</v>
      </c>
      <c r="AA31" s="9">
        <f ca="1">OFFSET(TIAM15_assumptions!$G31,0,MATCH(VLOOKUP(Assumptions!AA$2,TIAM15_assumptions!$Y$3:$Z$87,2,FALSE),TIAM15_assumptions!$H$2:$V$2,0))</f>
        <v>0.58000000000000007</v>
      </c>
      <c r="AB31" s="9">
        <f ca="1">OFFSET(TIAM15_assumptions!$G31,0,MATCH(VLOOKUP(Assumptions!AB$2,TIAM15_assumptions!$Y$3:$Z$87,2,FALSE),TIAM15_assumptions!$H$2:$V$2,0))</f>
        <v>0.55000000000000004</v>
      </c>
      <c r="AC31" s="9">
        <f ca="1">OFFSET(TIAM15_assumptions!$G31,0,MATCH(VLOOKUP(Assumptions!AC$2,TIAM15_assumptions!$Y$3:$Z$87,2,FALSE),TIAM15_assumptions!$H$2:$V$2,0))</f>
        <v>0.69500000000000006</v>
      </c>
      <c r="AD31" s="9">
        <f ca="1">OFFSET(TIAM15_assumptions!$G31,0,MATCH(VLOOKUP(Assumptions!AD$2,TIAM15_assumptions!$Y$3:$Z$87,2,FALSE),TIAM15_assumptions!$H$2:$V$2,0))</f>
        <v>0.95</v>
      </c>
      <c r="AE31" s="9">
        <f ca="1">OFFSET(TIAM15_assumptions!$G31,0,MATCH(VLOOKUP(Assumptions!AE$2,TIAM15_assumptions!$Y$3:$Z$87,2,FALSE),TIAM15_assumptions!$H$2:$V$2,0))</f>
        <v>0.5</v>
      </c>
      <c r="AF31" s="9">
        <f ca="1">OFFSET(TIAM15_assumptions!$G31,0,MATCH(VLOOKUP(Assumptions!AF$2,TIAM15_assumptions!$Y$3:$Z$87,2,FALSE),TIAM15_assumptions!$H$2:$V$2,0))</f>
        <v>0.5</v>
      </c>
      <c r="AG31" s="9">
        <f ca="1">OFFSET(TIAM15_assumptions!$G31,0,MATCH(VLOOKUP(Assumptions!AG$2,TIAM15_assumptions!$Y$3:$Z$87,2,FALSE),TIAM15_assumptions!$H$2:$V$2,0))</f>
        <v>0.55000000000000004</v>
      </c>
      <c r="AH31" s="9">
        <f ca="1">OFFSET(TIAM15_assumptions!$G31,0,MATCH(VLOOKUP(Assumptions!AH$2,TIAM15_assumptions!$Y$3:$Z$87,2,FALSE),TIAM15_assumptions!$H$2:$V$2,0))</f>
        <v>0.55000000000000004</v>
      </c>
      <c r="AI31" s="9">
        <f ca="1">OFFSET(TIAM15_assumptions!$G31,0,MATCH(VLOOKUP(Assumptions!AI$2,TIAM15_assumptions!$Y$3:$Z$87,2,FALSE),TIAM15_assumptions!$H$2:$V$2,0))</f>
        <v>0.55000000000000004</v>
      </c>
      <c r="AJ31" s="9">
        <f ca="1">OFFSET(TIAM15_assumptions!$G31,0,MATCH(VLOOKUP(Assumptions!AJ$2,TIAM15_assumptions!$Y$3:$Z$87,2,FALSE),TIAM15_assumptions!$H$2:$V$2,0))</f>
        <v>0.95</v>
      </c>
      <c r="AK31" s="9">
        <f ca="1">OFFSET(TIAM15_assumptions!$G31,0,MATCH(VLOOKUP(Assumptions!AK$2,TIAM15_assumptions!$Y$3:$Z$87,2,FALSE),TIAM15_assumptions!$H$2:$V$2,0))</f>
        <v>0.95</v>
      </c>
      <c r="AL31" s="9">
        <f ca="1">OFFSET(TIAM15_assumptions!$G31,0,MATCH(VLOOKUP(Assumptions!AL$2,TIAM15_assumptions!$Y$3:$Z$87,2,FALSE),TIAM15_assumptions!$H$2:$V$2,0))</f>
        <v>0.95</v>
      </c>
      <c r="AM31" s="9">
        <f ca="1">OFFSET(TIAM15_assumptions!$G31,0,MATCH(VLOOKUP(Assumptions!AM$2,TIAM15_assumptions!$Y$3:$Z$87,2,FALSE),TIAM15_assumptions!$H$2:$V$2,0))</f>
        <v>0.55000000000000004</v>
      </c>
      <c r="AN31" s="9">
        <f ca="1">OFFSET(TIAM15_assumptions!$G31,0,MATCH(VLOOKUP(Assumptions!AN$2,TIAM15_assumptions!$Y$3:$Z$87,2,FALSE),TIAM15_assumptions!$H$2:$V$2,0))</f>
        <v>0.95</v>
      </c>
      <c r="AO31" s="9">
        <f ca="1">OFFSET(TIAM15_assumptions!$G31,0,MATCH(VLOOKUP(Assumptions!AO$2,TIAM15_assumptions!$Y$3:$Z$87,2,FALSE),TIAM15_assumptions!$H$2:$V$2,0))</f>
        <v>0.55000000000000004</v>
      </c>
      <c r="AP31" s="9">
        <f ca="1">OFFSET(TIAM15_assumptions!$G31,0,MATCH(VLOOKUP(Assumptions!AP$2,TIAM15_assumptions!$Y$3:$Z$87,2,FALSE),TIAM15_assumptions!$H$2:$V$2,0))</f>
        <v>0.5</v>
      </c>
      <c r="AQ31" s="9">
        <f ca="1">OFFSET(TIAM15_assumptions!$G31,0,MATCH(VLOOKUP(Assumptions!AQ$2,TIAM15_assumptions!$Y$3:$Z$87,2,FALSE),TIAM15_assumptions!$H$2:$V$2,0))</f>
        <v>0.69500000000000006</v>
      </c>
      <c r="AR31" s="9">
        <f ca="1">OFFSET(TIAM15_assumptions!$G31,0,MATCH(VLOOKUP(Assumptions!AR$2,TIAM15_assumptions!$Y$3:$Z$87,2,FALSE),TIAM15_assumptions!$H$2:$V$2,0))</f>
        <v>0.69500000000000006</v>
      </c>
      <c r="AS31" s="9">
        <f ca="1">OFFSET(TIAM15_assumptions!$G31,0,MATCH(VLOOKUP(Assumptions!AS$2,TIAM15_assumptions!$Y$3:$Z$87,2,FALSE),TIAM15_assumptions!$H$2:$V$2,0))</f>
        <v>0.69500000000000006</v>
      </c>
      <c r="AT31" s="9">
        <f ca="1">OFFSET(TIAM15_assumptions!$G31,0,MATCH(VLOOKUP(Assumptions!AT$2,TIAM15_assumptions!$Y$3:$Z$87,2,FALSE),TIAM15_assumptions!$H$2:$V$2,0))</f>
        <v>0.69500000000000006</v>
      </c>
      <c r="AU31" s="9">
        <f ca="1">OFFSET(TIAM15_assumptions!$G31,0,MATCH(VLOOKUP(Assumptions!AU$2,TIAM15_assumptions!$Y$3:$Z$87,2,FALSE),TIAM15_assumptions!$H$2:$V$2,0))</f>
        <v>0.69500000000000006</v>
      </c>
      <c r="AV31" s="9">
        <f ca="1">OFFSET(TIAM15_assumptions!$G31,0,MATCH(VLOOKUP(Assumptions!AV$2,TIAM15_assumptions!$Y$3:$Z$87,2,FALSE),TIAM15_assumptions!$H$2:$V$2,0))</f>
        <v>0.69500000000000006</v>
      </c>
      <c r="AW31" s="9">
        <f ca="1">OFFSET(TIAM15_assumptions!$G31,0,MATCH(VLOOKUP(Assumptions!AW$2,TIAM15_assumptions!$Y$3:$Z$87,2,FALSE),TIAM15_assumptions!$H$2:$V$2,0))</f>
        <v>0.69500000000000006</v>
      </c>
      <c r="AX31" s="9">
        <f ca="1">OFFSET(TIAM15_assumptions!$G31,0,MATCH(VLOOKUP(Assumptions!AX$2,TIAM15_assumptions!$Y$3:$Z$87,2,FALSE),TIAM15_assumptions!$H$2:$V$2,0))</f>
        <v>0.69500000000000006</v>
      </c>
      <c r="AY31" s="9">
        <f ca="1">OFFSET(TIAM15_assumptions!$G31,0,MATCH(VLOOKUP(Assumptions!AY$2,TIAM15_assumptions!$Y$3:$Z$87,2,FALSE),TIAM15_assumptions!$H$2:$V$2,0))</f>
        <v>0.69500000000000006</v>
      </c>
      <c r="AZ31" s="9">
        <f ca="1">OFFSET(TIAM15_assumptions!$G31,0,MATCH(VLOOKUP(Assumptions!AZ$2,TIAM15_assumptions!$Y$3:$Z$87,2,FALSE),TIAM15_assumptions!$H$2:$V$2,0))</f>
        <v>0.69500000000000006</v>
      </c>
      <c r="BA31" s="9">
        <f ca="1">OFFSET(TIAM15_assumptions!$G31,0,MATCH(VLOOKUP(Assumptions!BA$2,TIAM15_assumptions!$Y$3:$Z$87,2,FALSE),TIAM15_assumptions!$H$2:$V$2,0))</f>
        <v>0.69500000000000006</v>
      </c>
      <c r="BD31" s="34">
        <f ca="1">IFERROR(SUMIFS('TRA balance'!E$5:E$40,'TRA balance'!$C$5:$C$40,Assumptions!$C31,'TRA balance'!$D$5:$D$40,Assumptions!$B31)*CY31*H31,"")</f>
        <v>0</v>
      </c>
      <c r="BE31" s="34">
        <f ca="1">IFERROR(SUMIFS('TRA balance'!F$5:F$40,'TRA balance'!$C$5:$C$40,Assumptions!$C31,'TRA balance'!$D$5:$D$40,Assumptions!$B31)*CZ31*I31,"")</f>
        <v>0</v>
      </c>
      <c r="BF31" s="34">
        <f ca="1">IFERROR(SUMIFS('TRA balance'!G$5:G$40,'TRA balance'!$C$5:$C$40,Assumptions!$C31,'TRA balance'!$D$5:$D$40,Assumptions!$B31)*DA31*J31,"")</f>
        <v>54.047574407915988</v>
      </c>
      <c r="BG31" s="34">
        <f ca="1">IFERROR(SUMIFS('TRA balance'!H$5:H$40,'TRA balance'!$C$5:$C$40,Assumptions!$C31,'TRA balance'!$D$5:$D$40,Assumptions!$B31)*DB31*K31,"")</f>
        <v>1.9734588605268015</v>
      </c>
      <c r="BH31" s="34">
        <f ca="1">IFERROR(SUMIFS('TRA balance'!I$5:I$40,'TRA balance'!$C$5:$C$40,Assumptions!$C31,'TRA balance'!$D$5:$D$40,Assumptions!$B31)*DC31*L31,"")</f>
        <v>4.7711269110780004</v>
      </c>
      <c r="BI31" s="34">
        <f ca="1">IFERROR(SUMIFS('TRA balance'!J$5:J$40,'TRA balance'!$C$5:$C$40,Assumptions!$C31,'TRA balance'!$D$5:$D$40,Assumptions!$B31)*DD31*M31,"")</f>
        <v>7.6354930909458067</v>
      </c>
      <c r="BJ31" s="34">
        <f ca="1">IFERROR(SUMIFS('TRA balance'!K$5:K$40,'TRA balance'!$C$5:$C$40,Assumptions!$C31,'TRA balance'!$D$5:$D$40,Assumptions!$B31)*DE31*N31,"")</f>
        <v>52.094546742016796</v>
      </c>
      <c r="BK31" s="34">
        <f ca="1">IFERROR(SUMIFS('TRA balance'!L$5:L$40,'TRA balance'!$C$5:$C$40,Assumptions!$C31,'TRA balance'!$D$5:$D$40,Assumptions!$B31)*DF31*O31,"")</f>
        <v>480.15157898591991</v>
      </c>
      <c r="BL31" s="34">
        <f ca="1">IFERROR(SUMIFS('TRA balance'!M$5:M$40,'TRA balance'!$C$5:$C$40,Assumptions!$C31,'TRA balance'!$D$5:$D$40,Assumptions!$B31)*DG31*P31,"")</f>
        <v>1.8792730222199996</v>
      </c>
      <c r="BM31" s="34">
        <f ca="1">IFERROR(SUMIFS('TRA balance'!N$5:N$40,'TRA balance'!$C$5:$C$40,Assumptions!$C31,'TRA balance'!$D$5:$D$40,Assumptions!$B31)*DH31*Q31,"")</f>
        <v>4.4550001277999991</v>
      </c>
      <c r="BN31" s="34">
        <f ca="1">IFERROR(SUMIFS('TRA balance'!O$5:O$40,'TRA balance'!$C$5:$C$40,Assumptions!$C31,'TRA balance'!$D$5:$D$40,Assumptions!$B31)*DI31*R31,"")</f>
        <v>9.379442168076606</v>
      </c>
      <c r="BO31" s="34">
        <f ca="1">IFERROR(SUMIFS('TRA balance'!P$5:P$40,'TRA balance'!$C$5:$C$40,Assumptions!$C31,'TRA balance'!$D$5:$D$40,Assumptions!$B31)*DJ31*S31,"")</f>
        <v>20.594441993581817</v>
      </c>
      <c r="BP31" s="34">
        <f ca="1">IFERROR(SUMIFS('TRA balance'!Q$5:Q$40,'TRA balance'!$C$5:$C$40,Assumptions!$C31,'TRA balance'!$D$5:$D$40,Assumptions!$B31)*DK31*T31,"")</f>
        <v>3.2209365677310031</v>
      </c>
      <c r="BQ31" s="34">
        <f ca="1">IFERROR(SUMIFS('TRA balance'!R$5:R$40,'TRA balance'!$C$5:$C$40,Assumptions!$C31,'TRA balance'!$D$5:$D$40,Assumptions!$B31)*DL31*U31,"")</f>
        <v>6.943376140919999</v>
      </c>
      <c r="BR31" s="34">
        <f ca="1">IFERROR(SUMIFS('TRA balance'!S$5:S$40,'TRA balance'!$C$5:$C$40,Assumptions!$C31,'TRA balance'!$D$5:$D$40,Assumptions!$B31)*DM31*V31,"")</f>
        <v>0.14890500528660011</v>
      </c>
      <c r="BS31" s="34">
        <f ca="1">IFERROR(SUMIFS('TRA balance'!T$5:T$40,'TRA balance'!$C$5:$C$40,Assumptions!$C31,'TRA balance'!$D$5:$D$40,Assumptions!$B31)*DN31*W31,"")</f>
        <v>0</v>
      </c>
      <c r="BT31" s="34">
        <f ca="1">IFERROR(SUMIFS('TRA balance'!U$5:U$40,'TRA balance'!$C$5:$C$40,Assumptions!$C31,'TRA balance'!$D$5:$D$40,Assumptions!$B31)*DO31*X31,"")</f>
        <v>0.91863145692720072</v>
      </c>
      <c r="BU31" s="34">
        <f ca="1">IFERROR(SUMIFS('TRA balance'!V$5:V$40,'TRA balance'!$C$5:$C$40,Assumptions!$C31,'TRA balance'!$D$5:$D$40,Assumptions!$B31)*DP31*Y31,"")</f>
        <v>9.3046724431110075</v>
      </c>
      <c r="BV31" s="34">
        <f ca="1">IFERROR(SUMIFS('TRA balance'!W$5:W$40,'TRA balance'!$C$5:$C$40,Assumptions!$C31,'TRA balance'!$D$5:$D$40,Assumptions!$B31)*DQ31*Z31,"")</f>
        <v>158.45382288071997</v>
      </c>
      <c r="BW31" s="34">
        <f ca="1">IFERROR(SUMIFS('TRA balance'!X$5:X$40,'TRA balance'!$C$5:$C$40,Assumptions!$C31,'TRA balance'!$D$5:$D$40,Assumptions!$B31)*DR31*AA31,"")</f>
        <v>99.051855744866387</v>
      </c>
      <c r="BX31" s="34">
        <f ca="1">IFERROR(SUMIFS('TRA balance'!Y$5:Y$40,'TRA balance'!$C$5:$C$40,Assumptions!$C31,'TRA balance'!$D$5:$D$40,Assumptions!$B31)*DS31*AB31,"")</f>
        <v>389.33794274067009</v>
      </c>
      <c r="BY31" s="34">
        <f ca="1">IFERROR(SUMIFS('TRA balance'!Z$5:Z$40,'TRA balance'!$C$5:$C$40,Assumptions!$C31,'TRA balance'!$D$5:$D$40,Assumptions!$B31)*DT31*AC31,"")</f>
        <v>2550.267654034622</v>
      </c>
      <c r="BZ31" s="34">
        <f ca="1">IFERROR(SUMIFS('TRA balance'!AA$5:AA$40,'TRA balance'!$C$5:$C$40,Assumptions!$C31,'TRA balance'!$D$5:$D$40,Assumptions!$B31)*DU31*AD31,"")</f>
        <v>0.79503228517320057</v>
      </c>
      <c r="CA31" s="34">
        <f ca="1">IFERROR(SUMIFS('TRA balance'!AB$5:AB$40,'TRA balance'!$C$5:$C$40,Assumptions!$C31,'TRA balance'!$D$5:$D$40,Assumptions!$B31)*DV31*AE31,"")</f>
        <v>9.7158445372799989</v>
      </c>
      <c r="CB31" s="34">
        <f ca="1">IFERROR(SUMIFS('TRA balance'!AC$5:AC$40,'TRA balance'!$C$5:$C$40,Assumptions!$C31,'TRA balance'!$D$5:$D$40,Assumptions!$B31)*DW31*AF31,"")</f>
        <v>0</v>
      </c>
      <c r="CC31" s="34">
        <f ca="1">IFERROR(SUMIFS('TRA balance'!AD$5:AD$40,'TRA balance'!$C$5:$C$40,Assumptions!$C31,'TRA balance'!$D$5:$D$40,Assumptions!$B31)*DX31*AG31,"")</f>
        <v>255.24954866644208</v>
      </c>
      <c r="CD31" s="34">
        <f ca="1">IFERROR(SUMIFS('TRA balance'!AE$5:AE$40,'TRA balance'!$C$5:$C$40,Assumptions!$C31,'TRA balance'!$D$5:$D$40,Assumptions!$B31)*DY31*AH31,"")</f>
        <v>168.19616353993203</v>
      </c>
      <c r="CE31" s="34">
        <f ca="1">IFERROR(SUMIFS('TRA balance'!AF$5:AF$40,'TRA balance'!$C$5:$C$40,Assumptions!$C31,'TRA balance'!$D$5:$D$40,Assumptions!$B31)*DZ31*AI31,"")</f>
        <v>0</v>
      </c>
      <c r="CF31" s="34">
        <f ca="1">IFERROR(SUMIFS('TRA balance'!AG$5:AG$40,'TRA balance'!$C$5:$C$40,Assumptions!$C31,'TRA balance'!$D$5:$D$40,Assumptions!$B31)*EA31*AJ31,"")</f>
        <v>7.7274527218632061</v>
      </c>
      <c r="CG31" s="34">
        <f ca="1">IFERROR(SUMIFS('TRA balance'!AH$5:AH$40,'TRA balance'!$C$5:$C$40,Assumptions!$C31,'TRA balance'!$D$5:$D$40,Assumptions!$B31)*EB31*AK31,"")</f>
        <v>5.4196476191460041</v>
      </c>
      <c r="CH31" s="34">
        <f ca="1">IFERROR(SUMIFS('TRA balance'!AI$5:AI$40,'TRA balance'!$C$5:$C$40,Assumptions!$C31,'TRA balance'!$D$5:$D$40,Assumptions!$B31)*EC31*AL31,"")</f>
        <v>2.8463894213778027</v>
      </c>
      <c r="CI31" s="34">
        <f ca="1">IFERROR(SUMIFS('TRA balance'!AJ$5:AJ$40,'TRA balance'!$C$5:$C$40,Assumptions!$C31,'TRA balance'!$D$5:$D$40,Assumptions!$B31)*ED31*AM31,"")</f>
        <v>16.385819791176004</v>
      </c>
      <c r="CJ31" s="34">
        <f ca="1">IFERROR(SUMIFS('TRA balance'!AK$5:AK$40,'TRA balance'!$C$5:$C$40,Assumptions!$C31,'TRA balance'!$D$5:$D$40,Assumptions!$B31)*EE31*AN31,"")</f>
        <v>14.688641172142813</v>
      </c>
      <c r="CK31" s="34">
        <f ca="1">IFERROR(SUMIFS('TRA balance'!AL$5:AL$40,'TRA balance'!$C$5:$C$40,Assumptions!$C31,'TRA balance'!$D$5:$D$40,Assumptions!$B31)*EF31*AO31,"")</f>
        <v>12.729829496472002</v>
      </c>
      <c r="CL31" s="34">
        <f ca="1">IFERROR(SUMIFS('TRA balance'!AM$5:AM$40,'TRA balance'!$C$5:$C$40,Assumptions!$C31,'TRA balance'!$D$5:$D$40,Assumptions!$B31)*EG31*AP31,"")</f>
        <v>1.9559605444199994</v>
      </c>
      <c r="CM31" s="34">
        <f ca="1">IFERROR(SUMIFS('TRA balance'!AN$5:AN$40,'TRA balance'!$C$5:$C$40,Assumptions!$C31,'TRA balance'!$D$5:$D$40,Assumptions!$B31)*EH31*AQ31,"")</f>
        <v>0</v>
      </c>
      <c r="CN31" s="34">
        <f ca="1">IFERROR(SUMIFS('TRA balance'!AO$5:AO$40,'TRA balance'!$C$5:$C$40,Assumptions!$C31,'TRA balance'!$D$5:$D$40,Assumptions!$B31)*EI31*AR31,"")</f>
        <v>0</v>
      </c>
      <c r="CO31" s="34">
        <f ca="1">IFERROR(SUMIFS('TRA balance'!AP$5:AP$40,'TRA balance'!$C$5:$C$40,Assumptions!$C31,'TRA balance'!$D$5:$D$40,Assumptions!$B31)*EJ31*AS31,"")</f>
        <v>0</v>
      </c>
      <c r="CP31" s="34">
        <f ca="1">IFERROR(SUMIFS('TRA balance'!AQ$5:AQ$40,'TRA balance'!$C$5:$C$40,Assumptions!$C31,'TRA balance'!$D$5:$D$40,Assumptions!$B31)*EK31*AT31,"")</f>
        <v>0</v>
      </c>
      <c r="CQ31" s="34">
        <f ca="1">IFERROR(SUMIFS('TRA balance'!AR$5:AR$40,'TRA balance'!$C$5:$C$40,Assumptions!$C31,'TRA balance'!$D$5:$D$40,Assumptions!$B31)*EL31*AU31,"")</f>
        <v>0</v>
      </c>
      <c r="CR31" s="34">
        <f ca="1">IFERROR(SUMIFS('TRA balance'!AS$5:AS$40,'TRA balance'!$C$5:$C$40,Assumptions!$C31,'TRA balance'!$D$5:$D$40,Assumptions!$B31)*EM31*AV31,"")</f>
        <v>0</v>
      </c>
      <c r="CS31" s="34">
        <f ca="1">IFERROR(SUMIFS('TRA balance'!AT$5:AT$40,'TRA balance'!$C$5:$C$40,Assumptions!$C31,'TRA balance'!$D$5:$D$40,Assumptions!$B31)*EN31*AW31,"")</f>
        <v>0</v>
      </c>
      <c r="CT31" s="34">
        <f ca="1">IFERROR(SUMIFS('TRA balance'!AU$5:AU$40,'TRA balance'!$C$5:$C$40,Assumptions!$C31,'TRA balance'!$D$5:$D$40,Assumptions!$B31)*EO31*AX31,"")</f>
        <v>0</v>
      </c>
      <c r="CU31" s="34">
        <f ca="1">IFERROR(SUMIFS('TRA balance'!AV$5:AV$40,'TRA balance'!$C$5:$C$40,Assumptions!$C31,'TRA balance'!$D$5:$D$40,Assumptions!$B31)*EP31*AY31,"")</f>
        <v>0</v>
      </c>
      <c r="CV31" s="34">
        <f ca="1">IFERROR(SUMIFS('TRA balance'!AW$5:AW$40,'TRA balance'!$C$5:$C$40,Assumptions!$C31,'TRA balance'!$D$5:$D$40,Assumptions!$B31)*EQ31*AZ31,"")</f>
        <v>0</v>
      </c>
      <c r="CW31" s="34">
        <f ca="1">IFERROR(SUMIFS('TRA balance'!AX$5:AX$40,'TRA balance'!$C$5:$C$40,Assumptions!$C31,'TRA balance'!$D$5:$D$40,Assumptions!$B31)*ER31*BA31,"")</f>
        <v>0</v>
      </c>
      <c r="CY31" s="33">
        <f t="shared" ca="1" si="2"/>
        <v>0</v>
      </c>
      <c r="CZ31" s="33">
        <f t="shared" ca="1" si="3"/>
        <v>0</v>
      </c>
      <c r="DA31" s="33">
        <f t="shared" ca="1" si="4"/>
        <v>9.9999999999999978E-2</v>
      </c>
      <c r="DB31" s="33">
        <f t="shared" ca="1" si="5"/>
        <v>3.0000000000000027E-2</v>
      </c>
      <c r="DC31" s="33">
        <f t="shared" ca="1" si="6"/>
        <v>0.30000000000000004</v>
      </c>
      <c r="DD31" s="33">
        <f t="shared" ca="1" si="7"/>
        <v>3.0000000000000027E-2</v>
      </c>
      <c r="DE31" s="33">
        <f t="shared" ca="1" si="8"/>
        <v>9.9999999999999978E-2</v>
      </c>
      <c r="DF31" s="33">
        <f t="shared" ca="1" si="9"/>
        <v>9.9999999999999978E-2</v>
      </c>
      <c r="DG31" s="33">
        <f t="shared" ca="1" si="10"/>
        <v>9.9999999999999978E-2</v>
      </c>
      <c r="DH31" s="33">
        <f t="shared" ca="1" si="11"/>
        <v>9.9999999999999978E-2</v>
      </c>
      <c r="DI31" s="33">
        <f t="shared" ca="1" si="12"/>
        <v>3.0000000000000027E-2</v>
      </c>
      <c r="DJ31" s="33">
        <f t="shared" ca="1" si="13"/>
        <v>3.0000000000000027E-2</v>
      </c>
      <c r="DK31" s="33">
        <f t="shared" ca="1" si="14"/>
        <v>3.0000000000000027E-2</v>
      </c>
      <c r="DL31" s="33">
        <f t="shared" ca="1" si="15"/>
        <v>9.9999999999999978E-2</v>
      </c>
      <c r="DM31" s="33">
        <f t="shared" ca="1" si="16"/>
        <v>3.0000000000000027E-2</v>
      </c>
      <c r="DN31" s="33">
        <f t="shared" ca="1" si="17"/>
        <v>0</v>
      </c>
      <c r="DO31" s="33">
        <f t="shared" ca="1" si="18"/>
        <v>3.0000000000000027E-2</v>
      </c>
      <c r="DP31" s="33">
        <f t="shared" ca="1" si="19"/>
        <v>3.0000000000000027E-2</v>
      </c>
      <c r="DQ31" s="33">
        <f t="shared" ca="1" si="20"/>
        <v>9.9999999999999978E-2</v>
      </c>
      <c r="DR31" s="33">
        <f t="shared" ca="1" si="21"/>
        <v>9.9999999999999978E-2</v>
      </c>
      <c r="DS31" s="33">
        <f t="shared" ca="1" si="22"/>
        <v>0.30000000000000004</v>
      </c>
      <c r="DT31" s="33">
        <f t="shared" ca="1" si="23"/>
        <v>0.19999999999999996</v>
      </c>
      <c r="DU31" s="33">
        <f t="shared" ca="1" si="24"/>
        <v>3.0000000000000027E-2</v>
      </c>
      <c r="DV31" s="33">
        <f t="shared" ca="1" si="25"/>
        <v>9.9999999999999978E-2</v>
      </c>
      <c r="DW31" s="33">
        <f t="shared" ca="1" si="26"/>
        <v>0</v>
      </c>
      <c r="DX31" s="33">
        <f t="shared" ca="1" si="27"/>
        <v>0.30000000000000004</v>
      </c>
      <c r="DY31" s="33">
        <f t="shared" ca="1" si="28"/>
        <v>0.30000000000000004</v>
      </c>
      <c r="DZ31" s="33">
        <f t="shared" ca="1" si="29"/>
        <v>0</v>
      </c>
      <c r="EA31" s="33">
        <f t="shared" ca="1" si="30"/>
        <v>3.0000000000000027E-2</v>
      </c>
      <c r="EB31" s="33">
        <f t="shared" ca="1" si="31"/>
        <v>3.0000000000000027E-2</v>
      </c>
      <c r="EC31" s="33">
        <f t="shared" ca="1" si="32"/>
        <v>3.0000000000000027E-2</v>
      </c>
      <c r="ED31" s="33">
        <f t="shared" ca="1" si="33"/>
        <v>0.30000000000000004</v>
      </c>
      <c r="EE31" s="33">
        <f t="shared" ca="1" si="34"/>
        <v>3.0000000000000027E-2</v>
      </c>
      <c r="EF31" s="33">
        <f t="shared" ca="1" si="35"/>
        <v>0.30000000000000004</v>
      </c>
      <c r="EG31" s="33">
        <f t="shared" ca="1" si="36"/>
        <v>9.9999999999999978E-2</v>
      </c>
      <c r="EH31" s="33">
        <f t="shared" ca="1" si="37"/>
        <v>0.19999999999999996</v>
      </c>
      <c r="EI31" s="33">
        <f t="shared" ca="1" si="38"/>
        <v>0.19999999999999996</v>
      </c>
      <c r="EJ31" s="33">
        <f t="shared" ca="1" si="39"/>
        <v>0.19999999999999996</v>
      </c>
      <c r="EK31" s="33">
        <f t="shared" ca="1" si="40"/>
        <v>0.19999999999999996</v>
      </c>
      <c r="EL31" s="33">
        <f t="shared" ca="1" si="41"/>
        <v>0.19999999999999996</v>
      </c>
      <c r="EM31" s="33">
        <f t="shared" ca="1" si="42"/>
        <v>0.19999999999999996</v>
      </c>
      <c r="EN31" s="33">
        <f t="shared" ca="1" si="43"/>
        <v>0.19999999999999996</v>
      </c>
      <c r="EO31" s="33">
        <f t="shared" ca="1" si="44"/>
        <v>0.19999999999999996</v>
      </c>
      <c r="EP31" s="33">
        <f t="shared" ca="1" si="45"/>
        <v>0.19999999999999996</v>
      </c>
      <c r="EQ31" s="33">
        <f t="shared" ca="1" si="46"/>
        <v>0.19999999999999996</v>
      </c>
      <c r="ER31" s="33">
        <f t="shared" ca="1" si="47"/>
        <v>0.19999999999999996</v>
      </c>
    </row>
    <row r="32" spans="1:148">
      <c r="A32">
        <v>1</v>
      </c>
      <c r="B32" t="str">
        <f>VLOOKUP(F32,'TRA balance'!$BA$5:$BB$14,2,FALSE)</f>
        <v>TRAGSL</v>
      </c>
      <c r="C32" s="6" t="str">
        <f t="shared" si="48"/>
        <v/>
      </c>
      <c r="D32" s="7"/>
      <c r="E32" s="19" t="s">
        <v>79</v>
      </c>
      <c r="F32" s="8" t="str">
        <f t="shared" si="62"/>
        <v>Gasoline</v>
      </c>
      <c r="G32" s="6"/>
      <c r="H32" s="22" t="str">
        <f ca="1">IF(SUM(H28:H31)=1,"-","&lt;&gt;1!!")</f>
        <v>-</v>
      </c>
      <c r="I32" s="22" t="str">
        <f t="shared" ref="I32:BA32" ca="1" si="63">IF(SUM(I28:I31)=1,"-","&lt;&gt;1!!")</f>
        <v>-</v>
      </c>
      <c r="J32" s="22" t="str">
        <f t="shared" ca="1" si="63"/>
        <v>-</v>
      </c>
      <c r="K32" s="22" t="str">
        <f t="shared" ca="1" si="63"/>
        <v>-</v>
      </c>
      <c r="L32" s="22" t="str">
        <f t="shared" ca="1" si="63"/>
        <v>-</v>
      </c>
      <c r="M32" s="22" t="str">
        <f t="shared" ca="1" si="63"/>
        <v>-</v>
      </c>
      <c r="N32" s="22" t="str">
        <f t="shared" ca="1" si="63"/>
        <v>-</v>
      </c>
      <c r="O32" s="22" t="str">
        <f t="shared" ca="1" si="63"/>
        <v>-</v>
      </c>
      <c r="P32" s="22" t="str">
        <f t="shared" ca="1" si="63"/>
        <v>-</v>
      </c>
      <c r="Q32" s="22" t="str">
        <f t="shared" ca="1" si="63"/>
        <v>-</v>
      </c>
      <c r="R32" s="22" t="str">
        <f t="shared" ca="1" si="63"/>
        <v>-</v>
      </c>
      <c r="S32" s="22" t="str">
        <f t="shared" ca="1" si="63"/>
        <v>-</v>
      </c>
      <c r="T32" s="22" t="str">
        <f t="shared" ca="1" si="63"/>
        <v>-</v>
      </c>
      <c r="U32" s="22" t="str">
        <f t="shared" ca="1" si="63"/>
        <v>-</v>
      </c>
      <c r="V32" s="22" t="str">
        <f t="shared" ca="1" si="63"/>
        <v>-</v>
      </c>
      <c r="W32" s="22" t="str">
        <f t="shared" ca="1" si="63"/>
        <v>-</v>
      </c>
      <c r="X32" s="22" t="str">
        <f t="shared" ca="1" si="63"/>
        <v>-</v>
      </c>
      <c r="Y32" s="22" t="str">
        <f t="shared" ca="1" si="63"/>
        <v>-</v>
      </c>
      <c r="Z32" s="22" t="str">
        <f t="shared" ca="1" si="63"/>
        <v>-</v>
      </c>
      <c r="AA32" s="22" t="str">
        <f t="shared" ca="1" si="63"/>
        <v>-</v>
      </c>
      <c r="AB32" s="22" t="str">
        <f t="shared" ca="1" si="63"/>
        <v>-</v>
      </c>
      <c r="AC32" s="22" t="str">
        <f t="shared" ca="1" si="63"/>
        <v>-</v>
      </c>
      <c r="AD32" s="22" t="str">
        <f t="shared" ca="1" si="63"/>
        <v>-</v>
      </c>
      <c r="AE32" s="22" t="str">
        <f t="shared" ca="1" si="63"/>
        <v>-</v>
      </c>
      <c r="AF32" s="22" t="str">
        <f t="shared" ca="1" si="63"/>
        <v>-</v>
      </c>
      <c r="AG32" s="22" t="str">
        <f t="shared" ca="1" si="63"/>
        <v>-</v>
      </c>
      <c r="AH32" s="22" t="str">
        <f t="shared" ca="1" si="63"/>
        <v>-</v>
      </c>
      <c r="AI32" s="22" t="str">
        <f t="shared" ca="1" si="63"/>
        <v>-</v>
      </c>
      <c r="AJ32" s="22" t="str">
        <f t="shared" ca="1" si="63"/>
        <v>-</v>
      </c>
      <c r="AK32" s="22" t="str">
        <f t="shared" ca="1" si="63"/>
        <v>-</v>
      </c>
      <c r="AL32" s="22" t="str">
        <f t="shared" ca="1" si="63"/>
        <v>-</v>
      </c>
      <c r="AM32" s="22" t="str">
        <f t="shared" ca="1" si="63"/>
        <v>-</v>
      </c>
      <c r="AN32" s="22" t="str">
        <f t="shared" ca="1" si="63"/>
        <v>-</v>
      </c>
      <c r="AO32" s="22" t="str">
        <f t="shared" ca="1" si="63"/>
        <v>-</v>
      </c>
      <c r="AP32" s="22" t="str">
        <f t="shared" ca="1" si="63"/>
        <v>-</v>
      </c>
      <c r="AQ32" s="22" t="str">
        <f t="shared" ca="1" si="63"/>
        <v>-</v>
      </c>
      <c r="AR32" s="22" t="str">
        <f t="shared" ca="1" si="63"/>
        <v>-</v>
      </c>
      <c r="AS32" s="22" t="str">
        <f t="shared" ca="1" si="63"/>
        <v>-</v>
      </c>
      <c r="AT32" s="22" t="str">
        <f t="shared" ca="1" si="63"/>
        <v>-</v>
      </c>
      <c r="AU32" s="22" t="str">
        <f t="shared" ca="1" si="63"/>
        <v>-</v>
      </c>
      <c r="AV32" s="22" t="str">
        <f t="shared" ca="1" si="63"/>
        <v>-</v>
      </c>
      <c r="AW32" s="22" t="str">
        <f t="shared" ca="1" si="63"/>
        <v>-</v>
      </c>
      <c r="AX32" s="22" t="str">
        <f t="shared" ca="1" si="63"/>
        <v>-</v>
      </c>
      <c r="AY32" s="22" t="str">
        <f t="shared" ca="1" si="63"/>
        <v>-</v>
      </c>
      <c r="AZ32" s="22" t="str">
        <f t="shared" ca="1" si="63"/>
        <v>-</v>
      </c>
      <c r="BA32" s="22" t="str">
        <f t="shared" ca="1" si="63"/>
        <v>-</v>
      </c>
      <c r="BD32" s="34" t="str">
        <f ca="1">IFERROR(SUMIFS('TRA balance'!E$5:E$40,'TRA balance'!$C$5:$C$40,Assumptions!$C32,'TRA balance'!$D$5:$D$40,Assumptions!$B32)*CY32*H32,"")</f>
        <v/>
      </c>
      <c r="BE32" s="34" t="str">
        <f ca="1">IFERROR(SUMIFS('TRA balance'!F$5:F$40,'TRA balance'!$C$5:$C$40,Assumptions!$C32,'TRA balance'!$D$5:$D$40,Assumptions!$B32)*CZ32*I32,"")</f>
        <v/>
      </c>
      <c r="BF32" s="34" t="str">
        <f ca="1">IFERROR(SUMIFS('TRA balance'!G$5:G$40,'TRA balance'!$C$5:$C$40,Assumptions!$C32,'TRA balance'!$D$5:$D$40,Assumptions!$B32)*DA32*J32,"")</f>
        <v/>
      </c>
      <c r="BG32" s="34" t="str">
        <f ca="1">IFERROR(SUMIFS('TRA balance'!H$5:H$40,'TRA balance'!$C$5:$C$40,Assumptions!$C32,'TRA balance'!$D$5:$D$40,Assumptions!$B32)*DB32*K32,"")</f>
        <v/>
      </c>
      <c r="BH32" s="34" t="str">
        <f ca="1">IFERROR(SUMIFS('TRA balance'!I$5:I$40,'TRA balance'!$C$5:$C$40,Assumptions!$C32,'TRA balance'!$D$5:$D$40,Assumptions!$B32)*DC32*L32,"")</f>
        <v/>
      </c>
      <c r="BI32" s="34" t="str">
        <f ca="1">IFERROR(SUMIFS('TRA balance'!J$5:J$40,'TRA balance'!$C$5:$C$40,Assumptions!$C32,'TRA balance'!$D$5:$D$40,Assumptions!$B32)*DD32*M32,"")</f>
        <v/>
      </c>
      <c r="BJ32" s="34" t="str">
        <f ca="1">IFERROR(SUMIFS('TRA balance'!K$5:K$40,'TRA balance'!$C$5:$C$40,Assumptions!$C32,'TRA balance'!$D$5:$D$40,Assumptions!$B32)*DE32*N32,"")</f>
        <v/>
      </c>
      <c r="BK32" s="34" t="str">
        <f ca="1">IFERROR(SUMIFS('TRA balance'!L$5:L$40,'TRA balance'!$C$5:$C$40,Assumptions!$C32,'TRA balance'!$D$5:$D$40,Assumptions!$B32)*DF32*O32,"")</f>
        <v/>
      </c>
      <c r="BL32" s="34" t="str">
        <f ca="1">IFERROR(SUMIFS('TRA balance'!M$5:M$40,'TRA balance'!$C$5:$C$40,Assumptions!$C32,'TRA balance'!$D$5:$D$40,Assumptions!$B32)*DG32*P32,"")</f>
        <v/>
      </c>
      <c r="BM32" s="34" t="str">
        <f ca="1">IFERROR(SUMIFS('TRA balance'!N$5:N$40,'TRA balance'!$C$5:$C$40,Assumptions!$C32,'TRA balance'!$D$5:$D$40,Assumptions!$B32)*DH32*Q32,"")</f>
        <v/>
      </c>
      <c r="BN32" s="34" t="str">
        <f ca="1">IFERROR(SUMIFS('TRA balance'!O$5:O$40,'TRA balance'!$C$5:$C$40,Assumptions!$C32,'TRA balance'!$D$5:$D$40,Assumptions!$B32)*DI32*R32,"")</f>
        <v/>
      </c>
      <c r="BO32" s="34" t="str">
        <f ca="1">IFERROR(SUMIFS('TRA balance'!P$5:P$40,'TRA balance'!$C$5:$C$40,Assumptions!$C32,'TRA balance'!$D$5:$D$40,Assumptions!$B32)*DJ32*S32,"")</f>
        <v/>
      </c>
      <c r="BP32" s="34" t="str">
        <f ca="1">IFERROR(SUMIFS('TRA balance'!Q$5:Q$40,'TRA balance'!$C$5:$C$40,Assumptions!$C32,'TRA balance'!$D$5:$D$40,Assumptions!$B32)*DK32*T32,"")</f>
        <v/>
      </c>
      <c r="BQ32" s="34" t="str">
        <f ca="1">IFERROR(SUMIFS('TRA balance'!R$5:R$40,'TRA balance'!$C$5:$C$40,Assumptions!$C32,'TRA balance'!$D$5:$D$40,Assumptions!$B32)*DL32*U32,"")</f>
        <v/>
      </c>
      <c r="BR32" s="34" t="str">
        <f ca="1">IFERROR(SUMIFS('TRA balance'!S$5:S$40,'TRA balance'!$C$5:$C$40,Assumptions!$C32,'TRA balance'!$D$5:$D$40,Assumptions!$B32)*DM32*V32,"")</f>
        <v/>
      </c>
      <c r="BS32" s="34" t="str">
        <f ca="1">IFERROR(SUMIFS('TRA balance'!T$5:T$40,'TRA balance'!$C$5:$C$40,Assumptions!$C32,'TRA balance'!$D$5:$D$40,Assumptions!$B32)*DN32*W32,"")</f>
        <v/>
      </c>
      <c r="BT32" s="34" t="str">
        <f ca="1">IFERROR(SUMIFS('TRA balance'!U$5:U$40,'TRA balance'!$C$5:$C$40,Assumptions!$C32,'TRA balance'!$D$5:$D$40,Assumptions!$B32)*DO32*X32,"")</f>
        <v/>
      </c>
      <c r="BU32" s="34" t="str">
        <f ca="1">IFERROR(SUMIFS('TRA balance'!V$5:V$40,'TRA balance'!$C$5:$C$40,Assumptions!$C32,'TRA balance'!$D$5:$D$40,Assumptions!$B32)*DP32*Y32,"")</f>
        <v/>
      </c>
      <c r="BV32" s="34" t="str">
        <f ca="1">IFERROR(SUMIFS('TRA balance'!W$5:W$40,'TRA balance'!$C$5:$C$40,Assumptions!$C32,'TRA balance'!$D$5:$D$40,Assumptions!$B32)*DQ32*Z32,"")</f>
        <v/>
      </c>
      <c r="BW32" s="34" t="str">
        <f ca="1">IFERROR(SUMIFS('TRA balance'!X$5:X$40,'TRA balance'!$C$5:$C$40,Assumptions!$C32,'TRA balance'!$D$5:$D$40,Assumptions!$B32)*DR32*AA32,"")</f>
        <v/>
      </c>
      <c r="BX32" s="34" t="str">
        <f ca="1">IFERROR(SUMIFS('TRA balance'!Y$5:Y$40,'TRA balance'!$C$5:$C$40,Assumptions!$C32,'TRA balance'!$D$5:$D$40,Assumptions!$B32)*DS32*AB32,"")</f>
        <v/>
      </c>
      <c r="BY32" s="34" t="str">
        <f ca="1">IFERROR(SUMIFS('TRA balance'!Z$5:Z$40,'TRA balance'!$C$5:$C$40,Assumptions!$C32,'TRA balance'!$D$5:$D$40,Assumptions!$B32)*DT32*AC32,"")</f>
        <v/>
      </c>
      <c r="BZ32" s="34" t="str">
        <f ca="1">IFERROR(SUMIFS('TRA balance'!AA$5:AA$40,'TRA balance'!$C$5:$C$40,Assumptions!$C32,'TRA balance'!$D$5:$D$40,Assumptions!$B32)*DU32*AD32,"")</f>
        <v/>
      </c>
      <c r="CA32" s="34" t="str">
        <f ca="1">IFERROR(SUMIFS('TRA balance'!AB$5:AB$40,'TRA balance'!$C$5:$C$40,Assumptions!$C32,'TRA balance'!$D$5:$D$40,Assumptions!$B32)*DV32*AE32,"")</f>
        <v/>
      </c>
      <c r="CB32" s="34" t="str">
        <f ca="1">IFERROR(SUMIFS('TRA balance'!AC$5:AC$40,'TRA balance'!$C$5:$C$40,Assumptions!$C32,'TRA balance'!$D$5:$D$40,Assumptions!$B32)*DW32*AF32,"")</f>
        <v/>
      </c>
      <c r="CC32" s="34" t="str">
        <f ca="1">IFERROR(SUMIFS('TRA balance'!AD$5:AD$40,'TRA balance'!$C$5:$C$40,Assumptions!$C32,'TRA balance'!$D$5:$D$40,Assumptions!$B32)*DX32*AG32,"")</f>
        <v/>
      </c>
      <c r="CD32" s="34" t="str">
        <f ca="1">IFERROR(SUMIFS('TRA balance'!AE$5:AE$40,'TRA balance'!$C$5:$C$40,Assumptions!$C32,'TRA balance'!$D$5:$D$40,Assumptions!$B32)*DY32*AH32,"")</f>
        <v/>
      </c>
      <c r="CE32" s="34" t="str">
        <f ca="1">IFERROR(SUMIFS('TRA balance'!AF$5:AF$40,'TRA balance'!$C$5:$C$40,Assumptions!$C32,'TRA balance'!$D$5:$D$40,Assumptions!$B32)*DZ32*AI32,"")</f>
        <v/>
      </c>
      <c r="CF32" s="34" t="str">
        <f ca="1">IFERROR(SUMIFS('TRA balance'!AG$5:AG$40,'TRA balance'!$C$5:$C$40,Assumptions!$C32,'TRA balance'!$D$5:$D$40,Assumptions!$B32)*EA32*AJ32,"")</f>
        <v/>
      </c>
      <c r="CG32" s="34" t="str">
        <f ca="1">IFERROR(SUMIFS('TRA balance'!AH$5:AH$40,'TRA balance'!$C$5:$C$40,Assumptions!$C32,'TRA balance'!$D$5:$D$40,Assumptions!$B32)*EB32*AK32,"")</f>
        <v/>
      </c>
      <c r="CH32" s="34" t="str">
        <f ca="1">IFERROR(SUMIFS('TRA balance'!AI$5:AI$40,'TRA balance'!$C$5:$C$40,Assumptions!$C32,'TRA balance'!$D$5:$D$40,Assumptions!$B32)*EC32*AL32,"")</f>
        <v/>
      </c>
      <c r="CI32" s="34" t="str">
        <f ca="1">IFERROR(SUMIFS('TRA balance'!AJ$5:AJ$40,'TRA balance'!$C$5:$C$40,Assumptions!$C32,'TRA balance'!$D$5:$D$40,Assumptions!$B32)*ED32*AM32,"")</f>
        <v/>
      </c>
      <c r="CJ32" s="34" t="str">
        <f ca="1">IFERROR(SUMIFS('TRA balance'!AK$5:AK$40,'TRA balance'!$C$5:$C$40,Assumptions!$C32,'TRA balance'!$D$5:$D$40,Assumptions!$B32)*EE32*AN32,"")</f>
        <v/>
      </c>
      <c r="CK32" s="34" t="str">
        <f ca="1">IFERROR(SUMIFS('TRA balance'!AL$5:AL$40,'TRA balance'!$C$5:$C$40,Assumptions!$C32,'TRA balance'!$D$5:$D$40,Assumptions!$B32)*EF32*AO32,"")</f>
        <v/>
      </c>
      <c r="CL32" s="34" t="str">
        <f ca="1">IFERROR(SUMIFS('TRA balance'!AM$5:AM$40,'TRA balance'!$C$5:$C$40,Assumptions!$C32,'TRA balance'!$D$5:$D$40,Assumptions!$B32)*EG32*AP32,"")</f>
        <v/>
      </c>
      <c r="CM32" s="34" t="str">
        <f ca="1">IFERROR(SUMIFS('TRA balance'!AN$5:AN$40,'TRA balance'!$C$5:$C$40,Assumptions!$C32,'TRA balance'!$D$5:$D$40,Assumptions!$B32)*EH32*AQ32,"")</f>
        <v/>
      </c>
      <c r="CN32" s="34" t="str">
        <f ca="1">IFERROR(SUMIFS('TRA balance'!AO$5:AO$40,'TRA balance'!$C$5:$C$40,Assumptions!$C32,'TRA balance'!$D$5:$D$40,Assumptions!$B32)*EI32*AR32,"")</f>
        <v/>
      </c>
      <c r="CO32" s="34" t="str">
        <f ca="1">IFERROR(SUMIFS('TRA balance'!AP$5:AP$40,'TRA balance'!$C$5:$C$40,Assumptions!$C32,'TRA balance'!$D$5:$D$40,Assumptions!$B32)*EJ32*AS32,"")</f>
        <v/>
      </c>
      <c r="CP32" s="34" t="str">
        <f ca="1">IFERROR(SUMIFS('TRA balance'!AQ$5:AQ$40,'TRA balance'!$C$5:$C$40,Assumptions!$C32,'TRA balance'!$D$5:$D$40,Assumptions!$B32)*EK32*AT32,"")</f>
        <v/>
      </c>
      <c r="CQ32" s="34" t="str">
        <f ca="1">IFERROR(SUMIFS('TRA balance'!AR$5:AR$40,'TRA balance'!$C$5:$C$40,Assumptions!$C32,'TRA balance'!$D$5:$D$40,Assumptions!$B32)*EL32*AU32,"")</f>
        <v/>
      </c>
      <c r="CR32" s="34" t="str">
        <f ca="1">IFERROR(SUMIFS('TRA balance'!AS$5:AS$40,'TRA balance'!$C$5:$C$40,Assumptions!$C32,'TRA balance'!$D$5:$D$40,Assumptions!$B32)*EM32*AV32,"")</f>
        <v/>
      </c>
      <c r="CS32" s="34" t="str">
        <f ca="1">IFERROR(SUMIFS('TRA balance'!AT$5:AT$40,'TRA balance'!$C$5:$C$40,Assumptions!$C32,'TRA balance'!$D$5:$D$40,Assumptions!$B32)*EN32*AW32,"")</f>
        <v/>
      </c>
      <c r="CT32" s="34" t="str">
        <f ca="1">IFERROR(SUMIFS('TRA balance'!AU$5:AU$40,'TRA balance'!$C$5:$C$40,Assumptions!$C32,'TRA balance'!$D$5:$D$40,Assumptions!$B32)*EO32*AX32,"")</f>
        <v/>
      </c>
      <c r="CU32" s="34" t="str">
        <f ca="1">IFERROR(SUMIFS('TRA balance'!AV$5:AV$40,'TRA balance'!$C$5:$C$40,Assumptions!$C32,'TRA balance'!$D$5:$D$40,Assumptions!$B32)*EP32*AY32,"")</f>
        <v/>
      </c>
      <c r="CV32" s="34" t="str">
        <f ca="1">IFERROR(SUMIFS('TRA balance'!AW$5:AW$40,'TRA balance'!$C$5:$C$40,Assumptions!$C32,'TRA balance'!$D$5:$D$40,Assumptions!$B32)*EQ32*AZ32,"")</f>
        <v/>
      </c>
      <c r="CW32" s="34" t="str">
        <f ca="1">IFERROR(SUMIFS('TRA balance'!AX$5:AX$40,'TRA balance'!$C$5:$C$40,Assumptions!$C32,'TRA balance'!$D$5:$D$40,Assumptions!$B32)*ER32*BA32,"")</f>
        <v/>
      </c>
      <c r="CY32" s="33">
        <f t="shared" si="2"/>
        <v>1</v>
      </c>
      <c r="CZ32" s="33">
        <f t="shared" si="3"/>
        <v>1</v>
      </c>
      <c r="DA32" s="33">
        <f t="shared" si="4"/>
        <v>1</v>
      </c>
      <c r="DB32" s="33">
        <f t="shared" si="5"/>
        <v>1</v>
      </c>
      <c r="DC32" s="33">
        <f t="shared" si="6"/>
        <v>1</v>
      </c>
      <c r="DD32" s="33">
        <f t="shared" si="7"/>
        <v>1</v>
      </c>
      <c r="DE32" s="33">
        <f t="shared" si="8"/>
        <v>1</v>
      </c>
      <c r="DF32" s="33">
        <f t="shared" si="9"/>
        <v>1</v>
      </c>
      <c r="DG32" s="33">
        <f t="shared" si="10"/>
        <v>1</v>
      </c>
      <c r="DH32" s="33">
        <f t="shared" si="11"/>
        <v>1</v>
      </c>
      <c r="DI32" s="33">
        <f t="shared" si="12"/>
        <v>1</v>
      </c>
      <c r="DJ32" s="33">
        <f t="shared" si="13"/>
        <v>1</v>
      </c>
      <c r="DK32" s="33">
        <f t="shared" si="14"/>
        <v>1</v>
      </c>
      <c r="DL32" s="33">
        <f t="shared" si="15"/>
        <v>1</v>
      </c>
      <c r="DM32" s="33">
        <f t="shared" si="16"/>
        <v>1</v>
      </c>
      <c r="DN32" s="33">
        <f t="shared" si="17"/>
        <v>1</v>
      </c>
      <c r="DO32" s="33">
        <f t="shared" si="18"/>
        <v>1</v>
      </c>
      <c r="DP32" s="33">
        <f t="shared" si="19"/>
        <v>1</v>
      </c>
      <c r="DQ32" s="33">
        <f t="shared" si="20"/>
        <v>1</v>
      </c>
      <c r="DR32" s="33">
        <f t="shared" si="21"/>
        <v>1</v>
      </c>
      <c r="DS32" s="33">
        <f t="shared" si="22"/>
        <v>1</v>
      </c>
      <c r="DT32" s="33">
        <f t="shared" si="23"/>
        <v>1</v>
      </c>
      <c r="DU32" s="33">
        <f t="shared" si="24"/>
        <v>1</v>
      </c>
      <c r="DV32" s="33">
        <f t="shared" si="25"/>
        <v>1</v>
      </c>
      <c r="DW32" s="33">
        <f t="shared" si="26"/>
        <v>1</v>
      </c>
      <c r="DX32" s="33">
        <f t="shared" si="27"/>
        <v>1</v>
      </c>
      <c r="DY32" s="33">
        <f t="shared" si="28"/>
        <v>1</v>
      </c>
      <c r="DZ32" s="33">
        <f t="shared" si="29"/>
        <v>1</v>
      </c>
      <c r="EA32" s="33">
        <f t="shared" si="30"/>
        <v>1</v>
      </c>
      <c r="EB32" s="33">
        <f t="shared" si="31"/>
        <v>1</v>
      </c>
      <c r="EC32" s="33">
        <f t="shared" si="32"/>
        <v>1</v>
      </c>
      <c r="ED32" s="33">
        <f t="shared" si="33"/>
        <v>1</v>
      </c>
      <c r="EE32" s="33">
        <f t="shared" si="34"/>
        <v>1</v>
      </c>
      <c r="EF32" s="33">
        <f t="shared" si="35"/>
        <v>1</v>
      </c>
      <c r="EG32" s="33">
        <f t="shared" si="36"/>
        <v>1</v>
      </c>
      <c r="EH32" s="33">
        <f t="shared" si="37"/>
        <v>1</v>
      </c>
      <c r="EI32" s="33">
        <f t="shared" si="38"/>
        <v>1</v>
      </c>
      <c r="EJ32" s="33">
        <f t="shared" si="39"/>
        <v>1</v>
      </c>
      <c r="EK32" s="33">
        <f t="shared" si="40"/>
        <v>1</v>
      </c>
      <c r="EL32" s="33">
        <f t="shared" si="41"/>
        <v>1</v>
      </c>
      <c r="EM32" s="33">
        <f t="shared" si="42"/>
        <v>1</v>
      </c>
      <c r="EN32" s="33">
        <f t="shared" si="43"/>
        <v>1</v>
      </c>
      <c r="EO32" s="33">
        <f t="shared" si="44"/>
        <v>1</v>
      </c>
      <c r="EP32" s="33">
        <f t="shared" si="45"/>
        <v>1</v>
      </c>
      <c r="EQ32" s="33">
        <f t="shared" si="46"/>
        <v>1</v>
      </c>
      <c r="ER32" s="33">
        <f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6" t="str">
        <f t="shared" si="48"/>
        <v>TT</v>
      </c>
      <c r="D33" s="7" t="s">
        <v>17</v>
      </c>
      <c r="E33" s="7" t="s">
        <v>53</v>
      </c>
      <c r="F33" s="8" t="str">
        <f t="shared" si="62"/>
        <v>Gasoline</v>
      </c>
      <c r="G33" s="6" t="s">
        <v>55</v>
      </c>
      <c r="H33" s="9">
        <f ca="1">OFFSET(TIAM15_assumptions!$G33,0,MATCH(VLOOKUP(Assumptions!H$2,TIAM15_assumptions!$Y$3:$Z$87,2,FALSE),TIAM15_assumptions!$H$2:$V$2,0))</f>
        <v>0.5</v>
      </c>
      <c r="I33" s="9">
        <f ca="1">OFFSET(TIAM15_assumptions!$G33,0,MATCH(VLOOKUP(Assumptions!I$2,TIAM15_assumptions!$Y$3:$Z$87,2,FALSE),TIAM15_assumptions!$H$2:$V$2,0))</f>
        <v>0.5</v>
      </c>
      <c r="J33" s="9">
        <f ca="1">OFFSET(TIAM15_assumptions!$G33,0,MATCH(VLOOKUP(Assumptions!J$2,TIAM15_assumptions!$Y$3:$Z$87,2,FALSE),TIAM15_assumptions!$H$2:$V$2,0))</f>
        <v>0.5</v>
      </c>
      <c r="K33" s="9">
        <f ca="1">OFFSET(TIAM15_assumptions!$G33,0,MATCH(VLOOKUP(Assumptions!K$2,TIAM15_assumptions!$Y$3:$Z$87,2,FALSE),TIAM15_assumptions!$H$2:$V$2,0))</f>
        <v>1</v>
      </c>
      <c r="L33" s="9">
        <f ca="1">OFFSET(TIAM15_assumptions!$G33,0,MATCH(VLOOKUP(Assumptions!L$2,TIAM15_assumptions!$Y$3:$Z$87,2,FALSE),TIAM15_assumptions!$H$2:$V$2,0))</f>
        <v>0.5</v>
      </c>
      <c r="M33" s="9">
        <f ca="1">OFFSET(TIAM15_assumptions!$G33,0,MATCH(VLOOKUP(Assumptions!M$2,TIAM15_assumptions!$Y$3:$Z$87,2,FALSE),TIAM15_assumptions!$H$2:$V$2,0))</f>
        <v>1</v>
      </c>
      <c r="N33" s="9">
        <f ca="1">OFFSET(TIAM15_assumptions!$G33,0,MATCH(VLOOKUP(Assumptions!N$2,TIAM15_assumptions!$Y$3:$Z$87,2,FALSE),TIAM15_assumptions!$H$2:$V$2,0))</f>
        <v>1</v>
      </c>
      <c r="O33" s="9">
        <f ca="1">OFFSET(TIAM15_assumptions!$G33,0,MATCH(VLOOKUP(Assumptions!O$2,TIAM15_assumptions!$Y$3:$Z$87,2,FALSE),TIAM15_assumptions!$H$2:$V$2,0))</f>
        <v>0.5</v>
      </c>
      <c r="P33" s="9">
        <f ca="1">OFFSET(TIAM15_assumptions!$G33,0,MATCH(VLOOKUP(Assumptions!P$2,TIAM15_assumptions!$Y$3:$Z$87,2,FALSE),TIAM15_assumptions!$H$2:$V$2,0))</f>
        <v>1</v>
      </c>
      <c r="Q33" s="9">
        <f ca="1">OFFSET(TIAM15_assumptions!$G33,0,MATCH(VLOOKUP(Assumptions!Q$2,TIAM15_assumptions!$Y$3:$Z$87,2,FALSE),TIAM15_assumptions!$H$2:$V$2,0))</f>
        <v>1</v>
      </c>
      <c r="R33" s="9">
        <f ca="1">OFFSET(TIAM15_assumptions!$G33,0,MATCH(VLOOKUP(Assumptions!R$2,TIAM15_assumptions!$Y$3:$Z$87,2,FALSE),TIAM15_assumptions!$H$2:$V$2,0))</f>
        <v>1</v>
      </c>
      <c r="S33" s="9">
        <f ca="1">OFFSET(TIAM15_assumptions!$G33,0,MATCH(VLOOKUP(Assumptions!S$2,TIAM15_assumptions!$Y$3:$Z$87,2,FALSE),TIAM15_assumptions!$H$2:$V$2,0))</f>
        <v>1</v>
      </c>
      <c r="T33" s="9">
        <f ca="1">OFFSET(TIAM15_assumptions!$G33,0,MATCH(VLOOKUP(Assumptions!T$2,TIAM15_assumptions!$Y$3:$Z$87,2,FALSE),TIAM15_assumptions!$H$2:$V$2,0))</f>
        <v>1</v>
      </c>
      <c r="U33" s="9">
        <f ca="1">OFFSET(TIAM15_assumptions!$G33,0,MATCH(VLOOKUP(Assumptions!U$2,TIAM15_assumptions!$Y$3:$Z$87,2,FALSE),TIAM15_assumptions!$H$2:$V$2,0))</f>
        <v>1</v>
      </c>
      <c r="V33" s="9">
        <f ca="1">OFFSET(TIAM15_assumptions!$G33,0,MATCH(VLOOKUP(Assumptions!V$2,TIAM15_assumptions!$Y$3:$Z$87,2,FALSE),TIAM15_assumptions!$H$2:$V$2,0))</f>
        <v>1</v>
      </c>
      <c r="W33" s="9">
        <f ca="1">OFFSET(TIAM15_assumptions!$G33,0,MATCH(VLOOKUP(Assumptions!W$2,TIAM15_assumptions!$Y$3:$Z$87,2,FALSE),TIAM15_assumptions!$H$2:$V$2,0))</f>
        <v>1</v>
      </c>
      <c r="X33" s="9">
        <f ca="1">OFFSET(TIAM15_assumptions!$G33,0,MATCH(VLOOKUP(Assumptions!X$2,TIAM15_assumptions!$Y$3:$Z$87,2,FALSE),TIAM15_assumptions!$H$2:$V$2,0))</f>
        <v>1</v>
      </c>
      <c r="Y33" s="9">
        <f ca="1">OFFSET(TIAM15_assumptions!$G33,0,MATCH(VLOOKUP(Assumptions!Y$2,TIAM15_assumptions!$Y$3:$Z$87,2,FALSE),TIAM15_assumptions!$H$2:$V$2,0))</f>
        <v>1</v>
      </c>
      <c r="Z33" s="9">
        <f ca="1">OFFSET(TIAM15_assumptions!$G33,0,MATCH(VLOOKUP(Assumptions!Z$2,TIAM15_assumptions!$Y$3:$Z$87,2,FALSE),TIAM15_assumptions!$H$2:$V$2,0))</f>
        <v>7.0000000000000007E-2</v>
      </c>
      <c r="AA33" s="9">
        <f ca="1">OFFSET(TIAM15_assumptions!$G33,0,MATCH(VLOOKUP(Assumptions!AA$2,TIAM15_assumptions!$Y$3:$Z$87,2,FALSE),TIAM15_assumptions!$H$2:$V$2,0))</f>
        <v>1</v>
      </c>
      <c r="AB33" s="9">
        <f ca="1">OFFSET(TIAM15_assumptions!$G33,0,MATCH(VLOOKUP(Assumptions!AB$2,TIAM15_assumptions!$Y$3:$Z$87,2,FALSE),TIAM15_assumptions!$H$2:$V$2,0))</f>
        <v>1</v>
      </c>
      <c r="AC33" s="9">
        <f ca="1">OFFSET(TIAM15_assumptions!$G33,0,MATCH(VLOOKUP(Assumptions!AC$2,TIAM15_assumptions!$Y$3:$Z$87,2,FALSE),TIAM15_assumptions!$H$2:$V$2,0))</f>
        <v>0.5</v>
      </c>
      <c r="AD33" s="9">
        <f ca="1">OFFSET(TIAM15_assumptions!$G33,0,MATCH(VLOOKUP(Assumptions!AD$2,TIAM15_assumptions!$Y$3:$Z$87,2,FALSE),TIAM15_assumptions!$H$2:$V$2,0))</f>
        <v>1</v>
      </c>
      <c r="AE33" s="9">
        <f ca="1">OFFSET(TIAM15_assumptions!$G33,0,MATCH(VLOOKUP(Assumptions!AE$2,TIAM15_assumptions!$Y$3:$Z$87,2,FALSE),TIAM15_assumptions!$H$2:$V$2,0))</f>
        <v>1</v>
      </c>
      <c r="AF33" s="9">
        <f ca="1">OFFSET(TIAM15_assumptions!$G33,0,MATCH(VLOOKUP(Assumptions!AF$2,TIAM15_assumptions!$Y$3:$Z$87,2,FALSE),TIAM15_assumptions!$H$2:$V$2,0))</f>
        <v>0.5</v>
      </c>
      <c r="AG33" s="9">
        <f ca="1">OFFSET(TIAM15_assumptions!$G33,0,MATCH(VLOOKUP(Assumptions!AG$2,TIAM15_assumptions!$Y$3:$Z$87,2,FALSE),TIAM15_assumptions!$H$2:$V$2,0))</f>
        <v>0.5</v>
      </c>
      <c r="AH33" s="9">
        <f ca="1">OFFSET(TIAM15_assumptions!$G33,0,MATCH(VLOOKUP(Assumptions!AH$2,TIAM15_assumptions!$Y$3:$Z$87,2,FALSE),TIAM15_assumptions!$H$2:$V$2,0))</f>
        <v>1</v>
      </c>
      <c r="AI33" s="9">
        <f ca="1">OFFSET(TIAM15_assumptions!$G33,0,MATCH(VLOOKUP(Assumptions!AI$2,TIAM15_assumptions!$Y$3:$Z$87,2,FALSE),TIAM15_assumptions!$H$2:$V$2,0))</f>
        <v>0.5</v>
      </c>
      <c r="AJ33" s="9">
        <f ca="1">OFFSET(TIAM15_assumptions!$G33,0,MATCH(VLOOKUP(Assumptions!AJ$2,TIAM15_assumptions!$Y$3:$Z$87,2,FALSE),TIAM15_assumptions!$H$2:$V$2,0))</f>
        <v>1</v>
      </c>
      <c r="AK33" s="9">
        <f ca="1">OFFSET(TIAM15_assumptions!$G33,0,MATCH(VLOOKUP(Assumptions!AK$2,TIAM15_assumptions!$Y$3:$Z$87,2,FALSE),TIAM15_assumptions!$H$2:$V$2,0))</f>
        <v>1</v>
      </c>
      <c r="AL33" s="9">
        <f ca="1">OFFSET(TIAM15_assumptions!$G33,0,MATCH(VLOOKUP(Assumptions!AL$2,TIAM15_assumptions!$Y$3:$Z$87,2,FALSE),TIAM15_assumptions!$H$2:$V$2,0))</f>
        <v>1</v>
      </c>
      <c r="AM33" s="9">
        <f ca="1">OFFSET(TIAM15_assumptions!$G33,0,MATCH(VLOOKUP(Assumptions!AM$2,TIAM15_assumptions!$Y$3:$Z$87,2,FALSE),TIAM15_assumptions!$H$2:$V$2,0))</f>
        <v>1</v>
      </c>
      <c r="AN33" s="9">
        <f ca="1">OFFSET(TIAM15_assumptions!$G33,0,MATCH(VLOOKUP(Assumptions!AN$2,TIAM15_assumptions!$Y$3:$Z$87,2,FALSE),TIAM15_assumptions!$H$2:$V$2,0))</f>
        <v>1</v>
      </c>
      <c r="AO33" s="9">
        <f ca="1">OFFSET(TIAM15_assumptions!$G33,0,MATCH(VLOOKUP(Assumptions!AO$2,TIAM15_assumptions!$Y$3:$Z$87,2,FALSE),TIAM15_assumptions!$H$2:$V$2,0))</f>
        <v>0.5</v>
      </c>
      <c r="AP33" s="9">
        <f ca="1">OFFSET(TIAM15_assumptions!$G33,0,MATCH(VLOOKUP(Assumptions!AP$2,TIAM15_assumptions!$Y$3:$Z$87,2,FALSE),TIAM15_assumptions!$H$2:$V$2,0))</f>
        <v>1</v>
      </c>
      <c r="AQ33" s="9">
        <f ca="1">OFFSET(TIAM15_assumptions!$G33,0,MATCH(VLOOKUP(Assumptions!AQ$2,TIAM15_assumptions!$Y$3:$Z$87,2,FALSE),TIAM15_assumptions!$H$2:$V$2,0))</f>
        <v>0.5</v>
      </c>
      <c r="AR33" s="9">
        <f ca="1">OFFSET(TIAM15_assumptions!$G33,0,MATCH(VLOOKUP(Assumptions!AR$2,TIAM15_assumptions!$Y$3:$Z$87,2,FALSE),TIAM15_assumptions!$H$2:$V$2,0))</f>
        <v>0.5</v>
      </c>
      <c r="AS33" s="9">
        <f ca="1">OFFSET(TIAM15_assumptions!$G33,0,MATCH(VLOOKUP(Assumptions!AS$2,TIAM15_assumptions!$Y$3:$Z$87,2,FALSE),TIAM15_assumptions!$H$2:$V$2,0))</f>
        <v>0.5</v>
      </c>
      <c r="AT33" s="9">
        <f ca="1">OFFSET(TIAM15_assumptions!$G33,0,MATCH(VLOOKUP(Assumptions!AT$2,TIAM15_assumptions!$Y$3:$Z$87,2,FALSE),TIAM15_assumptions!$H$2:$V$2,0))</f>
        <v>0.5</v>
      </c>
      <c r="AU33" s="9">
        <f ca="1">OFFSET(TIAM15_assumptions!$G33,0,MATCH(VLOOKUP(Assumptions!AU$2,TIAM15_assumptions!$Y$3:$Z$87,2,FALSE),TIAM15_assumptions!$H$2:$V$2,0))</f>
        <v>0.5</v>
      </c>
      <c r="AV33" s="9">
        <f ca="1">OFFSET(TIAM15_assumptions!$G33,0,MATCH(VLOOKUP(Assumptions!AV$2,TIAM15_assumptions!$Y$3:$Z$87,2,FALSE),TIAM15_assumptions!$H$2:$V$2,0))</f>
        <v>0.5</v>
      </c>
      <c r="AW33" s="9">
        <f ca="1">OFFSET(TIAM15_assumptions!$G33,0,MATCH(VLOOKUP(Assumptions!AW$2,TIAM15_assumptions!$Y$3:$Z$87,2,FALSE),TIAM15_assumptions!$H$2:$V$2,0))</f>
        <v>0.5</v>
      </c>
      <c r="AX33" s="9">
        <f ca="1">OFFSET(TIAM15_assumptions!$G33,0,MATCH(VLOOKUP(Assumptions!AX$2,TIAM15_assumptions!$Y$3:$Z$87,2,FALSE),TIAM15_assumptions!$H$2:$V$2,0))</f>
        <v>0.5</v>
      </c>
      <c r="AY33" s="9">
        <f ca="1">OFFSET(TIAM15_assumptions!$G33,0,MATCH(VLOOKUP(Assumptions!AY$2,TIAM15_assumptions!$Y$3:$Z$87,2,FALSE),TIAM15_assumptions!$H$2:$V$2,0))</f>
        <v>0.5</v>
      </c>
      <c r="AZ33" s="9">
        <f ca="1">OFFSET(TIAM15_assumptions!$G33,0,MATCH(VLOOKUP(Assumptions!AZ$2,TIAM15_assumptions!$Y$3:$Z$87,2,FALSE),TIAM15_assumptions!$H$2:$V$2,0))</f>
        <v>0.5</v>
      </c>
      <c r="BA33" s="9">
        <f ca="1">OFFSET(TIAM15_assumptions!$G33,0,MATCH(VLOOKUP(Assumptions!BA$2,TIAM15_assumptions!$Y$3:$Z$87,2,FALSE),TIAM15_assumptions!$H$2:$V$2,0))</f>
        <v>0.5</v>
      </c>
      <c r="BD33" s="34">
        <f ca="1">IFERROR(SUMIFS('TRA balance'!E$5:E$40,'TRA balance'!$C$5:$C$40,Assumptions!$C33,'TRA balance'!$D$5:$D$40,Assumptions!$B33)*CY33*H33,"")</f>
        <v>0</v>
      </c>
      <c r="BE33" s="34">
        <f ca="1">IFERROR(SUMIFS('TRA balance'!F$5:F$40,'TRA balance'!$C$5:$C$40,Assumptions!$C33,'TRA balance'!$D$5:$D$40,Assumptions!$B33)*CZ33*I33,"")</f>
        <v>0</v>
      </c>
      <c r="BF33" s="34">
        <f ca="1">IFERROR(SUMIFS('TRA balance'!G$5:G$40,'TRA balance'!$C$5:$C$40,Assumptions!$C33,'TRA balance'!$D$5:$D$40,Assumptions!$B33)*DA33*J33,"")</f>
        <v>2.2277962799999999E-2</v>
      </c>
      <c r="BG33" s="34">
        <f ca="1">IFERROR(SUMIFS('TRA balance'!H$5:H$40,'TRA balance'!$C$5:$C$40,Assumptions!$C33,'TRA balance'!$D$5:$D$40,Assumptions!$B33)*DB33*K33,"")</f>
        <v>0</v>
      </c>
      <c r="BH33" s="34">
        <f ca="1">IFERROR(SUMIFS('TRA balance'!I$5:I$40,'TRA balance'!$C$5:$C$40,Assumptions!$C33,'TRA balance'!$D$5:$D$40,Assumptions!$B33)*DC33*L33,"")</f>
        <v>0</v>
      </c>
      <c r="BI33" s="34">
        <f ca="1">IFERROR(SUMIFS('TRA balance'!J$5:J$40,'TRA balance'!$C$5:$C$40,Assumptions!$C33,'TRA balance'!$D$5:$D$40,Assumptions!$B33)*DD33*M33,"")</f>
        <v>0</v>
      </c>
      <c r="BJ33" s="34">
        <f ca="1">IFERROR(SUMIFS('TRA balance'!K$5:K$40,'TRA balance'!$C$5:$C$40,Assumptions!$C33,'TRA balance'!$D$5:$D$40,Assumptions!$B33)*DE33*N33,"")</f>
        <v>0</v>
      </c>
      <c r="BK33" s="34">
        <f ca="1">IFERROR(SUMIFS('TRA balance'!L$5:L$40,'TRA balance'!$C$5:$C$40,Assumptions!$C33,'TRA balance'!$D$5:$D$40,Assumptions!$B33)*DF33*O33,"")</f>
        <v>0</v>
      </c>
      <c r="BL33" s="34">
        <f ca="1">IFERROR(SUMIFS('TRA balance'!M$5:M$40,'TRA balance'!$C$5:$C$40,Assumptions!$C33,'TRA balance'!$D$5:$D$40,Assumptions!$B33)*DG33*P33,"")</f>
        <v>0</v>
      </c>
      <c r="BM33" s="34">
        <f ca="1">IFERROR(SUMIFS('TRA balance'!N$5:N$40,'TRA balance'!$C$5:$C$40,Assumptions!$C33,'TRA balance'!$D$5:$D$40,Assumptions!$B33)*DH33*Q33,"")</f>
        <v>0</v>
      </c>
      <c r="BN33" s="34">
        <f ca="1">IFERROR(SUMIFS('TRA balance'!O$5:O$40,'TRA balance'!$C$5:$C$40,Assumptions!$C33,'TRA balance'!$D$5:$D$40,Assumptions!$B33)*DI33*R33,"")</f>
        <v>0</v>
      </c>
      <c r="BO33" s="34">
        <f ca="1">IFERROR(SUMIFS('TRA balance'!P$5:P$40,'TRA balance'!$C$5:$C$40,Assumptions!$C33,'TRA balance'!$D$5:$D$40,Assumptions!$B33)*DJ33*S33,"")</f>
        <v>0</v>
      </c>
      <c r="BP33" s="34">
        <f ca="1">IFERROR(SUMIFS('TRA balance'!Q$5:Q$40,'TRA balance'!$C$5:$C$40,Assumptions!$C33,'TRA balance'!$D$5:$D$40,Assumptions!$B33)*DK33*T33,"")</f>
        <v>1.0111122E-2</v>
      </c>
      <c r="BQ33" s="34">
        <f ca="1">IFERROR(SUMIFS('TRA balance'!R$5:R$40,'TRA balance'!$C$5:$C$40,Assumptions!$C33,'TRA balance'!$D$5:$D$40,Assumptions!$B33)*DL33*U33,"")</f>
        <v>0</v>
      </c>
      <c r="BR33" s="34">
        <f ca="1">IFERROR(SUMIFS('TRA balance'!S$5:S$40,'TRA balance'!$C$5:$C$40,Assumptions!$C33,'TRA balance'!$D$5:$D$40,Assumptions!$B33)*DM33*V33,"")</f>
        <v>0</v>
      </c>
      <c r="BS33" s="34">
        <f ca="1">IFERROR(SUMIFS('TRA balance'!T$5:T$40,'TRA balance'!$C$5:$C$40,Assumptions!$C33,'TRA balance'!$D$5:$D$40,Assumptions!$B33)*DN33*W33,"")</f>
        <v>0</v>
      </c>
      <c r="BT33" s="34">
        <f ca="1">IFERROR(SUMIFS('TRA balance'!U$5:U$40,'TRA balance'!$C$5:$C$40,Assumptions!$C33,'TRA balance'!$D$5:$D$40,Assumptions!$B33)*DO33*X33,"")</f>
        <v>0</v>
      </c>
      <c r="BU33" s="34">
        <f ca="1">IFERROR(SUMIFS('TRA balance'!V$5:V$40,'TRA balance'!$C$5:$C$40,Assumptions!$C33,'TRA balance'!$D$5:$D$40,Assumptions!$B33)*DP33*Y33,"")</f>
        <v>0</v>
      </c>
      <c r="BV33" s="34">
        <f ca="1">IFERROR(SUMIFS('TRA balance'!W$5:W$40,'TRA balance'!$C$5:$C$40,Assumptions!$C33,'TRA balance'!$D$5:$D$40,Assumptions!$B33)*DQ33*Z33,"")</f>
        <v>0</v>
      </c>
      <c r="BW33" s="34">
        <f ca="1">IFERROR(SUMIFS('TRA balance'!X$5:X$40,'TRA balance'!$C$5:$C$40,Assumptions!$C33,'TRA balance'!$D$5:$D$40,Assumptions!$B33)*DR33*AA33,"")</f>
        <v>2.2219347600000001E-2</v>
      </c>
      <c r="BX33" s="34">
        <f ca="1">IFERROR(SUMIFS('TRA balance'!Y$5:Y$40,'TRA balance'!$C$5:$C$40,Assumptions!$C33,'TRA balance'!$D$5:$D$40,Assumptions!$B33)*DS33*AB33,"")</f>
        <v>0</v>
      </c>
      <c r="BY33" s="34">
        <f ca="1">IFERROR(SUMIFS('TRA balance'!Z$5:Z$40,'TRA balance'!$C$5:$C$40,Assumptions!$C33,'TRA balance'!$D$5:$D$40,Assumptions!$B33)*DT33*AC33,"")</f>
        <v>0</v>
      </c>
      <c r="BZ33" s="34">
        <f ca="1">IFERROR(SUMIFS('TRA balance'!AA$5:AA$40,'TRA balance'!$C$5:$C$40,Assumptions!$C33,'TRA balance'!$D$5:$D$40,Assumptions!$B33)*DU33*AD33,"")</f>
        <v>0</v>
      </c>
      <c r="CA33" s="34">
        <f ca="1">IFERROR(SUMIFS('TRA balance'!AB$5:AB$40,'TRA balance'!$C$5:$C$40,Assumptions!$C33,'TRA balance'!$D$5:$D$40,Assumptions!$B33)*DV33*AE33,"")</f>
        <v>0</v>
      </c>
      <c r="CB33" s="34">
        <f ca="1">IFERROR(SUMIFS('TRA balance'!AC$5:AC$40,'TRA balance'!$C$5:$C$40,Assumptions!$C33,'TRA balance'!$D$5:$D$40,Assumptions!$B33)*DW33*AF33,"")</f>
        <v>4.1338369799999997E-2</v>
      </c>
      <c r="CC33" s="34">
        <f ca="1">IFERROR(SUMIFS('TRA balance'!AD$5:AD$40,'TRA balance'!$C$5:$C$40,Assumptions!$C33,'TRA balance'!$D$5:$D$40,Assumptions!$B33)*DX33*AG33,"")</f>
        <v>0.59840048339999996</v>
      </c>
      <c r="CD33" s="34">
        <f ca="1">IFERROR(SUMIFS('TRA balance'!AE$5:AE$40,'TRA balance'!$C$5:$C$40,Assumptions!$C33,'TRA balance'!$D$5:$D$40,Assumptions!$B33)*DY33*AH33,"")</f>
        <v>0</v>
      </c>
      <c r="CE33" s="34">
        <f ca="1">IFERROR(SUMIFS('TRA balance'!AF$5:AF$40,'TRA balance'!$C$5:$C$40,Assumptions!$C33,'TRA balance'!$D$5:$D$40,Assumptions!$B33)*DZ33*AI33,"")</f>
        <v>0.66860265240000005</v>
      </c>
      <c r="CF33" s="34">
        <f ca="1">IFERROR(SUMIFS('TRA balance'!AG$5:AG$40,'TRA balance'!$C$5:$C$40,Assumptions!$C33,'TRA balance'!$D$5:$D$40,Assumptions!$B33)*EA33*AJ33,"")</f>
        <v>0</v>
      </c>
      <c r="CG33" s="34">
        <f ca="1">IFERROR(SUMIFS('TRA balance'!AH$5:AH$40,'TRA balance'!$C$5:$C$40,Assumptions!$C33,'TRA balance'!$D$5:$D$40,Assumptions!$B33)*EB33*AK33,"")</f>
        <v>8.7922800000000005E-5</v>
      </c>
      <c r="CH33" s="34">
        <f ca="1">IFERROR(SUMIFS('TRA balance'!AI$5:AI$40,'TRA balance'!$C$5:$C$40,Assumptions!$C33,'TRA balance'!$D$5:$D$40,Assumptions!$B33)*EC33*AL33,"")</f>
        <v>0</v>
      </c>
      <c r="CI33" s="34">
        <f ca="1">IFERROR(SUMIFS('TRA balance'!AJ$5:AJ$40,'TRA balance'!$C$5:$C$40,Assumptions!$C33,'TRA balance'!$D$5:$D$40,Assumptions!$B33)*ED33*AM33,"")</f>
        <v>0</v>
      </c>
      <c r="CJ33" s="34">
        <f ca="1">IFERROR(SUMIFS('TRA balance'!AK$5:AK$40,'TRA balance'!$C$5:$C$40,Assumptions!$C33,'TRA balance'!$D$5:$D$40,Assumptions!$B33)*EE33*AN33,"")</f>
        <v>0</v>
      </c>
      <c r="CK33" s="34">
        <f ca="1">IFERROR(SUMIFS('TRA balance'!AL$5:AL$40,'TRA balance'!$C$5:$C$40,Assumptions!$C33,'TRA balance'!$D$5:$D$40,Assumptions!$B33)*EF33*AO33,"")</f>
        <v>0</v>
      </c>
      <c r="CL33" s="34">
        <f ca="1">IFERROR(SUMIFS('TRA balance'!AM$5:AM$40,'TRA balance'!$C$5:$C$40,Assumptions!$C33,'TRA balance'!$D$5:$D$40,Assumptions!$B33)*EG33*AP33,"")</f>
        <v>0</v>
      </c>
      <c r="CM33" s="34">
        <f ca="1">IFERROR(SUMIFS('TRA balance'!AN$5:AN$40,'TRA balance'!$C$5:$C$40,Assumptions!$C33,'TRA balance'!$D$5:$D$40,Assumptions!$B33)*EH33*AQ33,"")</f>
        <v>0</v>
      </c>
      <c r="CN33" s="34">
        <f ca="1">IFERROR(SUMIFS('TRA balance'!AO$5:AO$40,'TRA balance'!$C$5:$C$40,Assumptions!$C33,'TRA balance'!$D$5:$D$40,Assumptions!$B33)*EI33*AR33,"")</f>
        <v>0</v>
      </c>
      <c r="CO33" s="34">
        <f ca="1">IFERROR(SUMIFS('TRA balance'!AP$5:AP$40,'TRA balance'!$C$5:$C$40,Assumptions!$C33,'TRA balance'!$D$5:$D$40,Assumptions!$B33)*EJ33*AS33,"")</f>
        <v>0</v>
      </c>
      <c r="CP33" s="34">
        <f ca="1">IFERROR(SUMIFS('TRA balance'!AQ$5:AQ$40,'TRA balance'!$C$5:$C$40,Assumptions!$C33,'TRA balance'!$D$5:$D$40,Assumptions!$B33)*EK33*AT33,"")</f>
        <v>0</v>
      </c>
      <c r="CQ33" s="34">
        <f ca="1">IFERROR(SUMIFS('TRA balance'!AR$5:AR$40,'TRA balance'!$C$5:$C$40,Assumptions!$C33,'TRA balance'!$D$5:$D$40,Assumptions!$B33)*EL33*AU33,"")</f>
        <v>0</v>
      </c>
      <c r="CR33" s="34">
        <f ca="1">IFERROR(SUMIFS('TRA balance'!AS$5:AS$40,'TRA balance'!$C$5:$C$40,Assumptions!$C33,'TRA balance'!$D$5:$D$40,Assumptions!$B33)*EM33*AV33,"")</f>
        <v>0</v>
      </c>
      <c r="CS33" s="34">
        <f ca="1">IFERROR(SUMIFS('TRA balance'!AT$5:AT$40,'TRA balance'!$C$5:$C$40,Assumptions!$C33,'TRA balance'!$D$5:$D$40,Assumptions!$B33)*EN33*AW33,"")</f>
        <v>0</v>
      </c>
      <c r="CT33" s="34">
        <f ca="1">IFERROR(SUMIFS('TRA balance'!AU$5:AU$40,'TRA balance'!$C$5:$C$40,Assumptions!$C33,'TRA balance'!$D$5:$D$40,Assumptions!$B33)*EO33*AX33,"")</f>
        <v>0</v>
      </c>
      <c r="CU33" s="34">
        <f ca="1">IFERROR(SUMIFS('TRA balance'!AV$5:AV$40,'TRA balance'!$C$5:$C$40,Assumptions!$C33,'TRA balance'!$D$5:$D$40,Assumptions!$B33)*EP33*AY33,"")</f>
        <v>0</v>
      </c>
      <c r="CV33" s="34">
        <f ca="1">IFERROR(SUMIFS('TRA balance'!AW$5:AW$40,'TRA balance'!$C$5:$C$40,Assumptions!$C33,'TRA balance'!$D$5:$D$40,Assumptions!$B33)*EQ33*AZ33,"")</f>
        <v>0</v>
      </c>
      <c r="CW33" s="34">
        <f ca="1">IFERROR(SUMIFS('TRA balance'!AX$5:AX$40,'TRA balance'!$C$5:$C$40,Assumptions!$C33,'TRA balance'!$D$5:$D$40,Assumptions!$B33)*ER33*BA33,"")</f>
        <v>0</v>
      </c>
      <c r="CY33" s="33">
        <f t="shared" si="2"/>
        <v>1</v>
      </c>
      <c r="CZ33" s="33">
        <f t="shared" si="3"/>
        <v>1</v>
      </c>
      <c r="DA33" s="33">
        <f t="shared" si="4"/>
        <v>1</v>
      </c>
      <c r="DB33" s="33">
        <f t="shared" si="5"/>
        <v>1</v>
      </c>
      <c r="DC33" s="33">
        <f t="shared" si="6"/>
        <v>1</v>
      </c>
      <c r="DD33" s="33">
        <f t="shared" si="7"/>
        <v>1</v>
      </c>
      <c r="DE33" s="33">
        <f t="shared" si="8"/>
        <v>1</v>
      </c>
      <c r="DF33" s="33">
        <f t="shared" si="9"/>
        <v>1</v>
      </c>
      <c r="DG33" s="33">
        <f t="shared" si="10"/>
        <v>1</v>
      </c>
      <c r="DH33" s="33">
        <f t="shared" si="11"/>
        <v>1</v>
      </c>
      <c r="DI33" s="33">
        <f t="shared" si="12"/>
        <v>1</v>
      </c>
      <c r="DJ33" s="33">
        <f t="shared" si="13"/>
        <v>1</v>
      </c>
      <c r="DK33" s="33">
        <f t="shared" si="14"/>
        <v>1</v>
      </c>
      <c r="DL33" s="33">
        <f t="shared" si="15"/>
        <v>1</v>
      </c>
      <c r="DM33" s="33">
        <f t="shared" si="16"/>
        <v>1</v>
      </c>
      <c r="DN33" s="33">
        <f t="shared" si="17"/>
        <v>1</v>
      </c>
      <c r="DO33" s="33">
        <f t="shared" si="18"/>
        <v>1</v>
      </c>
      <c r="DP33" s="33">
        <f t="shared" si="19"/>
        <v>1</v>
      </c>
      <c r="DQ33" s="33">
        <f t="shared" si="20"/>
        <v>1</v>
      </c>
      <c r="DR33" s="33">
        <f t="shared" si="21"/>
        <v>1</v>
      </c>
      <c r="DS33" s="33">
        <f t="shared" si="22"/>
        <v>1</v>
      </c>
      <c r="DT33" s="33">
        <f t="shared" si="23"/>
        <v>1</v>
      </c>
      <c r="DU33" s="33">
        <f t="shared" si="24"/>
        <v>1</v>
      </c>
      <c r="DV33" s="33">
        <f t="shared" si="25"/>
        <v>1</v>
      </c>
      <c r="DW33" s="33">
        <f t="shared" si="26"/>
        <v>1</v>
      </c>
      <c r="DX33" s="33">
        <f t="shared" si="27"/>
        <v>1</v>
      </c>
      <c r="DY33" s="33">
        <f t="shared" si="28"/>
        <v>1</v>
      </c>
      <c r="DZ33" s="33">
        <f t="shared" si="29"/>
        <v>1</v>
      </c>
      <c r="EA33" s="33">
        <f t="shared" si="30"/>
        <v>1</v>
      </c>
      <c r="EB33" s="33">
        <f t="shared" si="31"/>
        <v>1</v>
      </c>
      <c r="EC33" s="33">
        <f t="shared" si="32"/>
        <v>1</v>
      </c>
      <c r="ED33" s="33">
        <f t="shared" si="33"/>
        <v>1</v>
      </c>
      <c r="EE33" s="33">
        <f t="shared" si="34"/>
        <v>1</v>
      </c>
      <c r="EF33" s="33">
        <f t="shared" si="35"/>
        <v>1</v>
      </c>
      <c r="EG33" s="33">
        <f t="shared" si="36"/>
        <v>1</v>
      </c>
      <c r="EH33" s="33">
        <f t="shared" si="37"/>
        <v>1</v>
      </c>
      <c r="EI33" s="33">
        <f t="shared" si="38"/>
        <v>1</v>
      </c>
      <c r="EJ33" s="33">
        <f t="shared" si="39"/>
        <v>1</v>
      </c>
      <c r="EK33" s="33">
        <f t="shared" si="40"/>
        <v>1</v>
      </c>
      <c r="EL33" s="33">
        <f t="shared" si="41"/>
        <v>1</v>
      </c>
      <c r="EM33" s="33">
        <f t="shared" si="42"/>
        <v>1</v>
      </c>
      <c r="EN33" s="33">
        <f t="shared" si="43"/>
        <v>1</v>
      </c>
      <c r="EO33" s="33">
        <f t="shared" si="44"/>
        <v>1</v>
      </c>
      <c r="EP33" s="33">
        <f t="shared" si="45"/>
        <v>1</v>
      </c>
      <c r="EQ33" s="33">
        <f t="shared" si="46"/>
        <v>1</v>
      </c>
      <c r="ER33" s="33">
        <f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6" t="str">
        <f t="shared" si="48"/>
        <v>TT</v>
      </c>
      <c r="D34" s="7" t="s">
        <v>17</v>
      </c>
      <c r="E34" s="7" t="s">
        <v>56</v>
      </c>
      <c r="F34" s="8" t="str">
        <f t="shared" si="62"/>
        <v>Gasoline</v>
      </c>
      <c r="G34" s="6" t="s">
        <v>57</v>
      </c>
      <c r="H34" s="9">
        <f ca="1">OFFSET(TIAM15_assumptions!$G34,0,MATCH(VLOOKUP(Assumptions!H$2,TIAM15_assumptions!$Y$3:$Z$87,2,FALSE),TIAM15_assumptions!$H$2:$V$2,0))</f>
        <v>0.5</v>
      </c>
      <c r="I34" s="9">
        <f ca="1">OFFSET(TIAM15_assumptions!$G34,0,MATCH(VLOOKUP(Assumptions!I$2,TIAM15_assumptions!$Y$3:$Z$87,2,FALSE),TIAM15_assumptions!$H$2:$V$2,0))</f>
        <v>0.5</v>
      </c>
      <c r="J34" s="9">
        <f ca="1">OFFSET(TIAM15_assumptions!$G34,0,MATCH(VLOOKUP(Assumptions!J$2,TIAM15_assumptions!$Y$3:$Z$87,2,FALSE),TIAM15_assumptions!$H$2:$V$2,0))</f>
        <v>0.5</v>
      </c>
      <c r="K34" s="9">
        <f ca="1">OFFSET(TIAM15_assumptions!$G34,0,MATCH(VLOOKUP(Assumptions!K$2,TIAM15_assumptions!$Y$3:$Z$87,2,FALSE),TIAM15_assumptions!$H$2:$V$2,0))</f>
        <v>0</v>
      </c>
      <c r="L34" s="9">
        <f ca="1">OFFSET(TIAM15_assumptions!$G34,0,MATCH(VLOOKUP(Assumptions!L$2,TIAM15_assumptions!$Y$3:$Z$87,2,FALSE),TIAM15_assumptions!$H$2:$V$2,0))</f>
        <v>0.5</v>
      </c>
      <c r="M34" s="9">
        <f ca="1">OFFSET(TIAM15_assumptions!$G34,0,MATCH(VLOOKUP(Assumptions!M$2,TIAM15_assumptions!$Y$3:$Z$87,2,FALSE),TIAM15_assumptions!$H$2:$V$2,0))</f>
        <v>0</v>
      </c>
      <c r="N34" s="9">
        <f ca="1">OFFSET(TIAM15_assumptions!$G34,0,MATCH(VLOOKUP(Assumptions!N$2,TIAM15_assumptions!$Y$3:$Z$87,2,FALSE),TIAM15_assumptions!$H$2:$V$2,0))</f>
        <v>0</v>
      </c>
      <c r="O34" s="9">
        <f ca="1">OFFSET(TIAM15_assumptions!$G34,0,MATCH(VLOOKUP(Assumptions!O$2,TIAM15_assumptions!$Y$3:$Z$87,2,FALSE),TIAM15_assumptions!$H$2:$V$2,0))</f>
        <v>0.5</v>
      </c>
      <c r="P34" s="9">
        <f ca="1">OFFSET(TIAM15_assumptions!$G34,0,MATCH(VLOOKUP(Assumptions!P$2,TIAM15_assumptions!$Y$3:$Z$87,2,FALSE),TIAM15_assumptions!$H$2:$V$2,0))</f>
        <v>0</v>
      </c>
      <c r="Q34" s="9">
        <f ca="1">OFFSET(TIAM15_assumptions!$G34,0,MATCH(VLOOKUP(Assumptions!Q$2,TIAM15_assumptions!$Y$3:$Z$87,2,FALSE),TIAM15_assumptions!$H$2:$V$2,0))</f>
        <v>0</v>
      </c>
      <c r="R34" s="9">
        <f ca="1">OFFSET(TIAM15_assumptions!$G34,0,MATCH(VLOOKUP(Assumptions!R$2,TIAM15_assumptions!$Y$3:$Z$87,2,FALSE),TIAM15_assumptions!$H$2:$V$2,0))</f>
        <v>0</v>
      </c>
      <c r="S34" s="9">
        <f ca="1">OFFSET(TIAM15_assumptions!$G34,0,MATCH(VLOOKUP(Assumptions!S$2,TIAM15_assumptions!$Y$3:$Z$87,2,FALSE),TIAM15_assumptions!$H$2:$V$2,0))</f>
        <v>0</v>
      </c>
      <c r="T34" s="9">
        <f ca="1">OFFSET(TIAM15_assumptions!$G34,0,MATCH(VLOOKUP(Assumptions!T$2,TIAM15_assumptions!$Y$3:$Z$87,2,FALSE),TIAM15_assumptions!$H$2:$V$2,0))</f>
        <v>0</v>
      </c>
      <c r="U34" s="9">
        <f ca="1">OFFSET(TIAM15_assumptions!$G34,0,MATCH(VLOOKUP(Assumptions!U$2,TIAM15_assumptions!$Y$3:$Z$87,2,FALSE),TIAM15_assumptions!$H$2:$V$2,0))</f>
        <v>0</v>
      </c>
      <c r="V34" s="9">
        <f ca="1">OFFSET(TIAM15_assumptions!$G34,0,MATCH(VLOOKUP(Assumptions!V$2,TIAM15_assumptions!$Y$3:$Z$87,2,FALSE),TIAM15_assumptions!$H$2:$V$2,0))</f>
        <v>0</v>
      </c>
      <c r="W34" s="9">
        <f ca="1">OFFSET(TIAM15_assumptions!$G34,0,MATCH(VLOOKUP(Assumptions!W$2,TIAM15_assumptions!$Y$3:$Z$87,2,FALSE),TIAM15_assumptions!$H$2:$V$2,0))</f>
        <v>0</v>
      </c>
      <c r="X34" s="9">
        <f ca="1">OFFSET(TIAM15_assumptions!$G34,0,MATCH(VLOOKUP(Assumptions!X$2,TIAM15_assumptions!$Y$3:$Z$87,2,FALSE),TIAM15_assumptions!$H$2:$V$2,0))</f>
        <v>0</v>
      </c>
      <c r="Y34" s="9">
        <f ca="1">OFFSET(TIAM15_assumptions!$G34,0,MATCH(VLOOKUP(Assumptions!Y$2,TIAM15_assumptions!$Y$3:$Z$87,2,FALSE),TIAM15_assumptions!$H$2:$V$2,0))</f>
        <v>0</v>
      </c>
      <c r="Z34" s="9">
        <f ca="1">OFFSET(TIAM15_assumptions!$G34,0,MATCH(VLOOKUP(Assumptions!Z$2,TIAM15_assumptions!$Y$3:$Z$87,2,FALSE),TIAM15_assumptions!$H$2:$V$2,0))</f>
        <v>0.93</v>
      </c>
      <c r="AA34" s="9">
        <f ca="1">OFFSET(TIAM15_assumptions!$G34,0,MATCH(VLOOKUP(Assumptions!AA$2,TIAM15_assumptions!$Y$3:$Z$87,2,FALSE),TIAM15_assumptions!$H$2:$V$2,0))</f>
        <v>0</v>
      </c>
      <c r="AB34" s="9">
        <f ca="1">OFFSET(TIAM15_assumptions!$G34,0,MATCH(VLOOKUP(Assumptions!AB$2,TIAM15_assumptions!$Y$3:$Z$87,2,FALSE),TIAM15_assumptions!$H$2:$V$2,0))</f>
        <v>0</v>
      </c>
      <c r="AC34" s="9">
        <f ca="1">OFFSET(TIAM15_assumptions!$G34,0,MATCH(VLOOKUP(Assumptions!AC$2,TIAM15_assumptions!$Y$3:$Z$87,2,FALSE),TIAM15_assumptions!$H$2:$V$2,0))</f>
        <v>0.5</v>
      </c>
      <c r="AD34" s="9">
        <f ca="1">OFFSET(TIAM15_assumptions!$G34,0,MATCH(VLOOKUP(Assumptions!AD$2,TIAM15_assumptions!$Y$3:$Z$87,2,FALSE),TIAM15_assumptions!$H$2:$V$2,0))</f>
        <v>0</v>
      </c>
      <c r="AE34" s="9">
        <f ca="1">OFFSET(TIAM15_assumptions!$G34,0,MATCH(VLOOKUP(Assumptions!AE$2,TIAM15_assumptions!$Y$3:$Z$87,2,FALSE),TIAM15_assumptions!$H$2:$V$2,0))</f>
        <v>0</v>
      </c>
      <c r="AF34" s="9">
        <f ca="1">OFFSET(TIAM15_assumptions!$G34,0,MATCH(VLOOKUP(Assumptions!AF$2,TIAM15_assumptions!$Y$3:$Z$87,2,FALSE),TIAM15_assumptions!$H$2:$V$2,0))</f>
        <v>0.5</v>
      </c>
      <c r="AG34" s="9">
        <f ca="1">OFFSET(TIAM15_assumptions!$G34,0,MATCH(VLOOKUP(Assumptions!AG$2,TIAM15_assumptions!$Y$3:$Z$87,2,FALSE),TIAM15_assumptions!$H$2:$V$2,0))</f>
        <v>0.5</v>
      </c>
      <c r="AH34" s="9">
        <f ca="1">OFFSET(TIAM15_assumptions!$G34,0,MATCH(VLOOKUP(Assumptions!AH$2,TIAM15_assumptions!$Y$3:$Z$87,2,FALSE),TIAM15_assumptions!$H$2:$V$2,0))</f>
        <v>0</v>
      </c>
      <c r="AI34" s="9">
        <f ca="1">OFFSET(TIAM15_assumptions!$G34,0,MATCH(VLOOKUP(Assumptions!AI$2,TIAM15_assumptions!$Y$3:$Z$87,2,FALSE),TIAM15_assumptions!$H$2:$V$2,0))</f>
        <v>0.5</v>
      </c>
      <c r="AJ34" s="9">
        <f ca="1">OFFSET(TIAM15_assumptions!$G34,0,MATCH(VLOOKUP(Assumptions!AJ$2,TIAM15_assumptions!$Y$3:$Z$87,2,FALSE),TIAM15_assumptions!$H$2:$V$2,0))</f>
        <v>0</v>
      </c>
      <c r="AK34" s="9">
        <f ca="1">OFFSET(TIAM15_assumptions!$G34,0,MATCH(VLOOKUP(Assumptions!AK$2,TIAM15_assumptions!$Y$3:$Z$87,2,FALSE),TIAM15_assumptions!$H$2:$V$2,0))</f>
        <v>0</v>
      </c>
      <c r="AL34" s="9">
        <f ca="1">OFFSET(TIAM15_assumptions!$G34,0,MATCH(VLOOKUP(Assumptions!AL$2,TIAM15_assumptions!$Y$3:$Z$87,2,FALSE),TIAM15_assumptions!$H$2:$V$2,0))</f>
        <v>0</v>
      </c>
      <c r="AM34" s="9">
        <f ca="1">OFFSET(TIAM15_assumptions!$G34,0,MATCH(VLOOKUP(Assumptions!AM$2,TIAM15_assumptions!$Y$3:$Z$87,2,FALSE),TIAM15_assumptions!$H$2:$V$2,0))</f>
        <v>0</v>
      </c>
      <c r="AN34" s="9">
        <f ca="1">OFFSET(TIAM15_assumptions!$G34,0,MATCH(VLOOKUP(Assumptions!AN$2,TIAM15_assumptions!$Y$3:$Z$87,2,FALSE),TIAM15_assumptions!$H$2:$V$2,0))</f>
        <v>0</v>
      </c>
      <c r="AO34" s="9">
        <f ca="1">OFFSET(TIAM15_assumptions!$G34,0,MATCH(VLOOKUP(Assumptions!AO$2,TIAM15_assumptions!$Y$3:$Z$87,2,FALSE),TIAM15_assumptions!$H$2:$V$2,0))</f>
        <v>0.5</v>
      </c>
      <c r="AP34" s="9">
        <f ca="1">OFFSET(TIAM15_assumptions!$G34,0,MATCH(VLOOKUP(Assumptions!AP$2,TIAM15_assumptions!$Y$3:$Z$87,2,FALSE),TIAM15_assumptions!$H$2:$V$2,0))</f>
        <v>0</v>
      </c>
      <c r="AQ34" s="9">
        <f ca="1">OFFSET(TIAM15_assumptions!$G34,0,MATCH(VLOOKUP(Assumptions!AQ$2,TIAM15_assumptions!$Y$3:$Z$87,2,FALSE),TIAM15_assumptions!$H$2:$V$2,0))</f>
        <v>0.5</v>
      </c>
      <c r="AR34" s="9">
        <f ca="1">OFFSET(TIAM15_assumptions!$G34,0,MATCH(VLOOKUP(Assumptions!AR$2,TIAM15_assumptions!$Y$3:$Z$87,2,FALSE),TIAM15_assumptions!$H$2:$V$2,0))</f>
        <v>0.5</v>
      </c>
      <c r="AS34" s="9">
        <f ca="1">OFFSET(TIAM15_assumptions!$G34,0,MATCH(VLOOKUP(Assumptions!AS$2,TIAM15_assumptions!$Y$3:$Z$87,2,FALSE),TIAM15_assumptions!$H$2:$V$2,0))</f>
        <v>0.5</v>
      </c>
      <c r="AT34" s="9">
        <f ca="1">OFFSET(TIAM15_assumptions!$G34,0,MATCH(VLOOKUP(Assumptions!AT$2,TIAM15_assumptions!$Y$3:$Z$87,2,FALSE),TIAM15_assumptions!$H$2:$V$2,0))</f>
        <v>0.5</v>
      </c>
      <c r="AU34" s="9">
        <f ca="1">OFFSET(TIAM15_assumptions!$G34,0,MATCH(VLOOKUP(Assumptions!AU$2,TIAM15_assumptions!$Y$3:$Z$87,2,FALSE),TIAM15_assumptions!$H$2:$V$2,0))</f>
        <v>0.5</v>
      </c>
      <c r="AV34" s="9">
        <f ca="1">OFFSET(TIAM15_assumptions!$G34,0,MATCH(VLOOKUP(Assumptions!AV$2,TIAM15_assumptions!$Y$3:$Z$87,2,FALSE),TIAM15_assumptions!$H$2:$V$2,0))</f>
        <v>0.5</v>
      </c>
      <c r="AW34" s="9">
        <f ca="1">OFFSET(TIAM15_assumptions!$G34,0,MATCH(VLOOKUP(Assumptions!AW$2,TIAM15_assumptions!$Y$3:$Z$87,2,FALSE),TIAM15_assumptions!$H$2:$V$2,0))</f>
        <v>0.5</v>
      </c>
      <c r="AX34" s="9">
        <f ca="1">OFFSET(TIAM15_assumptions!$G34,0,MATCH(VLOOKUP(Assumptions!AX$2,TIAM15_assumptions!$Y$3:$Z$87,2,FALSE),TIAM15_assumptions!$H$2:$V$2,0))</f>
        <v>0.5</v>
      </c>
      <c r="AY34" s="9">
        <f ca="1">OFFSET(TIAM15_assumptions!$G34,0,MATCH(VLOOKUP(Assumptions!AY$2,TIAM15_assumptions!$Y$3:$Z$87,2,FALSE),TIAM15_assumptions!$H$2:$V$2,0))</f>
        <v>0.5</v>
      </c>
      <c r="AZ34" s="9">
        <f ca="1">OFFSET(TIAM15_assumptions!$G34,0,MATCH(VLOOKUP(Assumptions!AZ$2,TIAM15_assumptions!$Y$3:$Z$87,2,FALSE),TIAM15_assumptions!$H$2:$V$2,0))</f>
        <v>0.5</v>
      </c>
      <c r="BA34" s="9">
        <f ca="1">OFFSET(TIAM15_assumptions!$G34,0,MATCH(VLOOKUP(Assumptions!BA$2,TIAM15_assumptions!$Y$3:$Z$87,2,FALSE),TIAM15_assumptions!$H$2:$V$2,0))</f>
        <v>0.5</v>
      </c>
      <c r="BD34" s="34">
        <f ca="1">IFERROR(SUMIFS('TRA balance'!E$5:E$40,'TRA balance'!$C$5:$C$40,Assumptions!$C34,'TRA balance'!$D$5:$D$40,Assumptions!$B34)*CY34*H34,"")</f>
        <v>0</v>
      </c>
      <c r="BE34" s="34">
        <f ca="1">IFERROR(SUMIFS('TRA balance'!F$5:F$40,'TRA balance'!$C$5:$C$40,Assumptions!$C34,'TRA balance'!$D$5:$D$40,Assumptions!$B34)*CZ34*I34,"")</f>
        <v>0</v>
      </c>
      <c r="BF34" s="34">
        <f ca="1">IFERROR(SUMIFS('TRA balance'!G$5:G$40,'TRA balance'!$C$5:$C$40,Assumptions!$C34,'TRA balance'!$D$5:$D$40,Assumptions!$B34)*DA34*J34,"")</f>
        <v>2.2277962799999999E-2</v>
      </c>
      <c r="BG34" s="34">
        <f ca="1">IFERROR(SUMIFS('TRA balance'!H$5:H$40,'TRA balance'!$C$5:$C$40,Assumptions!$C34,'TRA balance'!$D$5:$D$40,Assumptions!$B34)*DB34*K34,"")</f>
        <v>0</v>
      </c>
      <c r="BH34" s="34">
        <f ca="1">IFERROR(SUMIFS('TRA balance'!I$5:I$40,'TRA balance'!$C$5:$C$40,Assumptions!$C34,'TRA balance'!$D$5:$D$40,Assumptions!$B34)*DC34*L34,"")</f>
        <v>0</v>
      </c>
      <c r="BI34" s="34">
        <f ca="1">IFERROR(SUMIFS('TRA balance'!J$5:J$40,'TRA balance'!$C$5:$C$40,Assumptions!$C34,'TRA balance'!$D$5:$D$40,Assumptions!$B34)*DD34*M34,"")</f>
        <v>0</v>
      </c>
      <c r="BJ34" s="34">
        <f ca="1">IFERROR(SUMIFS('TRA balance'!K$5:K$40,'TRA balance'!$C$5:$C$40,Assumptions!$C34,'TRA balance'!$D$5:$D$40,Assumptions!$B34)*DE34*N34,"")</f>
        <v>0</v>
      </c>
      <c r="BK34" s="34">
        <f ca="1">IFERROR(SUMIFS('TRA balance'!L$5:L$40,'TRA balance'!$C$5:$C$40,Assumptions!$C34,'TRA balance'!$D$5:$D$40,Assumptions!$B34)*DF34*O34,"")</f>
        <v>0</v>
      </c>
      <c r="BL34" s="34">
        <f ca="1">IFERROR(SUMIFS('TRA balance'!M$5:M$40,'TRA balance'!$C$5:$C$40,Assumptions!$C34,'TRA balance'!$D$5:$D$40,Assumptions!$B34)*DG34*P34,"")</f>
        <v>0</v>
      </c>
      <c r="BM34" s="34">
        <f ca="1">IFERROR(SUMIFS('TRA balance'!N$5:N$40,'TRA balance'!$C$5:$C$40,Assumptions!$C34,'TRA balance'!$D$5:$D$40,Assumptions!$B34)*DH34*Q34,"")</f>
        <v>0</v>
      </c>
      <c r="BN34" s="34">
        <f ca="1">IFERROR(SUMIFS('TRA balance'!O$5:O$40,'TRA balance'!$C$5:$C$40,Assumptions!$C34,'TRA balance'!$D$5:$D$40,Assumptions!$B34)*DI34*R34,"")</f>
        <v>0</v>
      </c>
      <c r="BO34" s="34">
        <f ca="1">IFERROR(SUMIFS('TRA balance'!P$5:P$40,'TRA balance'!$C$5:$C$40,Assumptions!$C34,'TRA balance'!$D$5:$D$40,Assumptions!$B34)*DJ34*S34,"")</f>
        <v>0</v>
      </c>
      <c r="BP34" s="34">
        <f ca="1">IFERROR(SUMIFS('TRA balance'!Q$5:Q$40,'TRA balance'!$C$5:$C$40,Assumptions!$C34,'TRA balance'!$D$5:$D$40,Assumptions!$B34)*DK34*T34,"")</f>
        <v>0</v>
      </c>
      <c r="BQ34" s="34">
        <f ca="1">IFERROR(SUMIFS('TRA balance'!R$5:R$40,'TRA balance'!$C$5:$C$40,Assumptions!$C34,'TRA balance'!$D$5:$D$40,Assumptions!$B34)*DL34*U34,"")</f>
        <v>0</v>
      </c>
      <c r="BR34" s="34">
        <f ca="1">IFERROR(SUMIFS('TRA balance'!S$5:S$40,'TRA balance'!$C$5:$C$40,Assumptions!$C34,'TRA balance'!$D$5:$D$40,Assumptions!$B34)*DM34*V34,"")</f>
        <v>0</v>
      </c>
      <c r="BS34" s="34">
        <f ca="1">IFERROR(SUMIFS('TRA balance'!T$5:T$40,'TRA balance'!$C$5:$C$40,Assumptions!$C34,'TRA balance'!$D$5:$D$40,Assumptions!$B34)*DN34*W34,"")</f>
        <v>0</v>
      </c>
      <c r="BT34" s="34">
        <f ca="1">IFERROR(SUMIFS('TRA balance'!U$5:U$40,'TRA balance'!$C$5:$C$40,Assumptions!$C34,'TRA balance'!$D$5:$D$40,Assumptions!$B34)*DO34*X34,"")</f>
        <v>0</v>
      </c>
      <c r="BU34" s="34">
        <f ca="1">IFERROR(SUMIFS('TRA balance'!V$5:V$40,'TRA balance'!$C$5:$C$40,Assumptions!$C34,'TRA balance'!$D$5:$D$40,Assumptions!$B34)*DP34*Y34,"")</f>
        <v>0</v>
      </c>
      <c r="BV34" s="34">
        <f ca="1">IFERROR(SUMIFS('TRA balance'!W$5:W$40,'TRA balance'!$C$5:$C$40,Assumptions!$C34,'TRA balance'!$D$5:$D$40,Assumptions!$B34)*DQ34*Z34,"")</f>
        <v>0</v>
      </c>
      <c r="BW34" s="34">
        <f ca="1">IFERROR(SUMIFS('TRA balance'!X$5:X$40,'TRA balance'!$C$5:$C$40,Assumptions!$C34,'TRA balance'!$D$5:$D$40,Assumptions!$B34)*DR34*AA34,"")</f>
        <v>0</v>
      </c>
      <c r="BX34" s="34">
        <f ca="1">IFERROR(SUMIFS('TRA balance'!Y$5:Y$40,'TRA balance'!$C$5:$C$40,Assumptions!$C34,'TRA balance'!$D$5:$D$40,Assumptions!$B34)*DS34*AB34,"")</f>
        <v>0</v>
      </c>
      <c r="BY34" s="34">
        <f ca="1">IFERROR(SUMIFS('TRA balance'!Z$5:Z$40,'TRA balance'!$C$5:$C$40,Assumptions!$C34,'TRA balance'!$D$5:$D$40,Assumptions!$B34)*DT34*AC34,"")</f>
        <v>0</v>
      </c>
      <c r="BZ34" s="34">
        <f ca="1">IFERROR(SUMIFS('TRA balance'!AA$5:AA$40,'TRA balance'!$C$5:$C$40,Assumptions!$C34,'TRA balance'!$D$5:$D$40,Assumptions!$B34)*DU34*AD34,"")</f>
        <v>0</v>
      </c>
      <c r="CA34" s="34">
        <f ca="1">IFERROR(SUMIFS('TRA balance'!AB$5:AB$40,'TRA balance'!$C$5:$C$40,Assumptions!$C34,'TRA balance'!$D$5:$D$40,Assumptions!$B34)*DV34*AE34,"")</f>
        <v>0</v>
      </c>
      <c r="CB34" s="34">
        <f ca="1">IFERROR(SUMIFS('TRA balance'!AC$5:AC$40,'TRA balance'!$C$5:$C$40,Assumptions!$C34,'TRA balance'!$D$5:$D$40,Assumptions!$B34)*DW34*AF34,"")</f>
        <v>4.1338369799999997E-2</v>
      </c>
      <c r="CC34" s="34">
        <f ca="1">IFERROR(SUMIFS('TRA balance'!AD$5:AD$40,'TRA balance'!$C$5:$C$40,Assumptions!$C34,'TRA balance'!$D$5:$D$40,Assumptions!$B34)*DX34*AG34,"")</f>
        <v>0.59840048339999996</v>
      </c>
      <c r="CD34" s="34">
        <f ca="1">IFERROR(SUMIFS('TRA balance'!AE$5:AE$40,'TRA balance'!$C$5:$C$40,Assumptions!$C34,'TRA balance'!$D$5:$D$40,Assumptions!$B34)*DY34*AH34,"")</f>
        <v>0</v>
      </c>
      <c r="CE34" s="34">
        <f ca="1">IFERROR(SUMIFS('TRA balance'!AF$5:AF$40,'TRA balance'!$C$5:$C$40,Assumptions!$C34,'TRA balance'!$D$5:$D$40,Assumptions!$B34)*DZ34*AI34,"")</f>
        <v>0.66860265240000005</v>
      </c>
      <c r="CF34" s="34">
        <f ca="1">IFERROR(SUMIFS('TRA balance'!AG$5:AG$40,'TRA balance'!$C$5:$C$40,Assumptions!$C34,'TRA balance'!$D$5:$D$40,Assumptions!$B34)*EA34*AJ34,"")</f>
        <v>0</v>
      </c>
      <c r="CG34" s="34">
        <f ca="1">IFERROR(SUMIFS('TRA balance'!AH$5:AH$40,'TRA balance'!$C$5:$C$40,Assumptions!$C34,'TRA balance'!$D$5:$D$40,Assumptions!$B34)*EB34*AK34,"")</f>
        <v>0</v>
      </c>
      <c r="CH34" s="34">
        <f ca="1">IFERROR(SUMIFS('TRA balance'!AI$5:AI$40,'TRA balance'!$C$5:$C$40,Assumptions!$C34,'TRA balance'!$D$5:$D$40,Assumptions!$B34)*EC34*AL34,"")</f>
        <v>0</v>
      </c>
      <c r="CI34" s="34">
        <f ca="1">IFERROR(SUMIFS('TRA balance'!AJ$5:AJ$40,'TRA balance'!$C$5:$C$40,Assumptions!$C34,'TRA balance'!$D$5:$D$40,Assumptions!$B34)*ED34*AM34,"")</f>
        <v>0</v>
      </c>
      <c r="CJ34" s="34">
        <f ca="1">IFERROR(SUMIFS('TRA balance'!AK$5:AK$40,'TRA balance'!$C$5:$C$40,Assumptions!$C34,'TRA balance'!$D$5:$D$40,Assumptions!$B34)*EE34*AN34,"")</f>
        <v>0</v>
      </c>
      <c r="CK34" s="34">
        <f ca="1">IFERROR(SUMIFS('TRA balance'!AL$5:AL$40,'TRA balance'!$C$5:$C$40,Assumptions!$C34,'TRA balance'!$D$5:$D$40,Assumptions!$B34)*EF34*AO34,"")</f>
        <v>0</v>
      </c>
      <c r="CL34" s="34">
        <f ca="1">IFERROR(SUMIFS('TRA balance'!AM$5:AM$40,'TRA balance'!$C$5:$C$40,Assumptions!$C34,'TRA balance'!$D$5:$D$40,Assumptions!$B34)*EG34*AP34,"")</f>
        <v>0</v>
      </c>
      <c r="CM34" s="34">
        <f ca="1">IFERROR(SUMIFS('TRA balance'!AN$5:AN$40,'TRA balance'!$C$5:$C$40,Assumptions!$C34,'TRA balance'!$D$5:$D$40,Assumptions!$B34)*EH34*AQ34,"")</f>
        <v>0</v>
      </c>
      <c r="CN34" s="34">
        <f ca="1">IFERROR(SUMIFS('TRA balance'!AO$5:AO$40,'TRA balance'!$C$5:$C$40,Assumptions!$C34,'TRA balance'!$D$5:$D$40,Assumptions!$B34)*EI34*AR34,"")</f>
        <v>0</v>
      </c>
      <c r="CO34" s="34">
        <f ca="1">IFERROR(SUMIFS('TRA balance'!AP$5:AP$40,'TRA balance'!$C$5:$C$40,Assumptions!$C34,'TRA balance'!$D$5:$D$40,Assumptions!$B34)*EJ34*AS34,"")</f>
        <v>0</v>
      </c>
      <c r="CP34" s="34">
        <f ca="1">IFERROR(SUMIFS('TRA balance'!AQ$5:AQ$40,'TRA balance'!$C$5:$C$40,Assumptions!$C34,'TRA balance'!$D$5:$D$40,Assumptions!$B34)*EK34*AT34,"")</f>
        <v>0</v>
      </c>
      <c r="CQ34" s="34">
        <f ca="1">IFERROR(SUMIFS('TRA balance'!AR$5:AR$40,'TRA balance'!$C$5:$C$40,Assumptions!$C34,'TRA balance'!$D$5:$D$40,Assumptions!$B34)*EL34*AU34,"")</f>
        <v>0</v>
      </c>
      <c r="CR34" s="34">
        <f ca="1">IFERROR(SUMIFS('TRA balance'!AS$5:AS$40,'TRA balance'!$C$5:$C$40,Assumptions!$C34,'TRA balance'!$D$5:$D$40,Assumptions!$B34)*EM34*AV34,"")</f>
        <v>0</v>
      </c>
      <c r="CS34" s="34">
        <f ca="1">IFERROR(SUMIFS('TRA balance'!AT$5:AT$40,'TRA balance'!$C$5:$C$40,Assumptions!$C34,'TRA balance'!$D$5:$D$40,Assumptions!$B34)*EN34*AW34,"")</f>
        <v>0</v>
      </c>
      <c r="CT34" s="34">
        <f ca="1">IFERROR(SUMIFS('TRA balance'!AU$5:AU$40,'TRA balance'!$C$5:$C$40,Assumptions!$C34,'TRA balance'!$D$5:$D$40,Assumptions!$B34)*EO34*AX34,"")</f>
        <v>0</v>
      </c>
      <c r="CU34" s="34">
        <f ca="1">IFERROR(SUMIFS('TRA balance'!AV$5:AV$40,'TRA balance'!$C$5:$C$40,Assumptions!$C34,'TRA balance'!$D$5:$D$40,Assumptions!$B34)*EP34*AY34,"")</f>
        <v>0</v>
      </c>
      <c r="CV34" s="34">
        <f ca="1">IFERROR(SUMIFS('TRA balance'!AW$5:AW$40,'TRA balance'!$C$5:$C$40,Assumptions!$C34,'TRA balance'!$D$5:$D$40,Assumptions!$B34)*EQ34*AZ34,"")</f>
        <v>0</v>
      </c>
      <c r="CW34" s="34">
        <f ca="1">IFERROR(SUMIFS('TRA balance'!AX$5:AX$40,'TRA balance'!$C$5:$C$40,Assumptions!$C34,'TRA balance'!$D$5:$D$40,Assumptions!$B34)*ER34*BA34,"")</f>
        <v>0</v>
      </c>
      <c r="CY34" s="33">
        <f t="shared" si="2"/>
        <v>1</v>
      </c>
      <c r="CZ34" s="33">
        <f t="shared" si="3"/>
        <v>1</v>
      </c>
      <c r="DA34" s="33">
        <f t="shared" si="4"/>
        <v>1</v>
      </c>
      <c r="DB34" s="33">
        <f t="shared" si="5"/>
        <v>1</v>
      </c>
      <c r="DC34" s="33">
        <f t="shared" si="6"/>
        <v>1</v>
      </c>
      <c r="DD34" s="33">
        <f t="shared" si="7"/>
        <v>1</v>
      </c>
      <c r="DE34" s="33">
        <f t="shared" si="8"/>
        <v>1</v>
      </c>
      <c r="DF34" s="33">
        <f t="shared" si="9"/>
        <v>1</v>
      </c>
      <c r="DG34" s="33">
        <f t="shared" si="10"/>
        <v>1</v>
      </c>
      <c r="DH34" s="33">
        <f t="shared" si="11"/>
        <v>1</v>
      </c>
      <c r="DI34" s="33">
        <f t="shared" si="12"/>
        <v>1</v>
      </c>
      <c r="DJ34" s="33">
        <f t="shared" si="13"/>
        <v>1</v>
      </c>
      <c r="DK34" s="33">
        <f t="shared" si="14"/>
        <v>1</v>
      </c>
      <c r="DL34" s="33">
        <f t="shared" si="15"/>
        <v>1</v>
      </c>
      <c r="DM34" s="33">
        <f t="shared" si="16"/>
        <v>1</v>
      </c>
      <c r="DN34" s="33">
        <f t="shared" si="17"/>
        <v>1</v>
      </c>
      <c r="DO34" s="33">
        <f t="shared" si="18"/>
        <v>1</v>
      </c>
      <c r="DP34" s="33">
        <f t="shared" si="19"/>
        <v>1</v>
      </c>
      <c r="DQ34" s="33">
        <f t="shared" si="20"/>
        <v>1</v>
      </c>
      <c r="DR34" s="33">
        <f t="shared" si="21"/>
        <v>1</v>
      </c>
      <c r="DS34" s="33">
        <f t="shared" si="22"/>
        <v>1</v>
      </c>
      <c r="DT34" s="33">
        <f t="shared" si="23"/>
        <v>1</v>
      </c>
      <c r="DU34" s="33">
        <f t="shared" si="24"/>
        <v>1</v>
      </c>
      <c r="DV34" s="33">
        <f t="shared" si="25"/>
        <v>1</v>
      </c>
      <c r="DW34" s="33">
        <f t="shared" si="26"/>
        <v>1</v>
      </c>
      <c r="DX34" s="33">
        <f t="shared" si="27"/>
        <v>1</v>
      </c>
      <c r="DY34" s="33">
        <f t="shared" si="28"/>
        <v>1</v>
      </c>
      <c r="DZ34" s="33">
        <f t="shared" si="29"/>
        <v>1</v>
      </c>
      <c r="EA34" s="33">
        <f t="shared" si="30"/>
        <v>1</v>
      </c>
      <c r="EB34" s="33">
        <f t="shared" si="31"/>
        <v>1</v>
      </c>
      <c r="EC34" s="33">
        <f t="shared" si="32"/>
        <v>1</v>
      </c>
      <c r="ED34" s="33">
        <f t="shared" si="33"/>
        <v>1</v>
      </c>
      <c r="EE34" s="33">
        <f t="shared" si="34"/>
        <v>1</v>
      </c>
      <c r="EF34" s="33">
        <f t="shared" si="35"/>
        <v>1</v>
      </c>
      <c r="EG34" s="33">
        <f t="shared" si="36"/>
        <v>1</v>
      </c>
      <c r="EH34" s="33">
        <f t="shared" si="37"/>
        <v>1</v>
      </c>
      <c r="EI34" s="33">
        <f t="shared" si="38"/>
        <v>1</v>
      </c>
      <c r="EJ34" s="33">
        <f t="shared" si="39"/>
        <v>1</v>
      </c>
      <c r="EK34" s="33">
        <f t="shared" si="40"/>
        <v>1</v>
      </c>
      <c r="EL34" s="33">
        <f t="shared" si="41"/>
        <v>1</v>
      </c>
      <c r="EM34" s="33">
        <f t="shared" si="42"/>
        <v>1</v>
      </c>
      <c r="EN34" s="33">
        <f t="shared" si="43"/>
        <v>1</v>
      </c>
      <c r="EO34" s="33">
        <f t="shared" si="44"/>
        <v>1</v>
      </c>
      <c r="EP34" s="33">
        <f t="shared" si="45"/>
        <v>1</v>
      </c>
      <c r="EQ34" s="33">
        <f t="shared" si="46"/>
        <v>1</v>
      </c>
      <c r="ER34" s="33">
        <f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11"/>
      <c r="D35" s="11"/>
      <c r="E35" s="12" t="s">
        <v>58</v>
      </c>
      <c r="F35" s="13" t="str">
        <f t="shared" si="62"/>
        <v>Gasoline</v>
      </c>
      <c r="G35" s="11"/>
      <c r="H35" s="12" t="str">
        <f t="shared" ref="H35" ca="1" si="64">IF(SUM(H33:H34)=1,"-","&lt;&gt;1!!")</f>
        <v>-</v>
      </c>
      <c r="I35" s="12" t="str">
        <f t="shared" ref="I35:BA35" ca="1" si="65">IF(SUM(I33:I34)=1,"-","&lt;&gt;1!!")</f>
        <v>-</v>
      </c>
      <c r="J35" s="12" t="str">
        <f t="shared" ca="1" si="65"/>
        <v>-</v>
      </c>
      <c r="K35" s="12" t="str">
        <f t="shared" ca="1" si="65"/>
        <v>-</v>
      </c>
      <c r="L35" s="12" t="str">
        <f t="shared" ca="1" si="65"/>
        <v>-</v>
      </c>
      <c r="M35" s="12" t="str">
        <f t="shared" ca="1" si="65"/>
        <v>-</v>
      </c>
      <c r="N35" s="12" t="str">
        <f t="shared" ca="1" si="65"/>
        <v>-</v>
      </c>
      <c r="O35" s="12" t="str">
        <f t="shared" ca="1" si="65"/>
        <v>-</v>
      </c>
      <c r="P35" s="12" t="str">
        <f t="shared" ca="1" si="65"/>
        <v>-</v>
      </c>
      <c r="Q35" s="12" t="str">
        <f t="shared" ca="1" si="65"/>
        <v>-</v>
      </c>
      <c r="R35" s="12" t="str">
        <f t="shared" ca="1" si="65"/>
        <v>-</v>
      </c>
      <c r="S35" s="12" t="str">
        <f t="shared" ca="1" si="65"/>
        <v>-</v>
      </c>
      <c r="T35" s="12" t="str">
        <f t="shared" ca="1" si="65"/>
        <v>-</v>
      </c>
      <c r="U35" s="12" t="str">
        <f t="shared" ca="1" si="65"/>
        <v>-</v>
      </c>
      <c r="V35" s="12" t="str">
        <f t="shared" ca="1" si="65"/>
        <v>-</v>
      </c>
      <c r="W35" s="12" t="str">
        <f t="shared" ca="1" si="65"/>
        <v>-</v>
      </c>
      <c r="X35" s="12" t="str">
        <f t="shared" ca="1" si="65"/>
        <v>-</v>
      </c>
      <c r="Y35" s="12" t="str">
        <f t="shared" ca="1" si="65"/>
        <v>-</v>
      </c>
      <c r="Z35" s="12" t="str">
        <f t="shared" ca="1" si="65"/>
        <v>-</v>
      </c>
      <c r="AA35" s="12" t="str">
        <f t="shared" ca="1" si="65"/>
        <v>-</v>
      </c>
      <c r="AB35" s="12" t="str">
        <f t="shared" ca="1" si="65"/>
        <v>-</v>
      </c>
      <c r="AC35" s="12" t="str">
        <f t="shared" ca="1" si="65"/>
        <v>-</v>
      </c>
      <c r="AD35" s="12" t="str">
        <f t="shared" ca="1" si="65"/>
        <v>-</v>
      </c>
      <c r="AE35" s="12" t="str">
        <f t="shared" ca="1" si="65"/>
        <v>-</v>
      </c>
      <c r="AF35" s="12" t="str">
        <f t="shared" ca="1" si="65"/>
        <v>-</v>
      </c>
      <c r="AG35" s="12" t="str">
        <f t="shared" ca="1" si="65"/>
        <v>-</v>
      </c>
      <c r="AH35" s="12" t="str">
        <f t="shared" ca="1" si="65"/>
        <v>-</v>
      </c>
      <c r="AI35" s="12" t="str">
        <f t="shared" ca="1" si="65"/>
        <v>-</v>
      </c>
      <c r="AJ35" s="12" t="str">
        <f t="shared" ca="1" si="65"/>
        <v>-</v>
      </c>
      <c r="AK35" s="12" t="str">
        <f t="shared" ca="1" si="65"/>
        <v>-</v>
      </c>
      <c r="AL35" s="12" t="str">
        <f t="shared" ca="1" si="65"/>
        <v>-</v>
      </c>
      <c r="AM35" s="12" t="str">
        <f t="shared" ca="1" si="65"/>
        <v>-</v>
      </c>
      <c r="AN35" s="12" t="str">
        <f t="shared" ca="1" si="65"/>
        <v>-</v>
      </c>
      <c r="AO35" s="12" t="str">
        <f t="shared" ca="1" si="65"/>
        <v>-</v>
      </c>
      <c r="AP35" s="12" t="str">
        <f t="shared" ca="1" si="65"/>
        <v>-</v>
      </c>
      <c r="AQ35" s="12" t="str">
        <f t="shared" ca="1" si="65"/>
        <v>-</v>
      </c>
      <c r="AR35" s="12" t="str">
        <f t="shared" ca="1" si="65"/>
        <v>-</v>
      </c>
      <c r="AS35" s="12" t="str">
        <f t="shared" ca="1" si="65"/>
        <v>-</v>
      </c>
      <c r="AT35" s="12" t="str">
        <f t="shared" ca="1" si="65"/>
        <v>-</v>
      </c>
      <c r="AU35" s="12" t="str">
        <f t="shared" ca="1" si="65"/>
        <v>-</v>
      </c>
      <c r="AV35" s="12" t="str">
        <f t="shared" ca="1" si="65"/>
        <v>-</v>
      </c>
      <c r="AW35" s="12" t="str">
        <f t="shared" ca="1" si="65"/>
        <v>-</v>
      </c>
      <c r="AX35" s="12" t="str">
        <f t="shared" ca="1" si="65"/>
        <v>-</v>
      </c>
      <c r="AY35" s="12" t="str">
        <f t="shared" ca="1" si="65"/>
        <v>-</v>
      </c>
      <c r="AZ35" s="12" t="str">
        <f t="shared" ca="1" si="65"/>
        <v>-</v>
      </c>
      <c r="BA35" s="12" t="str">
        <f t="shared" ca="1" si="65"/>
        <v>-</v>
      </c>
      <c r="BD35" s="34" t="str">
        <f ca="1">IFERROR(SUMIFS('TRA balance'!E$5:E$40,'TRA balance'!$C$5:$C$40,Assumptions!$C35,'TRA balance'!$D$5:$D$40,Assumptions!$B35)*CY35*H35,"")</f>
        <v/>
      </c>
      <c r="BE35" s="34" t="str">
        <f ca="1">IFERROR(SUMIFS('TRA balance'!F$5:F$40,'TRA balance'!$C$5:$C$40,Assumptions!$C35,'TRA balance'!$D$5:$D$40,Assumptions!$B35)*CZ35*I35,"")</f>
        <v/>
      </c>
      <c r="BF35" s="34" t="str">
        <f ca="1">IFERROR(SUMIFS('TRA balance'!G$5:G$40,'TRA balance'!$C$5:$C$40,Assumptions!$C35,'TRA balance'!$D$5:$D$40,Assumptions!$B35)*DA35*J35,"")</f>
        <v/>
      </c>
      <c r="BG35" s="34" t="str">
        <f ca="1">IFERROR(SUMIFS('TRA balance'!H$5:H$40,'TRA balance'!$C$5:$C$40,Assumptions!$C35,'TRA balance'!$D$5:$D$40,Assumptions!$B35)*DB35*K35,"")</f>
        <v/>
      </c>
      <c r="BH35" s="34" t="str">
        <f ca="1">IFERROR(SUMIFS('TRA balance'!I$5:I$40,'TRA balance'!$C$5:$C$40,Assumptions!$C35,'TRA balance'!$D$5:$D$40,Assumptions!$B35)*DC35*L35,"")</f>
        <v/>
      </c>
      <c r="BI35" s="34" t="str">
        <f ca="1">IFERROR(SUMIFS('TRA balance'!J$5:J$40,'TRA balance'!$C$5:$C$40,Assumptions!$C35,'TRA balance'!$D$5:$D$40,Assumptions!$B35)*DD35*M35,"")</f>
        <v/>
      </c>
      <c r="BJ35" s="34" t="str">
        <f ca="1">IFERROR(SUMIFS('TRA balance'!K$5:K$40,'TRA balance'!$C$5:$C$40,Assumptions!$C35,'TRA balance'!$D$5:$D$40,Assumptions!$B35)*DE35*N35,"")</f>
        <v/>
      </c>
      <c r="BK35" s="34" t="str">
        <f ca="1">IFERROR(SUMIFS('TRA balance'!L$5:L$40,'TRA balance'!$C$5:$C$40,Assumptions!$C35,'TRA balance'!$D$5:$D$40,Assumptions!$B35)*DF35*O35,"")</f>
        <v/>
      </c>
      <c r="BL35" s="34" t="str">
        <f ca="1">IFERROR(SUMIFS('TRA balance'!M$5:M$40,'TRA balance'!$C$5:$C$40,Assumptions!$C35,'TRA balance'!$D$5:$D$40,Assumptions!$B35)*DG35*P35,"")</f>
        <v/>
      </c>
      <c r="BM35" s="34" t="str">
        <f ca="1">IFERROR(SUMIFS('TRA balance'!N$5:N$40,'TRA balance'!$C$5:$C$40,Assumptions!$C35,'TRA balance'!$D$5:$D$40,Assumptions!$B35)*DH35*Q35,"")</f>
        <v/>
      </c>
      <c r="BN35" s="34" t="str">
        <f ca="1">IFERROR(SUMIFS('TRA balance'!O$5:O$40,'TRA balance'!$C$5:$C$40,Assumptions!$C35,'TRA balance'!$D$5:$D$40,Assumptions!$B35)*DI35*R35,"")</f>
        <v/>
      </c>
      <c r="BO35" s="34" t="str">
        <f ca="1">IFERROR(SUMIFS('TRA balance'!P$5:P$40,'TRA balance'!$C$5:$C$40,Assumptions!$C35,'TRA balance'!$D$5:$D$40,Assumptions!$B35)*DJ35*S35,"")</f>
        <v/>
      </c>
      <c r="BP35" s="34" t="str">
        <f ca="1">IFERROR(SUMIFS('TRA balance'!Q$5:Q$40,'TRA balance'!$C$5:$C$40,Assumptions!$C35,'TRA balance'!$D$5:$D$40,Assumptions!$B35)*DK35*T35,"")</f>
        <v/>
      </c>
      <c r="BQ35" s="34" t="str">
        <f ca="1">IFERROR(SUMIFS('TRA balance'!R$5:R$40,'TRA balance'!$C$5:$C$40,Assumptions!$C35,'TRA balance'!$D$5:$D$40,Assumptions!$B35)*DL35*U35,"")</f>
        <v/>
      </c>
      <c r="BR35" s="34" t="str">
        <f ca="1">IFERROR(SUMIFS('TRA balance'!S$5:S$40,'TRA balance'!$C$5:$C$40,Assumptions!$C35,'TRA balance'!$D$5:$D$40,Assumptions!$B35)*DM35*V35,"")</f>
        <v/>
      </c>
      <c r="BS35" s="34" t="str">
        <f ca="1">IFERROR(SUMIFS('TRA balance'!T$5:T$40,'TRA balance'!$C$5:$C$40,Assumptions!$C35,'TRA balance'!$D$5:$D$40,Assumptions!$B35)*DN35*W35,"")</f>
        <v/>
      </c>
      <c r="BT35" s="34" t="str">
        <f ca="1">IFERROR(SUMIFS('TRA balance'!U$5:U$40,'TRA balance'!$C$5:$C$40,Assumptions!$C35,'TRA balance'!$D$5:$D$40,Assumptions!$B35)*DO35*X35,"")</f>
        <v/>
      </c>
      <c r="BU35" s="34" t="str">
        <f ca="1">IFERROR(SUMIFS('TRA balance'!V$5:V$40,'TRA balance'!$C$5:$C$40,Assumptions!$C35,'TRA balance'!$D$5:$D$40,Assumptions!$B35)*DP35*Y35,"")</f>
        <v/>
      </c>
      <c r="BV35" s="34" t="str">
        <f ca="1">IFERROR(SUMIFS('TRA balance'!W$5:W$40,'TRA balance'!$C$5:$C$40,Assumptions!$C35,'TRA balance'!$D$5:$D$40,Assumptions!$B35)*DQ35*Z35,"")</f>
        <v/>
      </c>
      <c r="BW35" s="34" t="str">
        <f ca="1">IFERROR(SUMIFS('TRA balance'!X$5:X$40,'TRA balance'!$C$5:$C$40,Assumptions!$C35,'TRA balance'!$D$5:$D$40,Assumptions!$B35)*DR35*AA35,"")</f>
        <v/>
      </c>
      <c r="BX35" s="34" t="str">
        <f ca="1">IFERROR(SUMIFS('TRA balance'!Y$5:Y$40,'TRA balance'!$C$5:$C$40,Assumptions!$C35,'TRA balance'!$D$5:$D$40,Assumptions!$B35)*DS35*AB35,"")</f>
        <v/>
      </c>
      <c r="BY35" s="34" t="str">
        <f ca="1">IFERROR(SUMIFS('TRA balance'!Z$5:Z$40,'TRA balance'!$C$5:$C$40,Assumptions!$C35,'TRA balance'!$D$5:$D$40,Assumptions!$B35)*DT35*AC35,"")</f>
        <v/>
      </c>
      <c r="BZ35" s="34" t="str">
        <f ca="1">IFERROR(SUMIFS('TRA balance'!AA$5:AA$40,'TRA balance'!$C$5:$C$40,Assumptions!$C35,'TRA balance'!$D$5:$D$40,Assumptions!$B35)*DU35*AD35,"")</f>
        <v/>
      </c>
      <c r="CA35" s="34" t="str">
        <f ca="1">IFERROR(SUMIFS('TRA balance'!AB$5:AB$40,'TRA balance'!$C$5:$C$40,Assumptions!$C35,'TRA balance'!$D$5:$D$40,Assumptions!$B35)*DV35*AE35,"")</f>
        <v/>
      </c>
      <c r="CB35" s="34" t="str">
        <f ca="1">IFERROR(SUMIFS('TRA balance'!AC$5:AC$40,'TRA balance'!$C$5:$C$40,Assumptions!$C35,'TRA balance'!$D$5:$D$40,Assumptions!$B35)*DW35*AF35,"")</f>
        <v/>
      </c>
      <c r="CC35" s="34" t="str">
        <f ca="1">IFERROR(SUMIFS('TRA balance'!AD$5:AD$40,'TRA balance'!$C$5:$C$40,Assumptions!$C35,'TRA balance'!$D$5:$D$40,Assumptions!$B35)*DX35*AG35,"")</f>
        <v/>
      </c>
      <c r="CD35" s="34" t="str">
        <f ca="1">IFERROR(SUMIFS('TRA balance'!AE$5:AE$40,'TRA balance'!$C$5:$C$40,Assumptions!$C35,'TRA balance'!$D$5:$D$40,Assumptions!$B35)*DY35*AH35,"")</f>
        <v/>
      </c>
      <c r="CE35" s="34" t="str">
        <f ca="1">IFERROR(SUMIFS('TRA balance'!AF$5:AF$40,'TRA balance'!$C$5:$C$40,Assumptions!$C35,'TRA balance'!$D$5:$D$40,Assumptions!$B35)*DZ35*AI35,"")</f>
        <v/>
      </c>
      <c r="CF35" s="34" t="str">
        <f ca="1">IFERROR(SUMIFS('TRA balance'!AG$5:AG$40,'TRA balance'!$C$5:$C$40,Assumptions!$C35,'TRA balance'!$D$5:$D$40,Assumptions!$B35)*EA35*AJ35,"")</f>
        <v/>
      </c>
      <c r="CG35" s="34" t="str">
        <f ca="1">IFERROR(SUMIFS('TRA balance'!AH$5:AH$40,'TRA balance'!$C$5:$C$40,Assumptions!$C35,'TRA balance'!$D$5:$D$40,Assumptions!$B35)*EB35*AK35,"")</f>
        <v/>
      </c>
      <c r="CH35" s="34" t="str">
        <f ca="1">IFERROR(SUMIFS('TRA balance'!AI$5:AI$40,'TRA balance'!$C$5:$C$40,Assumptions!$C35,'TRA balance'!$D$5:$D$40,Assumptions!$B35)*EC35*AL35,"")</f>
        <v/>
      </c>
      <c r="CI35" s="34" t="str">
        <f ca="1">IFERROR(SUMIFS('TRA balance'!AJ$5:AJ$40,'TRA balance'!$C$5:$C$40,Assumptions!$C35,'TRA balance'!$D$5:$D$40,Assumptions!$B35)*ED35*AM35,"")</f>
        <v/>
      </c>
      <c r="CJ35" s="34" t="str">
        <f ca="1">IFERROR(SUMIFS('TRA balance'!AK$5:AK$40,'TRA balance'!$C$5:$C$40,Assumptions!$C35,'TRA balance'!$D$5:$D$40,Assumptions!$B35)*EE35*AN35,"")</f>
        <v/>
      </c>
      <c r="CK35" s="34" t="str">
        <f ca="1">IFERROR(SUMIFS('TRA balance'!AL$5:AL$40,'TRA balance'!$C$5:$C$40,Assumptions!$C35,'TRA balance'!$D$5:$D$40,Assumptions!$B35)*EF35*AO35,"")</f>
        <v/>
      </c>
      <c r="CL35" s="34" t="str">
        <f ca="1">IFERROR(SUMIFS('TRA balance'!AM$5:AM$40,'TRA balance'!$C$5:$C$40,Assumptions!$C35,'TRA balance'!$D$5:$D$40,Assumptions!$B35)*EG35*AP35,"")</f>
        <v/>
      </c>
      <c r="CM35" s="34" t="str">
        <f ca="1">IFERROR(SUMIFS('TRA balance'!AN$5:AN$40,'TRA balance'!$C$5:$C$40,Assumptions!$C35,'TRA balance'!$D$5:$D$40,Assumptions!$B35)*EH35*AQ35,"")</f>
        <v/>
      </c>
      <c r="CN35" s="34" t="str">
        <f ca="1">IFERROR(SUMIFS('TRA balance'!AO$5:AO$40,'TRA balance'!$C$5:$C$40,Assumptions!$C35,'TRA balance'!$D$5:$D$40,Assumptions!$B35)*EI35*AR35,"")</f>
        <v/>
      </c>
      <c r="CO35" s="34" t="str">
        <f ca="1">IFERROR(SUMIFS('TRA balance'!AP$5:AP$40,'TRA balance'!$C$5:$C$40,Assumptions!$C35,'TRA balance'!$D$5:$D$40,Assumptions!$B35)*EJ35*AS35,"")</f>
        <v/>
      </c>
      <c r="CP35" s="34" t="str">
        <f ca="1">IFERROR(SUMIFS('TRA balance'!AQ$5:AQ$40,'TRA balance'!$C$5:$C$40,Assumptions!$C35,'TRA balance'!$D$5:$D$40,Assumptions!$B35)*EK35*AT35,"")</f>
        <v/>
      </c>
      <c r="CQ35" s="34" t="str">
        <f ca="1">IFERROR(SUMIFS('TRA balance'!AR$5:AR$40,'TRA balance'!$C$5:$C$40,Assumptions!$C35,'TRA balance'!$D$5:$D$40,Assumptions!$B35)*EL35*AU35,"")</f>
        <v/>
      </c>
      <c r="CR35" s="34" t="str">
        <f ca="1">IFERROR(SUMIFS('TRA balance'!AS$5:AS$40,'TRA balance'!$C$5:$C$40,Assumptions!$C35,'TRA balance'!$D$5:$D$40,Assumptions!$B35)*EM35*AV35,"")</f>
        <v/>
      </c>
      <c r="CS35" s="34" t="str">
        <f ca="1">IFERROR(SUMIFS('TRA balance'!AT$5:AT$40,'TRA balance'!$C$5:$C$40,Assumptions!$C35,'TRA balance'!$D$5:$D$40,Assumptions!$B35)*EN35*AW35,"")</f>
        <v/>
      </c>
      <c r="CT35" s="34" t="str">
        <f ca="1">IFERROR(SUMIFS('TRA balance'!AU$5:AU$40,'TRA balance'!$C$5:$C$40,Assumptions!$C35,'TRA balance'!$D$5:$D$40,Assumptions!$B35)*EO35*AX35,"")</f>
        <v/>
      </c>
      <c r="CU35" s="34" t="str">
        <f ca="1">IFERROR(SUMIFS('TRA balance'!AV$5:AV$40,'TRA balance'!$C$5:$C$40,Assumptions!$C35,'TRA balance'!$D$5:$D$40,Assumptions!$B35)*EP35*AY35,"")</f>
        <v/>
      </c>
      <c r="CV35" s="34" t="str">
        <f ca="1">IFERROR(SUMIFS('TRA balance'!AW$5:AW$40,'TRA balance'!$C$5:$C$40,Assumptions!$C35,'TRA balance'!$D$5:$D$40,Assumptions!$B35)*EQ35*AZ35,"")</f>
        <v/>
      </c>
      <c r="CW35" s="34" t="str">
        <f ca="1">IFERROR(SUMIFS('TRA balance'!AX$5:AX$40,'TRA balance'!$C$5:$C$40,Assumptions!$C35,'TRA balance'!$D$5:$D$40,Assumptions!$B35)*ER35*BA35,"")</f>
        <v/>
      </c>
      <c r="CY35" s="33">
        <f t="shared" ref="CY35:CY66" si="66">IF($C35="TR",SUMIFS(H$3:H$103,$B$3:$B$103,$B35,$C$3:$C$103,$A35),1)</f>
        <v>1</v>
      </c>
      <c r="CZ35" s="33">
        <f t="shared" si="3"/>
        <v>1</v>
      </c>
      <c r="DA35" s="33">
        <f t="shared" si="4"/>
        <v>1</v>
      </c>
      <c r="DB35" s="33">
        <f t="shared" si="5"/>
        <v>1</v>
      </c>
      <c r="DC35" s="33">
        <f t="shared" si="6"/>
        <v>1</v>
      </c>
      <c r="DD35" s="33">
        <f t="shared" si="7"/>
        <v>1</v>
      </c>
      <c r="DE35" s="33">
        <f t="shared" si="8"/>
        <v>1</v>
      </c>
      <c r="DF35" s="33">
        <f t="shared" si="9"/>
        <v>1</v>
      </c>
      <c r="DG35" s="33">
        <f t="shared" si="10"/>
        <v>1</v>
      </c>
      <c r="DH35" s="33">
        <f t="shared" si="11"/>
        <v>1</v>
      </c>
      <c r="DI35" s="33">
        <f t="shared" si="12"/>
        <v>1</v>
      </c>
      <c r="DJ35" s="33">
        <f t="shared" si="13"/>
        <v>1</v>
      </c>
      <c r="DK35" s="33">
        <f t="shared" si="14"/>
        <v>1</v>
      </c>
      <c r="DL35" s="33">
        <f t="shared" si="15"/>
        <v>1</v>
      </c>
      <c r="DM35" s="33">
        <f t="shared" si="16"/>
        <v>1</v>
      </c>
      <c r="DN35" s="33">
        <f t="shared" si="17"/>
        <v>1</v>
      </c>
      <c r="DO35" s="33">
        <f t="shared" si="18"/>
        <v>1</v>
      </c>
      <c r="DP35" s="33">
        <f t="shared" si="19"/>
        <v>1</v>
      </c>
      <c r="DQ35" s="33">
        <f t="shared" si="20"/>
        <v>1</v>
      </c>
      <c r="DR35" s="33">
        <f t="shared" si="21"/>
        <v>1</v>
      </c>
      <c r="DS35" s="33">
        <f t="shared" si="22"/>
        <v>1</v>
      </c>
      <c r="DT35" s="33">
        <f t="shared" si="23"/>
        <v>1</v>
      </c>
      <c r="DU35" s="33">
        <f t="shared" si="24"/>
        <v>1</v>
      </c>
      <c r="DV35" s="33">
        <f t="shared" si="25"/>
        <v>1</v>
      </c>
      <c r="DW35" s="33">
        <f t="shared" si="26"/>
        <v>1</v>
      </c>
      <c r="DX35" s="33">
        <f t="shared" si="27"/>
        <v>1</v>
      </c>
      <c r="DY35" s="33">
        <f t="shared" si="28"/>
        <v>1</v>
      </c>
      <c r="DZ35" s="33">
        <f t="shared" si="29"/>
        <v>1</v>
      </c>
      <c r="EA35" s="33">
        <f t="shared" si="30"/>
        <v>1</v>
      </c>
      <c r="EB35" s="33">
        <f t="shared" si="31"/>
        <v>1</v>
      </c>
      <c r="EC35" s="33">
        <f t="shared" si="32"/>
        <v>1</v>
      </c>
      <c r="ED35" s="33">
        <f t="shared" si="33"/>
        <v>1</v>
      </c>
      <c r="EE35" s="33">
        <f t="shared" si="34"/>
        <v>1</v>
      </c>
      <c r="EF35" s="33">
        <f t="shared" si="35"/>
        <v>1</v>
      </c>
      <c r="EG35" s="33">
        <f t="shared" si="36"/>
        <v>1</v>
      </c>
      <c r="EH35" s="33">
        <f t="shared" si="37"/>
        <v>1</v>
      </c>
      <c r="EI35" s="33">
        <f t="shared" si="38"/>
        <v>1</v>
      </c>
      <c r="EJ35" s="33">
        <f t="shared" si="39"/>
        <v>1</v>
      </c>
      <c r="EK35" s="33">
        <f t="shared" si="40"/>
        <v>1</v>
      </c>
      <c r="EL35" s="33">
        <f t="shared" si="41"/>
        <v>1</v>
      </c>
      <c r="EM35" s="33">
        <f t="shared" si="42"/>
        <v>1</v>
      </c>
      <c r="EN35" s="33">
        <f t="shared" si="43"/>
        <v>1</v>
      </c>
      <c r="EO35" s="33">
        <f t="shared" si="44"/>
        <v>1</v>
      </c>
      <c r="EP35" s="33">
        <f t="shared" si="45"/>
        <v>1</v>
      </c>
      <c r="EQ35" s="33">
        <f t="shared" si="46"/>
        <v>1</v>
      </c>
      <c r="ER35" s="33">
        <f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6" t="str">
        <f t="shared" si="48"/>
        <v>TT</v>
      </c>
      <c r="D36" s="7" t="s">
        <v>17</v>
      </c>
      <c r="E36" s="7" t="s">
        <v>53</v>
      </c>
      <c r="F36" s="8" t="s">
        <v>81</v>
      </c>
      <c r="G36" s="6" t="s">
        <v>55</v>
      </c>
      <c r="H36" s="9">
        <f ca="1">OFFSET(TIAM15_assumptions!$G36,0,MATCH(VLOOKUP(Assumptions!H$2,TIAM15_assumptions!$Y$3:$Z$87,2,FALSE),TIAM15_assumptions!$H$2:$V$2,0))</f>
        <v>0.7</v>
      </c>
      <c r="I36" s="9">
        <f ca="1">OFFSET(TIAM15_assumptions!$G36,0,MATCH(VLOOKUP(Assumptions!I$2,TIAM15_assumptions!$Y$3:$Z$87,2,FALSE),TIAM15_assumptions!$H$2:$V$2,0))</f>
        <v>0.7</v>
      </c>
      <c r="J36" s="9">
        <f ca="1">OFFSET(TIAM15_assumptions!$G36,0,MATCH(VLOOKUP(Assumptions!J$2,TIAM15_assumptions!$Y$3:$Z$87,2,FALSE),TIAM15_assumptions!$H$2:$V$2,0))</f>
        <v>1</v>
      </c>
      <c r="K36" s="9">
        <f ca="1">OFFSET(TIAM15_assumptions!$G36,0,MATCH(VLOOKUP(Assumptions!K$2,TIAM15_assumptions!$Y$3:$Z$87,2,FALSE),TIAM15_assumptions!$H$2:$V$2,0))</f>
        <v>0.9</v>
      </c>
      <c r="L36" s="9">
        <f ca="1">OFFSET(TIAM15_assumptions!$G36,0,MATCH(VLOOKUP(Assumptions!L$2,TIAM15_assumptions!$Y$3:$Z$87,2,FALSE),TIAM15_assumptions!$H$2:$V$2,0))</f>
        <v>0.9</v>
      </c>
      <c r="M36" s="9">
        <f ca="1">OFFSET(TIAM15_assumptions!$G36,0,MATCH(VLOOKUP(Assumptions!M$2,TIAM15_assumptions!$Y$3:$Z$87,2,FALSE),TIAM15_assumptions!$H$2:$V$2,0))</f>
        <v>0.9</v>
      </c>
      <c r="N36" s="9">
        <f ca="1">OFFSET(TIAM15_assumptions!$G36,0,MATCH(VLOOKUP(Assumptions!N$2,TIAM15_assumptions!$Y$3:$Z$87,2,FALSE),TIAM15_assumptions!$H$2:$V$2,0))</f>
        <v>1</v>
      </c>
      <c r="O36" s="9">
        <f ca="1">OFFSET(TIAM15_assumptions!$G36,0,MATCH(VLOOKUP(Assumptions!O$2,TIAM15_assumptions!$Y$3:$Z$87,2,FALSE),TIAM15_assumptions!$H$2:$V$2,0))</f>
        <v>0.6</v>
      </c>
      <c r="P36" s="9">
        <f ca="1">OFFSET(TIAM15_assumptions!$G36,0,MATCH(VLOOKUP(Assumptions!P$2,TIAM15_assumptions!$Y$3:$Z$87,2,FALSE),TIAM15_assumptions!$H$2:$V$2,0))</f>
        <v>0.9</v>
      </c>
      <c r="Q36" s="9">
        <f ca="1">OFFSET(TIAM15_assumptions!$G36,0,MATCH(VLOOKUP(Assumptions!Q$2,TIAM15_assumptions!$Y$3:$Z$87,2,FALSE),TIAM15_assumptions!$H$2:$V$2,0))</f>
        <v>0.9</v>
      </c>
      <c r="R36" s="9">
        <f ca="1">OFFSET(TIAM15_assumptions!$G36,0,MATCH(VLOOKUP(Assumptions!R$2,TIAM15_assumptions!$Y$3:$Z$87,2,FALSE),TIAM15_assumptions!$H$2:$V$2,0))</f>
        <v>0.9</v>
      </c>
      <c r="S36" s="9">
        <f ca="1">OFFSET(TIAM15_assumptions!$G36,0,MATCH(VLOOKUP(Assumptions!S$2,TIAM15_assumptions!$Y$3:$Z$87,2,FALSE),TIAM15_assumptions!$H$2:$V$2,0))</f>
        <v>0.9</v>
      </c>
      <c r="T36" s="9">
        <f ca="1">OFFSET(TIAM15_assumptions!$G36,0,MATCH(VLOOKUP(Assumptions!T$2,TIAM15_assumptions!$Y$3:$Z$87,2,FALSE),TIAM15_assumptions!$H$2:$V$2,0))</f>
        <v>0.9</v>
      </c>
      <c r="U36" s="9">
        <f ca="1">OFFSET(TIAM15_assumptions!$G36,0,MATCH(VLOOKUP(Assumptions!U$2,TIAM15_assumptions!$Y$3:$Z$87,2,FALSE),TIAM15_assumptions!$H$2:$V$2,0))</f>
        <v>0.9</v>
      </c>
      <c r="V36" s="9">
        <f ca="1">OFFSET(TIAM15_assumptions!$G36,0,MATCH(VLOOKUP(Assumptions!V$2,TIAM15_assumptions!$Y$3:$Z$87,2,FALSE),TIAM15_assumptions!$H$2:$V$2,0))</f>
        <v>0.9</v>
      </c>
      <c r="W36" s="9">
        <f ca="1">OFFSET(TIAM15_assumptions!$G36,0,MATCH(VLOOKUP(Assumptions!W$2,TIAM15_assumptions!$Y$3:$Z$87,2,FALSE),TIAM15_assumptions!$H$2:$V$2,0))</f>
        <v>0.5</v>
      </c>
      <c r="X36" s="9">
        <f ca="1">OFFSET(TIAM15_assumptions!$G36,0,MATCH(VLOOKUP(Assumptions!X$2,TIAM15_assumptions!$Y$3:$Z$87,2,FALSE),TIAM15_assumptions!$H$2:$V$2,0))</f>
        <v>0.9</v>
      </c>
      <c r="Y36" s="9">
        <f ca="1">OFFSET(TIAM15_assumptions!$G36,0,MATCH(VLOOKUP(Assumptions!Y$2,TIAM15_assumptions!$Y$3:$Z$87,2,FALSE),TIAM15_assumptions!$H$2:$V$2,0))</f>
        <v>0.9</v>
      </c>
      <c r="Z36" s="9">
        <f ca="1">OFFSET(TIAM15_assumptions!$G36,0,MATCH(VLOOKUP(Assumptions!Z$2,TIAM15_assumptions!$Y$3:$Z$87,2,FALSE),TIAM15_assumptions!$H$2:$V$2,0))</f>
        <v>0.9</v>
      </c>
      <c r="AA36" s="9">
        <f ca="1">OFFSET(TIAM15_assumptions!$G36,0,MATCH(VLOOKUP(Assumptions!AA$2,TIAM15_assumptions!$Y$3:$Z$87,2,FALSE),TIAM15_assumptions!$H$2:$V$2,0))</f>
        <v>1</v>
      </c>
      <c r="AB36" s="9">
        <f ca="1">OFFSET(TIAM15_assumptions!$G36,0,MATCH(VLOOKUP(Assumptions!AB$2,TIAM15_assumptions!$Y$3:$Z$87,2,FALSE),TIAM15_assumptions!$H$2:$V$2,0))</f>
        <v>0.7</v>
      </c>
      <c r="AC36" s="9">
        <f ca="1">OFFSET(TIAM15_assumptions!$G36,0,MATCH(VLOOKUP(Assumptions!AC$2,TIAM15_assumptions!$Y$3:$Z$87,2,FALSE),TIAM15_assumptions!$H$2:$V$2,0))</f>
        <v>0.9</v>
      </c>
      <c r="AD36" s="9">
        <f ca="1">OFFSET(TIAM15_assumptions!$G36,0,MATCH(VLOOKUP(Assumptions!AD$2,TIAM15_assumptions!$Y$3:$Z$87,2,FALSE),TIAM15_assumptions!$H$2:$V$2,0))</f>
        <v>0.9</v>
      </c>
      <c r="AE36" s="9">
        <f ca="1">OFFSET(TIAM15_assumptions!$G36,0,MATCH(VLOOKUP(Assumptions!AE$2,TIAM15_assumptions!$Y$3:$Z$87,2,FALSE),TIAM15_assumptions!$H$2:$V$2,0))</f>
        <v>0.9</v>
      </c>
      <c r="AF36" s="9">
        <f ca="1">OFFSET(TIAM15_assumptions!$G36,0,MATCH(VLOOKUP(Assumptions!AF$2,TIAM15_assumptions!$Y$3:$Z$87,2,FALSE),TIAM15_assumptions!$H$2:$V$2,0))</f>
        <v>0.9</v>
      </c>
      <c r="AG36" s="9">
        <f ca="1">OFFSET(TIAM15_assumptions!$G36,0,MATCH(VLOOKUP(Assumptions!AG$2,TIAM15_assumptions!$Y$3:$Z$87,2,FALSE),TIAM15_assumptions!$H$2:$V$2,0))</f>
        <v>0.9</v>
      </c>
      <c r="AH36" s="9">
        <f ca="1">OFFSET(TIAM15_assumptions!$G36,0,MATCH(VLOOKUP(Assumptions!AH$2,TIAM15_assumptions!$Y$3:$Z$87,2,FALSE),TIAM15_assumptions!$H$2:$V$2,0))</f>
        <v>0.7</v>
      </c>
      <c r="AI36" s="9">
        <f ca="1">OFFSET(TIAM15_assumptions!$G36,0,MATCH(VLOOKUP(Assumptions!AI$2,TIAM15_assumptions!$Y$3:$Z$87,2,FALSE),TIAM15_assumptions!$H$2:$V$2,0))</f>
        <v>0.7</v>
      </c>
      <c r="AJ36" s="9">
        <f ca="1">OFFSET(TIAM15_assumptions!$G36,0,MATCH(VLOOKUP(Assumptions!AJ$2,TIAM15_assumptions!$Y$3:$Z$87,2,FALSE),TIAM15_assumptions!$H$2:$V$2,0))</f>
        <v>0.9</v>
      </c>
      <c r="AK36" s="9">
        <f ca="1">OFFSET(TIAM15_assumptions!$G36,0,MATCH(VLOOKUP(Assumptions!AK$2,TIAM15_assumptions!$Y$3:$Z$87,2,FALSE),TIAM15_assumptions!$H$2:$V$2,0))</f>
        <v>0.9</v>
      </c>
      <c r="AL36" s="9">
        <f ca="1">OFFSET(TIAM15_assumptions!$G36,0,MATCH(VLOOKUP(Assumptions!AL$2,TIAM15_assumptions!$Y$3:$Z$87,2,FALSE),TIAM15_assumptions!$H$2:$V$2,0))</f>
        <v>0.9</v>
      </c>
      <c r="AM36" s="9">
        <f ca="1">OFFSET(TIAM15_assumptions!$G36,0,MATCH(VLOOKUP(Assumptions!AM$2,TIAM15_assumptions!$Y$3:$Z$87,2,FALSE),TIAM15_assumptions!$H$2:$V$2,0))</f>
        <v>0.7</v>
      </c>
      <c r="AN36" s="9">
        <f ca="1">OFFSET(TIAM15_assumptions!$G36,0,MATCH(VLOOKUP(Assumptions!AN$2,TIAM15_assumptions!$Y$3:$Z$87,2,FALSE),TIAM15_assumptions!$H$2:$V$2,0))</f>
        <v>0.9</v>
      </c>
      <c r="AO36" s="9">
        <f ca="1">OFFSET(TIAM15_assumptions!$G36,0,MATCH(VLOOKUP(Assumptions!AO$2,TIAM15_assumptions!$Y$3:$Z$87,2,FALSE),TIAM15_assumptions!$H$2:$V$2,0))</f>
        <v>0.9</v>
      </c>
      <c r="AP36" s="9">
        <f ca="1">OFFSET(TIAM15_assumptions!$G36,0,MATCH(VLOOKUP(Assumptions!AP$2,TIAM15_assumptions!$Y$3:$Z$87,2,FALSE),TIAM15_assumptions!$H$2:$V$2,0))</f>
        <v>0.9</v>
      </c>
      <c r="AQ36" s="9">
        <f ca="1">OFFSET(TIAM15_assumptions!$G36,0,MATCH(VLOOKUP(Assumptions!AQ$2,TIAM15_assumptions!$Y$3:$Z$87,2,FALSE),TIAM15_assumptions!$H$2:$V$2,0))</f>
        <v>0.9</v>
      </c>
      <c r="AR36" s="9">
        <f ca="1">OFFSET(TIAM15_assumptions!$G36,0,MATCH(VLOOKUP(Assumptions!AR$2,TIAM15_assumptions!$Y$3:$Z$87,2,FALSE),TIAM15_assumptions!$H$2:$V$2,0))</f>
        <v>0.9</v>
      </c>
      <c r="AS36" s="9">
        <f ca="1">OFFSET(TIAM15_assumptions!$G36,0,MATCH(VLOOKUP(Assumptions!AS$2,TIAM15_assumptions!$Y$3:$Z$87,2,FALSE),TIAM15_assumptions!$H$2:$V$2,0))</f>
        <v>0.9</v>
      </c>
      <c r="AT36" s="9">
        <f ca="1">OFFSET(TIAM15_assumptions!$G36,0,MATCH(VLOOKUP(Assumptions!AT$2,TIAM15_assumptions!$Y$3:$Z$87,2,FALSE),TIAM15_assumptions!$H$2:$V$2,0))</f>
        <v>0.9</v>
      </c>
      <c r="AU36" s="9">
        <f ca="1">OFFSET(TIAM15_assumptions!$G36,0,MATCH(VLOOKUP(Assumptions!AU$2,TIAM15_assumptions!$Y$3:$Z$87,2,FALSE),TIAM15_assumptions!$H$2:$V$2,0))</f>
        <v>0.9</v>
      </c>
      <c r="AV36" s="9">
        <f ca="1">OFFSET(TIAM15_assumptions!$G36,0,MATCH(VLOOKUP(Assumptions!AV$2,TIAM15_assumptions!$Y$3:$Z$87,2,FALSE),TIAM15_assumptions!$H$2:$V$2,0))</f>
        <v>0.9</v>
      </c>
      <c r="AW36" s="9">
        <f ca="1">OFFSET(TIAM15_assumptions!$G36,0,MATCH(VLOOKUP(Assumptions!AW$2,TIAM15_assumptions!$Y$3:$Z$87,2,FALSE),TIAM15_assumptions!$H$2:$V$2,0))</f>
        <v>0.9</v>
      </c>
      <c r="AX36" s="9">
        <f ca="1">OFFSET(TIAM15_assumptions!$G36,0,MATCH(VLOOKUP(Assumptions!AX$2,TIAM15_assumptions!$Y$3:$Z$87,2,FALSE),TIAM15_assumptions!$H$2:$V$2,0))</f>
        <v>0.9</v>
      </c>
      <c r="AY36" s="9">
        <f ca="1">OFFSET(TIAM15_assumptions!$G36,0,MATCH(VLOOKUP(Assumptions!AY$2,TIAM15_assumptions!$Y$3:$Z$87,2,FALSE),TIAM15_assumptions!$H$2:$V$2,0))</f>
        <v>0.9</v>
      </c>
      <c r="AZ36" s="9">
        <f ca="1">OFFSET(TIAM15_assumptions!$G36,0,MATCH(VLOOKUP(Assumptions!AZ$2,TIAM15_assumptions!$Y$3:$Z$87,2,FALSE),TIAM15_assumptions!$H$2:$V$2,0))</f>
        <v>0.9</v>
      </c>
      <c r="BA36" s="9">
        <f ca="1">OFFSET(TIAM15_assumptions!$G36,0,MATCH(VLOOKUP(Assumptions!BA$2,TIAM15_assumptions!$Y$3:$Z$87,2,FALSE),TIAM15_assumptions!$H$2:$V$2,0))</f>
        <v>0.9</v>
      </c>
      <c r="BD36" s="34">
        <f ca="1">IFERROR(SUMIFS('TRA balance'!E$5:E$40,'TRA balance'!$C$5:$C$40,Assumptions!$C36,'TRA balance'!$D$5:$D$40,Assumptions!$B36)*CY36*H36,"")</f>
        <v>2.9680011673199997</v>
      </c>
      <c r="BE36" s="34">
        <f ca="1">IFERROR(SUMIFS('TRA balance'!F$5:F$40,'TRA balance'!$C$5:$C$40,Assumptions!$C36,'TRA balance'!$D$5:$D$40,Assumptions!$B36)*CZ36*I36,"")</f>
        <v>0</v>
      </c>
      <c r="BF36" s="34">
        <f ca="1">IFERROR(SUMIFS('TRA balance'!G$5:G$40,'TRA balance'!$C$5:$C$40,Assumptions!$C36,'TRA balance'!$D$5:$D$40,Assumptions!$B36)*DA36*J36,"")</f>
        <v>1.7040276000000001E-3</v>
      </c>
      <c r="BG36" s="34">
        <f ca="1">IFERROR(SUMIFS('TRA balance'!H$5:H$40,'TRA balance'!$C$5:$C$40,Assumptions!$C36,'TRA balance'!$D$5:$D$40,Assumptions!$B36)*DB36*K36,"")</f>
        <v>0</v>
      </c>
      <c r="BH36" s="34">
        <f ca="1">IFERROR(SUMIFS('TRA balance'!I$5:I$40,'TRA balance'!$C$5:$C$40,Assumptions!$C36,'TRA balance'!$D$5:$D$40,Assumptions!$B36)*DC36*L36,"")</f>
        <v>0</v>
      </c>
      <c r="BI36" s="34">
        <f ca="1">IFERROR(SUMIFS('TRA balance'!J$5:J$40,'TRA balance'!$C$5:$C$40,Assumptions!$C36,'TRA balance'!$D$5:$D$40,Assumptions!$B36)*DD36*M36,"")</f>
        <v>0</v>
      </c>
      <c r="BJ36" s="34">
        <f ca="1">IFERROR(SUMIFS('TRA balance'!K$5:K$40,'TRA balance'!$C$5:$C$40,Assumptions!$C36,'TRA balance'!$D$5:$D$40,Assumptions!$B36)*DE36*N36,"")</f>
        <v>0</v>
      </c>
      <c r="BK36" s="34">
        <f ca="1">IFERROR(SUMIFS('TRA balance'!L$5:L$40,'TRA balance'!$C$5:$C$40,Assumptions!$C36,'TRA balance'!$D$5:$D$40,Assumptions!$B36)*DF36*O36,"")</f>
        <v>0</v>
      </c>
      <c r="BL36" s="34">
        <f ca="1">IFERROR(SUMIFS('TRA balance'!M$5:M$40,'TRA balance'!$C$5:$C$40,Assumptions!$C36,'TRA balance'!$D$5:$D$40,Assumptions!$B36)*DG36*P36,"")</f>
        <v>0</v>
      </c>
      <c r="BM36" s="34">
        <f ca="1">IFERROR(SUMIFS('TRA balance'!N$5:N$40,'TRA balance'!$C$5:$C$40,Assumptions!$C36,'TRA balance'!$D$5:$D$40,Assumptions!$B36)*DH36*Q36,"")</f>
        <v>0</v>
      </c>
      <c r="BN36" s="34">
        <f ca="1">IFERROR(SUMIFS('TRA balance'!O$5:O$40,'TRA balance'!$C$5:$C$40,Assumptions!$C36,'TRA balance'!$D$5:$D$40,Assumptions!$B36)*DI36*R36,"")</f>
        <v>0</v>
      </c>
      <c r="BO36" s="34">
        <f ca="1">IFERROR(SUMIFS('TRA balance'!P$5:P$40,'TRA balance'!$C$5:$C$40,Assumptions!$C36,'TRA balance'!$D$5:$D$40,Assumptions!$B36)*DJ36*S36,"")</f>
        <v>0</v>
      </c>
      <c r="BP36" s="34">
        <f ca="1">IFERROR(SUMIFS('TRA balance'!Q$5:Q$40,'TRA balance'!$C$5:$C$40,Assumptions!$C36,'TRA balance'!$D$5:$D$40,Assumptions!$B36)*DK36*T36,"")</f>
        <v>0</v>
      </c>
      <c r="BQ36" s="34">
        <f ca="1">IFERROR(SUMIFS('TRA balance'!R$5:R$40,'TRA balance'!$C$5:$C$40,Assumptions!$C36,'TRA balance'!$D$5:$D$40,Assumptions!$B36)*DL36*U36,"")</f>
        <v>0</v>
      </c>
      <c r="BR36" s="34">
        <f ca="1">IFERROR(SUMIFS('TRA balance'!S$5:S$40,'TRA balance'!$C$5:$C$40,Assumptions!$C36,'TRA balance'!$D$5:$D$40,Assumptions!$B36)*DM36*V36,"")</f>
        <v>0</v>
      </c>
      <c r="BS36" s="34">
        <f ca="1">IFERROR(SUMIFS('TRA balance'!T$5:T$40,'TRA balance'!$C$5:$C$40,Assumptions!$C36,'TRA balance'!$D$5:$D$40,Assumptions!$B36)*DN36*W36,"")</f>
        <v>0</v>
      </c>
      <c r="BT36" s="34">
        <f ca="1">IFERROR(SUMIFS('TRA balance'!U$5:U$40,'TRA balance'!$C$5:$C$40,Assumptions!$C36,'TRA balance'!$D$5:$D$40,Assumptions!$B36)*DO36*X36,"")</f>
        <v>0</v>
      </c>
      <c r="BU36" s="34">
        <f ca="1">IFERROR(SUMIFS('TRA balance'!V$5:V$40,'TRA balance'!$C$5:$C$40,Assumptions!$C36,'TRA balance'!$D$5:$D$40,Assumptions!$B36)*DP36*Y36,"")</f>
        <v>0</v>
      </c>
      <c r="BV36" s="34">
        <f ca="1">IFERROR(SUMIFS('TRA balance'!W$5:W$40,'TRA balance'!$C$5:$C$40,Assumptions!$C36,'TRA balance'!$D$5:$D$40,Assumptions!$B36)*DQ36*Z36,"")</f>
        <v>0</v>
      </c>
      <c r="BW36" s="34">
        <f ca="1">IFERROR(SUMIFS('TRA balance'!X$5:X$40,'TRA balance'!$C$5:$C$40,Assumptions!$C36,'TRA balance'!$D$5:$D$40,Assumptions!$B36)*DR36*AA36,"")</f>
        <v>0</v>
      </c>
      <c r="BX36" s="34">
        <f ca="1">IFERROR(SUMIFS('TRA balance'!Y$5:Y$40,'TRA balance'!$C$5:$C$40,Assumptions!$C36,'TRA balance'!$D$5:$D$40,Assumptions!$B36)*DS36*AB36,"")</f>
        <v>0</v>
      </c>
      <c r="BY36" s="34">
        <f ca="1">IFERROR(SUMIFS('TRA balance'!Z$5:Z$40,'TRA balance'!$C$5:$C$40,Assumptions!$C36,'TRA balance'!$D$5:$D$40,Assumptions!$B36)*DT36*AC36,"")</f>
        <v>0</v>
      </c>
      <c r="BZ36" s="34">
        <f ca="1">IFERROR(SUMIFS('TRA balance'!AA$5:AA$40,'TRA balance'!$C$5:$C$40,Assumptions!$C36,'TRA balance'!$D$5:$D$40,Assumptions!$B36)*DU36*AD36,"")</f>
        <v>0</v>
      </c>
      <c r="CA36" s="34">
        <f ca="1">IFERROR(SUMIFS('TRA balance'!AB$5:AB$40,'TRA balance'!$C$5:$C$40,Assumptions!$C36,'TRA balance'!$D$5:$D$40,Assumptions!$B36)*DV36*AE36,"")</f>
        <v>0</v>
      </c>
      <c r="CB36" s="34">
        <f ca="1">IFERROR(SUMIFS('TRA balance'!AC$5:AC$40,'TRA balance'!$C$5:$C$40,Assumptions!$C36,'TRA balance'!$D$5:$D$40,Assumptions!$B36)*DW36*AF36,"")</f>
        <v>2.007277524E-2</v>
      </c>
      <c r="CC36" s="34">
        <f ca="1">IFERROR(SUMIFS('TRA balance'!AD$5:AD$40,'TRA balance'!$C$5:$C$40,Assumptions!$C36,'TRA balance'!$D$5:$D$40,Assumptions!$B36)*DX36*AG36,"")</f>
        <v>7.8478635239999997E-2</v>
      </c>
      <c r="CD36" s="34">
        <f ca="1">IFERROR(SUMIFS('TRA balance'!AE$5:AE$40,'TRA balance'!$C$5:$C$40,Assumptions!$C36,'TRA balance'!$D$5:$D$40,Assumptions!$B36)*DY36*AH36,"")</f>
        <v>0</v>
      </c>
      <c r="CE36" s="34">
        <f ca="1">IFERROR(SUMIFS('TRA balance'!AF$5:AF$40,'TRA balance'!$C$5:$C$40,Assumptions!$C36,'TRA balance'!$D$5:$D$40,Assumptions!$B36)*DZ36*AI36,"")</f>
        <v>2.1631910252399997</v>
      </c>
      <c r="CF36" s="34">
        <f ca="1">IFERROR(SUMIFS('TRA balance'!AG$5:AG$40,'TRA balance'!$C$5:$C$40,Assumptions!$C36,'TRA balance'!$D$5:$D$40,Assumptions!$B36)*EA36*AJ36,"")</f>
        <v>0</v>
      </c>
      <c r="CG36" s="34">
        <f ca="1">IFERROR(SUMIFS('TRA balance'!AH$5:AH$40,'TRA balance'!$C$5:$C$40,Assumptions!$C36,'TRA balance'!$D$5:$D$40,Assumptions!$B36)*EB36*AK36,"")</f>
        <v>0</v>
      </c>
      <c r="CH36" s="34">
        <f ca="1">IFERROR(SUMIFS('TRA balance'!AI$5:AI$40,'TRA balance'!$C$5:$C$40,Assumptions!$C36,'TRA balance'!$D$5:$D$40,Assumptions!$B36)*EC36*AL36,"")</f>
        <v>0</v>
      </c>
      <c r="CI36" s="34">
        <f ca="1">IFERROR(SUMIFS('TRA balance'!AJ$5:AJ$40,'TRA balance'!$C$5:$C$40,Assumptions!$C36,'TRA balance'!$D$5:$D$40,Assumptions!$B36)*ED36*AM36,"")</f>
        <v>0</v>
      </c>
      <c r="CJ36" s="34">
        <f ca="1">IFERROR(SUMIFS('TRA balance'!AK$5:AK$40,'TRA balance'!$C$5:$C$40,Assumptions!$C36,'TRA balance'!$D$5:$D$40,Assumptions!$B36)*EE36*AN36,"")</f>
        <v>0</v>
      </c>
      <c r="CK36" s="34">
        <f ca="1">IFERROR(SUMIFS('TRA balance'!AL$5:AL$40,'TRA balance'!$C$5:$C$40,Assumptions!$C36,'TRA balance'!$D$5:$D$40,Assumptions!$B36)*EF36*AO36,"")</f>
        <v>0</v>
      </c>
      <c r="CL36" s="34">
        <f ca="1">IFERROR(SUMIFS('TRA balance'!AM$5:AM$40,'TRA balance'!$C$5:$C$40,Assumptions!$C36,'TRA balance'!$D$5:$D$40,Assumptions!$B36)*EG36*AP36,"")</f>
        <v>0</v>
      </c>
      <c r="CM36" s="34">
        <f ca="1">IFERROR(SUMIFS('TRA balance'!AN$5:AN$40,'TRA balance'!$C$5:$C$40,Assumptions!$C36,'TRA balance'!$D$5:$D$40,Assumptions!$B36)*EH36*AQ36,"")</f>
        <v>0</v>
      </c>
      <c r="CN36" s="34">
        <f ca="1">IFERROR(SUMIFS('TRA balance'!AO$5:AO$40,'TRA balance'!$C$5:$C$40,Assumptions!$C36,'TRA balance'!$D$5:$D$40,Assumptions!$B36)*EI36*AR36,"")</f>
        <v>0</v>
      </c>
      <c r="CO36" s="34">
        <f ca="1">IFERROR(SUMIFS('TRA balance'!AP$5:AP$40,'TRA balance'!$C$5:$C$40,Assumptions!$C36,'TRA balance'!$D$5:$D$40,Assumptions!$B36)*EJ36*AS36,"")</f>
        <v>0</v>
      </c>
      <c r="CP36" s="34">
        <f ca="1">IFERROR(SUMIFS('TRA balance'!AQ$5:AQ$40,'TRA balance'!$C$5:$C$40,Assumptions!$C36,'TRA balance'!$D$5:$D$40,Assumptions!$B36)*EK36*AT36,"")</f>
        <v>0</v>
      </c>
      <c r="CQ36" s="34">
        <f ca="1">IFERROR(SUMIFS('TRA balance'!AR$5:AR$40,'TRA balance'!$C$5:$C$40,Assumptions!$C36,'TRA balance'!$D$5:$D$40,Assumptions!$B36)*EL36*AU36,"")</f>
        <v>0</v>
      </c>
      <c r="CR36" s="34">
        <f ca="1">IFERROR(SUMIFS('TRA balance'!AS$5:AS$40,'TRA balance'!$C$5:$C$40,Assumptions!$C36,'TRA balance'!$D$5:$D$40,Assumptions!$B36)*EM36*AV36,"")</f>
        <v>0</v>
      </c>
      <c r="CS36" s="34">
        <f ca="1">IFERROR(SUMIFS('TRA balance'!AT$5:AT$40,'TRA balance'!$C$5:$C$40,Assumptions!$C36,'TRA balance'!$D$5:$D$40,Assumptions!$B36)*EN36*AW36,"")</f>
        <v>0</v>
      </c>
      <c r="CT36" s="34">
        <f ca="1">IFERROR(SUMIFS('TRA balance'!AU$5:AU$40,'TRA balance'!$C$5:$C$40,Assumptions!$C36,'TRA balance'!$D$5:$D$40,Assumptions!$B36)*EO36*AX36,"")</f>
        <v>0</v>
      </c>
      <c r="CU36" s="34">
        <f ca="1">IFERROR(SUMIFS('TRA balance'!AV$5:AV$40,'TRA balance'!$C$5:$C$40,Assumptions!$C36,'TRA balance'!$D$5:$D$40,Assumptions!$B36)*EP36*AY36,"")</f>
        <v>0</v>
      </c>
      <c r="CV36" s="34">
        <f ca="1">IFERROR(SUMIFS('TRA balance'!AW$5:AW$40,'TRA balance'!$C$5:$C$40,Assumptions!$C36,'TRA balance'!$D$5:$D$40,Assumptions!$B36)*EQ36*AZ36,"")</f>
        <v>0</v>
      </c>
      <c r="CW36" s="34">
        <f ca="1">IFERROR(SUMIFS('TRA balance'!AX$5:AX$40,'TRA balance'!$C$5:$C$40,Assumptions!$C36,'TRA balance'!$D$5:$D$40,Assumptions!$B36)*ER36*BA36,"")</f>
        <v>0</v>
      </c>
      <c r="CY36" s="33">
        <f t="shared" si="66"/>
        <v>1</v>
      </c>
      <c r="CZ36" s="33">
        <f t="shared" si="3"/>
        <v>1</v>
      </c>
      <c r="DA36" s="33">
        <f t="shared" si="4"/>
        <v>1</v>
      </c>
      <c r="DB36" s="33">
        <f t="shared" si="5"/>
        <v>1</v>
      </c>
      <c r="DC36" s="33">
        <f t="shared" si="6"/>
        <v>1</v>
      </c>
      <c r="DD36" s="33">
        <f t="shared" si="7"/>
        <v>1</v>
      </c>
      <c r="DE36" s="33">
        <f t="shared" si="8"/>
        <v>1</v>
      </c>
      <c r="DF36" s="33">
        <f t="shared" si="9"/>
        <v>1</v>
      </c>
      <c r="DG36" s="33">
        <f t="shared" si="10"/>
        <v>1</v>
      </c>
      <c r="DH36" s="33">
        <f t="shared" si="11"/>
        <v>1</v>
      </c>
      <c r="DI36" s="33">
        <f t="shared" si="12"/>
        <v>1</v>
      </c>
      <c r="DJ36" s="33">
        <f t="shared" si="13"/>
        <v>1</v>
      </c>
      <c r="DK36" s="33">
        <f t="shared" si="14"/>
        <v>1</v>
      </c>
      <c r="DL36" s="33">
        <f t="shared" si="15"/>
        <v>1</v>
      </c>
      <c r="DM36" s="33">
        <f t="shared" si="16"/>
        <v>1</v>
      </c>
      <c r="DN36" s="33">
        <f t="shared" si="17"/>
        <v>1</v>
      </c>
      <c r="DO36" s="33">
        <f t="shared" si="18"/>
        <v>1</v>
      </c>
      <c r="DP36" s="33">
        <f t="shared" si="19"/>
        <v>1</v>
      </c>
      <c r="DQ36" s="33">
        <f t="shared" si="20"/>
        <v>1</v>
      </c>
      <c r="DR36" s="33">
        <f t="shared" si="21"/>
        <v>1</v>
      </c>
      <c r="DS36" s="33">
        <f t="shared" si="22"/>
        <v>1</v>
      </c>
      <c r="DT36" s="33">
        <f t="shared" si="23"/>
        <v>1</v>
      </c>
      <c r="DU36" s="33">
        <f t="shared" si="24"/>
        <v>1</v>
      </c>
      <c r="DV36" s="33">
        <f t="shared" si="25"/>
        <v>1</v>
      </c>
      <c r="DW36" s="33">
        <f t="shared" si="26"/>
        <v>1</v>
      </c>
      <c r="DX36" s="33">
        <f t="shared" si="27"/>
        <v>1</v>
      </c>
      <c r="DY36" s="33">
        <f t="shared" si="28"/>
        <v>1</v>
      </c>
      <c r="DZ36" s="33">
        <f t="shared" si="29"/>
        <v>1</v>
      </c>
      <c r="EA36" s="33">
        <f t="shared" si="30"/>
        <v>1</v>
      </c>
      <c r="EB36" s="33">
        <f t="shared" si="31"/>
        <v>1</v>
      </c>
      <c r="EC36" s="33">
        <f t="shared" si="32"/>
        <v>1</v>
      </c>
      <c r="ED36" s="33">
        <f t="shared" si="33"/>
        <v>1</v>
      </c>
      <c r="EE36" s="33">
        <f t="shared" si="34"/>
        <v>1</v>
      </c>
      <c r="EF36" s="33">
        <f t="shared" si="35"/>
        <v>1</v>
      </c>
      <c r="EG36" s="33">
        <f t="shared" si="36"/>
        <v>1</v>
      </c>
      <c r="EH36" s="33">
        <f t="shared" si="37"/>
        <v>1</v>
      </c>
      <c r="EI36" s="33">
        <f t="shared" si="38"/>
        <v>1</v>
      </c>
      <c r="EJ36" s="33">
        <f t="shared" si="39"/>
        <v>1</v>
      </c>
      <c r="EK36" s="33">
        <f t="shared" si="40"/>
        <v>1</v>
      </c>
      <c r="EL36" s="33">
        <f t="shared" si="41"/>
        <v>1</v>
      </c>
      <c r="EM36" s="33">
        <f t="shared" si="42"/>
        <v>1</v>
      </c>
      <c r="EN36" s="33">
        <f t="shared" si="43"/>
        <v>1</v>
      </c>
      <c r="EO36" s="33">
        <f t="shared" si="44"/>
        <v>1</v>
      </c>
      <c r="EP36" s="33">
        <f t="shared" si="45"/>
        <v>1</v>
      </c>
      <c r="EQ36" s="33">
        <f t="shared" si="46"/>
        <v>1</v>
      </c>
      <c r="ER36" s="33">
        <f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6" t="str">
        <f t="shared" si="48"/>
        <v>TT</v>
      </c>
      <c r="D37" s="7" t="s">
        <v>17</v>
      </c>
      <c r="E37" s="7" t="s">
        <v>56</v>
      </c>
      <c r="F37" s="8" t="str">
        <f t="shared" ref="F37:F38" si="67">F36</f>
        <v>Heavy Fuel Oil</v>
      </c>
      <c r="G37" s="6" t="s">
        <v>57</v>
      </c>
      <c r="H37" s="9">
        <f ca="1">OFFSET(TIAM15_assumptions!$G37,0,MATCH(VLOOKUP(Assumptions!H$2,TIAM15_assumptions!$Y$3:$Z$87,2,FALSE),TIAM15_assumptions!$H$2:$V$2,0))</f>
        <v>0.3</v>
      </c>
      <c r="I37" s="9">
        <f ca="1">OFFSET(TIAM15_assumptions!$G37,0,MATCH(VLOOKUP(Assumptions!I$2,TIAM15_assumptions!$Y$3:$Z$87,2,FALSE),TIAM15_assumptions!$H$2:$V$2,0))</f>
        <v>0.3</v>
      </c>
      <c r="J37" s="9">
        <f ca="1">OFFSET(TIAM15_assumptions!$G37,0,MATCH(VLOOKUP(Assumptions!J$2,TIAM15_assumptions!$Y$3:$Z$87,2,FALSE),TIAM15_assumptions!$H$2:$V$2,0))</f>
        <v>0</v>
      </c>
      <c r="K37" s="9">
        <f ca="1">OFFSET(TIAM15_assumptions!$G37,0,MATCH(VLOOKUP(Assumptions!K$2,TIAM15_assumptions!$Y$3:$Z$87,2,FALSE),TIAM15_assumptions!$H$2:$V$2,0))</f>
        <v>0.1</v>
      </c>
      <c r="L37" s="9">
        <f ca="1">OFFSET(TIAM15_assumptions!$G37,0,MATCH(VLOOKUP(Assumptions!L$2,TIAM15_assumptions!$Y$3:$Z$87,2,FALSE),TIAM15_assumptions!$H$2:$V$2,0))</f>
        <v>0.1</v>
      </c>
      <c r="M37" s="9">
        <f ca="1">OFFSET(TIAM15_assumptions!$G37,0,MATCH(VLOOKUP(Assumptions!M$2,TIAM15_assumptions!$Y$3:$Z$87,2,FALSE),TIAM15_assumptions!$H$2:$V$2,0))</f>
        <v>0.1</v>
      </c>
      <c r="N37" s="9">
        <f ca="1">OFFSET(TIAM15_assumptions!$G37,0,MATCH(VLOOKUP(Assumptions!N$2,TIAM15_assumptions!$Y$3:$Z$87,2,FALSE),TIAM15_assumptions!$H$2:$V$2,0))</f>
        <v>0</v>
      </c>
      <c r="O37" s="9">
        <f ca="1">OFFSET(TIAM15_assumptions!$G37,0,MATCH(VLOOKUP(Assumptions!O$2,TIAM15_assumptions!$Y$3:$Z$87,2,FALSE),TIAM15_assumptions!$H$2:$V$2,0))</f>
        <v>0.4</v>
      </c>
      <c r="P37" s="9">
        <f ca="1">OFFSET(TIAM15_assumptions!$G37,0,MATCH(VLOOKUP(Assumptions!P$2,TIAM15_assumptions!$Y$3:$Z$87,2,FALSE),TIAM15_assumptions!$H$2:$V$2,0))</f>
        <v>0.1</v>
      </c>
      <c r="Q37" s="9">
        <f ca="1">OFFSET(TIAM15_assumptions!$G37,0,MATCH(VLOOKUP(Assumptions!Q$2,TIAM15_assumptions!$Y$3:$Z$87,2,FALSE),TIAM15_assumptions!$H$2:$V$2,0))</f>
        <v>0.1</v>
      </c>
      <c r="R37" s="9">
        <f ca="1">OFFSET(TIAM15_assumptions!$G37,0,MATCH(VLOOKUP(Assumptions!R$2,TIAM15_assumptions!$Y$3:$Z$87,2,FALSE),TIAM15_assumptions!$H$2:$V$2,0))</f>
        <v>0.1</v>
      </c>
      <c r="S37" s="9">
        <f ca="1">OFFSET(TIAM15_assumptions!$G37,0,MATCH(VLOOKUP(Assumptions!S$2,TIAM15_assumptions!$Y$3:$Z$87,2,FALSE),TIAM15_assumptions!$H$2:$V$2,0))</f>
        <v>0.1</v>
      </c>
      <c r="T37" s="9">
        <f ca="1">OFFSET(TIAM15_assumptions!$G37,0,MATCH(VLOOKUP(Assumptions!T$2,TIAM15_assumptions!$Y$3:$Z$87,2,FALSE),TIAM15_assumptions!$H$2:$V$2,0))</f>
        <v>0.1</v>
      </c>
      <c r="U37" s="9">
        <f ca="1">OFFSET(TIAM15_assumptions!$G37,0,MATCH(VLOOKUP(Assumptions!U$2,TIAM15_assumptions!$Y$3:$Z$87,2,FALSE),TIAM15_assumptions!$H$2:$V$2,0))</f>
        <v>0.1</v>
      </c>
      <c r="V37" s="9">
        <f ca="1">OFFSET(TIAM15_assumptions!$G37,0,MATCH(VLOOKUP(Assumptions!V$2,TIAM15_assumptions!$Y$3:$Z$87,2,FALSE),TIAM15_assumptions!$H$2:$V$2,0))</f>
        <v>0.1</v>
      </c>
      <c r="W37" s="9">
        <f ca="1">OFFSET(TIAM15_assumptions!$G37,0,MATCH(VLOOKUP(Assumptions!W$2,TIAM15_assumptions!$Y$3:$Z$87,2,FALSE),TIAM15_assumptions!$H$2:$V$2,0))</f>
        <v>0.5</v>
      </c>
      <c r="X37" s="9">
        <f ca="1">OFFSET(TIAM15_assumptions!$G37,0,MATCH(VLOOKUP(Assumptions!X$2,TIAM15_assumptions!$Y$3:$Z$87,2,FALSE),TIAM15_assumptions!$H$2:$V$2,0))</f>
        <v>0.1</v>
      </c>
      <c r="Y37" s="9">
        <f ca="1">OFFSET(TIAM15_assumptions!$G37,0,MATCH(VLOOKUP(Assumptions!Y$2,TIAM15_assumptions!$Y$3:$Z$87,2,FALSE),TIAM15_assumptions!$H$2:$V$2,0))</f>
        <v>0.1</v>
      </c>
      <c r="Z37" s="9">
        <f ca="1">OFFSET(TIAM15_assumptions!$G37,0,MATCH(VLOOKUP(Assumptions!Z$2,TIAM15_assumptions!$Y$3:$Z$87,2,FALSE),TIAM15_assumptions!$H$2:$V$2,0))</f>
        <v>0.1</v>
      </c>
      <c r="AA37" s="9">
        <f ca="1">OFFSET(TIAM15_assumptions!$G37,0,MATCH(VLOOKUP(Assumptions!AA$2,TIAM15_assumptions!$Y$3:$Z$87,2,FALSE),TIAM15_assumptions!$H$2:$V$2,0))</f>
        <v>0</v>
      </c>
      <c r="AB37" s="9">
        <f ca="1">OFFSET(TIAM15_assumptions!$G37,0,MATCH(VLOOKUP(Assumptions!AB$2,TIAM15_assumptions!$Y$3:$Z$87,2,FALSE),TIAM15_assumptions!$H$2:$V$2,0))</f>
        <v>0.3</v>
      </c>
      <c r="AC37" s="9">
        <f ca="1">OFFSET(TIAM15_assumptions!$G37,0,MATCH(VLOOKUP(Assumptions!AC$2,TIAM15_assumptions!$Y$3:$Z$87,2,FALSE),TIAM15_assumptions!$H$2:$V$2,0))</f>
        <v>0.1</v>
      </c>
      <c r="AD37" s="9">
        <f ca="1">OFFSET(TIAM15_assumptions!$G37,0,MATCH(VLOOKUP(Assumptions!AD$2,TIAM15_assumptions!$Y$3:$Z$87,2,FALSE),TIAM15_assumptions!$H$2:$V$2,0))</f>
        <v>0.1</v>
      </c>
      <c r="AE37" s="9">
        <f ca="1">OFFSET(TIAM15_assumptions!$G37,0,MATCH(VLOOKUP(Assumptions!AE$2,TIAM15_assumptions!$Y$3:$Z$87,2,FALSE),TIAM15_assumptions!$H$2:$V$2,0))</f>
        <v>0.1</v>
      </c>
      <c r="AF37" s="9">
        <f ca="1">OFFSET(TIAM15_assumptions!$G37,0,MATCH(VLOOKUP(Assumptions!AF$2,TIAM15_assumptions!$Y$3:$Z$87,2,FALSE),TIAM15_assumptions!$H$2:$V$2,0))</f>
        <v>0.1</v>
      </c>
      <c r="AG37" s="9">
        <f ca="1">OFFSET(TIAM15_assumptions!$G37,0,MATCH(VLOOKUP(Assumptions!AG$2,TIAM15_assumptions!$Y$3:$Z$87,2,FALSE),TIAM15_assumptions!$H$2:$V$2,0))</f>
        <v>0.1</v>
      </c>
      <c r="AH37" s="9">
        <f ca="1">OFFSET(TIAM15_assumptions!$G37,0,MATCH(VLOOKUP(Assumptions!AH$2,TIAM15_assumptions!$Y$3:$Z$87,2,FALSE),TIAM15_assumptions!$H$2:$V$2,0))</f>
        <v>0.3</v>
      </c>
      <c r="AI37" s="9">
        <f ca="1">OFFSET(TIAM15_assumptions!$G37,0,MATCH(VLOOKUP(Assumptions!AI$2,TIAM15_assumptions!$Y$3:$Z$87,2,FALSE),TIAM15_assumptions!$H$2:$V$2,0))</f>
        <v>0.3</v>
      </c>
      <c r="AJ37" s="9">
        <f ca="1">OFFSET(TIAM15_assumptions!$G37,0,MATCH(VLOOKUP(Assumptions!AJ$2,TIAM15_assumptions!$Y$3:$Z$87,2,FALSE),TIAM15_assumptions!$H$2:$V$2,0))</f>
        <v>0.1</v>
      </c>
      <c r="AK37" s="9">
        <f ca="1">OFFSET(TIAM15_assumptions!$G37,0,MATCH(VLOOKUP(Assumptions!AK$2,TIAM15_assumptions!$Y$3:$Z$87,2,FALSE),TIAM15_assumptions!$H$2:$V$2,0))</f>
        <v>0.1</v>
      </c>
      <c r="AL37" s="9">
        <f ca="1">OFFSET(TIAM15_assumptions!$G37,0,MATCH(VLOOKUP(Assumptions!AL$2,TIAM15_assumptions!$Y$3:$Z$87,2,FALSE),TIAM15_assumptions!$H$2:$V$2,0))</f>
        <v>0.1</v>
      </c>
      <c r="AM37" s="9">
        <f ca="1">OFFSET(TIAM15_assumptions!$G37,0,MATCH(VLOOKUP(Assumptions!AM$2,TIAM15_assumptions!$Y$3:$Z$87,2,FALSE),TIAM15_assumptions!$H$2:$V$2,0))</f>
        <v>0.3</v>
      </c>
      <c r="AN37" s="9">
        <f ca="1">OFFSET(TIAM15_assumptions!$G37,0,MATCH(VLOOKUP(Assumptions!AN$2,TIAM15_assumptions!$Y$3:$Z$87,2,FALSE),TIAM15_assumptions!$H$2:$V$2,0))</f>
        <v>0.1</v>
      </c>
      <c r="AO37" s="9">
        <f ca="1">OFFSET(TIAM15_assumptions!$G37,0,MATCH(VLOOKUP(Assumptions!AO$2,TIAM15_assumptions!$Y$3:$Z$87,2,FALSE),TIAM15_assumptions!$H$2:$V$2,0))</f>
        <v>0.1</v>
      </c>
      <c r="AP37" s="9">
        <f ca="1">OFFSET(TIAM15_assumptions!$G37,0,MATCH(VLOOKUP(Assumptions!AP$2,TIAM15_assumptions!$Y$3:$Z$87,2,FALSE),TIAM15_assumptions!$H$2:$V$2,0))</f>
        <v>0.1</v>
      </c>
      <c r="AQ37" s="9">
        <f ca="1">OFFSET(TIAM15_assumptions!$G37,0,MATCH(VLOOKUP(Assumptions!AQ$2,TIAM15_assumptions!$Y$3:$Z$87,2,FALSE),TIAM15_assumptions!$H$2:$V$2,0))</f>
        <v>0.1</v>
      </c>
      <c r="AR37" s="9">
        <f ca="1">OFFSET(TIAM15_assumptions!$G37,0,MATCH(VLOOKUP(Assumptions!AR$2,TIAM15_assumptions!$Y$3:$Z$87,2,FALSE),TIAM15_assumptions!$H$2:$V$2,0))</f>
        <v>0.1</v>
      </c>
      <c r="AS37" s="9">
        <f ca="1">OFFSET(TIAM15_assumptions!$G37,0,MATCH(VLOOKUP(Assumptions!AS$2,TIAM15_assumptions!$Y$3:$Z$87,2,FALSE),TIAM15_assumptions!$H$2:$V$2,0))</f>
        <v>0.1</v>
      </c>
      <c r="AT37" s="9">
        <f ca="1">OFFSET(TIAM15_assumptions!$G37,0,MATCH(VLOOKUP(Assumptions!AT$2,TIAM15_assumptions!$Y$3:$Z$87,2,FALSE),TIAM15_assumptions!$H$2:$V$2,0))</f>
        <v>0.1</v>
      </c>
      <c r="AU37" s="9">
        <f ca="1">OFFSET(TIAM15_assumptions!$G37,0,MATCH(VLOOKUP(Assumptions!AU$2,TIAM15_assumptions!$Y$3:$Z$87,2,FALSE),TIAM15_assumptions!$H$2:$V$2,0))</f>
        <v>0.1</v>
      </c>
      <c r="AV37" s="9">
        <f ca="1">OFFSET(TIAM15_assumptions!$G37,0,MATCH(VLOOKUP(Assumptions!AV$2,TIAM15_assumptions!$Y$3:$Z$87,2,FALSE),TIAM15_assumptions!$H$2:$V$2,0))</f>
        <v>0.1</v>
      </c>
      <c r="AW37" s="9">
        <f ca="1">OFFSET(TIAM15_assumptions!$G37,0,MATCH(VLOOKUP(Assumptions!AW$2,TIAM15_assumptions!$Y$3:$Z$87,2,FALSE),TIAM15_assumptions!$H$2:$V$2,0))</f>
        <v>0.1</v>
      </c>
      <c r="AX37" s="9">
        <f ca="1">OFFSET(TIAM15_assumptions!$G37,0,MATCH(VLOOKUP(Assumptions!AX$2,TIAM15_assumptions!$Y$3:$Z$87,2,FALSE),TIAM15_assumptions!$H$2:$V$2,0))</f>
        <v>0.1</v>
      </c>
      <c r="AY37" s="9">
        <f ca="1">OFFSET(TIAM15_assumptions!$G37,0,MATCH(VLOOKUP(Assumptions!AY$2,TIAM15_assumptions!$Y$3:$Z$87,2,FALSE),TIAM15_assumptions!$H$2:$V$2,0))</f>
        <v>0.1</v>
      </c>
      <c r="AZ37" s="9">
        <f ca="1">OFFSET(TIAM15_assumptions!$G37,0,MATCH(VLOOKUP(Assumptions!AZ$2,TIAM15_assumptions!$Y$3:$Z$87,2,FALSE),TIAM15_assumptions!$H$2:$V$2,0))</f>
        <v>0.1</v>
      </c>
      <c r="BA37" s="9">
        <f ca="1">OFFSET(TIAM15_assumptions!$G37,0,MATCH(VLOOKUP(Assumptions!BA$2,TIAM15_assumptions!$Y$3:$Z$87,2,FALSE),TIAM15_assumptions!$H$2:$V$2,0))</f>
        <v>0.1</v>
      </c>
      <c r="BD37" s="34">
        <f ca="1">IFERROR(SUMIFS('TRA balance'!E$5:E$40,'TRA balance'!$C$5:$C$40,Assumptions!$C37,'TRA balance'!$D$5:$D$40,Assumptions!$B37)*CY37*H37,"")</f>
        <v>1.2720005002799999</v>
      </c>
      <c r="BE37" s="34">
        <f ca="1">IFERROR(SUMIFS('TRA balance'!F$5:F$40,'TRA balance'!$C$5:$C$40,Assumptions!$C37,'TRA balance'!$D$5:$D$40,Assumptions!$B37)*CZ37*I37,"")</f>
        <v>0</v>
      </c>
      <c r="BF37" s="34">
        <f ca="1">IFERROR(SUMIFS('TRA balance'!G$5:G$40,'TRA balance'!$C$5:$C$40,Assumptions!$C37,'TRA balance'!$D$5:$D$40,Assumptions!$B37)*DA37*J37,"")</f>
        <v>0</v>
      </c>
      <c r="BG37" s="34">
        <f ca="1">IFERROR(SUMIFS('TRA balance'!H$5:H$40,'TRA balance'!$C$5:$C$40,Assumptions!$C37,'TRA balance'!$D$5:$D$40,Assumptions!$B37)*DB37*K37,"")</f>
        <v>0</v>
      </c>
      <c r="BH37" s="34">
        <f ca="1">IFERROR(SUMIFS('TRA balance'!I$5:I$40,'TRA balance'!$C$5:$C$40,Assumptions!$C37,'TRA balance'!$D$5:$D$40,Assumptions!$B37)*DC37*L37,"")</f>
        <v>0</v>
      </c>
      <c r="BI37" s="34">
        <f ca="1">IFERROR(SUMIFS('TRA balance'!J$5:J$40,'TRA balance'!$C$5:$C$40,Assumptions!$C37,'TRA balance'!$D$5:$D$40,Assumptions!$B37)*DD37*M37,"")</f>
        <v>0</v>
      </c>
      <c r="BJ37" s="34">
        <f ca="1">IFERROR(SUMIFS('TRA balance'!K$5:K$40,'TRA balance'!$C$5:$C$40,Assumptions!$C37,'TRA balance'!$D$5:$D$40,Assumptions!$B37)*DE37*N37,"")</f>
        <v>0</v>
      </c>
      <c r="BK37" s="34">
        <f ca="1">IFERROR(SUMIFS('TRA balance'!L$5:L$40,'TRA balance'!$C$5:$C$40,Assumptions!$C37,'TRA balance'!$D$5:$D$40,Assumptions!$B37)*DF37*O37,"")</f>
        <v>0</v>
      </c>
      <c r="BL37" s="34">
        <f ca="1">IFERROR(SUMIFS('TRA balance'!M$5:M$40,'TRA balance'!$C$5:$C$40,Assumptions!$C37,'TRA balance'!$D$5:$D$40,Assumptions!$B37)*DG37*P37,"")</f>
        <v>0</v>
      </c>
      <c r="BM37" s="34">
        <f ca="1">IFERROR(SUMIFS('TRA balance'!N$5:N$40,'TRA balance'!$C$5:$C$40,Assumptions!$C37,'TRA balance'!$D$5:$D$40,Assumptions!$B37)*DH37*Q37,"")</f>
        <v>0</v>
      </c>
      <c r="BN37" s="34">
        <f ca="1">IFERROR(SUMIFS('TRA balance'!O$5:O$40,'TRA balance'!$C$5:$C$40,Assumptions!$C37,'TRA balance'!$D$5:$D$40,Assumptions!$B37)*DI37*R37,"")</f>
        <v>0</v>
      </c>
      <c r="BO37" s="34">
        <f ca="1">IFERROR(SUMIFS('TRA balance'!P$5:P$40,'TRA balance'!$C$5:$C$40,Assumptions!$C37,'TRA balance'!$D$5:$D$40,Assumptions!$B37)*DJ37*S37,"")</f>
        <v>0</v>
      </c>
      <c r="BP37" s="34">
        <f ca="1">IFERROR(SUMIFS('TRA balance'!Q$5:Q$40,'TRA balance'!$C$5:$C$40,Assumptions!$C37,'TRA balance'!$D$5:$D$40,Assumptions!$B37)*DK37*T37,"")</f>
        <v>0</v>
      </c>
      <c r="BQ37" s="34">
        <f ca="1">IFERROR(SUMIFS('TRA balance'!R$5:R$40,'TRA balance'!$C$5:$C$40,Assumptions!$C37,'TRA balance'!$D$5:$D$40,Assumptions!$B37)*DL37*U37,"")</f>
        <v>0</v>
      </c>
      <c r="BR37" s="34">
        <f ca="1">IFERROR(SUMIFS('TRA balance'!S$5:S$40,'TRA balance'!$C$5:$C$40,Assumptions!$C37,'TRA balance'!$D$5:$D$40,Assumptions!$B37)*DM37*V37,"")</f>
        <v>0</v>
      </c>
      <c r="BS37" s="34">
        <f ca="1">IFERROR(SUMIFS('TRA balance'!T$5:T$40,'TRA balance'!$C$5:$C$40,Assumptions!$C37,'TRA balance'!$D$5:$D$40,Assumptions!$B37)*DN37*W37,"")</f>
        <v>0</v>
      </c>
      <c r="BT37" s="34">
        <f ca="1">IFERROR(SUMIFS('TRA balance'!U$5:U$40,'TRA balance'!$C$5:$C$40,Assumptions!$C37,'TRA balance'!$D$5:$D$40,Assumptions!$B37)*DO37*X37,"")</f>
        <v>0</v>
      </c>
      <c r="BU37" s="34">
        <f ca="1">IFERROR(SUMIFS('TRA balance'!V$5:V$40,'TRA balance'!$C$5:$C$40,Assumptions!$C37,'TRA balance'!$D$5:$D$40,Assumptions!$B37)*DP37*Y37,"")</f>
        <v>0</v>
      </c>
      <c r="BV37" s="34">
        <f ca="1">IFERROR(SUMIFS('TRA balance'!W$5:W$40,'TRA balance'!$C$5:$C$40,Assumptions!$C37,'TRA balance'!$D$5:$D$40,Assumptions!$B37)*DQ37*Z37,"")</f>
        <v>0</v>
      </c>
      <c r="BW37" s="34">
        <f ca="1">IFERROR(SUMIFS('TRA balance'!X$5:X$40,'TRA balance'!$C$5:$C$40,Assumptions!$C37,'TRA balance'!$D$5:$D$40,Assumptions!$B37)*DR37*AA37,"")</f>
        <v>0</v>
      </c>
      <c r="BX37" s="34">
        <f ca="1">IFERROR(SUMIFS('TRA balance'!Y$5:Y$40,'TRA balance'!$C$5:$C$40,Assumptions!$C37,'TRA balance'!$D$5:$D$40,Assumptions!$B37)*DS37*AB37,"")</f>
        <v>0</v>
      </c>
      <c r="BY37" s="34">
        <f ca="1">IFERROR(SUMIFS('TRA balance'!Z$5:Z$40,'TRA balance'!$C$5:$C$40,Assumptions!$C37,'TRA balance'!$D$5:$D$40,Assumptions!$B37)*DT37*AC37,"")</f>
        <v>0</v>
      </c>
      <c r="BZ37" s="34">
        <f ca="1">IFERROR(SUMIFS('TRA balance'!AA$5:AA$40,'TRA balance'!$C$5:$C$40,Assumptions!$C37,'TRA balance'!$D$5:$D$40,Assumptions!$B37)*DU37*AD37,"")</f>
        <v>0</v>
      </c>
      <c r="CA37" s="34">
        <f ca="1">IFERROR(SUMIFS('TRA balance'!AB$5:AB$40,'TRA balance'!$C$5:$C$40,Assumptions!$C37,'TRA balance'!$D$5:$D$40,Assumptions!$B37)*DV37*AE37,"")</f>
        <v>0</v>
      </c>
      <c r="CB37" s="34">
        <f ca="1">IFERROR(SUMIFS('TRA balance'!AC$5:AC$40,'TRA balance'!$C$5:$C$40,Assumptions!$C37,'TRA balance'!$D$5:$D$40,Assumptions!$B37)*DW37*AF37,"")</f>
        <v>2.2303083600000002E-3</v>
      </c>
      <c r="CC37" s="34">
        <f ca="1">IFERROR(SUMIFS('TRA balance'!AD$5:AD$40,'TRA balance'!$C$5:$C$40,Assumptions!$C37,'TRA balance'!$D$5:$D$40,Assumptions!$B37)*DX37*AG37,"")</f>
        <v>8.7198483600000008E-3</v>
      </c>
      <c r="CD37" s="34">
        <f ca="1">IFERROR(SUMIFS('TRA balance'!AE$5:AE$40,'TRA balance'!$C$5:$C$40,Assumptions!$C37,'TRA balance'!$D$5:$D$40,Assumptions!$B37)*DY37*AH37,"")</f>
        <v>0</v>
      </c>
      <c r="CE37" s="34">
        <f ca="1">IFERROR(SUMIFS('TRA balance'!AF$5:AF$40,'TRA balance'!$C$5:$C$40,Assumptions!$C37,'TRA balance'!$D$5:$D$40,Assumptions!$B37)*DZ37*AI37,"")</f>
        <v>0.92708186795999992</v>
      </c>
      <c r="CF37" s="34">
        <f ca="1">IFERROR(SUMIFS('TRA balance'!AG$5:AG$40,'TRA balance'!$C$5:$C$40,Assumptions!$C37,'TRA balance'!$D$5:$D$40,Assumptions!$B37)*EA37*AJ37,"")</f>
        <v>0</v>
      </c>
      <c r="CG37" s="34">
        <f ca="1">IFERROR(SUMIFS('TRA balance'!AH$5:AH$40,'TRA balance'!$C$5:$C$40,Assumptions!$C37,'TRA balance'!$D$5:$D$40,Assumptions!$B37)*EB37*AK37,"")</f>
        <v>0</v>
      </c>
      <c r="CH37" s="34">
        <f ca="1">IFERROR(SUMIFS('TRA balance'!AI$5:AI$40,'TRA balance'!$C$5:$C$40,Assumptions!$C37,'TRA balance'!$D$5:$D$40,Assumptions!$B37)*EC37*AL37,"")</f>
        <v>0</v>
      </c>
      <c r="CI37" s="34">
        <f ca="1">IFERROR(SUMIFS('TRA balance'!AJ$5:AJ$40,'TRA balance'!$C$5:$C$40,Assumptions!$C37,'TRA balance'!$D$5:$D$40,Assumptions!$B37)*ED37*AM37,"")</f>
        <v>0</v>
      </c>
      <c r="CJ37" s="34">
        <f ca="1">IFERROR(SUMIFS('TRA balance'!AK$5:AK$40,'TRA balance'!$C$5:$C$40,Assumptions!$C37,'TRA balance'!$D$5:$D$40,Assumptions!$B37)*EE37*AN37,"")</f>
        <v>0</v>
      </c>
      <c r="CK37" s="34">
        <f ca="1">IFERROR(SUMIFS('TRA balance'!AL$5:AL$40,'TRA balance'!$C$5:$C$40,Assumptions!$C37,'TRA balance'!$D$5:$D$40,Assumptions!$B37)*EF37*AO37,"")</f>
        <v>0</v>
      </c>
      <c r="CL37" s="34">
        <f ca="1">IFERROR(SUMIFS('TRA balance'!AM$5:AM$40,'TRA balance'!$C$5:$C$40,Assumptions!$C37,'TRA balance'!$D$5:$D$40,Assumptions!$B37)*EG37*AP37,"")</f>
        <v>0</v>
      </c>
      <c r="CM37" s="34">
        <f ca="1">IFERROR(SUMIFS('TRA balance'!AN$5:AN$40,'TRA balance'!$C$5:$C$40,Assumptions!$C37,'TRA balance'!$D$5:$D$40,Assumptions!$B37)*EH37*AQ37,"")</f>
        <v>0</v>
      </c>
      <c r="CN37" s="34">
        <f ca="1">IFERROR(SUMIFS('TRA balance'!AO$5:AO$40,'TRA balance'!$C$5:$C$40,Assumptions!$C37,'TRA balance'!$D$5:$D$40,Assumptions!$B37)*EI37*AR37,"")</f>
        <v>0</v>
      </c>
      <c r="CO37" s="34">
        <f ca="1">IFERROR(SUMIFS('TRA balance'!AP$5:AP$40,'TRA balance'!$C$5:$C$40,Assumptions!$C37,'TRA balance'!$D$5:$D$40,Assumptions!$B37)*EJ37*AS37,"")</f>
        <v>0</v>
      </c>
      <c r="CP37" s="34">
        <f ca="1">IFERROR(SUMIFS('TRA balance'!AQ$5:AQ$40,'TRA balance'!$C$5:$C$40,Assumptions!$C37,'TRA balance'!$D$5:$D$40,Assumptions!$B37)*EK37*AT37,"")</f>
        <v>0</v>
      </c>
      <c r="CQ37" s="34">
        <f ca="1">IFERROR(SUMIFS('TRA balance'!AR$5:AR$40,'TRA balance'!$C$5:$C$40,Assumptions!$C37,'TRA balance'!$D$5:$D$40,Assumptions!$B37)*EL37*AU37,"")</f>
        <v>0</v>
      </c>
      <c r="CR37" s="34">
        <f ca="1">IFERROR(SUMIFS('TRA balance'!AS$5:AS$40,'TRA balance'!$C$5:$C$40,Assumptions!$C37,'TRA balance'!$D$5:$D$40,Assumptions!$B37)*EM37*AV37,"")</f>
        <v>0</v>
      </c>
      <c r="CS37" s="34">
        <f ca="1">IFERROR(SUMIFS('TRA balance'!AT$5:AT$40,'TRA balance'!$C$5:$C$40,Assumptions!$C37,'TRA balance'!$D$5:$D$40,Assumptions!$B37)*EN37*AW37,"")</f>
        <v>0</v>
      </c>
      <c r="CT37" s="34">
        <f ca="1">IFERROR(SUMIFS('TRA balance'!AU$5:AU$40,'TRA balance'!$C$5:$C$40,Assumptions!$C37,'TRA balance'!$D$5:$D$40,Assumptions!$B37)*EO37*AX37,"")</f>
        <v>0</v>
      </c>
      <c r="CU37" s="34">
        <f ca="1">IFERROR(SUMIFS('TRA balance'!AV$5:AV$40,'TRA balance'!$C$5:$C$40,Assumptions!$C37,'TRA balance'!$D$5:$D$40,Assumptions!$B37)*EP37*AY37,"")</f>
        <v>0</v>
      </c>
      <c r="CV37" s="34">
        <f ca="1">IFERROR(SUMIFS('TRA balance'!AW$5:AW$40,'TRA balance'!$C$5:$C$40,Assumptions!$C37,'TRA balance'!$D$5:$D$40,Assumptions!$B37)*EQ37*AZ37,"")</f>
        <v>0</v>
      </c>
      <c r="CW37" s="34">
        <f ca="1">IFERROR(SUMIFS('TRA balance'!AX$5:AX$40,'TRA balance'!$C$5:$C$40,Assumptions!$C37,'TRA balance'!$D$5:$D$40,Assumptions!$B37)*ER37*BA37,"")</f>
        <v>0</v>
      </c>
      <c r="CY37" s="33">
        <f t="shared" si="66"/>
        <v>1</v>
      </c>
      <c r="CZ37" s="33">
        <f t="shared" si="3"/>
        <v>1</v>
      </c>
      <c r="DA37" s="33">
        <f t="shared" si="4"/>
        <v>1</v>
      </c>
      <c r="DB37" s="33">
        <f t="shared" si="5"/>
        <v>1</v>
      </c>
      <c r="DC37" s="33">
        <f t="shared" si="6"/>
        <v>1</v>
      </c>
      <c r="DD37" s="33">
        <f t="shared" si="7"/>
        <v>1</v>
      </c>
      <c r="DE37" s="33">
        <f t="shared" si="8"/>
        <v>1</v>
      </c>
      <c r="DF37" s="33">
        <f t="shared" si="9"/>
        <v>1</v>
      </c>
      <c r="DG37" s="33">
        <f t="shared" si="10"/>
        <v>1</v>
      </c>
      <c r="DH37" s="33">
        <f t="shared" si="11"/>
        <v>1</v>
      </c>
      <c r="DI37" s="33">
        <f t="shared" si="12"/>
        <v>1</v>
      </c>
      <c r="DJ37" s="33">
        <f t="shared" si="13"/>
        <v>1</v>
      </c>
      <c r="DK37" s="33">
        <f t="shared" si="14"/>
        <v>1</v>
      </c>
      <c r="DL37" s="33">
        <f t="shared" si="15"/>
        <v>1</v>
      </c>
      <c r="DM37" s="33">
        <f t="shared" si="16"/>
        <v>1</v>
      </c>
      <c r="DN37" s="33">
        <f t="shared" si="17"/>
        <v>1</v>
      </c>
      <c r="DO37" s="33">
        <f t="shared" si="18"/>
        <v>1</v>
      </c>
      <c r="DP37" s="33">
        <f t="shared" si="19"/>
        <v>1</v>
      </c>
      <c r="DQ37" s="33">
        <f t="shared" si="20"/>
        <v>1</v>
      </c>
      <c r="DR37" s="33">
        <f t="shared" si="21"/>
        <v>1</v>
      </c>
      <c r="DS37" s="33">
        <f t="shared" si="22"/>
        <v>1</v>
      </c>
      <c r="DT37" s="33">
        <f t="shared" si="23"/>
        <v>1</v>
      </c>
      <c r="DU37" s="33">
        <f t="shared" si="24"/>
        <v>1</v>
      </c>
      <c r="DV37" s="33">
        <f t="shared" si="25"/>
        <v>1</v>
      </c>
      <c r="DW37" s="33">
        <f t="shared" si="26"/>
        <v>1</v>
      </c>
      <c r="DX37" s="33">
        <f t="shared" si="27"/>
        <v>1</v>
      </c>
      <c r="DY37" s="33">
        <f t="shared" si="28"/>
        <v>1</v>
      </c>
      <c r="DZ37" s="33">
        <f t="shared" si="29"/>
        <v>1</v>
      </c>
      <c r="EA37" s="33">
        <f t="shared" si="30"/>
        <v>1</v>
      </c>
      <c r="EB37" s="33">
        <f t="shared" si="31"/>
        <v>1</v>
      </c>
      <c r="EC37" s="33">
        <f t="shared" si="32"/>
        <v>1</v>
      </c>
      <c r="ED37" s="33">
        <f t="shared" si="33"/>
        <v>1</v>
      </c>
      <c r="EE37" s="33">
        <f t="shared" si="34"/>
        <v>1</v>
      </c>
      <c r="EF37" s="33">
        <f t="shared" si="35"/>
        <v>1</v>
      </c>
      <c r="EG37" s="33">
        <f t="shared" si="36"/>
        <v>1</v>
      </c>
      <c r="EH37" s="33">
        <f t="shared" si="37"/>
        <v>1</v>
      </c>
      <c r="EI37" s="33">
        <f t="shared" si="38"/>
        <v>1</v>
      </c>
      <c r="EJ37" s="33">
        <f t="shared" si="39"/>
        <v>1</v>
      </c>
      <c r="EK37" s="33">
        <f t="shared" si="40"/>
        <v>1</v>
      </c>
      <c r="EL37" s="33">
        <f t="shared" si="41"/>
        <v>1</v>
      </c>
      <c r="EM37" s="33">
        <f t="shared" si="42"/>
        <v>1</v>
      </c>
      <c r="EN37" s="33">
        <f t="shared" si="43"/>
        <v>1</v>
      </c>
      <c r="EO37" s="33">
        <f t="shared" si="44"/>
        <v>1</v>
      </c>
      <c r="EP37" s="33">
        <f t="shared" si="45"/>
        <v>1</v>
      </c>
      <c r="EQ37" s="33">
        <f t="shared" si="46"/>
        <v>1</v>
      </c>
      <c r="ER37" s="33">
        <f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11"/>
      <c r="D38" s="11"/>
      <c r="E38" s="12" t="s">
        <v>58</v>
      </c>
      <c r="F38" s="13" t="str">
        <f t="shared" si="67"/>
        <v>Heavy Fuel Oil</v>
      </c>
      <c r="G38" s="11"/>
      <c r="H38" s="12" t="str">
        <f t="shared" ref="H38" ca="1" si="68">IF(SUM(H36:H37)=1,"-","&lt;&gt;1!!")</f>
        <v>-</v>
      </c>
      <c r="I38" s="12" t="str">
        <f t="shared" ref="I38:BA38" ca="1" si="69">IF(SUM(I36:I37)=1,"-","&lt;&gt;1!!")</f>
        <v>-</v>
      </c>
      <c r="J38" s="12" t="str">
        <f t="shared" ca="1" si="69"/>
        <v>-</v>
      </c>
      <c r="K38" s="12" t="str">
        <f t="shared" ca="1" si="69"/>
        <v>-</v>
      </c>
      <c r="L38" s="12" t="str">
        <f t="shared" ca="1" si="69"/>
        <v>-</v>
      </c>
      <c r="M38" s="12" t="str">
        <f t="shared" ca="1" si="69"/>
        <v>-</v>
      </c>
      <c r="N38" s="12" t="str">
        <f t="shared" ca="1" si="69"/>
        <v>-</v>
      </c>
      <c r="O38" s="12" t="str">
        <f t="shared" ca="1" si="69"/>
        <v>-</v>
      </c>
      <c r="P38" s="12" t="str">
        <f t="shared" ca="1" si="69"/>
        <v>-</v>
      </c>
      <c r="Q38" s="12" t="str">
        <f t="shared" ca="1" si="69"/>
        <v>-</v>
      </c>
      <c r="R38" s="12" t="str">
        <f t="shared" ca="1" si="69"/>
        <v>-</v>
      </c>
      <c r="S38" s="12" t="str">
        <f t="shared" ca="1" si="69"/>
        <v>-</v>
      </c>
      <c r="T38" s="12" t="str">
        <f t="shared" ca="1" si="69"/>
        <v>-</v>
      </c>
      <c r="U38" s="12" t="str">
        <f t="shared" ca="1" si="69"/>
        <v>-</v>
      </c>
      <c r="V38" s="12" t="str">
        <f t="shared" ca="1" si="69"/>
        <v>-</v>
      </c>
      <c r="W38" s="12" t="str">
        <f t="shared" ca="1" si="69"/>
        <v>-</v>
      </c>
      <c r="X38" s="12" t="str">
        <f t="shared" ca="1" si="69"/>
        <v>-</v>
      </c>
      <c r="Y38" s="12" t="str">
        <f t="shared" ca="1" si="69"/>
        <v>-</v>
      </c>
      <c r="Z38" s="12" t="str">
        <f t="shared" ca="1" si="69"/>
        <v>-</v>
      </c>
      <c r="AA38" s="12" t="str">
        <f t="shared" ca="1" si="69"/>
        <v>-</v>
      </c>
      <c r="AB38" s="12" t="str">
        <f t="shared" ca="1" si="69"/>
        <v>-</v>
      </c>
      <c r="AC38" s="12" t="str">
        <f t="shared" ca="1" si="69"/>
        <v>-</v>
      </c>
      <c r="AD38" s="12" t="str">
        <f t="shared" ca="1" si="69"/>
        <v>-</v>
      </c>
      <c r="AE38" s="12" t="str">
        <f t="shared" ca="1" si="69"/>
        <v>-</v>
      </c>
      <c r="AF38" s="12" t="str">
        <f t="shared" ca="1" si="69"/>
        <v>-</v>
      </c>
      <c r="AG38" s="12" t="str">
        <f t="shared" ca="1" si="69"/>
        <v>-</v>
      </c>
      <c r="AH38" s="12" t="str">
        <f t="shared" ca="1" si="69"/>
        <v>-</v>
      </c>
      <c r="AI38" s="12" t="str">
        <f t="shared" ca="1" si="69"/>
        <v>-</v>
      </c>
      <c r="AJ38" s="12" t="str">
        <f t="shared" ca="1" si="69"/>
        <v>-</v>
      </c>
      <c r="AK38" s="12" t="str">
        <f t="shared" ca="1" si="69"/>
        <v>-</v>
      </c>
      <c r="AL38" s="12" t="str">
        <f t="shared" ca="1" si="69"/>
        <v>-</v>
      </c>
      <c r="AM38" s="12" t="str">
        <f t="shared" ca="1" si="69"/>
        <v>-</v>
      </c>
      <c r="AN38" s="12" t="str">
        <f t="shared" ca="1" si="69"/>
        <v>-</v>
      </c>
      <c r="AO38" s="12" t="str">
        <f t="shared" ca="1" si="69"/>
        <v>-</v>
      </c>
      <c r="AP38" s="12" t="str">
        <f t="shared" ca="1" si="69"/>
        <v>-</v>
      </c>
      <c r="AQ38" s="12" t="str">
        <f t="shared" ca="1" si="69"/>
        <v>-</v>
      </c>
      <c r="AR38" s="12" t="str">
        <f t="shared" ca="1" si="69"/>
        <v>-</v>
      </c>
      <c r="AS38" s="12" t="str">
        <f t="shared" ca="1" si="69"/>
        <v>-</v>
      </c>
      <c r="AT38" s="12" t="str">
        <f t="shared" ca="1" si="69"/>
        <v>-</v>
      </c>
      <c r="AU38" s="12" t="str">
        <f t="shared" ca="1" si="69"/>
        <v>-</v>
      </c>
      <c r="AV38" s="12" t="str">
        <f t="shared" ca="1" si="69"/>
        <v>-</v>
      </c>
      <c r="AW38" s="12" t="str">
        <f t="shared" ca="1" si="69"/>
        <v>-</v>
      </c>
      <c r="AX38" s="12" t="str">
        <f t="shared" ca="1" si="69"/>
        <v>-</v>
      </c>
      <c r="AY38" s="12" t="str">
        <f t="shared" ca="1" si="69"/>
        <v>-</v>
      </c>
      <c r="AZ38" s="12" t="str">
        <f t="shared" ca="1" si="69"/>
        <v>-</v>
      </c>
      <c r="BA38" s="12" t="str">
        <f t="shared" ca="1" si="69"/>
        <v>-</v>
      </c>
      <c r="BD38" s="34" t="str">
        <f ca="1">IFERROR(SUMIFS('TRA balance'!E$5:E$40,'TRA balance'!$C$5:$C$40,Assumptions!$C38,'TRA balance'!$D$5:$D$40,Assumptions!$B38)*CY38*H38,"")</f>
        <v/>
      </c>
      <c r="BE38" s="34" t="str">
        <f ca="1">IFERROR(SUMIFS('TRA balance'!F$5:F$40,'TRA balance'!$C$5:$C$40,Assumptions!$C38,'TRA balance'!$D$5:$D$40,Assumptions!$B38)*CZ38*I38,"")</f>
        <v/>
      </c>
      <c r="BF38" s="34" t="str">
        <f ca="1">IFERROR(SUMIFS('TRA balance'!G$5:G$40,'TRA balance'!$C$5:$C$40,Assumptions!$C38,'TRA balance'!$D$5:$D$40,Assumptions!$B38)*DA38*J38,"")</f>
        <v/>
      </c>
      <c r="BG38" s="34" t="str">
        <f ca="1">IFERROR(SUMIFS('TRA balance'!H$5:H$40,'TRA balance'!$C$5:$C$40,Assumptions!$C38,'TRA balance'!$D$5:$D$40,Assumptions!$B38)*DB38*K38,"")</f>
        <v/>
      </c>
      <c r="BH38" s="34" t="str">
        <f ca="1">IFERROR(SUMIFS('TRA balance'!I$5:I$40,'TRA balance'!$C$5:$C$40,Assumptions!$C38,'TRA balance'!$D$5:$D$40,Assumptions!$B38)*DC38*L38,"")</f>
        <v/>
      </c>
      <c r="BI38" s="34" t="str">
        <f ca="1">IFERROR(SUMIFS('TRA balance'!J$5:J$40,'TRA balance'!$C$5:$C$40,Assumptions!$C38,'TRA balance'!$D$5:$D$40,Assumptions!$B38)*DD38*M38,"")</f>
        <v/>
      </c>
      <c r="BJ38" s="34" t="str">
        <f ca="1">IFERROR(SUMIFS('TRA balance'!K$5:K$40,'TRA balance'!$C$5:$C$40,Assumptions!$C38,'TRA balance'!$D$5:$D$40,Assumptions!$B38)*DE38*N38,"")</f>
        <v/>
      </c>
      <c r="BK38" s="34" t="str">
        <f ca="1">IFERROR(SUMIFS('TRA balance'!L$5:L$40,'TRA balance'!$C$5:$C$40,Assumptions!$C38,'TRA balance'!$D$5:$D$40,Assumptions!$B38)*DF38*O38,"")</f>
        <v/>
      </c>
      <c r="BL38" s="34" t="str">
        <f ca="1">IFERROR(SUMIFS('TRA balance'!M$5:M$40,'TRA balance'!$C$5:$C$40,Assumptions!$C38,'TRA balance'!$D$5:$D$40,Assumptions!$B38)*DG38*P38,"")</f>
        <v/>
      </c>
      <c r="BM38" s="34" t="str">
        <f ca="1">IFERROR(SUMIFS('TRA balance'!N$5:N$40,'TRA balance'!$C$5:$C$40,Assumptions!$C38,'TRA balance'!$D$5:$D$40,Assumptions!$B38)*DH38*Q38,"")</f>
        <v/>
      </c>
      <c r="BN38" s="34" t="str">
        <f ca="1">IFERROR(SUMIFS('TRA balance'!O$5:O$40,'TRA balance'!$C$5:$C$40,Assumptions!$C38,'TRA balance'!$D$5:$D$40,Assumptions!$B38)*DI38*R38,"")</f>
        <v/>
      </c>
      <c r="BO38" s="34" t="str">
        <f ca="1">IFERROR(SUMIFS('TRA balance'!P$5:P$40,'TRA balance'!$C$5:$C$40,Assumptions!$C38,'TRA balance'!$D$5:$D$40,Assumptions!$B38)*DJ38*S38,"")</f>
        <v/>
      </c>
      <c r="BP38" s="34" t="str">
        <f ca="1">IFERROR(SUMIFS('TRA balance'!Q$5:Q$40,'TRA balance'!$C$5:$C$40,Assumptions!$C38,'TRA balance'!$D$5:$D$40,Assumptions!$B38)*DK38*T38,"")</f>
        <v/>
      </c>
      <c r="BQ38" s="34" t="str">
        <f ca="1">IFERROR(SUMIFS('TRA balance'!R$5:R$40,'TRA balance'!$C$5:$C$40,Assumptions!$C38,'TRA balance'!$D$5:$D$40,Assumptions!$B38)*DL38*U38,"")</f>
        <v/>
      </c>
      <c r="BR38" s="34" t="str">
        <f ca="1">IFERROR(SUMIFS('TRA balance'!S$5:S$40,'TRA balance'!$C$5:$C$40,Assumptions!$C38,'TRA balance'!$D$5:$D$40,Assumptions!$B38)*DM38*V38,"")</f>
        <v/>
      </c>
      <c r="BS38" s="34" t="str">
        <f ca="1">IFERROR(SUMIFS('TRA balance'!T$5:T$40,'TRA balance'!$C$5:$C$40,Assumptions!$C38,'TRA balance'!$D$5:$D$40,Assumptions!$B38)*DN38*W38,"")</f>
        <v/>
      </c>
      <c r="BT38" s="34" t="str">
        <f ca="1">IFERROR(SUMIFS('TRA balance'!U$5:U$40,'TRA balance'!$C$5:$C$40,Assumptions!$C38,'TRA balance'!$D$5:$D$40,Assumptions!$B38)*DO38*X38,"")</f>
        <v/>
      </c>
      <c r="BU38" s="34" t="str">
        <f ca="1">IFERROR(SUMIFS('TRA balance'!V$5:V$40,'TRA balance'!$C$5:$C$40,Assumptions!$C38,'TRA balance'!$D$5:$D$40,Assumptions!$B38)*DP38*Y38,"")</f>
        <v/>
      </c>
      <c r="BV38" s="34" t="str">
        <f ca="1">IFERROR(SUMIFS('TRA balance'!W$5:W$40,'TRA balance'!$C$5:$C$40,Assumptions!$C38,'TRA balance'!$D$5:$D$40,Assumptions!$B38)*DQ38*Z38,"")</f>
        <v/>
      </c>
      <c r="BW38" s="34" t="str">
        <f ca="1">IFERROR(SUMIFS('TRA balance'!X$5:X$40,'TRA balance'!$C$5:$C$40,Assumptions!$C38,'TRA balance'!$D$5:$D$40,Assumptions!$B38)*DR38*AA38,"")</f>
        <v/>
      </c>
      <c r="BX38" s="34" t="str">
        <f ca="1">IFERROR(SUMIFS('TRA balance'!Y$5:Y$40,'TRA balance'!$C$5:$C$40,Assumptions!$C38,'TRA balance'!$D$5:$D$40,Assumptions!$B38)*DS38*AB38,"")</f>
        <v/>
      </c>
      <c r="BY38" s="34" t="str">
        <f ca="1">IFERROR(SUMIFS('TRA balance'!Z$5:Z$40,'TRA balance'!$C$5:$C$40,Assumptions!$C38,'TRA balance'!$D$5:$D$40,Assumptions!$B38)*DT38*AC38,"")</f>
        <v/>
      </c>
      <c r="BZ38" s="34" t="str">
        <f ca="1">IFERROR(SUMIFS('TRA balance'!AA$5:AA$40,'TRA balance'!$C$5:$C$40,Assumptions!$C38,'TRA balance'!$D$5:$D$40,Assumptions!$B38)*DU38*AD38,"")</f>
        <v/>
      </c>
      <c r="CA38" s="34" t="str">
        <f ca="1">IFERROR(SUMIFS('TRA balance'!AB$5:AB$40,'TRA balance'!$C$5:$C$40,Assumptions!$C38,'TRA balance'!$D$5:$D$40,Assumptions!$B38)*DV38*AE38,"")</f>
        <v/>
      </c>
      <c r="CB38" s="34" t="str">
        <f ca="1">IFERROR(SUMIFS('TRA balance'!AC$5:AC$40,'TRA balance'!$C$5:$C$40,Assumptions!$C38,'TRA balance'!$D$5:$D$40,Assumptions!$B38)*DW38*AF38,"")</f>
        <v/>
      </c>
      <c r="CC38" s="34" t="str">
        <f ca="1">IFERROR(SUMIFS('TRA balance'!AD$5:AD$40,'TRA balance'!$C$5:$C$40,Assumptions!$C38,'TRA balance'!$D$5:$D$40,Assumptions!$B38)*DX38*AG38,"")</f>
        <v/>
      </c>
      <c r="CD38" s="34" t="str">
        <f ca="1">IFERROR(SUMIFS('TRA balance'!AE$5:AE$40,'TRA balance'!$C$5:$C$40,Assumptions!$C38,'TRA balance'!$D$5:$D$40,Assumptions!$B38)*DY38*AH38,"")</f>
        <v/>
      </c>
      <c r="CE38" s="34" t="str">
        <f ca="1">IFERROR(SUMIFS('TRA balance'!AF$5:AF$40,'TRA balance'!$C$5:$C$40,Assumptions!$C38,'TRA balance'!$D$5:$D$40,Assumptions!$B38)*DZ38*AI38,"")</f>
        <v/>
      </c>
      <c r="CF38" s="34" t="str">
        <f ca="1">IFERROR(SUMIFS('TRA balance'!AG$5:AG$40,'TRA balance'!$C$5:$C$40,Assumptions!$C38,'TRA balance'!$D$5:$D$40,Assumptions!$B38)*EA38*AJ38,"")</f>
        <v/>
      </c>
      <c r="CG38" s="34" t="str">
        <f ca="1">IFERROR(SUMIFS('TRA balance'!AH$5:AH$40,'TRA balance'!$C$5:$C$40,Assumptions!$C38,'TRA balance'!$D$5:$D$40,Assumptions!$B38)*EB38*AK38,"")</f>
        <v/>
      </c>
      <c r="CH38" s="34" t="str">
        <f ca="1">IFERROR(SUMIFS('TRA balance'!AI$5:AI$40,'TRA balance'!$C$5:$C$40,Assumptions!$C38,'TRA balance'!$D$5:$D$40,Assumptions!$B38)*EC38*AL38,"")</f>
        <v/>
      </c>
      <c r="CI38" s="34" t="str">
        <f ca="1">IFERROR(SUMIFS('TRA balance'!AJ$5:AJ$40,'TRA balance'!$C$5:$C$40,Assumptions!$C38,'TRA balance'!$D$5:$D$40,Assumptions!$B38)*ED38*AM38,"")</f>
        <v/>
      </c>
      <c r="CJ38" s="34" t="str">
        <f ca="1">IFERROR(SUMIFS('TRA balance'!AK$5:AK$40,'TRA balance'!$C$5:$C$40,Assumptions!$C38,'TRA balance'!$D$5:$D$40,Assumptions!$B38)*EE38*AN38,"")</f>
        <v/>
      </c>
      <c r="CK38" s="34" t="str">
        <f ca="1">IFERROR(SUMIFS('TRA balance'!AL$5:AL$40,'TRA balance'!$C$5:$C$40,Assumptions!$C38,'TRA balance'!$D$5:$D$40,Assumptions!$B38)*EF38*AO38,"")</f>
        <v/>
      </c>
      <c r="CL38" s="34" t="str">
        <f ca="1">IFERROR(SUMIFS('TRA balance'!AM$5:AM$40,'TRA balance'!$C$5:$C$40,Assumptions!$C38,'TRA balance'!$D$5:$D$40,Assumptions!$B38)*EG38*AP38,"")</f>
        <v/>
      </c>
      <c r="CM38" s="34" t="str">
        <f ca="1">IFERROR(SUMIFS('TRA balance'!AN$5:AN$40,'TRA balance'!$C$5:$C$40,Assumptions!$C38,'TRA balance'!$D$5:$D$40,Assumptions!$B38)*EH38*AQ38,"")</f>
        <v/>
      </c>
      <c r="CN38" s="34" t="str">
        <f ca="1">IFERROR(SUMIFS('TRA balance'!AO$5:AO$40,'TRA balance'!$C$5:$C$40,Assumptions!$C38,'TRA balance'!$D$5:$D$40,Assumptions!$B38)*EI38*AR38,"")</f>
        <v/>
      </c>
      <c r="CO38" s="34" t="str">
        <f ca="1">IFERROR(SUMIFS('TRA balance'!AP$5:AP$40,'TRA balance'!$C$5:$C$40,Assumptions!$C38,'TRA balance'!$D$5:$D$40,Assumptions!$B38)*EJ38*AS38,"")</f>
        <v/>
      </c>
      <c r="CP38" s="34" t="str">
        <f ca="1">IFERROR(SUMIFS('TRA balance'!AQ$5:AQ$40,'TRA balance'!$C$5:$C$40,Assumptions!$C38,'TRA balance'!$D$5:$D$40,Assumptions!$B38)*EK38*AT38,"")</f>
        <v/>
      </c>
      <c r="CQ38" s="34" t="str">
        <f ca="1">IFERROR(SUMIFS('TRA balance'!AR$5:AR$40,'TRA balance'!$C$5:$C$40,Assumptions!$C38,'TRA balance'!$D$5:$D$40,Assumptions!$B38)*EL38*AU38,"")</f>
        <v/>
      </c>
      <c r="CR38" s="34" t="str">
        <f ca="1">IFERROR(SUMIFS('TRA balance'!AS$5:AS$40,'TRA balance'!$C$5:$C$40,Assumptions!$C38,'TRA balance'!$D$5:$D$40,Assumptions!$B38)*EM38*AV38,"")</f>
        <v/>
      </c>
      <c r="CS38" s="34" t="str">
        <f ca="1">IFERROR(SUMIFS('TRA balance'!AT$5:AT$40,'TRA balance'!$C$5:$C$40,Assumptions!$C38,'TRA balance'!$D$5:$D$40,Assumptions!$B38)*EN38*AW38,"")</f>
        <v/>
      </c>
      <c r="CT38" s="34" t="str">
        <f ca="1">IFERROR(SUMIFS('TRA balance'!AU$5:AU$40,'TRA balance'!$C$5:$C$40,Assumptions!$C38,'TRA balance'!$D$5:$D$40,Assumptions!$B38)*EO38*AX38,"")</f>
        <v/>
      </c>
      <c r="CU38" s="34" t="str">
        <f ca="1">IFERROR(SUMIFS('TRA balance'!AV$5:AV$40,'TRA balance'!$C$5:$C$40,Assumptions!$C38,'TRA balance'!$D$5:$D$40,Assumptions!$B38)*EP38*AY38,"")</f>
        <v/>
      </c>
      <c r="CV38" s="34" t="str">
        <f ca="1">IFERROR(SUMIFS('TRA balance'!AW$5:AW$40,'TRA balance'!$C$5:$C$40,Assumptions!$C38,'TRA balance'!$D$5:$D$40,Assumptions!$B38)*EQ38*AZ38,"")</f>
        <v/>
      </c>
      <c r="CW38" s="34" t="str">
        <f ca="1">IFERROR(SUMIFS('TRA balance'!AX$5:AX$40,'TRA balance'!$C$5:$C$40,Assumptions!$C38,'TRA balance'!$D$5:$D$40,Assumptions!$B38)*ER38*BA38,"")</f>
        <v/>
      </c>
      <c r="CY38" s="33">
        <f t="shared" si="66"/>
        <v>1</v>
      </c>
      <c r="CZ38" s="33">
        <f t="shared" si="3"/>
        <v>1</v>
      </c>
      <c r="DA38" s="33">
        <f t="shared" si="4"/>
        <v>1</v>
      </c>
      <c r="DB38" s="33">
        <f t="shared" si="5"/>
        <v>1</v>
      </c>
      <c r="DC38" s="33">
        <f t="shared" si="6"/>
        <v>1</v>
      </c>
      <c r="DD38" s="33">
        <f t="shared" si="7"/>
        <v>1</v>
      </c>
      <c r="DE38" s="33">
        <f t="shared" si="8"/>
        <v>1</v>
      </c>
      <c r="DF38" s="33">
        <f t="shared" si="9"/>
        <v>1</v>
      </c>
      <c r="DG38" s="33">
        <f t="shared" si="10"/>
        <v>1</v>
      </c>
      <c r="DH38" s="33">
        <f t="shared" si="11"/>
        <v>1</v>
      </c>
      <c r="DI38" s="33">
        <f t="shared" si="12"/>
        <v>1</v>
      </c>
      <c r="DJ38" s="33">
        <f t="shared" si="13"/>
        <v>1</v>
      </c>
      <c r="DK38" s="33">
        <f t="shared" si="14"/>
        <v>1</v>
      </c>
      <c r="DL38" s="33">
        <f t="shared" si="15"/>
        <v>1</v>
      </c>
      <c r="DM38" s="33">
        <f t="shared" si="16"/>
        <v>1</v>
      </c>
      <c r="DN38" s="33">
        <f t="shared" si="17"/>
        <v>1</v>
      </c>
      <c r="DO38" s="33">
        <f t="shared" si="18"/>
        <v>1</v>
      </c>
      <c r="DP38" s="33">
        <f t="shared" si="19"/>
        <v>1</v>
      </c>
      <c r="DQ38" s="33">
        <f t="shared" si="20"/>
        <v>1</v>
      </c>
      <c r="DR38" s="33">
        <f t="shared" si="21"/>
        <v>1</v>
      </c>
      <c r="DS38" s="33">
        <f t="shared" si="22"/>
        <v>1</v>
      </c>
      <c r="DT38" s="33">
        <f t="shared" si="23"/>
        <v>1</v>
      </c>
      <c r="DU38" s="33">
        <f t="shared" si="24"/>
        <v>1</v>
      </c>
      <c r="DV38" s="33">
        <f t="shared" si="25"/>
        <v>1</v>
      </c>
      <c r="DW38" s="33">
        <f t="shared" si="26"/>
        <v>1</v>
      </c>
      <c r="DX38" s="33">
        <f t="shared" si="27"/>
        <v>1</v>
      </c>
      <c r="DY38" s="33">
        <f t="shared" si="28"/>
        <v>1</v>
      </c>
      <c r="DZ38" s="33">
        <f t="shared" si="29"/>
        <v>1</v>
      </c>
      <c r="EA38" s="33">
        <f t="shared" si="30"/>
        <v>1</v>
      </c>
      <c r="EB38" s="33">
        <f t="shared" si="31"/>
        <v>1</v>
      </c>
      <c r="EC38" s="33">
        <f t="shared" si="32"/>
        <v>1</v>
      </c>
      <c r="ED38" s="33">
        <f t="shared" si="33"/>
        <v>1</v>
      </c>
      <c r="EE38" s="33">
        <f t="shared" si="34"/>
        <v>1</v>
      </c>
      <c r="EF38" s="33">
        <f t="shared" si="35"/>
        <v>1</v>
      </c>
      <c r="EG38" s="33">
        <f t="shared" si="36"/>
        <v>1</v>
      </c>
      <c r="EH38" s="33">
        <f t="shared" si="37"/>
        <v>1</v>
      </c>
      <c r="EI38" s="33">
        <f t="shared" si="38"/>
        <v>1</v>
      </c>
      <c r="EJ38" s="33">
        <f t="shared" si="39"/>
        <v>1</v>
      </c>
      <c r="EK38" s="33">
        <f t="shared" si="40"/>
        <v>1</v>
      </c>
      <c r="EL38" s="33">
        <f t="shared" si="41"/>
        <v>1</v>
      </c>
      <c r="EM38" s="33">
        <f t="shared" si="42"/>
        <v>1</v>
      </c>
      <c r="EN38" s="33">
        <f t="shared" si="43"/>
        <v>1</v>
      </c>
      <c r="EO38" s="33">
        <f t="shared" si="44"/>
        <v>1</v>
      </c>
      <c r="EP38" s="33">
        <f t="shared" si="45"/>
        <v>1</v>
      </c>
      <c r="EQ38" s="33">
        <f t="shared" si="46"/>
        <v>1</v>
      </c>
      <c r="ER38" s="33">
        <f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14">
        <v>1</v>
      </c>
      <c r="D39" s="15" t="s">
        <v>16</v>
      </c>
      <c r="E39" s="15" t="s">
        <v>59</v>
      </c>
      <c r="F39" s="16" t="s">
        <v>82</v>
      </c>
      <c r="G39" s="14"/>
      <c r="H39" s="9">
        <f ca="1">OFFSET(TIAM15_assumptions!$G39,0,MATCH(VLOOKUP(Assumptions!H$2,TIAM15_assumptions!$Y$3:$Z$87,2,FALSE),TIAM15_assumptions!$H$2:$V$2,0))</f>
        <v>0.6</v>
      </c>
      <c r="I39" s="9">
        <f ca="1">OFFSET(TIAM15_assumptions!$G39,0,MATCH(VLOOKUP(Assumptions!I$2,TIAM15_assumptions!$Y$3:$Z$87,2,FALSE),TIAM15_assumptions!$H$2:$V$2,0))</f>
        <v>0.6</v>
      </c>
      <c r="J39" s="9">
        <f ca="1">OFFSET(TIAM15_assumptions!$G39,0,MATCH(VLOOKUP(Assumptions!J$2,TIAM15_assumptions!$Y$3:$Z$87,2,FALSE),TIAM15_assumptions!$H$2:$V$2,0))</f>
        <v>0.25</v>
      </c>
      <c r="K39" s="9">
        <f ca="1">OFFSET(TIAM15_assumptions!$G39,0,MATCH(VLOOKUP(Assumptions!K$2,TIAM15_assumptions!$Y$3:$Z$87,2,FALSE),TIAM15_assumptions!$H$2:$V$2,0))</f>
        <v>0.75</v>
      </c>
      <c r="L39" s="9">
        <f ca="1">OFFSET(TIAM15_assumptions!$G39,0,MATCH(VLOOKUP(Assumptions!L$2,TIAM15_assumptions!$Y$3:$Z$87,2,FALSE),TIAM15_assumptions!$H$2:$V$2,0))</f>
        <v>0.56999999999999995</v>
      </c>
      <c r="M39" s="9">
        <f ca="1">OFFSET(TIAM15_assumptions!$G39,0,MATCH(VLOOKUP(Assumptions!M$2,TIAM15_assumptions!$Y$3:$Z$87,2,FALSE),TIAM15_assumptions!$H$2:$V$2,0))</f>
        <v>0.75</v>
      </c>
      <c r="N39" s="9">
        <f ca="1">OFFSET(TIAM15_assumptions!$G39,0,MATCH(VLOOKUP(Assumptions!N$2,TIAM15_assumptions!$Y$3:$Z$87,2,FALSE),TIAM15_assumptions!$H$2:$V$2,0))</f>
        <v>0.5</v>
      </c>
      <c r="O39" s="9">
        <f ca="1">OFFSET(TIAM15_assumptions!$G39,0,MATCH(VLOOKUP(Assumptions!O$2,TIAM15_assumptions!$Y$3:$Z$87,2,FALSE),TIAM15_assumptions!$H$2:$V$2,0))</f>
        <v>0.4</v>
      </c>
      <c r="P39" s="9">
        <f ca="1">OFFSET(TIAM15_assumptions!$G39,0,MATCH(VLOOKUP(Assumptions!P$2,TIAM15_assumptions!$Y$3:$Z$87,2,FALSE),TIAM15_assumptions!$H$2:$V$2,0))</f>
        <v>0.56999999999999995</v>
      </c>
      <c r="Q39" s="9">
        <f ca="1">OFFSET(TIAM15_assumptions!$G39,0,MATCH(VLOOKUP(Assumptions!Q$2,TIAM15_assumptions!$Y$3:$Z$87,2,FALSE),TIAM15_assumptions!$H$2:$V$2,0))</f>
        <v>0.56999999999999995</v>
      </c>
      <c r="R39" s="9">
        <f ca="1">OFFSET(TIAM15_assumptions!$G39,0,MATCH(VLOOKUP(Assumptions!R$2,TIAM15_assumptions!$Y$3:$Z$87,2,FALSE),TIAM15_assumptions!$H$2:$V$2,0))</f>
        <v>0.75</v>
      </c>
      <c r="S39" s="9">
        <f ca="1">OFFSET(TIAM15_assumptions!$G39,0,MATCH(VLOOKUP(Assumptions!S$2,TIAM15_assumptions!$Y$3:$Z$87,2,FALSE),TIAM15_assumptions!$H$2:$V$2,0))</f>
        <v>0.75</v>
      </c>
      <c r="T39" s="9">
        <f ca="1">OFFSET(TIAM15_assumptions!$G39,0,MATCH(VLOOKUP(Assumptions!T$2,TIAM15_assumptions!$Y$3:$Z$87,2,FALSE),TIAM15_assumptions!$H$2:$V$2,0))</f>
        <v>0.75</v>
      </c>
      <c r="U39" s="9">
        <f ca="1">OFFSET(TIAM15_assumptions!$G39,0,MATCH(VLOOKUP(Assumptions!U$2,TIAM15_assumptions!$Y$3:$Z$87,2,FALSE),TIAM15_assumptions!$H$2:$V$2,0))</f>
        <v>0.56999999999999995</v>
      </c>
      <c r="V39" s="9">
        <f ca="1">OFFSET(TIAM15_assumptions!$G39,0,MATCH(VLOOKUP(Assumptions!V$2,TIAM15_assumptions!$Y$3:$Z$87,2,FALSE),TIAM15_assumptions!$H$2:$V$2,0))</f>
        <v>0.75</v>
      </c>
      <c r="W39" s="9">
        <f ca="1">OFFSET(TIAM15_assumptions!$G39,0,MATCH(VLOOKUP(Assumptions!W$2,TIAM15_assumptions!$Y$3:$Z$87,2,FALSE),TIAM15_assumptions!$H$2:$V$2,0))</f>
        <v>0.25</v>
      </c>
      <c r="X39" s="9">
        <f ca="1">OFFSET(TIAM15_assumptions!$G39,0,MATCH(VLOOKUP(Assumptions!X$2,TIAM15_assumptions!$Y$3:$Z$87,2,FALSE),TIAM15_assumptions!$H$2:$V$2,0))</f>
        <v>0.75</v>
      </c>
      <c r="Y39" s="9">
        <f ca="1">OFFSET(TIAM15_assumptions!$G39,0,MATCH(VLOOKUP(Assumptions!Y$2,TIAM15_assumptions!$Y$3:$Z$87,2,FALSE),TIAM15_assumptions!$H$2:$V$2,0))</f>
        <v>0.75</v>
      </c>
      <c r="Z39" s="9">
        <f ca="1">OFFSET(TIAM15_assumptions!$G39,0,MATCH(VLOOKUP(Assumptions!Z$2,TIAM15_assumptions!$Y$3:$Z$87,2,FALSE),TIAM15_assumptions!$H$2:$V$2,0))</f>
        <v>0.56999999999999995</v>
      </c>
      <c r="AA39" s="9">
        <f ca="1">OFFSET(TIAM15_assumptions!$G39,0,MATCH(VLOOKUP(Assumptions!AA$2,TIAM15_assumptions!$Y$3:$Z$87,2,FALSE),TIAM15_assumptions!$H$2:$V$2,0))</f>
        <v>0.5</v>
      </c>
      <c r="AB39" s="9">
        <f ca="1">OFFSET(TIAM15_assumptions!$G39,0,MATCH(VLOOKUP(Assumptions!AB$2,TIAM15_assumptions!$Y$3:$Z$87,2,FALSE),TIAM15_assumptions!$H$2:$V$2,0))</f>
        <v>0.6</v>
      </c>
      <c r="AC39" s="9">
        <f ca="1">OFFSET(TIAM15_assumptions!$G39,0,MATCH(VLOOKUP(Assumptions!AC$2,TIAM15_assumptions!$Y$3:$Z$87,2,FALSE),TIAM15_assumptions!$H$2:$V$2,0))</f>
        <v>0.71921471715562335</v>
      </c>
      <c r="AD39" s="9">
        <f ca="1">OFFSET(TIAM15_assumptions!$G39,0,MATCH(VLOOKUP(Assumptions!AD$2,TIAM15_assumptions!$Y$3:$Z$87,2,FALSE),TIAM15_assumptions!$H$2:$V$2,0))</f>
        <v>0.75</v>
      </c>
      <c r="AE39" s="9">
        <f ca="1">OFFSET(TIAM15_assumptions!$G39,0,MATCH(VLOOKUP(Assumptions!AE$2,TIAM15_assumptions!$Y$3:$Z$87,2,FALSE),TIAM15_assumptions!$H$2:$V$2,0))</f>
        <v>0.56999999999999995</v>
      </c>
      <c r="AF39" s="9">
        <f ca="1">OFFSET(TIAM15_assumptions!$G39,0,MATCH(VLOOKUP(Assumptions!AF$2,TIAM15_assumptions!$Y$3:$Z$87,2,FALSE),TIAM15_assumptions!$H$2:$V$2,0))</f>
        <v>0.7</v>
      </c>
      <c r="AG39" s="9">
        <f ca="1">OFFSET(TIAM15_assumptions!$G39,0,MATCH(VLOOKUP(Assumptions!AG$2,TIAM15_assumptions!$Y$3:$Z$87,2,FALSE),TIAM15_assumptions!$H$2:$V$2,0))</f>
        <v>0.56999999999999995</v>
      </c>
      <c r="AH39" s="9">
        <f ca="1">OFFSET(TIAM15_assumptions!$G39,0,MATCH(VLOOKUP(Assumptions!AH$2,TIAM15_assumptions!$Y$3:$Z$87,2,FALSE),TIAM15_assumptions!$H$2:$V$2,0))</f>
        <v>0.6</v>
      </c>
      <c r="AI39" s="9">
        <f ca="1">OFFSET(TIAM15_assumptions!$G39,0,MATCH(VLOOKUP(Assumptions!AI$2,TIAM15_assumptions!$Y$3:$Z$87,2,FALSE),TIAM15_assumptions!$H$2:$V$2,0))</f>
        <v>0.6</v>
      </c>
      <c r="AJ39" s="9">
        <f ca="1">OFFSET(TIAM15_assumptions!$G39,0,MATCH(VLOOKUP(Assumptions!AJ$2,TIAM15_assumptions!$Y$3:$Z$87,2,FALSE),TIAM15_assumptions!$H$2:$V$2,0))</f>
        <v>0.75</v>
      </c>
      <c r="AK39" s="9">
        <f ca="1">OFFSET(TIAM15_assumptions!$G39,0,MATCH(VLOOKUP(Assumptions!AK$2,TIAM15_assumptions!$Y$3:$Z$87,2,FALSE),TIAM15_assumptions!$H$2:$V$2,0))</f>
        <v>0.75</v>
      </c>
      <c r="AL39" s="9">
        <f ca="1">OFFSET(TIAM15_assumptions!$G39,0,MATCH(VLOOKUP(Assumptions!AL$2,TIAM15_assumptions!$Y$3:$Z$87,2,FALSE),TIAM15_assumptions!$H$2:$V$2,0))</f>
        <v>0.75</v>
      </c>
      <c r="AM39" s="9">
        <f ca="1">OFFSET(TIAM15_assumptions!$G39,0,MATCH(VLOOKUP(Assumptions!AM$2,TIAM15_assumptions!$Y$3:$Z$87,2,FALSE),TIAM15_assumptions!$H$2:$V$2,0))</f>
        <v>0.6</v>
      </c>
      <c r="AN39" s="9">
        <f ca="1">OFFSET(TIAM15_assumptions!$G39,0,MATCH(VLOOKUP(Assumptions!AN$2,TIAM15_assumptions!$Y$3:$Z$87,2,FALSE),TIAM15_assumptions!$H$2:$V$2,0))</f>
        <v>0.75</v>
      </c>
      <c r="AO39" s="9">
        <f ca="1">OFFSET(TIAM15_assumptions!$G39,0,MATCH(VLOOKUP(Assumptions!AO$2,TIAM15_assumptions!$Y$3:$Z$87,2,FALSE),TIAM15_assumptions!$H$2:$V$2,0))</f>
        <v>0.56999999999999995</v>
      </c>
      <c r="AP39" s="9">
        <f ca="1">OFFSET(TIAM15_assumptions!$G39,0,MATCH(VLOOKUP(Assumptions!AP$2,TIAM15_assumptions!$Y$3:$Z$87,2,FALSE),TIAM15_assumptions!$H$2:$V$2,0))</f>
        <v>0.56999999999999995</v>
      </c>
      <c r="AQ39" s="9">
        <f ca="1">OFFSET(TIAM15_assumptions!$G39,0,MATCH(VLOOKUP(Assumptions!AQ$2,TIAM15_assumptions!$Y$3:$Z$87,2,FALSE),TIAM15_assumptions!$H$2:$V$2,0))</f>
        <v>0.71921471715562335</v>
      </c>
      <c r="AR39" s="9">
        <f ca="1">OFFSET(TIAM15_assumptions!$G39,0,MATCH(VLOOKUP(Assumptions!AR$2,TIAM15_assumptions!$Y$3:$Z$87,2,FALSE),TIAM15_assumptions!$H$2:$V$2,0))</f>
        <v>0.71921471715562335</v>
      </c>
      <c r="AS39" s="9">
        <f ca="1">OFFSET(TIAM15_assumptions!$G39,0,MATCH(VLOOKUP(Assumptions!AS$2,TIAM15_assumptions!$Y$3:$Z$87,2,FALSE),TIAM15_assumptions!$H$2:$V$2,0))</f>
        <v>0.71921471715562335</v>
      </c>
      <c r="AT39" s="9">
        <f ca="1">OFFSET(TIAM15_assumptions!$G39,0,MATCH(VLOOKUP(Assumptions!AT$2,TIAM15_assumptions!$Y$3:$Z$87,2,FALSE),TIAM15_assumptions!$H$2:$V$2,0))</f>
        <v>0.71921471715562335</v>
      </c>
      <c r="AU39" s="9">
        <f ca="1">OFFSET(TIAM15_assumptions!$G39,0,MATCH(VLOOKUP(Assumptions!AU$2,TIAM15_assumptions!$Y$3:$Z$87,2,FALSE),TIAM15_assumptions!$H$2:$V$2,0))</f>
        <v>0.71921471715562335</v>
      </c>
      <c r="AV39" s="9">
        <f ca="1">OFFSET(TIAM15_assumptions!$G39,0,MATCH(VLOOKUP(Assumptions!AV$2,TIAM15_assumptions!$Y$3:$Z$87,2,FALSE),TIAM15_assumptions!$H$2:$V$2,0))</f>
        <v>0.71921471715562335</v>
      </c>
      <c r="AW39" s="9">
        <f ca="1">OFFSET(TIAM15_assumptions!$G39,0,MATCH(VLOOKUP(Assumptions!AW$2,TIAM15_assumptions!$Y$3:$Z$87,2,FALSE),TIAM15_assumptions!$H$2:$V$2,0))</f>
        <v>0.71921471715562335</v>
      </c>
      <c r="AX39" s="9">
        <f ca="1">OFFSET(TIAM15_assumptions!$G39,0,MATCH(VLOOKUP(Assumptions!AX$2,TIAM15_assumptions!$Y$3:$Z$87,2,FALSE),TIAM15_assumptions!$H$2:$V$2,0))</f>
        <v>0.71921471715562335</v>
      </c>
      <c r="AY39" s="9">
        <f ca="1">OFFSET(TIAM15_assumptions!$G39,0,MATCH(VLOOKUP(Assumptions!AY$2,TIAM15_assumptions!$Y$3:$Z$87,2,FALSE),TIAM15_assumptions!$H$2:$V$2,0))</f>
        <v>0.71921471715562335</v>
      </c>
      <c r="AZ39" s="9">
        <f ca="1">OFFSET(TIAM15_assumptions!$G39,0,MATCH(VLOOKUP(Assumptions!AZ$2,TIAM15_assumptions!$Y$3:$Z$87,2,FALSE),TIAM15_assumptions!$H$2:$V$2,0))</f>
        <v>0.71921471715562335</v>
      </c>
      <c r="BA39" s="9">
        <f ca="1">OFFSET(TIAM15_assumptions!$G39,0,MATCH(VLOOKUP(Assumptions!BA$2,TIAM15_assumptions!$Y$3:$Z$87,2,FALSE),TIAM15_assumptions!$H$2:$V$2,0))</f>
        <v>0.71921471715562335</v>
      </c>
      <c r="BD39" s="34">
        <f ca="1">IFERROR(SUMIFS('TRA balance'!E$5:E$40,'TRA balance'!$C$5:$C$40,Assumptions!$C39,'TRA balance'!$D$5:$D$40,Assumptions!$B39)*CY39*H39,"")</f>
        <v>0</v>
      </c>
      <c r="BE39" s="34">
        <f ca="1">IFERROR(SUMIFS('TRA balance'!F$5:F$40,'TRA balance'!$C$5:$C$40,Assumptions!$C39,'TRA balance'!$D$5:$D$40,Assumptions!$B39)*CZ39*I39,"")</f>
        <v>0</v>
      </c>
      <c r="BF39" s="34">
        <f ca="1">IFERROR(SUMIFS('TRA balance'!G$5:G$40,'TRA balance'!$C$5:$C$40,Assumptions!$C39,'TRA balance'!$D$5:$D$40,Assumptions!$B39)*DA39*J39,"")</f>
        <v>0</v>
      </c>
      <c r="BG39" s="34">
        <f ca="1">IFERROR(SUMIFS('TRA balance'!H$5:H$40,'TRA balance'!$C$5:$C$40,Assumptions!$C39,'TRA balance'!$D$5:$D$40,Assumptions!$B39)*DB39*K39,"")</f>
        <v>0</v>
      </c>
      <c r="BH39" s="34">
        <f ca="1">IFERROR(SUMIFS('TRA balance'!I$5:I$40,'TRA balance'!$C$5:$C$40,Assumptions!$C39,'TRA balance'!$D$5:$D$40,Assumptions!$B39)*DC39*L39,"")</f>
        <v>0</v>
      </c>
      <c r="BI39" s="34">
        <f ca="1">IFERROR(SUMIFS('TRA balance'!J$5:J$40,'TRA balance'!$C$5:$C$40,Assumptions!$C39,'TRA balance'!$D$5:$D$40,Assumptions!$B39)*DD39*M39,"")</f>
        <v>0</v>
      </c>
      <c r="BJ39" s="34">
        <f ca="1">IFERROR(SUMIFS('TRA balance'!K$5:K$40,'TRA balance'!$C$5:$C$40,Assumptions!$C39,'TRA balance'!$D$5:$D$40,Assumptions!$B39)*DE39*N39,"")</f>
        <v>0</v>
      </c>
      <c r="BK39" s="34">
        <f ca="1">IFERROR(SUMIFS('TRA balance'!L$5:L$40,'TRA balance'!$C$5:$C$40,Assumptions!$C39,'TRA balance'!$D$5:$D$40,Assumptions!$B39)*DF39*O39,"")</f>
        <v>0</v>
      </c>
      <c r="BL39" s="34">
        <f ca="1">IFERROR(SUMIFS('TRA balance'!M$5:M$40,'TRA balance'!$C$5:$C$40,Assumptions!$C39,'TRA balance'!$D$5:$D$40,Assumptions!$B39)*DG39*P39,"")</f>
        <v>0</v>
      </c>
      <c r="BM39" s="34">
        <f ca="1">IFERROR(SUMIFS('TRA balance'!N$5:N$40,'TRA balance'!$C$5:$C$40,Assumptions!$C39,'TRA balance'!$D$5:$D$40,Assumptions!$B39)*DH39*Q39,"")</f>
        <v>0</v>
      </c>
      <c r="BN39" s="34">
        <f ca="1">IFERROR(SUMIFS('TRA balance'!O$5:O$40,'TRA balance'!$C$5:$C$40,Assumptions!$C39,'TRA balance'!$D$5:$D$40,Assumptions!$B39)*DI39*R39,"")</f>
        <v>0</v>
      </c>
      <c r="BO39" s="34">
        <f ca="1">IFERROR(SUMIFS('TRA balance'!P$5:P$40,'TRA balance'!$C$5:$C$40,Assumptions!$C39,'TRA balance'!$D$5:$D$40,Assumptions!$B39)*DJ39*S39,"")</f>
        <v>0</v>
      </c>
      <c r="BP39" s="34">
        <f ca="1">IFERROR(SUMIFS('TRA balance'!Q$5:Q$40,'TRA balance'!$C$5:$C$40,Assumptions!$C39,'TRA balance'!$D$5:$D$40,Assumptions!$B39)*DK39*T39,"")</f>
        <v>0</v>
      </c>
      <c r="BQ39" s="34">
        <f ca="1">IFERROR(SUMIFS('TRA balance'!R$5:R$40,'TRA balance'!$C$5:$C$40,Assumptions!$C39,'TRA balance'!$D$5:$D$40,Assumptions!$B39)*DL39*U39,"")</f>
        <v>0</v>
      </c>
      <c r="BR39" s="34">
        <f ca="1">IFERROR(SUMIFS('TRA balance'!S$5:S$40,'TRA balance'!$C$5:$C$40,Assumptions!$C39,'TRA balance'!$D$5:$D$40,Assumptions!$B39)*DM39*V39,"")</f>
        <v>0</v>
      </c>
      <c r="BS39" s="34">
        <f ca="1">IFERROR(SUMIFS('TRA balance'!T$5:T$40,'TRA balance'!$C$5:$C$40,Assumptions!$C39,'TRA balance'!$D$5:$D$40,Assumptions!$B39)*DN39*W39,"")</f>
        <v>0</v>
      </c>
      <c r="BT39" s="34">
        <f ca="1">IFERROR(SUMIFS('TRA balance'!U$5:U$40,'TRA balance'!$C$5:$C$40,Assumptions!$C39,'TRA balance'!$D$5:$D$40,Assumptions!$B39)*DO39*X39,"")</f>
        <v>0</v>
      </c>
      <c r="BU39" s="34">
        <f ca="1">IFERROR(SUMIFS('TRA balance'!V$5:V$40,'TRA balance'!$C$5:$C$40,Assumptions!$C39,'TRA balance'!$D$5:$D$40,Assumptions!$B39)*DP39*Y39,"")</f>
        <v>0</v>
      </c>
      <c r="BV39" s="34">
        <f ca="1">IFERROR(SUMIFS('TRA balance'!W$5:W$40,'TRA balance'!$C$5:$C$40,Assumptions!$C39,'TRA balance'!$D$5:$D$40,Assumptions!$B39)*DQ39*Z39,"")</f>
        <v>0</v>
      </c>
      <c r="BW39" s="34">
        <f ca="1">IFERROR(SUMIFS('TRA balance'!X$5:X$40,'TRA balance'!$C$5:$C$40,Assumptions!$C39,'TRA balance'!$D$5:$D$40,Assumptions!$B39)*DR39*AA39,"")</f>
        <v>0</v>
      </c>
      <c r="BX39" s="34">
        <f ca="1">IFERROR(SUMIFS('TRA balance'!Y$5:Y$40,'TRA balance'!$C$5:$C$40,Assumptions!$C39,'TRA balance'!$D$5:$D$40,Assumptions!$B39)*DS39*AB39,"")</f>
        <v>0</v>
      </c>
      <c r="BY39" s="34">
        <f ca="1">IFERROR(SUMIFS('TRA balance'!Z$5:Z$40,'TRA balance'!$C$5:$C$40,Assumptions!$C39,'TRA balance'!$D$5:$D$40,Assumptions!$B39)*DT39*AC39,"")</f>
        <v>0</v>
      </c>
      <c r="BZ39" s="34">
        <f ca="1">IFERROR(SUMIFS('TRA balance'!AA$5:AA$40,'TRA balance'!$C$5:$C$40,Assumptions!$C39,'TRA balance'!$D$5:$D$40,Assumptions!$B39)*DU39*AD39,"")</f>
        <v>0</v>
      </c>
      <c r="CA39" s="34">
        <f ca="1">IFERROR(SUMIFS('TRA balance'!AB$5:AB$40,'TRA balance'!$C$5:$C$40,Assumptions!$C39,'TRA balance'!$D$5:$D$40,Assumptions!$B39)*DV39*AE39,"")</f>
        <v>0</v>
      </c>
      <c r="CB39" s="34">
        <f ca="1">IFERROR(SUMIFS('TRA balance'!AC$5:AC$40,'TRA balance'!$C$5:$C$40,Assumptions!$C39,'TRA balance'!$D$5:$D$40,Assumptions!$B39)*DW39*AF39,"")</f>
        <v>0</v>
      </c>
      <c r="CC39" s="34">
        <f ca="1">IFERROR(SUMIFS('TRA balance'!AD$5:AD$40,'TRA balance'!$C$5:$C$40,Assumptions!$C39,'TRA balance'!$D$5:$D$40,Assumptions!$B39)*DX39*AG39,"")</f>
        <v>0</v>
      </c>
      <c r="CD39" s="34">
        <f ca="1">IFERROR(SUMIFS('TRA balance'!AE$5:AE$40,'TRA balance'!$C$5:$C$40,Assumptions!$C39,'TRA balance'!$D$5:$D$40,Assumptions!$B39)*DY39*AH39,"")</f>
        <v>0</v>
      </c>
      <c r="CE39" s="34">
        <f ca="1">IFERROR(SUMIFS('TRA balance'!AF$5:AF$40,'TRA balance'!$C$5:$C$40,Assumptions!$C39,'TRA balance'!$D$5:$D$40,Assumptions!$B39)*DZ39*AI39,"")</f>
        <v>0</v>
      </c>
      <c r="CF39" s="34">
        <f ca="1">IFERROR(SUMIFS('TRA balance'!AG$5:AG$40,'TRA balance'!$C$5:$C$40,Assumptions!$C39,'TRA balance'!$D$5:$D$40,Assumptions!$B39)*EA39*AJ39,"")</f>
        <v>0</v>
      </c>
      <c r="CG39" s="34">
        <f ca="1">IFERROR(SUMIFS('TRA balance'!AH$5:AH$40,'TRA balance'!$C$5:$C$40,Assumptions!$C39,'TRA balance'!$D$5:$D$40,Assumptions!$B39)*EB39*AK39,"")</f>
        <v>0</v>
      </c>
      <c r="CH39" s="34">
        <f ca="1">IFERROR(SUMIFS('TRA balance'!AI$5:AI$40,'TRA balance'!$C$5:$C$40,Assumptions!$C39,'TRA balance'!$D$5:$D$40,Assumptions!$B39)*EC39*AL39,"")</f>
        <v>0</v>
      </c>
      <c r="CI39" s="34">
        <f ca="1">IFERROR(SUMIFS('TRA balance'!AJ$5:AJ$40,'TRA balance'!$C$5:$C$40,Assumptions!$C39,'TRA balance'!$D$5:$D$40,Assumptions!$B39)*ED39*AM39,"")</f>
        <v>0</v>
      </c>
      <c r="CJ39" s="34">
        <f ca="1">IFERROR(SUMIFS('TRA balance'!AK$5:AK$40,'TRA balance'!$C$5:$C$40,Assumptions!$C39,'TRA balance'!$D$5:$D$40,Assumptions!$B39)*EE39*AN39,"")</f>
        <v>0</v>
      </c>
      <c r="CK39" s="34">
        <f ca="1">IFERROR(SUMIFS('TRA balance'!AL$5:AL$40,'TRA balance'!$C$5:$C$40,Assumptions!$C39,'TRA balance'!$D$5:$D$40,Assumptions!$B39)*EF39*AO39,"")</f>
        <v>0</v>
      </c>
      <c r="CL39" s="34">
        <f ca="1">IFERROR(SUMIFS('TRA balance'!AM$5:AM$40,'TRA balance'!$C$5:$C$40,Assumptions!$C39,'TRA balance'!$D$5:$D$40,Assumptions!$B39)*EG39*AP39,"")</f>
        <v>0</v>
      </c>
      <c r="CM39" s="34">
        <f ca="1">IFERROR(SUMIFS('TRA balance'!AN$5:AN$40,'TRA balance'!$C$5:$C$40,Assumptions!$C39,'TRA balance'!$D$5:$D$40,Assumptions!$B39)*EH39*AQ39,"")</f>
        <v>0</v>
      </c>
      <c r="CN39" s="34">
        <f ca="1">IFERROR(SUMIFS('TRA balance'!AO$5:AO$40,'TRA balance'!$C$5:$C$40,Assumptions!$C39,'TRA balance'!$D$5:$D$40,Assumptions!$B39)*EI39*AR39,"")</f>
        <v>0</v>
      </c>
      <c r="CO39" s="34">
        <f ca="1">IFERROR(SUMIFS('TRA balance'!AP$5:AP$40,'TRA balance'!$C$5:$C$40,Assumptions!$C39,'TRA balance'!$D$5:$D$40,Assumptions!$B39)*EJ39*AS39,"")</f>
        <v>0</v>
      </c>
      <c r="CP39" s="34">
        <f ca="1">IFERROR(SUMIFS('TRA balance'!AQ$5:AQ$40,'TRA balance'!$C$5:$C$40,Assumptions!$C39,'TRA balance'!$D$5:$D$40,Assumptions!$B39)*EK39*AT39,"")</f>
        <v>0</v>
      </c>
      <c r="CQ39" s="34">
        <f ca="1">IFERROR(SUMIFS('TRA balance'!AR$5:AR$40,'TRA balance'!$C$5:$C$40,Assumptions!$C39,'TRA balance'!$D$5:$D$40,Assumptions!$B39)*EL39*AU39,"")</f>
        <v>0</v>
      </c>
      <c r="CR39" s="34">
        <f ca="1">IFERROR(SUMIFS('TRA balance'!AS$5:AS$40,'TRA balance'!$C$5:$C$40,Assumptions!$C39,'TRA balance'!$D$5:$D$40,Assumptions!$B39)*EM39*AV39,"")</f>
        <v>0</v>
      </c>
      <c r="CS39" s="34">
        <f ca="1">IFERROR(SUMIFS('TRA balance'!AT$5:AT$40,'TRA balance'!$C$5:$C$40,Assumptions!$C39,'TRA balance'!$D$5:$D$40,Assumptions!$B39)*EN39*AW39,"")</f>
        <v>0</v>
      </c>
      <c r="CT39" s="34">
        <f ca="1">IFERROR(SUMIFS('TRA balance'!AU$5:AU$40,'TRA balance'!$C$5:$C$40,Assumptions!$C39,'TRA balance'!$D$5:$D$40,Assumptions!$B39)*EO39*AX39,"")</f>
        <v>0</v>
      </c>
      <c r="CU39" s="34">
        <f ca="1">IFERROR(SUMIFS('TRA balance'!AV$5:AV$40,'TRA balance'!$C$5:$C$40,Assumptions!$C39,'TRA balance'!$D$5:$D$40,Assumptions!$B39)*EP39*AY39,"")</f>
        <v>0</v>
      </c>
      <c r="CV39" s="34">
        <f ca="1">IFERROR(SUMIFS('TRA balance'!AW$5:AW$40,'TRA balance'!$C$5:$C$40,Assumptions!$C39,'TRA balance'!$D$5:$D$40,Assumptions!$B39)*EQ39*AZ39,"")</f>
        <v>0</v>
      </c>
      <c r="CW39" s="34">
        <f ca="1">IFERROR(SUMIFS('TRA balance'!AX$5:AX$40,'TRA balance'!$C$5:$C$40,Assumptions!$C39,'TRA balance'!$D$5:$D$40,Assumptions!$B39)*ER39*BA39,"")</f>
        <v>0</v>
      </c>
      <c r="CY39" s="33">
        <f t="shared" si="66"/>
        <v>1</v>
      </c>
      <c r="CZ39" s="33">
        <f t="shared" si="3"/>
        <v>1</v>
      </c>
      <c r="DA39" s="33">
        <f t="shared" si="4"/>
        <v>1</v>
      </c>
      <c r="DB39" s="33">
        <f t="shared" si="5"/>
        <v>1</v>
      </c>
      <c r="DC39" s="33">
        <f t="shared" si="6"/>
        <v>1</v>
      </c>
      <c r="DD39" s="33">
        <f t="shared" si="7"/>
        <v>1</v>
      </c>
      <c r="DE39" s="33">
        <f t="shared" si="8"/>
        <v>1</v>
      </c>
      <c r="DF39" s="33">
        <f t="shared" si="9"/>
        <v>1</v>
      </c>
      <c r="DG39" s="33">
        <f t="shared" si="10"/>
        <v>1</v>
      </c>
      <c r="DH39" s="33">
        <f t="shared" si="11"/>
        <v>1</v>
      </c>
      <c r="DI39" s="33">
        <f t="shared" si="12"/>
        <v>1</v>
      </c>
      <c r="DJ39" s="33">
        <f t="shared" si="13"/>
        <v>1</v>
      </c>
      <c r="DK39" s="33">
        <f t="shared" si="14"/>
        <v>1</v>
      </c>
      <c r="DL39" s="33">
        <f t="shared" si="15"/>
        <v>1</v>
      </c>
      <c r="DM39" s="33">
        <f t="shared" si="16"/>
        <v>1</v>
      </c>
      <c r="DN39" s="33">
        <f t="shared" si="17"/>
        <v>1</v>
      </c>
      <c r="DO39" s="33">
        <f t="shared" si="18"/>
        <v>1</v>
      </c>
      <c r="DP39" s="33">
        <f t="shared" si="19"/>
        <v>1</v>
      </c>
      <c r="DQ39" s="33">
        <f t="shared" si="20"/>
        <v>1</v>
      </c>
      <c r="DR39" s="33">
        <f t="shared" si="21"/>
        <v>1</v>
      </c>
      <c r="DS39" s="33">
        <f t="shared" si="22"/>
        <v>1</v>
      </c>
      <c r="DT39" s="33">
        <f t="shared" si="23"/>
        <v>1</v>
      </c>
      <c r="DU39" s="33">
        <f t="shared" si="24"/>
        <v>1</v>
      </c>
      <c r="DV39" s="33">
        <f t="shared" si="25"/>
        <v>1</v>
      </c>
      <c r="DW39" s="33">
        <f t="shared" si="26"/>
        <v>1</v>
      </c>
      <c r="DX39" s="33">
        <f t="shared" si="27"/>
        <v>1</v>
      </c>
      <c r="DY39" s="33">
        <f t="shared" si="28"/>
        <v>1</v>
      </c>
      <c r="DZ39" s="33">
        <f t="shared" si="29"/>
        <v>1</v>
      </c>
      <c r="EA39" s="33">
        <f t="shared" si="30"/>
        <v>1</v>
      </c>
      <c r="EB39" s="33">
        <f t="shared" si="31"/>
        <v>1</v>
      </c>
      <c r="EC39" s="33">
        <f t="shared" si="32"/>
        <v>1</v>
      </c>
      <c r="ED39" s="33">
        <f t="shared" si="33"/>
        <v>1</v>
      </c>
      <c r="EE39" s="33">
        <f t="shared" si="34"/>
        <v>1</v>
      </c>
      <c r="EF39" s="33">
        <f t="shared" si="35"/>
        <v>1</v>
      </c>
      <c r="EG39" s="33">
        <f t="shared" si="36"/>
        <v>1</v>
      </c>
      <c r="EH39" s="33">
        <f t="shared" si="37"/>
        <v>1</v>
      </c>
      <c r="EI39" s="33">
        <f t="shared" si="38"/>
        <v>1</v>
      </c>
      <c r="EJ39" s="33">
        <f t="shared" si="39"/>
        <v>1</v>
      </c>
      <c r="EK39" s="33">
        <f t="shared" si="40"/>
        <v>1</v>
      </c>
      <c r="EL39" s="33">
        <f t="shared" si="41"/>
        <v>1</v>
      </c>
      <c r="EM39" s="33">
        <f t="shared" si="42"/>
        <v>1</v>
      </c>
      <c r="EN39" s="33">
        <f t="shared" si="43"/>
        <v>1</v>
      </c>
      <c r="EO39" s="33">
        <f t="shared" si="44"/>
        <v>1</v>
      </c>
      <c r="EP39" s="33">
        <f t="shared" si="45"/>
        <v>1</v>
      </c>
      <c r="EQ39" s="33">
        <f t="shared" si="46"/>
        <v>1</v>
      </c>
      <c r="ER39" s="33">
        <f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6" t="str">
        <f t="shared" si="48"/>
        <v>TR</v>
      </c>
      <c r="D40" s="7" t="s">
        <v>16</v>
      </c>
      <c r="E40" s="18" t="s">
        <v>61</v>
      </c>
      <c r="F40" s="8" t="str">
        <f>F39</f>
        <v>Liquified Petroleum Gases</v>
      </c>
      <c r="G40" s="6" t="s">
        <v>62</v>
      </c>
      <c r="H40" s="9">
        <f ca="1">OFFSET(TIAM15_assumptions!$G40,0,MATCH(VLOOKUP(Assumptions!H$2,TIAM15_assumptions!$Y$3:$Z$87,2,FALSE),TIAM15_assumptions!$H$2:$V$2,0))</f>
        <v>0.7</v>
      </c>
      <c r="I40" s="9">
        <f ca="1">OFFSET(TIAM15_assumptions!$G40,0,MATCH(VLOOKUP(Assumptions!I$2,TIAM15_assumptions!$Y$3:$Z$87,2,FALSE),TIAM15_assumptions!$H$2:$V$2,0))</f>
        <v>0.7</v>
      </c>
      <c r="J40" s="9">
        <f ca="1">OFFSET(TIAM15_assumptions!$G40,0,MATCH(VLOOKUP(Assumptions!J$2,TIAM15_assumptions!$Y$3:$Z$87,2,FALSE),TIAM15_assumptions!$H$2:$V$2,0))</f>
        <v>0.5</v>
      </c>
      <c r="K40" s="9">
        <f ca="1">OFFSET(TIAM15_assumptions!$G40,0,MATCH(VLOOKUP(Assumptions!K$2,TIAM15_assumptions!$Y$3:$Z$87,2,FALSE),TIAM15_assumptions!$H$2:$V$2,0))</f>
        <v>0.626</v>
      </c>
      <c r="L40" s="9">
        <f ca="1">OFFSET(TIAM15_assumptions!$G40,0,MATCH(VLOOKUP(Assumptions!L$2,TIAM15_assumptions!$Y$3:$Z$87,2,FALSE),TIAM15_assumptions!$H$2:$V$2,0))</f>
        <v>0.67</v>
      </c>
      <c r="M40" s="9">
        <f ca="1">OFFSET(TIAM15_assumptions!$G40,0,MATCH(VLOOKUP(Assumptions!M$2,TIAM15_assumptions!$Y$3:$Z$87,2,FALSE),TIAM15_assumptions!$H$2:$V$2,0))</f>
        <v>0.626</v>
      </c>
      <c r="N40" s="9">
        <f ca="1">OFFSET(TIAM15_assumptions!$G40,0,MATCH(VLOOKUP(Assumptions!N$2,TIAM15_assumptions!$Y$3:$Z$87,2,FALSE),TIAM15_assumptions!$H$2:$V$2,0))</f>
        <v>0.67</v>
      </c>
      <c r="O40" s="9">
        <f ca="1">OFFSET(TIAM15_assumptions!$G40,0,MATCH(VLOOKUP(Assumptions!O$2,TIAM15_assumptions!$Y$3:$Z$87,2,FALSE),TIAM15_assumptions!$H$2:$V$2,0))</f>
        <v>0.67</v>
      </c>
      <c r="P40" s="9">
        <f ca="1">OFFSET(TIAM15_assumptions!$G40,0,MATCH(VLOOKUP(Assumptions!P$2,TIAM15_assumptions!$Y$3:$Z$87,2,FALSE),TIAM15_assumptions!$H$2:$V$2,0))</f>
        <v>0.67</v>
      </c>
      <c r="Q40" s="9">
        <f ca="1">OFFSET(TIAM15_assumptions!$G40,0,MATCH(VLOOKUP(Assumptions!Q$2,TIAM15_assumptions!$Y$3:$Z$87,2,FALSE),TIAM15_assumptions!$H$2:$V$2,0))</f>
        <v>0.67</v>
      </c>
      <c r="R40" s="9">
        <f ca="1">OFFSET(TIAM15_assumptions!$G40,0,MATCH(VLOOKUP(Assumptions!R$2,TIAM15_assumptions!$Y$3:$Z$87,2,FALSE),TIAM15_assumptions!$H$2:$V$2,0))</f>
        <v>0.626</v>
      </c>
      <c r="S40" s="9">
        <f ca="1">OFFSET(TIAM15_assumptions!$G40,0,MATCH(VLOOKUP(Assumptions!S$2,TIAM15_assumptions!$Y$3:$Z$87,2,FALSE),TIAM15_assumptions!$H$2:$V$2,0))</f>
        <v>0.626</v>
      </c>
      <c r="T40" s="9">
        <f ca="1">OFFSET(TIAM15_assumptions!$G40,0,MATCH(VLOOKUP(Assumptions!T$2,TIAM15_assumptions!$Y$3:$Z$87,2,FALSE),TIAM15_assumptions!$H$2:$V$2,0))</f>
        <v>0.626</v>
      </c>
      <c r="U40" s="9">
        <f ca="1">OFFSET(TIAM15_assumptions!$G40,0,MATCH(VLOOKUP(Assumptions!U$2,TIAM15_assumptions!$Y$3:$Z$87,2,FALSE),TIAM15_assumptions!$H$2:$V$2,0))</f>
        <v>0.67</v>
      </c>
      <c r="V40" s="9">
        <f ca="1">OFFSET(TIAM15_assumptions!$G40,0,MATCH(VLOOKUP(Assumptions!V$2,TIAM15_assumptions!$Y$3:$Z$87,2,FALSE),TIAM15_assumptions!$H$2:$V$2,0))</f>
        <v>0.626</v>
      </c>
      <c r="W40" s="9">
        <f ca="1">OFFSET(TIAM15_assumptions!$G40,0,MATCH(VLOOKUP(Assumptions!W$2,TIAM15_assumptions!$Y$3:$Z$87,2,FALSE),TIAM15_assumptions!$H$2:$V$2,0))</f>
        <v>0.5</v>
      </c>
      <c r="X40" s="9">
        <f ca="1">OFFSET(TIAM15_assumptions!$G40,0,MATCH(VLOOKUP(Assumptions!X$2,TIAM15_assumptions!$Y$3:$Z$87,2,FALSE),TIAM15_assumptions!$H$2:$V$2,0))</f>
        <v>0.626</v>
      </c>
      <c r="Y40" s="9">
        <f ca="1">OFFSET(TIAM15_assumptions!$G40,0,MATCH(VLOOKUP(Assumptions!Y$2,TIAM15_assumptions!$Y$3:$Z$87,2,FALSE),TIAM15_assumptions!$H$2:$V$2,0))</f>
        <v>0.626</v>
      </c>
      <c r="Z40" s="9">
        <f ca="1">OFFSET(TIAM15_assumptions!$G40,0,MATCH(VLOOKUP(Assumptions!Z$2,TIAM15_assumptions!$Y$3:$Z$87,2,FALSE),TIAM15_assumptions!$H$2:$V$2,0))</f>
        <v>0.67</v>
      </c>
      <c r="AA40" s="9">
        <f ca="1">OFFSET(TIAM15_assumptions!$G40,0,MATCH(VLOOKUP(Assumptions!AA$2,TIAM15_assumptions!$Y$3:$Z$87,2,FALSE),TIAM15_assumptions!$H$2:$V$2,0))</f>
        <v>0.67</v>
      </c>
      <c r="AB40" s="9">
        <f ca="1">OFFSET(TIAM15_assumptions!$G40,0,MATCH(VLOOKUP(Assumptions!AB$2,TIAM15_assumptions!$Y$3:$Z$87,2,FALSE),TIAM15_assumptions!$H$2:$V$2,0))</f>
        <v>0.7</v>
      </c>
      <c r="AC40" s="9">
        <f ca="1">OFFSET(TIAM15_assumptions!$G40,0,MATCH(VLOOKUP(Assumptions!AC$2,TIAM15_assumptions!$Y$3:$Z$87,2,FALSE),TIAM15_assumptions!$H$2:$V$2,0))</f>
        <v>0.34971157676928805</v>
      </c>
      <c r="AD40" s="9">
        <f ca="1">OFFSET(TIAM15_assumptions!$G40,0,MATCH(VLOOKUP(Assumptions!AD$2,TIAM15_assumptions!$Y$3:$Z$87,2,FALSE),TIAM15_assumptions!$H$2:$V$2,0))</f>
        <v>0.626</v>
      </c>
      <c r="AE40" s="9">
        <f ca="1">OFFSET(TIAM15_assumptions!$G40,0,MATCH(VLOOKUP(Assumptions!AE$2,TIAM15_assumptions!$Y$3:$Z$87,2,FALSE),TIAM15_assumptions!$H$2:$V$2,0))</f>
        <v>0.67</v>
      </c>
      <c r="AF40" s="9">
        <f ca="1">OFFSET(TIAM15_assumptions!$G40,0,MATCH(VLOOKUP(Assumptions!AF$2,TIAM15_assumptions!$Y$3:$Z$87,2,FALSE),TIAM15_assumptions!$H$2:$V$2,0))</f>
        <v>0.67</v>
      </c>
      <c r="AG40" s="9">
        <f ca="1">OFFSET(TIAM15_assumptions!$G40,0,MATCH(VLOOKUP(Assumptions!AG$2,TIAM15_assumptions!$Y$3:$Z$87,2,FALSE),TIAM15_assumptions!$H$2:$V$2,0))</f>
        <v>0.67</v>
      </c>
      <c r="AH40" s="9">
        <f ca="1">OFFSET(TIAM15_assumptions!$G40,0,MATCH(VLOOKUP(Assumptions!AH$2,TIAM15_assumptions!$Y$3:$Z$87,2,FALSE),TIAM15_assumptions!$H$2:$V$2,0))</f>
        <v>0.7</v>
      </c>
      <c r="AI40" s="9">
        <f ca="1">OFFSET(TIAM15_assumptions!$G40,0,MATCH(VLOOKUP(Assumptions!AI$2,TIAM15_assumptions!$Y$3:$Z$87,2,FALSE),TIAM15_assumptions!$H$2:$V$2,0))</f>
        <v>0.7</v>
      </c>
      <c r="AJ40" s="9">
        <f ca="1">OFFSET(TIAM15_assumptions!$G40,0,MATCH(VLOOKUP(Assumptions!AJ$2,TIAM15_assumptions!$Y$3:$Z$87,2,FALSE),TIAM15_assumptions!$H$2:$V$2,0))</f>
        <v>0.626</v>
      </c>
      <c r="AK40" s="9">
        <f ca="1">OFFSET(TIAM15_assumptions!$G40,0,MATCH(VLOOKUP(Assumptions!AK$2,TIAM15_assumptions!$Y$3:$Z$87,2,FALSE),TIAM15_assumptions!$H$2:$V$2,0))</f>
        <v>0.626</v>
      </c>
      <c r="AL40" s="9">
        <f ca="1">OFFSET(TIAM15_assumptions!$G40,0,MATCH(VLOOKUP(Assumptions!AL$2,TIAM15_assumptions!$Y$3:$Z$87,2,FALSE),TIAM15_assumptions!$H$2:$V$2,0))</f>
        <v>0.626</v>
      </c>
      <c r="AM40" s="9">
        <f ca="1">OFFSET(TIAM15_assumptions!$G40,0,MATCH(VLOOKUP(Assumptions!AM$2,TIAM15_assumptions!$Y$3:$Z$87,2,FALSE),TIAM15_assumptions!$H$2:$V$2,0))</f>
        <v>0.7</v>
      </c>
      <c r="AN40" s="9">
        <f ca="1">OFFSET(TIAM15_assumptions!$G40,0,MATCH(VLOOKUP(Assumptions!AN$2,TIAM15_assumptions!$Y$3:$Z$87,2,FALSE),TIAM15_assumptions!$H$2:$V$2,0))</f>
        <v>0.626</v>
      </c>
      <c r="AO40" s="9">
        <f ca="1">OFFSET(TIAM15_assumptions!$G40,0,MATCH(VLOOKUP(Assumptions!AO$2,TIAM15_assumptions!$Y$3:$Z$87,2,FALSE),TIAM15_assumptions!$H$2:$V$2,0))</f>
        <v>0.67</v>
      </c>
      <c r="AP40" s="9">
        <f ca="1">OFFSET(TIAM15_assumptions!$G40,0,MATCH(VLOOKUP(Assumptions!AP$2,TIAM15_assumptions!$Y$3:$Z$87,2,FALSE),TIAM15_assumptions!$H$2:$V$2,0))</f>
        <v>0.67</v>
      </c>
      <c r="AQ40" s="9">
        <f ca="1">OFFSET(TIAM15_assumptions!$G40,0,MATCH(VLOOKUP(Assumptions!AQ$2,TIAM15_assumptions!$Y$3:$Z$87,2,FALSE),TIAM15_assumptions!$H$2:$V$2,0))</f>
        <v>0.34971157676928805</v>
      </c>
      <c r="AR40" s="9">
        <f ca="1">OFFSET(TIAM15_assumptions!$G40,0,MATCH(VLOOKUP(Assumptions!AR$2,TIAM15_assumptions!$Y$3:$Z$87,2,FALSE),TIAM15_assumptions!$H$2:$V$2,0))</f>
        <v>0.34971157676928805</v>
      </c>
      <c r="AS40" s="9">
        <f ca="1">OFFSET(TIAM15_assumptions!$G40,0,MATCH(VLOOKUP(Assumptions!AS$2,TIAM15_assumptions!$Y$3:$Z$87,2,FALSE),TIAM15_assumptions!$H$2:$V$2,0))</f>
        <v>0.34971157676928805</v>
      </c>
      <c r="AT40" s="9">
        <f ca="1">OFFSET(TIAM15_assumptions!$G40,0,MATCH(VLOOKUP(Assumptions!AT$2,TIAM15_assumptions!$Y$3:$Z$87,2,FALSE),TIAM15_assumptions!$H$2:$V$2,0))</f>
        <v>0.34971157676928805</v>
      </c>
      <c r="AU40" s="9">
        <f ca="1">OFFSET(TIAM15_assumptions!$G40,0,MATCH(VLOOKUP(Assumptions!AU$2,TIAM15_assumptions!$Y$3:$Z$87,2,FALSE),TIAM15_assumptions!$H$2:$V$2,0))</f>
        <v>0.34971157676928805</v>
      </c>
      <c r="AV40" s="9">
        <f ca="1">OFFSET(TIAM15_assumptions!$G40,0,MATCH(VLOOKUP(Assumptions!AV$2,TIAM15_assumptions!$Y$3:$Z$87,2,FALSE),TIAM15_assumptions!$H$2:$V$2,0))</f>
        <v>0.34971157676928805</v>
      </c>
      <c r="AW40" s="9">
        <f ca="1">OFFSET(TIAM15_assumptions!$G40,0,MATCH(VLOOKUP(Assumptions!AW$2,TIAM15_assumptions!$Y$3:$Z$87,2,FALSE),TIAM15_assumptions!$H$2:$V$2,0))</f>
        <v>0.34971157676928805</v>
      </c>
      <c r="AX40" s="9">
        <f ca="1">OFFSET(TIAM15_assumptions!$G40,0,MATCH(VLOOKUP(Assumptions!AX$2,TIAM15_assumptions!$Y$3:$Z$87,2,FALSE),TIAM15_assumptions!$H$2:$V$2,0))</f>
        <v>0.34971157676928805</v>
      </c>
      <c r="AY40" s="9">
        <f ca="1">OFFSET(TIAM15_assumptions!$G40,0,MATCH(VLOOKUP(Assumptions!AY$2,TIAM15_assumptions!$Y$3:$Z$87,2,FALSE),TIAM15_assumptions!$H$2:$V$2,0))</f>
        <v>0.34971157676928805</v>
      </c>
      <c r="AZ40" s="9">
        <f ca="1">OFFSET(TIAM15_assumptions!$G40,0,MATCH(VLOOKUP(Assumptions!AZ$2,TIAM15_assumptions!$Y$3:$Z$87,2,FALSE),TIAM15_assumptions!$H$2:$V$2,0))</f>
        <v>0.34971157676928805</v>
      </c>
      <c r="BA40" s="9">
        <f ca="1">OFFSET(TIAM15_assumptions!$G40,0,MATCH(VLOOKUP(Assumptions!BA$2,TIAM15_assumptions!$Y$3:$Z$87,2,FALSE),TIAM15_assumptions!$H$2:$V$2,0))</f>
        <v>0.34971157676928805</v>
      </c>
      <c r="BD40" s="34">
        <f ca="1">IFERROR(SUMIFS('TRA balance'!E$5:E$40,'TRA balance'!$C$5:$C$40,Assumptions!$C40,'TRA balance'!$D$5:$D$40,Assumptions!$B40)*CY40*H40,"")</f>
        <v>18.034796832695996</v>
      </c>
      <c r="BE40" s="34">
        <f ca="1">IFERROR(SUMIFS('TRA balance'!F$5:F$40,'TRA balance'!$C$5:$C$40,Assumptions!$C40,'TRA balance'!$D$5:$D$40,Assumptions!$B40)*CZ40*I40,"")</f>
        <v>1.0350272015999999E-2</v>
      </c>
      <c r="BF40" s="34">
        <f ca="1">IFERROR(SUMIFS('TRA balance'!G$5:G$40,'TRA balance'!$C$5:$C$40,Assumptions!$C40,'TRA balance'!$D$5:$D$40,Assumptions!$B40)*DA40*J40,"")</f>
        <v>1.90096996185</v>
      </c>
      <c r="BG40" s="34">
        <f ca="1">IFERROR(SUMIFS('TRA balance'!H$5:H$40,'TRA balance'!$C$5:$C$40,Assumptions!$C40,'TRA balance'!$D$5:$D$40,Assumptions!$B40)*DB40*K40,"")</f>
        <v>0.10299691913219999</v>
      </c>
      <c r="BH40" s="34">
        <f ca="1">IFERROR(SUMIFS('TRA balance'!I$5:I$40,'TRA balance'!$C$5:$C$40,Assumptions!$C40,'TRA balance'!$D$5:$D$40,Assumptions!$B40)*DC40*L40,"")</f>
        <v>2.6420834735301599</v>
      </c>
      <c r="BI40" s="34">
        <f ca="1">IFERROR(SUMIFS('TRA balance'!J$5:J$40,'TRA balance'!$C$5:$C$40,Assumptions!$C40,'TRA balance'!$D$5:$D$40,Assumptions!$B40)*DD40*M40,"")</f>
        <v>3.8447196810426001</v>
      </c>
      <c r="BJ40" s="34">
        <f ca="1">IFERROR(SUMIFS('TRA balance'!K$5:K$40,'TRA balance'!$C$5:$C$40,Assumptions!$C40,'TRA balance'!$D$5:$D$40,Assumptions!$B40)*DE40*N40,"")</f>
        <v>0</v>
      </c>
      <c r="BK40" s="34">
        <f ca="1">IFERROR(SUMIFS('TRA balance'!L$5:L$40,'TRA balance'!$C$5:$C$40,Assumptions!$C40,'TRA balance'!$D$5:$D$40,Assumptions!$B40)*DF40*O40,"")</f>
        <v>20.9849781920976</v>
      </c>
      <c r="BL40" s="34">
        <f ca="1">IFERROR(SUMIFS('TRA balance'!M$5:M$40,'TRA balance'!$C$5:$C$40,Assumptions!$C40,'TRA balance'!$D$5:$D$40,Assumptions!$B40)*DG40*P40,"")</f>
        <v>1.4091864426079201</v>
      </c>
      <c r="BM40" s="34">
        <f ca="1">IFERROR(SUMIFS('TRA balance'!N$5:N$40,'TRA balance'!$C$5:$C$40,Assumptions!$C40,'TRA balance'!$D$5:$D$40,Assumptions!$B40)*DH40*Q40,"")</f>
        <v>1.5459308969241599</v>
      </c>
      <c r="BN40" s="34">
        <f ca="1">IFERROR(SUMIFS('TRA balance'!O$5:O$40,'TRA balance'!$C$5:$C$40,Assumptions!$C40,'TRA balance'!$D$5:$D$40,Assumptions!$B40)*DI40*R40,"")</f>
        <v>1.1364552325691999</v>
      </c>
      <c r="BO40" s="34">
        <f ca="1">IFERROR(SUMIFS('TRA balance'!P$5:P$40,'TRA balance'!$C$5:$C$40,Assumptions!$C40,'TRA balance'!$D$5:$D$40,Assumptions!$B40)*DJ40*S40,"")</f>
        <v>7.3213831729637997</v>
      </c>
      <c r="BP40" s="34">
        <f ca="1">IFERROR(SUMIFS('TRA balance'!Q$5:Q$40,'TRA balance'!$C$5:$C$40,Assumptions!$C40,'TRA balance'!$D$5:$D$40,Assumptions!$B40)*DK40*T40,"")</f>
        <v>4.7347210187315998</v>
      </c>
      <c r="BQ40" s="34">
        <f ca="1">IFERROR(SUMIFS('TRA balance'!R$5:R$40,'TRA balance'!$C$5:$C$40,Assumptions!$C40,'TRA balance'!$D$5:$D$40,Assumptions!$B40)*DL40*U40,"")</f>
        <v>8.90467792133364</v>
      </c>
      <c r="BR40" s="34">
        <f ca="1">IFERROR(SUMIFS('TRA balance'!S$5:S$40,'TRA balance'!$C$5:$C$40,Assumptions!$C40,'TRA balance'!$D$5:$D$40,Assumptions!$B40)*DM40*V40,"")</f>
        <v>0</v>
      </c>
      <c r="BS40" s="34">
        <f ca="1">IFERROR(SUMIFS('TRA balance'!T$5:T$40,'TRA balance'!$C$5:$C$40,Assumptions!$C40,'TRA balance'!$D$5:$D$40,Assumptions!$B40)*DN40*W40,"")</f>
        <v>1.0163587837500001</v>
      </c>
      <c r="BT40" s="34">
        <f ca="1">IFERROR(SUMIFS('TRA balance'!U$5:U$40,'TRA balance'!$C$5:$C$40,Assumptions!$C40,'TRA balance'!$D$5:$D$40,Assumptions!$B40)*DO40*X40,"")</f>
        <v>3.1229117206199999E-2</v>
      </c>
      <c r="BU40" s="34">
        <f ca="1">IFERROR(SUMIFS('TRA balance'!V$5:V$40,'TRA balance'!$C$5:$C$40,Assumptions!$C40,'TRA balance'!$D$5:$D$40,Assumptions!$B40)*DP40*Y40,"")</f>
        <v>35.7156938258154</v>
      </c>
      <c r="BV40" s="34">
        <f ca="1">IFERROR(SUMIFS('TRA balance'!W$5:W$40,'TRA balance'!$C$5:$C$40,Assumptions!$C40,'TRA balance'!$D$5:$D$40,Assumptions!$B40)*DQ40*Z40,"")</f>
        <v>11.399056214250958</v>
      </c>
      <c r="BW40" s="34">
        <f ca="1">IFERROR(SUMIFS('TRA balance'!X$5:X$40,'TRA balance'!$C$5:$C$40,Assumptions!$C40,'TRA balance'!$D$5:$D$40,Assumptions!$B40)*DR40*AA40,"")</f>
        <v>11.590042006530002</v>
      </c>
      <c r="BX40" s="34">
        <f ca="1">IFERROR(SUMIFS('TRA balance'!Y$5:Y$40,'TRA balance'!$C$5:$C$40,Assumptions!$C40,'TRA balance'!$D$5:$D$40,Assumptions!$B40)*DS40*AB40,"")</f>
        <v>1.179584593992</v>
      </c>
      <c r="BY40" s="34">
        <f ca="1">IFERROR(SUMIFS('TRA balance'!Z$5:Z$40,'TRA balance'!$C$5:$C$40,Assumptions!$C40,'TRA balance'!$D$5:$D$40,Assumptions!$B40)*DT40*AC40,"")</f>
        <v>18.568673909551009</v>
      </c>
      <c r="BZ40" s="34">
        <f ca="1">IFERROR(SUMIFS('TRA balance'!AA$5:AA$40,'TRA balance'!$C$5:$C$40,Assumptions!$C40,'TRA balance'!$D$5:$D$40,Assumptions!$B40)*DU40*AD40,"")</f>
        <v>0.1008149892462</v>
      </c>
      <c r="CA40" s="34">
        <f ca="1">IFERROR(SUMIFS('TRA balance'!AB$5:AB$40,'TRA balance'!$C$5:$C$40,Assumptions!$C40,'TRA balance'!$D$5:$D$40,Assumptions!$B40)*DV40*AE40,"")</f>
        <v>33.992918586173161</v>
      </c>
      <c r="CB40" s="34">
        <f ca="1">IFERROR(SUMIFS('TRA balance'!AC$5:AC$40,'TRA balance'!$C$5:$C$40,Assumptions!$C40,'TRA balance'!$D$5:$D$40,Assumptions!$B40)*DW40*AF40,"")</f>
        <v>108.91669162552921</v>
      </c>
      <c r="CC40" s="34">
        <f ca="1">IFERROR(SUMIFS('TRA balance'!AD$5:AD$40,'TRA balance'!$C$5:$C$40,Assumptions!$C40,'TRA balance'!$D$5:$D$40,Assumptions!$B40)*DX40*AG40,"")</f>
        <v>22.731865191168481</v>
      </c>
      <c r="CD40" s="34">
        <f ca="1">IFERROR(SUMIFS('TRA balance'!AE$5:AE$40,'TRA balance'!$C$5:$C$40,Assumptions!$C40,'TRA balance'!$D$5:$D$40,Assumptions!$B40)*DY40*AH40,"")</f>
        <v>0</v>
      </c>
      <c r="CE40" s="34">
        <f ca="1">IFERROR(SUMIFS('TRA balance'!AF$5:AF$40,'TRA balance'!$C$5:$C$40,Assumptions!$C40,'TRA balance'!$D$5:$D$40,Assumptions!$B40)*DZ40*AI40,"")</f>
        <v>0.27471478859999998</v>
      </c>
      <c r="CF40" s="34">
        <f ca="1">IFERROR(SUMIFS('TRA balance'!AG$5:AG$40,'TRA balance'!$C$5:$C$40,Assumptions!$C40,'TRA balance'!$D$5:$D$40,Assumptions!$B40)*EA40*AJ40,"")</f>
        <v>2.6601224260967999</v>
      </c>
      <c r="CG40" s="34">
        <f ca="1">IFERROR(SUMIFS('TRA balance'!AH$5:AH$40,'TRA balance'!$C$5:$C$40,Assumptions!$C40,'TRA balance'!$D$5:$D$40,Assumptions!$B40)*EB40*AK40,"")</f>
        <v>0</v>
      </c>
      <c r="CH40" s="34">
        <f ca="1">IFERROR(SUMIFS('TRA balance'!AI$5:AI$40,'TRA balance'!$C$5:$C$40,Assumptions!$C40,'TRA balance'!$D$5:$D$40,Assumptions!$B40)*EC40*AL40,"")</f>
        <v>3.3216442534800002E-2</v>
      </c>
      <c r="CI40" s="34">
        <f ca="1">IFERROR(SUMIFS('TRA balance'!AJ$5:AJ$40,'TRA balance'!$C$5:$C$40,Assumptions!$C40,'TRA balance'!$D$5:$D$40,Assumptions!$B40)*ED40*AM40,"")</f>
        <v>64.799279445599993</v>
      </c>
      <c r="CJ40" s="34">
        <f ca="1">IFERROR(SUMIFS('TRA balance'!AK$5:AK$40,'TRA balance'!$C$5:$C$40,Assumptions!$C40,'TRA balance'!$D$5:$D$40,Assumptions!$B40)*EE40*AN40,"")</f>
        <v>1.360610197155</v>
      </c>
      <c r="CK40" s="34">
        <f ca="1">IFERROR(SUMIFS('TRA balance'!AL$5:AL$40,'TRA balance'!$C$5:$C$40,Assumptions!$C40,'TRA balance'!$D$5:$D$40,Assumptions!$B40)*EF40*AO40,"")</f>
        <v>31.825384194709802</v>
      </c>
      <c r="CL40" s="34">
        <f ca="1">IFERROR(SUMIFS('TRA balance'!AM$5:AM$40,'TRA balance'!$C$5:$C$40,Assumptions!$C40,'TRA balance'!$D$5:$D$40,Assumptions!$B40)*EG40*AP40,"")</f>
        <v>4.0028236658010004</v>
      </c>
      <c r="CM40" s="34">
        <f ca="1">IFERROR(SUMIFS('TRA balance'!AN$5:AN$40,'TRA balance'!$C$5:$C$40,Assumptions!$C40,'TRA balance'!$D$5:$D$40,Assumptions!$B40)*EH40*AQ40,"")</f>
        <v>0</v>
      </c>
      <c r="CN40" s="34">
        <f ca="1">IFERROR(SUMIFS('TRA balance'!AO$5:AO$40,'TRA balance'!$C$5:$C$40,Assumptions!$C40,'TRA balance'!$D$5:$D$40,Assumptions!$B40)*EI40*AR40,"")</f>
        <v>0</v>
      </c>
      <c r="CO40" s="34">
        <f ca="1">IFERROR(SUMIFS('TRA balance'!AP$5:AP$40,'TRA balance'!$C$5:$C$40,Assumptions!$C40,'TRA balance'!$D$5:$D$40,Assumptions!$B40)*EJ40*AS40,"")</f>
        <v>0</v>
      </c>
      <c r="CP40" s="34">
        <f ca="1">IFERROR(SUMIFS('TRA balance'!AQ$5:AQ$40,'TRA balance'!$C$5:$C$40,Assumptions!$C40,'TRA balance'!$D$5:$D$40,Assumptions!$B40)*EK40*AT40,"")</f>
        <v>0</v>
      </c>
      <c r="CQ40" s="34">
        <f ca="1">IFERROR(SUMIFS('TRA balance'!AR$5:AR$40,'TRA balance'!$C$5:$C$40,Assumptions!$C40,'TRA balance'!$D$5:$D$40,Assumptions!$B40)*EL40*AU40,"")</f>
        <v>0</v>
      </c>
      <c r="CR40" s="34">
        <f ca="1">IFERROR(SUMIFS('TRA balance'!AS$5:AS$40,'TRA balance'!$C$5:$C$40,Assumptions!$C40,'TRA balance'!$D$5:$D$40,Assumptions!$B40)*EM40*AV40,"")</f>
        <v>0</v>
      </c>
      <c r="CS40" s="34">
        <f ca="1">IFERROR(SUMIFS('TRA balance'!AT$5:AT$40,'TRA balance'!$C$5:$C$40,Assumptions!$C40,'TRA balance'!$D$5:$D$40,Assumptions!$B40)*EN40*AW40,"")</f>
        <v>0</v>
      </c>
      <c r="CT40" s="34">
        <f ca="1">IFERROR(SUMIFS('TRA balance'!AU$5:AU$40,'TRA balance'!$C$5:$C$40,Assumptions!$C40,'TRA balance'!$D$5:$D$40,Assumptions!$B40)*EO40*AX40,"")</f>
        <v>0</v>
      </c>
      <c r="CU40" s="34">
        <f ca="1">IFERROR(SUMIFS('TRA balance'!AV$5:AV$40,'TRA balance'!$C$5:$C$40,Assumptions!$C40,'TRA balance'!$D$5:$D$40,Assumptions!$B40)*EP40*AY40,"")</f>
        <v>0</v>
      </c>
      <c r="CV40" s="34">
        <f ca="1">IFERROR(SUMIFS('TRA balance'!AW$5:AW$40,'TRA balance'!$C$5:$C$40,Assumptions!$C40,'TRA balance'!$D$5:$D$40,Assumptions!$B40)*EQ40*AZ40,"")</f>
        <v>0</v>
      </c>
      <c r="CW40" s="34">
        <f ca="1">IFERROR(SUMIFS('TRA balance'!AX$5:AX$40,'TRA balance'!$C$5:$C$40,Assumptions!$C40,'TRA balance'!$D$5:$D$40,Assumptions!$B40)*ER40*BA40,"")</f>
        <v>0</v>
      </c>
      <c r="CY40" s="33">
        <f t="shared" ca="1" si="66"/>
        <v>0.6</v>
      </c>
      <c r="CZ40" s="33">
        <f t="shared" ca="1" si="3"/>
        <v>0.6</v>
      </c>
      <c r="DA40" s="33">
        <f t="shared" ca="1" si="4"/>
        <v>0.25</v>
      </c>
      <c r="DB40" s="33">
        <f t="shared" ca="1" si="5"/>
        <v>0.75</v>
      </c>
      <c r="DC40" s="33">
        <f t="shared" ca="1" si="6"/>
        <v>0.56999999999999995</v>
      </c>
      <c r="DD40" s="33">
        <f t="shared" ca="1" si="7"/>
        <v>0.75</v>
      </c>
      <c r="DE40" s="33">
        <f t="shared" ca="1" si="8"/>
        <v>0.5</v>
      </c>
      <c r="DF40" s="33">
        <f t="shared" ca="1" si="9"/>
        <v>0.4</v>
      </c>
      <c r="DG40" s="33">
        <f t="shared" ca="1" si="10"/>
        <v>0.56999999999999995</v>
      </c>
      <c r="DH40" s="33">
        <f t="shared" ca="1" si="11"/>
        <v>0.56999999999999995</v>
      </c>
      <c r="DI40" s="33">
        <f t="shared" ca="1" si="12"/>
        <v>0.75</v>
      </c>
      <c r="DJ40" s="33">
        <f t="shared" ca="1" si="13"/>
        <v>0.75</v>
      </c>
      <c r="DK40" s="33">
        <f t="shared" ca="1" si="14"/>
        <v>0.75</v>
      </c>
      <c r="DL40" s="33">
        <f t="shared" ca="1" si="15"/>
        <v>0.56999999999999995</v>
      </c>
      <c r="DM40" s="33">
        <f t="shared" ca="1" si="16"/>
        <v>0.75</v>
      </c>
      <c r="DN40" s="33">
        <f t="shared" ca="1" si="17"/>
        <v>0.25</v>
      </c>
      <c r="DO40" s="33">
        <f t="shared" ca="1" si="18"/>
        <v>0.75</v>
      </c>
      <c r="DP40" s="33">
        <f t="shared" ca="1" si="19"/>
        <v>0.75</v>
      </c>
      <c r="DQ40" s="33">
        <f t="shared" ca="1" si="20"/>
        <v>0.56999999999999995</v>
      </c>
      <c r="DR40" s="33">
        <f t="shared" ca="1" si="21"/>
        <v>0.5</v>
      </c>
      <c r="DS40" s="33">
        <f t="shared" ca="1" si="22"/>
        <v>0.6</v>
      </c>
      <c r="DT40" s="33">
        <f t="shared" ca="1" si="23"/>
        <v>0.71921471715562335</v>
      </c>
      <c r="DU40" s="33">
        <f t="shared" ca="1" si="24"/>
        <v>0.75</v>
      </c>
      <c r="DV40" s="33">
        <f t="shared" ca="1" si="25"/>
        <v>0.56999999999999995</v>
      </c>
      <c r="DW40" s="33">
        <f t="shared" ca="1" si="26"/>
        <v>0.7</v>
      </c>
      <c r="DX40" s="33">
        <f t="shared" ca="1" si="27"/>
        <v>0.56999999999999995</v>
      </c>
      <c r="DY40" s="33">
        <f t="shared" ca="1" si="28"/>
        <v>0.6</v>
      </c>
      <c r="DZ40" s="33">
        <f t="shared" ca="1" si="29"/>
        <v>0.6</v>
      </c>
      <c r="EA40" s="33">
        <f t="shared" ca="1" si="30"/>
        <v>0.75</v>
      </c>
      <c r="EB40" s="33">
        <f t="shared" ca="1" si="31"/>
        <v>0.75</v>
      </c>
      <c r="EC40" s="33">
        <f t="shared" ca="1" si="32"/>
        <v>0.75</v>
      </c>
      <c r="ED40" s="33">
        <f t="shared" ca="1" si="33"/>
        <v>0.6</v>
      </c>
      <c r="EE40" s="33">
        <f t="shared" ca="1" si="34"/>
        <v>0.75</v>
      </c>
      <c r="EF40" s="33">
        <f t="shared" ca="1" si="35"/>
        <v>0.56999999999999995</v>
      </c>
      <c r="EG40" s="33">
        <f t="shared" ca="1" si="36"/>
        <v>0.56999999999999995</v>
      </c>
      <c r="EH40" s="33">
        <f t="shared" ca="1" si="37"/>
        <v>0.71921471715562335</v>
      </c>
      <c r="EI40" s="33">
        <f t="shared" ca="1" si="38"/>
        <v>0.71921471715562335</v>
      </c>
      <c r="EJ40" s="33">
        <f t="shared" ca="1" si="39"/>
        <v>0.71921471715562335</v>
      </c>
      <c r="EK40" s="33">
        <f t="shared" ca="1" si="40"/>
        <v>0.71921471715562335</v>
      </c>
      <c r="EL40" s="33">
        <f t="shared" ca="1" si="41"/>
        <v>0.71921471715562335</v>
      </c>
      <c r="EM40" s="33">
        <f t="shared" ca="1" si="42"/>
        <v>0.71921471715562335</v>
      </c>
      <c r="EN40" s="33">
        <f t="shared" ca="1" si="43"/>
        <v>0.71921471715562335</v>
      </c>
      <c r="EO40" s="33">
        <f t="shared" ca="1" si="44"/>
        <v>0.71921471715562335</v>
      </c>
      <c r="EP40" s="33">
        <f t="shared" ca="1" si="45"/>
        <v>0.71921471715562335</v>
      </c>
      <c r="EQ40" s="33">
        <f t="shared" ca="1" si="46"/>
        <v>0.71921471715562335</v>
      </c>
      <c r="ER40" s="33">
        <f t="shared" ca="1" si="47"/>
        <v>0.71921471715562335</v>
      </c>
    </row>
    <row r="41" spans="1:148">
      <c r="A41">
        <v>1</v>
      </c>
      <c r="B41" t="str">
        <f>VLOOKUP(F41,'TRA balance'!$BA$5:$BB$14,2,FALSE)</f>
        <v>TRALPG</v>
      </c>
      <c r="C41" s="6" t="str">
        <f t="shared" si="48"/>
        <v>TR</v>
      </c>
      <c r="D41" s="7" t="s">
        <v>16</v>
      </c>
      <c r="E41" s="18" t="s">
        <v>63</v>
      </c>
      <c r="F41" s="8" t="str">
        <f t="shared" ref="F41" si="70">F40</f>
        <v>Liquified Petroleum Gases</v>
      </c>
      <c r="G41" s="6" t="s">
        <v>64</v>
      </c>
      <c r="H41" s="9">
        <f ca="1">OFFSET(TIAM15_assumptions!$G41,0,MATCH(VLOOKUP(Assumptions!H$2,TIAM15_assumptions!$Y$3:$Z$87,2,FALSE),TIAM15_assumptions!$H$2:$V$2,0))</f>
        <v>0.3</v>
      </c>
      <c r="I41" s="9">
        <f ca="1">OFFSET(TIAM15_assumptions!$G41,0,MATCH(VLOOKUP(Assumptions!I$2,TIAM15_assumptions!$Y$3:$Z$87,2,FALSE),TIAM15_assumptions!$H$2:$V$2,0))</f>
        <v>0.3</v>
      </c>
      <c r="J41" s="9">
        <f ca="1">OFFSET(TIAM15_assumptions!$G41,0,MATCH(VLOOKUP(Assumptions!J$2,TIAM15_assumptions!$Y$3:$Z$87,2,FALSE),TIAM15_assumptions!$H$2:$V$2,0))</f>
        <v>0.5</v>
      </c>
      <c r="K41" s="9">
        <f ca="1">OFFSET(TIAM15_assumptions!$G41,0,MATCH(VLOOKUP(Assumptions!K$2,TIAM15_assumptions!$Y$3:$Z$87,2,FALSE),TIAM15_assumptions!$H$2:$V$2,0))</f>
        <v>0.374</v>
      </c>
      <c r="L41" s="9">
        <f ca="1">OFFSET(TIAM15_assumptions!$G41,0,MATCH(VLOOKUP(Assumptions!L$2,TIAM15_assumptions!$Y$3:$Z$87,2,FALSE),TIAM15_assumptions!$H$2:$V$2,0))</f>
        <v>0.33</v>
      </c>
      <c r="M41" s="9">
        <f ca="1">OFFSET(TIAM15_assumptions!$G41,0,MATCH(VLOOKUP(Assumptions!M$2,TIAM15_assumptions!$Y$3:$Z$87,2,FALSE),TIAM15_assumptions!$H$2:$V$2,0))</f>
        <v>0.374</v>
      </c>
      <c r="N41" s="9">
        <f ca="1">OFFSET(TIAM15_assumptions!$G41,0,MATCH(VLOOKUP(Assumptions!N$2,TIAM15_assumptions!$Y$3:$Z$87,2,FALSE),TIAM15_assumptions!$H$2:$V$2,0))</f>
        <v>0.33</v>
      </c>
      <c r="O41" s="9">
        <f ca="1">OFFSET(TIAM15_assumptions!$G41,0,MATCH(VLOOKUP(Assumptions!O$2,TIAM15_assumptions!$Y$3:$Z$87,2,FALSE),TIAM15_assumptions!$H$2:$V$2,0))</f>
        <v>0.33</v>
      </c>
      <c r="P41" s="9">
        <f ca="1">OFFSET(TIAM15_assumptions!$G41,0,MATCH(VLOOKUP(Assumptions!P$2,TIAM15_assumptions!$Y$3:$Z$87,2,FALSE),TIAM15_assumptions!$H$2:$V$2,0))</f>
        <v>0.33</v>
      </c>
      <c r="Q41" s="9">
        <f ca="1">OFFSET(TIAM15_assumptions!$G41,0,MATCH(VLOOKUP(Assumptions!Q$2,TIAM15_assumptions!$Y$3:$Z$87,2,FALSE),TIAM15_assumptions!$H$2:$V$2,0))</f>
        <v>0.33</v>
      </c>
      <c r="R41" s="9">
        <f ca="1">OFFSET(TIAM15_assumptions!$G41,0,MATCH(VLOOKUP(Assumptions!R$2,TIAM15_assumptions!$Y$3:$Z$87,2,FALSE),TIAM15_assumptions!$H$2:$V$2,0))</f>
        <v>0.374</v>
      </c>
      <c r="S41" s="9">
        <f ca="1">OFFSET(TIAM15_assumptions!$G41,0,MATCH(VLOOKUP(Assumptions!S$2,TIAM15_assumptions!$Y$3:$Z$87,2,FALSE),TIAM15_assumptions!$H$2:$V$2,0))</f>
        <v>0.374</v>
      </c>
      <c r="T41" s="9">
        <f ca="1">OFFSET(TIAM15_assumptions!$G41,0,MATCH(VLOOKUP(Assumptions!T$2,TIAM15_assumptions!$Y$3:$Z$87,2,FALSE),TIAM15_assumptions!$H$2:$V$2,0))</f>
        <v>0.374</v>
      </c>
      <c r="U41" s="9">
        <f ca="1">OFFSET(TIAM15_assumptions!$G41,0,MATCH(VLOOKUP(Assumptions!U$2,TIAM15_assumptions!$Y$3:$Z$87,2,FALSE),TIAM15_assumptions!$H$2:$V$2,0))</f>
        <v>0.33</v>
      </c>
      <c r="V41" s="9">
        <f ca="1">OFFSET(TIAM15_assumptions!$G41,0,MATCH(VLOOKUP(Assumptions!V$2,TIAM15_assumptions!$Y$3:$Z$87,2,FALSE),TIAM15_assumptions!$H$2:$V$2,0))</f>
        <v>0.374</v>
      </c>
      <c r="W41" s="9">
        <f ca="1">OFFSET(TIAM15_assumptions!$G41,0,MATCH(VLOOKUP(Assumptions!W$2,TIAM15_assumptions!$Y$3:$Z$87,2,FALSE),TIAM15_assumptions!$H$2:$V$2,0))</f>
        <v>0.5</v>
      </c>
      <c r="X41" s="9">
        <f ca="1">OFFSET(TIAM15_assumptions!$G41,0,MATCH(VLOOKUP(Assumptions!X$2,TIAM15_assumptions!$Y$3:$Z$87,2,FALSE),TIAM15_assumptions!$H$2:$V$2,0))</f>
        <v>0.374</v>
      </c>
      <c r="Y41" s="9">
        <f ca="1">OFFSET(TIAM15_assumptions!$G41,0,MATCH(VLOOKUP(Assumptions!Y$2,TIAM15_assumptions!$Y$3:$Z$87,2,FALSE),TIAM15_assumptions!$H$2:$V$2,0))</f>
        <v>0.374</v>
      </c>
      <c r="Z41" s="9">
        <f ca="1">OFFSET(TIAM15_assumptions!$G41,0,MATCH(VLOOKUP(Assumptions!Z$2,TIAM15_assumptions!$Y$3:$Z$87,2,FALSE),TIAM15_assumptions!$H$2:$V$2,0))</f>
        <v>0.33</v>
      </c>
      <c r="AA41" s="9">
        <f ca="1">OFFSET(TIAM15_assumptions!$G41,0,MATCH(VLOOKUP(Assumptions!AA$2,TIAM15_assumptions!$Y$3:$Z$87,2,FALSE),TIAM15_assumptions!$H$2:$V$2,0))</f>
        <v>0.33</v>
      </c>
      <c r="AB41" s="9">
        <f ca="1">OFFSET(TIAM15_assumptions!$G41,0,MATCH(VLOOKUP(Assumptions!AB$2,TIAM15_assumptions!$Y$3:$Z$87,2,FALSE),TIAM15_assumptions!$H$2:$V$2,0))</f>
        <v>0.3</v>
      </c>
      <c r="AC41" s="9">
        <f ca="1">OFFSET(TIAM15_assumptions!$G41,0,MATCH(VLOOKUP(Assumptions!AC$2,TIAM15_assumptions!$Y$3:$Z$87,2,FALSE),TIAM15_assumptions!$H$2:$V$2,0))</f>
        <v>0.65028842323071201</v>
      </c>
      <c r="AD41" s="9">
        <f ca="1">OFFSET(TIAM15_assumptions!$G41,0,MATCH(VLOOKUP(Assumptions!AD$2,TIAM15_assumptions!$Y$3:$Z$87,2,FALSE),TIAM15_assumptions!$H$2:$V$2,0))</f>
        <v>0.374</v>
      </c>
      <c r="AE41" s="9">
        <f ca="1">OFFSET(TIAM15_assumptions!$G41,0,MATCH(VLOOKUP(Assumptions!AE$2,TIAM15_assumptions!$Y$3:$Z$87,2,FALSE),TIAM15_assumptions!$H$2:$V$2,0))</f>
        <v>0.33</v>
      </c>
      <c r="AF41" s="9">
        <f ca="1">OFFSET(TIAM15_assumptions!$G41,0,MATCH(VLOOKUP(Assumptions!AF$2,TIAM15_assumptions!$Y$3:$Z$87,2,FALSE),TIAM15_assumptions!$H$2:$V$2,0))</f>
        <v>0.33</v>
      </c>
      <c r="AG41" s="9">
        <f ca="1">OFFSET(TIAM15_assumptions!$G41,0,MATCH(VLOOKUP(Assumptions!AG$2,TIAM15_assumptions!$Y$3:$Z$87,2,FALSE),TIAM15_assumptions!$H$2:$V$2,0))</f>
        <v>0.33</v>
      </c>
      <c r="AH41" s="9">
        <f ca="1">OFFSET(TIAM15_assumptions!$G41,0,MATCH(VLOOKUP(Assumptions!AH$2,TIAM15_assumptions!$Y$3:$Z$87,2,FALSE),TIAM15_assumptions!$H$2:$V$2,0))</f>
        <v>0.3</v>
      </c>
      <c r="AI41" s="9">
        <f ca="1">OFFSET(TIAM15_assumptions!$G41,0,MATCH(VLOOKUP(Assumptions!AI$2,TIAM15_assumptions!$Y$3:$Z$87,2,FALSE),TIAM15_assumptions!$H$2:$V$2,0))</f>
        <v>0.3</v>
      </c>
      <c r="AJ41" s="9">
        <f ca="1">OFFSET(TIAM15_assumptions!$G41,0,MATCH(VLOOKUP(Assumptions!AJ$2,TIAM15_assumptions!$Y$3:$Z$87,2,FALSE),TIAM15_assumptions!$H$2:$V$2,0))</f>
        <v>0.374</v>
      </c>
      <c r="AK41" s="9">
        <f ca="1">OFFSET(TIAM15_assumptions!$G41,0,MATCH(VLOOKUP(Assumptions!AK$2,TIAM15_assumptions!$Y$3:$Z$87,2,FALSE),TIAM15_assumptions!$H$2:$V$2,0))</f>
        <v>0.374</v>
      </c>
      <c r="AL41" s="9">
        <f ca="1">OFFSET(TIAM15_assumptions!$G41,0,MATCH(VLOOKUP(Assumptions!AL$2,TIAM15_assumptions!$Y$3:$Z$87,2,FALSE),TIAM15_assumptions!$H$2:$V$2,0))</f>
        <v>0.374</v>
      </c>
      <c r="AM41" s="9">
        <f ca="1">OFFSET(TIAM15_assumptions!$G41,0,MATCH(VLOOKUP(Assumptions!AM$2,TIAM15_assumptions!$Y$3:$Z$87,2,FALSE),TIAM15_assumptions!$H$2:$V$2,0))</f>
        <v>0.3</v>
      </c>
      <c r="AN41" s="9">
        <f ca="1">OFFSET(TIAM15_assumptions!$G41,0,MATCH(VLOOKUP(Assumptions!AN$2,TIAM15_assumptions!$Y$3:$Z$87,2,FALSE),TIAM15_assumptions!$H$2:$V$2,0))</f>
        <v>0.374</v>
      </c>
      <c r="AO41" s="9">
        <f ca="1">OFFSET(TIAM15_assumptions!$G41,0,MATCH(VLOOKUP(Assumptions!AO$2,TIAM15_assumptions!$Y$3:$Z$87,2,FALSE),TIAM15_assumptions!$H$2:$V$2,0))</f>
        <v>0.33</v>
      </c>
      <c r="AP41" s="9">
        <f ca="1">OFFSET(TIAM15_assumptions!$G41,0,MATCH(VLOOKUP(Assumptions!AP$2,TIAM15_assumptions!$Y$3:$Z$87,2,FALSE),TIAM15_assumptions!$H$2:$V$2,0))</f>
        <v>0.33</v>
      </c>
      <c r="AQ41" s="9">
        <f ca="1">OFFSET(TIAM15_assumptions!$G41,0,MATCH(VLOOKUP(Assumptions!AQ$2,TIAM15_assumptions!$Y$3:$Z$87,2,FALSE),TIAM15_assumptions!$H$2:$V$2,0))</f>
        <v>0.65028842323071201</v>
      </c>
      <c r="AR41" s="9">
        <f ca="1">OFFSET(TIAM15_assumptions!$G41,0,MATCH(VLOOKUP(Assumptions!AR$2,TIAM15_assumptions!$Y$3:$Z$87,2,FALSE),TIAM15_assumptions!$H$2:$V$2,0))</f>
        <v>0.65028842323071201</v>
      </c>
      <c r="AS41" s="9">
        <f ca="1">OFFSET(TIAM15_assumptions!$G41,0,MATCH(VLOOKUP(Assumptions!AS$2,TIAM15_assumptions!$Y$3:$Z$87,2,FALSE),TIAM15_assumptions!$H$2:$V$2,0))</f>
        <v>0.65028842323071201</v>
      </c>
      <c r="AT41" s="9">
        <f ca="1">OFFSET(TIAM15_assumptions!$G41,0,MATCH(VLOOKUP(Assumptions!AT$2,TIAM15_assumptions!$Y$3:$Z$87,2,FALSE),TIAM15_assumptions!$H$2:$V$2,0))</f>
        <v>0.65028842323071201</v>
      </c>
      <c r="AU41" s="9">
        <f ca="1">OFFSET(TIAM15_assumptions!$G41,0,MATCH(VLOOKUP(Assumptions!AU$2,TIAM15_assumptions!$Y$3:$Z$87,2,FALSE),TIAM15_assumptions!$H$2:$V$2,0))</f>
        <v>0.65028842323071201</v>
      </c>
      <c r="AV41" s="9">
        <f ca="1">OFFSET(TIAM15_assumptions!$G41,0,MATCH(VLOOKUP(Assumptions!AV$2,TIAM15_assumptions!$Y$3:$Z$87,2,FALSE),TIAM15_assumptions!$H$2:$V$2,0))</f>
        <v>0.65028842323071201</v>
      </c>
      <c r="AW41" s="9">
        <f ca="1">OFFSET(TIAM15_assumptions!$G41,0,MATCH(VLOOKUP(Assumptions!AW$2,TIAM15_assumptions!$Y$3:$Z$87,2,FALSE),TIAM15_assumptions!$H$2:$V$2,0))</f>
        <v>0.65028842323071201</v>
      </c>
      <c r="AX41" s="9">
        <f ca="1">OFFSET(TIAM15_assumptions!$G41,0,MATCH(VLOOKUP(Assumptions!AX$2,TIAM15_assumptions!$Y$3:$Z$87,2,FALSE),TIAM15_assumptions!$H$2:$V$2,0))</f>
        <v>0.65028842323071201</v>
      </c>
      <c r="AY41" s="9">
        <f ca="1">OFFSET(TIAM15_assumptions!$G41,0,MATCH(VLOOKUP(Assumptions!AY$2,TIAM15_assumptions!$Y$3:$Z$87,2,FALSE),TIAM15_assumptions!$H$2:$V$2,0))</f>
        <v>0.65028842323071201</v>
      </c>
      <c r="AZ41" s="9">
        <f ca="1">OFFSET(TIAM15_assumptions!$G41,0,MATCH(VLOOKUP(Assumptions!AZ$2,TIAM15_assumptions!$Y$3:$Z$87,2,FALSE),TIAM15_assumptions!$H$2:$V$2,0))</f>
        <v>0.65028842323071201</v>
      </c>
      <c r="BA41" s="9">
        <f ca="1">OFFSET(TIAM15_assumptions!$G41,0,MATCH(VLOOKUP(Assumptions!BA$2,TIAM15_assumptions!$Y$3:$Z$87,2,FALSE),TIAM15_assumptions!$H$2:$V$2,0))</f>
        <v>0.65028842323071201</v>
      </c>
      <c r="BD41" s="34">
        <f ca="1">IFERROR(SUMIFS('TRA balance'!E$5:E$40,'TRA balance'!$C$5:$C$40,Assumptions!$C41,'TRA balance'!$D$5:$D$40,Assumptions!$B41)*CY41*H41,"")</f>
        <v>7.7291986425839987</v>
      </c>
      <c r="BE41" s="34">
        <f ca="1">IFERROR(SUMIFS('TRA balance'!F$5:F$40,'TRA balance'!$C$5:$C$40,Assumptions!$C41,'TRA balance'!$D$5:$D$40,Assumptions!$B41)*CZ41*I41,"")</f>
        <v>4.4358308639999991E-3</v>
      </c>
      <c r="BF41" s="34">
        <f ca="1">IFERROR(SUMIFS('TRA balance'!G$5:G$40,'TRA balance'!$C$5:$C$40,Assumptions!$C41,'TRA balance'!$D$5:$D$40,Assumptions!$B41)*DA41*J41,"")</f>
        <v>1.90096996185</v>
      </c>
      <c r="BG41" s="34">
        <f ca="1">IFERROR(SUMIFS('TRA balance'!H$5:H$40,'TRA balance'!$C$5:$C$40,Assumptions!$C41,'TRA balance'!$D$5:$D$40,Assumptions!$B41)*DB41*K41,"")</f>
        <v>6.1534900567799998E-2</v>
      </c>
      <c r="BH41" s="34">
        <f ca="1">IFERROR(SUMIFS('TRA balance'!I$5:I$40,'TRA balance'!$C$5:$C$40,Assumptions!$C41,'TRA balance'!$D$5:$D$40,Assumptions!$B41)*DC41*L41,"")</f>
        <v>1.3013246959178399</v>
      </c>
      <c r="BI41" s="34">
        <f ca="1">IFERROR(SUMIFS('TRA balance'!J$5:J$40,'TRA balance'!$C$5:$C$40,Assumptions!$C41,'TRA balance'!$D$5:$D$40,Assumptions!$B41)*DD41*M41,"")</f>
        <v>2.2970050490573999</v>
      </c>
      <c r="BJ41" s="34">
        <f ca="1">IFERROR(SUMIFS('TRA balance'!K$5:K$40,'TRA balance'!$C$5:$C$40,Assumptions!$C41,'TRA balance'!$D$5:$D$40,Assumptions!$B41)*DE41*N41,"")</f>
        <v>0</v>
      </c>
      <c r="BK41" s="34">
        <f ca="1">IFERROR(SUMIFS('TRA balance'!L$5:L$40,'TRA balance'!$C$5:$C$40,Assumptions!$C41,'TRA balance'!$D$5:$D$40,Assumptions!$B41)*DF41*O41,"")</f>
        <v>10.335884781182401</v>
      </c>
      <c r="BL41" s="34">
        <f ca="1">IFERROR(SUMIFS('TRA balance'!M$5:M$40,'TRA balance'!$C$5:$C$40,Assumptions!$C41,'TRA balance'!$D$5:$D$40,Assumptions!$B41)*DG41*P41,"")</f>
        <v>0.69407690456808002</v>
      </c>
      <c r="BM41" s="34">
        <f ca="1">IFERROR(SUMIFS('TRA balance'!N$5:N$40,'TRA balance'!$C$5:$C$40,Assumptions!$C41,'TRA balance'!$D$5:$D$40,Assumptions!$B41)*DH41*Q41,"")</f>
        <v>0.76142865072383992</v>
      </c>
      <c r="BN41" s="34">
        <f ca="1">IFERROR(SUMIFS('TRA balance'!O$5:O$40,'TRA balance'!$C$5:$C$40,Assumptions!$C41,'TRA balance'!$D$5:$D$40,Assumptions!$B41)*DI41*R41,"")</f>
        <v>0.67896846163079994</v>
      </c>
      <c r="BO41" s="34">
        <f ca="1">IFERROR(SUMIFS('TRA balance'!P$5:P$40,'TRA balance'!$C$5:$C$40,Assumptions!$C41,'TRA balance'!$D$5:$D$40,Assumptions!$B41)*DJ41*S41,"")</f>
        <v>4.3741171033361992</v>
      </c>
      <c r="BP41" s="34">
        <f ca="1">IFERROR(SUMIFS('TRA balance'!Q$5:Q$40,'TRA balance'!$C$5:$C$40,Assumptions!$C41,'TRA balance'!$D$5:$D$40,Assumptions!$B41)*DK41*T41,"")</f>
        <v>2.8287310878684</v>
      </c>
      <c r="BQ41" s="34">
        <f ca="1">IFERROR(SUMIFS('TRA balance'!R$5:R$40,'TRA balance'!$C$5:$C$40,Assumptions!$C41,'TRA balance'!$D$5:$D$40,Assumptions!$B41)*DL41*U41,"")</f>
        <v>4.3858861403583598</v>
      </c>
      <c r="BR41" s="34">
        <f ca="1">IFERROR(SUMIFS('TRA balance'!S$5:S$40,'TRA balance'!$C$5:$C$40,Assumptions!$C41,'TRA balance'!$D$5:$D$40,Assumptions!$B41)*DM41*V41,"")</f>
        <v>0</v>
      </c>
      <c r="BS41" s="34">
        <f ca="1">IFERROR(SUMIFS('TRA balance'!T$5:T$40,'TRA balance'!$C$5:$C$40,Assumptions!$C41,'TRA balance'!$D$5:$D$40,Assumptions!$B41)*DN41*W41,"")</f>
        <v>1.0163587837500001</v>
      </c>
      <c r="BT41" s="34">
        <f ca="1">IFERROR(SUMIFS('TRA balance'!U$5:U$40,'TRA balance'!$C$5:$C$40,Assumptions!$C41,'TRA balance'!$D$5:$D$40,Assumptions!$B41)*DO41*X41,"")</f>
        <v>1.8657651493800002E-2</v>
      </c>
      <c r="BU41" s="34">
        <f ca="1">IFERROR(SUMIFS('TRA balance'!V$5:V$40,'TRA balance'!$C$5:$C$40,Assumptions!$C41,'TRA balance'!$D$5:$D$40,Assumptions!$B41)*DP41*Y41,"")</f>
        <v>21.338130177084601</v>
      </c>
      <c r="BV41" s="34">
        <f ca="1">IFERROR(SUMIFS('TRA balance'!W$5:W$40,'TRA balance'!$C$5:$C$40,Assumptions!$C41,'TRA balance'!$D$5:$D$40,Assumptions!$B41)*DQ41*Z41,"")</f>
        <v>5.6144605234370388</v>
      </c>
      <c r="BW41" s="34">
        <f ca="1">IFERROR(SUMIFS('TRA balance'!X$5:X$40,'TRA balance'!$C$5:$C$40,Assumptions!$C41,'TRA balance'!$D$5:$D$40,Assumptions!$B41)*DR41*AA41,"")</f>
        <v>5.7085281524700004</v>
      </c>
      <c r="BX41" s="34">
        <f ca="1">IFERROR(SUMIFS('TRA balance'!Y$5:Y$40,'TRA balance'!$C$5:$C$40,Assumptions!$C41,'TRA balance'!$D$5:$D$40,Assumptions!$B41)*DS41*AB41,"")</f>
        <v>0.505536254568</v>
      </c>
      <c r="BY41" s="34">
        <f ca="1">IFERROR(SUMIFS('TRA balance'!Z$5:Z$40,'TRA balance'!$C$5:$C$40,Assumptions!$C41,'TRA balance'!$D$5:$D$40,Assumptions!$B41)*DT41*AC41,"")</f>
        <v>34.52843566026214</v>
      </c>
      <c r="BZ41" s="34">
        <f ca="1">IFERROR(SUMIFS('TRA balance'!AA$5:AA$40,'TRA balance'!$C$5:$C$40,Assumptions!$C41,'TRA balance'!$D$5:$D$40,Assumptions!$B41)*DU41*AD41,"")</f>
        <v>6.0231319453800003E-2</v>
      </c>
      <c r="CA41" s="34">
        <f ca="1">IFERROR(SUMIFS('TRA balance'!AB$5:AB$40,'TRA balance'!$C$5:$C$40,Assumptions!$C41,'TRA balance'!$D$5:$D$40,Assumptions!$B41)*DV41*AE41,"")</f>
        <v>16.742780796174838</v>
      </c>
      <c r="CB41" s="34">
        <f ca="1">IFERROR(SUMIFS('TRA balance'!AC$5:AC$40,'TRA balance'!$C$5:$C$40,Assumptions!$C41,'TRA balance'!$D$5:$D$40,Assumptions!$B41)*DW41*AF41,"")</f>
        <v>53.645534681230806</v>
      </c>
      <c r="CC41" s="34">
        <f ca="1">IFERROR(SUMIFS('TRA balance'!AD$5:AD$40,'TRA balance'!$C$5:$C$40,Assumptions!$C41,'TRA balance'!$D$5:$D$40,Assumptions!$B41)*DX41*AG41,"")</f>
        <v>11.19629181057552</v>
      </c>
      <c r="CD41" s="34">
        <f ca="1">IFERROR(SUMIFS('TRA balance'!AE$5:AE$40,'TRA balance'!$C$5:$C$40,Assumptions!$C41,'TRA balance'!$D$5:$D$40,Assumptions!$B41)*DY41*AH41,"")</f>
        <v>0</v>
      </c>
      <c r="CE41" s="34">
        <f ca="1">IFERROR(SUMIFS('TRA balance'!AF$5:AF$40,'TRA balance'!$C$5:$C$40,Assumptions!$C41,'TRA balance'!$D$5:$D$40,Assumptions!$B41)*DZ41*AI41,"")</f>
        <v>0.1177349094</v>
      </c>
      <c r="CF41" s="34">
        <f ca="1">IFERROR(SUMIFS('TRA balance'!AG$5:AG$40,'TRA balance'!$C$5:$C$40,Assumptions!$C41,'TRA balance'!$D$5:$D$40,Assumptions!$B41)*EA41*AJ41,"")</f>
        <v>1.5892744207031999</v>
      </c>
      <c r="CG41" s="34">
        <f ca="1">IFERROR(SUMIFS('TRA balance'!AH$5:AH$40,'TRA balance'!$C$5:$C$40,Assumptions!$C41,'TRA balance'!$D$5:$D$40,Assumptions!$B41)*EB41*AK41,"")</f>
        <v>0</v>
      </c>
      <c r="CH41" s="34">
        <f ca="1">IFERROR(SUMIFS('TRA balance'!AI$5:AI$40,'TRA balance'!$C$5:$C$40,Assumptions!$C41,'TRA balance'!$D$5:$D$40,Assumptions!$B41)*EC41*AL41,"")</f>
        <v>1.9844967265199999E-2</v>
      </c>
      <c r="CI41" s="34">
        <f ca="1">IFERROR(SUMIFS('TRA balance'!AJ$5:AJ$40,'TRA balance'!$C$5:$C$40,Assumptions!$C41,'TRA balance'!$D$5:$D$40,Assumptions!$B41)*ED41*AM41,"")</f>
        <v>27.771119762399998</v>
      </c>
      <c r="CJ41" s="34">
        <f ca="1">IFERROR(SUMIFS('TRA balance'!AK$5:AK$40,'TRA balance'!$C$5:$C$40,Assumptions!$C41,'TRA balance'!$D$5:$D$40,Assumptions!$B41)*EE41*AN41,"")</f>
        <v>0.81288852034499992</v>
      </c>
      <c r="CK41" s="34">
        <f ca="1">IFERROR(SUMIFS('TRA balance'!AL$5:AL$40,'TRA balance'!$C$5:$C$40,Assumptions!$C41,'TRA balance'!$D$5:$D$40,Assumptions!$B41)*EF41*AO41,"")</f>
        <v>15.675189230230201</v>
      </c>
      <c r="CL41" s="34">
        <f ca="1">IFERROR(SUMIFS('TRA balance'!AM$5:AM$40,'TRA balance'!$C$5:$C$40,Assumptions!$C41,'TRA balance'!$D$5:$D$40,Assumptions!$B41)*EG41*AP41,"")</f>
        <v>1.9715400144990001</v>
      </c>
      <c r="CM41" s="34">
        <f ca="1">IFERROR(SUMIFS('TRA balance'!AN$5:AN$40,'TRA balance'!$C$5:$C$40,Assumptions!$C41,'TRA balance'!$D$5:$D$40,Assumptions!$B41)*EH41*AQ41,"")</f>
        <v>0</v>
      </c>
      <c r="CN41" s="34">
        <f ca="1">IFERROR(SUMIFS('TRA balance'!AO$5:AO$40,'TRA balance'!$C$5:$C$40,Assumptions!$C41,'TRA balance'!$D$5:$D$40,Assumptions!$B41)*EI41*AR41,"")</f>
        <v>0</v>
      </c>
      <c r="CO41" s="34">
        <f ca="1">IFERROR(SUMIFS('TRA balance'!AP$5:AP$40,'TRA balance'!$C$5:$C$40,Assumptions!$C41,'TRA balance'!$D$5:$D$40,Assumptions!$B41)*EJ41*AS41,"")</f>
        <v>0</v>
      </c>
      <c r="CP41" s="34">
        <f ca="1">IFERROR(SUMIFS('TRA balance'!AQ$5:AQ$40,'TRA balance'!$C$5:$C$40,Assumptions!$C41,'TRA balance'!$D$5:$D$40,Assumptions!$B41)*EK41*AT41,"")</f>
        <v>0</v>
      </c>
      <c r="CQ41" s="34">
        <f ca="1">IFERROR(SUMIFS('TRA balance'!AR$5:AR$40,'TRA balance'!$C$5:$C$40,Assumptions!$C41,'TRA balance'!$D$5:$D$40,Assumptions!$B41)*EL41*AU41,"")</f>
        <v>0</v>
      </c>
      <c r="CR41" s="34">
        <f ca="1">IFERROR(SUMIFS('TRA balance'!AS$5:AS$40,'TRA balance'!$C$5:$C$40,Assumptions!$C41,'TRA balance'!$D$5:$D$40,Assumptions!$B41)*EM41*AV41,"")</f>
        <v>0</v>
      </c>
      <c r="CS41" s="34">
        <f ca="1">IFERROR(SUMIFS('TRA balance'!AT$5:AT$40,'TRA balance'!$C$5:$C$40,Assumptions!$C41,'TRA balance'!$D$5:$D$40,Assumptions!$B41)*EN41*AW41,"")</f>
        <v>0</v>
      </c>
      <c r="CT41" s="34">
        <f ca="1">IFERROR(SUMIFS('TRA balance'!AU$5:AU$40,'TRA balance'!$C$5:$C$40,Assumptions!$C41,'TRA balance'!$D$5:$D$40,Assumptions!$B41)*EO41*AX41,"")</f>
        <v>0</v>
      </c>
      <c r="CU41" s="34">
        <f ca="1">IFERROR(SUMIFS('TRA balance'!AV$5:AV$40,'TRA balance'!$C$5:$C$40,Assumptions!$C41,'TRA balance'!$D$5:$D$40,Assumptions!$B41)*EP41*AY41,"")</f>
        <v>0</v>
      </c>
      <c r="CV41" s="34">
        <f ca="1">IFERROR(SUMIFS('TRA balance'!AW$5:AW$40,'TRA balance'!$C$5:$C$40,Assumptions!$C41,'TRA balance'!$D$5:$D$40,Assumptions!$B41)*EQ41*AZ41,"")</f>
        <v>0</v>
      </c>
      <c r="CW41" s="34">
        <f ca="1">IFERROR(SUMIFS('TRA balance'!AX$5:AX$40,'TRA balance'!$C$5:$C$40,Assumptions!$C41,'TRA balance'!$D$5:$D$40,Assumptions!$B41)*ER41*BA41,"")</f>
        <v>0</v>
      </c>
      <c r="CY41" s="33">
        <f t="shared" ca="1" si="66"/>
        <v>0.6</v>
      </c>
      <c r="CZ41" s="33">
        <f t="shared" ca="1" si="3"/>
        <v>0.6</v>
      </c>
      <c r="DA41" s="33">
        <f t="shared" ca="1" si="4"/>
        <v>0.25</v>
      </c>
      <c r="DB41" s="33">
        <f t="shared" ca="1" si="5"/>
        <v>0.75</v>
      </c>
      <c r="DC41" s="33">
        <f t="shared" ca="1" si="6"/>
        <v>0.56999999999999995</v>
      </c>
      <c r="DD41" s="33">
        <f t="shared" ca="1" si="7"/>
        <v>0.75</v>
      </c>
      <c r="DE41" s="33">
        <f t="shared" ca="1" si="8"/>
        <v>0.5</v>
      </c>
      <c r="DF41" s="33">
        <f t="shared" ca="1" si="9"/>
        <v>0.4</v>
      </c>
      <c r="DG41" s="33">
        <f t="shared" ca="1" si="10"/>
        <v>0.56999999999999995</v>
      </c>
      <c r="DH41" s="33">
        <f t="shared" ca="1" si="11"/>
        <v>0.56999999999999995</v>
      </c>
      <c r="DI41" s="33">
        <f t="shared" ca="1" si="12"/>
        <v>0.75</v>
      </c>
      <c r="DJ41" s="33">
        <f t="shared" ca="1" si="13"/>
        <v>0.75</v>
      </c>
      <c r="DK41" s="33">
        <f t="shared" ca="1" si="14"/>
        <v>0.75</v>
      </c>
      <c r="DL41" s="33">
        <f t="shared" ca="1" si="15"/>
        <v>0.56999999999999995</v>
      </c>
      <c r="DM41" s="33">
        <f t="shared" ca="1" si="16"/>
        <v>0.75</v>
      </c>
      <c r="DN41" s="33">
        <f t="shared" ca="1" si="17"/>
        <v>0.25</v>
      </c>
      <c r="DO41" s="33">
        <f t="shared" ca="1" si="18"/>
        <v>0.75</v>
      </c>
      <c r="DP41" s="33">
        <f t="shared" ca="1" si="19"/>
        <v>0.75</v>
      </c>
      <c r="DQ41" s="33">
        <f t="shared" ca="1" si="20"/>
        <v>0.56999999999999995</v>
      </c>
      <c r="DR41" s="33">
        <f t="shared" ca="1" si="21"/>
        <v>0.5</v>
      </c>
      <c r="DS41" s="33">
        <f t="shared" ca="1" si="22"/>
        <v>0.6</v>
      </c>
      <c r="DT41" s="33">
        <f t="shared" ca="1" si="23"/>
        <v>0.71921471715562335</v>
      </c>
      <c r="DU41" s="33">
        <f t="shared" ca="1" si="24"/>
        <v>0.75</v>
      </c>
      <c r="DV41" s="33">
        <f t="shared" ca="1" si="25"/>
        <v>0.56999999999999995</v>
      </c>
      <c r="DW41" s="33">
        <f t="shared" ca="1" si="26"/>
        <v>0.7</v>
      </c>
      <c r="DX41" s="33">
        <f t="shared" ca="1" si="27"/>
        <v>0.56999999999999995</v>
      </c>
      <c r="DY41" s="33">
        <f t="shared" ca="1" si="28"/>
        <v>0.6</v>
      </c>
      <c r="DZ41" s="33">
        <f t="shared" ca="1" si="29"/>
        <v>0.6</v>
      </c>
      <c r="EA41" s="33">
        <f t="shared" ca="1" si="30"/>
        <v>0.75</v>
      </c>
      <c r="EB41" s="33">
        <f t="shared" ca="1" si="31"/>
        <v>0.75</v>
      </c>
      <c r="EC41" s="33">
        <f t="shared" ca="1" si="32"/>
        <v>0.75</v>
      </c>
      <c r="ED41" s="33">
        <f t="shared" ca="1" si="33"/>
        <v>0.6</v>
      </c>
      <c r="EE41" s="33">
        <f t="shared" ca="1" si="34"/>
        <v>0.75</v>
      </c>
      <c r="EF41" s="33">
        <f t="shared" ca="1" si="35"/>
        <v>0.56999999999999995</v>
      </c>
      <c r="EG41" s="33">
        <f t="shared" ca="1" si="36"/>
        <v>0.56999999999999995</v>
      </c>
      <c r="EH41" s="33">
        <f t="shared" ca="1" si="37"/>
        <v>0.71921471715562335</v>
      </c>
      <c r="EI41" s="33">
        <f t="shared" ca="1" si="38"/>
        <v>0.71921471715562335</v>
      </c>
      <c r="EJ41" s="33">
        <f t="shared" ca="1" si="39"/>
        <v>0.71921471715562335</v>
      </c>
      <c r="EK41" s="33">
        <f t="shared" ca="1" si="40"/>
        <v>0.71921471715562335</v>
      </c>
      <c r="EL41" s="33">
        <f t="shared" ca="1" si="41"/>
        <v>0.71921471715562335</v>
      </c>
      <c r="EM41" s="33">
        <f t="shared" ca="1" si="42"/>
        <v>0.71921471715562335</v>
      </c>
      <c r="EN41" s="33">
        <f t="shared" ca="1" si="43"/>
        <v>0.71921471715562335</v>
      </c>
      <c r="EO41" s="33">
        <f t="shared" ca="1" si="44"/>
        <v>0.71921471715562335</v>
      </c>
      <c r="EP41" s="33">
        <f t="shared" ca="1" si="45"/>
        <v>0.71921471715562335</v>
      </c>
      <c r="EQ41" s="33">
        <f t="shared" ca="1" si="46"/>
        <v>0.71921471715562335</v>
      </c>
      <c r="ER41" s="33">
        <f t="shared" ca="1" si="47"/>
        <v>0.71921471715562335</v>
      </c>
    </row>
    <row r="42" spans="1:148">
      <c r="A42">
        <v>1</v>
      </c>
      <c r="B42" t="str">
        <f>VLOOKUP(F42,'TRA balance'!$BA$5:$BB$14,2,FALSE)</f>
        <v>TRALPG</v>
      </c>
      <c r="C42" s="6" t="str">
        <f t="shared" si="48"/>
        <v/>
      </c>
      <c r="D42" s="7"/>
      <c r="E42" s="19" t="s">
        <v>69</v>
      </c>
      <c r="F42" s="8" t="str">
        <f>F41</f>
        <v>Liquified Petroleum Gases</v>
      </c>
      <c r="G42" s="6"/>
      <c r="H42" s="20" t="str">
        <f ca="1">IF(SUM(H40:H41)=1,"-","&lt;&gt;1!!")</f>
        <v>-</v>
      </c>
      <c r="I42" s="20" t="str">
        <f t="shared" ref="I42:BA42" ca="1" si="71">IF(SUM(I40:I41)=1,"-","&lt;&gt;1!!")</f>
        <v>-</v>
      </c>
      <c r="J42" s="20" t="str">
        <f t="shared" ca="1" si="71"/>
        <v>-</v>
      </c>
      <c r="K42" s="20" t="str">
        <f t="shared" ca="1" si="71"/>
        <v>-</v>
      </c>
      <c r="L42" s="20" t="str">
        <f t="shared" ca="1" si="71"/>
        <v>-</v>
      </c>
      <c r="M42" s="20" t="str">
        <f t="shared" ca="1" si="71"/>
        <v>-</v>
      </c>
      <c r="N42" s="20" t="str">
        <f t="shared" ca="1" si="71"/>
        <v>-</v>
      </c>
      <c r="O42" s="20" t="str">
        <f t="shared" ca="1" si="71"/>
        <v>-</v>
      </c>
      <c r="P42" s="20" t="str">
        <f t="shared" ca="1" si="71"/>
        <v>-</v>
      </c>
      <c r="Q42" s="20" t="str">
        <f t="shared" ca="1" si="71"/>
        <v>-</v>
      </c>
      <c r="R42" s="20" t="str">
        <f t="shared" ca="1" si="71"/>
        <v>-</v>
      </c>
      <c r="S42" s="20" t="str">
        <f t="shared" ca="1" si="71"/>
        <v>-</v>
      </c>
      <c r="T42" s="20" t="str">
        <f t="shared" ca="1" si="71"/>
        <v>-</v>
      </c>
      <c r="U42" s="20" t="str">
        <f t="shared" ca="1" si="71"/>
        <v>-</v>
      </c>
      <c r="V42" s="20" t="str">
        <f t="shared" ca="1" si="71"/>
        <v>-</v>
      </c>
      <c r="W42" s="20" t="str">
        <f t="shared" ca="1" si="71"/>
        <v>-</v>
      </c>
      <c r="X42" s="20" t="str">
        <f t="shared" ca="1" si="71"/>
        <v>-</v>
      </c>
      <c r="Y42" s="20" t="str">
        <f t="shared" ca="1" si="71"/>
        <v>-</v>
      </c>
      <c r="Z42" s="20" t="str">
        <f t="shared" ca="1" si="71"/>
        <v>-</v>
      </c>
      <c r="AA42" s="20" t="str">
        <f t="shared" ca="1" si="71"/>
        <v>-</v>
      </c>
      <c r="AB42" s="20" t="str">
        <f t="shared" ca="1" si="71"/>
        <v>-</v>
      </c>
      <c r="AC42" s="20" t="str">
        <f t="shared" ca="1" si="71"/>
        <v>-</v>
      </c>
      <c r="AD42" s="20" t="str">
        <f t="shared" ca="1" si="71"/>
        <v>-</v>
      </c>
      <c r="AE42" s="20" t="str">
        <f t="shared" ca="1" si="71"/>
        <v>-</v>
      </c>
      <c r="AF42" s="20" t="str">
        <f t="shared" ca="1" si="71"/>
        <v>-</v>
      </c>
      <c r="AG42" s="20" t="str">
        <f t="shared" ca="1" si="71"/>
        <v>-</v>
      </c>
      <c r="AH42" s="20" t="str">
        <f t="shared" ca="1" si="71"/>
        <v>-</v>
      </c>
      <c r="AI42" s="20" t="str">
        <f t="shared" ca="1" si="71"/>
        <v>-</v>
      </c>
      <c r="AJ42" s="20" t="str">
        <f t="shared" ca="1" si="71"/>
        <v>-</v>
      </c>
      <c r="AK42" s="20" t="str">
        <f t="shared" ca="1" si="71"/>
        <v>-</v>
      </c>
      <c r="AL42" s="20" t="str">
        <f t="shared" ca="1" si="71"/>
        <v>-</v>
      </c>
      <c r="AM42" s="20" t="str">
        <f t="shared" ca="1" si="71"/>
        <v>-</v>
      </c>
      <c r="AN42" s="20" t="str">
        <f t="shared" ca="1" si="71"/>
        <v>-</v>
      </c>
      <c r="AO42" s="20" t="str">
        <f t="shared" ca="1" si="71"/>
        <v>-</v>
      </c>
      <c r="AP42" s="20" t="str">
        <f t="shared" ca="1" si="71"/>
        <v>-</v>
      </c>
      <c r="AQ42" s="20" t="str">
        <f t="shared" ca="1" si="71"/>
        <v>-</v>
      </c>
      <c r="AR42" s="20" t="str">
        <f t="shared" ca="1" si="71"/>
        <v>-</v>
      </c>
      <c r="AS42" s="20" t="str">
        <f t="shared" ca="1" si="71"/>
        <v>-</v>
      </c>
      <c r="AT42" s="20" t="str">
        <f t="shared" ca="1" si="71"/>
        <v>-</v>
      </c>
      <c r="AU42" s="20" t="str">
        <f t="shared" ca="1" si="71"/>
        <v>-</v>
      </c>
      <c r="AV42" s="20" t="str">
        <f t="shared" ca="1" si="71"/>
        <v>-</v>
      </c>
      <c r="AW42" s="20" t="str">
        <f t="shared" ca="1" si="71"/>
        <v>-</v>
      </c>
      <c r="AX42" s="20" t="str">
        <f t="shared" ca="1" si="71"/>
        <v>-</v>
      </c>
      <c r="AY42" s="20" t="str">
        <f t="shared" ca="1" si="71"/>
        <v>-</v>
      </c>
      <c r="AZ42" s="20" t="str">
        <f t="shared" ca="1" si="71"/>
        <v>-</v>
      </c>
      <c r="BA42" s="20" t="str">
        <f t="shared" ca="1" si="71"/>
        <v>-</v>
      </c>
      <c r="BD42" s="34" t="str">
        <f ca="1">IFERROR(SUMIFS('TRA balance'!E$5:E$40,'TRA balance'!$C$5:$C$40,Assumptions!$C42,'TRA balance'!$D$5:$D$40,Assumptions!$B42)*CY42*H42,"")</f>
        <v/>
      </c>
      <c r="BE42" s="34" t="str">
        <f ca="1">IFERROR(SUMIFS('TRA balance'!F$5:F$40,'TRA balance'!$C$5:$C$40,Assumptions!$C42,'TRA balance'!$D$5:$D$40,Assumptions!$B42)*CZ42*I42,"")</f>
        <v/>
      </c>
      <c r="BF42" s="34" t="str">
        <f ca="1">IFERROR(SUMIFS('TRA balance'!G$5:G$40,'TRA balance'!$C$5:$C$40,Assumptions!$C42,'TRA balance'!$D$5:$D$40,Assumptions!$B42)*DA42*J42,"")</f>
        <v/>
      </c>
      <c r="BG42" s="34" t="str">
        <f ca="1">IFERROR(SUMIFS('TRA balance'!H$5:H$40,'TRA balance'!$C$5:$C$40,Assumptions!$C42,'TRA balance'!$D$5:$D$40,Assumptions!$B42)*DB42*K42,"")</f>
        <v/>
      </c>
      <c r="BH42" s="34" t="str">
        <f ca="1">IFERROR(SUMIFS('TRA balance'!I$5:I$40,'TRA balance'!$C$5:$C$40,Assumptions!$C42,'TRA balance'!$D$5:$D$40,Assumptions!$B42)*DC42*L42,"")</f>
        <v/>
      </c>
      <c r="BI42" s="34" t="str">
        <f ca="1">IFERROR(SUMIFS('TRA balance'!J$5:J$40,'TRA balance'!$C$5:$C$40,Assumptions!$C42,'TRA balance'!$D$5:$D$40,Assumptions!$B42)*DD42*M42,"")</f>
        <v/>
      </c>
      <c r="BJ42" s="34" t="str">
        <f ca="1">IFERROR(SUMIFS('TRA balance'!K$5:K$40,'TRA balance'!$C$5:$C$40,Assumptions!$C42,'TRA balance'!$D$5:$D$40,Assumptions!$B42)*DE42*N42,"")</f>
        <v/>
      </c>
      <c r="BK42" s="34" t="str">
        <f ca="1">IFERROR(SUMIFS('TRA balance'!L$5:L$40,'TRA balance'!$C$5:$C$40,Assumptions!$C42,'TRA balance'!$D$5:$D$40,Assumptions!$B42)*DF42*O42,"")</f>
        <v/>
      </c>
      <c r="BL42" s="34" t="str">
        <f ca="1">IFERROR(SUMIFS('TRA balance'!M$5:M$40,'TRA balance'!$C$5:$C$40,Assumptions!$C42,'TRA balance'!$D$5:$D$40,Assumptions!$B42)*DG42*P42,"")</f>
        <v/>
      </c>
      <c r="BM42" s="34" t="str">
        <f ca="1">IFERROR(SUMIFS('TRA balance'!N$5:N$40,'TRA balance'!$C$5:$C$40,Assumptions!$C42,'TRA balance'!$D$5:$D$40,Assumptions!$B42)*DH42*Q42,"")</f>
        <v/>
      </c>
      <c r="BN42" s="34" t="str">
        <f ca="1">IFERROR(SUMIFS('TRA balance'!O$5:O$40,'TRA balance'!$C$5:$C$40,Assumptions!$C42,'TRA balance'!$D$5:$D$40,Assumptions!$B42)*DI42*R42,"")</f>
        <v/>
      </c>
      <c r="BO42" s="34" t="str">
        <f ca="1">IFERROR(SUMIFS('TRA balance'!P$5:P$40,'TRA balance'!$C$5:$C$40,Assumptions!$C42,'TRA balance'!$D$5:$D$40,Assumptions!$B42)*DJ42*S42,"")</f>
        <v/>
      </c>
      <c r="BP42" s="34" t="str">
        <f ca="1">IFERROR(SUMIFS('TRA balance'!Q$5:Q$40,'TRA balance'!$C$5:$C$40,Assumptions!$C42,'TRA balance'!$D$5:$D$40,Assumptions!$B42)*DK42*T42,"")</f>
        <v/>
      </c>
      <c r="BQ42" s="34" t="str">
        <f ca="1">IFERROR(SUMIFS('TRA balance'!R$5:R$40,'TRA balance'!$C$5:$C$40,Assumptions!$C42,'TRA balance'!$D$5:$D$40,Assumptions!$B42)*DL42*U42,"")</f>
        <v/>
      </c>
      <c r="BR42" s="34" t="str">
        <f ca="1">IFERROR(SUMIFS('TRA balance'!S$5:S$40,'TRA balance'!$C$5:$C$40,Assumptions!$C42,'TRA balance'!$D$5:$D$40,Assumptions!$B42)*DM42*V42,"")</f>
        <v/>
      </c>
      <c r="BS42" s="34" t="str">
        <f ca="1">IFERROR(SUMIFS('TRA balance'!T$5:T$40,'TRA balance'!$C$5:$C$40,Assumptions!$C42,'TRA balance'!$D$5:$D$40,Assumptions!$B42)*DN42*W42,"")</f>
        <v/>
      </c>
      <c r="BT42" s="34" t="str">
        <f ca="1">IFERROR(SUMIFS('TRA balance'!U$5:U$40,'TRA balance'!$C$5:$C$40,Assumptions!$C42,'TRA balance'!$D$5:$D$40,Assumptions!$B42)*DO42*X42,"")</f>
        <v/>
      </c>
      <c r="BU42" s="34" t="str">
        <f ca="1">IFERROR(SUMIFS('TRA balance'!V$5:V$40,'TRA balance'!$C$5:$C$40,Assumptions!$C42,'TRA balance'!$D$5:$D$40,Assumptions!$B42)*DP42*Y42,"")</f>
        <v/>
      </c>
      <c r="BV42" s="34" t="str">
        <f ca="1">IFERROR(SUMIFS('TRA balance'!W$5:W$40,'TRA balance'!$C$5:$C$40,Assumptions!$C42,'TRA balance'!$D$5:$D$40,Assumptions!$B42)*DQ42*Z42,"")</f>
        <v/>
      </c>
      <c r="BW42" s="34" t="str">
        <f ca="1">IFERROR(SUMIFS('TRA balance'!X$5:X$40,'TRA balance'!$C$5:$C$40,Assumptions!$C42,'TRA balance'!$D$5:$D$40,Assumptions!$B42)*DR42*AA42,"")</f>
        <v/>
      </c>
      <c r="BX42" s="34" t="str">
        <f ca="1">IFERROR(SUMIFS('TRA balance'!Y$5:Y$40,'TRA balance'!$C$5:$C$40,Assumptions!$C42,'TRA balance'!$D$5:$D$40,Assumptions!$B42)*DS42*AB42,"")</f>
        <v/>
      </c>
      <c r="BY42" s="34" t="str">
        <f ca="1">IFERROR(SUMIFS('TRA balance'!Z$5:Z$40,'TRA balance'!$C$5:$C$40,Assumptions!$C42,'TRA balance'!$D$5:$D$40,Assumptions!$B42)*DT42*AC42,"")</f>
        <v/>
      </c>
      <c r="BZ42" s="34" t="str">
        <f ca="1">IFERROR(SUMIFS('TRA balance'!AA$5:AA$40,'TRA balance'!$C$5:$C$40,Assumptions!$C42,'TRA balance'!$D$5:$D$40,Assumptions!$B42)*DU42*AD42,"")</f>
        <v/>
      </c>
      <c r="CA42" s="34" t="str">
        <f ca="1">IFERROR(SUMIFS('TRA balance'!AB$5:AB$40,'TRA balance'!$C$5:$C$40,Assumptions!$C42,'TRA balance'!$D$5:$D$40,Assumptions!$B42)*DV42*AE42,"")</f>
        <v/>
      </c>
      <c r="CB42" s="34" t="str">
        <f ca="1">IFERROR(SUMIFS('TRA balance'!AC$5:AC$40,'TRA balance'!$C$5:$C$40,Assumptions!$C42,'TRA balance'!$D$5:$D$40,Assumptions!$B42)*DW42*AF42,"")</f>
        <v/>
      </c>
      <c r="CC42" s="34" t="str">
        <f ca="1">IFERROR(SUMIFS('TRA balance'!AD$5:AD$40,'TRA balance'!$C$5:$C$40,Assumptions!$C42,'TRA balance'!$D$5:$D$40,Assumptions!$B42)*DX42*AG42,"")</f>
        <v/>
      </c>
      <c r="CD42" s="34" t="str">
        <f ca="1">IFERROR(SUMIFS('TRA balance'!AE$5:AE$40,'TRA balance'!$C$5:$C$40,Assumptions!$C42,'TRA balance'!$D$5:$D$40,Assumptions!$B42)*DY42*AH42,"")</f>
        <v/>
      </c>
      <c r="CE42" s="34" t="str">
        <f ca="1">IFERROR(SUMIFS('TRA balance'!AF$5:AF$40,'TRA balance'!$C$5:$C$40,Assumptions!$C42,'TRA balance'!$D$5:$D$40,Assumptions!$B42)*DZ42*AI42,"")</f>
        <v/>
      </c>
      <c r="CF42" s="34" t="str">
        <f ca="1">IFERROR(SUMIFS('TRA balance'!AG$5:AG$40,'TRA balance'!$C$5:$C$40,Assumptions!$C42,'TRA balance'!$D$5:$D$40,Assumptions!$B42)*EA42*AJ42,"")</f>
        <v/>
      </c>
      <c r="CG42" s="34" t="str">
        <f ca="1">IFERROR(SUMIFS('TRA balance'!AH$5:AH$40,'TRA balance'!$C$5:$C$40,Assumptions!$C42,'TRA balance'!$D$5:$D$40,Assumptions!$B42)*EB42*AK42,"")</f>
        <v/>
      </c>
      <c r="CH42" s="34" t="str">
        <f ca="1">IFERROR(SUMIFS('TRA balance'!AI$5:AI$40,'TRA balance'!$C$5:$C$40,Assumptions!$C42,'TRA balance'!$D$5:$D$40,Assumptions!$B42)*EC42*AL42,"")</f>
        <v/>
      </c>
      <c r="CI42" s="34" t="str">
        <f ca="1">IFERROR(SUMIFS('TRA balance'!AJ$5:AJ$40,'TRA balance'!$C$5:$C$40,Assumptions!$C42,'TRA balance'!$D$5:$D$40,Assumptions!$B42)*ED42*AM42,"")</f>
        <v/>
      </c>
      <c r="CJ42" s="34" t="str">
        <f ca="1">IFERROR(SUMIFS('TRA balance'!AK$5:AK$40,'TRA balance'!$C$5:$C$40,Assumptions!$C42,'TRA balance'!$D$5:$D$40,Assumptions!$B42)*EE42*AN42,"")</f>
        <v/>
      </c>
      <c r="CK42" s="34" t="str">
        <f ca="1">IFERROR(SUMIFS('TRA balance'!AL$5:AL$40,'TRA balance'!$C$5:$C$40,Assumptions!$C42,'TRA balance'!$D$5:$D$40,Assumptions!$B42)*EF42*AO42,"")</f>
        <v/>
      </c>
      <c r="CL42" s="34" t="str">
        <f ca="1">IFERROR(SUMIFS('TRA balance'!AM$5:AM$40,'TRA balance'!$C$5:$C$40,Assumptions!$C42,'TRA balance'!$D$5:$D$40,Assumptions!$B42)*EG42*AP42,"")</f>
        <v/>
      </c>
      <c r="CM42" s="34" t="str">
        <f ca="1">IFERROR(SUMIFS('TRA balance'!AN$5:AN$40,'TRA balance'!$C$5:$C$40,Assumptions!$C42,'TRA balance'!$D$5:$D$40,Assumptions!$B42)*EH42*AQ42,"")</f>
        <v/>
      </c>
      <c r="CN42" s="34" t="str">
        <f ca="1">IFERROR(SUMIFS('TRA balance'!AO$5:AO$40,'TRA balance'!$C$5:$C$40,Assumptions!$C42,'TRA balance'!$D$5:$D$40,Assumptions!$B42)*EI42*AR42,"")</f>
        <v/>
      </c>
      <c r="CO42" s="34" t="str">
        <f ca="1">IFERROR(SUMIFS('TRA balance'!AP$5:AP$40,'TRA balance'!$C$5:$C$40,Assumptions!$C42,'TRA balance'!$D$5:$D$40,Assumptions!$B42)*EJ42*AS42,"")</f>
        <v/>
      </c>
      <c r="CP42" s="34" t="str">
        <f ca="1">IFERROR(SUMIFS('TRA balance'!AQ$5:AQ$40,'TRA balance'!$C$5:$C$40,Assumptions!$C42,'TRA balance'!$D$5:$D$40,Assumptions!$B42)*EK42*AT42,"")</f>
        <v/>
      </c>
      <c r="CQ42" s="34" t="str">
        <f ca="1">IFERROR(SUMIFS('TRA balance'!AR$5:AR$40,'TRA balance'!$C$5:$C$40,Assumptions!$C42,'TRA balance'!$D$5:$D$40,Assumptions!$B42)*EL42*AU42,"")</f>
        <v/>
      </c>
      <c r="CR42" s="34" t="str">
        <f ca="1">IFERROR(SUMIFS('TRA balance'!AS$5:AS$40,'TRA balance'!$C$5:$C$40,Assumptions!$C42,'TRA balance'!$D$5:$D$40,Assumptions!$B42)*EM42*AV42,"")</f>
        <v/>
      </c>
      <c r="CS42" s="34" t="str">
        <f ca="1">IFERROR(SUMIFS('TRA balance'!AT$5:AT$40,'TRA balance'!$C$5:$C$40,Assumptions!$C42,'TRA balance'!$D$5:$D$40,Assumptions!$B42)*EN42*AW42,"")</f>
        <v/>
      </c>
      <c r="CT42" s="34" t="str">
        <f ca="1">IFERROR(SUMIFS('TRA balance'!AU$5:AU$40,'TRA balance'!$C$5:$C$40,Assumptions!$C42,'TRA balance'!$D$5:$D$40,Assumptions!$B42)*EO42*AX42,"")</f>
        <v/>
      </c>
      <c r="CU42" s="34" t="str">
        <f ca="1">IFERROR(SUMIFS('TRA balance'!AV$5:AV$40,'TRA balance'!$C$5:$C$40,Assumptions!$C42,'TRA balance'!$D$5:$D$40,Assumptions!$B42)*EP42*AY42,"")</f>
        <v/>
      </c>
      <c r="CV42" s="34" t="str">
        <f ca="1">IFERROR(SUMIFS('TRA balance'!AW$5:AW$40,'TRA balance'!$C$5:$C$40,Assumptions!$C42,'TRA balance'!$D$5:$D$40,Assumptions!$B42)*EQ42*AZ42,"")</f>
        <v/>
      </c>
      <c r="CW42" s="34" t="str">
        <f ca="1">IFERROR(SUMIFS('TRA balance'!AX$5:AX$40,'TRA balance'!$C$5:$C$40,Assumptions!$C42,'TRA balance'!$D$5:$D$40,Assumptions!$B42)*ER42*BA42,"")</f>
        <v/>
      </c>
      <c r="CY42" s="33">
        <f t="shared" si="66"/>
        <v>1</v>
      </c>
      <c r="CZ42" s="33">
        <f t="shared" si="3"/>
        <v>1</v>
      </c>
      <c r="DA42" s="33">
        <f t="shared" si="4"/>
        <v>1</v>
      </c>
      <c r="DB42" s="33">
        <f t="shared" si="5"/>
        <v>1</v>
      </c>
      <c r="DC42" s="33">
        <f t="shared" si="6"/>
        <v>1</v>
      </c>
      <c r="DD42" s="33">
        <f t="shared" si="7"/>
        <v>1</v>
      </c>
      <c r="DE42" s="33">
        <f t="shared" si="8"/>
        <v>1</v>
      </c>
      <c r="DF42" s="33">
        <f t="shared" si="9"/>
        <v>1</v>
      </c>
      <c r="DG42" s="33">
        <f t="shared" si="10"/>
        <v>1</v>
      </c>
      <c r="DH42" s="33">
        <f t="shared" si="11"/>
        <v>1</v>
      </c>
      <c r="DI42" s="33">
        <f t="shared" si="12"/>
        <v>1</v>
      </c>
      <c r="DJ42" s="33">
        <f t="shared" si="13"/>
        <v>1</v>
      </c>
      <c r="DK42" s="33">
        <f t="shared" si="14"/>
        <v>1</v>
      </c>
      <c r="DL42" s="33">
        <f t="shared" si="15"/>
        <v>1</v>
      </c>
      <c r="DM42" s="33">
        <f t="shared" si="16"/>
        <v>1</v>
      </c>
      <c r="DN42" s="33">
        <f t="shared" si="17"/>
        <v>1</v>
      </c>
      <c r="DO42" s="33">
        <f t="shared" si="18"/>
        <v>1</v>
      </c>
      <c r="DP42" s="33">
        <f t="shared" si="19"/>
        <v>1</v>
      </c>
      <c r="DQ42" s="33">
        <f t="shared" si="20"/>
        <v>1</v>
      </c>
      <c r="DR42" s="33">
        <f t="shared" si="21"/>
        <v>1</v>
      </c>
      <c r="DS42" s="33">
        <f t="shared" si="22"/>
        <v>1</v>
      </c>
      <c r="DT42" s="33">
        <f t="shared" si="23"/>
        <v>1</v>
      </c>
      <c r="DU42" s="33">
        <f t="shared" si="24"/>
        <v>1</v>
      </c>
      <c r="DV42" s="33">
        <f t="shared" si="25"/>
        <v>1</v>
      </c>
      <c r="DW42" s="33">
        <f t="shared" si="26"/>
        <v>1</v>
      </c>
      <c r="DX42" s="33">
        <f t="shared" si="27"/>
        <v>1</v>
      </c>
      <c r="DY42" s="33">
        <f t="shared" si="28"/>
        <v>1</v>
      </c>
      <c r="DZ42" s="33">
        <f t="shared" si="29"/>
        <v>1</v>
      </c>
      <c r="EA42" s="33">
        <f t="shared" si="30"/>
        <v>1</v>
      </c>
      <c r="EB42" s="33">
        <f t="shared" si="31"/>
        <v>1</v>
      </c>
      <c r="EC42" s="33">
        <f t="shared" si="32"/>
        <v>1</v>
      </c>
      <c r="ED42" s="33">
        <f t="shared" si="33"/>
        <v>1</v>
      </c>
      <c r="EE42" s="33">
        <f t="shared" si="34"/>
        <v>1</v>
      </c>
      <c r="EF42" s="33">
        <f t="shared" si="35"/>
        <v>1</v>
      </c>
      <c r="EG42" s="33">
        <f t="shared" si="36"/>
        <v>1</v>
      </c>
      <c r="EH42" s="33">
        <f t="shared" si="37"/>
        <v>1</v>
      </c>
      <c r="EI42" s="33">
        <f t="shared" si="38"/>
        <v>1</v>
      </c>
      <c r="EJ42" s="33">
        <f t="shared" si="39"/>
        <v>1</v>
      </c>
      <c r="EK42" s="33">
        <f t="shared" si="40"/>
        <v>1</v>
      </c>
      <c r="EL42" s="33">
        <f t="shared" si="41"/>
        <v>1</v>
      </c>
      <c r="EM42" s="33">
        <f t="shared" si="42"/>
        <v>1</v>
      </c>
      <c r="EN42" s="33">
        <f t="shared" si="43"/>
        <v>1</v>
      </c>
      <c r="EO42" s="33">
        <f t="shared" si="44"/>
        <v>1</v>
      </c>
      <c r="EP42" s="33">
        <f t="shared" si="45"/>
        <v>1</v>
      </c>
      <c r="EQ42" s="33">
        <f t="shared" si="46"/>
        <v>1</v>
      </c>
      <c r="ER42" s="33">
        <f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14">
        <v>2</v>
      </c>
      <c r="D43" s="15" t="s">
        <v>16</v>
      </c>
      <c r="E43" s="15" t="s">
        <v>70</v>
      </c>
      <c r="F43" s="16" t="str">
        <f>F42</f>
        <v>Liquified Petroleum Gases</v>
      </c>
      <c r="G43" s="14"/>
      <c r="H43" s="21">
        <f t="shared" ref="H43" ca="1" si="72">1-H39</f>
        <v>0.4</v>
      </c>
      <c r="I43" s="21">
        <f t="shared" ref="I43:BA43" ca="1" si="73">1-I39</f>
        <v>0.4</v>
      </c>
      <c r="J43" s="21">
        <f t="shared" ca="1" si="73"/>
        <v>0.75</v>
      </c>
      <c r="K43" s="21">
        <f t="shared" ca="1" si="73"/>
        <v>0.25</v>
      </c>
      <c r="L43" s="21">
        <f t="shared" ca="1" si="73"/>
        <v>0.43000000000000005</v>
      </c>
      <c r="M43" s="21">
        <f t="shared" ca="1" si="73"/>
        <v>0.25</v>
      </c>
      <c r="N43" s="21">
        <f t="shared" ca="1" si="73"/>
        <v>0.5</v>
      </c>
      <c r="O43" s="21">
        <f t="shared" ca="1" si="73"/>
        <v>0.6</v>
      </c>
      <c r="P43" s="21">
        <f t="shared" ca="1" si="73"/>
        <v>0.43000000000000005</v>
      </c>
      <c r="Q43" s="21">
        <f t="shared" ca="1" si="73"/>
        <v>0.43000000000000005</v>
      </c>
      <c r="R43" s="21">
        <f t="shared" ca="1" si="73"/>
        <v>0.25</v>
      </c>
      <c r="S43" s="21">
        <f t="shared" ca="1" si="73"/>
        <v>0.25</v>
      </c>
      <c r="T43" s="21">
        <f t="shared" ca="1" si="73"/>
        <v>0.25</v>
      </c>
      <c r="U43" s="21">
        <f t="shared" ca="1" si="73"/>
        <v>0.43000000000000005</v>
      </c>
      <c r="V43" s="21">
        <f t="shared" ca="1" si="73"/>
        <v>0.25</v>
      </c>
      <c r="W43" s="21">
        <f t="shared" ca="1" si="73"/>
        <v>0.75</v>
      </c>
      <c r="X43" s="21">
        <f t="shared" ca="1" si="73"/>
        <v>0.25</v>
      </c>
      <c r="Y43" s="21">
        <f t="shared" ca="1" si="73"/>
        <v>0.25</v>
      </c>
      <c r="Z43" s="21">
        <f t="shared" ca="1" si="73"/>
        <v>0.43000000000000005</v>
      </c>
      <c r="AA43" s="21">
        <f t="shared" ca="1" si="73"/>
        <v>0.5</v>
      </c>
      <c r="AB43" s="21">
        <f t="shared" ca="1" si="73"/>
        <v>0.4</v>
      </c>
      <c r="AC43" s="21">
        <f t="shared" ca="1" si="73"/>
        <v>0.28078528284437665</v>
      </c>
      <c r="AD43" s="21">
        <f t="shared" ca="1" si="73"/>
        <v>0.25</v>
      </c>
      <c r="AE43" s="21">
        <f t="shared" ca="1" si="73"/>
        <v>0.43000000000000005</v>
      </c>
      <c r="AF43" s="21">
        <f t="shared" ca="1" si="73"/>
        <v>0.30000000000000004</v>
      </c>
      <c r="AG43" s="21">
        <f t="shared" ca="1" si="73"/>
        <v>0.43000000000000005</v>
      </c>
      <c r="AH43" s="21">
        <f t="shared" ca="1" si="73"/>
        <v>0.4</v>
      </c>
      <c r="AI43" s="21">
        <f t="shared" ca="1" si="73"/>
        <v>0.4</v>
      </c>
      <c r="AJ43" s="21">
        <f t="shared" ca="1" si="73"/>
        <v>0.25</v>
      </c>
      <c r="AK43" s="21">
        <f t="shared" ca="1" si="73"/>
        <v>0.25</v>
      </c>
      <c r="AL43" s="21">
        <f t="shared" ca="1" si="73"/>
        <v>0.25</v>
      </c>
      <c r="AM43" s="21">
        <f t="shared" ca="1" si="73"/>
        <v>0.4</v>
      </c>
      <c r="AN43" s="21">
        <f t="shared" ca="1" si="73"/>
        <v>0.25</v>
      </c>
      <c r="AO43" s="21">
        <f t="shared" ca="1" si="73"/>
        <v>0.43000000000000005</v>
      </c>
      <c r="AP43" s="21">
        <f t="shared" ca="1" si="73"/>
        <v>0.43000000000000005</v>
      </c>
      <c r="AQ43" s="21">
        <f t="shared" ca="1" si="73"/>
        <v>0.28078528284437665</v>
      </c>
      <c r="AR43" s="21">
        <f t="shared" ca="1" si="73"/>
        <v>0.28078528284437665</v>
      </c>
      <c r="AS43" s="21">
        <f t="shared" ca="1" si="73"/>
        <v>0.28078528284437665</v>
      </c>
      <c r="AT43" s="21">
        <f t="shared" ca="1" si="73"/>
        <v>0.28078528284437665</v>
      </c>
      <c r="AU43" s="21">
        <f t="shared" ca="1" si="73"/>
        <v>0.28078528284437665</v>
      </c>
      <c r="AV43" s="21">
        <f t="shared" ca="1" si="73"/>
        <v>0.28078528284437665</v>
      </c>
      <c r="AW43" s="21">
        <f t="shared" ca="1" si="73"/>
        <v>0.28078528284437665</v>
      </c>
      <c r="AX43" s="21">
        <f t="shared" ca="1" si="73"/>
        <v>0.28078528284437665</v>
      </c>
      <c r="AY43" s="21">
        <f t="shared" ca="1" si="73"/>
        <v>0.28078528284437665</v>
      </c>
      <c r="AZ43" s="21">
        <f t="shared" ca="1" si="73"/>
        <v>0.28078528284437665</v>
      </c>
      <c r="BA43" s="21">
        <f t="shared" ca="1" si="73"/>
        <v>0.28078528284437665</v>
      </c>
      <c r="BD43" s="34">
        <f ca="1">IFERROR(SUMIFS('TRA balance'!E$5:E$40,'TRA balance'!$C$5:$C$40,Assumptions!$C43,'TRA balance'!$D$5:$D$40,Assumptions!$B43)*CY43*H43,"")</f>
        <v>0</v>
      </c>
      <c r="BE43" s="34">
        <f ca="1">IFERROR(SUMIFS('TRA balance'!F$5:F$40,'TRA balance'!$C$5:$C$40,Assumptions!$C43,'TRA balance'!$D$5:$D$40,Assumptions!$B43)*CZ43*I43,"")</f>
        <v>0</v>
      </c>
      <c r="BF43" s="34">
        <f ca="1">IFERROR(SUMIFS('TRA balance'!G$5:G$40,'TRA balance'!$C$5:$C$40,Assumptions!$C43,'TRA balance'!$D$5:$D$40,Assumptions!$B43)*DA43*J43,"")</f>
        <v>0</v>
      </c>
      <c r="BG43" s="34">
        <f ca="1">IFERROR(SUMIFS('TRA balance'!H$5:H$40,'TRA balance'!$C$5:$C$40,Assumptions!$C43,'TRA balance'!$D$5:$D$40,Assumptions!$B43)*DB43*K43,"")</f>
        <v>0</v>
      </c>
      <c r="BH43" s="34">
        <f ca="1">IFERROR(SUMIFS('TRA balance'!I$5:I$40,'TRA balance'!$C$5:$C$40,Assumptions!$C43,'TRA balance'!$D$5:$D$40,Assumptions!$B43)*DC43*L43,"")</f>
        <v>0</v>
      </c>
      <c r="BI43" s="34">
        <f ca="1">IFERROR(SUMIFS('TRA balance'!J$5:J$40,'TRA balance'!$C$5:$C$40,Assumptions!$C43,'TRA balance'!$D$5:$D$40,Assumptions!$B43)*DD43*M43,"")</f>
        <v>0</v>
      </c>
      <c r="BJ43" s="34">
        <f ca="1">IFERROR(SUMIFS('TRA balance'!K$5:K$40,'TRA balance'!$C$5:$C$40,Assumptions!$C43,'TRA balance'!$D$5:$D$40,Assumptions!$B43)*DE43*N43,"")</f>
        <v>0</v>
      </c>
      <c r="BK43" s="34">
        <f ca="1">IFERROR(SUMIFS('TRA balance'!L$5:L$40,'TRA balance'!$C$5:$C$40,Assumptions!$C43,'TRA balance'!$D$5:$D$40,Assumptions!$B43)*DF43*O43,"")</f>
        <v>0</v>
      </c>
      <c r="BL43" s="34">
        <f ca="1">IFERROR(SUMIFS('TRA balance'!M$5:M$40,'TRA balance'!$C$5:$C$40,Assumptions!$C43,'TRA balance'!$D$5:$D$40,Assumptions!$B43)*DG43*P43,"")</f>
        <v>0</v>
      </c>
      <c r="BM43" s="34">
        <f ca="1">IFERROR(SUMIFS('TRA balance'!N$5:N$40,'TRA balance'!$C$5:$C$40,Assumptions!$C43,'TRA balance'!$D$5:$D$40,Assumptions!$B43)*DH43*Q43,"")</f>
        <v>0</v>
      </c>
      <c r="BN43" s="34">
        <f ca="1">IFERROR(SUMIFS('TRA balance'!O$5:O$40,'TRA balance'!$C$5:$C$40,Assumptions!$C43,'TRA balance'!$D$5:$D$40,Assumptions!$B43)*DI43*R43,"")</f>
        <v>0</v>
      </c>
      <c r="BO43" s="34">
        <f ca="1">IFERROR(SUMIFS('TRA balance'!P$5:P$40,'TRA balance'!$C$5:$C$40,Assumptions!$C43,'TRA balance'!$D$5:$D$40,Assumptions!$B43)*DJ43*S43,"")</f>
        <v>0</v>
      </c>
      <c r="BP43" s="34">
        <f ca="1">IFERROR(SUMIFS('TRA balance'!Q$5:Q$40,'TRA balance'!$C$5:$C$40,Assumptions!$C43,'TRA balance'!$D$5:$D$40,Assumptions!$B43)*DK43*T43,"")</f>
        <v>0</v>
      </c>
      <c r="BQ43" s="34">
        <f ca="1">IFERROR(SUMIFS('TRA balance'!R$5:R$40,'TRA balance'!$C$5:$C$40,Assumptions!$C43,'TRA balance'!$D$5:$D$40,Assumptions!$B43)*DL43*U43,"")</f>
        <v>0</v>
      </c>
      <c r="BR43" s="34">
        <f ca="1">IFERROR(SUMIFS('TRA balance'!S$5:S$40,'TRA balance'!$C$5:$C$40,Assumptions!$C43,'TRA balance'!$D$5:$D$40,Assumptions!$B43)*DM43*V43,"")</f>
        <v>0</v>
      </c>
      <c r="BS43" s="34">
        <f ca="1">IFERROR(SUMIFS('TRA balance'!T$5:T$40,'TRA balance'!$C$5:$C$40,Assumptions!$C43,'TRA balance'!$D$5:$D$40,Assumptions!$B43)*DN43*W43,"")</f>
        <v>0</v>
      </c>
      <c r="BT43" s="34">
        <f ca="1">IFERROR(SUMIFS('TRA balance'!U$5:U$40,'TRA balance'!$C$5:$C$40,Assumptions!$C43,'TRA balance'!$D$5:$D$40,Assumptions!$B43)*DO43*X43,"")</f>
        <v>0</v>
      </c>
      <c r="BU43" s="34">
        <f ca="1">IFERROR(SUMIFS('TRA balance'!V$5:V$40,'TRA balance'!$C$5:$C$40,Assumptions!$C43,'TRA balance'!$D$5:$D$40,Assumptions!$B43)*DP43*Y43,"")</f>
        <v>0</v>
      </c>
      <c r="BV43" s="34">
        <f ca="1">IFERROR(SUMIFS('TRA balance'!W$5:W$40,'TRA balance'!$C$5:$C$40,Assumptions!$C43,'TRA balance'!$D$5:$D$40,Assumptions!$B43)*DQ43*Z43,"")</f>
        <v>0</v>
      </c>
      <c r="BW43" s="34">
        <f ca="1">IFERROR(SUMIFS('TRA balance'!X$5:X$40,'TRA balance'!$C$5:$C$40,Assumptions!$C43,'TRA balance'!$D$5:$D$40,Assumptions!$B43)*DR43*AA43,"")</f>
        <v>0</v>
      </c>
      <c r="BX43" s="34">
        <f ca="1">IFERROR(SUMIFS('TRA balance'!Y$5:Y$40,'TRA balance'!$C$5:$C$40,Assumptions!$C43,'TRA balance'!$D$5:$D$40,Assumptions!$B43)*DS43*AB43,"")</f>
        <v>0</v>
      </c>
      <c r="BY43" s="34">
        <f ca="1">IFERROR(SUMIFS('TRA balance'!Z$5:Z$40,'TRA balance'!$C$5:$C$40,Assumptions!$C43,'TRA balance'!$D$5:$D$40,Assumptions!$B43)*DT43*AC43,"")</f>
        <v>0</v>
      </c>
      <c r="BZ43" s="34">
        <f ca="1">IFERROR(SUMIFS('TRA balance'!AA$5:AA$40,'TRA balance'!$C$5:$C$40,Assumptions!$C43,'TRA balance'!$D$5:$D$40,Assumptions!$B43)*DU43*AD43,"")</f>
        <v>0</v>
      </c>
      <c r="CA43" s="34">
        <f ca="1">IFERROR(SUMIFS('TRA balance'!AB$5:AB$40,'TRA balance'!$C$5:$C$40,Assumptions!$C43,'TRA balance'!$D$5:$D$40,Assumptions!$B43)*DV43*AE43,"")</f>
        <v>0</v>
      </c>
      <c r="CB43" s="34">
        <f ca="1">IFERROR(SUMIFS('TRA balance'!AC$5:AC$40,'TRA balance'!$C$5:$C$40,Assumptions!$C43,'TRA balance'!$D$5:$D$40,Assumptions!$B43)*DW43*AF43,"")</f>
        <v>0</v>
      </c>
      <c r="CC43" s="34">
        <f ca="1">IFERROR(SUMIFS('TRA balance'!AD$5:AD$40,'TRA balance'!$C$5:$C$40,Assumptions!$C43,'TRA balance'!$D$5:$D$40,Assumptions!$B43)*DX43*AG43,"")</f>
        <v>0</v>
      </c>
      <c r="CD43" s="34">
        <f ca="1">IFERROR(SUMIFS('TRA balance'!AE$5:AE$40,'TRA balance'!$C$5:$C$40,Assumptions!$C43,'TRA balance'!$D$5:$D$40,Assumptions!$B43)*DY43*AH43,"")</f>
        <v>0</v>
      </c>
      <c r="CE43" s="34">
        <f ca="1">IFERROR(SUMIFS('TRA balance'!AF$5:AF$40,'TRA balance'!$C$5:$C$40,Assumptions!$C43,'TRA balance'!$D$5:$D$40,Assumptions!$B43)*DZ43*AI43,"")</f>
        <v>0</v>
      </c>
      <c r="CF43" s="34">
        <f ca="1">IFERROR(SUMIFS('TRA balance'!AG$5:AG$40,'TRA balance'!$C$5:$C$40,Assumptions!$C43,'TRA balance'!$D$5:$D$40,Assumptions!$B43)*EA43*AJ43,"")</f>
        <v>0</v>
      </c>
      <c r="CG43" s="34">
        <f ca="1">IFERROR(SUMIFS('TRA balance'!AH$5:AH$40,'TRA balance'!$C$5:$C$40,Assumptions!$C43,'TRA balance'!$D$5:$D$40,Assumptions!$B43)*EB43*AK43,"")</f>
        <v>0</v>
      </c>
      <c r="CH43" s="34">
        <f ca="1">IFERROR(SUMIFS('TRA balance'!AI$5:AI$40,'TRA balance'!$C$5:$C$40,Assumptions!$C43,'TRA balance'!$D$5:$D$40,Assumptions!$B43)*EC43*AL43,"")</f>
        <v>0</v>
      </c>
      <c r="CI43" s="34">
        <f ca="1">IFERROR(SUMIFS('TRA balance'!AJ$5:AJ$40,'TRA balance'!$C$5:$C$40,Assumptions!$C43,'TRA balance'!$D$5:$D$40,Assumptions!$B43)*ED43*AM43,"")</f>
        <v>0</v>
      </c>
      <c r="CJ43" s="34">
        <f ca="1">IFERROR(SUMIFS('TRA balance'!AK$5:AK$40,'TRA balance'!$C$5:$C$40,Assumptions!$C43,'TRA balance'!$D$5:$D$40,Assumptions!$B43)*EE43*AN43,"")</f>
        <v>0</v>
      </c>
      <c r="CK43" s="34">
        <f ca="1">IFERROR(SUMIFS('TRA balance'!AL$5:AL$40,'TRA balance'!$C$5:$C$40,Assumptions!$C43,'TRA balance'!$D$5:$D$40,Assumptions!$B43)*EF43*AO43,"")</f>
        <v>0</v>
      </c>
      <c r="CL43" s="34">
        <f ca="1">IFERROR(SUMIFS('TRA balance'!AM$5:AM$40,'TRA balance'!$C$5:$C$40,Assumptions!$C43,'TRA balance'!$D$5:$D$40,Assumptions!$B43)*EG43*AP43,"")</f>
        <v>0</v>
      </c>
      <c r="CM43" s="34">
        <f ca="1">IFERROR(SUMIFS('TRA balance'!AN$5:AN$40,'TRA balance'!$C$5:$C$40,Assumptions!$C43,'TRA balance'!$D$5:$D$40,Assumptions!$B43)*EH43*AQ43,"")</f>
        <v>0</v>
      </c>
      <c r="CN43" s="34">
        <f ca="1">IFERROR(SUMIFS('TRA balance'!AO$5:AO$40,'TRA balance'!$C$5:$C$40,Assumptions!$C43,'TRA balance'!$D$5:$D$40,Assumptions!$B43)*EI43*AR43,"")</f>
        <v>0</v>
      </c>
      <c r="CO43" s="34">
        <f ca="1">IFERROR(SUMIFS('TRA balance'!AP$5:AP$40,'TRA balance'!$C$5:$C$40,Assumptions!$C43,'TRA balance'!$D$5:$D$40,Assumptions!$B43)*EJ43*AS43,"")</f>
        <v>0</v>
      </c>
      <c r="CP43" s="34">
        <f ca="1">IFERROR(SUMIFS('TRA balance'!AQ$5:AQ$40,'TRA balance'!$C$5:$C$40,Assumptions!$C43,'TRA balance'!$D$5:$D$40,Assumptions!$B43)*EK43*AT43,"")</f>
        <v>0</v>
      </c>
      <c r="CQ43" s="34">
        <f ca="1">IFERROR(SUMIFS('TRA balance'!AR$5:AR$40,'TRA balance'!$C$5:$C$40,Assumptions!$C43,'TRA balance'!$D$5:$D$40,Assumptions!$B43)*EL43*AU43,"")</f>
        <v>0</v>
      </c>
      <c r="CR43" s="34">
        <f ca="1">IFERROR(SUMIFS('TRA balance'!AS$5:AS$40,'TRA balance'!$C$5:$C$40,Assumptions!$C43,'TRA balance'!$D$5:$D$40,Assumptions!$B43)*EM43*AV43,"")</f>
        <v>0</v>
      </c>
      <c r="CS43" s="34">
        <f ca="1">IFERROR(SUMIFS('TRA balance'!AT$5:AT$40,'TRA balance'!$C$5:$C$40,Assumptions!$C43,'TRA balance'!$D$5:$D$40,Assumptions!$B43)*EN43*AW43,"")</f>
        <v>0</v>
      </c>
      <c r="CT43" s="34">
        <f ca="1">IFERROR(SUMIFS('TRA balance'!AU$5:AU$40,'TRA balance'!$C$5:$C$40,Assumptions!$C43,'TRA balance'!$D$5:$D$40,Assumptions!$B43)*EO43*AX43,"")</f>
        <v>0</v>
      </c>
      <c r="CU43" s="34">
        <f ca="1">IFERROR(SUMIFS('TRA balance'!AV$5:AV$40,'TRA balance'!$C$5:$C$40,Assumptions!$C43,'TRA balance'!$D$5:$D$40,Assumptions!$B43)*EP43*AY43,"")</f>
        <v>0</v>
      </c>
      <c r="CV43" s="34">
        <f ca="1">IFERROR(SUMIFS('TRA balance'!AW$5:AW$40,'TRA balance'!$C$5:$C$40,Assumptions!$C43,'TRA balance'!$D$5:$D$40,Assumptions!$B43)*EQ43*AZ43,"")</f>
        <v>0</v>
      </c>
      <c r="CW43" s="34">
        <f ca="1">IFERROR(SUMIFS('TRA balance'!AX$5:AX$40,'TRA balance'!$C$5:$C$40,Assumptions!$C43,'TRA balance'!$D$5:$D$40,Assumptions!$B43)*ER43*BA43,"")</f>
        <v>0</v>
      </c>
      <c r="CY43" s="33">
        <f t="shared" si="66"/>
        <v>1</v>
      </c>
      <c r="CZ43" s="33">
        <f t="shared" si="3"/>
        <v>1</v>
      </c>
      <c r="DA43" s="33">
        <f t="shared" si="4"/>
        <v>1</v>
      </c>
      <c r="DB43" s="33">
        <f t="shared" si="5"/>
        <v>1</v>
      </c>
      <c r="DC43" s="33">
        <f t="shared" si="6"/>
        <v>1</v>
      </c>
      <c r="DD43" s="33">
        <f t="shared" si="7"/>
        <v>1</v>
      </c>
      <c r="DE43" s="33">
        <f t="shared" si="8"/>
        <v>1</v>
      </c>
      <c r="DF43" s="33">
        <f t="shared" si="9"/>
        <v>1</v>
      </c>
      <c r="DG43" s="33">
        <f t="shared" si="10"/>
        <v>1</v>
      </c>
      <c r="DH43" s="33">
        <f t="shared" si="11"/>
        <v>1</v>
      </c>
      <c r="DI43" s="33">
        <f t="shared" si="12"/>
        <v>1</v>
      </c>
      <c r="DJ43" s="33">
        <f t="shared" si="13"/>
        <v>1</v>
      </c>
      <c r="DK43" s="33">
        <f t="shared" si="14"/>
        <v>1</v>
      </c>
      <c r="DL43" s="33">
        <f t="shared" si="15"/>
        <v>1</v>
      </c>
      <c r="DM43" s="33">
        <f t="shared" si="16"/>
        <v>1</v>
      </c>
      <c r="DN43" s="33">
        <f t="shared" si="17"/>
        <v>1</v>
      </c>
      <c r="DO43" s="33">
        <f t="shared" si="18"/>
        <v>1</v>
      </c>
      <c r="DP43" s="33">
        <f t="shared" si="19"/>
        <v>1</v>
      </c>
      <c r="DQ43" s="33">
        <f t="shared" si="20"/>
        <v>1</v>
      </c>
      <c r="DR43" s="33">
        <f t="shared" si="21"/>
        <v>1</v>
      </c>
      <c r="DS43" s="33">
        <f t="shared" si="22"/>
        <v>1</v>
      </c>
      <c r="DT43" s="33">
        <f t="shared" si="23"/>
        <v>1</v>
      </c>
      <c r="DU43" s="33">
        <f t="shared" si="24"/>
        <v>1</v>
      </c>
      <c r="DV43" s="33">
        <f t="shared" si="25"/>
        <v>1</v>
      </c>
      <c r="DW43" s="33">
        <f t="shared" si="26"/>
        <v>1</v>
      </c>
      <c r="DX43" s="33">
        <f t="shared" si="27"/>
        <v>1</v>
      </c>
      <c r="DY43" s="33">
        <f t="shared" si="28"/>
        <v>1</v>
      </c>
      <c r="DZ43" s="33">
        <f t="shared" si="29"/>
        <v>1</v>
      </c>
      <c r="EA43" s="33">
        <f t="shared" si="30"/>
        <v>1</v>
      </c>
      <c r="EB43" s="33">
        <f t="shared" si="31"/>
        <v>1</v>
      </c>
      <c r="EC43" s="33">
        <f t="shared" si="32"/>
        <v>1</v>
      </c>
      <c r="ED43" s="33">
        <f t="shared" si="33"/>
        <v>1</v>
      </c>
      <c r="EE43" s="33">
        <f t="shared" si="34"/>
        <v>1</v>
      </c>
      <c r="EF43" s="33">
        <f t="shared" si="35"/>
        <v>1</v>
      </c>
      <c r="EG43" s="33">
        <f t="shared" si="36"/>
        <v>1</v>
      </c>
      <c r="EH43" s="33">
        <f t="shared" si="37"/>
        <v>1</v>
      </c>
      <c r="EI43" s="33">
        <f t="shared" si="38"/>
        <v>1</v>
      </c>
      <c r="EJ43" s="33">
        <f t="shared" si="39"/>
        <v>1</v>
      </c>
      <c r="EK43" s="33">
        <f t="shared" si="40"/>
        <v>1</v>
      </c>
      <c r="EL43" s="33">
        <f t="shared" si="41"/>
        <v>1</v>
      </c>
      <c r="EM43" s="33">
        <f t="shared" si="42"/>
        <v>1</v>
      </c>
      <c r="EN43" s="33">
        <f t="shared" si="43"/>
        <v>1</v>
      </c>
      <c r="EO43" s="33">
        <f t="shared" si="44"/>
        <v>1</v>
      </c>
      <c r="EP43" s="33">
        <f t="shared" si="45"/>
        <v>1</v>
      </c>
      <c r="EQ43" s="33">
        <f t="shared" si="46"/>
        <v>1</v>
      </c>
      <c r="ER43" s="33">
        <f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6" t="str">
        <f t="shared" si="48"/>
        <v>TR</v>
      </c>
      <c r="D44" s="7" t="s">
        <v>16</v>
      </c>
      <c r="E44" s="18" t="s">
        <v>71</v>
      </c>
      <c r="F44" s="8" t="str">
        <f>F43</f>
        <v>Liquified Petroleum Gases</v>
      </c>
      <c r="G44" s="6" t="s">
        <v>72</v>
      </c>
      <c r="H44" s="9">
        <f ca="1">OFFSET(TIAM15_assumptions!$G44,0,MATCH(VLOOKUP(Assumptions!H$2,TIAM15_assumptions!$Y$3:$Z$87,2,FALSE),TIAM15_assumptions!$H$2:$V$2,0))</f>
        <v>0.3</v>
      </c>
      <c r="I44" s="9">
        <f ca="1">OFFSET(TIAM15_assumptions!$G44,0,MATCH(VLOOKUP(Assumptions!I$2,TIAM15_assumptions!$Y$3:$Z$87,2,FALSE),TIAM15_assumptions!$H$2:$V$2,0))</f>
        <v>0.3</v>
      </c>
      <c r="J44" s="9">
        <f ca="1">OFFSET(TIAM15_assumptions!$G44,0,MATCH(VLOOKUP(Assumptions!J$2,TIAM15_assumptions!$Y$3:$Z$87,2,FALSE),TIAM15_assumptions!$H$2:$V$2,0))</f>
        <v>0.8</v>
      </c>
      <c r="K44" s="9">
        <f ca="1">OFFSET(TIAM15_assumptions!$G44,0,MATCH(VLOOKUP(Assumptions!K$2,TIAM15_assumptions!$Y$3:$Z$87,2,FALSE),TIAM15_assumptions!$H$2:$V$2,0))</f>
        <v>0</v>
      </c>
      <c r="L44" s="9">
        <f ca="1">OFFSET(TIAM15_assumptions!$G44,0,MATCH(VLOOKUP(Assumptions!L$2,TIAM15_assumptions!$Y$3:$Z$87,2,FALSE),TIAM15_assumptions!$H$2:$V$2,0))</f>
        <v>0</v>
      </c>
      <c r="M44" s="9">
        <f ca="1">OFFSET(TIAM15_assumptions!$G44,0,MATCH(VLOOKUP(Assumptions!M$2,TIAM15_assumptions!$Y$3:$Z$87,2,FALSE),TIAM15_assumptions!$H$2:$V$2,0))</f>
        <v>0</v>
      </c>
      <c r="N44" s="9">
        <f ca="1">OFFSET(TIAM15_assumptions!$G44,0,MATCH(VLOOKUP(Assumptions!N$2,TIAM15_assumptions!$Y$3:$Z$87,2,FALSE),TIAM15_assumptions!$H$2:$V$2,0))</f>
        <v>1</v>
      </c>
      <c r="O44" s="9">
        <f ca="1">OFFSET(TIAM15_assumptions!$G44,0,MATCH(VLOOKUP(Assumptions!O$2,TIAM15_assumptions!$Y$3:$Z$87,2,FALSE),TIAM15_assumptions!$H$2:$V$2,0))</f>
        <v>0.8</v>
      </c>
      <c r="P44" s="9">
        <f ca="1">OFFSET(TIAM15_assumptions!$G44,0,MATCH(VLOOKUP(Assumptions!P$2,TIAM15_assumptions!$Y$3:$Z$87,2,FALSE),TIAM15_assumptions!$H$2:$V$2,0))</f>
        <v>0</v>
      </c>
      <c r="Q44" s="9">
        <f ca="1">OFFSET(TIAM15_assumptions!$G44,0,MATCH(VLOOKUP(Assumptions!Q$2,TIAM15_assumptions!$Y$3:$Z$87,2,FALSE),TIAM15_assumptions!$H$2:$V$2,0))</f>
        <v>0</v>
      </c>
      <c r="R44" s="9">
        <f ca="1">OFFSET(TIAM15_assumptions!$G44,0,MATCH(VLOOKUP(Assumptions!R$2,TIAM15_assumptions!$Y$3:$Z$87,2,FALSE),TIAM15_assumptions!$H$2:$V$2,0))</f>
        <v>0</v>
      </c>
      <c r="S44" s="9">
        <f ca="1">OFFSET(TIAM15_assumptions!$G44,0,MATCH(VLOOKUP(Assumptions!S$2,TIAM15_assumptions!$Y$3:$Z$87,2,FALSE),TIAM15_assumptions!$H$2:$V$2,0))</f>
        <v>0</v>
      </c>
      <c r="T44" s="9">
        <f ca="1">OFFSET(TIAM15_assumptions!$G44,0,MATCH(VLOOKUP(Assumptions!T$2,TIAM15_assumptions!$Y$3:$Z$87,2,FALSE),TIAM15_assumptions!$H$2:$V$2,0))</f>
        <v>0</v>
      </c>
      <c r="U44" s="9">
        <f ca="1">OFFSET(TIAM15_assumptions!$G44,0,MATCH(VLOOKUP(Assumptions!U$2,TIAM15_assumptions!$Y$3:$Z$87,2,FALSE),TIAM15_assumptions!$H$2:$V$2,0))</f>
        <v>0</v>
      </c>
      <c r="V44" s="9">
        <f ca="1">OFFSET(TIAM15_assumptions!$G44,0,MATCH(VLOOKUP(Assumptions!V$2,TIAM15_assumptions!$Y$3:$Z$87,2,FALSE),TIAM15_assumptions!$H$2:$V$2,0))</f>
        <v>0</v>
      </c>
      <c r="W44" s="9">
        <f ca="1">OFFSET(TIAM15_assumptions!$G44,0,MATCH(VLOOKUP(Assumptions!W$2,TIAM15_assumptions!$Y$3:$Z$87,2,FALSE),TIAM15_assumptions!$H$2:$V$2,0))</f>
        <v>0.8</v>
      </c>
      <c r="X44" s="9">
        <f ca="1">OFFSET(TIAM15_assumptions!$G44,0,MATCH(VLOOKUP(Assumptions!X$2,TIAM15_assumptions!$Y$3:$Z$87,2,FALSE),TIAM15_assumptions!$H$2:$V$2,0))</f>
        <v>0</v>
      </c>
      <c r="Y44" s="9">
        <f ca="1">OFFSET(TIAM15_assumptions!$G44,0,MATCH(VLOOKUP(Assumptions!Y$2,TIAM15_assumptions!$Y$3:$Z$87,2,FALSE),TIAM15_assumptions!$H$2:$V$2,0))</f>
        <v>0</v>
      </c>
      <c r="Z44" s="9">
        <f ca="1">OFFSET(TIAM15_assumptions!$G44,0,MATCH(VLOOKUP(Assumptions!Z$2,TIAM15_assumptions!$Y$3:$Z$87,2,FALSE),TIAM15_assumptions!$H$2:$V$2,0))</f>
        <v>0</v>
      </c>
      <c r="AA44" s="9">
        <f ca="1">OFFSET(TIAM15_assumptions!$G44,0,MATCH(VLOOKUP(Assumptions!AA$2,TIAM15_assumptions!$Y$3:$Z$87,2,FALSE),TIAM15_assumptions!$H$2:$V$2,0))</f>
        <v>1</v>
      </c>
      <c r="AB44" s="9">
        <f ca="1">OFFSET(TIAM15_assumptions!$G44,0,MATCH(VLOOKUP(Assumptions!AB$2,TIAM15_assumptions!$Y$3:$Z$87,2,FALSE),TIAM15_assumptions!$H$2:$V$2,0))</f>
        <v>0.3</v>
      </c>
      <c r="AC44" s="9">
        <f ca="1">OFFSET(TIAM15_assumptions!$G44,0,MATCH(VLOOKUP(Assumptions!AC$2,TIAM15_assumptions!$Y$3:$Z$87,2,FALSE),TIAM15_assumptions!$H$2:$V$2,0))</f>
        <v>0.02</v>
      </c>
      <c r="AD44" s="9">
        <f ca="1">OFFSET(TIAM15_assumptions!$G44,0,MATCH(VLOOKUP(Assumptions!AD$2,TIAM15_assumptions!$Y$3:$Z$87,2,FALSE),TIAM15_assumptions!$H$2:$V$2,0))</f>
        <v>0</v>
      </c>
      <c r="AE44" s="9">
        <f ca="1">OFFSET(TIAM15_assumptions!$G44,0,MATCH(VLOOKUP(Assumptions!AE$2,TIAM15_assumptions!$Y$3:$Z$87,2,FALSE),TIAM15_assumptions!$H$2:$V$2,0))</f>
        <v>0</v>
      </c>
      <c r="AF44" s="9">
        <f ca="1">OFFSET(TIAM15_assumptions!$G44,0,MATCH(VLOOKUP(Assumptions!AF$2,TIAM15_assumptions!$Y$3:$Z$87,2,FALSE),TIAM15_assumptions!$H$2:$V$2,0))</f>
        <v>0.7</v>
      </c>
      <c r="AG44" s="9">
        <f ca="1">OFFSET(TIAM15_assumptions!$G44,0,MATCH(VLOOKUP(Assumptions!AG$2,TIAM15_assumptions!$Y$3:$Z$87,2,FALSE),TIAM15_assumptions!$H$2:$V$2,0))</f>
        <v>0</v>
      </c>
      <c r="AH44" s="9">
        <f ca="1">OFFSET(TIAM15_assumptions!$G44,0,MATCH(VLOOKUP(Assumptions!AH$2,TIAM15_assumptions!$Y$3:$Z$87,2,FALSE),TIAM15_assumptions!$H$2:$V$2,0))</f>
        <v>0.3</v>
      </c>
      <c r="AI44" s="9">
        <f ca="1">OFFSET(TIAM15_assumptions!$G44,0,MATCH(VLOOKUP(Assumptions!AI$2,TIAM15_assumptions!$Y$3:$Z$87,2,FALSE),TIAM15_assumptions!$H$2:$V$2,0))</f>
        <v>0.3</v>
      </c>
      <c r="AJ44" s="9">
        <f ca="1">OFFSET(TIAM15_assumptions!$G44,0,MATCH(VLOOKUP(Assumptions!AJ$2,TIAM15_assumptions!$Y$3:$Z$87,2,FALSE),TIAM15_assumptions!$H$2:$V$2,0))</f>
        <v>0</v>
      </c>
      <c r="AK44" s="9">
        <f ca="1">OFFSET(TIAM15_assumptions!$G44,0,MATCH(VLOOKUP(Assumptions!AK$2,TIAM15_assumptions!$Y$3:$Z$87,2,FALSE),TIAM15_assumptions!$H$2:$V$2,0))</f>
        <v>0</v>
      </c>
      <c r="AL44" s="9">
        <f ca="1">OFFSET(TIAM15_assumptions!$G44,0,MATCH(VLOOKUP(Assumptions!AL$2,TIAM15_assumptions!$Y$3:$Z$87,2,FALSE),TIAM15_assumptions!$H$2:$V$2,0))</f>
        <v>0</v>
      </c>
      <c r="AM44" s="9">
        <f ca="1">OFFSET(TIAM15_assumptions!$G44,0,MATCH(VLOOKUP(Assumptions!AM$2,TIAM15_assumptions!$Y$3:$Z$87,2,FALSE),TIAM15_assumptions!$H$2:$V$2,0))</f>
        <v>0.3</v>
      </c>
      <c r="AN44" s="9">
        <f ca="1">OFFSET(TIAM15_assumptions!$G44,0,MATCH(VLOOKUP(Assumptions!AN$2,TIAM15_assumptions!$Y$3:$Z$87,2,FALSE),TIAM15_assumptions!$H$2:$V$2,0))</f>
        <v>0</v>
      </c>
      <c r="AO44" s="9">
        <f ca="1">OFFSET(TIAM15_assumptions!$G44,0,MATCH(VLOOKUP(Assumptions!AO$2,TIAM15_assumptions!$Y$3:$Z$87,2,FALSE),TIAM15_assumptions!$H$2:$V$2,0))</f>
        <v>0</v>
      </c>
      <c r="AP44" s="9">
        <f ca="1">OFFSET(TIAM15_assumptions!$G44,0,MATCH(VLOOKUP(Assumptions!AP$2,TIAM15_assumptions!$Y$3:$Z$87,2,FALSE),TIAM15_assumptions!$H$2:$V$2,0))</f>
        <v>0</v>
      </c>
      <c r="AQ44" s="9">
        <f ca="1">OFFSET(TIAM15_assumptions!$G44,0,MATCH(VLOOKUP(Assumptions!AQ$2,TIAM15_assumptions!$Y$3:$Z$87,2,FALSE),TIAM15_assumptions!$H$2:$V$2,0))</f>
        <v>0.02</v>
      </c>
      <c r="AR44" s="9">
        <f ca="1">OFFSET(TIAM15_assumptions!$G44,0,MATCH(VLOOKUP(Assumptions!AR$2,TIAM15_assumptions!$Y$3:$Z$87,2,FALSE),TIAM15_assumptions!$H$2:$V$2,0))</f>
        <v>0.02</v>
      </c>
      <c r="AS44" s="9">
        <f ca="1">OFFSET(TIAM15_assumptions!$G44,0,MATCH(VLOOKUP(Assumptions!AS$2,TIAM15_assumptions!$Y$3:$Z$87,2,FALSE),TIAM15_assumptions!$H$2:$V$2,0))</f>
        <v>0.02</v>
      </c>
      <c r="AT44" s="9">
        <f ca="1">OFFSET(TIAM15_assumptions!$G44,0,MATCH(VLOOKUP(Assumptions!AT$2,TIAM15_assumptions!$Y$3:$Z$87,2,FALSE),TIAM15_assumptions!$H$2:$V$2,0))</f>
        <v>0.02</v>
      </c>
      <c r="AU44" s="9">
        <f ca="1">OFFSET(TIAM15_assumptions!$G44,0,MATCH(VLOOKUP(Assumptions!AU$2,TIAM15_assumptions!$Y$3:$Z$87,2,FALSE),TIAM15_assumptions!$H$2:$V$2,0))</f>
        <v>0.02</v>
      </c>
      <c r="AV44" s="9">
        <f ca="1">OFFSET(TIAM15_assumptions!$G44,0,MATCH(VLOOKUP(Assumptions!AV$2,TIAM15_assumptions!$Y$3:$Z$87,2,FALSE),TIAM15_assumptions!$H$2:$V$2,0))</f>
        <v>0.02</v>
      </c>
      <c r="AW44" s="9">
        <f ca="1">OFFSET(TIAM15_assumptions!$G44,0,MATCH(VLOOKUP(Assumptions!AW$2,TIAM15_assumptions!$Y$3:$Z$87,2,FALSE),TIAM15_assumptions!$H$2:$V$2,0))</f>
        <v>0.02</v>
      </c>
      <c r="AX44" s="9">
        <f ca="1">OFFSET(TIAM15_assumptions!$G44,0,MATCH(VLOOKUP(Assumptions!AX$2,TIAM15_assumptions!$Y$3:$Z$87,2,FALSE),TIAM15_assumptions!$H$2:$V$2,0))</f>
        <v>0.02</v>
      </c>
      <c r="AY44" s="9">
        <f ca="1">OFFSET(TIAM15_assumptions!$G44,0,MATCH(VLOOKUP(Assumptions!AY$2,TIAM15_assumptions!$Y$3:$Z$87,2,FALSE),TIAM15_assumptions!$H$2:$V$2,0))</f>
        <v>0.02</v>
      </c>
      <c r="AZ44" s="9">
        <f ca="1">OFFSET(TIAM15_assumptions!$G44,0,MATCH(VLOOKUP(Assumptions!AZ$2,TIAM15_assumptions!$Y$3:$Z$87,2,FALSE),TIAM15_assumptions!$H$2:$V$2,0))</f>
        <v>0.02</v>
      </c>
      <c r="BA44" s="9">
        <f ca="1">OFFSET(TIAM15_assumptions!$G44,0,MATCH(VLOOKUP(Assumptions!BA$2,TIAM15_assumptions!$Y$3:$Z$87,2,FALSE),TIAM15_assumptions!$H$2:$V$2,0))</f>
        <v>0.02</v>
      </c>
      <c r="BD44" s="34">
        <f ca="1">IFERROR(SUMIFS('TRA balance'!E$5:E$40,'TRA balance'!$C$5:$C$40,Assumptions!$C44,'TRA balance'!$D$5:$D$40,Assumptions!$B44)*CY44*H44,"")</f>
        <v>5.1527990950560003</v>
      </c>
      <c r="BE44" s="34">
        <f ca="1">IFERROR(SUMIFS('TRA balance'!F$5:F$40,'TRA balance'!$C$5:$C$40,Assumptions!$C44,'TRA balance'!$D$5:$D$40,Assumptions!$B44)*CZ44*I44,"")</f>
        <v>2.9572205760000003E-3</v>
      </c>
      <c r="BF44" s="34">
        <f ca="1">IFERROR(SUMIFS('TRA balance'!G$5:G$40,'TRA balance'!$C$5:$C$40,Assumptions!$C44,'TRA balance'!$D$5:$D$40,Assumptions!$B44)*DA44*J44,"")</f>
        <v>9.1246558168799989</v>
      </c>
      <c r="BG44" s="34">
        <f ca="1">IFERROR(SUMIFS('TRA balance'!H$5:H$40,'TRA balance'!$C$5:$C$40,Assumptions!$C44,'TRA balance'!$D$5:$D$40,Assumptions!$B44)*DB44*K44,"")</f>
        <v>0</v>
      </c>
      <c r="BH44" s="34">
        <f ca="1">IFERROR(SUMIFS('TRA balance'!I$5:I$40,'TRA balance'!$C$5:$C$40,Assumptions!$C44,'TRA balance'!$D$5:$D$40,Assumptions!$B44)*DC44*L44,"")</f>
        <v>0</v>
      </c>
      <c r="BI44" s="34">
        <f ca="1">IFERROR(SUMIFS('TRA balance'!J$5:J$40,'TRA balance'!$C$5:$C$40,Assumptions!$C44,'TRA balance'!$D$5:$D$40,Assumptions!$B44)*DD44*M44,"")</f>
        <v>0</v>
      </c>
      <c r="BJ44" s="34">
        <f ca="1">IFERROR(SUMIFS('TRA balance'!K$5:K$40,'TRA balance'!$C$5:$C$40,Assumptions!$C44,'TRA balance'!$D$5:$D$40,Assumptions!$B44)*DE44*N44,"")</f>
        <v>0</v>
      </c>
      <c r="BK44" s="34">
        <f ca="1">IFERROR(SUMIFS('TRA balance'!L$5:L$40,'TRA balance'!$C$5:$C$40,Assumptions!$C44,'TRA balance'!$D$5:$D$40,Assumptions!$B44)*DF44*O44,"")</f>
        <v>37.585035567935996</v>
      </c>
      <c r="BL44" s="34">
        <f ca="1">IFERROR(SUMIFS('TRA balance'!M$5:M$40,'TRA balance'!$C$5:$C$40,Assumptions!$C44,'TRA balance'!$D$5:$D$40,Assumptions!$B44)*DG44*P44,"")</f>
        <v>0</v>
      </c>
      <c r="BM44" s="34">
        <f ca="1">IFERROR(SUMIFS('TRA balance'!N$5:N$40,'TRA balance'!$C$5:$C$40,Assumptions!$C44,'TRA balance'!$D$5:$D$40,Assumptions!$B44)*DH44*Q44,"")</f>
        <v>0</v>
      </c>
      <c r="BN44" s="34">
        <f ca="1">IFERROR(SUMIFS('TRA balance'!O$5:O$40,'TRA balance'!$C$5:$C$40,Assumptions!$C44,'TRA balance'!$D$5:$D$40,Assumptions!$B44)*DI44*R44,"")</f>
        <v>0</v>
      </c>
      <c r="BO44" s="34">
        <f ca="1">IFERROR(SUMIFS('TRA balance'!P$5:P$40,'TRA balance'!$C$5:$C$40,Assumptions!$C44,'TRA balance'!$D$5:$D$40,Assumptions!$B44)*DJ44*S44,"")</f>
        <v>0</v>
      </c>
      <c r="BP44" s="34">
        <f ca="1">IFERROR(SUMIFS('TRA balance'!Q$5:Q$40,'TRA balance'!$C$5:$C$40,Assumptions!$C44,'TRA balance'!$D$5:$D$40,Assumptions!$B44)*DK44*T44,"")</f>
        <v>0</v>
      </c>
      <c r="BQ44" s="34">
        <f ca="1">IFERROR(SUMIFS('TRA balance'!R$5:R$40,'TRA balance'!$C$5:$C$40,Assumptions!$C44,'TRA balance'!$D$5:$D$40,Assumptions!$B44)*DL44*U44,"")</f>
        <v>0</v>
      </c>
      <c r="BR44" s="34">
        <f ca="1">IFERROR(SUMIFS('TRA balance'!S$5:S$40,'TRA balance'!$C$5:$C$40,Assumptions!$C44,'TRA balance'!$D$5:$D$40,Assumptions!$B44)*DM44*V44,"")</f>
        <v>0</v>
      </c>
      <c r="BS44" s="34">
        <f ca="1">IFERROR(SUMIFS('TRA balance'!T$5:T$40,'TRA balance'!$C$5:$C$40,Assumptions!$C44,'TRA balance'!$D$5:$D$40,Assumptions!$B44)*DN44*W44,"")</f>
        <v>4.8785221620000003</v>
      </c>
      <c r="BT44" s="34">
        <f ca="1">IFERROR(SUMIFS('TRA balance'!U$5:U$40,'TRA balance'!$C$5:$C$40,Assumptions!$C44,'TRA balance'!$D$5:$D$40,Assumptions!$B44)*DO44*X44,"")</f>
        <v>0</v>
      </c>
      <c r="BU44" s="34">
        <f ca="1">IFERROR(SUMIFS('TRA balance'!V$5:V$40,'TRA balance'!$C$5:$C$40,Assumptions!$C44,'TRA balance'!$D$5:$D$40,Assumptions!$B44)*DP44*Y44,"")</f>
        <v>0</v>
      </c>
      <c r="BV44" s="34">
        <f ca="1">IFERROR(SUMIFS('TRA balance'!W$5:W$40,'TRA balance'!$C$5:$C$40,Assumptions!$C44,'TRA balance'!$D$5:$D$40,Assumptions!$B44)*DQ44*Z44,"")</f>
        <v>0</v>
      </c>
      <c r="BW44" s="34">
        <f ca="1">IFERROR(SUMIFS('TRA balance'!X$5:X$40,'TRA balance'!$C$5:$C$40,Assumptions!$C44,'TRA balance'!$D$5:$D$40,Assumptions!$B44)*DR44*AA44,"")</f>
        <v>17.298570159000001</v>
      </c>
      <c r="BX44" s="34">
        <f ca="1">IFERROR(SUMIFS('TRA balance'!Y$5:Y$40,'TRA balance'!$C$5:$C$40,Assumptions!$C44,'TRA balance'!$D$5:$D$40,Assumptions!$B44)*DS44*AB44,"")</f>
        <v>0.337024169712</v>
      </c>
      <c r="BY44" s="34">
        <f ca="1">IFERROR(SUMIFS('TRA balance'!Z$5:Z$40,'TRA balance'!$C$5:$C$40,Assumptions!$C44,'TRA balance'!$D$5:$D$40,Assumptions!$B44)*DT44*AC44,"")</f>
        <v>0.41458792689173701</v>
      </c>
      <c r="BZ44" s="34">
        <f ca="1">IFERROR(SUMIFS('TRA balance'!AA$5:AA$40,'TRA balance'!$C$5:$C$40,Assumptions!$C44,'TRA balance'!$D$5:$D$40,Assumptions!$B44)*DU44*AD44,"")</f>
        <v>0</v>
      </c>
      <c r="CA44" s="34">
        <f ca="1">IFERROR(SUMIFS('TRA balance'!AB$5:AB$40,'TRA balance'!$C$5:$C$40,Assumptions!$C44,'TRA balance'!$D$5:$D$40,Assumptions!$B44)*DV44*AE44,"")</f>
        <v>0</v>
      </c>
      <c r="CB44" s="34">
        <f ca="1">IFERROR(SUMIFS('TRA balance'!AC$5:AC$40,'TRA balance'!$C$5:$C$40,Assumptions!$C44,'TRA balance'!$D$5:$D$40,Assumptions!$B44)*DW44*AF44,"")</f>
        <v>48.768667892028006</v>
      </c>
      <c r="CC44" s="34">
        <f ca="1">IFERROR(SUMIFS('TRA balance'!AD$5:AD$40,'TRA balance'!$C$5:$C$40,Assumptions!$C44,'TRA balance'!$D$5:$D$40,Assumptions!$B44)*DX44*AG44,"")</f>
        <v>0</v>
      </c>
      <c r="CD44" s="34">
        <f ca="1">IFERROR(SUMIFS('TRA balance'!AE$5:AE$40,'TRA balance'!$C$5:$C$40,Assumptions!$C44,'TRA balance'!$D$5:$D$40,Assumptions!$B44)*DY44*AH44,"")</f>
        <v>0</v>
      </c>
      <c r="CE44" s="34">
        <f ca="1">IFERROR(SUMIFS('TRA balance'!AF$5:AF$40,'TRA balance'!$C$5:$C$40,Assumptions!$C44,'TRA balance'!$D$5:$D$40,Assumptions!$B44)*DZ44*AI44,"")</f>
        <v>7.8489939599999989E-2</v>
      </c>
      <c r="CF44" s="34">
        <f ca="1">IFERROR(SUMIFS('TRA balance'!AG$5:AG$40,'TRA balance'!$C$5:$C$40,Assumptions!$C44,'TRA balance'!$D$5:$D$40,Assumptions!$B44)*EA44*AJ44,"")</f>
        <v>0</v>
      </c>
      <c r="CG44" s="34">
        <f ca="1">IFERROR(SUMIFS('TRA balance'!AH$5:AH$40,'TRA balance'!$C$5:$C$40,Assumptions!$C44,'TRA balance'!$D$5:$D$40,Assumptions!$B44)*EB44*AK44,"")</f>
        <v>0</v>
      </c>
      <c r="CH44" s="34">
        <f ca="1">IFERROR(SUMIFS('TRA balance'!AI$5:AI$40,'TRA balance'!$C$5:$C$40,Assumptions!$C44,'TRA balance'!$D$5:$D$40,Assumptions!$B44)*EC44*AL44,"")</f>
        <v>0</v>
      </c>
      <c r="CI44" s="34">
        <f ca="1">IFERROR(SUMIFS('TRA balance'!AJ$5:AJ$40,'TRA balance'!$C$5:$C$40,Assumptions!$C44,'TRA balance'!$D$5:$D$40,Assumptions!$B44)*ED44*AM44,"")</f>
        <v>18.514079841599997</v>
      </c>
      <c r="CJ44" s="34">
        <f ca="1">IFERROR(SUMIFS('TRA balance'!AK$5:AK$40,'TRA balance'!$C$5:$C$40,Assumptions!$C44,'TRA balance'!$D$5:$D$40,Assumptions!$B44)*EE44*AN44,"")</f>
        <v>0</v>
      </c>
      <c r="CK44" s="34">
        <f ca="1">IFERROR(SUMIFS('TRA balance'!AL$5:AL$40,'TRA balance'!$C$5:$C$40,Assumptions!$C44,'TRA balance'!$D$5:$D$40,Assumptions!$B44)*EF44*AO44,"")</f>
        <v>0</v>
      </c>
      <c r="CL44" s="34">
        <f ca="1">IFERROR(SUMIFS('TRA balance'!AM$5:AM$40,'TRA balance'!$C$5:$C$40,Assumptions!$C44,'TRA balance'!$D$5:$D$40,Assumptions!$B44)*EG44*AP44,"")</f>
        <v>0</v>
      </c>
      <c r="CM44" s="34">
        <f ca="1">IFERROR(SUMIFS('TRA balance'!AN$5:AN$40,'TRA balance'!$C$5:$C$40,Assumptions!$C44,'TRA balance'!$D$5:$D$40,Assumptions!$B44)*EH44*AQ44,"")</f>
        <v>0</v>
      </c>
      <c r="CN44" s="34">
        <f ca="1">IFERROR(SUMIFS('TRA balance'!AO$5:AO$40,'TRA balance'!$C$5:$C$40,Assumptions!$C44,'TRA balance'!$D$5:$D$40,Assumptions!$B44)*EI44*AR44,"")</f>
        <v>0</v>
      </c>
      <c r="CO44" s="34">
        <f ca="1">IFERROR(SUMIFS('TRA balance'!AP$5:AP$40,'TRA balance'!$C$5:$C$40,Assumptions!$C44,'TRA balance'!$D$5:$D$40,Assumptions!$B44)*EJ44*AS44,"")</f>
        <v>0</v>
      </c>
      <c r="CP44" s="34">
        <f ca="1">IFERROR(SUMIFS('TRA balance'!AQ$5:AQ$40,'TRA balance'!$C$5:$C$40,Assumptions!$C44,'TRA balance'!$D$5:$D$40,Assumptions!$B44)*EK44*AT44,"")</f>
        <v>0</v>
      </c>
      <c r="CQ44" s="34">
        <f ca="1">IFERROR(SUMIFS('TRA balance'!AR$5:AR$40,'TRA balance'!$C$5:$C$40,Assumptions!$C44,'TRA balance'!$D$5:$D$40,Assumptions!$B44)*EL44*AU44,"")</f>
        <v>0</v>
      </c>
      <c r="CR44" s="34">
        <f ca="1">IFERROR(SUMIFS('TRA balance'!AS$5:AS$40,'TRA balance'!$C$5:$C$40,Assumptions!$C44,'TRA balance'!$D$5:$D$40,Assumptions!$B44)*EM44*AV44,"")</f>
        <v>0</v>
      </c>
      <c r="CS44" s="34">
        <f ca="1">IFERROR(SUMIFS('TRA balance'!AT$5:AT$40,'TRA balance'!$C$5:$C$40,Assumptions!$C44,'TRA balance'!$D$5:$D$40,Assumptions!$B44)*EN44*AW44,"")</f>
        <v>0</v>
      </c>
      <c r="CT44" s="34">
        <f ca="1">IFERROR(SUMIFS('TRA balance'!AU$5:AU$40,'TRA balance'!$C$5:$C$40,Assumptions!$C44,'TRA balance'!$D$5:$D$40,Assumptions!$B44)*EO44*AX44,"")</f>
        <v>0</v>
      </c>
      <c r="CU44" s="34">
        <f ca="1">IFERROR(SUMIFS('TRA balance'!AV$5:AV$40,'TRA balance'!$C$5:$C$40,Assumptions!$C44,'TRA balance'!$D$5:$D$40,Assumptions!$B44)*EP44*AY44,"")</f>
        <v>0</v>
      </c>
      <c r="CV44" s="34">
        <f ca="1">IFERROR(SUMIFS('TRA balance'!AW$5:AW$40,'TRA balance'!$C$5:$C$40,Assumptions!$C44,'TRA balance'!$D$5:$D$40,Assumptions!$B44)*EQ44*AZ44,"")</f>
        <v>0</v>
      </c>
      <c r="CW44" s="34">
        <f ca="1">IFERROR(SUMIFS('TRA balance'!AX$5:AX$40,'TRA balance'!$C$5:$C$40,Assumptions!$C44,'TRA balance'!$D$5:$D$40,Assumptions!$B44)*ER44*BA44,"")</f>
        <v>0</v>
      </c>
      <c r="CY44" s="33">
        <f t="shared" ca="1" si="66"/>
        <v>0.4</v>
      </c>
      <c r="CZ44" s="33">
        <f t="shared" ca="1" si="3"/>
        <v>0.4</v>
      </c>
      <c r="DA44" s="33">
        <f t="shared" ca="1" si="4"/>
        <v>0.75</v>
      </c>
      <c r="DB44" s="33">
        <f t="shared" ca="1" si="5"/>
        <v>0.25</v>
      </c>
      <c r="DC44" s="33">
        <f t="shared" ca="1" si="6"/>
        <v>0.43000000000000005</v>
      </c>
      <c r="DD44" s="33">
        <f t="shared" ca="1" si="7"/>
        <v>0.25</v>
      </c>
      <c r="DE44" s="33">
        <f t="shared" ca="1" si="8"/>
        <v>0.5</v>
      </c>
      <c r="DF44" s="33">
        <f t="shared" ca="1" si="9"/>
        <v>0.6</v>
      </c>
      <c r="DG44" s="33">
        <f t="shared" ca="1" si="10"/>
        <v>0.43000000000000005</v>
      </c>
      <c r="DH44" s="33">
        <f t="shared" ca="1" si="11"/>
        <v>0.43000000000000005</v>
      </c>
      <c r="DI44" s="33">
        <f t="shared" ca="1" si="12"/>
        <v>0.25</v>
      </c>
      <c r="DJ44" s="33">
        <f t="shared" ca="1" si="13"/>
        <v>0.25</v>
      </c>
      <c r="DK44" s="33">
        <f t="shared" ca="1" si="14"/>
        <v>0.25</v>
      </c>
      <c r="DL44" s="33">
        <f t="shared" ca="1" si="15"/>
        <v>0.43000000000000005</v>
      </c>
      <c r="DM44" s="33">
        <f t="shared" ca="1" si="16"/>
        <v>0.25</v>
      </c>
      <c r="DN44" s="33">
        <f t="shared" ca="1" si="17"/>
        <v>0.75</v>
      </c>
      <c r="DO44" s="33">
        <f t="shared" ca="1" si="18"/>
        <v>0.25</v>
      </c>
      <c r="DP44" s="33">
        <f t="shared" ca="1" si="19"/>
        <v>0.25</v>
      </c>
      <c r="DQ44" s="33">
        <f t="shared" ca="1" si="20"/>
        <v>0.43000000000000005</v>
      </c>
      <c r="DR44" s="33">
        <f t="shared" ca="1" si="21"/>
        <v>0.5</v>
      </c>
      <c r="DS44" s="33">
        <f t="shared" ca="1" si="22"/>
        <v>0.4</v>
      </c>
      <c r="DT44" s="33">
        <f t="shared" ca="1" si="23"/>
        <v>0.28078528284437665</v>
      </c>
      <c r="DU44" s="33">
        <f t="shared" ca="1" si="24"/>
        <v>0.25</v>
      </c>
      <c r="DV44" s="33">
        <f t="shared" ca="1" si="25"/>
        <v>0.43000000000000005</v>
      </c>
      <c r="DW44" s="33">
        <f t="shared" ca="1" si="26"/>
        <v>0.30000000000000004</v>
      </c>
      <c r="DX44" s="33">
        <f t="shared" ca="1" si="27"/>
        <v>0.43000000000000005</v>
      </c>
      <c r="DY44" s="33">
        <f t="shared" ca="1" si="28"/>
        <v>0.4</v>
      </c>
      <c r="DZ44" s="33">
        <f t="shared" ca="1" si="29"/>
        <v>0.4</v>
      </c>
      <c r="EA44" s="33">
        <f t="shared" ca="1" si="30"/>
        <v>0.25</v>
      </c>
      <c r="EB44" s="33">
        <f t="shared" ca="1" si="31"/>
        <v>0.25</v>
      </c>
      <c r="EC44" s="33">
        <f t="shared" ca="1" si="32"/>
        <v>0.25</v>
      </c>
      <c r="ED44" s="33">
        <f t="shared" ca="1" si="33"/>
        <v>0.4</v>
      </c>
      <c r="EE44" s="33">
        <f t="shared" ca="1" si="34"/>
        <v>0.25</v>
      </c>
      <c r="EF44" s="33">
        <f t="shared" ca="1" si="35"/>
        <v>0.43000000000000005</v>
      </c>
      <c r="EG44" s="33">
        <f t="shared" ca="1" si="36"/>
        <v>0.43000000000000005</v>
      </c>
      <c r="EH44" s="33">
        <f t="shared" ca="1" si="37"/>
        <v>0.28078528284437665</v>
      </c>
      <c r="EI44" s="33">
        <f t="shared" ca="1" si="38"/>
        <v>0.28078528284437665</v>
      </c>
      <c r="EJ44" s="33">
        <f t="shared" ca="1" si="39"/>
        <v>0.28078528284437665</v>
      </c>
      <c r="EK44" s="33">
        <f t="shared" ca="1" si="40"/>
        <v>0.28078528284437665</v>
      </c>
      <c r="EL44" s="33">
        <f t="shared" ca="1" si="41"/>
        <v>0.28078528284437665</v>
      </c>
      <c r="EM44" s="33">
        <f t="shared" ca="1" si="42"/>
        <v>0.28078528284437665</v>
      </c>
      <c r="EN44" s="33">
        <f t="shared" ca="1" si="43"/>
        <v>0.28078528284437665</v>
      </c>
      <c r="EO44" s="33">
        <f t="shared" ca="1" si="44"/>
        <v>0.28078528284437665</v>
      </c>
      <c r="EP44" s="33">
        <f t="shared" ca="1" si="45"/>
        <v>0.28078528284437665</v>
      </c>
      <c r="EQ44" s="33">
        <f t="shared" ca="1" si="46"/>
        <v>0.28078528284437665</v>
      </c>
      <c r="ER44" s="33">
        <f t="shared" ca="1" si="47"/>
        <v>0.28078528284437665</v>
      </c>
    </row>
    <row r="45" spans="1:148">
      <c r="A45">
        <v>2</v>
      </c>
      <c r="B45" t="str">
        <f>VLOOKUP(F45,'TRA balance'!$BA$5:$BB$14,2,FALSE)</f>
        <v>TRALPG</v>
      </c>
      <c r="C45" s="6" t="str">
        <f t="shared" si="48"/>
        <v>TR</v>
      </c>
      <c r="D45" s="7" t="s">
        <v>16</v>
      </c>
      <c r="E45" s="18" t="s">
        <v>73</v>
      </c>
      <c r="F45" s="8" t="str">
        <f t="shared" ref="F45:F51" si="74">F44</f>
        <v>Liquified Petroleum Gases</v>
      </c>
      <c r="G45" s="6" t="s">
        <v>74</v>
      </c>
      <c r="H45" s="9">
        <f ca="1">OFFSET(TIAM15_assumptions!$G45,0,MATCH(VLOOKUP(Assumptions!H$2,TIAM15_assumptions!$Y$3:$Z$87,2,FALSE),TIAM15_assumptions!$H$2:$V$2,0))</f>
        <v>0</v>
      </c>
      <c r="I45" s="9">
        <f ca="1">OFFSET(TIAM15_assumptions!$G45,0,MATCH(VLOOKUP(Assumptions!I$2,TIAM15_assumptions!$Y$3:$Z$87,2,FALSE),TIAM15_assumptions!$H$2:$V$2,0))</f>
        <v>0</v>
      </c>
      <c r="J45" s="9">
        <f ca="1">OFFSET(TIAM15_assumptions!$G45,0,MATCH(VLOOKUP(Assumptions!J$2,TIAM15_assumptions!$Y$3:$Z$87,2,FALSE),TIAM15_assumptions!$H$2:$V$2,0))</f>
        <v>0</v>
      </c>
      <c r="K45" s="9">
        <f ca="1">OFFSET(TIAM15_assumptions!$G45,0,MATCH(VLOOKUP(Assumptions!K$2,TIAM15_assumptions!$Y$3:$Z$87,2,FALSE),TIAM15_assumptions!$H$2:$V$2,0))</f>
        <v>0</v>
      </c>
      <c r="L45" s="9">
        <f ca="1">OFFSET(TIAM15_assumptions!$G45,0,MATCH(VLOOKUP(Assumptions!L$2,TIAM15_assumptions!$Y$3:$Z$87,2,FALSE),TIAM15_assumptions!$H$2:$V$2,0))</f>
        <v>0</v>
      </c>
      <c r="M45" s="9">
        <f ca="1">OFFSET(TIAM15_assumptions!$G45,0,MATCH(VLOOKUP(Assumptions!M$2,TIAM15_assumptions!$Y$3:$Z$87,2,FALSE),TIAM15_assumptions!$H$2:$V$2,0))</f>
        <v>0</v>
      </c>
      <c r="N45" s="9">
        <f ca="1">OFFSET(TIAM15_assumptions!$G45,0,MATCH(VLOOKUP(Assumptions!N$2,TIAM15_assumptions!$Y$3:$Z$87,2,FALSE),TIAM15_assumptions!$H$2:$V$2,0))</f>
        <v>0</v>
      </c>
      <c r="O45" s="9">
        <f ca="1">OFFSET(TIAM15_assumptions!$G45,0,MATCH(VLOOKUP(Assumptions!O$2,TIAM15_assumptions!$Y$3:$Z$87,2,FALSE),TIAM15_assumptions!$H$2:$V$2,0))</f>
        <v>0</v>
      </c>
      <c r="P45" s="9">
        <f ca="1">OFFSET(TIAM15_assumptions!$G45,0,MATCH(VLOOKUP(Assumptions!P$2,TIAM15_assumptions!$Y$3:$Z$87,2,FALSE),TIAM15_assumptions!$H$2:$V$2,0))</f>
        <v>0</v>
      </c>
      <c r="Q45" s="9">
        <f ca="1">OFFSET(TIAM15_assumptions!$G45,0,MATCH(VLOOKUP(Assumptions!Q$2,TIAM15_assumptions!$Y$3:$Z$87,2,FALSE),TIAM15_assumptions!$H$2:$V$2,0))</f>
        <v>0</v>
      </c>
      <c r="R45" s="9">
        <f ca="1">OFFSET(TIAM15_assumptions!$G45,0,MATCH(VLOOKUP(Assumptions!R$2,TIAM15_assumptions!$Y$3:$Z$87,2,FALSE),TIAM15_assumptions!$H$2:$V$2,0))</f>
        <v>0</v>
      </c>
      <c r="S45" s="9">
        <f ca="1">OFFSET(TIAM15_assumptions!$G45,0,MATCH(VLOOKUP(Assumptions!S$2,TIAM15_assumptions!$Y$3:$Z$87,2,FALSE),TIAM15_assumptions!$H$2:$V$2,0))</f>
        <v>0</v>
      </c>
      <c r="T45" s="9">
        <f ca="1">OFFSET(TIAM15_assumptions!$G45,0,MATCH(VLOOKUP(Assumptions!T$2,TIAM15_assumptions!$Y$3:$Z$87,2,FALSE),TIAM15_assumptions!$H$2:$V$2,0))</f>
        <v>0</v>
      </c>
      <c r="U45" s="9">
        <f ca="1">OFFSET(TIAM15_assumptions!$G45,0,MATCH(VLOOKUP(Assumptions!U$2,TIAM15_assumptions!$Y$3:$Z$87,2,FALSE),TIAM15_assumptions!$H$2:$V$2,0))</f>
        <v>0</v>
      </c>
      <c r="V45" s="9">
        <f ca="1">OFFSET(TIAM15_assumptions!$G45,0,MATCH(VLOOKUP(Assumptions!V$2,TIAM15_assumptions!$Y$3:$Z$87,2,FALSE),TIAM15_assumptions!$H$2:$V$2,0))</f>
        <v>0</v>
      </c>
      <c r="W45" s="9">
        <f ca="1">OFFSET(TIAM15_assumptions!$G45,0,MATCH(VLOOKUP(Assumptions!W$2,TIAM15_assumptions!$Y$3:$Z$87,2,FALSE),TIAM15_assumptions!$H$2:$V$2,0))</f>
        <v>0</v>
      </c>
      <c r="X45" s="9">
        <f ca="1">OFFSET(TIAM15_assumptions!$G45,0,MATCH(VLOOKUP(Assumptions!X$2,TIAM15_assumptions!$Y$3:$Z$87,2,FALSE),TIAM15_assumptions!$H$2:$V$2,0))</f>
        <v>0</v>
      </c>
      <c r="Y45" s="9">
        <f ca="1">OFFSET(TIAM15_assumptions!$G45,0,MATCH(VLOOKUP(Assumptions!Y$2,TIAM15_assumptions!$Y$3:$Z$87,2,FALSE),TIAM15_assumptions!$H$2:$V$2,0))</f>
        <v>0</v>
      </c>
      <c r="Z45" s="9">
        <f ca="1">OFFSET(TIAM15_assumptions!$G45,0,MATCH(VLOOKUP(Assumptions!Z$2,TIAM15_assumptions!$Y$3:$Z$87,2,FALSE),TIAM15_assumptions!$H$2:$V$2,0))</f>
        <v>0</v>
      </c>
      <c r="AA45" s="9">
        <f ca="1">OFFSET(TIAM15_assumptions!$G45,0,MATCH(VLOOKUP(Assumptions!AA$2,TIAM15_assumptions!$Y$3:$Z$87,2,FALSE),TIAM15_assumptions!$H$2:$V$2,0))</f>
        <v>0</v>
      </c>
      <c r="AB45" s="9">
        <f ca="1">OFFSET(TIAM15_assumptions!$G45,0,MATCH(VLOOKUP(Assumptions!AB$2,TIAM15_assumptions!$Y$3:$Z$87,2,FALSE),TIAM15_assumptions!$H$2:$V$2,0))</f>
        <v>0</v>
      </c>
      <c r="AC45" s="9">
        <f ca="1">OFFSET(TIAM15_assumptions!$G45,0,MATCH(VLOOKUP(Assumptions!AC$2,TIAM15_assumptions!$Y$3:$Z$87,2,FALSE),TIAM15_assumptions!$H$2:$V$2,0))</f>
        <v>0</v>
      </c>
      <c r="AD45" s="9">
        <f ca="1">OFFSET(TIAM15_assumptions!$G45,0,MATCH(VLOOKUP(Assumptions!AD$2,TIAM15_assumptions!$Y$3:$Z$87,2,FALSE),TIAM15_assumptions!$H$2:$V$2,0))</f>
        <v>0</v>
      </c>
      <c r="AE45" s="9">
        <f ca="1">OFFSET(TIAM15_assumptions!$G45,0,MATCH(VLOOKUP(Assumptions!AE$2,TIAM15_assumptions!$Y$3:$Z$87,2,FALSE),TIAM15_assumptions!$H$2:$V$2,0))</f>
        <v>0</v>
      </c>
      <c r="AF45" s="9">
        <f ca="1">OFFSET(TIAM15_assumptions!$G45,0,MATCH(VLOOKUP(Assumptions!AF$2,TIAM15_assumptions!$Y$3:$Z$87,2,FALSE),TIAM15_assumptions!$H$2:$V$2,0))</f>
        <v>0</v>
      </c>
      <c r="AG45" s="9">
        <f ca="1">OFFSET(TIAM15_assumptions!$G45,0,MATCH(VLOOKUP(Assumptions!AG$2,TIAM15_assumptions!$Y$3:$Z$87,2,FALSE),TIAM15_assumptions!$H$2:$V$2,0))</f>
        <v>0</v>
      </c>
      <c r="AH45" s="9">
        <f ca="1">OFFSET(TIAM15_assumptions!$G45,0,MATCH(VLOOKUP(Assumptions!AH$2,TIAM15_assumptions!$Y$3:$Z$87,2,FALSE),TIAM15_assumptions!$H$2:$V$2,0))</f>
        <v>0</v>
      </c>
      <c r="AI45" s="9">
        <f ca="1">OFFSET(TIAM15_assumptions!$G45,0,MATCH(VLOOKUP(Assumptions!AI$2,TIAM15_assumptions!$Y$3:$Z$87,2,FALSE),TIAM15_assumptions!$H$2:$V$2,0))</f>
        <v>0</v>
      </c>
      <c r="AJ45" s="9">
        <f ca="1">OFFSET(TIAM15_assumptions!$G45,0,MATCH(VLOOKUP(Assumptions!AJ$2,TIAM15_assumptions!$Y$3:$Z$87,2,FALSE),TIAM15_assumptions!$H$2:$V$2,0))</f>
        <v>0</v>
      </c>
      <c r="AK45" s="9">
        <f ca="1">OFFSET(TIAM15_assumptions!$G45,0,MATCH(VLOOKUP(Assumptions!AK$2,TIAM15_assumptions!$Y$3:$Z$87,2,FALSE),TIAM15_assumptions!$H$2:$V$2,0))</f>
        <v>0</v>
      </c>
      <c r="AL45" s="9">
        <f ca="1">OFFSET(TIAM15_assumptions!$G45,0,MATCH(VLOOKUP(Assumptions!AL$2,TIAM15_assumptions!$Y$3:$Z$87,2,FALSE),TIAM15_assumptions!$H$2:$V$2,0))</f>
        <v>0</v>
      </c>
      <c r="AM45" s="9">
        <f ca="1">OFFSET(TIAM15_assumptions!$G45,0,MATCH(VLOOKUP(Assumptions!AM$2,TIAM15_assumptions!$Y$3:$Z$87,2,FALSE),TIAM15_assumptions!$H$2:$V$2,0))</f>
        <v>0</v>
      </c>
      <c r="AN45" s="9">
        <f ca="1">OFFSET(TIAM15_assumptions!$G45,0,MATCH(VLOOKUP(Assumptions!AN$2,TIAM15_assumptions!$Y$3:$Z$87,2,FALSE),TIAM15_assumptions!$H$2:$V$2,0))</f>
        <v>0</v>
      </c>
      <c r="AO45" s="9">
        <f ca="1">OFFSET(TIAM15_assumptions!$G45,0,MATCH(VLOOKUP(Assumptions!AO$2,TIAM15_assumptions!$Y$3:$Z$87,2,FALSE),TIAM15_assumptions!$H$2:$V$2,0))</f>
        <v>0</v>
      </c>
      <c r="AP45" s="9">
        <f ca="1">OFFSET(TIAM15_assumptions!$G45,0,MATCH(VLOOKUP(Assumptions!AP$2,TIAM15_assumptions!$Y$3:$Z$87,2,FALSE),TIAM15_assumptions!$H$2:$V$2,0))</f>
        <v>0</v>
      </c>
      <c r="AQ45" s="9">
        <f ca="1">OFFSET(TIAM15_assumptions!$G45,0,MATCH(VLOOKUP(Assumptions!AQ$2,TIAM15_assumptions!$Y$3:$Z$87,2,FALSE),TIAM15_assumptions!$H$2:$V$2,0))</f>
        <v>0</v>
      </c>
      <c r="AR45" s="9">
        <f ca="1">OFFSET(TIAM15_assumptions!$G45,0,MATCH(VLOOKUP(Assumptions!AR$2,TIAM15_assumptions!$Y$3:$Z$87,2,FALSE),TIAM15_assumptions!$H$2:$V$2,0))</f>
        <v>0</v>
      </c>
      <c r="AS45" s="9">
        <f ca="1">OFFSET(TIAM15_assumptions!$G45,0,MATCH(VLOOKUP(Assumptions!AS$2,TIAM15_assumptions!$Y$3:$Z$87,2,FALSE),TIAM15_assumptions!$H$2:$V$2,0))</f>
        <v>0</v>
      </c>
      <c r="AT45" s="9">
        <f ca="1">OFFSET(TIAM15_assumptions!$G45,0,MATCH(VLOOKUP(Assumptions!AT$2,TIAM15_assumptions!$Y$3:$Z$87,2,FALSE),TIAM15_assumptions!$H$2:$V$2,0))</f>
        <v>0</v>
      </c>
      <c r="AU45" s="9">
        <f ca="1">OFFSET(TIAM15_assumptions!$G45,0,MATCH(VLOOKUP(Assumptions!AU$2,TIAM15_assumptions!$Y$3:$Z$87,2,FALSE),TIAM15_assumptions!$H$2:$V$2,0))</f>
        <v>0</v>
      </c>
      <c r="AV45" s="9">
        <f ca="1">OFFSET(TIAM15_assumptions!$G45,0,MATCH(VLOOKUP(Assumptions!AV$2,TIAM15_assumptions!$Y$3:$Z$87,2,FALSE),TIAM15_assumptions!$H$2:$V$2,0))</f>
        <v>0</v>
      </c>
      <c r="AW45" s="9">
        <f ca="1">OFFSET(TIAM15_assumptions!$G45,0,MATCH(VLOOKUP(Assumptions!AW$2,TIAM15_assumptions!$Y$3:$Z$87,2,FALSE),TIAM15_assumptions!$H$2:$V$2,0))</f>
        <v>0</v>
      </c>
      <c r="AX45" s="9">
        <f ca="1">OFFSET(TIAM15_assumptions!$G45,0,MATCH(VLOOKUP(Assumptions!AX$2,TIAM15_assumptions!$Y$3:$Z$87,2,FALSE),TIAM15_assumptions!$H$2:$V$2,0))</f>
        <v>0</v>
      </c>
      <c r="AY45" s="9">
        <f ca="1">OFFSET(TIAM15_assumptions!$G45,0,MATCH(VLOOKUP(Assumptions!AY$2,TIAM15_assumptions!$Y$3:$Z$87,2,FALSE),TIAM15_assumptions!$H$2:$V$2,0))</f>
        <v>0</v>
      </c>
      <c r="AZ45" s="9">
        <f ca="1">OFFSET(TIAM15_assumptions!$G45,0,MATCH(VLOOKUP(Assumptions!AZ$2,TIAM15_assumptions!$Y$3:$Z$87,2,FALSE),TIAM15_assumptions!$H$2:$V$2,0))</f>
        <v>0</v>
      </c>
      <c r="BA45" s="9">
        <f ca="1">OFFSET(TIAM15_assumptions!$G45,0,MATCH(VLOOKUP(Assumptions!BA$2,TIAM15_assumptions!$Y$3:$Z$87,2,FALSE),TIAM15_assumptions!$H$2:$V$2,0))</f>
        <v>0</v>
      </c>
      <c r="BD45" s="34">
        <f ca="1">IFERROR(SUMIFS('TRA balance'!E$5:E$40,'TRA balance'!$C$5:$C$40,Assumptions!$C45,'TRA balance'!$D$5:$D$40,Assumptions!$B45)*CY45*H45,"")</f>
        <v>0</v>
      </c>
      <c r="BE45" s="34">
        <f ca="1">IFERROR(SUMIFS('TRA balance'!F$5:F$40,'TRA balance'!$C$5:$C$40,Assumptions!$C45,'TRA balance'!$D$5:$D$40,Assumptions!$B45)*CZ45*I45,"")</f>
        <v>0</v>
      </c>
      <c r="BF45" s="34">
        <f ca="1">IFERROR(SUMIFS('TRA balance'!G$5:G$40,'TRA balance'!$C$5:$C$40,Assumptions!$C45,'TRA balance'!$D$5:$D$40,Assumptions!$B45)*DA45*J45,"")</f>
        <v>0</v>
      </c>
      <c r="BG45" s="34">
        <f ca="1">IFERROR(SUMIFS('TRA balance'!H$5:H$40,'TRA balance'!$C$5:$C$40,Assumptions!$C45,'TRA balance'!$D$5:$D$40,Assumptions!$B45)*DB45*K45,"")</f>
        <v>0</v>
      </c>
      <c r="BH45" s="34">
        <f ca="1">IFERROR(SUMIFS('TRA balance'!I$5:I$40,'TRA balance'!$C$5:$C$40,Assumptions!$C45,'TRA balance'!$D$5:$D$40,Assumptions!$B45)*DC45*L45,"")</f>
        <v>0</v>
      </c>
      <c r="BI45" s="34">
        <f ca="1">IFERROR(SUMIFS('TRA balance'!J$5:J$40,'TRA balance'!$C$5:$C$40,Assumptions!$C45,'TRA balance'!$D$5:$D$40,Assumptions!$B45)*DD45*M45,"")</f>
        <v>0</v>
      </c>
      <c r="BJ45" s="34">
        <f ca="1">IFERROR(SUMIFS('TRA balance'!K$5:K$40,'TRA balance'!$C$5:$C$40,Assumptions!$C45,'TRA balance'!$D$5:$D$40,Assumptions!$B45)*DE45*N45,"")</f>
        <v>0</v>
      </c>
      <c r="BK45" s="34">
        <f ca="1">IFERROR(SUMIFS('TRA balance'!L$5:L$40,'TRA balance'!$C$5:$C$40,Assumptions!$C45,'TRA balance'!$D$5:$D$40,Assumptions!$B45)*DF45*O45,"")</f>
        <v>0</v>
      </c>
      <c r="BL45" s="34">
        <f ca="1">IFERROR(SUMIFS('TRA balance'!M$5:M$40,'TRA balance'!$C$5:$C$40,Assumptions!$C45,'TRA balance'!$D$5:$D$40,Assumptions!$B45)*DG45*P45,"")</f>
        <v>0</v>
      </c>
      <c r="BM45" s="34">
        <f ca="1">IFERROR(SUMIFS('TRA balance'!N$5:N$40,'TRA balance'!$C$5:$C$40,Assumptions!$C45,'TRA balance'!$D$5:$D$40,Assumptions!$B45)*DH45*Q45,"")</f>
        <v>0</v>
      </c>
      <c r="BN45" s="34">
        <f ca="1">IFERROR(SUMIFS('TRA balance'!O$5:O$40,'TRA balance'!$C$5:$C$40,Assumptions!$C45,'TRA balance'!$D$5:$D$40,Assumptions!$B45)*DI45*R45,"")</f>
        <v>0</v>
      </c>
      <c r="BO45" s="34">
        <f ca="1">IFERROR(SUMIFS('TRA balance'!P$5:P$40,'TRA balance'!$C$5:$C$40,Assumptions!$C45,'TRA balance'!$D$5:$D$40,Assumptions!$B45)*DJ45*S45,"")</f>
        <v>0</v>
      </c>
      <c r="BP45" s="34">
        <f ca="1">IFERROR(SUMIFS('TRA balance'!Q$5:Q$40,'TRA balance'!$C$5:$C$40,Assumptions!$C45,'TRA balance'!$D$5:$D$40,Assumptions!$B45)*DK45*T45,"")</f>
        <v>0</v>
      </c>
      <c r="BQ45" s="34">
        <f ca="1">IFERROR(SUMIFS('TRA balance'!R$5:R$40,'TRA balance'!$C$5:$C$40,Assumptions!$C45,'TRA balance'!$D$5:$D$40,Assumptions!$B45)*DL45*U45,"")</f>
        <v>0</v>
      </c>
      <c r="BR45" s="34">
        <f ca="1">IFERROR(SUMIFS('TRA balance'!S$5:S$40,'TRA balance'!$C$5:$C$40,Assumptions!$C45,'TRA balance'!$D$5:$D$40,Assumptions!$B45)*DM45*V45,"")</f>
        <v>0</v>
      </c>
      <c r="BS45" s="34">
        <f ca="1">IFERROR(SUMIFS('TRA balance'!T$5:T$40,'TRA balance'!$C$5:$C$40,Assumptions!$C45,'TRA balance'!$D$5:$D$40,Assumptions!$B45)*DN45*W45,"")</f>
        <v>0</v>
      </c>
      <c r="BT45" s="34">
        <f ca="1">IFERROR(SUMIFS('TRA balance'!U$5:U$40,'TRA balance'!$C$5:$C$40,Assumptions!$C45,'TRA balance'!$D$5:$D$40,Assumptions!$B45)*DO45*X45,"")</f>
        <v>0</v>
      </c>
      <c r="BU45" s="34">
        <f ca="1">IFERROR(SUMIFS('TRA balance'!V$5:V$40,'TRA balance'!$C$5:$C$40,Assumptions!$C45,'TRA balance'!$D$5:$D$40,Assumptions!$B45)*DP45*Y45,"")</f>
        <v>0</v>
      </c>
      <c r="BV45" s="34">
        <f ca="1">IFERROR(SUMIFS('TRA balance'!W$5:W$40,'TRA balance'!$C$5:$C$40,Assumptions!$C45,'TRA balance'!$D$5:$D$40,Assumptions!$B45)*DQ45*Z45,"")</f>
        <v>0</v>
      </c>
      <c r="BW45" s="34">
        <f ca="1">IFERROR(SUMIFS('TRA balance'!X$5:X$40,'TRA balance'!$C$5:$C$40,Assumptions!$C45,'TRA balance'!$D$5:$D$40,Assumptions!$B45)*DR45*AA45,"")</f>
        <v>0</v>
      </c>
      <c r="BX45" s="34">
        <f ca="1">IFERROR(SUMIFS('TRA balance'!Y$5:Y$40,'TRA balance'!$C$5:$C$40,Assumptions!$C45,'TRA balance'!$D$5:$D$40,Assumptions!$B45)*DS45*AB45,"")</f>
        <v>0</v>
      </c>
      <c r="BY45" s="34">
        <f ca="1">IFERROR(SUMIFS('TRA balance'!Z$5:Z$40,'TRA balance'!$C$5:$C$40,Assumptions!$C45,'TRA balance'!$D$5:$D$40,Assumptions!$B45)*DT45*AC45,"")</f>
        <v>0</v>
      </c>
      <c r="BZ45" s="34">
        <f ca="1">IFERROR(SUMIFS('TRA balance'!AA$5:AA$40,'TRA balance'!$C$5:$C$40,Assumptions!$C45,'TRA balance'!$D$5:$D$40,Assumptions!$B45)*DU45*AD45,"")</f>
        <v>0</v>
      </c>
      <c r="CA45" s="34">
        <f ca="1">IFERROR(SUMIFS('TRA balance'!AB$5:AB$40,'TRA balance'!$C$5:$C$40,Assumptions!$C45,'TRA balance'!$D$5:$D$40,Assumptions!$B45)*DV45*AE45,"")</f>
        <v>0</v>
      </c>
      <c r="CB45" s="34">
        <f ca="1">IFERROR(SUMIFS('TRA balance'!AC$5:AC$40,'TRA balance'!$C$5:$C$40,Assumptions!$C45,'TRA balance'!$D$5:$D$40,Assumptions!$B45)*DW45*AF45,"")</f>
        <v>0</v>
      </c>
      <c r="CC45" s="34">
        <f ca="1">IFERROR(SUMIFS('TRA balance'!AD$5:AD$40,'TRA balance'!$C$5:$C$40,Assumptions!$C45,'TRA balance'!$D$5:$D$40,Assumptions!$B45)*DX45*AG45,"")</f>
        <v>0</v>
      </c>
      <c r="CD45" s="34">
        <f ca="1">IFERROR(SUMIFS('TRA balance'!AE$5:AE$40,'TRA balance'!$C$5:$C$40,Assumptions!$C45,'TRA balance'!$D$5:$D$40,Assumptions!$B45)*DY45*AH45,"")</f>
        <v>0</v>
      </c>
      <c r="CE45" s="34">
        <f ca="1">IFERROR(SUMIFS('TRA balance'!AF$5:AF$40,'TRA balance'!$C$5:$C$40,Assumptions!$C45,'TRA balance'!$D$5:$D$40,Assumptions!$B45)*DZ45*AI45,"")</f>
        <v>0</v>
      </c>
      <c r="CF45" s="34">
        <f ca="1">IFERROR(SUMIFS('TRA balance'!AG$5:AG$40,'TRA balance'!$C$5:$C$40,Assumptions!$C45,'TRA balance'!$D$5:$D$40,Assumptions!$B45)*EA45*AJ45,"")</f>
        <v>0</v>
      </c>
      <c r="CG45" s="34">
        <f ca="1">IFERROR(SUMIFS('TRA balance'!AH$5:AH$40,'TRA balance'!$C$5:$C$40,Assumptions!$C45,'TRA balance'!$D$5:$D$40,Assumptions!$B45)*EB45*AK45,"")</f>
        <v>0</v>
      </c>
      <c r="CH45" s="34">
        <f ca="1">IFERROR(SUMIFS('TRA balance'!AI$5:AI$40,'TRA balance'!$C$5:$C$40,Assumptions!$C45,'TRA balance'!$D$5:$D$40,Assumptions!$B45)*EC45*AL45,"")</f>
        <v>0</v>
      </c>
      <c r="CI45" s="34">
        <f ca="1">IFERROR(SUMIFS('TRA balance'!AJ$5:AJ$40,'TRA balance'!$C$5:$C$40,Assumptions!$C45,'TRA balance'!$D$5:$D$40,Assumptions!$B45)*ED45*AM45,"")</f>
        <v>0</v>
      </c>
      <c r="CJ45" s="34">
        <f ca="1">IFERROR(SUMIFS('TRA balance'!AK$5:AK$40,'TRA balance'!$C$5:$C$40,Assumptions!$C45,'TRA balance'!$D$5:$D$40,Assumptions!$B45)*EE45*AN45,"")</f>
        <v>0</v>
      </c>
      <c r="CK45" s="34">
        <f ca="1">IFERROR(SUMIFS('TRA balance'!AL$5:AL$40,'TRA balance'!$C$5:$C$40,Assumptions!$C45,'TRA balance'!$D$5:$D$40,Assumptions!$B45)*EF45*AO45,"")</f>
        <v>0</v>
      </c>
      <c r="CL45" s="34">
        <f ca="1">IFERROR(SUMIFS('TRA balance'!AM$5:AM$40,'TRA balance'!$C$5:$C$40,Assumptions!$C45,'TRA balance'!$D$5:$D$40,Assumptions!$B45)*EG45*AP45,"")</f>
        <v>0</v>
      </c>
      <c r="CM45" s="34">
        <f ca="1">IFERROR(SUMIFS('TRA balance'!AN$5:AN$40,'TRA balance'!$C$5:$C$40,Assumptions!$C45,'TRA balance'!$D$5:$D$40,Assumptions!$B45)*EH45*AQ45,"")</f>
        <v>0</v>
      </c>
      <c r="CN45" s="34">
        <f ca="1">IFERROR(SUMIFS('TRA balance'!AO$5:AO$40,'TRA balance'!$C$5:$C$40,Assumptions!$C45,'TRA balance'!$D$5:$D$40,Assumptions!$B45)*EI45*AR45,"")</f>
        <v>0</v>
      </c>
      <c r="CO45" s="34">
        <f ca="1">IFERROR(SUMIFS('TRA balance'!AP$5:AP$40,'TRA balance'!$C$5:$C$40,Assumptions!$C45,'TRA balance'!$D$5:$D$40,Assumptions!$B45)*EJ45*AS45,"")</f>
        <v>0</v>
      </c>
      <c r="CP45" s="34">
        <f ca="1">IFERROR(SUMIFS('TRA balance'!AQ$5:AQ$40,'TRA balance'!$C$5:$C$40,Assumptions!$C45,'TRA balance'!$D$5:$D$40,Assumptions!$B45)*EK45*AT45,"")</f>
        <v>0</v>
      </c>
      <c r="CQ45" s="34">
        <f ca="1">IFERROR(SUMIFS('TRA balance'!AR$5:AR$40,'TRA balance'!$C$5:$C$40,Assumptions!$C45,'TRA balance'!$D$5:$D$40,Assumptions!$B45)*EL45*AU45,"")</f>
        <v>0</v>
      </c>
      <c r="CR45" s="34">
        <f ca="1">IFERROR(SUMIFS('TRA balance'!AS$5:AS$40,'TRA balance'!$C$5:$C$40,Assumptions!$C45,'TRA balance'!$D$5:$D$40,Assumptions!$B45)*EM45*AV45,"")</f>
        <v>0</v>
      </c>
      <c r="CS45" s="34">
        <f ca="1">IFERROR(SUMIFS('TRA balance'!AT$5:AT$40,'TRA balance'!$C$5:$C$40,Assumptions!$C45,'TRA balance'!$D$5:$D$40,Assumptions!$B45)*EN45*AW45,"")</f>
        <v>0</v>
      </c>
      <c r="CT45" s="34">
        <f ca="1">IFERROR(SUMIFS('TRA balance'!AU$5:AU$40,'TRA balance'!$C$5:$C$40,Assumptions!$C45,'TRA balance'!$D$5:$D$40,Assumptions!$B45)*EO45*AX45,"")</f>
        <v>0</v>
      </c>
      <c r="CU45" s="34">
        <f ca="1">IFERROR(SUMIFS('TRA balance'!AV$5:AV$40,'TRA balance'!$C$5:$C$40,Assumptions!$C45,'TRA balance'!$D$5:$D$40,Assumptions!$B45)*EP45*AY45,"")</f>
        <v>0</v>
      </c>
      <c r="CV45" s="34">
        <f ca="1">IFERROR(SUMIFS('TRA balance'!AW$5:AW$40,'TRA balance'!$C$5:$C$40,Assumptions!$C45,'TRA balance'!$D$5:$D$40,Assumptions!$B45)*EQ45*AZ45,"")</f>
        <v>0</v>
      </c>
      <c r="CW45" s="34">
        <f ca="1">IFERROR(SUMIFS('TRA balance'!AX$5:AX$40,'TRA balance'!$C$5:$C$40,Assumptions!$C45,'TRA balance'!$D$5:$D$40,Assumptions!$B45)*ER45*BA45,"")</f>
        <v>0</v>
      </c>
      <c r="CY45" s="33">
        <f t="shared" ca="1" si="66"/>
        <v>0.4</v>
      </c>
      <c r="CZ45" s="33">
        <f t="shared" ca="1" si="3"/>
        <v>0.4</v>
      </c>
      <c r="DA45" s="33">
        <f t="shared" ca="1" si="4"/>
        <v>0.75</v>
      </c>
      <c r="DB45" s="33">
        <f t="shared" ca="1" si="5"/>
        <v>0.25</v>
      </c>
      <c r="DC45" s="33">
        <f t="shared" ca="1" si="6"/>
        <v>0.43000000000000005</v>
      </c>
      <c r="DD45" s="33">
        <f t="shared" ca="1" si="7"/>
        <v>0.25</v>
      </c>
      <c r="DE45" s="33">
        <f t="shared" ca="1" si="8"/>
        <v>0.5</v>
      </c>
      <c r="DF45" s="33">
        <f t="shared" ca="1" si="9"/>
        <v>0.6</v>
      </c>
      <c r="DG45" s="33">
        <f t="shared" ca="1" si="10"/>
        <v>0.43000000000000005</v>
      </c>
      <c r="DH45" s="33">
        <f t="shared" ca="1" si="11"/>
        <v>0.43000000000000005</v>
      </c>
      <c r="DI45" s="33">
        <f t="shared" ca="1" si="12"/>
        <v>0.25</v>
      </c>
      <c r="DJ45" s="33">
        <f t="shared" ca="1" si="13"/>
        <v>0.25</v>
      </c>
      <c r="DK45" s="33">
        <f t="shared" ca="1" si="14"/>
        <v>0.25</v>
      </c>
      <c r="DL45" s="33">
        <f t="shared" ca="1" si="15"/>
        <v>0.43000000000000005</v>
      </c>
      <c r="DM45" s="33">
        <f t="shared" ca="1" si="16"/>
        <v>0.25</v>
      </c>
      <c r="DN45" s="33">
        <f t="shared" ca="1" si="17"/>
        <v>0.75</v>
      </c>
      <c r="DO45" s="33">
        <f t="shared" ca="1" si="18"/>
        <v>0.25</v>
      </c>
      <c r="DP45" s="33">
        <f t="shared" ca="1" si="19"/>
        <v>0.25</v>
      </c>
      <c r="DQ45" s="33">
        <f t="shared" ca="1" si="20"/>
        <v>0.43000000000000005</v>
      </c>
      <c r="DR45" s="33">
        <f t="shared" ca="1" si="21"/>
        <v>0.5</v>
      </c>
      <c r="DS45" s="33">
        <f t="shared" ca="1" si="22"/>
        <v>0.4</v>
      </c>
      <c r="DT45" s="33">
        <f t="shared" ca="1" si="23"/>
        <v>0.28078528284437665</v>
      </c>
      <c r="DU45" s="33">
        <f t="shared" ca="1" si="24"/>
        <v>0.25</v>
      </c>
      <c r="DV45" s="33">
        <f t="shared" ca="1" si="25"/>
        <v>0.43000000000000005</v>
      </c>
      <c r="DW45" s="33">
        <f t="shared" ca="1" si="26"/>
        <v>0.30000000000000004</v>
      </c>
      <c r="DX45" s="33">
        <f t="shared" ca="1" si="27"/>
        <v>0.43000000000000005</v>
      </c>
      <c r="DY45" s="33">
        <f t="shared" ca="1" si="28"/>
        <v>0.4</v>
      </c>
      <c r="DZ45" s="33">
        <f t="shared" ca="1" si="29"/>
        <v>0.4</v>
      </c>
      <c r="EA45" s="33">
        <f t="shared" ca="1" si="30"/>
        <v>0.25</v>
      </c>
      <c r="EB45" s="33">
        <f t="shared" ca="1" si="31"/>
        <v>0.25</v>
      </c>
      <c r="EC45" s="33">
        <f t="shared" ca="1" si="32"/>
        <v>0.25</v>
      </c>
      <c r="ED45" s="33">
        <f t="shared" ca="1" si="33"/>
        <v>0.4</v>
      </c>
      <c r="EE45" s="33">
        <f t="shared" ca="1" si="34"/>
        <v>0.25</v>
      </c>
      <c r="EF45" s="33">
        <f t="shared" ca="1" si="35"/>
        <v>0.43000000000000005</v>
      </c>
      <c r="EG45" s="33">
        <f t="shared" ca="1" si="36"/>
        <v>0.43000000000000005</v>
      </c>
      <c r="EH45" s="33">
        <f t="shared" ca="1" si="37"/>
        <v>0.28078528284437665</v>
      </c>
      <c r="EI45" s="33">
        <f t="shared" ca="1" si="38"/>
        <v>0.28078528284437665</v>
      </c>
      <c r="EJ45" s="33">
        <f t="shared" ca="1" si="39"/>
        <v>0.28078528284437665</v>
      </c>
      <c r="EK45" s="33">
        <f t="shared" ca="1" si="40"/>
        <v>0.28078528284437665</v>
      </c>
      <c r="EL45" s="33">
        <f t="shared" ca="1" si="41"/>
        <v>0.28078528284437665</v>
      </c>
      <c r="EM45" s="33">
        <f t="shared" ca="1" si="42"/>
        <v>0.28078528284437665</v>
      </c>
      <c r="EN45" s="33">
        <f t="shared" ca="1" si="43"/>
        <v>0.28078528284437665</v>
      </c>
      <c r="EO45" s="33">
        <f t="shared" ca="1" si="44"/>
        <v>0.28078528284437665</v>
      </c>
      <c r="EP45" s="33">
        <f t="shared" ca="1" si="45"/>
        <v>0.28078528284437665</v>
      </c>
      <c r="EQ45" s="33">
        <f t="shared" ca="1" si="46"/>
        <v>0.28078528284437665</v>
      </c>
      <c r="ER45" s="33">
        <f t="shared" ca="1" si="47"/>
        <v>0.28078528284437665</v>
      </c>
    </row>
    <row r="46" spans="1:148">
      <c r="A46">
        <v>2</v>
      </c>
      <c r="B46" t="str">
        <f>VLOOKUP(F46,'TRA balance'!$BA$5:$BB$14,2,FALSE)</f>
        <v>TRALPG</v>
      </c>
      <c r="C46" s="6" t="str">
        <f t="shared" si="48"/>
        <v>TR</v>
      </c>
      <c r="D46" s="7" t="s">
        <v>16</v>
      </c>
      <c r="E46" s="18" t="s">
        <v>75</v>
      </c>
      <c r="F46" s="8" t="str">
        <f t="shared" si="74"/>
        <v>Liquified Petroleum Gases</v>
      </c>
      <c r="G46" s="6" t="s">
        <v>76</v>
      </c>
      <c r="H46" s="9">
        <f ca="1">OFFSET(TIAM15_assumptions!$G46,0,MATCH(VLOOKUP(Assumptions!H$2,TIAM15_assumptions!$Y$3:$Z$87,2,FALSE),TIAM15_assumptions!$H$2:$V$2,0))</f>
        <v>0</v>
      </c>
      <c r="I46" s="9">
        <f ca="1">OFFSET(TIAM15_assumptions!$G46,0,MATCH(VLOOKUP(Assumptions!I$2,TIAM15_assumptions!$Y$3:$Z$87,2,FALSE),TIAM15_assumptions!$H$2:$V$2,0))</f>
        <v>0</v>
      </c>
      <c r="J46" s="9">
        <f ca="1">OFFSET(TIAM15_assumptions!$G46,0,MATCH(VLOOKUP(Assumptions!J$2,TIAM15_assumptions!$Y$3:$Z$87,2,FALSE),TIAM15_assumptions!$H$2:$V$2,0))</f>
        <v>0</v>
      </c>
      <c r="K46" s="9">
        <f ca="1">OFFSET(TIAM15_assumptions!$G46,0,MATCH(VLOOKUP(Assumptions!K$2,TIAM15_assumptions!$Y$3:$Z$87,2,FALSE),TIAM15_assumptions!$H$2:$V$2,0))</f>
        <v>0</v>
      </c>
      <c r="L46" s="9">
        <f ca="1">OFFSET(TIAM15_assumptions!$G46,0,MATCH(VLOOKUP(Assumptions!L$2,TIAM15_assumptions!$Y$3:$Z$87,2,FALSE),TIAM15_assumptions!$H$2:$V$2,0))</f>
        <v>0</v>
      </c>
      <c r="M46" s="9">
        <f ca="1">OFFSET(TIAM15_assumptions!$G46,0,MATCH(VLOOKUP(Assumptions!M$2,TIAM15_assumptions!$Y$3:$Z$87,2,FALSE),TIAM15_assumptions!$H$2:$V$2,0))</f>
        <v>0</v>
      </c>
      <c r="N46" s="9">
        <f ca="1">OFFSET(TIAM15_assumptions!$G46,0,MATCH(VLOOKUP(Assumptions!N$2,TIAM15_assumptions!$Y$3:$Z$87,2,FALSE),TIAM15_assumptions!$H$2:$V$2,0))</f>
        <v>0</v>
      </c>
      <c r="O46" s="9">
        <f ca="1">OFFSET(TIAM15_assumptions!$G46,0,MATCH(VLOOKUP(Assumptions!O$2,TIAM15_assumptions!$Y$3:$Z$87,2,FALSE),TIAM15_assumptions!$H$2:$V$2,0))</f>
        <v>0</v>
      </c>
      <c r="P46" s="9">
        <f ca="1">OFFSET(TIAM15_assumptions!$G46,0,MATCH(VLOOKUP(Assumptions!P$2,TIAM15_assumptions!$Y$3:$Z$87,2,FALSE),TIAM15_assumptions!$H$2:$V$2,0))</f>
        <v>0</v>
      </c>
      <c r="Q46" s="9">
        <f ca="1">OFFSET(TIAM15_assumptions!$G46,0,MATCH(VLOOKUP(Assumptions!Q$2,TIAM15_assumptions!$Y$3:$Z$87,2,FALSE),TIAM15_assumptions!$H$2:$V$2,0))</f>
        <v>0</v>
      </c>
      <c r="R46" s="9">
        <f ca="1">OFFSET(TIAM15_assumptions!$G46,0,MATCH(VLOOKUP(Assumptions!R$2,TIAM15_assumptions!$Y$3:$Z$87,2,FALSE),TIAM15_assumptions!$H$2:$V$2,0))</f>
        <v>0</v>
      </c>
      <c r="S46" s="9">
        <f ca="1">OFFSET(TIAM15_assumptions!$G46,0,MATCH(VLOOKUP(Assumptions!S$2,TIAM15_assumptions!$Y$3:$Z$87,2,FALSE),TIAM15_assumptions!$H$2:$V$2,0))</f>
        <v>0</v>
      </c>
      <c r="T46" s="9">
        <f ca="1">OFFSET(TIAM15_assumptions!$G46,0,MATCH(VLOOKUP(Assumptions!T$2,TIAM15_assumptions!$Y$3:$Z$87,2,FALSE),TIAM15_assumptions!$H$2:$V$2,0))</f>
        <v>0</v>
      </c>
      <c r="U46" s="9">
        <f ca="1">OFFSET(TIAM15_assumptions!$G46,0,MATCH(VLOOKUP(Assumptions!U$2,TIAM15_assumptions!$Y$3:$Z$87,2,FALSE),TIAM15_assumptions!$H$2:$V$2,0))</f>
        <v>0</v>
      </c>
      <c r="V46" s="9">
        <f ca="1">OFFSET(TIAM15_assumptions!$G46,0,MATCH(VLOOKUP(Assumptions!V$2,TIAM15_assumptions!$Y$3:$Z$87,2,FALSE),TIAM15_assumptions!$H$2:$V$2,0))</f>
        <v>0</v>
      </c>
      <c r="W46" s="9">
        <f ca="1">OFFSET(TIAM15_assumptions!$G46,0,MATCH(VLOOKUP(Assumptions!W$2,TIAM15_assumptions!$Y$3:$Z$87,2,FALSE),TIAM15_assumptions!$H$2:$V$2,0))</f>
        <v>0</v>
      </c>
      <c r="X46" s="9">
        <f ca="1">OFFSET(TIAM15_assumptions!$G46,0,MATCH(VLOOKUP(Assumptions!X$2,TIAM15_assumptions!$Y$3:$Z$87,2,FALSE),TIAM15_assumptions!$H$2:$V$2,0))</f>
        <v>0</v>
      </c>
      <c r="Y46" s="9">
        <f ca="1">OFFSET(TIAM15_assumptions!$G46,0,MATCH(VLOOKUP(Assumptions!Y$2,TIAM15_assumptions!$Y$3:$Z$87,2,FALSE),TIAM15_assumptions!$H$2:$V$2,0))</f>
        <v>0</v>
      </c>
      <c r="Z46" s="9">
        <f ca="1">OFFSET(TIAM15_assumptions!$G46,0,MATCH(VLOOKUP(Assumptions!Z$2,TIAM15_assumptions!$Y$3:$Z$87,2,FALSE),TIAM15_assumptions!$H$2:$V$2,0))</f>
        <v>0</v>
      </c>
      <c r="AA46" s="9">
        <f ca="1">OFFSET(TIAM15_assumptions!$G46,0,MATCH(VLOOKUP(Assumptions!AA$2,TIAM15_assumptions!$Y$3:$Z$87,2,FALSE),TIAM15_assumptions!$H$2:$V$2,0))</f>
        <v>0</v>
      </c>
      <c r="AB46" s="9">
        <f ca="1">OFFSET(TIAM15_assumptions!$G46,0,MATCH(VLOOKUP(Assumptions!AB$2,TIAM15_assumptions!$Y$3:$Z$87,2,FALSE),TIAM15_assumptions!$H$2:$V$2,0))</f>
        <v>0</v>
      </c>
      <c r="AC46" s="9">
        <f ca="1">OFFSET(TIAM15_assumptions!$G46,0,MATCH(VLOOKUP(Assumptions!AC$2,TIAM15_assumptions!$Y$3:$Z$87,2,FALSE),TIAM15_assumptions!$H$2:$V$2,0))</f>
        <v>0</v>
      </c>
      <c r="AD46" s="9">
        <f ca="1">OFFSET(TIAM15_assumptions!$G46,0,MATCH(VLOOKUP(Assumptions!AD$2,TIAM15_assumptions!$Y$3:$Z$87,2,FALSE),TIAM15_assumptions!$H$2:$V$2,0))</f>
        <v>0</v>
      </c>
      <c r="AE46" s="9">
        <f ca="1">OFFSET(TIAM15_assumptions!$G46,0,MATCH(VLOOKUP(Assumptions!AE$2,TIAM15_assumptions!$Y$3:$Z$87,2,FALSE),TIAM15_assumptions!$H$2:$V$2,0))</f>
        <v>0</v>
      </c>
      <c r="AF46" s="9">
        <f ca="1">OFFSET(TIAM15_assumptions!$G46,0,MATCH(VLOOKUP(Assumptions!AF$2,TIAM15_assumptions!$Y$3:$Z$87,2,FALSE),TIAM15_assumptions!$H$2:$V$2,0))</f>
        <v>0</v>
      </c>
      <c r="AG46" s="9">
        <f ca="1">OFFSET(TIAM15_assumptions!$G46,0,MATCH(VLOOKUP(Assumptions!AG$2,TIAM15_assumptions!$Y$3:$Z$87,2,FALSE),TIAM15_assumptions!$H$2:$V$2,0))</f>
        <v>0</v>
      </c>
      <c r="AH46" s="9">
        <f ca="1">OFFSET(TIAM15_assumptions!$G46,0,MATCH(VLOOKUP(Assumptions!AH$2,TIAM15_assumptions!$Y$3:$Z$87,2,FALSE),TIAM15_assumptions!$H$2:$V$2,0))</f>
        <v>0</v>
      </c>
      <c r="AI46" s="9">
        <f ca="1">OFFSET(TIAM15_assumptions!$G46,0,MATCH(VLOOKUP(Assumptions!AI$2,TIAM15_assumptions!$Y$3:$Z$87,2,FALSE),TIAM15_assumptions!$H$2:$V$2,0))</f>
        <v>0</v>
      </c>
      <c r="AJ46" s="9">
        <f ca="1">OFFSET(TIAM15_assumptions!$G46,0,MATCH(VLOOKUP(Assumptions!AJ$2,TIAM15_assumptions!$Y$3:$Z$87,2,FALSE),TIAM15_assumptions!$H$2:$V$2,0))</f>
        <v>0</v>
      </c>
      <c r="AK46" s="9">
        <f ca="1">OFFSET(TIAM15_assumptions!$G46,0,MATCH(VLOOKUP(Assumptions!AK$2,TIAM15_assumptions!$Y$3:$Z$87,2,FALSE),TIAM15_assumptions!$H$2:$V$2,0))</f>
        <v>0</v>
      </c>
      <c r="AL46" s="9">
        <f ca="1">OFFSET(TIAM15_assumptions!$G46,0,MATCH(VLOOKUP(Assumptions!AL$2,TIAM15_assumptions!$Y$3:$Z$87,2,FALSE),TIAM15_assumptions!$H$2:$V$2,0))</f>
        <v>0</v>
      </c>
      <c r="AM46" s="9">
        <f ca="1">OFFSET(TIAM15_assumptions!$G46,0,MATCH(VLOOKUP(Assumptions!AM$2,TIAM15_assumptions!$Y$3:$Z$87,2,FALSE),TIAM15_assumptions!$H$2:$V$2,0))</f>
        <v>0</v>
      </c>
      <c r="AN46" s="9">
        <f ca="1">OFFSET(TIAM15_assumptions!$G46,0,MATCH(VLOOKUP(Assumptions!AN$2,TIAM15_assumptions!$Y$3:$Z$87,2,FALSE),TIAM15_assumptions!$H$2:$V$2,0))</f>
        <v>0</v>
      </c>
      <c r="AO46" s="9">
        <f ca="1">OFFSET(TIAM15_assumptions!$G46,0,MATCH(VLOOKUP(Assumptions!AO$2,TIAM15_assumptions!$Y$3:$Z$87,2,FALSE),TIAM15_assumptions!$H$2:$V$2,0))</f>
        <v>0</v>
      </c>
      <c r="AP46" s="9">
        <f ca="1">OFFSET(TIAM15_assumptions!$G46,0,MATCH(VLOOKUP(Assumptions!AP$2,TIAM15_assumptions!$Y$3:$Z$87,2,FALSE),TIAM15_assumptions!$H$2:$V$2,0))</f>
        <v>0</v>
      </c>
      <c r="AQ46" s="9">
        <f ca="1">OFFSET(TIAM15_assumptions!$G46,0,MATCH(VLOOKUP(Assumptions!AQ$2,TIAM15_assumptions!$Y$3:$Z$87,2,FALSE),TIAM15_assumptions!$H$2:$V$2,0))</f>
        <v>0</v>
      </c>
      <c r="AR46" s="9">
        <f ca="1">OFFSET(TIAM15_assumptions!$G46,0,MATCH(VLOOKUP(Assumptions!AR$2,TIAM15_assumptions!$Y$3:$Z$87,2,FALSE),TIAM15_assumptions!$H$2:$V$2,0))</f>
        <v>0</v>
      </c>
      <c r="AS46" s="9">
        <f ca="1">OFFSET(TIAM15_assumptions!$G46,0,MATCH(VLOOKUP(Assumptions!AS$2,TIAM15_assumptions!$Y$3:$Z$87,2,FALSE),TIAM15_assumptions!$H$2:$V$2,0))</f>
        <v>0</v>
      </c>
      <c r="AT46" s="9">
        <f ca="1">OFFSET(TIAM15_assumptions!$G46,0,MATCH(VLOOKUP(Assumptions!AT$2,TIAM15_assumptions!$Y$3:$Z$87,2,FALSE),TIAM15_assumptions!$H$2:$V$2,0))</f>
        <v>0</v>
      </c>
      <c r="AU46" s="9">
        <f ca="1">OFFSET(TIAM15_assumptions!$G46,0,MATCH(VLOOKUP(Assumptions!AU$2,TIAM15_assumptions!$Y$3:$Z$87,2,FALSE),TIAM15_assumptions!$H$2:$V$2,0))</f>
        <v>0</v>
      </c>
      <c r="AV46" s="9">
        <f ca="1">OFFSET(TIAM15_assumptions!$G46,0,MATCH(VLOOKUP(Assumptions!AV$2,TIAM15_assumptions!$Y$3:$Z$87,2,FALSE),TIAM15_assumptions!$H$2:$V$2,0))</f>
        <v>0</v>
      </c>
      <c r="AW46" s="9">
        <f ca="1">OFFSET(TIAM15_assumptions!$G46,0,MATCH(VLOOKUP(Assumptions!AW$2,TIAM15_assumptions!$Y$3:$Z$87,2,FALSE),TIAM15_assumptions!$H$2:$V$2,0))</f>
        <v>0</v>
      </c>
      <c r="AX46" s="9">
        <f ca="1">OFFSET(TIAM15_assumptions!$G46,0,MATCH(VLOOKUP(Assumptions!AX$2,TIAM15_assumptions!$Y$3:$Z$87,2,FALSE),TIAM15_assumptions!$H$2:$V$2,0))</f>
        <v>0</v>
      </c>
      <c r="AY46" s="9">
        <f ca="1">OFFSET(TIAM15_assumptions!$G46,0,MATCH(VLOOKUP(Assumptions!AY$2,TIAM15_assumptions!$Y$3:$Z$87,2,FALSE),TIAM15_assumptions!$H$2:$V$2,0))</f>
        <v>0</v>
      </c>
      <c r="AZ46" s="9">
        <f ca="1">OFFSET(TIAM15_assumptions!$G46,0,MATCH(VLOOKUP(Assumptions!AZ$2,TIAM15_assumptions!$Y$3:$Z$87,2,FALSE),TIAM15_assumptions!$H$2:$V$2,0))</f>
        <v>0</v>
      </c>
      <c r="BA46" s="9">
        <f ca="1">OFFSET(TIAM15_assumptions!$G46,0,MATCH(VLOOKUP(Assumptions!BA$2,TIAM15_assumptions!$Y$3:$Z$87,2,FALSE),TIAM15_assumptions!$H$2:$V$2,0))</f>
        <v>0</v>
      </c>
      <c r="BD46" s="34">
        <f ca="1">IFERROR(SUMIFS('TRA balance'!E$5:E$40,'TRA balance'!$C$5:$C$40,Assumptions!$C46,'TRA balance'!$D$5:$D$40,Assumptions!$B46)*CY46*H46,"")</f>
        <v>0</v>
      </c>
      <c r="BE46" s="34">
        <f ca="1">IFERROR(SUMIFS('TRA balance'!F$5:F$40,'TRA balance'!$C$5:$C$40,Assumptions!$C46,'TRA balance'!$D$5:$D$40,Assumptions!$B46)*CZ46*I46,"")</f>
        <v>0</v>
      </c>
      <c r="BF46" s="34">
        <f ca="1">IFERROR(SUMIFS('TRA balance'!G$5:G$40,'TRA balance'!$C$5:$C$40,Assumptions!$C46,'TRA balance'!$D$5:$D$40,Assumptions!$B46)*DA46*J46,"")</f>
        <v>0</v>
      </c>
      <c r="BG46" s="34">
        <f ca="1">IFERROR(SUMIFS('TRA balance'!H$5:H$40,'TRA balance'!$C$5:$C$40,Assumptions!$C46,'TRA balance'!$D$5:$D$40,Assumptions!$B46)*DB46*K46,"")</f>
        <v>0</v>
      </c>
      <c r="BH46" s="34">
        <f ca="1">IFERROR(SUMIFS('TRA balance'!I$5:I$40,'TRA balance'!$C$5:$C$40,Assumptions!$C46,'TRA balance'!$D$5:$D$40,Assumptions!$B46)*DC46*L46,"")</f>
        <v>0</v>
      </c>
      <c r="BI46" s="34">
        <f ca="1">IFERROR(SUMIFS('TRA balance'!J$5:J$40,'TRA balance'!$C$5:$C$40,Assumptions!$C46,'TRA balance'!$D$5:$D$40,Assumptions!$B46)*DD46*M46,"")</f>
        <v>0</v>
      </c>
      <c r="BJ46" s="34">
        <f ca="1">IFERROR(SUMIFS('TRA balance'!K$5:K$40,'TRA balance'!$C$5:$C$40,Assumptions!$C46,'TRA balance'!$D$5:$D$40,Assumptions!$B46)*DE46*N46,"")</f>
        <v>0</v>
      </c>
      <c r="BK46" s="34">
        <f ca="1">IFERROR(SUMIFS('TRA balance'!L$5:L$40,'TRA balance'!$C$5:$C$40,Assumptions!$C46,'TRA balance'!$D$5:$D$40,Assumptions!$B46)*DF46*O46,"")</f>
        <v>0</v>
      </c>
      <c r="BL46" s="34">
        <f ca="1">IFERROR(SUMIFS('TRA balance'!M$5:M$40,'TRA balance'!$C$5:$C$40,Assumptions!$C46,'TRA balance'!$D$5:$D$40,Assumptions!$B46)*DG46*P46,"")</f>
        <v>0</v>
      </c>
      <c r="BM46" s="34">
        <f ca="1">IFERROR(SUMIFS('TRA balance'!N$5:N$40,'TRA balance'!$C$5:$C$40,Assumptions!$C46,'TRA balance'!$D$5:$D$40,Assumptions!$B46)*DH46*Q46,"")</f>
        <v>0</v>
      </c>
      <c r="BN46" s="34">
        <f ca="1">IFERROR(SUMIFS('TRA balance'!O$5:O$40,'TRA balance'!$C$5:$C$40,Assumptions!$C46,'TRA balance'!$D$5:$D$40,Assumptions!$B46)*DI46*R46,"")</f>
        <v>0</v>
      </c>
      <c r="BO46" s="34">
        <f ca="1">IFERROR(SUMIFS('TRA balance'!P$5:P$40,'TRA balance'!$C$5:$C$40,Assumptions!$C46,'TRA balance'!$D$5:$D$40,Assumptions!$B46)*DJ46*S46,"")</f>
        <v>0</v>
      </c>
      <c r="BP46" s="34">
        <f ca="1">IFERROR(SUMIFS('TRA balance'!Q$5:Q$40,'TRA balance'!$C$5:$C$40,Assumptions!$C46,'TRA balance'!$D$5:$D$40,Assumptions!$B46)*DK46*T46,"")</f>
        <v>0</v>
      </c>
      <c r="BQ46" s="34">
        <f ca="1">IFERROR(SUMIFS('TRA balance'!R$5:R$40,'TRA balance'!$C$5:$C$40,Assumptions!$C46,'TRA balance'!$D$5:$D$40,Assumptions!$B46)*DL46*U46,"")</f>
        <v>0</v>
      </c>
      <c r="BR46" s="34">
        <f ca="1">IFERROR(SUMIFS('TRA balance'!S$5:S$40,'TRA balance'!$C$5:$C$40,Assumptions!$C46,'TRA balance'!$D$5:$D$40,Assumptions!$B46)*DM46*V46,"")</f>
        <v>0</v>
      </c>
      <c r="BS46" s="34">
        <f ca="1">IFERROR(SUMIFS('TRA balance'!T$5:T$40,'TRA balance'!$C$5:$C$40,Assumptions!$C46,'TRA balance'!$D$5:$D$40,Assumptions!$B46)*DN46*W46,"")</f>
        <v>0</v>
      </c>
      <c r="BT46" s="34">
        <f ca="1">IFERROR(SUMIFS('TRA balance'!U$5:U$40,'TRA balance'!$C$5:$C$40,Assumptions!$C46,'TRA balance'!$D$5:$D$40,Assumptions!$B46)*DO46*X46,"")</f>
        <v>0</v>
      </c>
      <c r="BU46" s="34">
        <f ca="1">IFERROR(SUMIFS('TRA balance'!V$5:V$40,'TRA balance'!$C$5:$C$40,Assumptions!$C46,'TRA balance'!$D$5:$D$40,Assumptions!$B46)*DP46*Y46,"")</f>
        <v>0</v>
      </c>
      <c r="BV46" s="34">
        <f ca="1">IFERROR(SUMIFS('TRA balance'!W$5:W$40,'TRA balance'!$C$5:$C$40,Assumptions!$C46,'TRA balance'!$D$5:$D$40,Assumptions!$B46)*DQ46*Z46,"")</f>
        <v>0</v>
      </c>
      <c r="BW46" s="34">
        <f ca="1">IFERROR(SUMIFS('TRA balance'!X$5:X$40,'TRA balance'!$C$5:$C$40,Assumptions!$C46,'TRA balance'!$D$5:$D$40,Assumptions!$B46)*DR46*AA46,"")</f>
        <v>0</v>
      </c>
      <c r="BX46" s="34">
        <f ca="1">IFERROR(SUMIFS('TRA balance'!Y$5:Y$40,'TRA balance'!$C$5:$C$40,Assumptions!$C46,'TRA balance'!$D$5:$D$40,Assumptions!$B46)*DS46*AB46,"")</f>
        <v>0</v>
      </c>
      <c r="BY46" s="34">
        <f ca="1">IFERROR(SUMIFS('TRA balance'!Z$5:Z$40,'TRA balance'!$C$5:$C$40,Assumptions!$C46,'TRA balance'!$D$5:$D$40,Assumptions!$B46)*DT46*AC46,"")</f>
        <v>0</v>
      </c>
      <c r="BZ46" s="34">
        <f ca="1">IFERROR(SUMIFS('TRA balance'!AA$5:AA$40,'TRA balance'!$C$5:$C$40,Assumptions!$C46,'TRA balance'!$D$5:$D$40,Assumptions!$B46)*DU46*AD46,"")</f>
        <v>0</v>
      </c>
      <c r="CA46" s="34">
        <f ca="1">IFERROR(SUMIFS('TRA balance'!AB$5:AB$40,'TRA balance'!$C$5:$C$40,Assumptions!$C46,'TRA balance'!$D$5:$D$40,Assumptions!$B46)*DV46*AE46,"")</f>
        <v>0</v>
      </c>
      <c r="CB46" s="34">
        <f ca="1">IFERROR(SUMIFS('TRA balance'!AC$5:AC$40,'TRA balance'!$C$5:$C$40,Assumptions!$C46,'TRA balance'!$D$5:$D$40,Assumptions!$B46)*DW46*AF46,"")</f>
        <v>0</v>
      </c>
      <c r="CC46" s="34">
        <f ca="1">IFERROR(SUMIFS('TRA balance'!AD$5:AD$40,'TRA balance'!$C$5:$C$40,Assumptions!$C46,'TRA balance'!$D$5:$D$40,Assumptions!$B46)*DX46*AG46,"")</f>
        <v>0</v>
      </c>
      <c r="CD46" s="34">
        <f ca="1">IFERROR(SUMIFS('TRA balance'!AE$5:AE$40,'TRA balance'!$C$5:$C$40,Assumptions!$C46,'TRA balance'!$D$5:$D$40,Assumptions!$B46)*DY46*AH46,"")</f>
        <v>0</v>
      </c>
      <c r="CE46" s="34">
        <f ca="1">IFERROR(SUMIFS('TRA balance'!AF$5:AF$40,'TRA balance'!$C$5:$C$40,Assumptions!$C46,'TRA balance'!$D$5:$D$40,Assumptions!$B46)*DZ46*AI46,"")</f>
        <v>0</v>
      </c>
      <c r="CF46" s="34">
        <f ca="1">IFERROR(SUMIFS('TRA balance'!AG$5:AG$40,'TRA balance'!$C$5:$C$40,Assumptions!$C46,'TRA balance'!$D$5:$D$40,Assumptions!$B46)*EA46*AJ46,"")</f>
        <v>0</v>
      </c>
      <c r="CG46" s="34">
        <f ca="1">IFERROR(SUMIFS('TRA balance'!AH$5:AH$40,'TRA balance'!$C$5:$C$40,Assumptions!$C46,'TRA balance'!$D$5:$D$40,Assumptions!$B46)*EB46*AK46,"")</f>
        <v>0</v>
      </c>
      <c r="CH46" s="34">
        <f ca="1">IFERROR(SUMIFS('TRA balance'!AI$5:AI$40,'TRA balance'!$C$5:$C$40,Assumptions!$C46,'TRA balance'!$D$5:$D$40,Assumptions!$B46)*EC46*AL46,"")</f>
        <v>0</v>
      </c>
      <c r="CI46" s="34">
        <f ca="1">IFERROR(SUMIFS('TRA balance'!AJ$5:AJ$40,'TRA balance'!$C$5:$C$40,Assumptions!$C46,'TRA balance'!$D$5:$D$40,Assumptions!$B46)*ED46*AM46,"")</f>
        <v>0</v>
      </c>
      <c r="CJ46" s="34">
        <f ca="1">IFERROR(SUMIFS('TRA balance'!AK$5:AK$40,'TRA balance'!$C$5:$C$40,Assumptions!$C46,'TRA balance'!$D$5:$D$40,Assumptions!$B46)*EE46*AN46,"")</f>
        <v>0</v>
      </c>
      <c r="CK46" s="34">
        <f ca="1">IFERROR(SUMIFS('TRA balance'!AL$5:AL$40,'TRA balance'!$C$5:$C$40,Assumptions!$C46,'TRA balance'!$D$5:$D$40,Assumptions!$B46)*EF46*AO46,"")</f>
        <v>0</v>
      </c>
      <c r="CL46" s="34">
        <f ca="1">IFERROR(SUMIFS('TRA balance'!AM$5:AM$40,'TRA balance'!$C$5:$C$40,Assumptions!$C46,'TRA balance'!$D$5:$D$40,Assumptions!$B46)*EG46*AP46,"")</f>
        <v>0</v>
      </c>
      <c r="CM46" s="34">
        <f ca="1">IFERROR(SUMIFS('TRA balance'!AN$5:AN$40,'TRA balance'!$C$5:$C$40,Assumptions!$C46,'TRA balance'!$D$5:$D$40,Assumptions!$B46)*EH46*AQ46,"")</f>
        <v>0</v>
      </c>
      <c r="CN46" s="34">
        <f ca="1">IFERROR(SUMIFS('TRA balance'!AO$5:AO$40,'TRA balance'!$C$5:$C$40,Assumptions!$C46,'TRA balance'!$D$5:$D$40,Assumptions!$B46)*EI46*AR46,"")</f>
        <v>0</v>
      </c>
      <c r="CO46" s="34">
        <f ca="1">IFERROR(SUMIFS('TRA balance'!AP$5:AP$40,'TRA balance'!$C$5:$C$40,Assumptions!$C46,'TRA balance'!$D$5:$D$40,Assumptions!$B46)*EJ46*AS46,"")</f>
        <v>0</v>
      </c>
      <c r="CP46" s="34">
        <f ca="1">IFERROR(SUMIFS('TRA balance'!AQ$5:AQ$40,'TRA balance'!$C$5:$C$40,Assumptions!$C46,'TRA balance'!$D$5:$D$40,Assumptions!$B46)*EK46*AT46,"")</f>
        <v>0</v>
      </c>
      <c r="CQ46" s="34">
        <f ca="1">IFERROR(SUMIFS('TRA balance'!AR$5:AR$40,'TRA balance'!$C$5:$C$40,Assumptions!$C46,'TRA balance'!$D$5:$D$40,Assumptions!$B46)*EL46*AU46,"")</f>
        <v>0</v>
      </c>
      <c r="CR46" s="34">
        <f ca="1">IFERROR(SUMIFS('TRA balance'!AS$5:AS$40,'TRA balance'!$C$5:$C$40,Assumptions!$C46,'TRA balance'!$D$5:$D$40,Assumptions!$B46)*EM46*AV46,"")</f>
        <v>0</v>
      </c>
      <c r="CS46" s="34">
        <f ca="1">IFERROR(SUMIFS('TRA balance'!AT$5:AT$40,'TRA balance'!$C$5:$C$40,Assumptions!$C46,'TRA balance'!$D$5:$D$40,Assumptions!$B46)*EN46*AW46,"")</f>
        <v>0</v>
      </c>
      <c r="CT46" s="34">
        <f ca="1">IFERROR(SUMIFS('TRA balance'!AU$5:AU$40,'TRA balance'!$C$5:$C$40,Assumptions!$C46,'TRA balance'!$D$5:$D$40,Assumptions!$B46)*EO46*AX46,"")</f>
        <v>0</v>
      </c>
      <c r="CU46" s="34">
        <f ca="1">IFERROR(SUMIFS('TRA balance'!AV$5:AV$40,'TRA balance'!$C$5:$C$40,Assumptions!$C46,'TRA balance'!$D$5:$D$40,Assumptions!$B46)*EP46*AY46,"")</f>
        <v>0</v>
      </c>
      <c r="CV46" s="34">
        <f ca="1">IFERROR(SUMIFS('TRA balance'!AW$5:AW$40,'TRA balance'!$C$5:$C$40,Assumptions!$C46,'TRA balance'!$D$5:$D$40,Assumptions!$B46)*EQ46*AZ46,"")</f>
        <v>0</v>
      </c>
      <c r="CW46" s="34">
        <f ca="1">IFERROR(SUMIFS('TRA balance'!AX$5:AX$40,'TRA balance'!$C$5:$C$40,Assumptions!$C46,'TRA balance'!$D$5:$D$40,Assumptions!$B46)*ER46*BA46,"")</f>
        <v>0</v>
      </c>
      <c r="CY46" s="33">
        <f t="shared" ca="1" si="66"/>
        <v>0.4</v>
      </c>
      <c r="CZ46" s="33">
        <f t="shared" ca="1" si="3"/>
        <v>0.4</v>
      </c>
      <c r="DA46" s="33">
        <f t="shared" ca="1" si="4"/>
        <v>0.75</v>
      </c>
      <c r="DB46" s="33">
        <f t="shared" ca="1" si="5"/>
        <v>0.25</v>
      </c>
      <c r="DC46" s="33">
        <f t="shared" ca="1" si="6"/>
        <v>0.43000000000000005</v>
      </c>
      <c r="DD46" s="33">
        <f t="shared" ca="1" si="7"/>
        <v>0.25</v>
      </c>
      <c r="DE46" s="33">
        <f t="shared" ca="1" si="8"/>
        <v>0.5</v>
      </c>
      <c r="DF46" s="33">
        <f t="shared" ca="1" si="9"/>
        <v>0.6</v>
      </c>
      <c r="DG46" s="33">
        <f t="shared" ca="1" si="10"/>
        <v>0.43000000000000005</v>
      </c>
      <c r="DH46" s="33">
        <f t="shared" ca="1" si="11"/>
        <v>0.43000000000000005</v>
      </c>
      <c r="DI46" s="33">
        <f t="shared" ca="1" si="12"/>
        <v>0.25</v>
      </c>
      <c r="DJ46" s="33">
        <f t="shared" ca="1" si="13"/>
        <v>0.25</v>
      </c>
      <c r="DK46" s="33">
        <f t="shared" ca="1" si="14"/>
        <v>0.25</v>
      </c>
      <c r="DL46" s="33">
        <f t="shared" ca="1" si="15"/>
        <v>0.43000000000000005</v>
      </c>
      <c r="DM46" s="33">
        <f t="shared" ca="1" si="16"/>
        <v>0.25</v>
      </c>
      <c r="DN46" s="33">
        <f t="shared" ca="1" si="17"/>
        <v>0.75</v>
      </c>
      <c r="DO46" s="33">
        <f t="shared" ca="1" si="18"/>
        <v>0.25</v>
      </c>
      <c r="DP46" s="33">
        <f t="shared" ca="1" si="19"/>
        <v>0.25</v>
      </c>
      <c r="DQ46" s="33">
        <f t="shared" ca="1" si="20"/>
        <v>0.43000000000000005</v>
      </c>
      <c r="DR46" s="33">
        <f t="shared" ca="1" si="21"/>
        <v>0.5</v>
      </c>
      <c r="DS46" s="33">
        <f t="shared" ca="1" si="22"/>
        <v>0.4</v>
      </c>
      <c r="DT46" s="33">
        <f t="shared" ca="1" si="23"/>
        <v>0.28078528284437665</v>
      </c>
      <c r="DU46" s="33">
        <f t="shared" ca="1" si="24"/>
        <v>0.25</v>
      </c>
      <c r="DV46" s="33">
        <f t="shared" ca="1" si="25"/>
        <v>0.43000000000000005</v>
      </c>
      <c r="DW46" s="33">
        <f t="shared" ca="1" si="26"/>
        <v>0.30000000000000004</v>
      </c>
      <c r="DX46" s="33">
        <f t="shared" ca="1" si="27"/>
        <v>0.43000000000000005</v>
      </c>
      <c r="DY46" s="33">
        <f t="shared" ca="1" si="28"/>
        <v>0.4</v>
      </c>
      <c r="DZ46" s="33">
        <f t="shared" ca="1" si="29"/>
        <v>0.4</v>
      </c>
      <c r="EA46" s="33">
        <f t="shared" ca="1" si="30"/>
        <v>0.25</v>
      </c>
      <c r="EB46" s="33">
        <f t="shared" ca="1" si="31"/>
        <v>0.25</v>
      </c>
      <c r="EC46" s="33">
        <f t="shared" ca="1" si="32"/>
        <v>0.25</v>
      </c>
      <c r="ED46" s="33">
        <f t="shared" ca="1" si="33"/>
        <v>0.4</v>
      </c>
      <c r="EE46" s="33">
        <f t="shared" ca="1" si="34"/>
        <v>0.25</v>
      </c>
      <c r="EF46" s="33">
        <f t="shared" ca="1" si="35"/>
        <v>0.43000000000000005</v>
      </c>
      <c r="EG46" s="33">
        <f t="shared" ca="1" si="36"/>
        <v>0.43000000000000005</v>
      </c>
      <c r="EH46" s="33">
        <f t="shared" ca="1" si="37"/>
        <v>0.28078528284437665</v>
      </c>
      <c r="EI46" s="33">
        <f t="shared" ca="1" si="38"/>
        <v>0.28078528284437665</v>
      </c>
      <c r="EJ46" s="33">
        <f t="shared" ca="1" si="39"/>
        <v>0.28078528284437665</v>
      </c>
      <c r="EK46" s="33">
        <f t="shared" ca="1" si="40"/>
        <v>0.28078528284437665</v>
      </c>
      <c r="EL46" s="33">
        <f t="shared" ca="1" si="41"/>
        <v>0.28078528284437665</v>
      </c>
      <c r="EM46" s="33">
        <f t="shared" ca="1" si="42"/>
        <v>0.28078528284437665</v>
      </c>
      <c r="EN46" s="33">
        <f t="shared" ca="1" si="43"/>
        <v>0.28078528284437665</v>
      </c>
      <c r="EO46" s="33">
        <f t="shared" ca="1" si="44"/>
        <v>0.28078528284437665</v>
      </c>
      <c r="EP46" s="33">
        <f t="shared" ca="1" si="45"/>
        <v>0.28078528284437665</v>
      </c>
      <c r="EQ46" s="33">
        <f t="shared" ca="1" si="46"/>
        <v>0.28078528284437665</v>
      </c>
      <c r="ER46" s="33">
        <f t="shared" ca="1" si="47"/>
        <v>0.28078528284437665</v>
      </c>
    </row>
    <row r="47" spans="1:148">
      <c r="A47">
        <v>2</v>
      </c>
      <c r="B47" t="str">
        <f>VLOOKUP(F47,'TRA balance'!$BA$5:$BB$14,2,FALSE)</f>
        <v>TRALPG</v>
      </c>
      <c r="C47" s="6" t="str">
        <f t="shared" si="48"/>
        <v>TR</v>
      </c>
      <c r="D47" s="7" t="s">
        <v>16</v>
      </c>
      <c r="E47" s="18" t="s">
        <v>77</v>
      </c>
      <c r="F47" s="8" t="str">
        <f t="shared" si="74"/>
        <v>Liquified Petroleum Gases</v>
      </c>
      <c r="G47" s="6" t="s">
        <v>78</v>
      </c>
      <c r="H47" s="9">
        <f ca="1">OFFSET(TIAM15_assumptions!$G47,0,MATCH(VLOOKUP(Assumptions!H$2,TIAM15_assumptions!$Y$3:$Z$87,2,FALSE),TIAM15_assumptions!$H$2:$V$2,0))</f>
        <v>0.7</v>
      </c>
      <c r="I47" s="9">
        <f ca="1">OFFSET(TIAM15_assumptions!$G47,0,MATCH(VLOOKUP(Assumptions!I$2,TIAM15_assumptions!$Y$3:$Z$87,2,FALSE),TIAM15_assumptions!$H$2:$V$2,0))</f>
        <v>0.7</v>
      </c>
      <c r="J47" s="9">
        <f ca="1">OFFSET(TIAM15_assumptions!$G47,0,MATCH(VLOOKUP(Assumptions!J$2,TIAM15_assumptions!$Y$3:$Z$87,2,FALSE),TIAM15_assumptions!$H$2:$V$2,0))</f>
        <v>0.19999999999999996</v>
      </c>
      <c r="K47" s="9">
        <f ca="1">OFFSET(TIAM15_assumptions!$G47,0,MATCH(VLOOKUP(Assumptions!K$2,TIAM15_assumptions!$Y$3:$Z$87,2,FALSE),TIAM15_assumptions!$H$2:$V$2,0))</f>
        <v>1</v>
      </c>
      <c r="L47" s="9">
        <f ca="1">OFFSET(TIAM15_assumptions!$G47,0,MATCH(VLOOKUP(Assumptions!L$2,TIAM15_assumptions!$Y$3:$Z$87,2,FALSE),TIAM15_assumptions!$H$2:$V$2,0))</f>
        <v>1</v>
      </c>
      <c r="M47" s="9">
        <f ca="1">OFFSET(TIAM15_assumptions!$G47,0,MATCH(VLOOKUP(Assumptions!M$2,TIAM15_assumptions!$Y$3:$Z$87,2,FALSE),TIAM15_assumptions!$H$2:$V$2,0))</f>
        <v>1</v>
      </c>
      <c r="N47" s="9">
        <f ca="1">OFFSET(TIAM15_assumptions!$G47,0,MATCH(VLOOKUP(Assumptions!N$2,TIAM15_assumptions!$Y$3:$Z$87,2,FALSE),TIAM15_assumptions!$H$2:$V$2,0))</f>
        <v>0</v>
      </c>
      <c r="O47" s="9">
        <f ca="1">OFFSET(TIAM15_assumptions!$G47,0,MATCH(VLOOKUP(Assumptions!O$2,TIAM15_assumptions!$Y$3:$Z$87,2,FALSE),TIAM15_assumptions!$H$2:$V$2,0))</f>
        <v>0.19999999999999996</v>
      </c>
      <c r="P47" s="9">
        <f ca="1">OFFSET(TIAM15_assumptions!$G47,0,MATCH(VLOOKUP(Assumptions!P$2,TIAM15_assumptions!$Y$3:$Z$87,2,FALSE),TIAM15_assumptions!$H$2:$V$2,0))</f>
        <v>1</v>
      </c>
      <c r="Q47" s="9">
        <f ca="1">OFFSET(TIAM15_assumptions!$G47,0,MATCH(VLOOKUP(Assumptions!Q$2,TIAM15_assumptions!$Y$3:$Z$87,2,FALSE),TIAM15_assumptions!$H$2:$V$2,0))</f>
        <v>1</v>
      </c>
      <c r="R47" s="9">
        <f ca="1">OFFSET(TIAM15_assumptions!$G47,0,MATCH(VLOOKUP(Assumptions!R$2,TIAM15_assumptions!$Y$3:$Z$87,2,FALSE),TIAM15_assumptions!$H$2:$V$2,0))</f>
        <v>1</v>
      </c>
      <c r="S47" s="9">
        <f ca="1">OFFSET(TIAM15_assumptions!$G47,0,MATCH(VLOOKUP(Assumptions!S$2,TIAM15_assumptions!$Y$3:$Z$87,2,FALSE),TIAM15_assumptions!$H$2:$V$2,0))</f>
        <v>1</v>
      </c>
      <c r="T47" s="9">
        <f ca="1">OFFSET(TIAM15_assumptions!$G47,0,MATCH(VLOOKUP(Assumptions!T$2,TIAM15_assumptions!$Y$3:$Z$87,2,FALSE),TIAM15_assumptions!$H$2:$V$2,0))</f>
        <v>1</v>
      </c>
      <c r="U47" s="9">
        <f ca="1">OFFSET(TIAM15_assumptions!$G47,0,MATCH(VLOOKUP(Assumptions!U$2,TIAM15_assumptions!$Y$3:$Z$87,2,FALSE),TIAM15_assumptions!$H$2:$V$2,0))</f>
        <v>1</v>
      </c>
      <c r="V47" s="9">
        <f ca="1">OFFSET(TIAM15_assumptions!$G47,0,MATCH(VLOOKUP(Assumptions!V$2,TIAM15_assumptions!$Y$3:$Z$87,2,FALSE),TIAM15_assumptions!$H$2:$V$2,0))</f>
        <v>1</v>
      </c>
      <c r="W47" s="9">
        <f ca="1">OFFSET(TIAM15_assumptions!$G47,0,MATCH(VLOOKUP(Assumptions!W$2,TIAM15_assumptions!$Y$3:$Z$87,2,FALSE),TIAM15_assumptions!$H$2:$V$2,0))</f>
        <v>0.19999999999999996</v>
      </c>
      <c r="X47" s="9">
        <f ca="1">OFFSET(TIAM15_assumptions!$G47,0,MATCH(VLOOKUP(Assumptions!X$2,TIAM15_assumptions!$Y$3:$Z$87,2,FALSE),TIAM15_assumptions!$H$2:$V$2,0))</f>
        <v>1</v>
      </c>
      <c r="Y47" s="9">
        <f ca="1">OFFSET(TIAM15_assumptions!$G47,0,MATCH(VLOOKUP(Assumptions!Y$2,TIAM15_assumptions!$Y$3:$Z$87,2,FALSE),TIAM15_assumptions!$H$2:$V$2,0))</f>
        <v>1</v>
      </c>
      <c r="Z47" s="9">
        <f ca="1">OFFSET(TIAM15_assumptions!$G47,0,MATCH(VLOOKUP(Assumptions!Z$2,TIAM15_assumptions!$Y$3:$Z$87,2,FALSE),TIAM15_assumptions!$H$2:$V$2,0))</f>
        <v>1</v>
      </c>
      <c r="AA47" s="9">
        <f ca="1">OFFSET(TIAM15_assumptions!$G47,0,MATCH(VLOOKUP(Assumptions!AA$2,TIAM15_assumptions!$Y$3:$Z$87,2,FALSE),TIAM15_assumptions!$H$2:$V$2,0))</f>
        <v>0</v>
      </c>
      <c r="AB47" s="9">
        <f ca="1">OFFSET(TIAM15_assumptions!$G47,0,MATCH(VLOOKUP(Assumptions!AB$2,TIAM15_assumptions!$Y$3:$Z$87,2,FALSE),TIAM15_assumptions!$H$2:$V$2,0))</f>
        <v>0.7</v>
      </c>
      <c r="AC47" s="9">
        <f ca="1">OFFSET(TIAM15_assumptions!$G47,0,MATCH(VLOOKUP(Assumptions!AC$2,TIAM15_assumptions!$Y$3:$Z$87,2,FALSE),TIAM15_assumptions!$H$2:$V$2,0))</f>
        <v>0.98</v>
      </c>
      <c r="AD47" s="9">
        <f ca="1">OFFSET(TIAM15_assumptions!$G47,0,MATCH(VLOOKUP(Assumptions!AD$2,TIAM15_assumptions!$Y$3:$Z$87,2,FALSE),TIAM15_assumptions!$H$2:$V$2,0))</f>
        <v>1</v>
      </c>
      <c r="AE47" s="9">
        <f ca="1">OFFSET(TIAM15_assumptions!$G47,0,MATCH(VLOOKUP(Assumptions!AE$2,TIAM15_assumptions!$Y$3:$Z$87,2,FALSE),TIAM15_assumptions!$H$2:$V$2,0))</f>
        <v>1</v>
      </c>
      <c r="AF47" s="9">
        <f ca="1">OFFSET(TIAM15_assumptions!$G47,0,MATCH(VLOOKUP(Assumptions!AF$2,TIAM15_assumptions!$Y$3:$Z$87,2,FALSE),TIAM15_assumptions!$H$2:$V$2,0))</f>
        <v>0.30000000000000004</v>
      </c>
      <c r="AG47" s="9">
        <f ca="1">OFFSET(TIAM15_assumptions!$G47,0,MATCH(VLOOKUP(Assumptions!AG$2,TIAM15_assumptions!$Y$3:$Z$87,2,FALSE),TIAM15_assumptions!$H$2:$V$2,0))</f>
        <v>1</v>
      </c>
      <c r="AH47" s="9">
        <f ca="1">OFFSET(TIAM15_assumptions!$G47,0,MATCH(VLOOKUP(Assumptions!AH$2,TIAM15_assumptions!$Y$3:$Z$87,2,FALSE),TIAM15_assumptions!$H$2:$V$2,0))</f>
        <v>0.7</v>
      </c>
      <c r="AI47" s="9">
        <f ca="1">OFFSET(TIAM15_assumptions!$G47,0,MATCH(VLOOKUP(Assumptions!AI$2,TIAM15_assumptions!$Y$3:$Z$87,2,FALSE),TIAM15_assumptions!$H$2:$V$2,0))</f>
        <v>0.7</v>
      </c>
      <c r="AJ47" s="9">
        <f ca="1">OFFSET(TIAM15_assumptions!$G47,0,MATCH(VLOOKUP(Assumptions!AJ$2,TIAM15_assumptions!$Y$3:$Z$87,2,FALSE),TIAM15_assumptions!$H$2:$V$2,0))</f>
        <v>1</v>
      </c>
      <c r="AK47" s="9">
        <f ca="1">OFFSET(TIAM15_assumptions!$G47,0,MATCH(VLOOKUP(Assumptions!AK$2,TIAM15_assumptions!$Y$3:$Z$87,2,FALSE),TIAM15_assumptions!$H$2:$V$2,0))</f>
        <v>1</v>
      </c>
      <c r="AL47" s="9">
        <f ca="1">OFFSET(TIAM15_assumptions!$G47,0,MATCH(VLOOKUP(Assumptions!AL$2,TIAM15_assumptions!$Y$3:$Z$87,2,FALSE),TIAM15_assumptions!$H$2:$V$2,0))</f>
        <v>1</v>
      </c>
      <c r="AM47" s="9">
        <f ca="1">OFFSET(TIAM15_assumptions!$G47,0,MATCH(VLOOKUP(Assumptions!AM$2,TIAM15_assumptions!$Y$3:$Z$87,2,FALSE),TIAM15_assumptions!$H$2:$V$2,0))</f>
        <v>0.7</v>
      </c>
      <c r="AN47" s="9">
        <f ca="1">OFFSET(TIAM15_assumptions!$G47,0,MATCH(VLOOKUP(Assumptions!AN$2,TIAM15_assumptions!$Y$3:$Z$87,2,FALSE),TIAM15_assumptions!$H$2:$V$2,0))</f>
        <v>1</v>
      </c>
      <c r="AO47" s="9">
        <f ca="1">OFFSET(TIAM15_assumptions!$G47,0,MATCH(VLOOKUP(Assumptions!AO$2,TIAM15_assumptions!$Y$3:$Z$87,2,FALSE),TIAM15_assumptions!$H$2:$V$2,0))</f>
        <v>1</v>
      </c>
      <c r="AP47" s="9">
        <f ca="1">OFFSET(TIAM15_assumptions!$G47,0,MATCH(VLOOKUP(Assumptions!AP$2,TIAM15_assumptions!$Y$3:$Z$87,2,FALSE),TIAM15_assumptions!$H$2:$V$2,0))</f>
        <v>1</v>
      </c>
      <c r="AQ47" s="9">
        <f ca="1">OFFSET(TIAM15_assumptions!$G47,0,MATCH(VLOOKUP(Assumptions!AQ$2,TIAM15_assumptions!$Y$3:$Z$87,2,FALSE),TIAM15_assumptions!$H$2:$V$2,0))</f>
        <v>0.98</v>
      </c>
      <c r="AR47" s="9">
        <f ca="1">OFFSET(TIAM15_assumptions!$G47,0,MATCH(VLOOKUP(Assumptions!AR$2,TIAM15_assumptions!$Y$3:$Z$87,2,FALSE),TIAM15_assumptions!$H$2:$V$2,0))</f>
        <v>0.98</v>
      </c>
      <c r="AS47" s="9">
        <f ca="1">OFFSET(TIAM15_assumptions!$G47,0,MATCH(VLOOKUP(Assumptions!AS$2,TIAM15_assumptions!$Y$3:$Z$87,2,FALSE),TIAM15_assumptions!$H$2:$V$2,0))</f>
        <v>0.98</v>
      </c>
      <c r="AT47" s="9">
        <f ca="1">OFFSET(TIAM15_assumptions!$G47,0,MATCH(VLOOKUP(Assumptions!AT$2,TIAM15_assumptions!$Y$3:$Z$87,2,FALSE),TIAM15_assumptions!$H$2:$V$2,0))</f>
        <v>0.98</v>
      </c>
      <c r="AU47" s="9">
        <f ca="1">OFFSET(TIAM15_assumptions!$G47,0,MATCH(VLOOKUP(Assumptions!AU$2,TIAM15_assumptions!$Y$3:$Z$87,2,FALSE),TIAM15_assumptions!$H$2:$V$2,0))</f>
        <v>0.98</v>
      </c>
      <c r="AV47" s="9">
        <f ca="1">OFFSET(TIAM15_assumptions!$G47,0,MATCH(VLOOKUP(Assumptions!AV$2,TIAM15_assumptions!$Y$3:$Z$87,2,FALSE),TIAM15_assumptions!$H$2:$V$2,0))</f>
        <v>0.98</v>
      </c>
      <c r="AW47" s="9">
        <f ca="1">OFFSET(TIAM15_assumptions!$G47,0,MATCH(VLOOKUP(Assumptions!AW$2,TIAM15_assumptions!$Y$3:$Z$87,2,FALSE),TIAM15_assumptions!$H$2:$V$2,0))</f>
        <v>0.98</v>
      </c>
      <c r="AX47" s="9">
        <f ca="1">OFFSET(TIAM15_assumptions!$G47,0,MATCH(VLOOKUP(Assumptions!AX$2,TIAM15_assumptions!$Y$3:$Z$87,2,FALSE),TIAM15_assumptions!$H$2:$V$2,0))</f>
        <v>0.98</v>
      </c>
      <c r="AY47" s="9">
        <f ca="1">OFFSET(TIAM15_assumptions!$G47,0,MATCH(VLOOKUP(Assumptions!AY$2,TIAM15_assumptions!$Y$3:$Z$87,2,FALSE),TIAM15_assumptions!$H$2:$V$2,0))</f>
        <v>0.98</v>
      </c>
      <c r="AZ47" s="9">
        <f ca="1">OFFSET(TIAM15_assumptions!$G47,0,MATCH(VLOOKUP(Assumptions!AZ$2,TIAM15_assumptions!$Y$3:$Z$87,2,FALSE),TIAM15_assumptions!$H$2:$V$2,0))</f>
        <v>0.98</v>
      </c>
      <c r="BA47" s="9">
        <f ca="1">OFFSET(TIAM15_assumptions!$G47,0,MATCH(VLOOKUP(Assumptions!BA$2,TIAM15_assumptions!$Y$3:$Z$87,2,FALSE),TIAM15_assumptions!$H$2:$V$2,0))</f>
        <v>0.98</v>
      </c>
      <c r="BD47" s="34">
        <f ca="1">IFERROR(SUMIFS('TRA balance'!E$5:E$40,'TRA balance'!$C$5:$C$40,Assumptions!$C47,'TRA balance'!$D$5:$D$40,Assumptions!$B47)*CY47*H47,"")</f>
        <v>12.023197888464001</v>
      </c>
      <c r="BE47" s="34">
        <f ca="1">IFERROR(SUMIFS('TRA balance'!F$5:F$40,'TRA balance'!$C$5:$C$40,Assumptions!$C47,'TRA balance'!$D$5:$D$40,Assumptions!$B47)*CZ47*I47,"")</f>
        <v>6.9001813440000004E-3</v>
      </c>
      <c r="BF47" s="34">
        <f ca="1">IFERROR(SUMIFS('TRA balance'!G$5:G$40,'TRA balance'!$C$5:$C$40,Assumptions!$C47,'TRA balance'!$D$5:$D$40,Assumptions!$B47)*DA47*J47,"")</f>
        <v>2.2811639542199993</v>
      </c>
      <c r="BG47" s="34">
        <f ca="1">IFERROR(SUMIFS('TRA balance'!H$5:H$40,'TRA balance'!$C$5:$C$40,Assumptions!$C47,'TRA balance'!$D$5:$D$40,Assumptions!$B47)*DB47*K47,"")</f>
        <v>5.4843939899999999E-2</v>
      </c>
      <c r="BH47" s="34">
        <f ca="1">IFERROR(SUMIFS('TRA balance'!I$5:I$40,'TRA balance'!$C$5:$C$40,Assumptions!$C47,'TRA balance'!$D$5:$D$40,Assumptions!$B47)*DC47*L47,"")</f>
        <v>2.9748517769520002</v>
      </c>
      <c r="BI47" s="34">
        <f ca="1">IFERROR(SUMIFS('TRA balance'!J$5:J$40,'TRA balance'!$C$5:$C$40,Assumptions!$C47,'TRA balance'!$D$5:$D$40,Assumptions!$B47)*DD47*M47,"")</f>
        <v>2.0472415766999998</v>
      </c>
      <c r="BJ47" s="34">
        <f ca="1">IFERROR(SUMIFS('TRA balance'!K$5:K$40,'TRA balance'!$C$5:$C$40,Assumptions!$C47,'TRA balance'!$D$5:$D$40,Assumptions!$B47)*DE47*N47,"")</f>
        <v>0</v>
      </c>
      <c r="BK47" s="34">
        <f ca="1">IFERROR(SUMIFS('TRA balance'!L$5:L$40,'TRA balance'!$C$5:$C$40,Assumptions!$C47,'TRA balance'!$D$5:$D$40,Assumptions!$B47)*DF47*O47,"")</f>
        <v>9.3962588919839973</v>
      </c>
      <c r="BL47" s="34">
        <f ca="1">IFERROR(SUMIFS('TRA balance'!M$5:M$40,'TRA balance'!$C$5:$C$40,Assumptions!$C47,'TRA balance'!$D$5:$D$40,Assumptions!$B47)*DG47*P47,"")</f>
        <v>1.5866723496240003</v>
      </c>
      <c r="BM47" s="34">
        <f ca="1">IFERROR(SUMIFS('TRA balance'!N$5:N$40,'TRA balance'!$C$5:$C$40,Assumptions!$C47,'TRA balance'!$D$5:$D$40,Assumptions!$B47)*DH47*Q47,"")</f>
        <v>1.7406396587520003</v>
      </c>
      <c r="BN47" s="34">
        <f ca="1">IFERROR(SUMIFS('TRA balance'!O$5:O$40,'TRA balance'!$C$5:$C$40,Assumptions!$C47,'TRA balance'!$D$5:$D$40,Assumptions!$B47)*DI47*R47,"")</f>
        <v>0.60514123139999998</v>
      </c>
      <c r="BO47" s="34">
        <f ca="1">IFERROR(SUMIFS('TRA balance'!P$5:P$40,'TRA balance'!$C$5:$C$40,Assumptions!$C47,'TRA balance'!$D$5:$D$40,Assumptions!$B47)*DJ47*S47,"")</f>
        <v>3.8985000920999999</v>
      </c>
      <c r="BP47" s="34">
        <f ca="1">IFERROR(SUMIFS('TRA balance'!Q$5:Q$40,'TRA balance'!$C$5:$C$40,Assumptions!$C47,'TRA balance'!$D$5:$D$40,Assumptions!$B47)*DK47*T47,"")</f>
        <v>2.5211507021999999</v>
      </c>
      <c r="BQ47" s="34">
        <f ca="1">IFERROR(SUMIFS('TRA balance'!R$5:R$40,'TRA balance'!$C$5:$C$40,Assumptions!$C47,'TRA balance'!$D$5:$D$40,Assumptions!$B47)*DL47*U47,"")</f>
        <v>10.026214993908003</v>
      </c>
      <c r="BR47" s="34">
        <f ca="1">IFERROR(SUMIFS('TRA balance'!S$5:S$40,'TRA balance'!$C$5:$C$40,Assumptions!$C47,'TRA balance'!$D$5:$D$40,Assumptions!$B47)*DM47*V47,"")</f>
        <v>0</v>
      </c>
      <c r="BS47" s="34">
        <f ca="1">IFERROR(SUMIFS('TRA balance'!T$5:T$40,'TRA balance'!$C$5:$C$40,Assumptions!$C47,'TRA balance'!$D$5:$D$40,Assumptions!$B47)*DN47*W47,"")</f>
        <v>1.2196305404999999</v>
      </c>
      <c r="BT47" s="34">
        <f ca="1">IFERROR(SUMIFS('TRA balance'!U$5:U$40,'TRA balance'!$C$5:$C$40,Assumptions!$C47,'TRA balance'!$D$5:$D$40,Assumptions!$B47)*DO47*X47,"")</f>
        <v>1.6628922899999999E-2</v>
      </c>
      <c r="BU47" s="34">
        <f ca="1">IFERROR(SUMIFS('TRA balance'!V$5:V$40,'TRA balance'!$C$5:$C$40,Assumptions!$C47,'TRA balance'!$D$5:$D$40,Assumptions!$B47)*DP47*Y47,"")</f>
        <v>19.017941334300001</v>
      </c>
      <c r="BV47" s="34">
        <f ca="1">IFERROR(SUMIFS('TRA balance'!W$5:W$40,'TRA balance'!$C$5:$C$40,Assumptions!$C47,'TRA balance'!$D$5:$D$40,Assumptions!$B47)*DQ47*Z47,"")</f>
        <v>12.834758240712</v>
      </c>
      <c r="BW47" s="34">
        <f ca="1">IFERROR(SUMIFS('TRA balance'!X$5:X$40,'TRA balance'!$C$5:$C$40,Assumptions!$C47,'TRA balance'!$D$5:$D$40,Assumptions!$B47)*DR47*AA47,"")</f>
        <v>0</v>
      </c>
      <c r="BX47" s="34">
        <f ca="1">IFERROR(SUMIFS('TRA balance'!Y$5:Y$40,'TRA balance'!$C$5:$C$40,Assumptions!$C47,'TRA balance'!$D$5:$D$40,Assumptions!$B47)*DS47*AB47,"")</f>
        <v>0.786389729328</v>
      </c>
      <c r="BY47" s="34">
        <f ca="1">IFERROR(SUMIFS('TRA balance'!Z$5:Z$40,'TRA balance'!$C$5:$C$40,Assumptions!$C47,'TRA balance'!$D$5:$D$40,Assumptions!$B47)*DT47*AC47,"")</f>
        <v>20.314808417695112</v>
      </c>
      <c r="BZ47" s="34">
        <f ca="1">IFERROR(SUMIFS('TRA balance'!AA$5:AA$40,'TRA balance'!$C$5:$C$40,Assumptions!$C47,'TRA balance'!$D$5:$D$40,Assumptions!$B47)*DU47*AD47,"")</f>
        <v>5.3682102900000001E-2</v>
      </c>
      <c r="CA47" s="34">
        <f ca="1">IFERROR(SUMIFS('TRA balance'!AB$5:AB$40,'TRA balance'!$C$5:$C$40,Assumptions!$C47,'TRA balance'!$D$5:$D$40,Assumptions!$B47)*DV47*AE47,"")</f>
        <v>38.274299534051998</v>
      </c>
      <c r="CB47" s="34">
        <f ca="1">IFERROR(SUMIFS('TRA balance'!AC$5:AC$40,'TRA balance'!$C$5:$C$40,Assumptions!$C47,'TRA balance'!$D$5:$D$40,Assumptions!$B47)*DW47*AF47,"")</f>
        <v>20.900857668012009</v>
      </c>
      <c r="CC47" s="34">
        <f ca="1">IFERROR(SUMIFS('TRA balance'!AD$5:AD$40,'TRA balance'!$C$5:$C$40,Assumptions!$C47,'TRA balance'!$D$5:$D$40,Assumptions!$B47)*DX47*AG47,"")</f>
        <v>25.594925457456</v>
      </c>
      <c r="CD47" s="34">
        <f ca="1">IFERROR(SUMIFS('TRA balance'!AE$5:AE$40,'TRA balance'!$C$5:$C$40,Assumptions!$C47,'TRA balance'!$D$5:$D$40,Assumptions!$B47)*DY47*AH47,"")</f>
        <v>0</v>
      </c>
      <c r="CE47" s="34">
        <f ca="1">IFERROR(SUMIFS('TRA balance'!AF$5:AF$40,'TRA balance'!$C$5:$C$40,Assumptions!$C47,'TRA balance'!$D$5:$D$40,Assumptions!$B47)*DZ47*AI47,"")</f>
        <v>0.18314319239999999</v>
      </c>
      <c r="CF47" s="34">
        <f ca="1">IFERROR(SUMIFS('TRA balance'!AG$5:AG$40,'TRA balance'!$C$5:$C$40,Assumptions!$C47,'TRA balance'!$D$5:$D$40,Assumptions!$B47)*EA47*AJ47,"")</f>
        <v>1.4164656155999999</v>
      </c>
      <c r="CG47" s="34">
        <f ca="1">IFERROR(SUMIFS('TRA balance'!AH$5:AH$40,'TRA balance'!$C$5:$C$40,Assumptions!$C47,'TRA balance'!$D$5:$D$40,Assumptions!$B47)*EB47*AK47,"")</f>
        <v>0</v>
      </c>
      <c r="CH47" s="34">
        <f ca="1">IFERROR(SUMIFS('TRA balance'!AI$5:AI$40,'TRA balance'!$C$5:$C$40,Assumptions!$C47,'TRA balance'!$D$5:$D$40,Assumptions!$B47)*EC47*AL47,"")</f>
        <v>1.76871366E-2</v>
      </c>
      <c r="CI47" s="34">
        <f ca="1">IFERROR(SUMIFS('TRA balance'!AJ$5:AJ$40,'TRA balance'!$C$5:$C$40,Assumptions!$C47,'TRA balance'!$D$5:$D$40,Assumptions!$B47)*ED47*AM47,"")</f>
        <v>43.199519630399998</v>
      </c>
      <c r="CJ47" s="34">
        <f ca="1">IFERROR(SUMIFS('TRA balance'!AK$5:AK$40,'TRA balance'!$C$5:$C$40,Assumptions!$C47,'TRA balance'!$D$5:$D$40,Assumptions!$B47)*EE47*AN47,"")</f>
        <v>0.72449957249999997</v>
      </c>
      <c r="CK47" s="34">
        <f ca="1">IFERROR(SUMIFS('TRA balance'!AL$5:AL$40,'TRA balance'!$C$5:$C$40,Assumptions!$C47,'TRA balance'!$D$5:$D$40,Assumptions!$B47)*EF47*AO47,"")</f>
        <v>35.833765917060006</v>
      </c>
      <c r="CL47" s="34">
        <f ca="1">IFERROR(SUMIFS('TRA balance'!AM$5:AM$40,'TRA balance'!$C$5:$C$40,Assumptions!$C47,'TRA balance'!$D$5:$D$40,Assumptions!$B47)*EG47*AP47,"")</f>
        <v>4.5069761097000001</v>
      </c>
      <c r="CM47" s="34">
        <f ca="1">IFERROR(SUMIFS('TRA balance'!AN$5:AN$40,'TRA balance'!$C$5:$C$40,Assumptions!$C47,'TRA balance'!$D$5:$D$40,Assumptions!$B47)*EH47*AQ47,"")</f>
        <v>0</v>
      </c>
      <c r="CN47" s="34">
        <f ca="1">IFERROR(SUMIFS('TRA balance'!AO$5:AO$40,'TRA balance'!$C$5:$C$40,Assumptions!$C47,'TRA balance'!$D$5:$D$40,Assumptions!$B47)*EI47*AR47,"")</f>
        <v>0</v>
      </c>
      <c r="CO47" s="34">
        <f ca="1">IFERROR(SUMIFS('TRA balance'!AP$5:AP$40,'TRA balance'!$C$5:$C$40,Assumptions!$C47,'TRA balance'!$D$5:$D$40,Assumptions!$B47)*EJ47*AS47,"")</f>
        <v>0</v>
      </c>
      <c r="CP47" s="34">
        <f ca="1">IFERROR(SUMIFS('TRA balance'!AQ$5:AQ$40,'TRA balance'!$C$5:$C$40,Assumptions!$C47,'TRA balance'!$D$5:$D$40,Assumptions!$B47)*EK47*AT47,"")</f>
        <v>0</v>
      </c>
      <c r="CQ47" s="34">
        <f ca="1">IFERROR(SUMIFS('TRA balance'!AR$5:AR$40,'TRA balance'!$C$5:$C$40,Assumptions!$C47,'TRA balance'!$D$5:$D$40,Assumptions!$B47)*EL47*AU47,"")</f>
        <v>0</v>
      </c>
      <c r="CR47" s="34">
        <f ca="1">IFERROR(SUMIFS('TRA balance'!AS$5:AS$40,'TRA balance'!$C$5:$C$40,Assumptions!$C47,'TRA balance'!$D$5:$D$40,Assumptions!$B47)*EM47*AV47,"")</f>
        <v>0</v>
      </c>
      <c r="CS47" s="34">
        <f ca="1">IFERROR(SUMIFS('TRA balance'!AT$5:AT$40,'TRA balance'!$C$5:$C$40,Assumptions!$C47,'TRA balance'!$D$5:$D$40,Assumptions!$B47)*EN47*AW47,"")</f>
        <v>0</v>
      </c>
      <c r="CT47" s="34">
        <f ca="1">IFERROR(SUMIFS('TRA balance'!AU$5:AU$40,'TRA balance'!$C$5:$C$40,Assumptions!$C47,'TRA balance'!$D$5:$D$40,Assumptions!$B47)*EO47*AX47,"")</f>
        <v>0</v>
      </c>
      <c r="CU47" s="34">
        <f ca="1">IFERROR(SUMIFS('TRA balance'!AV$5:AV$40,'TRA balance'!$C$5:$C$40,Assumptions!$C47,'TRA balance'!$D$5:$D$40,Assumptions!$B47)*EP47*AY47,"")</f>
        <v>0</v>
      </c>
      <c r="CV47" s="34">
        <f ca="1">IFERROR(SUMIFS('TRA balance'!AW$5:AW$40,'TRA balance'!$C$5:$C$40,Assumptions!$C47,'TRA balance'!$D$5:$D$40,Assumptions!$B47)*EQ47*AZ47,"")</f>
        <v>0</v>
      </c>
      <c r="CW47" s="34">
        <f ca="1">IFERROR(SUMIFS('TRA balance'!AX$5:AX$40,'TRA balance'!$C$5:$C$40,Assumptions!$C47,'TRA balance'!$D$5:$D$40,Assumptions!$B47)*ER47*BA47,"")</f>
        <v>0</v>
      </c>
      <c r="CY47" s="33">
        <f t="shared" ca="1" si="66"/>
        <v>0.4</v>
      </c>
      <c r="CZ47" s="33">
        <f t="shared" ca="1" si="3"/>
        <v>0.4</v>
      </c>
      <c r="DA47" s="33">
        <f t="shared" ca="1" si="4"/>
        <v>0.75</v>
      </c>
      <c r="DB47" s="33">
        <f t="shared" ca="1" si="5"/>
        <v>0.25</v>
      </c>
      <c r="DC47" s="33">
        <f t="shared" ca="1" si="6"/>
        <v>0.43000000000000005</v>
      </c>
      <c r="DD47" s="33">
        <f t="shared" ca="1" si="7"/>
        <v>0.25</v>
      </c>
      <c r="DE47" s="33">
        <f t="shared" ca="1" si="8"/>
        <v>0.5</v>
      </c>
      <c r="DF47" s="33">
        <f t="shared" ca="1" si="9"/>
        <v>0.6</v>
      </c>
      <c r="DG47" s="33">
        <f t="shared" ca="1" si="10"/>
        <v>0.43000000000000005</v>
      </c>
      <c r="DH47" s="33">
        <f t="shared" ca="1" si="11"/>
        <v>0.43000000000000005</v>
      </c>
      <c r="DI47" s="33">
        <f t="shared" ca="1" si="12"/>
        <v>0.25</v>
      </c>
      <c r="DJ47" s="33">
        <f t="shared" ca="1" si="13"/>
        <v>0.25</v>
      </c>
      <c r="DK47" s="33">
        <f t="shared" ca="1" si="14"/>
        <v>0.25</v>
      </c>
      <c r="DL47" s="33">
        <f t="shared" ca="1" si="15"/>
        <v>0.43000000000000005</v>
      </c>
      <c r="DM47" s="33">
        <f t="shared" ca="1" si="16"/>
        <v>0.25</v>
      </c>
      <c r="DN47" s="33">
        <f t="shared" ca="1" si="17"/>
        <v>0.75</v>
      </c>
      <c r="DO47" s="33">
        <f t="shared" ca="1" si="18"/>
        <v>0.25</v>
      </c>
      <c r="DP47" s="33">
        <f t="shared" ca="1" si="19"/>
        <v>0.25</v>
      </c>
      <c r="DQ47" s="33">
        <f t="shared" ca="1" si="20"/>
        <v>0.43000000000000005</v>
      </c>
      <c r="DR47" s="33">
        <f t="shared" ca="1" si="21"/>
        <v>0.5</v>
      </c>
      <c r="DS47" s="33">
        <f t="shared" ca="1" si="22"/>
        <v>0.4</v>
      </c>
      <c r="DT47" s="33">
        <f t="shared" ca="1" si="23"/>
        <v>0.28078528284437665</v>
      </c>
      <c r="DU47" s="33">
        <f t="shared" ca="1" si="24"/>
        <v>0.25</v>
      </c>
      <c r="DV47" s="33">
        <f t="shared" ca="1" si="25"/>
        <v>0.43000000000000005</v>
      </c>
      <c r="DW47" s="33">
        <f t="shared" ca="1" si="26"/>
        <v>0.30000000000000004</v>
      </c>
      <c r="DX47" s="33">
        <f t="shared" ca="1" si="27"/>
        <v>0.43000000000000005</v>
      </c>
      <c r="DY47" s="33">
        <f t="shared" ca="1" si="28"/>
        <v>0.4</v>
      </c>
      <c r="DZ47" s="33">
        <f t="shared" ca="1" si="29"/>
        <v>0.4</v>
      </c>
      <c r="EA47" s="33">
        <f t="shared" ca="1" si="30"/>
        <v>0.25</v>
      </c>
      <c r="EB47" s="33">
        <f t="shared" ca="1" si="31"/>
        <v>0.25</v>
      </c>
      <c r="EC47" s="33">
        <f t="shared" ca="1" si="32"/>
        <v>0.25</v>
      </c>
      <c r="ED47" s="33">
        <f t="shared" ca="1" si="33"/>
        <v>0.4</v>
      </c>
      <c r="EE47" s="33">
        <f t="shared" ca="1" si="34"/>
        <v>0.25</v>
      </c>
      <c r="EF47" s="33">
        <f t="shared" ca="1" si="35"/>
        <v>0.43000000000000005</v>
      </c>
      <c r="EG47" s="33">
        <f t="shared" ca="1" si="36"/>
        <v>0.43000000000000005</v>
      </c>
      <c r="EH47" s="33">
        <f t="shared" ca="1" si="37"/>
        <v>0.28078528284437665</v>
      </c>
      <c r="EI47" s="33">
        <f t="shared" ca="1" si="38"/>
        <v>0.28078528284437665</v>
      </c>
      <c r="EJ47" s="33">
        <f t="shared" ca="1" si="39"/>
        <v>0.28078528284437665</v>
      </c>
      <c r="EK47" s="33">
        <f t="shared" ca="1" si="40"/>
        <v>0.28078528284437665</v>
      </c>
      <c r="EL47" s="33">
        <f t="shared" ca="1" si="41"/>
        <v>0.28078528284437665</v>
      </c>
      <c r="EM47" s="33">
        <f t="shared" ca="1" si="42"/>
        <v>0.28078528284437665</v>
      </c>
      <c r="EN47" s="33">
        <f t="shared" ca="1" si="43"/>
        <v>0.28078528284437665</v>
      </c>
      <c r="EO47" s="33">
        <f t="shared" ca="1" si="44"/>
        <v>0.28078528284437665</v>
      </c>
      <c r="EP47" s="33">
        <f t="shared" ca="1" si="45"/>
        <v>0.28078528284437665</v>
      </c>
      <c r="EQ47" s="33">
        <f t="shared" ca="1" si="46"/>
        <v>0.28078528284437665</v>
      </c>
      <c r="ER47" s="33">
        <f t="shared" ca="1" si="47"/>
        <v>0.28078528284437665</v>
      </c>
    </row>
    <row r="48" spans="1:148">
      <c r="A48">
        <v>1</v>
      </c>
      <c r="B48" t="str">
        <f>VLOOKUP(F48,'TRA balance'!$BA$5:$BB$14,2,FALSE)</f>
        <v>TRALPG</v>
      </c>
      <c r="C48" s="6" t="str">
        <f t="shared" si="48"/>
        <v/>
      </c>
      <c r="D48" s="7"/>
      <c r="E48" s="19" t="s">
        <v>79</v>
      </c>
      <c r="F48" s="8" t="str">
        <f t="shared" si="74"/>
        <v>Liquified Petroleum Gases</v>
      </c>
      <c r="G48" s="6"/>
      <c r="H48" s="22" t="str">
        <f ca="1">IF(SUM(H44:H47)=1,"-","&lt;&gt;1!!")</f>
        <v>-</v>
      </c>
      <c r="I48" s="22" t="str">
        <f t="shared" ref="I48:BA48" ca="1" si="75">IF(SUM(I44:I47)=1,"-","&lt;&gt;1!!")</f>
        <v>-</v>
      </c>
      <c r="J48" s="22" t="str">
        <f t="shared" ca="1" si="75"/>
        <v>-</v>
      </c>
      <c r="K48" s="22" t="str">
        <f t="shared" ca="1" si="75"/>
        <v>-</v>
      </c>
      <c r="L48" s="22" t="str">
        <f t="shared" ca="1" si="75"/>
        <v>-</v>
      </c>
      <c r="M48" s="22" t="str">
        <f t="shared" ca="1" si="75"/>
        <v>-</v>
      </c>
      <c r="N48" s="22" t="str">
        <f t="shared" ca="1" si="75"/>
        <v>-</v>
      </c>
      <c r="O48" s="22" t="str">
        <f t="shared" ca="1" si="75"/>
        <v>-</v>
      </c>
      <c r="P48" s="22" t="str">
        <f t="shared" ca="1" si="75"/>
        <v>-</v>
      </c>
      <c r="Q48" s="22" t="str">
        <f t="shared" ca="1" si="75"/>
        <v>-</v>
      </c>
      <c r="R48" s="22" t="str">
        <f t="shared" ca="1" si="75"/>
        <v>-</v>
      </c>
      <c r="S48" s="22" t="str">
        <f t="shared" ca="1" si="75"/>
        <v>-</v>
      </c>
      <c r="T48" s="22" t="str">
        <f t="shared" ca="1" si="75"/>
        <v>-</v>
      </c>
      <c r="U48" s="22" t="str">
        <f t="shared" ca="1" si="75"/>
        <v>-</v>
      </c>
      <c r="V48" s="22" t="str">
        <f t="shared" ca="1" si="75"/>
        <v>-</v>
      </c>
      <c r="W48" s="22" t="str">
        <f t="shared" ca="1" si="75"/>
        <v>-</v>
      </c>
      <c r="X48" s="22" t="str">
        <f t="shared" ca="1" si="75"/>
        <v>-</v>
      </c>
      <c r="Y48" s="22" t="str">
        <f t="shared" ca="1" si="75"/>
        <v>-</v>
      </c>
      <c r="Z48" s="22" t="str">
        <f t="shared" ca="1" si="75"/>
        <v>-</v>
      </c>
      <c r="AA48" s="22" t="str">
        <f t="shared" ca="1" si="75"/>
        <v>-</v>
      </c>
      <c r="AB48" s="22" t="str">
        <f t="shared" ca="1" si="75"/>
        <v>-</v>
      </c>
      <c r="AC48" s="22" t="str">
        <f t="shared" ca="1" si="75"/>
        <v>-</v>
      </c>
      <c r="AD48" s="22" t="str">
        <f t="shared" ca="1" si="75"/>
        <v>-</v>
      </c>
      <c r="AE48" s="22" t="str">
        <f t="shared" ca="1" si="75"/>
        <v>-</v>
      </c>
      <c r="AF48" s="22" t="str">
        <f t="shared" ca="1" si="75"/>
        <v>-</v>
      </c>
      <c r="AG48" s="22" t="str">
        <f t="shared" ca="1" si="75"/>
        <v>-</v>
      </c>
      <c r="AH48" s="22" t="str">
        <f t="shared" ca="1" si="75"/>
        <v>-</v>
      </c>
      <c r="AI48" s="22" t="str">
        <f t="shared" ca="1" si="75"/>
        <v>-</v>
      </c>
      <c r="AJ48" s="22" t="str">
        <f t="shared" ca="1" si="75"/>
        <v>-</v>
      </c>
      <c r="AK48" s="22" t="str">
        <f t="shared" ca="1" si="75"/>
        <v>-</v>
      </c>
      <c r="AL48" s="22" t="str">
        <f t="shared" ca="1" si="75"/>
        <v>-</v>
      </c>
      <c r="AM48" s="22" t="str">
        <f t="shared" ca="1" si="75"/>
        <v>-</v>
      </c>
      <c r="AN48" s="22" t="str">
        <f t="shared" ca="1" si="75"/>
        <v>-</v>
      </c>
      <c r="AO48" s="22" t="str">
        <f t="shared" ca="1" si="75"/>
        <v>-</v>
      </c>
      <c r="AP48" s="22" t="str">
        <f t="shared" ca="1" si="75"/>
        <v>-</v>
      </c>
      <c r="AQ48" s="22" t="str">
        <f t="shared" ca="1" si="75"/>
        <v>-</v>
      </c>
      <c r="AR48" s="22" t="str">
        <f t="shared" ca="1" si="75"/>
        <v>-</v>
      </c>
      <c r="AS48" s="22" t="str">
        <f t="shared" ca="1" si="75"/>
        <v>-</v>
      </c>
      <c r="AT48" s="22" t="str">
        <f t="shared" ca="1" si="75"/>
        <v>-</v>
      </c>
      <c r="AU48" s="22" t="str">
        <f t="shared" ca="1" si="75"/>
        <v>-</v>
      </c>
      <c r="AV48" s="22" t="str">
        <f t="shared" ca="1" si="75"/>
        <v>-</v>
      </c>
      <c r="AW48" s="22" t="str">
        <f t="shared" ca="1" si="75"/>
        <v>-</v>
      </c>
      <c r="AX48" s="22" t="str">
        <f t="shared" ca="1" si="75"/>
        <v>-</v>
      </c>
      <c r="AY48" s="22" t="str">
        <f t="shared" ca="1" si="75"/>
        <v>-</v>
      </c>
      <c r="AZ48" s="22" t="str">
        <f t="shared" ca="1" si="75"/>
        <v>-</v>
      </c>
      <c r="BA48" s="22" t="str">
        <f t="shared" ca="1" si="75"/>
        <v>-</v>
      </c>
      <c r="BD48" s="34" t="str">
        <f ca="1">IFERROR(SUMIFS('TRA balance'!E$5:E$40,'TRA balance'!$C$5:$C$40,Assumptions!$C48,'TRA balance'!$D$5:$D$40,Assumptions!$B48)*CY48*H48,"")</f>
        <v/>
      </c>
      <c r="BE48" s="34" t="str">
        <f ca="1">IFERROR(SUMIFS('TRA balance'!F$5:F$40,'TRA balance'!$C$5:$C$40,Assumptions!$C48,'TRA balance'!$D$5:$D$40,Assumptions!$B48)*CZ48*I48,"")</f>
        <v/>
      </c>
      <c r="BF48" s="34" t="str">
        <f ca="1">IFERROR(SUMIFS('TRA balance'!G$5:G$40,'TRA balance'!$C$5:$C$40,Assumptions!$C48,'TRA balance'!$D$5:$D$40,Assumptions!$B48)*DA48*J48,"")</f>
        <v/>
      </c>
      <c r="BG48" s="34" t="str">
        <f ca="1">IFERROR(SUMIFS('TRA balance'!H$5:H$40,'TRA balance'!$C$5:$C$40,Assumptions!$C48,'TRA balance'!$D$5:$D$40,Assumptions!$B48)*DB48*K48,"")</f>
        <v/>
      </c>
      <c r="BH48" s="34" t="str">
        <f ca="1">IFERROR(SUMIFS('TRA balance'!I$5:I$40,'TRA balance'!$C$5:$C$40,Assumptions!$C48,'TRA balance'!$D$5:$D$40,Assumptions!$B48)*DC48*L48,"")</f>
        <v/>
      </c>
      <c r="BI48" s="34" t="str">
        <f ca="1">IFERROR(SUMIFS('TRA balance'!J$5:J$40,'TRA balance'!$C$5:$C$40,Assumptions!$C48,'TRA balance'!$D$5:$D$40,Assumptions!$B48)*DD48*M48,"")</f>
        <v/>
      </c>
      <c r="BJ48" s="34" t="str">
        <f ca="1">IFERROR(SUMIFS('TRA balance'!K$5:K$40,'TRA balance'!$C$5:$C$40,Assumptions!$C48,'TRA balance'!$D$5:$D$40,Assumptions!$B48)*DE48*N48,"")</f>
        <v/>
      </c>
      <c r="BK48" s="34" t="str">
        <f ca="1">IFERROR(SUMIFS('TRA balance'!L$5:L$40,'TRA balance'!$C$5:$C$40,Assumptions!$C48,'TRA balance'!$D$5:$D$40,Assumptions!$B48)*DF48*O48,"")</f>
        <v/>
      </c>
      <c r="BL48" s="34" t="str">
        <f ca="1">IFERROR(SUMIFS('TRA balance'!M$5:M$40,'TRA balance'!$C$5:$C$40,Assumptions!$C48,'TRA balance'!$D$5:$D$40,Assumptions!$B48)*DG48*P48,"")</f>
        <v/>
      </c>
      <c r="BM48" s="34" t="str">
        <f ca="1">IFERROR(SUMIFS('TRA balance'!N$5:N$40,'TRA balance'!$C$5:$C$40,Assumptions!$C48,'TRA balance'!$D$5:$D$40,Assumptions!$B48)*DH48*Q48,"")</f>
        <v/>
      </c>
      <c r="BN48" s="34" t="str">
        <f ca="1">IFERROR(SUMIFS('TRA balance'!O$5:O$40,'TRA balance'!$C$5:$C$40,Assumptions!$C48,'TRA balance'!$D$5:$D$40,Assumptions!$B48)*DI48*R48,"")</f>
        <v/>
      </c>
      <c r="BO48" s="34" t="str">
        <f ca="1">IFERROR(SUMIFS('TRA balance'!P$5:P$40,'TRA balance'!$C$5:$C$40,Assumptions!$C48,'TRA balance'!$D$5:$D$40,Assumptions!$B48)*DJ48*S48,"")</f>
        <v/>
      </c>
      <c r="BP48" s="34" t="str">
        <f ca="1">IFERROR(SUMIFS('TRA balance'!Q$5:Q$40,'TRA balance'!$C$5:$C$40,Assumptions!$C48,'TRA balance'!$D$5:$D$40,Assumptions!$B48)*DK48*T48,"")</f>
        <v/>
      </c>
      <c r="BQ48" s="34" t="str">
        <f ca="1">IFERROR(SUMIFS('TRA balance'!R$5:R$40,'TRA balance'!$C$5:$C$40,Assumptions!$C48,'TRA balance'!$D$5:$D$40,Assumptions!$B48)*DL48*U48,"")</f>
        <v/>
      </c>
      <c r="BR48" s="34" t="str">
        <f ca="1">IFERROR(SUMIFS('TRA balance'!S$5:S$40,'TRA balance'!$C$5:$C$40,Assumptions!$C48,'TRA balance'!$D$5:$D$40,Assumptions!$B48)*DM48*V48,"")</f>
        <v/>
      </c>
      <c r="BS48" s="34" t="str">
        <f ca="1">IFERROR(SUMIFS('TRA balance'!T$5:T$40,'TRA balance'!$C$5:$C$40,Assumptions!$C48,'TRA balance'!$D$5:$D$40,Assumptions!$B48)*DN48*W48,"")</f>
        <v/>
      </c>
      <c r="BT48" s="34" t="str">
        <f ca="1">IFERROR(SUMIFS('TRA balance'!U$5:U$40,'TRA balance'!$C$5:$C$40,Assumptions!$C48,'TRA balance'!$D$5:$D$40,Assumptions!$B48)*DO48*X48,"")</f>
        <v/>
      </c>
      <c r="BU48" s="34" t="str">
        <f ca="1">IFERROR(SUMIFS('TRA balance'!V$5:V$40,'TRA balance'!$C$5:$C$40,Assumptions!$C48,'TRA balance'!$D$5:$D$40,Assumptions!$B48)*DP48*Y48,"")</f>
        <v/>
      </c>
      <c r="BV48" s="34" t="str">
        <f ca="1">IFERROR(SUMIFS('TRA balance'!W$5:W$40,'TRA balance'!$C$5:$C$40,Assumptions!$C48,'TRA balance'!$D$5:$D$40,Assumptions!$B48)*DQ48*Z48,"")</f>
        <v/>
      </c>
      <c r="BW48" s="34" t="str">
        <f ca="1">IFERROR(SUMIFS('TRA balance'!X$5:X$40,'TRA balance'!$C$5:$C$40,Assumptions!$C48,'TRA balance'!$D$5:$D$40,Assumptions!$B48)*DR48*AA48,"")</f>
        <v/>
      </c>
      <c r="BX48" s="34" t="str">
        <f ca="1">IFERROR(SUMIFS('TRA balance'!Y$5:Y$40,'TRA balance'!$C$5:$C$40,Assumptions!$C48,'TRA balance'!$D$5:$D$40,Assumptions!$B48)*DS48*AB48,"")</f>
        <v/>
      </c>
      <c r="BY48" s="34" t="str">
        <f ca="1">IFERROR(SUMIFS('TRA balance'!Z$5:Z$40,'TRA balance'!$C$5:$C$40,Assumptions!$C48,'TRA balance'!$D$5:$D$40,Assumptions!$B48)*DT48*AC48,"")</f>
        <v/>
      </c>
      <c r="BZ48" s="34" t="str">
        <f ca="1">IFERROR(SUMIFS('TRA balance'!AA$5:AA$40,'TRA balance'!$C$5:$C$40,Assumptions!$C48,'TRA balance'!$D$5:$D$40,Assumptions!$B48)*DU48*AD48,"")</f>
        <v/>
      </c>
      <c r="CA48" s="34" t="str">
        <f ca="1">IFERROR(SUMIFS('TRA balance'!AB$5:AB$40,'TRA balance'!$C$5:$C$40,Assumptions!$C48,'TRA balance'!$D$5:$D$40,Assumptions!$B48)*DV48*AE48,"")</f>
        <v/>
      </c>
      <c r="CB48" s="34" t="str">
        <f ca="1">IFERROR(SUMIFS('TRA balance'!AC$5:AC$40,'TRA balance'!$C$5:$C$40,Assumptions!$C48,'TRA balance'!$D$5:$D$40,Assumptions!$B48)*DW48*AF48,"")</f>
        <v/>
      </c>
      <c r="CC48" s="34" t="str">
        <f ca="1">IFERROR(SUMIFS('TRA balance'!AD$5:AD$40,'TRA balance'!$C$5:$C$40,Assumptions!$C48,'TRA balance'!$D$5:$D$40,Assumptions!$B48)*DX48*AG48,"")</f>
        <v/>
      </c>
      <c r="CD48" s="34" t="str">
        <f ca="1">IFERROR(SUMIFS('TRA balance'!AE$5:AE$40,'TRA balance'!$C$5:$C$40,Assumptions!$C48,'TRA balance'!$D$5:$D$40,Assumptions!$B48)*DY48*AH48,"")</f>
        <v/>
      </c>
      <c r="CE48" s="34" t="str">
        <f ca="1">IFERROR(SUMIFS('TRA balance'!AF$5:AF$40,'TRA balance'!$C$5:$C$40,Assumptions!$C48,'TRA balance'!$D$5:$D$40,Assumptions!$B48)*DZ48*AI48,"")</f>
        <v/>
      </c>
      <c r="CF48" s="34" t="str">
        <f ca="1">IFERROR(SUMIFS('TRA balance'!AG$5:AG$40,'TRA balance'!$C$5:$C$40,Assumptions!$C48,'TRA balance'!$D$5:$D$40,Assumptions!$B48)*EA48*AJ48,"")</f>
        <v/>
      </c>
      <c r="CG48" s="34" t="str">
        <f ca="1">IFERROR(SUMIFS('TRA balance'!AH$5:AH$40,'TRA balance'!$C$5:$C$40,Assumptions!$C48,'TRA balance'!$D$5:$D$40,Assumptions!$B48)*EB48*AK48,"")</f>
        <v/>
      </c>
      <c r="CH48" s="34" t="str">
        <f ca="1">IFERROR(SUMIFS('TRA balance'!AI$5:AI$40,'TRA balance'!$C$5:$C$40,Assumptions!$C48,'TRA balance'!$D$5:$D$40,Assumptions!$B48)*EC48*AL48,"")</f>
        <v/>
      </c>
      <c r="CI48" s="34" t="str">
        <f ca="1">IFERROR(SUMIFS('TRA balance'!AJ$5:AJ$40,'TRA balance'!$C$5:$C$40,Assumptions!$C48,'TRA balance'!$D$5:$D$40,Assumptions!$B48)*ED48*AM48,"")</f>
        <v/>
      </c>
      <c r="CJ48" s="34" t="str">
        <f ca="1">IFERROR(SUMIFS('TRA balance'!AK$5:AK$40,'TRA balance'!$C$5:$C$40,Assumptions!$C48,'TRA balance'!$D$5:$D$40,Assumptions!$B48)*EE48*AN48,"")</f>
        <v/>
      </c>
      <c r="CK48" s="34" t="str">
        <f ca="1">IFERROR(SUMIFS('TRA balance'!AL$5:AL$40,'TRA balance'!$C$5:$C$40,Assumptions!$C48,'TRA balance'!$D$5:$D$40,Assumptions!$B48)*EF48*AO48,"")</f>
        <v/>
      </c>
      <c r="CL48" s="34" t="str">
        <f ca="1">IFERROR(SUMIFS('TRA balance'!AM$5:AM$40,'TRA balance'!$C$5:$C$40,Assumptions!$C48,'TRA balance'!$D$5:$D$40,Assumptions!$B48)*EG48*AP48,"")</f>
        <v/>
      </c>
      <c r="CM48" s="34" t="str">
        <f ca="1">IFERROR(SUMIFS('TRA balance'!AN$5:AN$40,'TRA balance'!$C$5:$C$40,Assumptions!$C48,'TRA balance'!$D$5:$D$40,Assumptions!$B48)*EH48*AQ48,"")</f>
        <v/>
      </c>
      <c r="CN48" s="34" t="str">
        <f ca="1">IFERROR(SUMIFS('TRA balance'!AO$5:AO$40,'TRA balance'!$C$5:$C$40,Assumptions!$C48,'TRA balance'!$D$5:$D$40,Assumptions!$B48)*EI48*AR48,"")</f>
        <v/>
      </c>
      <c r="CO48" s="34" t="str">
        <f ca="1">IFERROR(SUMIFS('TRA balance'!AP$5:AP$40,'TRA balance'!$C$5:$C$40,Assumptions!$C48,'TRA balance'!$D$5:$D$40,Assumptions!$B48)*EJ48*AS48,"")</f>
        <v/>
      </c>
      <c r="CP48" s="34" t="str">
        <f ca="1">IFERROR(SUMIFS('TRA balance'!AQ$5:AQ$40,'TRA balance'!$C$5:$C$40,Assumptions!$C48,'TRA balance'!$D$5:$D$40,Assumptions!$B48)*EK48*AT48,"")</f>
        <v/>
      </c>
      <c r="CQ48" s="34" t="str">
        <f ca="1">IFERROR(SUMIFS('TRA balance'!AR$5:AR$40,'TRA balance'!$C$5:$C$40,Assumptions!$C48,'TRA balance'!$D$5:$D$40,Assumptions!$B48)*EL48*AU48,"")</f>
        <v/>
      </c>
      <c r="CR48" s="34" t="str">
        <f ca="1">IFERROR(SUMIFS('TRA balance'!AS$5:AS$40,'TRA balance'!$C$5:$C$40,Assumptions!$C48,'TRA balance'!$D$5:$D$40,Assumptions!$B48)*EM48*AV48,"")</f>
        <v/>
      </c>
      <c r="CS48" s="34" t="str">
        <f ca="1">IFERROR(SUMIFS('TRA balance'!AT$5:AT$40,'TRA balance'!$C$5:$C$40,Assumptions!$C48,'TRA balance'!$D$5:$D$40,Assumptions!$B48)*EN48*AW48,"")</f>
        <v/>
      </c>
      <c r="CT48" s="34" t="str">
        <f ca="1">IFERROR(SUMIFS('TRA balance'!AU$5:AU$40,'TRA balance'!$C$5:$C$40,Assumptions!$C48,'TRA balance'!$D$5:$D$40,Assumptions!$B48)*EO48*AX48,"")</f>
        <v/>
      </c>
      <c r="CU48" s="34" t="str">
        <f ca="1">IFERROR(SUMIFS('TRA balance'!AV$5:AV$40,'TRA balance'!$C$5:$C$40,Assumptions!$C48,'TRA balance'!$D$5:$D$40,Assumptions!$B48)*EP48*AY48,"")</f>
        <v/>
      </c>
      <c r="CV48" s="34" t="str">
        <f ca="1">IFERROR(SUMIFS('TRA balance'!AW$5:AW$40,'TRA balance'!$C$5:$C$40,Assumptions!$C48,'TRA balance'!$D$5:$D$40,Assumptions!$B48)*EQ48*AZ48,"")</f>
        <v/>
      </c>
      <c r="CW48" s="34" t="str">
        <f ca="1">IFERROR(SUMIFS('TRA balance'!AX$5:AX$40,'TRA balance'!$C$5:$C$40,Assumptions!$C48,'TRA balance'!$D$5:$D$40,Assumptions!$B48)*ER48*BA48,"")</f>
        <v/>
      </c>
      <c r="CY48" s="33">
        <f t="shared" si="66"/>
        <v>1</v>
      </c>
      <c r="CZ48" s="33">
        <f t="shared" si="3"/>
        <v>1</v>
      </c>
      <c r="DA48" s="33">
        <f t="shared" si="4"/>
        <v>1</v>
      </c>
      <c r="DB48" s="33">
        <f t="shared" si="5"/>
        <v>1</v>
      </c>
      <c r="DC48" s="33">
        <f t="shared" si="6"/>
        <v>1</v>
      </c>
      <c r="DD48" s="33">
        <f t="shared" si="7"/>
        <v>1</v>
      </c>
      <c r="DE48" s="33">
        <f t="shared" si="8"/>
        <v>1</v>
      </c>
      <c r="DF48" s="33">
        <f t="shared" si="9"/>
        <v>1</v>
      </c>
      <c r="DG48" s="33">
        <f t="shared" si="10"/>
        <v>1</v>
      </c>
      <c r="DH48" s="33">
        <f t="shared" si="11"/>
        <v>1</v>
      </c>
      <c r="DI48" s="33">
        <f t="shared" si="12"/>
        <v>1</v>
      </c>
      <c r="DJ48" s="33">
        <f t="shared" si="13"/>
        <v>1</v>
      </c>
      <c r="DK48" s="33">
        <f t="shared" si="14"/>
        <v>1</v>
      </c>
      <c r="DL48" s="33">
        <f t="shared" si="15"/>
        <v>1</v>
      </c>
      <c r="DM48" s="33">
        <f t="shared" si="16"/>
        <v>1</v>
      </c>
      <c r="DN48" s="33">
        <f t="shared" si="17"/>
        <v>1</v>
      </c>
      <c r="DO48" s="33">
        <f t="shared" si="18"/>
        <v>1</v>
      </c>
      <c r="DP48" s="33">
        <f t="shared" si="19"/>
        <v>1</v>
      </c>
      <c r="DQ48" s="33">
        <f t="shared" si="20"/>
        <v>1</v>
      </c>
      <c r="DR48" s="33">
        <f t="shared" si="21"/>
        <v>1</v>
      </c>
      <c r="DS48" s="33">
        <f t="shared" si="22"/>
        <v>1</v>
      </c>
      <c r="DT48" s="33">
        <f t="shared" si="23"/>
        <v>1</v>
      </c>
      <c r="DU48" s="33">
        <f t="shared" si="24"/>
        <v>1</v>
      </c>
      <c r="DV48" s="33">
        <f t="shared" si="25"/>
        <v>1</v>
      </c>
      <c r="DW48" s="33">
        <f t="shared" si="26"/>
        <v>1</v>
      </c>
      <c r="DX48" s="33">
        <f t="shared" si="27"/>
        <v>1</v>
      </c>
      <c r="DY48" s="33">
        <f t="shared" si="28"/>
        <v>1</v>
      </c>
      <c r="DZ48" s="33">
        <f t="shared" si="29"/>
        <v>1</v>
      </c>
      <c r="EA48" s="33">
        <f t="shared" si="30"/>
        <v>1</v>
      </c>
      <c r="EB48" s="33">
        <f t="shared" si="31"/>
        <v>1</v>
      </c>
      <c r="EC48" s="33">
        <f t="shared" si="32"/>
        <v>1</v>
      </c>
      <c r="ED48" s="33">
        <f t="shared" si="33"/>
        <v>1</v>
      </c>
      <c r="EE48" s="33">
        <f t="shared" si="34"/>
        <v>1</v>
      </c>
      <c r="EF48" s="33">
        <f t="shared" si="35"/>
        <v>1</v>
      </c>
      <c r="EG48" s="33">
        <f t="shared" si="36"/>
        <v>1</v>
      </c>
      <c r="EH48" s="33">
        <f t="shared" si="37"/>
        <v>1</v>
      </c>
      <c r="EI48" s="33">
        <f t="shared" si="38"/>
        <v>1</v>
      </c>
      <c r="EJ48" s="33">
        <f t="shared" si="39"/>
        <v>1</v>
      </c>
      <c r="EK48" s="33">
        <f t="shared" si="40"/>
        <v>1</v>
      </c>
      <c r="EL48" s="33">
        <f t="shared" si="41"/>
        <v>1</v>
      </c>
      <c r="EM48" s="33">
        <f t="shared" si="42"/>
        <v>1</v>
      </c>
      <c r="EN48" s="33">
        <f t="shared" si="43"/>
        <v>1</v>
      </c>
      <c r="EO48" s="33">
        <f t="shared" si="44"/>
        <v>1</v>
      </c>
      <c r="EP48" s="33">
        <f t="shared" si="45"/>
        <v>1</v>
      </c>
      <c r="EQ48" s="33">
        <f t="shared" si="46"/>
        <v>1</v>
      </c>
      <c r="ER48" s="33">
        <f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6" t="str">
        <f t="shared" si="48"/>
        <v>TT</v>
      </c>
      <c r="D49" s="7" t="s">
        <v>17</v>
      </c>
      <c r="E49" s="7" t="s">
        <v>53</v>
      </c>
      <c r="F49" s="8" t="str">
        <f t="shared" si="74"/>
        <v>Liquified Petroleum Gases</v>
      </c>
      <c r="G49" s="6" t="s">
        <v>55</v>
      </c>
      <c r="H49" s="9">
        <f ca="1">OFFSET(TIAM15_assumptions!$G49,0,MATCH(VLOOKUP(Assumptions!H$2,TIAM15_assumptions!$Y$3:$Z$87,2,FALSE),TIAM15_assumptions!$H$2:$V$2,0))</f>
        <v>1</v>
      </c>
      <c r="I49" s="9">
        <f ca="1">OFFSET(TIAM15_assumptions!$G49,0,MATCH(VLOOKUP(Assumptions!I$2,TIAM15_assumptions!$Y$3:$Z$87,2,FALSE),TIAM15_assumptions!$H$2:$V$2,0))</f>
        <v>1</v>
      </c>
      <c r="J49" s="9">
        <f ca="1">OFFSET(TIAM15_assumptions!$G49,0,MATCH(VLOOKUP(Assumptions!J$2,TIAM15_assumptions!$Y$3:$Z$87,2,FALSE),TIAM15_assumptions!$H$2:$V$2,0))</f>
        <v>0.5</v>
      </c>
      <c r="K49" s="9">
        <f ca="1">OFFSET(TIAM15_assumptions!$G49,0,MATCH(VLOOKUP(Assumptions!K$2,TIAM15_assumptions!$Y$3:$Z$87,2,FALSE),TIAM15_assumptions!$H$2:$V$2,0))</f>
        <v>1</v>
      </c>
      <c r="L49" s="9">
        <f ca="1">OFFSET(TIAM15_assumptions!$G49,0,MATCH(VLOOKUP(Assumptions!L$2,TIAM15_assumptions!$Y$3:$Z$87,2,FALSE),TIAM15_assumptions!$H$2:$V$2,0))</f>
        <v>1</v>
      </c>
      <c r="M49" s="9">
        <f ca="1">OFFSET(TIAM15_assumptions!$G49,0,MATCH(VLOOKUP(Assumptions!M$2,TIAM15_assumptions!$Y$3:$Z$87,2,FALSE),TIAM15_assumptions!$H$2:$V$2,0))</f>
        <v>1</v>
      </c>
      <c r="N49" s="9">
        <f ca="1">OFFSET(TIAM15_assumptions!$G49,0,MATCH(VLOOKUP(Assumptions!N$2,TIAM15_assumptions!$Y$3:$Z$87,2,FALSE),TIAM15_assumptions!$H$2:$V$2,0))</f>
        <v>1</v>
      </c>
      <c r="O49" s="9">
        <f ca="1">OFFSET(TIAM15_assumptions!$G49,0,MATCH(VLOOKUP(Assumptions!O$2,TIAM15_assumptions!$Y$3:$Z$87,2,FALSE),TIAM15_assumptions!$H$2:$V$2,0))</f>
        <v>0.5</v>
      </c>
      <c r="P49" s="9">
        <f ca="1">OFFSET(TIAM15_assumptions!$G49,0,MATCH(VLOOKUP(Assumptions!P$2,TIAM15_assumptions!$Y$3:$Z$87,2,FALSE),TIAM15_assumptions!$H$2:$V$2,0))</f>
        <v>1</v>
      </c>
      <c r="Q49" s="9">
        <f ca="1">OFFSET(TIAM15_assumptions!$G49,0,MATCH(VLOOKUP(Assumptions!Q$2,TIAM15_assumptions!$Y$3:$Z$87,2,FALSE),TIAM15_assumptions!$H$2:$V$2,0))</f>
        <v>1</v>
      </c>
      <c r="R49" s="9">
        <f ca="1">OFFSET(TIAM15_assumptions!$G49,0,MATCH(VLOOKUP(Assumptions!R$2,TIAM15_assumptions!$Y$3:$Z$87,2,FALSE),TIAM15_assumptions!$H$2:$V$2,0))</f>
        <v>1</v>
      </c>
      <c r="S49" s="9">
        <f ca="1">OFFSET(TIAM15_assumptions!$G49,0,MATCH(VLOOKUP(Assumptions!S$2,TIAM15_assumptions!$Y$3:$Z$87,2,FALSE),TIAM15_assumptions!$H$2:$V$2,0))</f>
        <v>1</v>
      </c>
      <c r="T49" s="9">
        <f ca="1">OFFSET(TIAM15_assumptions!$G49,0,MATCH(VLOOKUP(Assumptions!T$2,TIAM15_assumptions!$Y$3:$Z$87,2,FALSE),TIAM15_assumptions!$H$2:$V$2,0))</f>
        <v>1</v>
      </c>
      <c r="U49" s="9">
        <f ca="1">OFFSET(TIAM15_assumptions!$G49,0,MATCH(VLOOKUP(Assumptions!U$2,TIAM15_assumptions!$Y$3:$Z$87,2,FALSE),TIAM15_assumptions!$H$2:$V$2,0))</f>
        <v>1</v>
      </c>
      <c r="V49" s="9">
        <f ca="1">OFFSET(TIAM15_assumptions!$G49,0,MATCH(VLOOKUP(Assumptions!V$2,TIAM15_assumptions!$Y$3:$Z$87,2,FALSE),TIAM15_assumptions!$H$2:$V$2,0))</f>
        <v>1</v>
      </c>
      <c r="W49" s="9">
        <f ca="1">OFFSET(TIAM15_assumptions!$G49,0,MATCH(VLOOKUP(Assumptions!W$2,TIAM15_assumptions!$Y$3:$Z$87,2,FALSE),TIAM15_assumptions!$H$2:$V$2,0))</f>
        <v>0.5</v>
      </c>
      <c r="X49" s="9">
        <f ca="1">OFFSET(TIAM15_assumptions!$G49,0,MATCH(VLOOKUP(Assumptions!X$2,TIAM15_assumptions!$Y$3:$Z$87,2,FALSE),TIAM15_assumptions!$H$2:$V$2,0))</f>
        <v>1</v>
      </c>
      <c r="Y49" s="9">
        <f ca="1">OFFSET(TIAM15_assumptions!$G49,0,MATCH(VLOOKUP(Assumptions!Y$2,TIAM15_assumptions!$Y$3:$Z$87,2,FALSE),TIAM15_assumptions!$H$2:$V$2,0))</f>
        <v>1</v>
      </c>
      <c r="Z49" s="9">
        <f ca="1">OFFSET(TIAM15_assumptions!$G49,0,MATCH(VLOOKUP(Assumptions!Z$2,TIAM15_assumptions!$Y$3:$Z$87,2,FALSE),TIAM15_assumptions!$H$2:$V$2,0))</f>
        <v>7.0000000000000007E-2</v>
      </c>
      <c r="AA49" s="9">
        <f ca="1">OFFSET(TIAM15_assumptions!$G49,0,MATCH(VLOOKUP(Assumptions!AA$2,TIAM15_assumptions!$Y$3:$Z$87,2,FALSE),TIAM15_assumptions!$H$2:$V$2,0))</f>
        <v>1</v>
      </c>
      <c r="AB49" s="9">
        <f ca="1">OFFSET(TIAM15_assumptions!$G49,0,MATCH(VLOOKUP(Assumptions!AB$2,TIAM15_assumptions!$Y$3:$Z$87,2,FALSE),TIAM15_assumptions!$H$2:$V$2,0))</f>
        <v>1</v>
      </c>
      <c r="AC49" s="9">
        <f ca="1">OFFSET(TIAM15_assumptions!$G49,0,MATCH(VLOOKUP(Assumptions!AC$2,TIAM15_assumptions!$Y$3:$Z$87,2,FALSE),TIAM15_assumptions!$H$2:$V$2,0))</f>
        <v>0.5</v>
      </c>
      <c r="AD49" s="9">
        <f ca="1">OFFSET(TIAM15_assumptions!$G49,0,MATCH(VLOOKUP(Assumptions!AD$2,TIAM15_assumptions!$Y$3:$Z$87,2,FALSE),TIAM15_assumptions!$H$2:$V$2,0))</f>
        <v>1</v>
      </c>
      <c r="AE49" s="9">
        <f ca="1">OFFSET(TIAM15_assumptions!$G49,0,MATCH(VLOOKUP(Assumptions!AE$2,TIAM15_assumptions!$Y$3:$Z$87,2,FALSE),TIAM15_assumptions!$H$2:$V$2,0))</f>
        <v>1</v>
      </c>
      <c r="AF49" s="9">
        <f ca="1">OFFSET(TIAM15_assumptions!$G49,0,MATCH(VLOOKUP(Assumptions!AF$2,TIAM15_assumptions!$Y$3:$Z$87,2,FALSE),TIAM15_assumptions!$H$2:$V$2,0))</f>
        <v>0.5</v>
      </c>
      <c r="AG49" s="9">
        <f ca="1">OFFSET(TIAM15_assumptions!$G49,0,MATCH(VLOOKUP(Assumptions!AG$2,TIAM15_assumptions!$Y$3:$Z$87,2,FALSE),TIAM15_assumptions!$H$2:$V$2,0))</f>
        <v>1</v>
      </c>
      <c r="AH49" s="9">
        <f ca="1">OFFSET(TIAM15_assumptions!$G49,0,MATCH(VLOOKUP(Assumptions!AH$2,TIAM15_assumptions!$Y$3:$Z$87,2,FALSE),TIAM15_assumptions!$H$2:$V$2,0))</f>
        <v>1</v>
      </c>
      <c r="AI49" s="9">
        <f ca="1">OFFSET(TIAM15_assumptions!$G49,0,MATCH(VLOOKUP(Assumptions!AI$2,TIAM15_assumptions!$Y$3:$Z$87,2,FALSE),TIAM15_assumptions!$H$2:$V$2,0))</f>
        <v>1</v>
      </c>
      <c r="AJ49" s="9">
        <f ca="1">OFFSET(TIAM15_assumptions!$G49,0,MATCH(VLOOKUP(Assumptions!AJ$2,TIAM15_assumptions!$Y$3:$Z$87,2,FALSE),TIAM15_assumptions!$H$2:$V$2,0))</f>
        <v>1</v>
      </c>
      <c r="AK49" s="9">
        <f ca="1">OFFSET(TIAM15_assumptions!$G49,0,MATCH(VLOOKUP(Assumptions!AK$2,TIAM15_assumptions!$Y$3:$Z$87,2,FALSE),TIAM15_assumptions!$H$2:$V$2,0))</f>
        <v>1</v>
      </c>
      <c r="AL49" s="9">
        <f ca="1">OFFSET(TIAM15_assumptions!$G49,0,MATCH(VLOOKUP(Assumptions!AL$2,TIAM15_assumptions!$Y$3:$Z$87,2,FALSE),TIAM15_assumptions!$H$2:$V$2,0))</f>
        <v>1</v>
      </c>
      <c r="AM49" s="9">
        <f ca="1">OFFSET(TIAM15_assumptions!$G49,0,MATCH(VLOOKUP(Assumptions!AM$2,TIAM15_assumptions!$Y$3:$Z$87,2,FALSE),TIAM15_assumptions!$H$2:$V$2,0))</f>
        <v>1</v>
      </c>
      <c r="AN49" s="9">
        <f ca="1">OFFSET(TIAM15_assumptions!$G49,0,MATCH(VLOOKUP(Assumptions!AN$2,TIAM15_assumptions!$Y$3:$Z$87,2,FALSE),TIAM15_assumptions!$H$2:$V$2,0))</f>
        <v>1</v>
      </c>
      <c r="AO49" s="9">
        <f ca="1">OFFSET(TIAM15_assumptions!$G49,0,MATCH(VLOOKUP(Assumptions!AO$2,TIAM15_assumptions!$Y$3:$Z$87,2,FALSE),TIAM15_assumptions!$H$2:$V$2,0))</f>
        <v>1</v>
      </c>
      <c r="AP49" s="9">
        <f ca="1">OFFSET(TIAM15_assumptions!$G49,0,MATCH(VLOOKUP(Assumptions!AP$2,TIAM15_assumptions!$Y$3:$Z$87,2,FALSE),TIAM15_assumptions!$H$2:$V$2,0))</f>
        <v>1</v>
      </c>
      <c r="AQ49" s="9">
        <f ca="1">OFFSET(TIAM15_assumptions!$G49,0,MATCH(VLOOKUP(Assumptions!AQ$2,TIAM15_assumptions!$Y$3:$Z$87,2,FALSE),TIAM15_assumptions!$H$2:$V$2,0))</f>
        <v>0.5</v>
      </c>
      <c r="AR49" s="9">
        <f ca="1">OFFSET(TIAM15_assumptions!$G49,0,MATCH(VLOOKUP(Assumptions!AR$2,TIAM15_assumptions!$Y$3:$Z$87,2,FALSE),TIAM15_assumptions!$H$2:$V$2,0))</f>
        <v>0.5</v>
      </c>
      <c r="AS49" s="9">
        <f ca="1">OFFSET(TIAM15_assumptions!$G49,0,MATCH(VLOOKUP(Assumptions!AS$2,TIAM15_assumptions!$Y$3:$Z$87,2,FALSE),TIAM15_assumptions!$H$2:$V$2,0))</f>
        <v>0.5</v>
      </c>
      <c r="AT49" s="9">
        <f ca="1">OFFSET(TIAM15_assumptions!$G49,0,MATCH(VLOOKUP(Assumptions!AT$2,TIAM15_assumptions!$Y$3:$Z$87,2,FALSE),TIAM15_assumptions!$H$2:$V$2,0))</f>
        <v>0.5</v>
      </c>
      <c r="AU49" s="9">
        <f ca="1">OFFSET(TIAM15_assumptions!$G49,0,MATCH(VLOOKUP(Assumptions!AU$2,TIAM15_assumptions!$Y$3:$Z$87,2,FALSE),TIAM15_assumptions!$H$2:$V$2,0))</f>
        <v>0.5</v>
      </c>
      <c r="AV49" s="9">
        <f ca="1">OFFSET(TIAM15_assumptions!$G49,0,MATCH(VLOOKUP(Assumptions!AV$2,TIAM15_assumptions!$Y$3:$Z$87,2,FALSE),TIAM15_assumptions!$H$2:$V$2,0))</f>
        <v>0.5</v>
      </c>
      <c r="AW49" s="9">
        <f ca="1">OFFSET(TIAM15_assumptions!$G49,0,MATCH(VLOOKUP(Assumptions!AW$2,TIAM15_assumptions!$Y$3:$Z$87,2,FALSE),TIAM15_assumptions!$H$2:$V$2,0))</f>
        <v>0.5</v>
      </c>
      <c r="AX49" s="9">
        <f ca="1">OFFSET(TIAM15_assumptions!$G49,0,MATCH(VLOOKUP(Assumptions!AX$2,TIAM15_assumptions!$Y$3:$Z$87,2,FALSE),TIAM15_assumptions!$H$2:$V$2,0))</f>
        <v>0.5</v>
      </c>
      <c r="AY49" s="9">
        <f ca="1">OFFSET(TIAM15_assumptions!$G49,0,MATCH(VLOOKUP(Assumptions!AY$2,TIAM15_assumptions!$Y$3:$Z$87,2,FALSE),TIAM15_assumptions!$H$2:$V$2,0))</f>
        <v>0.5</v>
      </c>
      <c r="AZ49" s="9">
        <f ca="1">OFFSET(TIAM15_assumptions!$G49,0,MATCH(VLOOKUP(Assumptions!AZ$2,TIAM15_assumptions!$Y$3:$Z$87,2,FALSE),TIAM15_assumptions!$H$2:$V$2,0))</f>
        <v>0.5</v>
      </c>
      <c r="BA49" s="9">
        <f ca="1">OFFSET(TIAM15_assumptions!$G49,0,MATCH(VLOOKUP(Assumptions!BA$2,TIAM15_assumptions!$Y$3:$Z$87,2,FALSE),TIAM15_assumptions!$H$2:$V$2,0))</f>
        <v>0.5</v>
      </c>
      <c r="BD49" s="34">
        <f ca="1">IFERROR(SUMIFS('TRA balance'!E$5:E$40,'TRA balance'!$C$5:$C$40,Assumptions!$C49,'TRA balance'!$D$5:$D$40,Assumptions!$B49)*CY49*H49,"")</f>
        <v>0</v>
      </c>
      <c r="BE49" s="34">
        <f ca="1">IFERROR(SUMIFS('TRA balance'!F$5:F$40,'TRA balance'!$C$5:$C$40,Assumptions!$C49,'TRA balance'!$D$5:$D$40,Assumptions!$B49)*CZ49*I49,"")</f>
        <v>0</v>
      </c>
      <c r="BF49" s="34">
        <f ca="1">IFERROR(SUMIFS('TRA balance'!G$5:G$40,'TRA balance'!$C$5:$C$40,Assumptions!$C49,'TRA balance'!$D$5:$D$40,Assumptions!$B49)*DA49*J49,"")</f>
        <v>0</v>
      </c>
      <c r="BG49" s="34">
        <f ca="1">IFERROR(SUMIFS('TRA balance'!H$5:H$40,'TRA balance'!$C$5:$C$40,Assumptions!$C49,'TRA balance'!$D$5:$D$40,Assumptions!$B49)*DB49*K49,"")</f>
        <v>0</v>
      </c>
      <c r="BH49" s="34">
        <f ca="1">IFERROR(SUMIFS('TRA balance'!I$5:I$40,'TRA balance'!$C$5:$C$40,Assumptions!$C49,'TRA balance'!$D$5:$D$40,Assumptions!$B49)*DC49*L49,"")</f>
        <v>0</v>
      </c>
      <c r="BI49" s="34">
        <f ca="1">IFERROR(SUMIFS('TRA balance'!J$5:J$40,'TRA balance'!$C$5:$C$40,Assumptions!$C49,'TRA balance'!$D$5:$D$40,Assumptions!$B49)*DD49*M49,"")</f>
        <v>0</v>
      </c>
      <c r="BJ49" s="34">
        <f ca="1">IFERROR(SUMIFS('TRA balance'!K$5:K$40,'TRA balance'!$C$5:$C$40,Assumptions!$C49,'TRA balance'!$D$5:$D$40,Assumptions!$B49)*DE49*N49,"")</f>
        <v>0</v>
      </c>
      <c r="BK49" s="34">
        <f ca="1">IFERROR(SUMIFS('TRA balance'!L$5:L$40,'TRA balance'!$C$5:$C$40,Assumptions!$C49,'TRA balance'!$D$5:$D$40,Assumptions!$B49)*DF49*O49,"")</f>
        <v>0</v>
      </c>
      <c r="BL49" s="34">
        <f ca="1">IFERROR(SUMIFS('TRA balance'!M$5:M$40,'TRA balance'!$C$5:$C$40,Assumptions!$C49,'TRA balance'!$D$5:$D$40,Assumptions!$B49)*DG49*P49,"")</f>
        <v>0</v>
      </c>
      <c r="BM49" s="34">
        <f ca="1">IFERROR(SUMIFS('TRA balance'!N$5:N$40,'TRA balance'!$C$5:$C$40,Assumptions!$C49,'TRA balance'!$D$5:$D$40,Assumptions!$B49)*DH49*Q49,"")</f>
        <v>0</v>
      </c>
      <c r="BN49" s="34">
        <f ca="1">IFERROR(SUMIFS('TRA balance'!O$5:O$40,'TRA balance'!$C$5:$C$40,Assumptions!$C49,'TRA balance'!$D$5:$D$40,Assumptions!$B49)*DI49*R49,"")</f>
        <v>0</v>
      </c>
      <c r="BO49" s="34">
        <f ca="1">IFERROR(SUMIFS('TRA balance'!P$5:P$40,'TRA balance'!$C$5:$C$40,Assumptions!$C49,'TRA balance'!$D$5:$D$40,Assumptions!$B49)*DJ49*S49,"")</f>
        <v>0</v>
      </c>
      <c r="BP49" s="34">
        <f ca="1">IFERROR(SUMIFS('TRA balance'!Q$5:Q$40,'TRA balance'!$C$5:$C$40,Assumptions!$C49,'TRA balance'!$D$5:$D$40,Assumptions!$B49)*DK49*T49,"")</f>
        <v>0</v>
      </c>
      <c r="BQ49" s="34">
        <f ca="1">IFERROR(SUMIFS('TRA balance'!R$5:R$40,'TRA balance'!$C$5:$C$40,Assumptions!$C49,'TRA balance'!$D$5:$D$40,Assumptions!$B49)*DL49*U49,"")</f>
        <v>0</v>
      </c>
      <c r="BR49" s="34">
        <f ca="1">IFERROR(SUMIFS('TRA balance'!S$5:S$40,'TRA balance'!$C$5:$C$40,Assumptions!$C49,'TRA balance'!$D$5:$D$40,Assumptions!$B49)*DM49*V49,"")</f>
        <v>0</v>
      </c>
      <c r="BS49" s="34">
        <f ca="1">IFERROR(SUMIFS('TRA balance'!T$5:T$40,'TRA balance'!$C$5:$C$40,Assumptions!$C49,'TRA balance'!$D$5:$D$40,Assumptions!$B49)*DN49*W49,"")</f>
        <v>0</v>
      </c>
      <c r="BT49" s="34">
        <f ca="1">IFERROR(SUMIFS('TRA balance'!U$5:U$40,'TRA balance'!$C$5:$C$40,Assumptions!$C49,'TRA balance'!$D$5:$D$40,Assumptions!$B49)*DO49*X49,"")</f>
        <v>0</v>
      </c>
      <c r="BU49" s="34">
        <f ca="1">IFERROR(SUMIFS('TRA balance'!V$5:V$40,'TRA balance'!$C$5:$C$40,Assumptions!$C49,'TRA balance'!$D$5:$D$40,Assumptions!$B49)*DP49*Y49,"")</f>
        <v>0</v>
      </c>
      <c r="BV49" s="34">
        <f ca="1">IFERROR(SUMIFS('TRA balance'!W$5:W$40,'TRA balance'!$C$5:$C$40,Assumptions!$C49,'TRA balance'!$D$5:$D$40,Assumptions!$B49)*DQ49*Z49,"")</f>
        <v>0</v>
      </c>
      <c r="BW49" s="34">
        <f ca="1">IFERROR(SUMIFS('TRA balance'!X$5:X$40,'TRA balance'!$C$5:$C$40,Assumptions!$C49,'TRA balance'!$D$5:$D$40,Assumptions!$B49)*DR49*AA49,"")</f>
        <v>0</v>
      </c>
      <c r="BX49" s="34">
        <f ca="1">IFERROR(SUMIFS('TRA balance'!Y$5:Y$40,'TRA balance'!$C$5:$C$40,Assumptions!$C49,'TRA balance'!$D$5:$D$40,Assumptions!$B49)*DS49*AB49,"")</f>
        <v>0</v>
      </c>
      <c r="BY49" s="34">
        <f ca="1">IFERROR(SUMIFS('TRA balance'!Z$5:Z$40,'TRA balance'!$C$5:$C$40,Assumptions!$C49,'TRA balance'!$D$5:$D$40,Assumptions!$B49)*DT49*AC49,"")</f>
        <v>0</v>
      </c>
      <c r="BZ49" s="34">
        <f ca="1">IFERROR(SUMIFS('TRA balance'!AA$5:AA$40,'TRA balance'!$C$5:$C$40,Assumptions!$C49,'TRA balance'!$D$5:$D$40,Assumptions!$B49)*DU49*AD49,"")</f>
        <v>0</v>
      </c>
      <c r="CA49" s="34">
        <f ca="1">IFERROR(SUMIFS('TRA balance'!AB$5:AB$40,'TRA balance'!$C$5:$C$40,Assumptions!$C49,'TRA balance'!$D$5:$D$40,Assumptions!$B49)*DV49*AE49,"")</f>
        <v>0</v>
      </c>
      <c r="CB49" s="34">
        <f ca="1">IFERROR(SUMIFS('TRA balance'!AC$5:AC$40,'TRA balance'!$C$5:$C$40,Assumptions!$C49,'TRA balance'!$D$5:$D$40,Assumptions!$B49)*DW49*AF49,"")</f>
        <v>0</v>
      </c>
      <c r="CC49" s="34">
        <f ca="1">IFERROR(SUMIFS('TRA balance'!AD$5:AD$40,'TRA balance'!$C$5:$C$40,Assumptions!$C49,'TRA balance'!$D$5:$D$40,Assumptions!$B49)*DX49*AG49,"")</f>
        <v>0</v>
      </c>
      <c r="CD49" s="34">
        <f ca="1">IFERROR(SUMIFS('TRA balance'!AE$5:AE$40,'TRA balance'!$C$5:$C$40,Assumptions!$C49,'TRA balance'!$D$5:$D$40,Assumptions!$B49)*DY49*AH49,"")</f>
        <v>0</v>
      </c>
      <c r="CE49" s="34">
        <f ca="1">IFERROR(SUMIFS('TRA balance'!AF$5:AF$40,'TRA balance'!$C$5:$C$40,Assumptions!$C49,'TRA balance'!$D$5:$D$40,Assumptions!$B49)*DZ49*AI49,"")</f>
        <v>0</v>
      </c>
      <c r="CF49" s="34">
        <f ca="1">IFERROR(SUMIFS('TRA balance'!AG$5:AG$40,'TRA balance'!$C$5:$C$40,Assumptions!$C49,'TRA balance'!$D$5:$D$40,Assumptions!$B49)*EA49*AJ49,"")</f>
        <v>0</v>
      </c>
      <c r="CG49" s="34">
        <f ca="1">IFERROR(SUMIFS('TRA balance'!AH$5:AH$40,'TRA balance'!$C$5:$C$40,Assumptions!$C49,'TRA balance'!$D$5:$D$40,Assumptions!$B49)*EB49*AK49,"")</f>
        <v>0</v>
      </c>
      <c r="CH49" s="34">
        <f ca="1">IFERROR(SUMIFS('TRA balance'!AI$5:AI$40,'TRA balance'!$C$5:$C$40,Assumptions!$C49,'TRA balance'!$D$5:$D$40,Assumptions!$B49)*EC49*AL49,"")</f>
        <v>0</v>
      </c>
      <c r="CI49" s="34">
        <f ca="1">IFERROR(SUMIFS('TRA balance'!AJ$5:AJ$40,'TRA balance'!$C$5:$C$40,Assumptions!$C49,'TRA balance'!$D$5:$D$40,Assumptions!$B49)*ED49*AM49,"")</f>
        <v>0</v>
      </c>
      <c r="CJ49" s="34">
        <f ca="1">IFERROR(SUMIFS('TRA balance'!AK$5:AK$40,'TRA balance'!$C$5:$C$40,Assumptions!$C49,'TRA balance'!$D$5:$D$40,Assumptions!$B49)*EE49*AN49,"")</f>
        <v>0</v>
      </c>
      <c r="CK49" s="34">
        <f ca="1">IFERROR(SUMIFS('TRA balance'!AL$5:AL$40,'TRA balance'!$C$5:$C$40,Assumptions!$C49,'TRA balance'!$D$5:$D$40,Assumptions!$B49)*EF49*AO49,"")</f>
        <v>0</v>
      </c>
      <c r="CL49" s="34">
        <f ca="1">IFERROR(SUMIFS('TRA balance'!AM$5:AM$40,'TRA balance'!$C$5:$C$40,Assumptions!$C49,'TRA balance'!$D$5:$D$40,Assumptions!$B49)*EG49*AP49,"")</f>
        <v>0</v>
      </c>
      <c r="CM49" s="34">
        <f ca="1">IFERROR(SUMIFS('TRA balance'!AN$5:AN$40,'TRA balance'!$C$5:$C$40,Assumptions!$C49,'TRA balance'!$D$5:$D$40,Assumptions!$B49)*EH49*AQ49,"")</f>
        <v>0</v>
      </c>
      <c r="CN49" s="34">
        <f ca="1">IFERROR(SUMIFS('TRA balance'!AO$5:AO$40,'TRA balance'!$C$5:$C$40,Assumptions!$C49,'TRA balance'!$D$5:$D$40,Assumptions!$B49)*EI49*AR49,"")</f>
        <v>0</v>
      </c>
      <c r="CO49" s="34">
        <f ca="1">IFERROR(SUMIFS('TRA balance'!AP$5:AP$40,'TRA balance'!$C$5:$C$40,Assumptions!$C49,'TRA balance'!$D$5:$D$40,Assumptions!$B49)*EJ49*AS49,"")</f>
        <v>0</v>
      </c>
      <c r="CP49" s="34">
        <f ca="1">IFERROR(SUMIFS('TRA balance'!AQ$5:AQ$40,'TRA balance'!$C$5:$C$40,Assumptions!$C49,'TRA balance'!$D$5:$D$40,Assumptions!$B49)*EK49*AT49,"")</f>
        <v>0</v>
      </c>
      <c r="CQ49" s="34">
        <f ca="1">IFERROR(SUMIFS('TRA balance'!AR$5:AR$40,'TRA balance'!$C$5:$C$40,Assumptions!$C49,'TRA balance'!$D$5:$D$40,Assumptions!$B49)*EL49*AU49,"")</f>
        <v>0</v>
      </c>
      <c r="CR49" s="34">
        <f ca="1">IFERROR(SUMIFS('TRA balance'!AS$5:AS$40,'TRA balance'!$C$5:$C$40,Assumptions!$C49,'TRA balance'!$D$5:$D$40,Assumptions!$B49)*EM49*AV49,"")</f>
        <v>0</v>
      </c>
      <c r="CS49" s="34">
        <f ca="1">IFERROR(SUMIFS('TRA balance'!AT$5:AT$40,'TRA balance'!$C$5:$C$40,Assumptions!$C49,'TRA balance'!$D$5:$D$40,Assumptions!$B49)*EN49*AW49,"")</f>
        <v>0</v>
      </c>
      <c r="CT49" s="34">
        <f ca="1">IFERROR(SUMIFS('TRA balance'!AU$5:AU$40,'TRA balance'!$C$5:$C$40,Assumptions!$C49,'TRA balance'!$D$5:$D$40,Assumptions!$B49)*EO49*AX49,"")</f>
        <v>0</v>
      </c>
      <c r="CU49" s="34">
        <f ca="1">IFERROR(SUMIFS('TRA balance'!AV$5:AV$40,'TRA balance'!$C$5:$C$40,Assumptions!$C49,'TRA balance'!$D$5:$D$40,Assumptions!$B49)*EP49*AY49,"")</f>
        <v>0</v>
      </c>
      <c r="CV49" s="34">
        <f ca="1">IFERROR(SUMIFS('TRA balance'!AW$5:AW$40,'TRA balance'!$C$5:$C$40,Assumptions!$C49,'TRA balance'!$D$5:$D$40,Assumptions!$B49)*EQ49*AZ49,"")</f>
        <v>0</v>
      </c>
      <c r="CW49" s="34">
        <f ca="1">IFERROR(SUMIFS('TRA balance'!AX$5:AX$40,'TRA balance'!$C$5:$C$40,Assumptions!$C49,'TRA balance'!$D$5:$D$40,Assumptions!$B49)*ER49*BA49,"")</f>
        <v>0</v>
      </c>
      <c r="CY49" s="33">
        <f t="shared" si="66"/>
        <v>1</v>
      </c>
      <c r="CZ49" s="33">
        <f t="shared" si="3"/>
        <v>1</v>
      </c>
      <c r="DA49" s="33">
        <f t="shared" si="4"/>
        <v>1</v>
      </c>
      <c r="DB49" s="33">
        <f t="shared" si="5"/>
        <v>1</v>
      </c>
      <c r="DC49" s="33">
        <f t="shared" si="6"/>
        <v>1</v>
      </c>
      <c r="DD49" s="33">
        <f t="shared" si="7"/>
        <v>1</v>
      </c>
      <c r="DE49" s="33">
        <f t="shared" si="8"/>
        <v>1</v>
      </c>
      <c r="DF49" s="33">
        <f t="shared" si="9"/>
        <v>1</v>
      </c>
      <c r="DG49" s="33">
        <f t="shared" si="10"/>
        <v>1</v>
      </c>
      <c r="DH49" s="33">
        <f t="shared" si="11"/>
        <v>1</v>
      </c>
      <c r="DI49" s="33">
        <f t="shared" si="12"/>
        <v>1</v>
      </c>
      <c r="DJ49" s="33">
        <f t="shared" si="13"/>
        <v>1</v>
      </c>
      <c r="DK49" s="33">
        <f t="shared" si="14"/>
        <v>1</v>
      </c>
      <c r="DL49" s="33">
        <f t="shared" si="15"/>
        <v>1</v>
      </c>
      <c r="DM49" s="33">
        <f t="shared" si="16"/>
        <v>1</v>
      </c>
      <c r="DN49" s="33">
        <f t="shared" si="17"/>
        <v>1</v>
      </c>
      <c r="DO49" s="33">
        <f t="shared" si="18"/>
        <v>1</v>
      </c>
      <c r="DP49" s="33">
        <f t="shared" si="19"/>
        <v>1</v>
      </c>
      <c r="DQ49" s="33">
        <f t="shared" si="20"/>
        <v>1</v>
      </c>
      <c r="DR49" s="33">
        <f t="shared" si="21"/>
        <v>1</v>
      </c>
      <c r="DS49" s="33">
        <f t="shared" si="22"/>
        <v>1</v>
      </c>
      <c r="DT49" s="33">
        <f t="shared" si="23"/>
        <v>1</v>
      </c>
      <c r="DU49" s="33">
        <f t="shared" si="24"/>
        <v>1</v>
      </c>
      <c r="DV49" s="33">
        <f t="shared" si="25"/>
        <v>1</v>
      </c>
      <c r="DW49" s="33">
        <f t="shared" si="26"/>
        <v>1</v>
      </c>
      <c r="DX49" s="33">
        <f t="shared" si="27"/>
        <v>1</v>
      </c>
      <c r="DY49" s="33">
        <f t="shared" si="28"/>
        <v>1</v>
      </c>
      <c r="DZ49" s="33">
        <f t="shared" si="29"/>
        <v>1</v>
      </c>
      <c r="EA49" s="33">
        <f t="shared" si="30"/>
        <v>1</v>
      </c>
      <c r="EB49" s="33">
        <f t="shared" si="31"/>
        <v>1</v>
      </c>
      <c r="EC49" s="33">
        <f t="shared" si="32"/>
        <v>1</v>
      </c>
      <c r="ED49" s="33">
        <f t="shared" si="33"/>
        <v>1</v>
      </c>
      <c r="EE49" s="33">
        <f t="shared" si="34"/>
        <v>1</v>
      </c>
      <c r="EF49" s="33">
        <f t="shared" si="35"/>
        <v>1</v>
      </c>
      <c r="EG49" s="33">
        <f t="shared" si="36"/>
        <v>1</v>
      </c>
      <c r="EH49" s="33">
        <f t="shared" si="37"/>
        <v>1</v>
      </c>
      <c r="EI49" s="33">
        <f t="shared" si="38"/>
        <v>1</v>
      </c>
      <c r="EJ49" s="33">
        <f t="shared" si="39"/>
        <v>1</v>
      </c>
      <c r="EK49" s="33">
        <f t="shared" si="40"/>
        <v>1</v>
      </c>
      <c r="EL49" s="33">
        <f t="shared" si="41"/>
        <v>1</v>
      </c>
      <c r="EM49" s="33">
        <f t="shared" si="42"/>
        <v>1</v>
      </c>
      <c r="EN49" s="33">
        <f t="shared" si="43"/>
        <v>1</v>
      </c>
      <c r="EO49" s="33">
        <f t="shared" si="44"/>
        <v>1</v>
      </c>
      <c r="EP49" s="33">
        <f t="shared" si="45"/>
        <v>1</v>
      </c>
      <c r="EQ49" s="33">
        <f t="shared" si="46"/>
        <v>1</v>
      </c>
      <c r="ER49" s="33">
        <f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6" t="str">
        <f t="shared" si="48"/>
        <v>TT</v>
      </c>
      <c r="D50" s="7" t="s">
        <v>17</v>
      </c>
      <c r="E50" s="7" t="s">
        <v>56</v>
      </c>
      <c r="F50" s="8" t="str">
        <f t="shared" si="74"/>
        <v>Liquified Petroleum Gases</v>
      </c>
      <c r="G50" s="6" t="s">
        <v>57</v>
      </c>
      <c r="H50" s="9">
        <f ca="1">OFFSET(TIAM15_assumptions!$G50,0,MATCH(VLOOKUP(Assumptions!H$2,TIAM15_assumptions!$Y$3:$Z$87,2,FALSE),TIAM15_assumptions!$H$2:$V$2,0))</f>
        <v>0</v>
      </c>
      <c r="I50" s="9">
        <f ca="1">OFFSET(TIAM15_assumptions!$G50,0,MATCH(VLOOKUP(Assumptions!I$2,TIAM15_assumptions!$Y$3:$Z$87,2,FALSE),TIAM15_assumptions!$H$2:$V$2,0))</f>
        <v>0</v>
      </c>
      <c r="J50" s="9">
        <f ca="1">OFFSET(TIAM15_assumptions!$G50,0,MATCH(VLOOKUP(Assumptions!J$2,TIAM15_assumptions!$Y$3:$Z$87,2,FALSE),TIAM15_assumptions!$H$2:$V$2,0))</f>
        <v>0.5</v>
      </c>
      <c r="K50" s="9">
        <f ca="1">OFFSET(TIAM15_assumptions!$G50,0,MATCH(VLOOKUP(Assumptions!K$2,TIAM15_assumptions!$Y$3:$Z$87,2,FALSE),TIAM15_assumptions!$H$2:$V$2,0))</f>
        <v>0</v>
      </c>
      <c r="L50" s="9">
        <f ca="1">OFFSET(TIAM15_assumptions!$G50,0,MATCH(VLOOKUP(Assumptions!L$2,TIAM15_assumptions!$Y$3:$Z$87,2,FALSE),TIAM15_assumptions!$H$2:$V$2,0))</f>
        <v>0</v>
      </c>
      <c r="M50" s="9">
        <f ca="1">OFFSET(TIAM15_assumptions!$G50,0,MATCH(VLOOKUP(Assumptions!M$2,TIAM15_assumptions!$Y$3:$Z$87,2,FALSE),TIAM15_assumptions!$H$2:$V$2,0))</f>
        <v>0</v>
      </c>
      <c r="N50" s="9">
        <f ca="1">OFFSET(TIAM15_assumptions!$G50,0,MATCH(VLOOKUP(Assumptions!N$2,TIAM15_assumptions!$Y$3:$Z$87,2,FALSE),TIAM15_assumptions!$H$2:$V$2,0))</f>
        <v>0</v>
      </c>
      <c r="O50" s="9">
        <f ca="1">OFFSET(TIAM15_assumptions!$G50,0,MATCH(VLOOKUP(Assumptions!O$2,TIAM15_assumptions!$Y$3:$Z$87,2,FALSE),TIAM15_assumptions!$H$2:$V$2,0))</f>
        <v>0.5</v>
      </c>
      <c r="P50" s="9">
        <f ca="1">OFFSET(TIAM15_assumptions!$G50,0,MATCH(VLOOKUP(Assumptions!P$2,TIAM15_assumptions!$Y$3:$Z$87,2,FALSE),TIAM15_assumptions!$H$2:$V$2,0))</f>
        <v>0</v>
      </c>
      <c r="Q50" s="9">
        <f ca="1">OFFSET(TIAM15_assumptions!$G50,0,MATCH(VLOOKUP(Assumptions!Q$2,TIAM15_assumptions!$Y$3:$Z$87,2,FALSE),TIAM15_assumptions!$H$2:$V$2,0))</f>
        <v>0</v>
      </c>
      <c r="R50" s="9">
        <f ca="1">OFFSET(TIAM15_assumptions!$G50,0,MATCH(VLOOKUP(Assumptions!R$2,TIAM15_assumptions!$Y$3:$Z$87,2,FALSE),TIAM15_assumptions!$H$2:$V$2,0))</f>
        <v>0</v>
      </c>
      <c r="S50" s="9">
        <f ca="1">OFFSET(TIAM15_assumptions!$G50,0,MATCH(VLOOKUP(Assumptions!S$2,TIAM15_assumptions!$Y$3:$Z$87,2,FALSE),TIAM15_assumptions!$H$2:$V$2,0))</f>
        <v>0</v>
      </c>
      <c r="T50" s="9">
        <f ca="1">OFFSET(TIAM15_assumptions!$G50,0,MATCH(VLOOKUP(Assumptions!T$2,TIAM15_assumptions!$Y$3:$Z$87,2,FALSE),TIAM15_assumptions!$H$2:$V$2,0))</f>
        <v>0</v>
      </c>
      <c r="U50" s="9">
        <f ca="1">OFFSET(TIAM15_assumptions!$G50,0,MATCH(VLOOKUP(Assumptions!U$2,TIAM15_assumptions!$Y$3:$Z$87,2,FALSE),TIAM15_assumptions!$H$2:$V$2,0))</f>
        <v>0</v>
      </c>
      <c r="V50" s="9">
        <f ca="1">OFFSET(TIAM15_assumptions!$G50,0,MATCH(VLOOKUP(Assumptions!V$2,TIAM15_assumptions!$Y$3:$Z$87,2,FALSE),TIAM15_assumptions!$H$2:$V$2,0))</f>
        <v>0</v>
      </c>
      <c r="W50" s="9">
        <f ca="1">OFFSET(TIAM15_assumptions!$G50,0,MATCH(VLOOKUP(Assumptions!W$2,TIAM15_assumptions!$Y$3:$Z$87,2,FALSE),TIAM15_assumptions!$H$2:$V$2,0))</f>
        <v>0.5</v>
      </c>
      <c r="X50" s="9">
        <f ca="1">OFFSET(TIAM15_assumptions!$G50,0,MATCH(VLOOKUP(Assumptions!X$2,TIAM15_assumptions!$Y$3:$Z$87,2,FALSE),TIAM15_assumptions!$H$2:$V$2,0))</f>
        <v>0</v>
      </c>
      <c r="Y50" s="9">
        <f ca="1">OFFSET(TIAM15_assumptions!$G50,0,MATCH(VLOOKUP(Assumptions!Y$2,TIAM15_assumptions!$Y$3:$Z$87,2,FALSE),TIAM15_assumptions!$H$2:$V$2,0))</f>
        <v>0</v>
      </c>
      <c r="Z50" s="9">
        <f ca="1">OFFSET(TIAM15_assumptions!$G50,0,MATCH(VLOOKUP(Assumptions!Z$2,TIAM15_assumptions!$Y$3:$Z$87,2,FALSE),TIAM15_assumptions!$H$2:$V$2,0))</f>
        <v>0.93</v>
      </c>
      <c r="AA50" s="9">
        <f ca="1">OFFSET(TIAM15_assumptions!$G50,0,MATCH(VLOOKUP(Assumptions!AA$2,TIAM15_assumptions!$Y$3:$Z$87,2,FALSE),TIAM15_assumptions!$H$2:$V$2,0))</f>
        <v>0</v>
      </c>
      <c r="AB50" s="9">
        <f ca="1">OFFSET(TIAM15_assumptions!$G50,0,MATCH(VLOOKUP(Assumptions!AB$2,TIAM15_assumptions!$Y$3:$Z$87,2,FALSE),TIAM15_assumptions!$H$2:$V$2,0))</f>
        <v>0</v>
      </c>
      <c r="AC50" s="9">
        <f ca="1">OFFSET(TIAM15_assumptions!$G50,0,MATCH(VLOOKUP(Assumptions!AC$2,TIAM15_assumptions!$Y$3:$Z$87,2,FALSE),TIAM15_assumptions!$H$2:$V$2,0))</f>
        <v>0.5</v>
      </c>
      <c r="AD50" s="9">
        <f ca="1">OFFSET(TIAM15_assumptions!$G50,0,MATCH(VLOOKUP(Assumptions!AD$2,TIAM15_assumptions!$Y$3:$Z$87,2,FALSE),TIAM15_assumptions!$H$2:$V$2,0))</f>
        <v>0</v>
      </c>
      <c r="AE50" s="9">
        <f ca="1">OFFSET(TIAM15_assumptions!$G50,0,MATCH(VLOOKUP(Assumptions!AE$2,TIAM15_assumptions!$Y$3:$Z$87,2,FALSE),TIAM15_assumptions!$H$2:$V$2,0))</f>
        <v>0</v>
      </c>
      <c r="AF50" s="9">
        <f ca="1">OFFSET(TIAM15_assumptions!$G50,0,MATCH(VLOOKUP(Assumptions!AF$2,TIAM15_assumptions!$Y$3:$Z$87,2,FALSE),TIAM15_assumptions!$H$2:$V$2,0))</f>
        <v>0.5</v>
      </c>
      <c r="AG50" s="9">
        <f ca="1">OFFSET(TIAM15_assumptions!$G50,0,MATCH(VLOOKUP(Assumptions!AG$2,TIAM15_assumptions!$Y$3:$Z$87,2,FALSE),TIAM15_assumptions!$H$2:$V$2,0))</f>
        <v>0</v>
      </c>
      <c r="AH50" s="9">
        <f ca="1">OFFSET(TIAM15_assumptions!$G50,0,MATCH(VLOOKUP(Assumptions!AH$2,TIAM15_assumptions!$Y$3:$Z$87,2,FALSE),TIAM15_assumptions!$H$2:$V$2,0))</f>
        <v>0</v>
      </c>
      <c r="AI50" s="9">
        <f ca="1">OFFSET(TIAM15_assumptions!$G50,0,MATCH(VLOOKUP(Assumptions!AI$2,TIAM15_assumptions!$Y$3:$Z$87,2,FALSE),TIAM15_assumptions!$H$2:$V$2,0))</f>
        <v>0</v>
      </c>
      <c r="AJ50" s="9">
        <f ca="1">OFFSET(TIAM15_assumptions!$G50,0,MATCH(VLOOKUP(Assumptions!AJ$2,TIAM15_assumptions!$Y$3:$Z$87,2,FALSE),TIAM15_assumptions!$H$2:$V$2,0))</f>
        <v>0</v>
      </c>
      <c r="AK50" s="9">
        <f ca="1">OFFSET(TIAM15_assumptions!$G50,0,MATCH(VLOOKUP(Assumptions!AK$2,TIAM15_assumptions!$Y$3:$Z$87,2,FALSE),TIAM15_assumptions!$H$2:$V$2,0))</f>
        <v>0</v>
      </c>
      <c r="AL50" s="9">
        <f ca="1">OFFSET(TIAM15_assumptions!$G50,0,MATCH(VLOOKUP(Assumptions!AL$2,TIAM15_assumptions!$Y$3:$Z$87,2,FALSE),TIAM15_assumptions!$H$2:$V$2,0))</f>
        <v>0</v>
      </c>
      <c r="AM50" s="9">
        <f ca="1">OFFSET(TIAM15_assumptions!$G50,0,MATCH(VLOOKUP(Assumptions!AM$2,TIAM15_assumptions!$Y$3:$Z$87,2,FALSE),TIAM15_assumptions!$H$2:$V$2,0))</f>
        <v>0</v>
      </c>
      <c r="AN50" s="9">
        <f ca="1">OFFSET(TIAM15_assumptions!$G50,0,MATCH(VLOOKUP(Assumptions!AN$2,TIAM15_assumptions!$Y$3:$Z$87,2,FALSE),TIAM15_assumptions!$H$2:$V$2,0))</f>
        <v>0</v>
      </c>
      <c r="AO50" s="9">
        <f ca="1">OFFSET(TIAM15_assumptions!$G50,0,MATCH(VLOOKUP(Assumptions!AO$2,TIAM15_assumptions!$Y$3:$Z$87,2,FALSE),TIAM15_assumptions!$H$2:$V$2,0))</f>
        <v>0</v>
      </c>
      <c r="AP50" s="9">
        <f ca="1">OFFSET(TIAM15_assumptions!$G50,0,MATCH(VLOOKUP(Assumptions!AP$2,TIAM15_assumptions!$Y$3:$Z$87,2,FALSE),TIAM15_assumptions!$H$2:$V$2,0))</f>
        <v>0</v>
      </c>
      <c r="AQ50" s="9">
        <f ca="1">OFFSET(TIAM15_assumptions!$G50,0,MATCH(VLOOKUP(Assumptions!AQ$2,TIAM15_assumptions!$Y$3:$Z$87,2,FALSE),TIAM15_assumptions!$H$2:$V$2,0))</f>
        <v>0.5</v>
      </c>
      <c r="AR50" s="9">
        <f ca="1">OFFSET(TIAM15_assumptions!$G50,0,MATCH(VLOOKUP(Assumptions!AR$2,TIAM15_assumptions!$Y$3:$Z$87,2,FALSE),TIAM15_assumptions!$H$2:$V$2,0))</f>
        <v>0.5</v>
      </c>
      <c r="AS50" s="9">
        <f ca="1">OFFSET(TIAM15_assumptions!$G50,0,MATCH(VLOOKUP(Assumptions!AS$2,TIAM15_assumptions!$Y$3:$Z$87,2,FALSE),TIAM15_assumptions!$H$2:$V$2,0))</f>
        <v>0.5</v>
      </c>
      <c r="AT50" s="9">
        <f ca="1">OFFSET(TIAM15_assumptions!$G50,0,MATCH(VLOOKUP(Assumptions!AT$2,TIAM15_assumptions!$Y$3:$Z$87,2,FALSE),TIAM15_assumptions!$H$2:$V$2,0))</f>
        <v>0.5</v>
      </c>
      <c r="AU50" s="9">
        <f ca="1">OFFSET(TIAM15_assumptions!$G50,0,MATCH(VLOOKUP(Assumptions!AU$2,TIAM15_assumptions!$Y$3:$Z$87,2,FALSE),TIAM15_assumptions!$H$2:$V$2,0))</f>
        <v>0.5</v>
      </c>
      <c r="AV50" s="9">
        <f ca="1">OFFSET(TIAM15_assumptions!$G50,0,MATCH(VLOOKUP(Assumptions!AV$2,TIAM15_assumptions!$Y$3:$Z$87,2,FALSE),TIAM15_assumptions!$H$2:$V$2,0))</f>
        <v>0.5</v>
      </c>
      <c r="AW50" s="9">
        <f ca="1">OFFSET(TIAM15_assumptions!$G50,0,MATCH(VLOOKUP(Assumptions!AW$2,TIAM15_assumptions!$Y$3:$Z$87,2,FALSE),TIAM15_assumptions!$H$2:$V$2,0))</f>
        <v>0.5</v>
      </c>
      <c r="AX50" s="9">
        <f ca="1">OFFSET(TIAM15_assumptions!$G50,0,MATCH(VLOOKUP(Assumptions!AX$2,TIAM15_assumptions!$Y$3:$Z$87,2,FALSE),TIAM15_assumptions!$H$2:$V$2,0))</f>
        <v>0.5</v>
      </c>
      <c r="AY50" s="9">
        <f ca="1">OFFSET(TIAM15_assumptions!$G50,0,MATCH(VLOOKUP(Assumptions!AY$2,TIAM15_assumptions!$Y$3:$Z$87,2,FALSE),TIAM15_assumptions!$H$2:$V$2,0))</f>
        <v>0.5</v>
      </c>
      <c r="AZ50" s="9">
        <f ca="1">OFFSET(TIAM15_assumptions!$G50,0,MATCH(VLOOKUP(Assumptions!AZ$2,TIAM15_assumptions!$Y$3:$Z$87,2,FALSE),TIAM15_assumptions!$H$2:$V$2,0))</f>
        <v>0.5</v>
      </c>
      <c r="BA50" s="9">
        <f ca="1">OFFSET(TIAM15_assumptions!$G50,0,MATCH(VLOOKUP(Assumptions!BA$2,TIAM15_assumptions!$Y$3:$Z$87,2,FALSE),TIAM15_assumptions!$H$2:$V$2,0))</f>
        <v>0.5</v>
      </c>
      <c r="BD50" s="34">
        <f ca="1">IFERROR(SUMIFS('TRA balance'!E$5:E$40,'TRA balance'!$C$5:$C$40,Assumptions!$C50,'TRA balance'!$D$5:$D$40,Assumptions!$B50)*CY50*H50,"")</f>
        <v>0</v>
      </c>
      <c r="BE50" s="34">
        <f ca="1">IFERROR(SUMIFS('TRA balance'!F$5:F$40,'TRA balance'!$C$5:$C$40,Assumptions!$C50,'TRA balance'!$D$5:$D$40,Assumptions!$B50)*CZ50*I50,"")</f>
        <v>0</v>
      </c>
      <c r="BF50" s="34">
        <f ca="1">IFERROR(SUMIFS('TRA balance'!G$5:G$40,'TRA balance'!$C$5:$C$40,Assumptions!$C50,'TRA balance'!$D$5:$D$40,Assumptions!$B50)*DA50*J50,"")</f>
        <v>0</v>
      </c>
      <c r="BG50" s="34">
        <f ca="1">IFERROR(SUMIFS('TRA balance'!H$5:H$40,'TRA balance'!$C$5:$C$40,Assumptions!$C50,'TRA balance'!$D$5:$D$40,Assumptions!$B50)*DB50*K50,"")</f>
        <v>0</v>
      </c>
      <c r="BH50" s="34">
        <f ca="1">IFERROR(SUMIFS('TRA balance'!I$5:I$40,'TRA balance'!$C$5:$C$40,Assumptions!$C50,'TRA balance'!$D$5:$D$40,Assumptions!$B50)*DC50*L50,"")</f>
        <v>0</v>
      </c>
      <c r="BI50" s="34">
        <f ca="1">IFERROR(SUMIFS('TRA balance'!J$5:J$40,'TRA balance'!$C$5:$C$40,Assumptions!$C50,'TRA balance'!$D$5:$D$40,Assumptions!$B50)*DD50*M50,"")</f>
        <v>0</v>
      </c>
      <c r="BJ50" s="34">
        <f ca="1">IFERROR(SUMIFS('TRA balance'!K$5:K$40,'TRA balance'!$C$5:$C$40,Assumptions!$C50,'TRA balance'!$D$5:$D$40,Assumptions!$B50)*DE50*N50,"")</f>
        <v>0</v>
      </c>
      <c r="BK50" s="34">
        <f ca="1">IFERROR(SUMIFS('TRA balance'!L$5:L$40,'TRA balance'!$C$5:$C$40,Assumptions!$C50,'TRA balance'!$D$5:$D$40,Assumptions!$B50)*DF50*O50,"")</f>
        <v>0</v>
      </c>
      <c r="BL50" s="34">
        <f ca="1">IFERROR(SUMIFS('TRA balance'!M$5:M$40,'TRA balance'!$C$5:$C$40,Assumptions!$C50,'TRA balance'!$D$5:$D$40,Assumptions!$B50)*DG50*P50,"")</f>
        <v>0</v>
      </c>
      <c r="BM50" s="34">
        <f ca="1">IFERROR(SUMIFS('TRA balance'!N$5:N$40,'TRA balance'!$C$5:$C$40,Assumptions!$C50,'TRA balance'!$D$5:$D$40,Assumptions!$B50)*DH50*Q50,"")</f>
        <v>0</v>
      </c>
      <c r="BN50" s="34">
        <f ca="1">IFERROR(SUMIFS('TRA balance'!O$5:O$40,'TRA balance'!$C$5:$C$40,Assumptions!$C50,'TRA balance'!$D$5:$D$40,Assumptions!$B50)*DI50*R50,"")</f>
        <v>0</v>
      </c>
      <c r="BO50" s="34">
        <f ca="1">IFERROR(SUMIFS('TRA balance'!P$5:P$40,'TRA balance'!$C$5:$C$40,Assumptions!$C50,'TRA balance'!$D$5:$D$40,Assumptions!$B50)*DJ50*S50,"")</f>
        <v>0</v>
      </c>
      <c r="BP50" s="34">
        <f ca="1">IFERROR(SUMIFS('TRA balance'!Q$5:Q$40,'TRA balance'!$C$5:$C$40,Assumptions!$C50,'TRA balance'!$D$5:$D$40,Assumptions!$B50)*DK50*T50,"")</f>
        <v>0</v>
      </c>
      <c r="BQ50" s="34">
        <f ca="1">IFERROR(SUMIFS('TRA balance'!R$5:R$40,'TRA balance'!$C$5:$C$40,Assumptions!$C50,'TRA balance'!$D$5:$D$40,Assumptions!$B50)*DL50*U50,"")</f>
        <v>0</v>
      </c>
      <c r="BR50" s="34">
        <f ca="1">IFERROR(SUMIFS('TRA balance'!S$5:S$40,'TRA balance'!$C$5:$C$40,Assumptions!$C50,'TRA balance'!$D$5:$D$40,Assumptions!$B50)*DM50*V50,"")</f>
        <v>0</v>
      </c>
      <c r="BS50" s="34">
        <f ca="1">IFERROR(SUMIFS('TRA balance'!T$5:T$40,'TRA balance'!$C$5:$C$40,Assumptions!$C50,'TRA balance'!$D$5:$D$40,Assumptions!$B50)*DN50*W50,"")</f>
        <v>0</v>
      </c>
      <c r="BT50" s="34">
        <f ca="1">IFERROR(SUMIFS('TRA balance'!U$5:U$40,'TRA balance'!$C$5:$C$40,Assumptions!$C50,'TRA balance'!$D$5:$D$40,Assumptions!$B50)*DO50*X50,"")</f>
        <v>0</v>
      </c>
      <c r="BU50" s="34">
        <f ca="1">IFERROR(SUMIFS('TRA balance'!V$5:V$40,'TRA balance'!$C$5:$C$40,Assumptions!$C50,'TRA balance'!$D$5:$D$40,Assumptions!$B50)*DP50*Y50,"")</f>
        <v>0</v>
      </c>
      <c r="BV50" s="34">
        <f ca="1">IFERROR(SUMIFS('TRA balance'!W$5:W$40,'TRA balance'!$C$5:$C$40,Assumptions!$C50,'TRA balance'!$D$5:$D$40,Assumptions!$B50)*DQ50*Z50,"")</f>
        <v>0</v>
      </c>
      <c r="BW50" s="34">
        <f ca="1">IFERROR(SUMIFS('TRA balance'!X$5:X$40,'TRA balance'!$C$5:$C$40,Assumptions!$C50,'TRA balance'!$D$5:$D$40,Assumptions!$B50)*DR50*AA50,"")</f>
        <v>0</v>
      </c>
      <c r="BX50" s="34">
        <f ca="1">IFERROR(SUMIFS('TRA balance'!Y$5:Y$40,'TRA balance'!$C$5:$C$40,Assumptions!$C50,'TRA balance'!$D$5:$D$40,Assumptions!$B50)*DS50*AB50,"")</f>
        <v>0</v>
      </c>
      <c r="BY50" s="34">
        <f ca="1">IFERROR(SUMIFS('TRA balance'!Z$5:Z$40,'TRA balance'!$C$5:$C$40,Assumptions!$C50,'TRA balance'!$D$5:$D$40,Assumptions!$B50)*DT50*AC50,"")</f>
        <v>0</v>
      </c>
      <c r="BZ50" s="34">
        <f ca="1">IFERROR(SUMIFS('TRA balance'!AA$5:AA$40,'TRA balance'!$C$5:$C$40,Assumptions!$C50,'TRA balance'!$D$5:$D$40,Assumptions!$B50)*DU50*AD50,"")</f>
        <v>0</v>
      </c>
      <c r="CA50" s="34">
        <f ca="1">IFERROR(SUMIFS('TRA balance'!AB$5:AB$40,'TRA balance'!$C$5:$C$40,Assumptions!$C50,'TRA balance'!$D$5:$D$40,Assumptions!$B50)*DV50*AE50,"")</f>
        <v>0</v>
      </c>
      <c r="CB50" s="34">
        <f ca="1">IFERROR(SUMIFS('TRA balance'!AC$5:AC$40,'TRA balance'!$C$5:$C$40,Assumptions!$C50,'TRA balance'!$D$5:$D$40,Assumptions!$B50)*DW50*AF50,"")</f>
        <v>0</v>
      </c>
      <c r="CC50" s="34">
        <f ca="1">IFERROR(SUMIFS('TRA balance'!AD$5:AD$40,'TRA balance'!$C$5:$C$40,Assumptions!$C50,'TRA balance'!$D$5:$D$40,Assumptions!$B50)*DX50*AG50,"")</f>
        <v>0</v>
      </c>
      <c r="CD50" s="34">
        <f ca="1">IFERROR(SUMIFS('TRA balance'!AE$5:AE$40,'TRA balance'!$C$5:$C$40,Assumptions!$C50,'TRA balance'!$D$5:$D$40,Assumptions!$B50)*DY50*AH50,"")</f>
        <v>0</v>
      </c>
      <c r="CE50" s="34">
        <f ca="1">IFERROR(SUMIFS('TRA balance'!AF$5:AF$40,'TRA balance'!$C$5:$C$40,Assumptions!$C50,'TRA balance'!$D$5:$D$40,Assumptions!$B50)*DZ50*AI50,"")</f>
        <v>0</v>
      </c>
      <c r="CF50" s="34">
        <f ca="1">IFERROR(SUMIFS('TRA balance'!AG$5:AG$40,'TRA balance'!$C$5:$C$40,Assumptions!$C50,'TRA balance'!$D$5:$D$40,Assumptions!$B50)*EA50*AJ50,"")</f>
        <v>0</v>
      </c>
      <c r="CG50" s="34">
        <f ca="1">IFERROR(SUMIFS('TRA balance'!AH$5:AH$40,'TRA balance'!$C$5:$C$40,Assumptions!$C50,'TRA balance'!$D$5:$D$40,Assumptions!$B50)*EB50*AK50,"")</f>
        <v>0</v>
      </c>
      <c r="CH50" s="34">
        <f ca="1">IFERROR(SUMIFS('TRA balance'!AI$5:AI$40,'TRA balance'!$C$5:$C$40,Assumptions!$C50,'TRA balance'!$D$5:$D$40,Assumptions!$B50)*EC50*AL50,"")</f>
        <v>0</v>
      </c>
      <c r="CI50" s="34">
        <f ca="1">IFERROR(SUMIFS('TRA balance'!AJ$5:AJ$40,'TRA balance'!$C$5:$C$40,Assumptions!$C50,'TRA balance'!$D$5:$D$40,Assumptions!$B50)*ED50*AM50,"")</f>
        <v>0</v>
      </c>
      <c r="CJ50" s="34">
        <f ca="1">IFERROR(SUMIFS('TRA balance'!AK$5:AK$40,'TRA balance'!$C$5:$C$40,Assumptions!$C50,'TRA balance'!$D$5:$D$40,Assumptions!$B50)*EE50*AN50,"")</f>
        <v>0</v>
      </c>
      <c r="CK50" s="34">
        <f ca="1">IFERROR(SUMIFS('TRA balance'!AL$5:AL$40,'TRA balance'!$C$5:$C$40,Assumptions!$C50,'TRA balance'!$D$5:$D$40,Assumptions!$B50)*EF50*AO50,"")</f>
        <v>0</v>
      </c>
      <c r="CL50" s="34">
        <f ca="1">IFERROR(SUMIFS('TRA balance'!AM$5:AM$40,'TRA balance'!$C$5:$C$40,Assumptions!$C50,'TRA balance'!$D$5:$D$40,Assumptions!$B50)*EG50*AP50,"")</f>
        <v>0</v>
      </c>
      <c r="CM50" s="34">
        <f ca="1">IFERROR(SUMIFS('TRA balance'!AN$5:AN$40,'TRA balance'!$C$5:$C$40,Assumptions!$C50,'TRA balance'!$D$5:$D$40,Assumptions!$B50)*EH50*AQ50,"")</f>
        <v>0</v>
      </c>
      <c r="CN50" s="34">
        <f ca="1">IFERROR(SUMIFS('TRA balance'!AO$5:AO$40,'TRA balance'!$C$5:$C$40,Assumptions!$C50,'TRA balance'!$D$5:$D$40,Assumptions!$B50)*EI50*AR50,"")</f>
        <v>0</v>
      </c>
      <c r="CO50" s="34">
        <f ca="1">IFERROR(SUMIFS('TRA balance'!AP$5:AP$40,'TRA balance'!$C$5:$C$40,Assumptions!$C50,'TRA balance'!$D$5:$D$40,Assumptions!$B50)*EJ50*AS50,"")</f>
        <v>0</v>
      </c>
      <c r="CP50" s="34">
        <f ca="1">IFERROR(SUMIFS('TRA balance'!AQ$5:AQ$40,'TRA balance'!$C$5:$C$40,Assumptions!$C50,'TRA balance'!$D$5:$D$40,Assumptions!$B50)*EK50*AT50,"")</f>
        <v>0</v>
      </c>
      <c r="CQ50" s="34">
        <f ca="1">IFERROR(SUMIFS('TRA balance'!AR$5:AR$40,'TRA balance'!$C$5:$C$40,Assumptions!$C50,'TRA balance'!$D$5:$D$40,Assumptions!$B50)*EL50*AU50,"")</f>
        <v>0</v>
      </c>
      <c r="CR50" s="34">
        <f ca="1">IFERROR(SUMIFS('TRA balance'!AS$5:AS$40,'TRA balance'!$C$5:$C$40,Assumptions!$C50,'TRA balance'!$D$5:$D$40,Assumptions!$B50)*EM50*AV50,"")</f>
        <v>0</v>
      </c>
      <c r="CS50" s="34">
        <f ca="1">IFERROR(SUMIFS('TRA balance'!AT$5:AT$40,'TRA balance'!$C$5:$C$40,Assumptions!$C50,'TRA balance'!$D$5:$D$40,Assumptions!$B50)*EN50*AW50,"")</f>
        <v>0</v>
      </c>
      <c r="CT50" s="34">
        <f ca="1">IFERROR(SUMIFS('TRA balance'!AU$5:AU$40,'TRA balance'!$C$5:$C$40,Assumptions!$C50,'TRA balance'!$D$5:$D$40,Assumptions!$B50)*EO50*AX50,"")</f>
        <v>0</v>
      </c>
      <c r="CU50" s="34">
        <f ca="1">IFERROR(SUMIFS('TRA balance'!AV$5:AV$40,'TRA balance'!$C$5:$C$40,Assumptions!$C50,'TRA balance'!$D$5:$D$40,Assumptions!$B50)*EP50*AY50,"")</f>
        <v>0</v>
      </c>
      <c r="CV50" s="34">
        <f ca="1">IFERROR(SUMIFS('TRA balance'!AW$5:AW$40,'TRA balance'!$C$5:$C$40,Assumptions!$C50,'TRA balance'!$D$5:$D$40,Assumptions!$B50)*EQ50*AZ50,"")</f>
        <v>0</v>
      </c>
      <c r="CW50" s="34">
        <f ca="1">IFERROR(SUMIFS('TRA balance'!AX$5:AX$40,'TRA balance'!$C$5:$C$40,Assumptions!$C50,'TRA balance'!$D$5:$D$40,Assumptions!$B50)*ER50*BA50,"")</f>
        <v>0</v>
      </c>
      <c r="CY50" s="33">
        <f t="shared" si="66"/>
        <v>1</v>
      </c>
      <c r="CZ50" s="33">
        <f t="shared" si="3"/>
        <v>1</v>
      </c>
      <c r="DA50" s="33">
        <f t="shared" si="4"/>
        <v>1</v>
      </c>
      <c r="DB50" s="33">
        <f t="shared" si="5"/>
        <v>1</v>
      </c>
      <c r="DC50" s="33">
        <f t="shared" si="6"/>
        <v>1</v>
      </c>
      <c r="DD50" s="33">
        <f t="shared" si="7"/>
        <v>1</v>
      </c>
      <c r="DE50" s="33">
        <f t="shared" si="8"/>
        <v>1</v>
      </c>
      <c r="DF50" s="33">
        <f t="shared" si="9"/>
        <v>1</v>
      </c>
      <c r="DG50" s="33">
        <f t="shared" si="10"/>
        <v>1</v>
      </c>
      <c r="DH50" s="33">
        <f t="shared" si="11"/>
        <v>1</v>
      </c>
      <c r="DI50" s="33">
        <f t="shared" si="12"/>
        <v>1</v>
      </c>
      <c r="DJ50" s="33">
        <f t="shared" si="13"/>
        <v>1</v>
      </c>
      <c r="DK50" s="33">
        <f t="shared" si="14"/>
        <v>1</v>
      </c>
      <c r="DL50" s="33">
        <f t="shared" si="15"/>
        <v>1</v>
      </c>
      <c r="DM50" s="33">
        <f t="shared" si="16"/>
        <v>1</v>
      </c>
      <c r="DN50" s="33">
        <f t="shared" si="17"/>
        <v>1</v>
      </c>
      <c r="DO50" s="33">
        <f t="shared" si="18"/>
        <v>1</v>
      </c>
      <c r="DP50" s="33">
        <f t="shared" si="19"/>
        <v>1</v>
      </c>
      <c r="DQ50" s="33">
        <f t="shared" si="20"/>
        <v>1</v>
      </c>
      <c r="DR50" s="33">
        <f t="shared" si="21"/>
        <v>1</v>
      </c>
      <c r="DS50" s="33">
        <f t="shared" si="22"/>
        <v>1</v>
      </c>
      <c r="DT50" s="33">
        <f t="shared" si="23"/>
        <v>1</v>
      </c>
      <c r="DU50" s="33">
        <f t="shared" si="24"/>
        <v>1</v>
      </c>
      <c r="DV50" s="33">
        <f t="shared" si="25"/>
        <v>1</v>
      </c>
      <c r="DW50" s="33">
        <f t="shared" si="26"/>
        <v>1</v>
      </c>
      <c r="DX50" s="33">
        <f t="shared" si="27"/>
        <v>1</v>
      </c>
      <c r="DY50" s="33">
        <f t="shared" si="28"/>
        <v>1</v>
      </c>
      <c r="DZ50" s="33">
        <f t="shared" si="29"/>
        <v>1</v>
      </c>
      <c r="EA50" s="33">
        <f t="shared" si="30"/>
        <v>1</v>
      </c>
      <c r="EB50" s="33">
        <f t="shared" si="31"/>
        <v>1</v>
      </c>
      <c r="EC50" s="33">
        <f t="shared" si="32"/>
        <v>1</v>
      </c>
      <c r="ED50" s="33">
        <f t="shared" si="33"/>
        <v>1</v>
      </c>
      <c r="EE50" s="33">
        <f t="shared" si="34"/>
        <v>1</v>
      </c>
      <c r="EF50" s="33">
        <f t="shared" si="35"/>
        <v>1</v>
      </c>
      <c r="EG50" s="33">
        <f t="shared" si="36"/>
        <v>1</v>
      </c>
      <c r="EH50" s="33">
        <f t="shared" si="37"/>
        <v>1</v>
      </c>
      <c r="EI50" s="33">
        <f t="shared" si="38"/>
        <v>1</v>
      </c>
      <c r="EJ50" s="33">
        <f t="shared" si="39"/>
        <v>1</v>
      </c>
      <c r="EK50" s="33">
        <f t="shared" si="40"/>
        <v>1</v>
      </c>
      <c r="EL50" s="33">
        <f t="shared" si="41"/>
        <v>1</v>
      </c>
      <c r="EM50" s="33">
        <f t="shared" si="42"/>
        <v>1</v>
      </c>
      <c r="EN50" s="33">
        <f t="shared" si="43"/>
        <v>1</v>
      </c>
      <c r="EO50" s="33">
        <f t="shared" si="44"/>
        <v>1</v>
      </c>
      <c r="EP50" s="33">
        <f t="shared" si="45"/>
        <v>1</v>
      </c>
      <c r="EQ50" s="33">
        <f t="shared" si="46"/>
        <v>1</v>
      </c>
      <c r="ER50" s="33">
        <f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11"/>
      <c r="D51" s="11"/>
      <c r="E51" s="12" t="s">
        <v>58</v>
      </c>
      <c r="F51" s="13" t="str">
        <f t="shared" si="74"/>
        <v>Liquified Petroleum Gases</v>
      </c>
      <c r="G51" s="11"/>
      <c r="H51" s="12" t="str">
        <f t="shared" ref="H51" ca="1" si="76">IF(SUM(H49:H50)=1,"-","&lt;&gt;1!!")</f>
        <v>-</v>
      </c>
      <c r="I51" s="12" t="str">
        <f t="shared" ref="I51:BA51" ca="1" si="77">IF(SUM(I49:I50)=1,"-","&lt;&gt;1!!")</f>
        <v>-</v>
      </c>
      <c r="J51" s="12" t="str">
        <f t="shared" ca="1" si="77"/>
        <v>-</v>
      </c>
      <c r="K51" s="12" t="str">
        <f t="shared" ca="1" si="77"/>
        <v>-</v>
      </c>
      <c r="L51" s="12" t="str">
        <f t="shared" ca="1" si="77"/>
        <v>-</v>
      </c>
      <c r="M51" s="12" t="str">
        <f t="shared" ca="1" si="77"/>
        <v>-</v>
      </c>
      <c r="N51" s="12" t="str">
        <f t="shared" ca="1" si="77"/>
        <v>-</v>
      </c>
      <c r="O51" s="12" t="str">
        <f t="shared" ca="1" si="77"/>
        <v>-</v>
      </c>
      <c r="P51" s="12" t="str">
        <f t="shared" ca="1" si="77"/>
        <v>-</v>
      </c>
      <c r="Q51" s="12" t="str">
        <f t="shared" ca="1" si="77"/>
        <v>-</v>
      </c>
      <c r="R51" s="12" t="str">
        <f t="shared" ca="1" si="77"/>
        <v>-</v>
      </c>
      <c r="S51" s="12" t="str">
        <f t="shared" ca="1" si="77"/>
        <v>-</v>
      </c>
      <c r="T51" s="12" t="str">
        <f t="shared" ca="1" si="77"/>
        <v>-</v>
      </c>
      <c r="U51" s="12" t="str">
        <f t="shared" ca="1" si="77"/>
        <v>-</v>
      </c>
      <c r="V51" s="12" t="str">
        <f t="shared" ca="1" si="77"/>
        <v>-</v>
      </c>
      <c r="W51" s="12" t="str">
        <f t="shared" ca="1" si="77"/>
        <v>-</v>
      </c>
      <c r="X51" s="12" t="str">
        <f t="shared" ca="1" si="77"/>
        <v>-</v>
      </c>
      <c r="Y51" s="12" t="str">
        <f t="shared" ca="1" si="77"/>
        <v>-</v>
      </c>
      <c r="Z51" s="12" t="str">
        <f t="shared" ca="1" si="77"/>
        <v>-</v>
      </c>
      <c r="AA51" s="12" t="str">
        <f t="shared" ca="1" si="77"/>
        <v>-</v>
      </c>
      <c r="AB51" s="12" t="str">
        <f t="shared" ca="1" si="77"/>
        <v>-</v>
      </c>
      <c r="AC51" s="12" t="str">
        <f t="shared" ca="1" si="77"/>
        <v>-</v>
      </c>
      <c r="AD51" s="12" t="str">
        <f t="shared" ca="1" si="77"/>
        <v>-</v>
      </c>
      <c r="AE51" s="12" t="str">
        <f t="shared" ca="1" si="77"/>
        <v>-</v>
      </c>
      <c r="AF51" s="12" t="str">
        <f t="shared" ca="1" si="77"/>
        <v>-</v>
      </c>
      <c r="AG51" s="12" t="str">
        <f t="shared" ca="1" si="77"/>
        <v>-</v>
      </c>
      <c r="AH51" s="12" t="str">
        <f t="shared" ca="1" si="77"/>
        <v>-</v>
      </c>
      <c r="AI51" s="12" t="str">
        <f t="shared" ca="1" si="77"/>
        <v>-</v>
      </c>
      <c r="AJ51" s="12" t="str">
        <f t="shared" ca="1" si="77"/>
        <v>-</v>
      </c>
      <c r="AK51" s="12" t="str">
        <f t="shared" ca="1" si="77"/>
        <v>-</v>
      </c>
      <c r="AL51" s="12" t="str">
        <f t="shared" ca="1" si="77"/>
        <v>-</v>
      </c>
      <c r="AM51" s="12" t="str">
        <f t="shared" ca="1" si="77"/>
        <v>-</v>
      </c>
      <c r="AN51" s="12" t="str">
        <f t="shared" ca="1" si="77"/>
        <v>-</v>
      </c>
      <c r="AO51" s="12" t="str">
        <f t="shared" ca="1" si="77"/>
        <v>-</v>
      </c>
      <c r="AP51" s="12" t="str">
        <f t="shared" ca="1" si="77"/>
        <v>-</v>
      </c>
      <c r="AQ51" s="12" t="str">
        <f t="shared" ca="1" si="77"/>
        <v>-</v>
      </c>
      <c r="AR51" s="12" t="str">
        <f t="shared" ca="1" si="77"/>
        <v>-</v>
      </c>
      <c r="AS51" s="12" t="str">
        <f t="shared" ca="1" si="77"/>
        <v>-</v>
      </c>
      <c r="AT51" s="12" t="str">
        <f t="shared" ca="1" si="77"/>
        <v>-</v>
      </c>
      <c r="AU51" s="12" t="str">
        <f t="shared" ca="1" si="77"/>
        <v>-</v>
      </c>
      <c r="AV51" s="12" t="str">
        <f t="shared" ca="1" si="77"/>
        <v>-</v>
      </c>
      <c r="AW51" s="12" t="str">
        <f t="shared" ca="1" si="77"/>
        <v>-</v>
      </c>
      <c r="AX51" s="12" t="str">
        <f t="shared" ca="1" si="77"/>
        <v>-</v>
      </c>
      <c r="AY51" s="12" t="str">
        <f t="shared" ca="1" si="77"/>
        <v>-</v>
      </c>
      <c r="AZ51" s="12" t="str">
        <f t="shared" ca="1" si="77"/>
        <v>-</v>
      </c>
      <c r="BA51" s="12" t="str">
        <f t="shared" ca="1" si="77"/>
        <v>-</v>
      </c>
      <c r="BD51" s="34" t="str">
        <f ca="1">IFERROR(SUMIFS('TRA balance'!E$5:E$40,'TRA balance'!$C$5:$C$40,Assumptions!$C51,'TRA balance'!$D$5:$D$40,Assumptions!$B51)*CY51*H51,"")</f>
        <v/>
      </c>
      <c r="BE51" s="34" t="str">
        <f ca="1">IFERROR(SUMIFS('TRA balance'!F$5:F$40,'TRA balance'!$C$5:$C$40,Assumptions!$C51,'TRA balance'!$D$5:$D$40,Assumptions!$B51)*CZ51*I51,"")</f>
        <v/>
      </c>
      <c r="BF51" s="34" t="str">
        <f ca="1">IFERROR(SUMIFS('TRA balance'!G$5:G$40,'TRA balance'!$C$5:$C$40,Assumptions!$C51,'TRA balance'!$D$5:$D$40,Assumptions!$B51)*DA51*J51,"")</f>
        <v/>
      </c>
      <c r="BG51" s="34" t="str">
        <f ca="1">IFERROR(SUMIFS('TRA balance'!H$5:H$40,'TRA balance'!$C$5:$C$40,Assumptions!$C51,'TRA balance'!$D$5:$D$40,Assumptions!$B51)*DB51*K51,"")</f>
        <v/>
      </c>
      <c r="BH51" s="34" t="str">
        <f ca="1">IFERROR(SUMIFS('TRA balance'!I$5:I$40,'TRA balance'!$C$5:$C$40,Assumptions!$C51,'TRA balance'!$D$5:$D$40,Assumptions!$B51)*DC51*L51,"")</f>
        <v/>
      </c>
      <c r="BI51" s="34" t="str">
        <f ca="1">IFERROR(SUMIFS('TRA balance'!J$5:J$40,'TRA balance'!$C$5:$C$40,Assumptions!$C51,'TRA balance'!$D$5:$D$40,Assumptions!$B51)*DD51*M51,"")</f>
        <v/>
      </c>
      <c r="BJ51" s="34" t="str">
        <f ca="1">IFERROR(SUMIFS('TRA balance'!K$5:K$40,'TRA balance'!$C$5:$C$40,Assumptions!$C51,'TRA balance'!$D$5:$D$40,Assumptions!$B51)*DE51*N51,"")</f>
        <v/>
      </c>
      <c r="BK51" s="34" t="str">
        <f ca="1">IFERROR(SUMIFS('TRA balance'!L$5:L$40,'TRA balance'!$C$5:$C$40,Assumptions!$C51,'TRA balance'!$D$5:$D$40,Assumptions!$B51)*DF51*O51,"")</f>
        <v/>
      </c>
      <c r="BL51" s="34" t="str">
        <f ca="1">IFERROR(SUMIFS('TRA balance'!M$5:M$40,'TRA balance'!$C$5:$C$40,Assumptions!$C51,'TRA balance'!$D$5:$D$40,Assumptions!$B51)*DG51*P51,"")</f>
        <v/>
      </c>
      <c r="BM51" s="34" t="str">
        <f ca="1">IFERROR(SUMIFS('TRA balance'!N$5:N$40,'TRA balance'!$C$5:$C$40,Assumptions!$C51,'TRA balance'!$D$5:$D$40,Assumptions!$B51)*DH51*Q51,"")</f>
        <v/>
      </c>
      <c r="BN51" s="34" t="str">
        <f ca="1">IFERROR(SUMIFS('TRA balance'!O$5:O$40,'TRA balance'!$C$5:$C$40,Assumptions!$C51,'TRA balance'!$D$5:$D$40,Assumptions!$B51)*DI51*R51,"")</f>
        <v/>
      </c>
      <c r="BO51" s="34" t="str">
        <f ca="1">IFERROR(SUMIFS('TRA balance'!P$5:P$40,'TRA balance'!$C$5:$C$40,Assumptions!$C51,'TRA balance'!$D$5:$D$40,Assumptions!$B51)*DJ51*S51,"")</f>
        <v/>
      </c>
      <c r="BP51" s="34" t="str">
        <f ca="1">IFERROR(SUMIFS('TRA balance'!Q$5:Q$40,'TRA balance'!$C$5:$C$40,Assumptions!$C51,'TRA balance'!$D$5:$D$40,Assumptions!$B51)*DK51*T51,"")</f>
        <v/>
      </c>
      <c r="BQ51" s="34" t="str">
        <f ca="1">IFERROR(SUMIFS('TRA balance'!R$5:R$40,'TRA balance'!$C$5:$C$40,Assumptions!$C51,'TRA balance'!$D$5:$D$40,Assumptions!$B51)*DL51*U51,"")</f>
        <v/>
      </c>
      <c r="BR51" s="34" t="str">
        <f ca="1">IFERROR(SUMIFS('TRA balance'!S$5:S$40,'TRA balance'!$C$5:$C$40,Assumptions!$C51,'TRA balance'!$D$5:$D$40,Assumptions!$B51)*DM51*V51,"")</f>
        <v/>
      </c>
      <c r="BS51" s="34" t="str">
        <f ca="1">IFERROR(SUMIFS('TRA balance'!T$5:T$40,'TRA balance'!$C$5:$C$40,Assumptions!$C51,'TRA balance'!$D$5:$D$40,Assumptions!$B51)*DN51*W51,"")</f>
        <v/>
      </c>
      <c r="BT51" s="34" t="str">
        <f ca="1">IFERROR(SUMIFS('TRA balance'!U$5:U$40,'TRA balance'!$C$5:$C$40,Assumptions!$C51,'TRA balance'!$D$5:$D$40,Assumptions!$B51)*DO51*X51,"")</f>
        <v/>
      </c>
      <c r="BU51" s="34" t="str">
        <f ca="1">IFERROR(SUMIFS('TRA balance'!V$5:V$40,'TRA balance'!$C$5:$C$40,Assumptions!$C51,'TRA balance'!$D$5:$D$40,Assumptions!$B51)*DP51*Y51,"")</f>
        <v/>
      </c>
      <c r="BV51" s="34" t="str">
        <f ca="1">IFERROR(SUMIFS('TRA balance'!W$5:W$40,'TRA balance'!$C$5:$C$40,Assumptions!$C51,'TRA balance'!$D$5:$D$40,Assumptions!$B51)*DQ51*Z51,"")</f>
        <v/>
      </c>
      <c r="BW51" s="34" t="str">
        <f ca="1">IFERROR(SUMIFS('TRA balance'!X$5:X$40,'TRA balance'!$C$5:$C$40,Assumptions!$C51,'TRA balance'!$D$5:$D$40,Assumptions!$B51)*DR51*AA51,"")</f>
        <v/>
      </c>
      <c r="BX51" s="34" t="str">
        <f ca="1">IFERROR(SUMIFS('TRA balance'!Y$5:Y$40,'TRA balance'!$C$5:$C$40,Assumptions!$C51,'TRA balance'!$D$5:$D$40,Assumptions!$B51)*DS51*AB51,"")</f>
        <v/>
      </c>
      <c r="BY51" s="34" t="str">
        <f ca="1">IFERROR(SUMIFS('TRA balance'!Z$5:Z$40,'TRA balance'!$C$5:$C$40,Assumptions!$C51,'TRA balance'!$D$5:$D$40,Assumptions!$B51)*DT51*AC51,"")</f>
        <v/>
      </c>
      <c r="BZ51" s="34" t="str">
        <f ca="1">IFERROR(SUMIFS('TRA balance'!AA$5:AA$40,'TRA balance'!$C$5:$C$40,Assumptions!$C51,'TRA balance'!$D$5:$D$40,Assumptions!$B51)*DU51*AD51,"")</f>
        <v/>
      </c>
      <c r="CA51" s="34" t="str">
        <f ca="1">IFERROR(SUMIFS('TRA balance'!AB$5:AB$40,'TRA balance'!$C$5:$C$40,Assumptions!$C51,'TRA balance'!$D$5:$D$40,Assumptions!$B51)*DV51*AE51,"")</f>
        <v/>
      </c>
      <c r="CB51" s="34" t="str">
        <f ca="1">IFERROR(SUMIFS('TRA balance'!AC$5:AC$40,'TRA balance'!$C$5:$C$40,Assumptions!$C51,'TRA balance'!$D$5:$D$40,Assumptions!$B51)*DW51*AF51,"")</f>
        <v/>
      </c>
      <c r="CC51" s="34" t="str">
        <f ca="1">IFERROR(SUMIFS('TRA balance'!AD$5:AD$40,'TRA balance'!$C$5:$C$40,Assumptions!$C51,'TRA balance'!$D$5:$D$40,Assumptions!$B51)*DX51*AG51,"")</f>
        <v/>
      </c>
      <c r="CD51" s="34" t="str">
        <f ca="1">IFERROR(SUMIFS('TRA balance'!AE$5:AE$40,'TRA balance'!$C$5:$C$40,Assumptions!$C51,'TRA balance'!$D$5:$D$40,Assumptions!$B51)*DY51*AH51,"")</f>
        <v/>
      </c>
      <c r="CE51" s="34" t="str">
        <f ca="1">IFERROR(SUMIFS('TRA balance'!AF$5:AF$40,'TRA balance'!$C$5:$C$40,Assumptions!$C51,'TRA balance'!$D$5:$D$40,Assumptions!$B51)*DZ51*AI51,"")</f>
        <v/>
      </c>
      <c r="CF51" s="34" t="str">
        <f ca="1">IFERROR(SUMIFS('TRA balance'!AG$5:AG$40,'TRA balance'!$C$5:$C$40,Assumptions!$C51,'TRA balance'!$D$5:$D$40,Assumptions!$B51)*EA51*AJ51,"")</f>
        <v/>
      </c>
      <c r="CG51" s="34" t="str">
        <f ca="1">IFERROR(SUMIFS('TRA balance'!AH$5:AH$40,'TRA balance'!$C$5:$C$40,Assumptions!$C51,'TRA balance'!$D$5:$D$40,Assumptions!$B51)*EB51*AK51,"")</f>
        <v/>
      </c>
      <c r="CH51" s="34" t="str">
        <f ca="1">IFERROR(SUMIFS('TRA balance'!AI$5:AI$40,'TRA balance'!$C$5:$C$40,Assumptions!$C51,'TRA balance'!$D$5:$D$40,Assumptions!$B51)*EC51*AL51,"")</f>
        <v/>
      </c>
      <c r="CI51" s="34" t="str">
        <f ca="1">IFERROR(SUMIFS('TRA balance'!AJ$5:AJ$40,'TRA balance'!$C$5:$C$40,Assumptions!$C51,'TRA balance'!$D$5:$D$40,Assumptions!$B51)*ED51*AM51,"")</f>
        <v/>
      </c>
      <c r="CJ51" s="34" t="str">
        <f ca="1">IFERROR(SUMIFS('TRA balance'!AK$5:AK$40,'TRA balance'!$C$5:$C$40,Assumptions!$C51,'TRA balance'!$D$5:$D$40,Assumptions!$B51)*EE51*AN51,"")</f>
        <v/>
      </c>
      <c r="CK51" s="34" t="str">
        <f ca="1">IFERROR(SUMIFS('TRA balance'!AL$5:AL$40,'TRA balance'!$C$5:$C$40,Assumptions!$C51,'TRA balance'!$D$5:$D$40,Assumptions!$B51)*EF51*AO51,"")</f>
        <v/>
      </c>
      <c r="CL51" s="34" t="str">
        <f ca="1">IFERROR(SUMIFS('TRA balance'!AM$5:AM$40,'TRA balance'!$C$5:$C$40,Assumptions!$C51,'TRA balance'!$D$5:$D$40,Assumptions!$B51)*EG51*AP51,"")</f>
        <v/>
      </c>
      <c r="CM51" s="34" t="str">
        <f ca="1">IFERROR(SUMIFS('TRA balance'!AN$5:AN$40,'TRA balance'!$C$5:$C$40,Assumptions!$C51,'TRA balance'!$D$5:$D$40,Assumptions!$B51)*EH51*AQ51,"")</f>
        <v/>
      </c>
      <c r="CN51" s="34" t="str">
        <f ca="1">IFERROR(SUMIFS('TRA balance'!AO$5:AO$40,'TRA balance'!$C$5:$C$40,Assumptions!$C51,'TRA balance'!$D$5:$D$40,Assumptions!$B51)*EI51*AR51,"")</f>
        <v/>
      </c>
      <c r="CO51" s="34" t="str">
        <f ca="1">IFERROR(SUMIFS('TRA balance'!AP$5:AP$40,'TRA balance'!$C$5:$C$40,Assumptions!$C51,'TRA balance'!$D$5:$D$40,Assumptions!$B51)*EJ51*AS51,"")</f>
        <v/>
      </c>
      <c r="CP51" s="34" t="str">
        <f ca="1">IFERROR(SUMIFS('TRA balance'!AQ$5:AQ$40,'TRA balance'!$C$5:$C$40,Assumptions!$C51,'TRA balance'!$D$5:$D$40,Assumptions!$B51)*EK51*AT51,"")</f>
        <v/>
      </c>
      <c r="CQ51" s="34" t="str">
        <f ca="1">IFERROR(SUMIFS('TRA balance'!AR$5:AR$40,'TRA balance'!$C$5:$C$40,Assumptions!$C51,'TRA balance'!$D$5:$D$40,Assumptions!$B51)*EL51*AU51,"")</f>
        <v/>
      </c>
      <c r="CR51" s="34" t="str">
        <f ca="1">IFERROR(SUMIFS('TRA balance'!AS$5:AS$40,'TRA balance'!$C$5:$C$40,Assumptions!$C51,'TRA balance'!$D$5:$D$40,Assumptions!$B51)*EM51*AV51,"")</f>
        <v/>
      </c>
      <c r="CS51" s="34" t="str">
        <f ca="1">IFERROR(SUMIFS('TRA balance'!AT$5:AT$40,'TRA balance'!$C$5:$C$40,Assumptions!$C51,'TRA balance'!$D$5:$D$40,Assumptions!$B51)*EN51*AW51,"")</f>
        <v/>
      </c>
      <c r="CT51" s="34" t="str">
        <f ca="1">IFERROR(SUMIFS('TRA balance'!AU$5:AU$40,'TRA balance'!$C$5:$C$40,Assumptions!$C51,'TRA balance'!$D$5:$D$40,Assumptions!$B51)*EO51*AX51,"")</f>
        <v/>
      </c>
      <c r="CU51" s="34" t="str">
        <f ca="1">IFERROR(SUMIFS('TRA balance'!AV$5:AV$40,'TRA balance'!$C$5:$C$40,Assumptions!$C51,'TRA balance'!$D$5:$D$40,Assumptions!$B51)*EP51*AY51,"")</f>
        <v/>
      </c>
      <c r="CV51" s="34" t="str">
        <f ca="1">IFERROR(SUMIFS('TRA balance'!AW$5:AW$40,'TRA balance'!$C$5:$C$40,Assumptions!$C51,'TRA balance'!$D$5:$D$40,Assumptions!$B51)*EQ51*AZ51,"")</f>
        <v/>
      </c>
      <c r="CW51" s="34" t="str">
        <f ca="1">IFERROR(SUMIFS('TRA balance'!AX$5:AX$40,'TRA balance'!$C$5:$C$40,Assumptions!$C51,'TRA balance'!$D$5:$D$40,Assumptions!$B51)*ER51*BA51,"")</f>
        <v/>
      </c>
      <c r="CY51" s="33">
        <f t="shared" si="66"/>
        <v>1</v>
      </c>
      <c r="CZ51" s="33">
        <f t="shared" si="3"/>
        <v>1</v>
      </c>
      <c r="DA51" s="33">
        <f t="shared" si="4"/>
        <v>1</v>
      </c>
      <c r="DB51" s="33">
        <f t="shared" si="5"/>
        <v>1</v>
      </c>
      <c r="DC51" s="33">
        <f t="shared" si="6"/>
        <v>1</v>
      </c>
      <c r="DD51" s="33">
        <f t="shared" si="7"/>
        <v>1</v>
      </c>
      <c r="DE51" s="33">
        <f t="shared" si="8"/>
        <v>1</v>
      </c>
      <c r="DF51" s="33">
        <f t="shared" si="9"/>
        <v>1</v>
      </c>
      <c r="DG51" s="33">
        <f t="shared" si="10"/>
        <v>1</v>
      </c>
      <c r="DH51" s="33">
        <f t="shared" si="11"/>
        <v>1</v>
      </c>
      <c r="DI51" s="33">
        <f t="shared" si="12"/>
        <v>1</v>
      </c>
      <c r="DJ51" s="33">
        <f t="shared" si="13"/>
        <v>1</v>
      </c>
      <c r="DK51" s="33">
        <f t="shared" si="14"/>
        <v>1</v>
      </c>
      <c r="DL51" s="33">
        <f t="shared" si="15"/>
        <v>1</v>
      </c>
      <c r="DM51" s="33">
        <f t="shared" si="16"/>
        <v>1</v>
      </c>
      <c r="DN51" s="33">
        <f t="shared" si="17"/>
        <v>1</v>
      </c>
      <c r="DO51" s="33">
        <f t="shared" si="18"/>
        <v>1</v>
      </c>
      <c r="DP51" s="33">
        <f t="shared" si="19"/>
        <v>1</v>
      </c>
      <c r="DQ51" s="33">
        <f t="shared" si="20"/>
        <v>1</v>
      </c>
      <c r="DR51" s="33">
        <f t="shared" si="21"/>
        <v>1</v>
      </c>
      <c r="DS51" s="33">
        <f t="shared" si="22"/>
        <v>1</v>
      </c>
      <c r="DT51" s="33">
        <f t="shared" si="23"/>
        <v>1</v>
      </c>
      <c r="DU51" s="33">
        <f t="shared" si="24"/>
        <v>1</v>
      </c>
      <c r="DV51" s="33">
        <f t="shared" si="25"/>
        <v>1</v>
      </c>
      <c r="DW51" s="33">
        <f t="shared" si="26"/>
        <v>1</v>
      </c>
      <c r="DX51" s="33">
        <f t="shared" si="27"/>
        <v>1</v>
      </c>
      <c r="DY51" s="33">
        <f t="shared" si="28"/>
        <v>1</v>
      </c>
      <c r="DZ51" s="33">
        <f t="shared" si="29"/>
        <v>1</v>
      </c>
      <c r="EA51" s="33">
        <f t="shared" si="30"/>
        <v>1</v>
      </c>
      <c r="EB51" s="33">
        <f t="shared" si="31"/>
        <v>1</v>
      </c>
      <c r="EC51" s="33">
        <f t="shared" si="32"/>
        <v>1</v>
      </c>
      <c r="ED51" s="33">
        <f t="shared" si="33"/>
        <v>1</v>
      </c>
      <c r="EE51" s="33">
        <f t="shared" si="34"/>
        <v>1</v>
      </c>
      <c r="EF51" s="33">
        <f t="shared" si="35"/>
        <v>1</v>
      </c>
      <c r="EG51" s="33">
        <f t="shared" si="36"/>
        <v>1</v>
      </c>
      <c r="EH51" s="33">
        <f t="shared" si="37"/>
        <v>1</v>
      </c>
      <c r="EI51" s="33">
        <f t="shared" si="38"/>
        <v>1</v>
      </c>
      <c r="EJ51" s="33">
        <f t="shared" si="39"/>
        <v>1</v>
      </c>
      <c r="EK51" s="33">
        <f t="shared" si="40"/>
        <v>1</v>
      </c>
      <c r="EL51" s="33">
        <f t="shared" si="41"/>
        <v>1</v>
      </c>
      <c r="EM51" s="33">
        <f t="shared" si="42"/>
        <v>1</v>
      </c>
      <c r="EN51" s="33">
        <f t="shared" si="43"/>
        <v>1</v>
      </c>
      <c r="EO51" s="33">
        <f t="shared" si="44"/>
        <v>1</v>
      </c>
      <c r="EP51" s="33">
        <f t="shared" si="45"/>
        <v>1</v>
      </c>
      <c r="EQ51" s="33">
        <f t="shared" si="46"/>
        <v>1</v>
      </c>
      <c r="ER51" s="33">
        <f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14">
        <v>1</v>
      </c>
      <c r="D52" s="15" t="s">
        <v>16</v>
      </c>
      <c r="E52" s="15" t="s">
        <v>59</v>
      </c>
      <c r="F52" s="16" t="s">
        <v>83</v>
      </c>
      <c r="G52" s="14"/>
      <c r="H52" s="9">
        <f ca="1">OFFSET(TIAM15_assumptions!$G52,0,MATCH(VLOOKUP(Assumptions!H$2,TIAM15_assumptions!$Y$3:$Z$87,2,FALSE),TIAM15_assumptions!$H$2:$V$2,0))</f>
        <v>0.25</v>
      </c>
      <c r="I52" s="9">
        <f ca="1">OFFSET(TIAM15_assumptions!$G52,0,MATCH(VLOOKUP(Assumptions!I$2,TIAM15_assumptions!$Y$3:$Z$87,2,FALSE),TIAM15_assumptions!$H$2:$V$2,0))</f>
        <v>0.25</v>
      </c>
      <c r="J52" s="9">
        <f ca="1">OFFSET(TIAM15_assumptions!$G52,0,MATCH(VLOOKUP(Assumptions!J$2,TIAM15_assumptions!$Y$3:$Z$87,2,FALSE),TIAM15_assumptions!$H$2:$V$2,0))</f>
        <v>0.25</v>
      </c>
      <c r="K52" s="9">
        <f ca="1">OFFSET(TIAM15_assumptions!$G52,0,MATCH(VLOOKUP(Assumptions!K$2,TIAM15_assumptions!$Y$3:$Z$87,2,FALSE),TIAM15_assumptions!$H$2:$V$2,0))</f>
        <v>0.68200000000000005</v>
      </c>
      <c r="L52" s="9">
        <f ca="1">OFFSET(TIAM15_assumptions!$G52,0,MATCH(VLOOKUP(Assumptions!L$2,TIAM15_assumptions!$Y$3:$Z$87,2,FALSE),TIAM15_assumptions!$H$2:$V$2,0))</f>
        <v>0.7</v>
      </c>
      <c r="M52" s="9">
        <f ca="1">OFFSET(TIAM15_assumptions!$G52,0,MATCH(VLOOKUP(Assumptions!M$2,TIAM15_assumptions!$Y$3:$Z$87,2,FALSE),TIAM15_assumptions!$H$2:$V$2,0))</f>
        <v>0.68200000000000005</v>
      </c>
      <c r="N52" s="9">
        <f ca="1">OFFSET(TIAM15_assumptions!$G52,0,MATCH(VLOOKUP(Assumptions!N$2,TIAM15_assumptions!$Y$3:$Z$87,2,FALSE),TIAM15_assumptions!$H$2:$V$2,0))</f>
        <v>0.5</v>
      </c>
      <c r="O52" s="9">
        <f ca="1">OFFSET(TIAM15_assumptions!$G52,0,MATCH(VLOOKUP(Assumptions!O$2,TIAM15_assumptions!$Y$3:$Z$87,2,FALSE),TIAM15_assumptions!$H$2:$V$2,0))</f>
        <v>0.4</v>
      </c>
      <c r="P52" s="9">
        <f ca="1">OFFSET(TIAM15_assumptions!$G52,0,MATCH(VLOOKUP(Assumptions!P$2,TIAM15_assumptions!$Y$3:$Z$87,2,FALSE),TIAM15_assumptions!$H$2:$V$2,0))</f>
        <v>0</v>
      </c>
      <c r="Q52" s="9">
        <f ca="1">OFFSET(TIAM15_assumptions!$G52,0,MATCH(VLOOKUP(Assumptions!Q$2,TIAM15_assumptions!$Y$3:$Z$87,2,FALSE),TIAM15_assumptions!$H$2:$V$2,0))</f>
        <v>0</v>
      </c>
      <c r="R52" s="9">
        <f ca="1">OFFSET(TIAM15_assumptions!$G52,0,MATCH(VLOOKUP(Assumptions!R$2,TIAM15_assumptions!$Y$3:$Z$87,2,FALSE),TIAM15_assumptions!$H$2:$V$2,0))</f>
        <v>0.68200000000000005</v>
      </c>
      <c r="S52" s="9">
        <f ca="1">OFFSET(TIAM15_assumptions!$G52,0,MATCH(VLOOKUP(Assumptions!S$2,TIAM15_assumptions!$Y$3:$Z$87,2,FALSE),TIAM15_assumptions!$H$2:$V$2,0))</f>
        <v>0.68200000000000005</v>
      </c>
      <c r="T52" s="9">
        <f ca="1">OFFSET(TIAM15_assumptions!$G52,0,MATCH(VLOOKUP(Assumptions!T$2,TIAM15_assumptions!$Y$3:$Z$87,2,FALSE),TIAM15_assumptions!$H$2:$V$2,0))</f>
        <v>0.68200000000000005</v>
      </c>
      <c r="U52" s="9">
        <f ca="1">OFFSET(TIAM15_assumptions!$G52,0,MATCH(VLOOKUP(Assumptions!U$2,TIAM15_assumptions!$Y$3:$Z$87,2,FALSE),TIAM15_assumptions!$H$2:$V$2,0))</f>
        <v>0</v>
      </c>
      <c r="V52" s="9">
        <f ca="1">OFFSET(TIAM15_assumptions!$G52,0,MATCH(VLOOKUP(Assumptions!V$2,TIAM15_assumptions!$Y$3:$Z$87,2,FALSE),TIAM15_assumptions!$H$2:$V$2,0))</f>
        <v>0.68200000000000005</v>
      </c>
      <c r="W52" s="9">
        <f ca="1">OFFSET(TIAM15_assumptions!$G52,0,MATCH(VLOOKUP(Assumptions!W$2,TIAM15_assumptions!$Y$3:$Z$87,2,FALSE),TIAM15_assumptions!$H$2:$V$2,0))</f>
        <v>0.25</v>
      </c>
      <c r="X52" s="9">
        <f ca="1">OFFSET(TIAM15_assumptions!$G52,0,MATCH(VLOOKUP(Assumptions!X$2,TIAM15_assumptions!$Y$3:$Z$87,2,FALSE),TIAM15_assumptions!$H$2:$V$2,0))</f>
        <v>0.68200000000000005</v>
      </c>
      <c r="Y52" s="9">
        <f ca="1">OFFSET(TIAM15_assumptions!$G52,0,MATCH(VLOOKUP(Assumptions!Y$2,TIAM15_assumptions!$Y$3:$Z$87,2,FALSE),TIAM15_assumptions!$H$2:$V$2,0))</f>
        <v>0.68200000000000005</v>
      </c>
      <c r="Z52" s="9">
        <f ca="1">OFFSET(TIAM15_assumptions!$G52,0,MATCH(VLOOKUP(Assumptions!Z$2,TIAM15_assumptions!$Y$3:$Z$87,2,FALSE),TIAM15_assumptions!$H$2:$V$2,0))</f>
        <v>0.95</v>
      </c>
      <c r="AA52" s="9">
        <f ca="1">OFFSET(TIAM15_assumptions!$G52,0,MATCH(VLOOKUP(Assumptions!AA$2,TIAM15_assumptions!$Y$3:$Z$87,2,FALSE),TIAM15_assumptions!$H$2:$V$2,0))</f>
        <v>0.5</v>
      </c>
      <c r="AB52" s="9">
        <f ca="1">OFFSET(TIAM15_assumptions!$G52,0,MATCH(VLOOKUP(Assumptions!AB$2,TIAM15_assumptions!$Y$3:$Z$87,2,FALSE),TIAM15_assumptions!$H$2:$V$2,0))</f>
        <v>0.68200000000000005</v>
      </c>
      <c r="AC52" s="9">
        <f ca="1">OFFSET(TIAM15_assumptions!$G52,0,MATCH(VLOOKUP(Assumptions!AC$2,TIAM15_assumptions!$Y$3:$Z$87,2,FALSE),TIAM15_assumptions!$H$2:$V$2,0))</f>
        <v>0.97916979455979025</v>
      </c>
      <c r="AD52" s="9">
        <f ca="1">OFFSET(TIAM15_assumptions!$G52,0,MATCH(VLOOKUP(Assumptions!AD$2,TIAM15_assumptions!$Y$3:$Z$87,2,FALSE),TIAM15_assumptions!$H$2:$V$2,0))</f>
        <v>0.68200000000000005</v>
      </c>
      <c r="AE52" s="9">
        <f ca="1">OFFSET(TIAM15_assumptions!$G52,0,MATCH(VLOOKUP(Assumptions!AE$2,TIAM15_assumptions!$Y$3:$Z$87,2,FALSE),TIAM15_assumptions!$H$2:$V$2,0))</f>
        <v>0</v>
      </c>
      <c r="AF52" s="9">
        <f ca="1">OFFSET(TIAM15_assumptions!$G52,0,MATCH(VLOOKUP(Assumptions!AF$2,TIAM15_assumptions!$Y$3:$Z$87,2,FALSE),TIAM15_assumptions!$H$2:$V$2,0))</f>
        <v>0.9</v>
      </c>
      <c r="AG52" s="9">
        <f ca="1">OFFSET(TIAM15_assumptions!$G52,0,MATCH(VLOOKUP(Assumptions!AG$2,TIAM15_assumptions!$Y$3:$Z$87,2,FALSE),TIAM15_assumptions!$H$2:$V$2,0))</f>
        <v>0.7</v>
      </c>
      <c r="AH52" s="9">
        <f ca="1">OFFSET(TIAM15_assumptions!$G52,0,MATCH(VLOOKUP(Assumptions!AH$2,TIAM15_assumptions!$Y$3:$Z$87,2,FALSE),TIAM15_assumptions!$H$2:$V$2,0))</f>
        <v>0.68200000000000005</v>
      </c>
      <c r="AI52" s="9">
        <f ca="1">OFFSET(TIAM15_assumptions!$G52,0,MATCH(VLOOKUP(Assumptions!AI$2,TIAM15_assumptions!$Y$3:$Z$87,2,FALSE),TIAM15_assumptions!$H$2:$V$2,0))</f>
        <v>0.25</v>
      </c>
      <c r="AJ52" s="9">
        <f ca="1">OFFSET(TIAM15_assumptions!$G52,0,MATCH(VLOOKUP(Assumptions!AJ$2,TIAM15_assumptions!$Y$3:$Z$87,2,FALSE),TIAM15_assumptions!$H$2:$V$2,0))</f>
        <v>0.68200000000000005</v>
      </c>
      <c r="AK52" s="9">
        <f ca="1">OFFSET(TIAM15_assumptions!$G52,0,MATCH(VLOOKUP(Assumptions!AK$2,TIAM15_assumptions!$Y$3:$Z$87,2,FALSE),TIAM15_assumptions!$H$2:$V$2,0))</f>
        <v>0.68200000000000005</v>
      </c>
      <c r="AL52" s="9">
        <f ca="1">OFFSET(TIAM15_assumptions!$G52,0,MATCH(VLOOKUP(Assumptions!AL$2,TIAM15_assumptions!$Y$3:$Z$87,2,FALSE),TIAM15_assumptions!$H$2:$V$2,0))</f>
        <v>0.68200000000000005</v>
      </c>
      <c r="AM52" s="9">
        <f ca="1">OFFSET(TIAM15_assumptions!$G52,0,MATCH(VLOOKUP(Assumptions!AM$2,TIAM15_assumptions!$Y$3:$Z$87,2,FALSE),TIAM15_assumptions!$H$2:$V$2,0))</f>
        <v>0.68200000000000005</v>
      </c>
      <c r="AN52" s="9">
        <f ca="1">OFFSET(TIAM15_assumptions!$G52,0,MATCH(VLOOKUP(Assumptions!AN$2,TIAM15_assumptions!$Y$3:$Z$87,2,FALSE),TIAM15_assumptions!$H$2:$V$2,0))</f>
        <v>0.68200000000000005</v>
      </c>
      <c r="AO52" s="9">
        <f ca="1">OFFSET(TIAM15_assumptions!$G52,0,MATCH(VLOOKUP(Assumptions!AO$2,TIAM15_assumptions!$Y$3:$Z$87,2,FALSE),TIAM15_assumptions!$H$2:$V$2,0))</f>
        <v>0.7</v>
      </c>
      <c r="AP52" s="9">
        <f ca="1">OFFSET(TIAM15_assumptions!$G52,0,MATCH(VLOOKUP(Assumptions!AP$2,TIAM15_assumptions!$Y$3:$Z$87,2,FALSE),TIAM15_assumptions!$H$2:$V$2,0))</f>
        <v>0</v>
      </c>
      <c r="AQ52" s="9">
        <f ca="1">OFFSET(TIAM15_assumptions!$G52,0,MATCH(VLOOKUP(Assumptions!AQ$2,TIAM15_assumptions!$Y$3:$Z$87,2,FALSE),TIAM15_assumptions!$H$2:$V$2,0))</f>
        <v>0.97916979455979025</v>
      </c>
      <c r="AR52" s="9">
        <f ca="1">OFFSET(TIAM15_assumptions!$G52,0,MATCH(VLOOKUP(Assumptions!AR$2,TIAM15_assumptions!$Y$3:$Z$87,2,FALSE),TIAM15_assumptions!$H$2:$V$2,0))</f>
        <v>0.97916979455979025</v>
      </c>
      <c r="AS52" s="9">
        <f ca="1">OFFSET(TIAM15_assumptions!$G52,0,MATCH(VLOOKUP(Assumptions!AS$2,TIAM15_assumptions!$Y$3:$Z$87,2,FALSE),TIAM15_assumptions!$H$2:$V$2,0))</f>
        <v>0.97916979455979025</v>
      </c>
      <c r="AT52" s="9">
        <f ca="1">OFFSET(TIAM15_assumptions!$G52,0,MATCH(VLOOKUP(Assumptions!AT$2,TIAM15_assumptions!$Y$3:$Z$87,2,FALSE),TIAM15_assumptions!$H$2:$V$2,0))</f>
        <v>0.97916979455979025</v>
      </c>
      <c r="AU52" s="9">
        <f ca="1">OFFSET(TIAM15_assumptions!$G52,0,MATCH(VLOOKUP(Assumptions!AU$2,TIAM15_assumptions!$Y$3:$Z$87,2,FALSE),TIAM15_assumptions!$H$2:$V$2,0))</f>
        <v>0.97916979455979025</v>
      </c>
      <c r="AV52" s="9">
        <f ca="1">OFFSET(TIAM15_assumptions!$G52,0,MATCH(VLOOKUP(Assumptions!AV$2,TIAM15_assumptions!$Y$3:$Z$87,2,FALSE),TIAM15_assumptions!$H$2:$V$2,0))</f>
        <v>0.97916979455979025</v>
      </c>
      <c r="AW52" s="9">
        <f ca="1">OFFSET(TIAM15_assumptions!$G52,0,MATCH(VLOOKUP(Assumptions!AW$2,TIAM15_assumptions!$Y$3:$Z$87,2,FALSE),TIAM15_assumptions!$H$2:$V$2,0))</f>
        <v>0.97916979455979025</v>
      </c>
      <c r="AX52" s="9">
        <f ca="1">OFFSET(TIAM15_assumptions!$G52,0,MATCH(VLOOKUP(Assumptions!AX$2,TIAM15_assumptions!$Y$3:$Z$87,2,FALSE),TIAM15_assumptions!$H$2:$V$2,0))</f>
        <v>0.97916979455979025</v>
      </c>
      <c r="AY52" s="9">
        <f ca="1">OFFSET(TIAM15_assumptions!$G52,0,MATCH(VLOOKUP(Assumptions!AY$2,TIAM15_assumptions!$Y$3:$Z$87,2,FALSE),TIAM15_assumptions!$H$2:$V$2,0))</f>
        <v>0.97916979455979025</v>
      </c>
      <c r="AZ52" s="9">
        <f ca="1">OFFSET(TIAM15_assumptions!$G52,0,MATCH(VLOOKUP(Assumptions!AZ$2,TIAM15_assumptions!$Y$3:$Z$87,2,FALSE),TIAM15_assumptions!$H$2:$V$2,0))</f>
        <v>0.97916979455979025</v>
      </c>
      <c r="BA52" s="9">
        <f ca="1">OFFSET(TIAM15_assumptions!$G52,0,MATCH(VLOOKUP(Assumptions!BA$2,TIAM15_assumptions!$Y$3:$Z$87,2,FALSE),TIAM15_assumptions!$H$2:$V$2,0))</f>
        <v>0.97916979455979025</v>
      </c>
      <c r="BD52" s="34">
        <f ca="1">IFERROR(SUMIFS('TRA balance'!E$5:E$40,'TRA balance'!$C$5:$C$40,Assumptions!$C52,'TRA balance'!$D$5:$D$40,Assumptions!$B52)*CY52*H52,"")</f>
        <v>0</v>
      </c>
      <c r="BE52" s="34">
        <f ca="1">IFERROR(SUMIFS('TRA balance'!F$5:F$40,'TRA balance'!$C$5:$C$40,Assumptions!$C52,'TRA balance'!$D$5:$D$40,Assumptions!$B52)*CZ52*I52,"")</f>
        <v>0</v>
      </c>
      <c r="BF52" s="34">
        <f ca="1">IFERROR(SUMIFS('TRA balance'!G$5:G$40,'TRA balance'!$C$5:$C$40,Assumptions!$C52,'TRA balance'!$D$5:$D$40,Assumptions!$B52)*DA52*J52,"")</f>
        <v>0</v>
      </c>
      <c r="BG52" s="34">
        <f ca="1">IFERROR(SUMIFS('TRA balance'!H$5:H$40,'TRA balance'!$C$5:$C$40,Assumptions!$C52,'TRA balance'!$D$5:$D$40,Assumptions!$B52)*DB52*K52,"")</f>
        <v>0</v>
      </c>
      <c r="BH52" s="34">
        <f ca="1">IFERROR(SUMIFS('TRA balance'!I$5:I$40,'TRA balance'!$C$5:$C$40,Assumptions!$C52,'TRA balance'!$D$5:$D$40,Assumptions!$B52)*DC52*L52,"")</f>
        <v>0</v>
      </c>
      <c r="BI52" s="34">
        <f ca="1">IFERROR(SUMIFS('TRA balance'!J$5:J$40,'TRA balance'!$C$5:$C$40,Assumptions!$C52,'TRA balance'!$D$5:$D$40,Assumptions!$B52)*DD52*M52,"")</f>
        <v>0</v>
      </c>
      <c r="BJ52" s="34">
        <f ca="1">IFERROR(SUMIFS('TRA balance'!K$5:K$40,'TRA balance'!$C$5:$C$40,Assumptions!$C52,'TRA balance'!$D$5:$D$40,Assumptions!$B52)*DE52*N52,"")</f>
        <v>0</v>
      </c>
      <c r="BK52" s="34">
        <f ca="1">IFERROR(SUMIFS('TRA balance'!L$5:L$40,'TRA balance'!$C$5:$C$40,Assumptions!$C52,'TRA balance'!$D$5:$D$40,Assumptions!$B52)*DF52*O52,"")</f>
        <v>0</v>
      </c>
      <c r="BL52" s="34">
        <f ca="1">IFERROR(SUMIFS('TRA balance'!M$5:M$40,'TRA balance'!$C$5:$C$40,Assumptions!$C52,'TRA balance'!$D$5:$D$40,Assumptions!$B52)*DG52*P52,"")</f>
        <v>0</v>
      </c>
      <c r="BM52" s="34">
        <f ca="1">IFERROR(SUMIFS('TRA balance'!N$5:N$40,'TRA balance'!$C$5:$C$40,Assumptions!$C52,'TRA balance'!$D$5:$D$40,Assumptions!$B52)*DH52*Q52,"")</f>
        <v>0</v>
      </c>
      <c r="BN52" s="34">
        <f ca="1">IFERROR(SUMIFS('TRA balance'!O$5:O$40,'TRA balance'!$C$5:$C$40,Assumptions!$C52,'TRA balance'!$D$5:$D$40,Assumptions!$B52)*DI52*R52,"")</f>
        <v>0</v>
      </c>
      <c r="BO52" s="34">
        <f ca="1">IFERROR(SUMIFS('TRA balance'!P$5:P$40,'TRA balance'!$C$5:$C$40,Assumptions!$C52,'TRA balance'!$D$5:$D$40,Assumptions!$B52)*DJ52*S52,"")</f>
        <v>0</v>
      </c>
      <c r="BP52" s="34">
        <f ca="1">IFERROR(SUMIFS('TRA balance'!Q$5:Q$40,'TRA balance'!$C$5:$C$40,Assumptions!$C52,'TRA balance'!$D$5:$D$40,Assumptions!$B52)*DK52*T52,"")</f>
        <v>0</v>
      </c>
      <c r="BQ52" s="34">
        <f ca="1">IFERROR(SUMIFS('TRA balance'!R$5:R$40,'TRA balance'!$C$5:$C$40,Assumptions!$C52,'TRA balance'!$D$5:$D$40,Assumptions!$B52)*DL52*U52,"")</f>
        <v>0</v>
      </c>
      <c r="BR52" s="34">
        <f ca="1">IFERROR(SUMIFS('TRA balance'!S$5:S$40,'TRA balance'!$C$5:$C$40,Assumptions!$C52,'TRA balance'!$D$5:$D$40,Assumptions!$B52)*DM52*V52,"")</f>
        <v>0</v>
      </c>
      <c r="BS52" s="34">
        <f ca="1">IFERROR(SUMIFS('TRA balance'!T$5:T$40,'TRA balance'!$C$5:$C$40,Assumptions!$C52,'TRA balance'!$D$5:$D$40,Assumptions!$B52)*DN52*W52,"")</f>
        <v>0</v>
      </c>
      <c r="BT52" s="34">
        <f ca="1">IFERROR(SUMIFS('TRA balance'!U$5:U$40,'TRA balance'!$C$5:$C$40,Assumptions!$C52,'TRA balance'!$D$5:$D$40,Assumptions!$B52)*DO52*X52,"")</f>
        <v>0</v>
      </c>
      <c r="BU52" s="34">
        <f ca="1">IFERROR(SUMIFS('TRA balance'!V$5:V$40,'TRA balance'!$C$5:$C$40,Assumptions!$C52,'TRA balance'!$D$5:$D$40,Assumptions!$B52)*DP52*Y52,"")</f>
        <v>0</v>
      </c>
      <c r="BV52" s="34">
        <f ca="1">IFERROR(SUMIFS('TRA balance'!W$5:W$40,'TRA balance'!$C$5:$C$40,Assumptions!$C52,'TRA balance'!$D$5:$D$40,Assumptions!$B52)*DQ52*Z52,"")</f>
        <v>0</v>
      </c>
      <c r="BW52" s="34">
        <f ca="1">IFERROR(SUMIFS('TRA balance'!X$5:X$40,'TRA balance'!$C$5:$C$40,Assumptions!$C52,'TRA balance'!$D$5:$D$40,Assumptions!$B52)*DR52*AA52,"")</f>
        <v>0</v>
      </c>
      <c r="BX52" s="34">
        <f ca="1">IFERROR(SUMIFS('TRA balance'!Y$5:Y$40,'TRA balance'!$C$5:$C$40,Assumptions!$C52,'TRA balance'!$D$5:$D$40,Assumptions!$B52)*DS52*AB52,"")</f>
        <v>0</v>
      </c>
      <c r="BY52" s="34">
        <f ca="1">IFERROR(SUMIFS('TRA balance'!Z$5:Z$40,'TRA balance'!$C$5:$C$40,Assumptions!$C52,'TRA balance'!$D$5:$D$40,Assumptions!$B52)*DT52*AC52,"")</f>
        <v>0</v>
      </c>
      <c r="BZ52" s="34">
        <f ca="1">IFERROR(SUMIFS('TRA balance'!AA$5:AA$40,'TRA balance'!$C$5:$C$40,Assumptions!$C52,'TRA balance'!$D$5:$D$40,Assumptions!$B52)*DU52*AD52,"")</f>
        <v>0</v>
      </c>
      <c r="CA52" s="34">
        <f ca="1">IFERROR(SUMIFS('TRA balance'!AB$5:AB$40,'TRA balance'!$C$5:$C$40,Assumptions!$C52,'TRA balance'!$D$5:$D$40,Assumptions!$B52)*DV52*AE52,"")</f>
        <v>0</v>
      </c>
      <c r="CB52" s="34">
        <f ca="1">IFERROR(SUMIFS('TRA balance'!AC$5:AC$40,'TRA balance'!$C$5:$C$40,Assumptions!$C52,'TRA balance'!$D$5:$D$40,Assumptions!$B52)*DW52*AF52,"")</f>
        <v>0</v>
      </c>
      <c r="CC52" s="34">
        <f ca="1">IFERROR(SUMIFS('TRA balance'!AD$5:AD$40,'TRA balance'!$C$5:$C$40,Assumptions!$C52,'TRA balance'!$D$5:$D$40,Assumptions!$B52)*DX52*AG52,"")</f>
        <v>0</v>
      </c>
      <c r="CD52" s="34">
        <f ca="1">IFERROR(SUMIFS('TRA balance'!AE$5:AE$40,'TRA balance'!$C$5:$C$40,Assumptions!$C52,'TRA balance'!$D$5:$D$40,Assumptions!$B52)*DY52*AH52,"")</f>
        <v>0</v>
      </c>
      <c r="CE52" s="34">
        <f ca="1">IFERROR(SUMIFS('TRA balance'!AF$5:AF$40,'TRA balance'!$C$5:$C$40,Assumptions!$C52,'TRA balance'!$D$5:$D$40,Assumptions!$B52)*DZ52*AI52,"")</f>
        <v>0</v>
      </c>
      <c r="CF52" s="34">
        <f ca="1">IFERROR(SUMIFS('TRA balance'!AG$5:AG$40,'TRA balance'!$C$5:$C$40,Assumptions!$C52,'TRA balance'!$D$5:$D$40,Assumptions!$B52)*EA52*AJ52,"")</f>
        <v>0</v>
      </c>
      <c r="CG52" s="34">
        <f ca="1">IFERROR(SUMIFS('TRA balance'!AH$5:AH$40,'TRA balance'!$C$5:$C$40,Assumptions!$C52,'TRA balance'!$D$5:$D$40,Assumptions!$B52)*EB52*AK52,"")</f>
        <v>0</v>
      </c>
      <c r="CH52" s="34">
        <f ca="1">IFERROR(SUMIFS('TRA balance'!AI$5:AI$40,'TRA balance'!$C$5:$C$40,Assumptions!$C52,'TRA balance'!$D$5:$D$40,Assumptions!$B52)*EC52*AL52,"")</f>
        <v>0</v>
      </c>
      <c r="CI52" s="34">
        <f ca="1">IFERROR(SUMIFS('TRA balance'!AJ$5:AJ$40,'TRA balance'!$C$5:$C$40,Assumptions!$C52,'TRA balance'!$D$5:$D$40,Assumptions!$B52)*ED52*AM52,"")</f>
        <v>0</v>
      </c>
      <c r="CJ52" s="34">
        <f ca="1">IFERROR(SUMIFS('TRA balance'!AK$5:AK$40,'TRA balance'!$C$5:$C$40,Assumptions!$C52,'TRA balance'!$D$5:$D$40,Assumptions!$B52)*EE52*AN52,"")</f>
        <v>0</v>
      </c>
      <c r="CK52" s="34">
        <f ca="1">IFERROR(SUMIFS('TRA balance'!AL$5:AL$40,'TRA balance'!$C$5:$C$40,Assumptions!$C52,'TRA balance'!$D$5:$D$40,Assumptions!$B52)*EF52*AO52,"")</f>
        <v>0</v>
      </c>
      <c r="CL52" s="34">
        <f ca="1">IFERROR(SUMIFS('TRA balance'!AM$5:AM$40,'TRA balance'!$C$5:$C$40,Assumptions!$C52,'TRA balance'!$D$5:$D$40,Assumptions!$B52)*EG52*AP52,"")</f>
        <v>0</v>
      </c>
      <c r="CM52" s="34">
        <f ca="1">IFERROR(SUMIFS('TRA balance'!AN$5:AN$40,'TRA balance'!$C$5:$C$40,Assumptions!$C52,'TRA balance'!$D$5:$D$40,Assumptions!$B52)*EH52*AQ52,"")</f>
        <v>0</v>
      </c>
      <c r="CN52" s="34">
        <f ca="1">IFERROR(SUMIFS('TRA balance'!AO$5:AO$40,'TRA balance'!$C$5:$C$40,Assumptions!$C52,'TRA balance'!$D$5:$D$40,Assumptions!$B52)*EI52*AR52,"")</f>
        <v>0</v>
      </c>
      <c r="CO52" s="34">
        <f ca="1">IFERROR(SUMIFS('TRA balance'!AP$5:AP$40,'TRA balance'!$C$5:$C$40,Assumptions!$C52,'TRA balance'!$D$5:$D$40,Assumptions!$B52)*EJ52*AS52,"")</f>
        <v>0</v>
      </c>
      <c r="CP52" s="34">
        <f ca="1">IFERROR(SUMIFS('TRA balance'!AQ$5:AQ$40,'TRA balance'!$C$5:$C$40,Assumptions!$C52,'TRA balance'!$D$5:$D$40,Assumptions!$B52)*EK52*AT52,"")</f>
        <v>0</v>
      </c>
      <c r="CQ52" s="34">
        <f ca="1">IFERROR(SUMIFS('TRA balance'!AR$5:AR$40,'TRA balance'!$C$5:$C$40,Assumptions!$C52,'TRA balance'!$D$5:$D$40,Assumptions!$B52)*EL52*AU52,"")</f>
        <v>0</v>
      </c>
      <c r="CR52" s="34">
        <f ca="1">IFERROR(SUMIFS('TRA balance'!AS$5:AS$40,'TRA balance'!$C$5:$C$40,Assumptions!$C52,'TRA balance'!$D$5:$D$40,Assumptions!$B52)*EM52*AV52,"")</f>
        <v>0</v>
      </c>
      <c r="CS52" s="34">
        <f ca="1">IFERROR(SUMIFS('TRA balance'!AT$5:AT$40,'TRA balance'!$C$5:$C$40,Assumptions!$C52,'TRA balance'!$D$5:$D$40,Assumptions!$B52)*EN52*AW52,"")</f>
        <v>0</v>
      </c>
      <c r="CT52" s="34">
        <f ca="1">IFERROR(SUMIFS('TRA balance'!AU$5:AU$40,'TRA balance'!$C$5:$C$40,Assumptions!$C52,'TRA balance'!$D$5:$D$40,Assumptions!$B52)*EO52*AX52,"")</f>
        <v>0</v>
      </c>
      <c r="CU52" s="34">
        <f ca="1">IFERROR(SUMIFS('TRA balance'!AV$5:AV$40,'TRA balance'!$C$5:$C$40,Assumptions!$C52,'TRA balance'!$D$5:$D$40,Assumptions!$B52)*EP52*AY52,"")</f>
        <v>0</v>
      </c>
      <c r="CV52" s="34">
        <f ca="1">IFERROR(SUMIFS('TRA balance'!AW$5:AW$40,'TRA balance'!$C$5:$C$40,Assumptions!$C52,'TRA balance'!$D$5:$D$40,Assumptions!$B52)*EQ52*AZ52,"")</f>
        <v>0</v>
      </c>
      <c r="CW52" s="34">
        <f ca="1">IFERROR(SUMIFS('TRA balance'!AX$5:AX$40,'TRA balance'!$C$5:$C$40,Assumptions!$C52,'TRA balance'!$D$5:$D$40,Assumptions!$B52)*ER52*BA52,"")</f>
        <v>0</v>
      </c>
      <c r="CY52" s="33">
        <f t="shared" si="66"/>
        <v>1</v>
      </c>
      <c r="CZ52" s="33">
        <f t="shared" si="3"/>
        <v>1</v>
      </c>
      <c r="DA52" s="33">
        <f t="shared" si="4"/>
        <v>1</v>
      </c>
      <c r="DB52" s="33">
        <f t="shared" si="5"/>
        <v>1</v>
      </c>
      <c r="DC52" s="33">
        <f t="shared" si="6"/>
        <v>1</v>
      </c>
      <c r="DD52" s="33">
        <f t="shared" si="7"/>
        <v>1</v>
      </c>
      <c r="DE52" s="33">
        <f t="shared" si="8"/>
        <v>1</v>
      </c>
      <c r="DF52" s="33">
        <f t="shared" si="9"/>
        <v>1</v>
      </c>
      <c r="DG52" s="33">
        <f t="shared" si="10"/>
        <v>1</v>
      </c>
      <c r="DH52" s="33">
        <f t="shared" si="11"/>
        <v>1</v>
      </c>
      <c r="DI52" s="33">
        <f t="shared" si="12"/>
        <v>1</v>
      </c>
      <c r="DJ52" s="33">
        <f t="shared" si="13"/>
        <v>1</v>
      </c>
      <c r="DK52" s="33">
        <f t="shared" si="14"/>
        <v>1</v>
      </c>
      <c r="DL52" s="33">
        <f t="shared" si="15"/>
        <v>1</v>
      </c>
      <c r="DM52" s="33">
        <f t="shared" si="16"/>
        <v>1</v>
      </c>
      <c r="DN52" s="33">
        <f t="shared" si="17"/>
        <v>1</v>
      </c>
      <c r="DO52" s="33">
        <f t="shared" si="18"/>
        <v>1</v>
      </c>
      <c r="DP52" s="33">
        <f t="shared" si="19"/>
        <v>1</v>
      </c>
      <c r="DQ52" s="33">
        <f t="shared" si="20"/>
        <v>1</v>
      </c>
      <c r="DR52" s="33">
        <f t="shared" si="21"/>
        <v>1</v>
      </c>
      <c r="DS52" s="33">
        <f t="shared" si="22"/>
        <v>1</v>
      </c>
      <c r="DT52" s="33">
        <f t="shared" si="23"/>
        <v>1</v>
      </c>
      <c r="DU52" s="33">
        <f t="shared" si="24"/>
        <v>1</v>
      </c>
      <c r="DV52" s="33">
        <f t="shared" si="25"/>
        <v>1</v>
      </c>
      <c r="DW52" s="33">
        <f t="shared" si="26"/>
        <v>1</v>
      </c>
      <c r="DX52" s="33">
        <f t="shared" si="27"/>
        <v>1</v>
      </c>
      <c r="DY52" s="33">
        <f t="shared" si="28"/>
        <v>1</v>
      </c>
      <c r="DZ52" s="33">
        <f t="shared" si="29"/>
        <v>1</v>
      </c>
      <c r="EA52" s="33">
        <f t="shared" si="30"/>
        <v>1</v>
      </c>
      <c r="EB52" s="33">
        <f t="shared" si="31"/>
        <v>1</v>
      </c>
      <c r="EC52" s="33">
        <f t="shared" si="32"/>
        <v>1</v>
      </c>
      <c r="ED52" s="33">
        <f t="shared" si="33"/>
        <v>1</v>
      </c>
      <c r="EE52" s="33">
        <f t="shared" si="34"/>
        <v>1</v>
      </c>
      <c r="EF52" s="33">
        <f t="shared" si="35"/>
        <v>1</v>
      </c>
      <c r="EG52" s="33">
        <f t="shared" si="36"/>
        <v>1</v>
      </c>
      <c r="EH52" s="33">
        <f t="shared" si="37"/>
        <v>1</v>
      </c>
      <c r="EI52" s="33">
        <f t="shared" si="38"/>
        <v>1</v>
      </c>
      <c r="EJ52" s="33">
        <f t="shared" si="39"/>
        <v>1</v>
      </c>
      <c r="EK52" s="33">
        <f t="shared" si="40"/>
        <v>1</v>
      </c>
      <c r="EL52" s="33">
        <f t="shared" si="41"/>
        <v>1</v>
      </c>
      <c r="EM52" s="33">
        <f t="shared" si="42"/>
        <v>1</v>
      </c>
      <c r="EN52" s="33">
        <f t="shared" si="43"/>
        <v>1</v>
      </c>
      <c r="EO52" s="33">
        <f t="shared" si="44"/>
        <v>1</v>
      </c>
      <c r="EP52" s="33">
        <f t="shared" si="45"/>
        <v>1</v>
      </c>
      <c r="EQ52" s="33">
        <f t="shared" si="46"/>
        <v>1</v>
      </c>
      <c r="ER52" s="33">
        <f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6" t="str">
        <f t="shared" si="48"/>
        <v>TR</v>
      </c>
      <c r="D53" s="7" t="s">
        <v>16</v>
      </c>
      <c r="E53" s="18" t="s">
        <v>61</v>
      </c>
      <c r="F53" s="8" t="str">
        <f>F52</f>
        <v>Natural Gas</v>
      </c>
      <c r="G53" s="6" t="s">
        <v>62</v>
      </c>
      <c r="H53" s="9">
        <f ca="1">OFFSET(TIAM15_assumptions!$G53,0,MATCH(VLOOKUP(Assumptions!H$2,TIAM15_assumptions!$Y$3:$Z$87,2,FALSE),TIAM15_assumptions!$H$2:$V$2,0))</f>
        <v>0.5</v>
      </c>
      <c r="I53" s="9">
        <f ca="1">OFFSET(TIAM15_assumptions!$G53,0,MATCH(VLOOKUP(Assumptions!I$2,TIAM15_assumptions!$Y$3:$Z$87,2,FALSE),TIAM15_assumptions!$H$2:$V$2,0))</f>
        <v>0.5</v>
      </c>
      <c r="J53" s="9">
        <f ca="1">OFFSET(TIAM15_assumptions!$G53,0,MATCH(VLOOKUP(Assumptions!J$2,TIAM15_assumptions!$Y$3:$Z$87,2,FALSE),TIAM15_assumptions!$H$2:$V$2,0))</f>
        <v>0.5</v>
      </c>
      <c r="K53" s="9">
        <f ca="1">OFFSET(TIAM15_assumptions!$G53,0,MATCH(VLOOKUP(Assumptions!K$2,TIAM15_assumptions!$Y$3:$Z$87,2,FALSE),TIAM15_assumptions!$H$2:$V$2,0))</f>
        <v>0.92</v>
      </c>
      <c r="L53" s="9">
        <f ca="1">OFFSET(TIAM15_assumptions!$G53,0,MATCH(VLOOKUP(Assumptions!L$2,TIAM15_assumptions!$Y$3:$Z$87,2,FALSE),TIAM15_assumptions!$H$2:$V$2,0))</f>
        <v>0.8</v>
      </c>
      <c r="M53" s="9">
        <f ca="1">OFFSET(TIAM15_assumptions!$G53,0,MATCH(VLOOKUP(Assumptions!M$2,TIAM15_assumptions!$Y$3:$Z$87,2,FALSE),TIAM15_assumptions!$H$2:$V$2,0))</f>
        <v>0.92</v>
      </c>
      <c r="N53" s="9">
        <f ca="1">OFFSET(TIAM15_assumptions!$G53,0,MATCH(VLOOKUP(Assumptions!N$2,TIAM15_assumptions!$Y$3:$Z$87,2,FALSE),TIAM15_assumptions!$H$2:$V$2,0))</f>
        <v>0.6</v>
      </c>
      <c r="O53" s="9">
        <f ca="1">OFFSET(TIAM15_assumptions!$G53,0,MATCH(VLOOKUP(Assumptions!O$2,TIAM15_assumptions!$Y$3:$Z$87,2,FALSE),TIAM15_assumptions!$H$2:$V$2,0))</f>
        <v>0.67</v>
      </c>
      <c r="P53" s="9">
        <f ca="1">OFFSET(TIAM15_assumptions!$G53,0,MATCH(VLOOKUP(Assumptions!P$2,TIAM15_assumptions!$Y$3:$Z$87,2,FALSE),TIAM15_assumptions!$H$2:$V$2,0))</f>
        <v>0.92</v>
      </c>
      <c r="Q53" s="9">
        <f ca="1">OFFSET(TIAM15_assumptions!$G53,0,MATCH(VLOOKUP(Assumptions!Q$2,TIAM15_assumptions!$Y$3:$Z$87,2,FALSE),TIAM15_assumptions!$H$2:$V$2,0))</f>
        <v>0.92</v>
      </c>
      <c r="R53" s="9">
        <f ca="1">OFFSET(TIAM15_assumptions!$G53,0,MATCH(VLOOKUP(Assumptions!R$2,TIAM15_assumptions!$Y$3:$Z$87,2,FALSE),TIAM15_assumptions!$H$2:$V$2,0))</f>
        <v>0.92</v>
      </c>
      <c r="S53" s="9">
        <f ca="1">OFFSET(TIAM15_assumptions!$G53,0,MATCH(VLOOKUP(Assumptions!S$2,TIAM15_assumptions!$Y$3:$Z$87,2,FALSE),TIAM15_assumptions!$H$2:$V$2,0))</f>
        <v>0.92</v>
      </c>
      <c r="T53" s="9">
        <f ca="1">OFFSET(TIAM15_assumptions!$G53,0,MATCH(VLOOKUP(Assumptions!T$2,TIAM15_assumptions!$Y$3:$Z$87,2,FALSE),TIAM15_assumptions!$H$2:$V$2,0))</f>
        <v>0.92</v>
      </c>
      <c r="U53" s="9">
        <f ca="1">OFFSET(TIAM15_assumptions!$G53,0,MATCH(VLOOKUP(Assumptions!U$2,TIAM15_assumptions!$Y$3:$Z$87,2,FALSE),TIAM15_assumptions!$H$2:$V$2,0))</f>
        <v>0.92</v>
      </c>
      <c r="V53" s="9">
        <f ca="1">OFFSET(TIAM15_assumptions!$G53,0,MATCH(VLOOKUP(Assumptions!V$2,TIAM15_assumptions!$Y$3:$Z$87,2,FALSE),TIAM15_assumptions!$H$2:$V$2,0))</f>
        <v>0.92</v>
      </c>
      <c r="W53" s="9">
        <f ca="1">OFFSET(TIAM15_assumptions!$G53,0,MATCH(VLOOKUP(Assumptions!W$2,TIAM15_assumptions!$Y$3:$Z$87,2,FALSE),TIAM15_assumptions!$H$2:$V$2,0))</f>
        <v>0.5</v>
      </c>
      <c r="X53" s="9">
        <f ca="1">OFFSET(TIAM15_assumptions!$G53,0,MATCH(VLOOKUP(Assumptions!X$2,TIAM15_assumptions!$Y$3:$Z$87,2,FALSE),TIAM15_assumptions!$H$2:$V$2,0))</f>
        <v>0.92</v>
      </c>
      <c r="Y53" s="9">
        <f ca="1">OFFSET(TIAM15_assumptions!$G53,0,MATCH(VLOOKUP(Assumptions!Y$2,TIAM15_assumptions!$Y$3:$Z$87,2,FALSE),TIAM15_assumptions!$H$2:$V$2,0))</f>
        <v>0.92</v>
      </c>
      <c r="Z53" s="9">
        <f ca="1">OFFSET(TIAM15_assumptions!$G53,0,MATCH(VLOOKUP(Assumptions!Z$2,TIAM15_assumptions!$Y$3:$Z$87,2,FALSE),TIAM15_assumptions!$H$2:$V$2,0))</f>
        <v>0.8</v>
      </c>
      <c r="AA53" s="9">
        <f ca="1">OFFSET(TIAM15_assumptions!$G53,0,MATCH(VLOOKUP(Assumptions!AA$2,TIAM15_assumptions!$Y$3:$Z$87,2,FALSE),TIAM15_assumptions!$H$2:$V$2,0))</f>
        <v>0.6</v>
      </c>
      <c r="AB53" s="9">
        <f ca="1">OFFSET(TIAM15_assumptions!$G53,0,MATCH(VLOOKUP(Assumptions!AB$2,TIAM15_assumptions!$Y$3:$Z$87,2,FALSE),TIAM15_assumptions!$H$2:$V$2,0))</f>
        <v>0.92</v>
      </c>
      <c r="AC53" s="9">
        <f ca="1">OFFSET(TIAM15_assumptions!$G53,0,MATCH(VLOOKUP(Assumptions!AC$2,TIAM15_assumptions!$Y$3:$Z$87,2,FALSE),TIAM15_assumptions!$H$2:$V$2,0))</f>
        <v>0.5236972745320454</v>
      </c>
      <c r="AD53" s="9">
        <f ca="1">OFFSET(TIAM15_assumptions!$G53,0,MATCH(VLOOKUP(Assumptions!AD$2,TIAM15_assumptions!$Y$3:$Z$87,2,FALSE),TIAM15_assumptions!$H$2:$V$2,0))</f>
        <v>0.92</v>
      </c>
      <c r="AE53" s="9">
        <f ca="1">OFFSET(TIAM15_assumptions!$G53,0,MATCH(VLOOKUP(Assumptions!AE$2,TIAM15_assumptions!$Y$3:$Z$87,2,FALSE),TIAM15_assumptions!$H$2:$V$2,0))</f>
        <v>0.92</v>
      </c>
      <c r="AF53" s="9">
        <f ca="1">OFFSET(TIAM15_assumptions!$G53,0,MATCH(VLOOKUP(Assumptions!AF$2,TIAM15_assumptions!$Y$3:$Z$87,2,FALSE),TIAM15_assumptions!$H$2:$V$2,0))</f>
        <v>0.8</v>
      </c>
      <c r="AG53" s="9">
        <f ca="1">OFFSET(TIAM15_assumptions!$G53,0,MATCH(VLOOKUP(Assumptions!AG$2,TIAM15_assumptions!$Y$3:$Z$87,2,FALSE),TIAM15_assumptions!$H$2:$V$2,0))</f>
        <v>0.8</v>
      </c>
      <c r="AH53" s="9">
        <f ca="1">OFFSET(TIAM15_assumptions!$G53,0,MATCH(VLOOKUP(Assumptions!AH$2,TIAM15_assumptions!$Y$3:$Z$87,2,FALSE),TIAM15_assumptions!$H$2:$V$2,0))</f>
        <v>0.92</v>
      </c>
      <c r="AI53" s="9">
        <f ca="1">OFFSET(TIAM15_assumptions!$G53,0,MATCH(VLOOKUP(Assumptions!AI$2,TIAM15_assumptions!$Y$3:$Z$87,2,FALSE),TIAM15_assumptions!$H$2:$V$2,0))</f>
        <v>0.5</v>
      </c>
      <c r="AJ53" s="9">
        <f ca="1">OFFSET(TIAM15_assumptions!$G53,0,MATCH(VLOOKUP(Assumptions!AJ$2,TIAM15_assumptions!$Y$3:$Z$87,2,FALSE),TIAM15_assumptions!$H$2:$V$2,0))</f>
        <v>0.92</v>
      </c>
      <c r="AK53" s="9">
        <f ca="1">OFFSET(TIAM15_assumptions!$G53,0,MATCH(VLOOKUP(Assumptions!AK$2,TIAM15_assumptions!$Y$3:$Z$87,2,FALSE),TIAM15_assumptions!$H$2:$V$2,0))</f>
        <v>0.92</v>
      </c>
      <c r="AL53" s="9">
        <f ca="1">OFFSET(TIAM15_assumptions!$G53,0,MATCH(VLOOKUP(Assumptions!AL$2,TIAM15_assumptions!$Y$3:$Z$87,2,FALSE),TIAM15_assumptions!$H$2:$V$2,0))</f>
        <v>0.92</v>
      </c>
      <c r="AM53" s="9">
        <f ca="1">OFFSET(TIAM15_assumptions!$G53,0,MATCH(VLOOKUP(Assumptions!AM$2,TIAM15_assumptions!$Y$3:$Z$87,2,FALSE),TIAM15_assumptions!$H$2:$V$2,0))</f>
        <v>0.92</v>
      </c>
      <c r="AN53" s="9">
        <f ca="1">OFFSET(TIAM15_assumptions!$G53,0,MATCH(VLOOKUP(Assumptions!AN$2,TIAM15_assumptions!$Y$3:$Z$87,2,FALSE),TIAM15_assumptions!$H$2:$V$2,0))</f>
        <v>0.92</v>
      </c>
      <c r="AO53" s="9">
        <f ca="1">OFFSET(TIAM15_assumptions!$G53,0,MATCH(VLOOKUP(Assumptions!AO$2,TIAM15_assumptions!$Y$3:$Z$87,2,FALSE),TIAM15_assumptions!$H$2:$V$2,0))</f>
        <v>0.8</v>
      </c>
      <c r="AP53" s="9">
        <f ca="1">OFFSET(TIAM15_assumptions!$G53,0,MATCH(VLOOKUP(Assumptions!AP$2,TIAM15_assumptions!$Y$3:$Z$87,2,FALSE),TIAM15_assumptions!$H$2:$V$2,0))</f>
        <v>0.92</v>
      </c>
      <c r="AQ53" s="9">
        <f ca="1">OFFSET(TIAM15_assumptions!$G53,0,MATCH(VLOOKUP(Assumptions!AQ$2,TIAM15_assumptions!$Y$3:$Z$87,2,FALSE),TIAM15_assumptions!$H$2:$V$2,0))</f>
        <v>0.5236972745320454</v>
      </c>
      <c r="AR53" s="9">
        <f ca="1">OFFSET(TIAM15_assumptions!$G53,0,MATCH(VLOOKUP(Assumptions!AR$2,TIAM15_assumptions!$Y$3:$Z$87,2,FALSE),TIAM15_assumptions!$H$2:$V$2,0))</f>
        <v>0.5236972745320454</v>
      </c>
      <c r="AS53" s="9">
        <f ca="1">OFFSET(TIAM15_assumptions!$G53,0,MATCH(VLOOKUP(Assumptions!AS$2,TIAM15_assumptions!$Y$3:$Z$87,2,FALSE),TIAM15_assumptions!$H$2:$V$2,0))</f>
        <v>0.5236972745320454</v>
      </c>
      <c r="AT53" s="9">
        <f ca="1">OFFSET(TIAM15_assumptions!$G53,0,MATCH(VLOOKUP(Assumptions!AT$2,TIAM15_assumptions!$Y$3:$Z$87,2,FALSE),TIAM15_assumptions!$H$2:$V$2,0))</f>
        <v>0.5236972745320454</v>
      </c>
      <c r="AU53" s="9">
        <f ca="1">OFFSET(TIAM15_assumptions!$G53,0,MATCH(VLOOKUP(Assumptions!AU$2,TIAM15_assumptions!$Y$3:$Z$87,2,FALSE),TIAM15_assumptions!$H$2:$V$2,0))</f>
        <v>0.5236972745320454</v>
      </c>
      <c r="AV53" s="9">
        <f ca="1">OFFSET(TIAM15_assumptions!$G53,0,MATCH(VLOOKUP(Assumptions!AV$2,TIAM15_assumptions!$Y$3:$Z$87,2,FALSE),TIAM15_assumptions!$H$2:$V$2,0))</f>
        <v>0.5236972745320454</v>
      </c>
      <c r="AW53" s="9">
        <f ca="1">OFFSET(TIAM15_assumptions!$G53,0,MATCH(VLOOKUP(Assumptions!AW$2,TIAM15_assumptions!$Y$3:$Z$87,2,FALSE),TIAM15_assumptions!$H$2:$V$2,0))</f>
        <v>0.5236972745320454</v>
      </c>
      <c r="AX53" s="9">
        <f ca="1">OFFSET(TIAM15_assumptions!$G53,0,MATCH(VLOOKUP(Assumptions!AX$2,TIAM15_assumptions!$Y$3:$Z$87,2,FALSE),TIAM15_assumptions!$H$2:$V$2,0))</f>
        <v>0.5236972745320454</v>
      </c>
      <c r="AY53" s="9">
        <f ca="1">OFFSET(TIAM15_assumptions!$G53,0,MATCH(VLOOKUP(Assumptions!AY$2,TIAM15_assumptions!$Y$3:$Z$87,2,FALSE),TIAM15_assumptions!$H$2:$V$2,0))</f>
        <v>0.5236972745320454</v>
      </c>
      <c r="AZ53" s="9">
        <f ca="1">OFFSET(TIAM15_assumptions!$G53,0,MATCH(VLOOKUP(Assumptions!AZ$2,TIAM15_assumptions!$Y$3:$Z$87,2,FALSE),TIAM15_assumptions!$H$2:$V$2,0))</f>
        <v>0.5236972745320454</v>
      </c>
      <c r="BA53" s="9">
        <f ca="1">OFFSET(TIAM15_assumptions!$G53,0,MATCH(VLOOKUP(Assumptions!BA$2,TIAM15_assumptions!$Y$3:$Z$87,2,FALSE),TIAM15_assumptions!$H$2:$V$2,0))</f>
        <v>0.5236972745320454</v>
      </c>
      <c r="BD53" s="34">
        <f ca="1">IFERROR(SUMIFS('TRA balance'!E$5:E$40,'TRA balance'!$C$5:$C$40,Assumptions!$C53,'TRA balance'!$D$5:$D$40,Assumptions!$B53)*CY53*H53,"")</f>
        <v>2.5435066441499998</v>
      </c>
      <c r="BE53" s="34">
        <f ca="1">IFERROR(SUMIFS('TRA balance'!F$5:F$40,'TRA balance'!$C$5:$C$40,Assumptions!$C53,'TRA balance'!$D$5:$D$40,Assumptions!$B53)*CZ53*I53,"")</f>
        <v>9.3360406500000003E-3</v>
      </c>
      <c r="BF53" s="34">
        <f ca="1">IFERROR(SUMIFS('TRA balance'!G$5:G$40,'TRA balance'!$C$5:$C$40,Assumptions!$C53,'TRA balance'!$D$5:$D$40,Assumptions!$B53)*DA53*J53,"")</f>
        <v>0.39043166039999999</v>
      </c>
      <c r="BG53" s="34">
        <f ca="1">IFERROR(SUMIFS('TRA balance'!H$5:H$40,'TRA balance'!$C$5:$C$40,Assumptions!$C53,'TRA balance'!$D$5:$D$40,Assumptions!$B53)*DB53*K53,"")</f>
        <v>0.49190459848358398</v>
      </c>
      <c r="BH53" s="34">
        <f ca="1">IFERROR(SUMIFS('TRA balance'!I$5:I$40,'TRA balance'!$C$5:$C$40,Assumptions!$C53,'TRA balance'!$D$5:$D$40,Assumptions!$B53)*DC53*L53,"")</f>
        <v>0.45038043993600002</v>
      </c>
      <c r="BI53" s="34">
        <f ca="1">IFERROR(SUMIFS('TRA balance'!J$5:J$40,'TRA balance'!$C$5:$C$40,Assumptions!$C53,'TRA balance'!$D$5:$D$40,Assumptions!$B53)*DD53*M53,"")</f>
        <v>2.4074171259336001</v>
      </c>
      <c r="BJ53" s="34">
        <f ca="1">IFERROR(SUMIFS('TRA balance'!K$5:K$40,'TRA balance'!$C$5:$C$40,Assumptions!$C53,'TRA balance'!$D$5:$D$40,Assumptions!$B53)*DE53*N53,"")</f>
        <v>25.251920527679996</v>
      </c>
      <c r="BK53" s="34">
        <f ca="1">IFERROR(SUMIFS('TRA balance'!L$5:L$40,'TRA balance'!$C$5:$C$40,Assumptions!$C53,'TRA balance'!$D$5:$D$40,Assumptions!$B53)*DF53*O53,"")</f>
        <v>275.59520826376325</v>
      </c>
      <c r="BL53" s="34">
        <f ca="1">IFERROR(SUMIFS('TRA balance'!M$5:M$40,'TRA balance'!$C$5:$C$40,Assumptions!$C53,'TRA balance'!$D$5:$D$40,Assumptions!$B53)*DG53*P53,"")</f>
        <v>0</v>
      </c>
      <c r="BM53" s="34">
        <f ca="1">IFERROR(SUMIFS('TRA balance'!N$5:N$40,'TRA balance'!$C$5:$C$40,Assumptions!$C53,'TRA balance'!$D$5:$D$40,Assumptions!$B53)*DH53*Q53,"")</f>
        <v>0</v>
      </c>
      <c r="BN53" s="34">
        <f ca="1">IFERROR(SUMIFS('TRA balance'!O$5:O$40,'TRA balance'!$C$5:$C$40,Assumptions!$C53,'TRA balance'!$D$5:$D$40,Assumptions!$B53)*DI53*R53,"")</f>
        <v>4.2741652873867206</v>
      </c>
      <c r="BO53" s="34">
        <f ca="1">IFERROR(SUMIFS('TRA balance'!P$5:P$40,'TRA balance'!$C$5:$C$40,Assumptions!$C53,'TRA balance'!$D$5:$D$40,Assumptions!$B53)*DJ53*S53,"")</f>
        <v>5.2306855637065928</v>
      </c>
      <c r="BP53" s="34">
        <f ca="1">IFERROR(SUMIFS('TRA balance'!Q$5:Q$40,'TRA balance'!$C$5:$C$40,Assumptions!$C53,'TRA balance'!$D$5:$D$40,Assumptions!$B53)*DK53*T53,"")</f>
        <v>0.46999044984672</v>
      </c>
      <c r="BQ53" s="34">
        <f ca="1">IFERROR(SUMIFS('TRA balance'!R$5:R$40,'TRA balance'!$C$5:$C$40,Assumptions!$C53,'TRA balance'!$D$5:$D$40,Assumptions!$B53)*DL53*U53,"")</f>
        <v>0</v>
      </c>
      <c r="BR53" s="34">
        <f ca="1">IFERROR(SUMIFS('TRA balance'!S$5:S$40,'TRA balance'!$C$5:$C$40,Assumptions!$C53,'TRA balance'!$D$5:$D$40,Assumptions!$B53)*DM53*V53,"")</f>
        <v>4.6707451781760008E-2</v>
      </c>
      <c r="BS53" s="34">
        <f ca="1">IFERROR(SUMIFS('TRA balance'!T$5:T$40,'TRA balance'!$C$5:$C$40,Assumptions!$C53,'TRA balance'!$D$5:$D$40,Assumptions!$B53)*DN53*W53,"")</f>
        <v>15.4225927764</v>
      </c>
      <c r="BT53" s="34">
        <f ca="1">IFERROR(SUMIFS('TRA balance'!U$5:U$40,'TRA balance'!$C$5:$C$40,Assumptions!$C53,'TRA balance'!$D$5:$D$40,Assumptions!$B53)*DO53*X53,"")</f>
        <v>0</v>
      </c>
      <c r="BU53" s="34">
        <f ca="1">IFERROR(SUMIFS('TRA balance'!V$5:V$40,'TRA balance'!$C$5:$C$40,Assumptions!$C53,'TRA balance'!$D$5:$D$40,Assumptions!$B53)*DP53*Y53,"")</f>
        <v>25.216110662152612</v>
      </c>
      <c r="BV53" s="34">
        <f ca="1">IFERROR(SUMIFS('TRA balance'!W$5:W$40,'TRA balance'!$C$5:$C$40,Assumptions!$C53,'TRA balance'!$D$5:$D$40,Assumptions!$B53)*DQ53*Z53,"")</f>
        <v>1.063245061296</v>
      </c>
      <c r="BW53" s="34">
        <f ca="1">IFERROR(SUMIFS('TRA balance'!X$5:X$40,'TRA balance'!$C$5:$C$40,Assumptions!$C53,'TRA balance'!$D$5:$D$40,Assumptions!$B53)*DR53*AA53,"")</f>
        <v>48.564588145679998</v>
      </c>
      <c r="BX53" s="34">
        <f ca="1">IFERROR(SUMIFS('TRA balance'!Y$5:Y$40,'TRA balance'!$C$5:$C$40,Assumptions!$C53,'TRA balance'!$D$5:$D$40,Assumptions!$B53)*DS53*AB53,"")</f>
        <v>175.33378713368711</v>
      </c>
      <c r="BY53" s="34">
        <f ca="1">IFERROR(SUMIFS('TRA balance'!Z$5:Z$40,'TRA balance'!$C$5:$C$40,Assumptions!$C53,'TRA balance'!$D$5:$D$40,Assumptions!$B53)*DT53*AC53,"")</f>
        <v>27.869260289977085</v>
      </c>
      <c r="BZ53" s="34">
        <f ca="1">IFERROR(SUMIFS('TRA balance'!AA$5:AA$40,'TRA balance'!$C$5:$C$40,Assumptions!$C53,'TRA balance'!$D$5:$D$40,Assumptions!$B53)*DU53*AD53,"")</f>
        <v>1.4869230584852162</v>
      </c>
      <c r="CA53" s="34">
        <f ca="1">IFERROR(SUMIFS('TRA balance'!AB$5:AB$40,'TRA balance'!$C$5:$C$40,Assumptions!$C53,'TRA balance'!$D$5:$D$40,Assumptions!$B53)*DV53*AE53,"")</f>
        <v>0</v>
      </c>
      <c r="CB53" s="34">
        <f ca="1">IFERROR(SUMIFS('TRA balance'!AC$5:AC$40,'TRA balance'!$C$5:$C$40,Assumptions!$C53,'TRA balance'!$D$5:$D$40,Assumptions!$B53)*DW53*AF53,"")</f>
        <v>262.72442577427199</v>
      </c>
      <c r="CC53" s="34">
        <f ca="1">IFERROR(SUMIFS('TRA balance'!AD$5:AD$40,'TRA balance'!$C$5:$C$40,Assumptions!$C53,'TRA balance'!$D$5:$D$40,Assumptions!$B53)*DX53*AG53,"")</f>
        <v>4.9871453385599995</v>
      </c>
      <c r="CD53" s="34">
        <f ca="1">IFERROR(SUMIFS('TRA balance'!AE$5:AE$40,'TRA balance'!$C$5:$C$40,Assumptions!$C53,'TRA balance'!$D$5:$D$40,Assumptions!$B53)*DY53*AH53,"")</f>
        <v>0</v>
      </c>
      <c r="CE53" s="34">
        <f ca="1">IFERROR(SUMIFS('TRA balance'!AF$5:AF$40,'TRA balance'!$C$5:$C$40,Assumptions!$C53,'TRA balance'!$D$5:$D$40,Assumptions!$B53)*DZ53*AI53,"")</f>
        <v>9.1638584999999999E-4</v>
      </c>
      <c r="CF53" s="34">
        <f ca="1">IFERROR(SUMIFS('TRA balance'!AG$5:AG$40,'TRA balance'!$C$5:$C$40,Assumptions!$C53,'TRA balance'!$D$5:$D$40,Assumptions!$B53)*EA53*AJ53,"")</f>
        <v>5.5642419181800005</v>
      </c>
      <c r="CG53" s="34">
        <f ca="1">IFERROR(SUMIFS('TRA balance'!AH$5:AH$40,'TRA balance'!$C$5:$C$40,Assumptions!$C53,'TRA balance'!$D$5:$D$40,Assumptions!$B53)*EB53*AK53,"")</f>
        <v>3.3104129742414723</v>
      </c>
      <c r="CH53" s="34">
        <f ca="1">IFERROR(SUMIFS('TRA balance'!AI$5:AI$40,'TRA balance'!$C$5:$C$40,Assumptions!$C53,'TRA balance'!$D$5:$D$40,Assumptions!$B53)*EC53*AL53,"")</f>
        <v>0.36648011674454406</v>
      </c>
      <c r="CI53" s="34">
        <f ca="1">IFERROR(SUMIFS('TRA balance'!AJ$5:AJ$40,'TRA balance'!$C$5:$C$40,Assumptions!$C53,'TRA balance'!$D$5:$D$40,Assumptions!$B53)*ED53*AM53,"")</f>
        <v>2.0979027623885762</v>
      </c>
      <c r="CJ53" s="34">
        <f ca="1">IFERROR(SUMIFS('TRA balance'!AK$5:AK$40,'TRA balance'!$C$5:$C$40,Assumptions!$C53,'TRA balance'!$D$5:$D$40,Assumptions!$B53)*EE53*AN53,"")</f>
        <v>0.35745386228323206</v>
      </c>
      <c r="CK53" s="34">
        <f ca="1">IFERROR(SUMIFS('TRA balance'!AL$5:AL$40,'TRA balance'!$C$5:$C$40,Assumptions!$C53,'TRA balance'!$D$5:$D$40,Assumptions!$B53)*EF53*AO53,"")</f>
        <v>0.75347963913599991</v>
      </c>
      <c r="CL53" s="34">
        <f ca="1">IFERROR(SUMIFS('TRA balance'!AM$5:AM$40,'TRA balance'!$C$5:$C$40,Assumptions!$C53,'TRA balance'!$D$5:$D$40,Assumptions!$B53)*EG53*AP53,"")</f>
        <v>0</v>
      </c>
      <c r="CM53" s="34">
        <f ca="1">IFERROR(SUMIFS('TRA balance'!AN$5:AN$40,'TRA balance'!$C$5:$C$40,Assumptions!$C53,'TRA balance'!$D$5:$D$40,Assumptions!$B53)*EH53*AQ53,"")</f>
        <v>0</v>
      </c>
      <c r="CN53" s="34">
        <f ca="1">IFERROR(SUMIFS('TRA balance'!AO$5:AO$40,'TRA balance'!$C$5:$C$40,Assumptions!$C53,'TRA balance'!$D$5:$D$40,Assumptions!$B53)*EI53*AR53,"")</f>
        <v>0</v>
      </c>
      <c r="CO53" s="34">
        <f ca="1">IFERROR(SUMIFS('TRA balance'!AP$5:AP$40,'TRA balance'!$C$5:$C$40,Assumptions!$C53,'TRA balance'!$D$5:$D$40,Assumptions!$B53)*EJ53*AS53,"")</f>
        <v>0</v>
      </c>
      <c r="CP53" s="34">
        <f ca="1">IFERROR(SUMIFS('TRA balance'!AQ$5:AQ$40,'TRA balance'!$C$5:$C$40,Assumptions!$C53,'TRA balance'!$D$5:$D$40,Assumptions!$B53)*EK53*AT53,"")</f>
        <v>0</v>
      </c>
      <c r="CQ53" s="34">
        <f ca="1">IFERROR(SUMIFS('TRA balance'!AR$5:AR$40,'TRA balance'!$C$5:$C$40,Assumptions!$C53,'TRA balance'!$D$5:$D$40,Assumptions!$B53)*EL53*AU53,"")</f>
        <v>0</v>
      </c>
      <c r="CR53" s="34">
        <f ca="1">IFERROR(SUMIFS('TRA balance'!AS$5:AS$40,'TRA balance'!$C$5:$C$40,Assumptions!$C53,'TRA balance'!$D$5:$D$40,Assumptions!$B53)*EM53*AV53,"")</f>
        <v>0</v>
      </c>
      <c r="CS53" s="34">
        <f ca="1">IFERROR(SUMIFS('TRA balance'!AT$5:AT$40,'TRA balance'!$C$5:$C$40,Assumptions!$C53,'TRA balance'!$D$5:$D$40,Assumptions!$B53)*EN53*AW53,"")</f>
        <v>0</v>
      </c>
      <c r="CT53" s="34">
        <f ca="1">IFERROR(SUMIFS('TRA balance'!AU$5:AU$40,'TRA balance'!$C$5:$C$40,Assumptions!$C53,'TRA balance'!$D$5:$D$40,Assumptions!$B53)*EO53*AX53,"")</f>
        <v>0</v>
      </c>
      <c r="CU53" s="34">
        <f ca="1">IFERROR(SUMIFS('TRA balance'!AV$5:AV$40,'TRA balance'!$C$5:$C$40,Assumptions!$C53,'TRA balance'!$D$5:$D$40,Assumptions!$B53)*EP53*AY53,"")</f>
        <v>0</v>
      </c>
      <c r="CV53" s="34">
        <f ca="1">IFERROR(SUMIFS('TRA balance'!AW$5:AW$40,'TRA balance'!$C$5:$C$40,Assumptions!$C53,'TRA balance'!$D$5:$D$40,Assumptions!$B53)*EQ53*AZ53,"")</f>
        <v>0</v>
      </c>
      <c r="CW53" s="34">
        <f ca="1">IFERROR(SUMIFS('TRA balance'!AX$5:AX$40,'TRA balance'!$C$5:$C$40,Assumptions!$C53,'TRA balance'!$D$5:$D$40,Assumptions!$B53)*ER53*BA53,"")</f>
        <v>0</v>
      </c>
      <c r="CY53" s="33">
        <f t="shared" ca="1" si="66"/>
        <v>0.25</v>
      </c>
      <c r="CZ53" s="33">
        <f t="shared" ca="1" si="3"/>
        <v>0.25</v>
      </c>
      <c r="DA53" s="33">
        <f t="shared" ca="1" si="4"/>
        <v>0.25</v>
      </c>
      <c r="DB53" s="33">
        <f t="shared" ca="1" si="5"/>
        <v>0.68200000000000005</v>
      </c>
      <c r="DC53" s="33">
        <f t="shared" ca="1" si="6"/>
        <v>0.7</v>
      </c>
      <c r="DD53" s="33">
        <f t="shared" ca="1" si="7"/>
        <v>0.68200000000000005</v>
      </c>
      <c r="DE53" s="33">
        <f t="shared" ca="1" si="8"/>
        <v>0.5</v>
      </c>
      <c r="DF53" s="33">
        <f t="shared" ca="1" si="9"/>
        <v>0.4</v>
      </c>
      <c r="DG53" s="33">
        <f t="shared" ca="1" si="10"/>
        <v>0</v>
      </c>
      <c r="DH53" s="33">
        <f t="shared" ca="1" si="11"/>
        <v>0</v>
      </c>
      <c r="DI53" s="33">
        <f t="shared" ca="1" si="12"/>
        <v>0.68200000000000005</v>
      </c>
      <c r="DJ53" s="33">
        <f t="shared" ca="1" si="13"/>
        <v>0.68200000000000005</v>
      </c>
      <c r="DK53" s="33">
        <f t="shared" ca="1" si="14"/>
        <v>0.68200000000000005</v>
      </c>
      <c r="DL53" s="33">
        <f t="shared" ca="1" si="15"/>
        <v>0</v>
      </c>
      <c r="DM53" s="33">
        <f t="shared" ca="1" si="16"/>
        <v>0.68200000000000005</v>
      </c>
      <c r="DN53" s="33">
        <f t="shared" ca="1" si="17"/>
        <v>0.25</v>
      </c>
      <c r="DO53" s="33">
        <f t="shared" ca="1" si="18"/>
        <v>0.68200000000000005</v>
      </c>
      <c r="DP53" s="33">
        <f t="shared" ca="1" si="19"/>
        <v>0.68200000000000005</v>
      </c>
      <c r="DQ53" s="33">
        <f t="shared" ca="1" si="20"/>
        <v>0.95</v>
      </c>
      <c r="DR53" s="33">
        <f t="shared" ca="1" si="21"/>
        <v>0.5</v>
      </c>
      <c r="DS53" s="33">
        <f t="shared" ca="1" si="22"/>
        <v>0.68200000000000005</v>
      </c>
      <c r="DT53" s="33">
        <f t="shared" ca="1" si="23"/>
        <v>0.97916979455979025</v>
      </c>
      <c r="DU53" s="33">
        <f t="shared" ca="1" si="24"/>
        <v>0.68200000000000005</v>
      </c>
      <c r="DV53" s="33">
        <f t="shared" ca="1" si="25"/>
        <v>0</v>
      </c>
      <c r="DW53" s="33">
        <f t="shared" ca="1" si="26"/>
        <v>0.9</v>
      </c>
      <c r="DX53" s="33">
        <f t="shared" ca="1" si="27"/>
        <v>0.7</v>
      </c>
      <c r="DY53" s="33">
        <f t="shared" ca="1" si="28"/>
        <v>0.68200000000000005</v>
      </c>
      <c r="DZ53" s="33">
        <f t="shared" ca="1" si="29"/>
        <v>0.25</v>
      </c>
      <c r="EA53" s="33">
        <f t="shared" ca="1" si="30"/>
        <v>0.68200000000000005</v>
      </c>
      <c r="EB53" s="33">
        <f t="shared" ca="1" si="31"/>
        <v>0.68200000000000005</v>
      </c>
      <c r="EC53" s="33">
        <f t="shared" ca="1" si="32"/>
        <v>0.68200000000000005</v>
      </c>
      <c r="ED53" s="33">
        <f t="shared" ca="1" si="33"/>
        <v>0.68200000000000005</v>
      </c>
      <c r="EE53" s="33">
        <f t="shared" ca="1" si="34"/>
        <v>0.68200000000000005</v>
      </c>
      <c r="EF53" s="33">
        <f t="shared" ca="1" si="35"/>
        <v>0.7</v>
      </c>
      <c r="EG53" s="33">
        <f t="shared" ca="1" si="36"/>
        <v>0</v>
      </c>
      <c r="EH53" s="33">
        <f t="shared" ca="1" si="37"/>
        <v>0.97916979455979025</v>
      </c>
      <c r="EI53" s="33">
        <f t="shared" ca="1" si="38"/>
        <v>0.97916979455979025</v>
      </c>
      <c r="EJ53" s="33">
        <f t="shared" ca="1" si="39"/>
        <v>0.97916979455979025</v>
      </c>
      <c r="EK53" s="33">
        <f t="shared" ca="1" si="40"/>
        <v>0.97916979455979025</v>
      </c>
      <c r="EL53" s="33">
        <f t="shared" ca="1" si="41"/>
        <v>0.97916979455979025</v>
      </c>
      <c r="EM53" s="33">
        <f t="shared" ca="1" si="42"/>
        <v>0.97916979455979025</v>
      </c>
      <c r="EN53" s="33">
        <f t="shared" ca="1" si="43"/>
        <v>0.97916979455979025</v>
      </c>
      <c r="EO53" s="33">
        <f t="shared" ca="1" si="44"/>
        <v>0.97916979455979025</v>
      </c>
      <c r="EP53" s="33">
        <f t="shared" ca="1" si="45"/>
        <v>0.97916979455979025</v>
      </c>
      <c r="EQ53" s="33">
        <f t="shared" ca="1" si="46"/>
        <v>0.97916979455979025</v>
      </c>
      <c r="ER53" s="33">
        <f t="shared" ca="1" si="47"/>
        <v>0.97916979455979025</v>
      </c>
    </row>
    <row r="54" spans="1:148">
      <c r="A54">
        <v>1</v>
      </c>
      <c r="B54" t="str">
        <f>VLOOKUP(F54,'TRA balance'!$BA$5:$BB$14,2,FALSE)</f>
        <v>TRANGA</v>
      </c>
      <c r="C54" s="6" t="str">
        <f t="shared" si="48"/>
        <v>TR</v>
      </c>
      <c r="D54" s="7" t="s">
        <v>16</v>
      </c>
      <c r="E54" s="18" t="s">
        <v>63</v>
      </c>
      <c r="F54" s="8" t="str">
        <f t="shared" ref="F54" si="78">F53</f>
        <v>Natural Gas</v>
      </c>
      <c r="G54" s="6" t="s">
        <v>64</v>
      </c>
      <c r="H54" s="9">
        <f ca="1">OFFSET(TIAM15_assumptions!$G54,0,MATCH(VLOOKUP(Assumptions!H$2,TIAM15_assumptions!$Y$3:$Z$87,2,FALSE),TIAM15_assumptions!$H$2:$V$2,0))</f>
        <v>0.5</v>
      </c>
      <c r="I54" s="9">
        <f ca="1">OFFSET(TIAM15_assumptions!$G54,0,MATCH(VLOOKUP(Assumptions!I$2,TIAM15_assumptions!$Y$3:$Z$87,2,FALSE),TIAM15_assumptions!$H$2:$V$2,0))</f>
        <v>0.5</v>
      </c>
      <c r="J54" s="9">
        <f ca="1">OFFSET(TIAM15_assumptions!$G54,0,MATCH(VLOOKUP(Assumptions!J$2,TIAM15_assumptions!$Y$3:$Z$87,2,FALSE),TIAM15_assumptions!$H$2:$V$2,0))</f>
        <v>0.5</v>
      </c>
      <c r="K54" s="9">
        <f ca="1">OFFSET(TIAM15_assumptions!$G54,0,MATCH(VLOOKUP(Assumptions!K$2,TIAM15_assumptions!$Y$3:$Z$87,2,FALSE),TIAM15_assumptions!$H$2:$V$2,0))</f>
        <v>0.08</v>
      </c>
      <c r="L54" s="9">
        <f ca="1">OFFSET(TIAM15_assumptions!$G54,0,MATCH(VLOOKUP(Assumptions!L$2,TIAM15_assumptions!$Y$3:$Z$87,2,FALSE),TIAM15_assumptions!$H$2:$V$2,0))</f>
        <v>0.2</v>
      </c>
      <c r="M54" s="9">
        <f ca="1">OFFSET(TIAM15_assumptions!$G54,0,MATCH(VLOOKUP(Assumptions!M$2,TIAM15_assumptions!$Y$3:$Z$87,2,FALSE),TIAM15_assumptions!$H$2:$V$2,0))</f>
        <v>0.08</v>
      </c>
      <c r="N54" s="9">
        <f ca="1">OFFSET(TIAM15_assumptions!$G54,0,MATCH(VLOOKUP(Assumptions!N$2,TIAM15_assumptions!$Y$3:$Z$87,2,FALSE),TIAM15_assumptions!$H$2:$V$2,0))</f>
        <v>0.4</v>
      </c>
      <c r="O54" s="9">
        <f ca="1">OFFSET(TIAM15_assumptions!$G54,0,MATCH(VLOOKUP(Assumptions!O$2,TIAM15_assumptions!$Y$3:$Z$87,2,FALSE),TIAM15_assumptions!$H$2:$V$2,0))</f>
        <v>0.33</v>
      </c>
      <c r="P54" s="9">
        <f ca="1">OFFSET(TIAM15_assumptions!$G54,0,MATCH(VLOOKUP(Assumptions!P$2,TIAM15_assumptions!$Y$3:$Z$87,2,FALSE),TIAM15_assumptions!$H$2:$V$2,0))</f>
        <v>0.08</v>
      </c>
      <c r="Q54" s="9">
        <f ca="1">OFFSET(TIAM15_assumptions!$G54,0,MATCH(VLOOKUP(Assumptions!Q$2,TIAM15_assumptions!$Y$3:$Z$87,2,FALSE),TIAM15_assumptions!$H$2:$V$2,0))</f>
        <v>0.08</v>
      </c>
      <c r="R54" s="9">
        <f ca="1">OFFSET(TIAM15_assumptions!$G54,0,MATCH(VLOOKUP(Assumptions!R$2,TIAM15_assumptions!$Y$3:$Z$87,2,FALSE),TIAM15_assumptions!$H$2:$V$2,0))</f>
        <v>0.08</v>
      </c>
      <c r="S54" s="9">
        <f ca="1">OFFSET(TIAM15_assumptions!$G54,0,MATCH(VLOOKUP(Assumptions!S$2,TIAM15_assumptions!$Y$3:$Z$87,2,FALSE),TIAM15_assumptions!$H$2:$V$2,0))</f>
        <v>0.08</v>
      </c>
      <c r="T54" s="9">
        <f ca="1">OFFSET(TIAM15_assumptions!$G54,0,MATCH(VLOOKUP(Assumptions!T$2,TIAM15_assumptions!$Y$3:$Z$87,2,FALSE),TIAM15_assumptions!$H$2:$V$2,0))</f>
        <v>0.08</v>
      </c>
      <c r="U54" s="9">
        <f ca="1">OFFSET(TIAM15_assumptions!$G54,0,MATCH(VLOOKUP(Assumptions!U$2,TIAM15_assumptions!$Y$3:$Z$87,2,FALSE),TIAM15_assumptions!$H$2:$V$2,0))</f>
        <v>0.08</v>
      </c>
      <c r="V54" s="9">
        <f ca="1">OFFSET(TIAM15_assumptions!$G54,0,MATCH(VLOOKUP(Assumptions!V$2,TIAM15_assumptions!$Y$3:$Z$87,2,FALSE),TIAM15_assumptions!$H$2:$V$2,0))</f>
        <v>0.08</v>
      </c>
      <c r="W54" s="9">
        <f ca="1">OFFSET(TIAM15_assumptions!$G54,0,MATCH(VLOOKUP(Assumptions!W$2,TIAM15_assumptions!$Y$3:$Z$87,2,FALSE),TIAM15_assumptions!$H$2:$V$2,0))</f>
        <v>0.5</v>
      </c>
      <c r="X54" s="9">
        <f ca="1">OFFSET(TIAM15_assumptions!$G54,0,MATCH(VLOOKUP(Assumptions!X$2,TIAM15_assumptions!$Y$3:$Z$87,2,FALSE),TIAM15_assumptions!$H$2:$V$2,0))</f>
        <v>0.08</v>
      </c>
      <c r="Y54" s="9">
        <f ca="1">OFFSET(TIAM15_assumptions!$G54,0,MATCH(VLOOKUP(Assumptions!Y$2,TIAM15_assumptions!$Y$3:$Z$87,2,FALSE),TIAM15_assumptions!$H$2:$V$2,0))</f>
        <v>0.08</v>
      </c>
      <c r="Z54" s="9">
        <f ca="1">OFFSET(TIAM15_assumptions!$G54,0,MATCH(VLOOKUP(Assumptions!Z$2,TIAM15_assumptions!$Y$3:$Z$87,2,FALSE),TIAM15_assumptions!$H$2:$V$2,0))</f>
        <v>0.2</v>
      </c>
      <c r="AA54" s="9">
        <f ca="1">OFFSET(TIAM15_assumptions!$G54,0,MATCH(VLOOKUP(Assumptions!AA$2,TIAM15_assumptions!$Y$3:$Z$87,2,FALSE),TIAM15_assumptions!$H$2:$V$2,0))</f>
        <v>0.4</v>
      </c>
      <c r="AB54" s="9">
        <f ca="1">OFFSET(TIAM15_assumptions!$G54,0,MATCH(VLOOKUP(Assumptions!AB$2,TIAM15_assumptions!$Y$3:$Z$87,2,FALSE),TIAM15_assumptions!$H$2:$V$2,0))</f>
        <v>0.08</v>
      </c>
      <c r="AC54" s="9">
        <f ca="1">OFFSET(TIAM15_assumptions!$G54,0,MATCH(VLOOKUP(Assumptions!AC$2,TIAM15_assumptions!$Y$3:$Z$87,2,FALSE),TIAM15_assumptions!$H$2:$V$2,0))</f>
        <v>0.4763027254679546</v>
      </c>
      <c r="AD54" s="9">
        <f ca="1">OFFSET(TIAM15_assumptions!$G54,0,MATCH(VLOOKUP(Assumptions!AD$2,TIAM15_assumptions!$Y$3:$Z$87,2,FALSE),TIAM15_assumptions!$H$2:$V$2,0))</f>
        <v>0.08</v>
      </c>
      <c r="AE54" s="9">
        <f ca="1">OFFSET(TIAM15_assumptions!$G54,0,MATCH(VLOOKUP(Assumptions!AE$2,TIAM15_assumptions!$Y$3:$Z$87,2,FALSE),TIAM15_assumptions!$H$2:$V$2,0))</f>
        <v>0.08</v>
      </c>
      <c r="AF54" s="9">
        <f ca="1">OFFSET(TIAM15_assumptions!$G54,0,MATCH(VLOOKUP(Assumptions!AF$2,TIAM15_assumptions!$Y$3:$Z$87,2,FALSE),TIAM15_assumptions!$H$2:$V$2,0))</f>
        <v>0.2</v>
      </c>
      <c r="AG54" s="9">
        <f ca="1">OFFSET(TIAM15_assumptions!$G54,0,MATCH(VLOOKUP(Assumptions!AG$2,TIAM15_assumptions!$Y$3:$Z$87,2,FALSE),TIAM15_assumptions!$H$2:$V$2,0))</f>
        <v>0.2</v>
      </c>
      <c r="AH54" s="9">
        <f ca="1">OFFSET(TIAM15_assumptions!$G54,0,MATCH(VLOOKUP(Assumptions!AH$2,TIAM15_assumptions!$Y$3:$Z$87,2,FALSE),TIAM15_assumptions!$H$2:$V$2,0))</f>
        <v>0.08</v>
      </c>
      <c r="AI54" s="9">
        <f ca="1">OFFSET(TIAM15_assumptions!$G54,0,MATCH(VLOOKUP(Assumptions!AI$2,TIAM15_assumptions!$Y$3:$Z$87,2,FALSE),TIAM15_assumptions!$H$2:$V$2,0))</f>
        <v>0.5</v>
      </c>
      <c r="AJ54" s="9">
        <f ca="1">OFFSET(TIAM15_assumptions!$G54,0,MATCH(VLOOKUP(Assumptions!AJ$2,TIAM15_assumptions!$Y$3:$Z$87,2,FALSE),TIAM15_assumptions!$H$2:$V$2,0))</f>
        <v>0.08</v>
      </c>
      <c r="AK54" s="9">
        <f ca="1">OFFSET(TIAM15_assumptions!$G54,0,MATCH(VLOOKUP(Assumptions!AK$2,TIAM15_assumptions!$Y$3:$Z$87,2,FALSE),TIAM15_assumptions!$H$2:$V$2,0))</f>
        <v>0.08</v>
      </c>
      <c r="AL54" s="9">
        <f ca="1">OFFSET(TIAM15_assumptions!$G54,0,MATCH(VLOOKUP(Assumptions!AL$2,TIAM15_assumptions!$Y$3:$Z$87,2,FALSE),TIAM15_assumptions!$H$2:$V$2,0))</f>
        <v>0.08</v>
      </c>
      <c r="AM54" s="9">
        <f ca="1">OFFSET(TIAM15_assumptions!$G54,0,MATCH(VLOOKUP(Assumptions!AM$2,TIAM15_assumptions!$Y$3:$Z$87,2,FALSE),TIAM15_assumptions!$H$2:$V$2,0))</f>
        <v>0.08</v>
      </c>
      <c r="AN54" s="9">
        <f ca="1">OFFSET(TIAM15_assumptions!$G54,0,MATCH(VLOOKUP(Assumptions!AN$2,TIAM15_assumptions!$Y$3:$Z$87,2,FALSE),TIAM15_assumptions!$H$2:$V$2,0))</f>
        <v>0.08</v>
      </c>
      <c r="AO54" s="9">
        <f ca="1">OFFSET(TIAM15_assumptions!$G54,0,MATCH(VLOOKUP(Assumptions!AO$2,TIAM15_assumptions!$Y$3:$Z$87,2,FALSE),TIAM15_assumptions!$H$2:$V$2,0))</f>
        <v>0.2</v>
      </c>
      <c r="AP54" s="9">
        <f ca="1">OFFSET(TIAM15_assumptions!$G54,0,MATCH(VLOOKUP(Assumptions!AP$2,TIAM15_assumptions!$Y$3:$Z$87,2,FALSE),TIAM15_assumptions!$H$2:$V$2,0))</f>
        <v>0.08</v>
      </c>
      <c r="AQ54" s="9">
        <f ca="1">OFFSET(TIAM15_assumptions!$G54,0,MATCH(VLOOKUP(Assumptions!AQ$2,TIAM15_assumptions!$Y$3:$Z$87,2,FALSE),TIAM15_assumptions!$H$2:$V$2,0))</f>
        <v>0.4763027254679546</v>
      </c>
      <c r="AR54" s="9">
        <f ca="1">OFFSET(TIAM15_assumptions!$G54,0,MATCH(VLOOKUP(Assumptions!AR$2,TIAM15_assumptions!$Y$3:$Z$87,2,FALSE),TIAM15_assumptions!$H$2:$V$2,0))</f>
        <v>0.4763027254679546</v>
      </c>
      <c r="AS54" s="9">
        <f ca="1">OFFSET(TIAM15_assumptions!$G54,0,MATCH(VLOOKUP(Assumptions!AS$2,TIAM15_assumptions!$Y$3:$Z$87,2,FALSE),TIAM15_assumptions!$H$2:$V$2,0))</f>
        <v>0.4763027254679546</v>
      </c>
      <c r="AT54" s="9">
        <f ca="1">OFFSET(TIAM15_assumptions!$G54,0,MATCH(VLOOKUP(Assumptions!AT$2,TIAM15_assumptions!$Y$3:$Z$87,2,FALSE),TIAM15_assumptions!$H$2:$V$2,0))</f>
        <v>0.4763027254679546</v>
      </c>
      <c r="AU54" s="9">
        <f ca="1">OFFSET(TIAM15_assumptions!$G54,0,MATCH(VLOOKUP(Assumptions!AU$2,TIAM15_assumptions!$Y$3:$Z$87,2,FALSE),TIAM15_assumptions!$H$2:$V$2,0))</f>
        <v>0.4763027254679546</v>
      </c>
      <c r="AV54" s="9">
        <f ca="1">OFFSET(TIAM15_assumptions!$G54,0,MATCH(VLOOKUP(Assumptions!AV$2,TIAM15_assumptions!$Y$3:$Z$87,2,FALSE),TIAM15_assumptions!$H$2:$V$2,0))</f>
        <v>0.4763027254679546</v>
      </c>
      <c r="AW54" s="9">
        <f ca="1">OFFSET(TIAM15_assumptions!$G54,0,MATCH(VLOOKUP(Assumptions!AW$2,TIAM15_assumptions!$Y$3:$Z$87,2,FALSE),TIAM15_assumptions!$H$2:$V$2,0))</f>
        <v>0.4763027254679546</v>
      </c>
      <c r="AX54" s="9">
        <f ca="1">OFFSET(TIAM15_assumptions!$G54,0,MATCH(VLOOKUP(Assumptions!AX$2,TIAM15_assumptions!$Y$3:$Z$87,2,FALSE),TIAM15_assumptions!$H$2:$V$2,0))</f>
        <v>0.4763027254679546</v>
      </c>
      <c r="AY54" s="9">
        <f ca="1">OFFSET(TIAM15_assumptions!$G54,0,MATCH(VLOOKUP(Assumptions!AY$2,TIAM15_assumptions!$Y$3:$Z$87,2,FALSE),TIAM15_assumptions!$H$2:$V$2,0))</f>
        <v>0.4763027254679546</v>
      </c>
      <c r="AZ54" s="9">
        <f ca="1">OFFSET(TIAM15_assumptions!$G54,0,MATCH(VLOOKUP(Assumptions!AZ$2,TIAM15_assumptions!$Y$3:$Z$87,2,FALSE),TIAM15_assumptions!$H$2:$V$2,0))</f>
        <v>0.4763027254679546</v>
      </c>
      <c r="BA54" s="9">
        <f ca="1">OFFSET(TIAM15_assumptions!$G54,0,MATCH(VLOOKUP(Assumptions!BA$2,TIAM15_assumptions!$Y$3:$Z$87,2,FALSE),TIAM15_assumptions!$H$2:$V$2,0))</f>
        <v>0.4763027254679546</v>
      </c>
      <c r="BD54" s="34">
        <f ca="1">IFERROR(SUMIFS('TRA balance'!E$5:E$40,'TRA balance'!$C$5:$C$40,Assumptions!$C54,'TRA balance'!$D$5:$D$40,Assumptions!$B54)*CY54*H54,"")</f>
        <v>2.5435066441499998</v>
      </c>
      <c r="BE54" s="34">
        <f ca="1">IFERROR(SUMIFS('TRA balance'!F$5:F$40,'TRA balance'!$C$5:$C$40,Assumptions!$C54,'TRA balance'!$D$5:$D$40,Assumptions!$B54)*CZ54*I54,"")</f>
        <v>9.3360406500000003E-3</v>
      </c>
      <c r="BF54" s="34">
        <f ca="1">IFERROR(SUMIFS('TRA balance'!G$5:G$40,'TRA balance'!$C$5:$C$40,Assumptions!$C54,'TRA balance'!$D$5:$D$40,Assumptions!$B54)*DA54*J54,"")</f>
        <v>0.39043166039999999</v>
      </c>
      <c r="BG54" s="34">
        <f ca="1">IFERROR(SUMIFS('TRA balance'!H$5:H$40,'TRA balance'!$C$5:$C$40,Assumptions!$C54,'TRA balance'!$D$5:$D$40,Assumptions!$B54)*DB54*K54,"")</f>
        <v>4.2774312911616E-2</v>
      </c>
      <c r="BH54" s="34">
        <f ca="1">IFERROR(SUMIFS('TRA balance'!I$5:I$40,'TRA balance'!$C$5:$C$40,Assumptions!$C54,'TRA balance'!$D$5:$D$40,Assumptions!$B54)*DC54*L54,"")</f>
        <v>0.11259510998400001</v>
      </c>
      <c r="BI54" s="34">
        <f ca="1">IFERROR(SUMIFS('TRA balance'!J$5:J$40,'TRA balance'!$C$5:$C$40,Assumptions!$C54,'TRA balance'!$D$5:$D$40,Assumptions!$B54)*DD54*M54,"")</f>
        <v>0.20934061964640002</v>
      </c>
      <c r="BJ54" s="34">
        <f ca="1">IFERROR(SUMIFS('TRA balance'!K$5:K$40,'TRA balance'!$C$5:$C$40,Assumptions!$C54,'TRA balance'!$D$5:$D$40,Assumptions!$B54)*DE54*N54,"")</f>
        <v>16.834613685120001</v>
      </c>
      <c r="BK54" s="34">
        <f ca="1">IFERROR(SUMIFS('TRA balance'!L$5:L$40,'TRA balance'!$C$5:$C$40,Assumptions!$C54,'TRA balance'!$D$5:$D$40,Assumptions!$B54)*DF54*O54,"")</f>
        <v>135.74092347319683</v>
      </c>
      <c r="BL54" s="34">
        <f ca="1">IFERROR(SUMIFS('TRA balance'!M$5:M$40,'TRA balance'!$C$5:$C$40,Assumptions!$C54,'TRA balance'!$D$5:$D$40,Assumptions!$B54)*DG54*P54,"")</f>
        <v>0</v>
      </c>
      <c r="BM54" s="34">
        <f ca="1">IFERROR(SUMIFS('TRA balance'!N$5:N$40,'TRA balance'!$C$5:$C$40,Assumptions!$C54,'TRA balance'!$D$5:$D$40,Assumptions!$B54)*DH54*Q54,"")</f>
        <v>0</v>
      </c>
      <c r="BN54" s="34">
        <f ca="1">IFERROR(SUMIFS('TRA balance'!O$5:O$40,'TRA balance'!$C$5:$C$40,Assumptions!$C54,'TRA balance'!$D$5:$D$40,Assumptions!$B54)*DI54*R54,"")</f>
        <v>0.37166654672928007</v>
      </c>
      <c r="BO54" s="34">
        <f ca="1">IFERROR(SUMIFS('TRA balance'!P$5:P$40,'TRA balance'!$C$5:$C$40,Assumptions!$C54,'TRA balance'!$D$5:$D$40,Assumptions!$B54)*DJ54*S54,"")</f>
        <v>0.45484222293100807</v>
      </c>
      <c r="BP54" s="34">
        <f ca="1">IFERROR(SUMIFS('TRA balance'!Q$5:Q$40,'TRA balance'!$C$5:$C$40,Assumptions!$C54,'TRA balance'!$D$5:$D$40,Assumptions!$B54)*DK54*T54,"")</f>
        <v>4.0868734769279998E-2</v>
      </c>
      <c r="BQ54" s="34">
        <f ca="1">IFERROR(SUMIFS('TRA balance'!R$5:R$40,'TRA balance'!$C$5:$C$40,Assumptions!$C54,'TRA balance'!$D$5:$D$40,Assumptions!$B54)*DL54*U54,"")</f>
        <v>0</v>
      </c>
      <c r="BR54" s="34">
        <f ca="1">IFERROR(SUMIFS('TRA balance'!S$5:S$40,'TRA balance'!$C$5:$C$40,Assumptions!$C54,'TRA balance'!$D$5:$D$40,Assumptions!$B54)*DM54*V54,"")</f>
        <v>4.0615175462400009E-3</v>
      </c>
      <c r="BS54" s="34">
        <f ca="1">IFERROR(SUMIFS('TRA balance'!T$5:T$40,'TRA balance'!$C$5:$C$40,Assumptions!$C54,'TRA balance'!$D$5:$D$40,Assumptions!$B54)*DN54*W54,"")</f>
        <v>15.4225927764</v>
      </c>
      <c r="BT54" s="34">
        <f ca="1">IFERROR(SUMIFS('TRA balance'!U$5:U$40,'TRA balance'!$C$5:$C$40,Assumptions!$C54,'TRA balance'!$D$5:$D$40,Assumptions!$B54)*DO54*X54,"")</f>
        <v>0</v>
      </c>
      <c r="BU54" s="34">
        <f ca="1">IFERROR(SUMIFS('TRA balance'!V$5:V$40,'TRA balance'!$C$5:$C$40,Assumptions!$C54,'TRA balance'!$D$5:$D$40,Assumptions!$B54)*DP54*Y54,"")</f>
        <v>2.1927052749697924</v>
      </c>
      <c r="BV54" s="34">
        <f ca="1">IFERROR(SUMIFS('TRA balance'!W$5:W$40,'TRA balance'!$C$5:$C$40,Assumptions!$C54,'TRA balance'!$D$5:$D$40,Assumptions!$B54)*DQ54*Z54,"")</f>
        <v>0.26581126532400001</v>
      </c>
      <c r="BW54" s="34">
        <f ca="1">IFERROR(SUMIFS('TRA balance'!X$5:X$40,'TRA balance'!$C$5:$C$40,Assumptions!$C54,'TRA balance'!$D$5:$D$40,Assumptions!$B54)*DR54*AA54,"")</f>
        <v>32.376392097119997</v>
      </c>
      <c r="BX54" s="34">
        <f ca="1">IFERROR(SUMIFS('TRA balance'!Y$5:Y$40,'TRA balance'!$C$5:$C$40,Assumptions!$C54,'TRA balance'!$D$5:$D$40,Assumptions!$B54)*DS54*AB54,"")</f>
        <v>15.24641627249453</v>
      </c>
      <c r="BY54" s="34">
        <f ca="1">IFERROR(SUMIFS('TRA balance'!Z$5:Z$40,'TRA balance'!$C$5:$C$40,Assumptions!$C54,'TRA balance'!$D$5:$D$40,Assumptions!$B54)*DT54*AC54,"")</f>
        <v>25.347095122374306</v>
      </c>
      <c r="BZ54" s="34">
        <f ca="1">IFERROR(SUMIFS('TRA balance'!AA$5:AA$40,'TRA balance'!$C$5:$C$40,Assumptions!$C54,'TRA balance'!$D$5:$D$40,Assumptions!$B54)*DU54*AD54,"")</f>
        <v>0.129297657259584</v>
      </c>
      <c r="CA54" s="34">
        <f ca="1">IFERROR(SUMIFS('TRA balance'!AB$5:AB$40,'TRA balance'!$C$5:$C$40,Assumptions!$C54,'TRA balance'!$D$5:$D$40,Assumptions!$B54)*DV54*AE54,"")</f>
        <v>0</v>
      </c>
      <c r="CB54" s="34">
        <f ca="1">IFERROR(SUMIFS('TRA balance'!AC$5:AC$40,'TRA balance'!$C$5:$C$40,Assumptions!$C54,'TRA balance'!$D$5:$D$40,Assumptions!$B54)*DW54*AF54,"")</f>
        <v>65.681106443567998</v>
      </c>
      <c r="CC54" s="34">
        <f ca="1">IFERROR(SUMIFS('TRA balance'!AD$5:AD$40,'TRA balance'!$C$5:$C$40,Assumptions!$C54,'TRA balance'!$D$5:$D$40,Assumptions!$B54)*DX54*AG54,"")</f>
        <v>1.2467863346399999</v>
      </c>
      <c r="CD54" s="34">
        <f ca="1">IFERROR(SUMIFS('TRA balance'!AE$5:AE$40,'TRA balance'!$C$5:$C$40,Assumptions!$C54,'TRA balance'!$D$5:$D$40,Assumptions!$B54)*DY54*AH54,"")</f>
        <v>0</v>
      </c>
      <c r="CE54" s="34">
        <f ca="1">IFERROR(SUMIFS('TRA balance'!AF$5:AF$40,'TRA balance'!$C$5:$C$40,Assumptions!$C54,'TRA balance'!$D$5:$D$40,Assumptions!$B54)*DZ54*AI54,"")</f>
        <v>9.1638584999999999E-4</v>
      </c>
      <c r="CF54" s="34">
        <f ca="1">IFERROR(SUMIFS('TRA balance'!AG$5:AG$40,'TRA balance'!$C$5:$C$40,Assumptions!$C54,'TRA balance'!$D$5:$D$40,Assumptions!$B54)*EA54*AJ54,"")</f>
        <v>0.48384712332000002</v>
      </c>
      <c r="CG54" s="34">
        <f ca="1">IFERROR(SUMIFS('TRA balance'!AH$5:AH$40,'TRA balance'!$C$5:$C$40,Assumptions!$C54,'TRA balance'!$D$5:$D$40,Assumptions!$B54)*EB54*AK54,"")</f>
        <v>0.287861997760128</v>
      </c>
      <c r="CH54" s="34">
        <f ca="1">IFERROR(SUMIFS('TRA balance'!AI$5:AI$40,'TRA balance'!$C$5:$C$40,Assumptions!$C54,'TRA balance'!$D$5:$D$40,Assumptions!$B54)*EC54*AL54,"")</f>
        <v>3.1867836238656001E-2</v>
      </c>
      <c r="CI54" s="34">
        <f ca="1">IFERROR(SUMIFS('TRA balance'!AJ$5:AJ$40,'TRA balance'!$C$5:$C$40,Assumptions!$C54,'TRA balance'!$D$5:$D$40,Assumptions!$B54)*ED54*AM54,"")</f>
        <v>0.18242632716422402</v>
      </c>
      <c r="CJ54" s="34">
        <f ca="1">IFERROR(SUMIFS('TRA balance'!AK$5:AK$40,'TRA balance'!$C$5:$C$40,Assumptions!$C54,'TRA balance'!$D$5:$D$40,Assumptions!$B54)*EE54*AN54,"")</f>
        <v>3.1082944546368008E-2</v>
      </c>
      <c r="CK54" s="34">
        <f ca="1">IFERROR(SUMIFS('TRA balance'!AL$5:AL$40,'TRA balance'!$C$5:$C$40,Assumptions!$C54,'TRA balance'!$D$5:$D$40,Assumptions!$B54)*EF54*AO54,"")</f>
        <v>0.18836990978399998</v>
      </c>
      <c r="CL54" s="34">
        <f ca="1">IFERROR(SUMIFS('TRA balance'!AM$5:AM$40,'TRA balance'!$C$5:$C$40,Assumptions!$C54,'TRA balance'!$D$5:$D$40,Assumptions!$B54)*EG54*AP54,"")</f>
        <v>0</v>
      </c>
      <c r="CM54" s="34">
        <f ca="1">IFERROR(SUMIFS('TRA balance'!AN$5:AN$40,'TRA balance'!$C$5:$C$40,Assumptions!$C54,'TRA balance'!$D$5:$D$40,Assumptions!$B54)*EH54*AQ54,"")</f>
        <v>0</v>
      </c>
      <c r="CN54" s="34">
        <f ca="1">IFERROR(SUMIFS('TRA balance'!AO$5:AO$40,'TRA balance'!$C$5:$C$40,Assumptions!$C54,'TRA balance'!$D$5:$D$40,Assumptions!$B54)*EI54*AR54,"")</f>
        <v>0</v>
      </c>
      <c r="CO54" s="34">
        <f ca="1">IFERROR(SUMIFS('TRA balance'!AP$5:AP$40,'TRA balance'!$C$5:$C$40,Assumptions!$C54,'TRA balance'!$D$5:$D$40,Assumptions!$B54)*EJ54*AS54,"")</f>
        <v>0</v>
      </c>
      <c r="CP54" s="34">
        <f ca="1">IFERROR(SUMIFS('TRA balance'!AQ$5:AQ$40,'TRA balance'!$C$5:$C$40,Assumptions!$C54,'TRA balance'!$D$5:$D$40,Assumptions!$B54)*EK54*AT54,"")</f>
        <v>0</v>
      </c>
      <c r="CQ54" s="34">
        <f ca="1">IFERROR(SUMIFS('TRA balance'!AR$5:AR$40,'TRA balance'!$C$5:$C$40,Assumptions!$C54,'TRA balance'!$D$5:$D$40,Assumptions!$B54)*EL54*AU54,"")</f>
        <v>0</v>
      </c>
      <c r="CR54" s="34">
        <f ca="1">IFERROR(SUMIFS('TRA balance'!AS$5:AS$40,'TRA balance'!$C$5:$C$40,Assumptions!$C54,'TRA balance'!$D$5:$D$40,Assumptions!$B54)*EM54*AV54,"")</f>
        <v>0</v>
      </c>
      <c r="CS54" s="34">
        <f ca="1">IFERROR(SUMIFS('TRA balance'!AT$5:AT$40,'TRA balance'!$C$5:$C$40,Assumptions!$C54,'TRA balance'!$D$5:$D$40,Assumptions!$B54)*EN54*AW54,"")</f>
        <v>0</v>
      </c>
      <c r="CT54" s="34">
        <f ca="1">IFERROR(SUMIFS('TRA balance'!AU$5:AU$40,'TRA balance'!$C$5:$C$40,Assumptions!$C54,'TRA balance'!$D$5:$D$40,Assumptions!$B54)*EO54*AX54,"")</f>
        <v>0</v>
      </c>
      <c r="CU54" s="34">
        <f ca="1">IFERROR(SUMIFS('TRA balance'!AV$5:AV$40,'TRA balance'!$C$5:$C$40,Assumptions!$C54,'TRA balance'!$D$5:$D$40,Assumptions!$B54)*EP54*AY54,"")</f>
        <v>0</v>
      </c>
      <c r="CV54" s="34">
        <f ca="1">IFERROR(SUMIFS('TRA balance'!AW$5:AW$40,'TRA balance'!$C$5:$C$40,Assumptions!$C54,'TRA balance'!$D$5:$D$40,Assumptions!$B54)*EQ54*AZ54,"")</f>
        <v>0</v>
      </c>
      <c r="CW54" s="34">
        <f ca="1">IFERROR(SUMIFS('TRA balance'!AX$5:AX$40,'TRA balance'!$C$5:$C$40,Assumptions!$C54,'TRA balance'!$D$5:$D$40,Assumptions!$B54)*ER54*BA54,"")</f>
        <v>0</v>
      </c>
      <c r="CY54" s="33">
        <f t="shared" ca="1" si="66"/>
        <v>0.25</v>
      </c>
      <c r="CZ54" s="33">
        <f t="shared" ca="1" si="3"/>
        <v>0.25</v>
      </c>
      <c r="DA54" s="33">
        <f t="shared" ca="1" si="4"/>
        <v>0.25</v>
      </c>
      <c r="DB54" s="33">
        <f t="shared" ca="1" si="5"/>
        <v>0.68200000000000005</v>
      </c>
      <c r="DC54" s="33">
        <f t="shared" ca="1" si="6"/>
        <v>0.7</v>
      </c>
      <c r="DD54" s="33">
        <f t="shared" ca="1" si="7"/>
        <v>0.68200000000000005</v>
      </c>
      <c r="DE54" s="33">
        <f t="shared" ca="1" si="8"/>
        <v>0.5</v>
      </c>
      <c r="DF54" s="33">
        <f t="shared" ca="1" si="9"/>
        <v>0.4</v>
      </c>
      <c r="DG54" s="33">
        <f t="shared" ca="1" si="10"/>
        <v>0</v>
      </c>
      <c r="DH54" s="33">
        <f t="shared" ca="1" si="11"/>
        <v>0</v>
      </c>
      <c r="DI54" s="33">
        <f t="shared" ca="1" si="12"/>
        <v>0.68200000000000005</v>
      </c>
      <c r="DJ54" s="33">
        <f t="shared" ca="1" si="13"/>
        <v>0.68200000000000005</v>
      </c>
      <c r="DK54" s="33">
        <f t="shared" ca="1" si="14"/>
        <v>0.68200000000000005</v>
      </c>
      <c r="DL54" s="33">
        <f t="shared" ca="1" si="15"/>
        <v>0</v>
      </c>
      <c r="DM54" s="33">
        <f t="shared" ca="1" si="16"/>
        <v>0.68200000000000005</v>
      </c>
      <c r="DN54" s="33">
        <f t="shared" ca="1" si="17"/>
        <v>0.25</v>
      </c>
      <c r="DO54" s="33">
        <f t="shared" ca="1" si="18"/>
        <v>0.68200000000000005</v>
      </c>
      <c r="DP54" s="33">
        <f t="shared" ca="1" si="19"/>
        <v>0.68200000000000005</v>
      </c>
      <c r="DQ54" s="33">
        <f t="shared" ca="1" si="20"/>
        <v>0.95</v>
      </c>
      <c r="DR54" s="33">
        <f t="shared" ca="1" si="21"/>
        <v>0.5</v>
      </c>
      <c r="DS54" s="33">
        <f t="shared" ca="1" si="22"/>
        <v>0.68200000000000005</v>
      </c>
      <c r="DT54" s="33">
        <f t="shared" ca="1" si="23"/>
        <v>0.97916979455979025</v>
      </c>
      <c r="DU54" s="33">
        <f t="shared" ca="1" si="24"/>
        <v>0.68200000000000005</v>
      </c>
      <c r="DV54" s="33">
        <f t="shared" ca="1" si="25"/>
        <v>0</v>
      </c>
      <c r="DW54" s="33">
        <f t="shared" ca="1" si="26"/>
        <v>0.9</v>
      </c>
      <c r="DX54" s="33">
        <f t="shared" ca="1" si="27"/>
        <v>0.7</v>
      </c>
      <c r="DY54" s="33">
        <f t="shared" ca="1" si="28"/>
        <v>0.68200000000000005</v>
      </c>
      <c r="DZ54" s="33">
        <f t="shared" ca="1" si="29"/>
        <v>0.25</v>
      </c>
      <c r="EA54" s="33">
        <f t="shared" ca="1" si="30"/>
        <v>0.68200000000000005</v>
      </c>
      <c r="EB54" s="33">
        <f t="shared" ca="1" si="31"/>
        <v>0.68200000000000005</v>
      </c>
      <c r="EC54" s="33">
        <f t="shared" ca="1" si="32"/>
        <v>0.68200000000000005</v>
      </c>
      <c r="ED54" s="33">
        <f t="shared" ca="1" si="33"/>
        <v>0.68200000000000005</v>
      </c>
      <c r="EE54" s="33">
        <f t="shared" ca="1" si="34"/>
        <v>0.68200000000000005</v>
      </c>
      <c r="EF54" s="33">
        <f t="shared" ca="1" si="35"/>
        <v>0.7</v>
      </c>
      <c r="EG54" s="33">
        <f t="shared" ca="1" si="36"/>
        <v>0</v>
      </c>
      <c r="EH54" s="33">
        <f t="shared" ca="1" si="37"/>
        <v>0.97916979455979025</v>
      </c>
      <c r="EI54" s="33">
        <f t="shared" ca="1" si="38"/>
        <v>0.97916979455979025</v>
      </c>
      <c r="EJ54" s="33">
        <f t="shared" ca="1" si="39"/>
        <v>0.97916979455979025</v>
      </c>
      <c r="EK54" s="33">
        <f t="shared" ca="1" si="40"/>
        <v>0.97916979455979025</v>
      </c>
      <c r="EL54" s="33">
        <f t="shared" ca="1" si="41"/>
        <v>0.97916979455979025</v>
      </c>
      <c r="EM54" s="33">
        <f t="shared" ca="1" si="42"/>
        <v>0.97916979455979025</v>
      </c>
      <c r="EN54" s="33">
        <f t="shared" ca="1" si="43"/>
        <v>0.97916979455979025</v>
      </c>
      <c r="EO54" s="33">
        <f t="shared" ca="1" si="44"/>
        <v>0.97916979455979025</v>
      </c>
      <c r="EP54" s="33">
        <f t="shared" ca="1" si="45"/>
        <v>0.97916979455979025</v>
      </c>
      <c r="EQ54" s="33">
        <f t="shared" ca="1" si="46"/>
        <v>0.97916979455979025</v>
      </c>
      <c r="ER54" s="33">
        <f t="shared" ca="1" si="47"/>
        <v>0.97916979455979025</v>
      </c>
    </row>
    <row r="55" spans="1:148">
      <c r="A55">
        <v>1</v>
      </c>
      <c r="B55" t="str">
        <f>VLOOKUP(F55,'TRA balance'!$BA$5:$BB$14,2,FALSE)</f>
        <v>TRANGA</v>
      </c>
      <c r="C55" s="6" t="str">
        <f t="shared" si="48"/>
        <v/>
      </c>
      <c r="D55" s="7"/>
      <c r="E55" s="19" t="s">
        <v>69</v>
      </c>
      <c r="F55" s="8" t="str">
        <f>F54</f>
        <v>Natural Gas</v>
      </c>
      <c r="G55" s="6"/>
      <c r="H55" s="20" t="str">
        <f ca="1">IF(SUM(H53:H54)=1,"-","&lt;&gt;1!!")</f>
        <v>-</v>
      </c>
      <c r="I55" s="20" t="str">
        <f t="shared" ref="I55:BA55" ca="1" si="79">IF(SUM(I53:I54)=1,"-","&lt;&gt;1!!")</f>
        <v>-</v>
      </c>
      <c r="J55" s="20" t="str">
        <f t="shared" ca="1" si="79"/>
        <v>-</v>
      </c>
      <c r="K55" s="20" t="str">
        <f t="shared" ca="1" si="79"/>
        <v>-</v>
      </c>
      <c r="L55" s="20" t="str">
        <f t="shared" ca="1" si="79"/>
        <v>-</v>
      </c>
      <c r="M55" s="20" t="str">
        <f t="shared" ca="1" si="79"/>
        <v>-</v>
      </c>
      <c r="N55" s="20" t="str">
        <f t="shared" ca="1" si="79"/>
        <v>-</v>
      </c>
      <c r="O55" s="20" t="str">
        <f t="shared" ca="1" si="79"/>
        <v>-</v>
      </c>
      <c r="P55" s="20" t="str">
        <f t="shared" ca="1" si="79"/>
        <v>-</v>
      </c>
      <c r="Q55" s="20" t="str">
        <f t="shared" ca="1" si="79"/>
        <v>-</v>
      </c>
      <c r="R55" s="20" t="str">
        <f t="shared" ca="1" si="79"/>
        <v>-</v>
      </c>
      <c r="S55" s="20" t="str">
        <f t="shared" ca="1" si="79"/>
        <v>-</v>
      </c>
      <c r="T55" s="20" t="str">
        <f t="shared" ca="1" si="79"/>
        <v>-</v>
      </c>
      <c r="U55" s="20" t="str">
        <f t="shared" ca="1" si="79"/>
        <v>-</v>
      </c>
      <c r="V55" s="20" t="str">
        <f t="shared" ca="1" si="79"/>
        <v>-</v>
      </c>
      <c r="W55" s="20" t="str">
        <f t="shared" ca="1" si="79"/>
        <v>-</v>
      </c>
      <c r="X55" s="20" t="str">
        <f t="shared" ca="1" si="79"/>
        <v>-</v>
      </c>
      <c r="Y55" s="20" t="str">
        <f t="shared" ca="1" si="79"/>
        <v>-</v>
      </c>
      <c r="Z55" s="20" t="str">
        <f t="shared" ca="1" si="79"/>
        <v>-</v>
      </c>
      <c r="AA55" s="20" t="str">
        <f t="shared" ca="1" si="79"/>
        <v>-</v>
      </c>
      <c r="AB55" s="20" t="str">
        <f t="shared" ca="1" si="79"/>
        <v>-</v>
      </c>
      <c r="AC55" s="20" t="str">
        <f t="shared" ca="1" si="79"/>
        <v>-</v>
      </c>
      <c r="AD55" s="20" t="str">
        <f t="shared" ca="1" si="79"/>
        <v>-</v>
      </c>
      <c r="AE55" s="20" t="str">
        <f t="shared" ca="1" si="79"/>
        <v>-</v>
      </c>
      <c r="AF55" s="20" t="str">
        <f t="shared" ca="1" si="79"/>
        <v>-</v>
      </c>
      <c r="AG55" s="20" t="str">
        <f t="shared" ca="1" si="79"/>
        <v>-</v>
      </c>
      <c r="AH55" s="20" t="str">
        <f t="shared" ca="1" si="79"/>
        <v>-</v>
      </c>
      <c r="AI55" s="20" t="str">
        <f t="shared" ca="1" si="79"/>
        <v>-</v>
      </c>
      <c r="AJ55" s="20" t="str">
        <f t="shared" ca="1" si="79"/>
        <v>-</v>
      </c>
      <c r="AK55" s="20" t="str">
        <f t="shared" ca="1" si="79"/>
        <v>-</v>
      </c>
      <c r="AL55" s="20" t="str">
        <f t="shared" ca="1" si="79"/>
        <v>-</v>
      </c>
      <c r="AM55" s="20" t="str">
        <f t="shared" ca="1" si="79"/>
        <v>-</v>
      </c>
      <c r="AN55" s="20" t="str">
        <f t="shared" ca="1" si="79"/>
        <v>-</v>
      </c>
      <c r="AO55" s="20" t="str">
        <f t="shared" ca="1" si="79"/>
        <v>-</v>
      </c>
      <c r="AP55" s="20" t="str">
        <f t="shared" ca="1" si="79"/>
        <v>-</v>
      </c>
      <c r="AQ55" s="20" t="str">
        <f t="shared" ca="1" si="79"/>
        <v>-</v>
      </c>
      <c r="AR55" s="20" t="str">
        <f t="shared" ca="1" si="79"/>
        <v>-</v>
      </c>
      <c r="AS55" s="20" t="str">
        <f t="shared" ca="1" si="79"/>
        <v>-</v>
      </c>
      <c r="AT55" s="20" t="str">
        <f t="shared" ca="1" si="79"/>
        <v>-</v>
      </c>
      <c r="AU55" s="20" t="str">
        <f t="shared" ca="1" si="79"/>
        <v>-</v>
      </c>
      <c r="AV55" s="20" t="str">
        <f t="shared" ca="1" si="79"/>
        <v>-</v>
      </c>
      <c r="AW55" s="20" t="str">
        <f t="shared" ca="1" si="79"/>
        <v>-</v>
      </c>
      <c r="AX55" s="20" t="str">
        <f t="shared" ca="1" si="79"/>
        <v>-</v>
      </c>
      <c r="AY55" s="20" t="str">
        <f t="shared" ca="1" si="79"/>
        <v>-</v>
      </c>
      <c r="AZ55" s="20" t="str">
        <f t="shared" ca="1" si="79"/>
        <v>-</v>
      </c>
      <c r="BA55" s="20" t="str">
        <f t="shared" ca="1" si="79"/>
        <v>-</v>
      </c>
      <c r="BD55" s="34" t="str">
        <f ca="1">IFERROR(SUMIFS('TRA balance'!E$5:E$40,'TRA balance'!$C$5:$C$40,Assumptions!$C55,'TRA balance'!$D$5:$D$40,Assumptions!$B55)*CY55*H55,"")</f>
        <v/>
      </c>
      <c r="BE55" s="34" t="str">
        <f ca="1">IFERROR(SUMIFS('TRA balance'!F$5:F$40,'TRA balance'!$C$5:$C$40,Assumptions!$C55,'TRA balance'!$D$5:$D$40,Assumptions!$B55)*CZ55*I55,"")</f>
        <v/>
      </c>
      <c r="BF55" s="34" t="str">
        <f ca="1">IFERROR(SUMIFS('TRA balance'!G$5:G$40,'TRA balance'!$C$5:$C$40,Assumptions!$C55,'TRA balance'!$D$5:$D$40,Assumptions!$B55)*DA55*J55,"")</f>
        <v/>
      </c>
      <c r="BG55" s="34" t="str">
        <f ca="1">IFERROR(SUMIFS('TRA balance'!H$5:H$40,'TRA balance'!$C$5:$C$40,Assumptions!$C55,'TRA balance'!$D$5:$D$40,Assumptions!$B55)*DB55*K55,"")</f>
        <v/>
      </c>
      <c r="BH55" s="34" t="str">
        <f ca="1">IFERROR(SUMIFS('TRA balance'!I$5:I$40,'TRA balance'!$C$5:$C$40,Assumptions!$C55,'TRA balance'!$D$5:$D$40,Assumptions!$B55)*DC55*L55,"")</f>
        <v/>
      </c>
      <c r="BI55" s="34" t="str">
        <f ca="1">IFERROR(SUMIFS('TRA balance'!J$5:J$40,'TRA balance'!$C$5:$C$40,Assumptions!$C55,'TRA balance'!$D$5:$D$40,Assumptions!$B55)*DD55*M55,"")</f>
        <v/>
      </c>
      <c r="BJ55" s="34" t="str">
        <f ca="1">IFERROR(SUMIFS('TRA balance'!K$5:K$40,'TRA balance'!$C$5:$C$40,Assumptions!$C55,'TRA balance'!$D$5:$D$40,Assumptions!$B55)*DE55*N55,"")</f>
        <v/>
      </c>
      <c r="BK55" s="34" t="str">
        <f ca="1">IFERROR(SUMIFS('TRA balance'!L$5:L$40,'TRA balance'!$C$5:$C$40,Assumptions!$C55,'TRA balance'!$D$5:$D$40,Assumptions!$B55)*DF55*O55,"")</f>
        <v/>
      </c>
      <c r="BL55" s="34" t="str">
        <f ca="1">IFERROR(SUMIFS('TRA balance'!M$5:M$40,'TRA balance'!$C$5:$C$40,Assumptions!$C55,'TRA balance'!$D$5:$D$40,Assumptions!$B55)*DG55*P55,"")</f>
        <v/>
      </c>
      <c r="BM55" s="34" t="str">
        <f ca="1">IFERROR(SUMIFS('TRA balance'!N$5:N$40,'TRA balance'!$C$5:$C$40,Assumptions!$C55,'TRA balance'!$D$5:$D$40,Assumptions!$B55)*DH55*Q55,"")</f>
        <v/>
      </c>
      <c r="BN55" s="34" t="str">
        <f ca="1">IFERROR(SUMIFS('TRA balance'!O$5:O$40,'TRA balance'!$C$5:$C$40,Assumptions!$C55,'TRA balance'!$D$5:$D$40,Assumptions!$B55)*DI55*R55,"")</f>
        <v/>
      </c>
      <c r="BO55" s="34" t="str">
        <f ca="1">IFERROR(SUMIFS('TRA balance'!P$5:P$40,'TRA balance'!$C$5:$C$40,Assumptions!$C55,'TRA balance'!$D$5:$D$40,Assumptions!$B55)*DJ55*S55,"")</f>
        <v/>
      </c>
      <c r="BP55" s="34" t="str">
        <f ca="1">IFERROR(SUMIFS('TRA balance'!Q$5:Q$40,'TRA balance'!$C$5:$C$40,Assumptions!$C55,'TRA balance'!$D$5:$D$40,Assumptions!$B55)*DK55*T55,"")</f>
        <v/>
      </c>
      <c r="BQ55" s="34" t="str">
        <f ca="1">IFERROR(SUMIFS('TRA balance'!R$5:R$40,'TRA balance'!$C$5:$C$40,Assumptions!$C55,'TRA balance'!$D$5:$D$40,Assumptions!$B55)*DL55*U55,"")</f>
        <v/>
      </c>
      <c r="BR55" s="34" t="str">
        <f ca="1">IFERROR(SUMIFS('TRA balance'!S$5:S$40,'TRA balance'!$C$5:$C$40,Assumptions!$C55,'TRA balance'!$D$5:$D$40,Assumptions!$B55)*DM55*V55,"")</f>
        <v/>
      </c>
      <c r="BS55" s="34" t="str">
        <f ca="1">IFERROR(SUMIFS('TRA balance'!T$5:T$40,'TRA balance'!$C$5:$C$40,Assumptions!$C55,'TRA balance'!$D$5:$D$40,Assumptions!$B55)*DN55*W55,"")</f>
        <v/>
      </c>
      <c r="BT55" s="34" t="str">
        <f ca="1">IFERROR(SUMIFS('TRA balance'!U$5:U$40,'TRA balance'!$C$5:$C$40,Assumptions!$C55,'TRA balance'!$D$5:$D$40,Assumptions!$B55)*DO55*X55,"")</f>
        <v/>
      </c>
      <c r="BU55" s="34" t="str">
        <f ca="1">IFERROR(SUMIFS('TRA balance'!V$5:V$40,'TRA balance'!$C$5:$C$40,Assumptions!$C55,'TRA balance'!$D$5:$D$40,Assumptions!$B55)*DP55*Y55,"")</f>
        <v/>
      </c>
      <c r="BV55" s="34" t="str">
        <f ca="1">IFERROR(SUMIFS('TRA balance'!W$5:W$40,'TRA balance'!$C$5:$C$40,Assumptions!$C55,'TRA balance'!$D$5:$D$40,Assumptions!$B55)*DQ55*Z55,"")</f>
        <v/>
      </c>
      <c r="BW55" s="34" t="str">
        <f ca="1">IFERROR(SUMIFS('TRA balance'!X$5:X$40,'TRA balance'!$C$5:$C$40,Assumptions!$C55,'TRA balance'!$D$5:$D$40,Assumptions!$B55)*DR55*AA55,"")</f>
        <v/>
      </c>
      <c r="BX55" s="34" t="str">
        <f ca="1">IFERROR(SUMIFS('TRA balance'!Y$5:Y$40,'TRA balance'!$C$5:$C$40,Assumptions!$C55,'TRA balance'!$D$5:$D$40,Assumptions!$B55)*DS55*AB55,"")</f>
        <v/>
      </c>
      <c r="BY55" s="34" t="str">
        <f ca="1">IFERROR(SUMIFS('TRA balance'!Z$5:Z$40,'TRA balance'!$C$5:$C$40,Assumptions!$C55,'TRA balance'!$D$5:$D$40,Assumptions!$B55)*DT55*AC55,"")</f>
        <v/>
      </c>
      <c r="BZ55" s="34" t="str">
        <f ca="1">IFERROR(SUMIFS('TRA balance'!AA$5:AA$40,'TRA balance'!$C$5:$C$40,Assumptions!$C55,'TRA balance'!$D$5:$D$40,Assumptions!$B55)*DU55*AD55,"")</f>
        <v/>
      </c>
      <c r="CA55" s="34" t="str">
        <f ca="1">IFERROR(SUMIFS('TRA balance'!AB$5:AB$40,'TRA balance'!$C$5:$C$40,Assumptions!$C55,'TRA balance'!$D$5:$D$40,Assumptions!$B55)*DV55*AE55,"")</f>
        <v/>
      </c>
      <c r="CB55" s="34" t="str">
        <f ca="1">IFERROR(SUMIFS('TRA balance'!AC$5:AC$40,'TRA balance'!$C$5:$C$40,Assumptions!$C55,'TRA balance'!$D$5:$D$40,Assumptions!$B55)*DW55*AF55,"")</f>
        <v/>
      </c>
      <c r="CC55" s="34" t="str">
        <f ca="1">IFERROR(SUMIFS('TRA balance'!AD$5:AD$40,'TRA balance'!$C$5:$C$40,Assumptions!$C55,'TRA balance'!$D$5:$D$40,Assumptions!$B55)*DX55*AG55,"")</f>
        <v/>
      </c>
      <c r="CD55" s="34" t="str">
        <f ca="1">IFERROR(SUMIFS('TRA balance'!AE$5:AE$40,'TRA balance'!$C$5:$C$40,Assumptions!$C55,'TRA balance'!$D$5:$D$40,Assumptions!$B55)*DY55*AH55,"")</f>
        <v/>
      </c>
      <c r="CE55" s="34" t="str">
        <f ca="1">IFERROR(SUMIFS('TRA balance'!AF$5:AF$40,'TRA balance'!$C$5:$C$40,Assumptions!$C55,'TRA balance'!$D$5:$D$40,Assumptions!$B55)*DZ55*AI55,"")</f>
        <v/>
      </c>
      <c r="CF55" s="34" t="str">
        <f ca="1">IFERROR(SUMIFS('TRA balance'!AG$5:AG$40,'TRA balance'!$C$5:$C$40,Assumptions!$C55,'TRA balance'!$D$5:$D$40,Assumptions!$B55)*EA55*AJ55,"")</f>
        <v/>
      </c>
      <c r="CG55" s="34" t="str">
        <f ca="1">IFERROR(SUMIFS('TRA balance'!AH$5:AH$40,'TRA balance'!$C$5:$C$40,Assumptions!$C55,'TRA balance'!$D$5:$D$40,Assumptions!$B55)*EB55*AK55,"")</f>
        <v/>
      </c>
      <c r="CH55" s="34" t="str">
        <f ca="1">IFERROR(SUMIFS('TRA balance'!AI$5:AI$40,'TRA balance'!$C$5:$C$40,Assumptions!$C55,'TRA balance'!$D$5:$D$40,Assumptions!$B55)*EC55*AL55,"")</f>
        <v/>
      </c>
      <c r="CI55" s="34" t="str">
        <f ca="1">IFERROR(SUMIFS('TRA balance'!AJ$5:AJ$40,'TRA balance'!$C$5:$C$40,Assumptions!$C55,'TRA balance'!$D$5:$D$40,Assumptions!$B55)*ED55*AM55,"")</f>
        <v/>
      </c>
      <c r="CJ55" s="34" t="str">
        <f ca="1">IFERROR(SUMIFS('TRA balance'!AK$5:AK$40,'TRA balance'!$C$5:$C$40,Assumptions!$C55,'TRA balance'!$D$5:$D$40,Assumptions!$B55)*EE55*AN55,"")</f>
        <v/>
      </c>
      <c r="CK55" s="34" t="str">
        <f ca="1">IFERROR(SUMIFS('TRA balance'!AL$5:AL$40,'TRA balance'!$C$5:$C$40,Assumptions!$C55,'TRA balance'!$D$5:$D$40,Assumptions!$B55)*EF55*AO55,"")</f>
        <v/>
      </c>
      <c r="CL55" s="34" t="str">
        <f ca="1">IFERROR(SUMIFS('TRA balance'!AM$5:AM$40,'TRA balance'!$C$5:$C$40,Assumptions!$C55,'TRA balance'!$D$5:$D$40,Assumptions!$B55)*EG55*AP55,"")</f>
        <v/>
      </c>
      <c r="CM55" s="34" t="str">
        <f ca="1">IFERROR(SUMIFS('TRA balance'!AN$5:AN$40,'TRA balance'!$C$5:$C$40,Assumptions!$C55,'TRA balance'!$D$5:$D$40,Assumptions!$B55)*EH55*AQ55,"")</f>
        <v/>
      </c>
      <c r="CN55" s="34" t="str">
        <f ca="1">IFERROR(SUMIFS('TRA balance'!AO$5:AO$40,'TRA balance'!$C$5:$C$40,Assumptions!$C55,'TRA balance'!$D$5:$D$40,Assumptions!$B55)*EI55*AR55,"")</f>
        <v/>
      </c>
      <c r="CO55" s="34" t="str">
        <f ca="1">IFERROR(SUMIFS('TRA balance'!AP$5:AP$40,'TRA balance'!$C$5:$C$40,Assumptions!$C55,'TRA balance'!$D$5:$D$40,Assumptions!$B55)*EJ55*AS55,"")</f>
        <v/>
      </c>
      <c r="CP55" s="34" t="str">
        <f ca="1">IFERROR(SUMIFS('TRA balance'!AQ$5:AQ$40,'TRA balance'!$C$5:$C$40,Assumptions!$C55,'TRA balance'!$D$5:$D$40,Assumptions!$B55)*EK55*AT55,"")</f>
        <v/>
      </c>
      <c r="CQ55" s="34" t="str">
        <f ca="1">IFERROR(SUMIFS('TRA balance'!AR$5:AR$40,'TRA balance'!$C$5:$C$40,Assumptions!$C55,'TRA balance'!$D$5:$D$40,Assumptions!$B55)*EL55*AU55,"")</f>
        <v/>
      </c>
      <c r="CR55" s="34" t="str">
        <f ca="1">IFERROR(SUMIFS('TRA balance'!AS$5:AS$40,'TRA balance'!$C$5:$C$40,Assumptions!$C55,'TRA balance'!$D$5:$D$40,Assumptions!$B55)*EM55*AV55,"")</f>
        <v/>
      </c>
      <c r="CS55" s="34" t="str">
        <f ca="1">IFERROR(SUMIFS('TRA balance'!AT$5:AT$40,'TRA balance'!$C$5:$C$40,Assumptions!$C55,'TRA balance'!$D$5:$D$40,Assumptions!$B55)*EN55*AW55,"")</f>
        <v/>
      </c>
      <c r="CT55" s="34" t="str">
        <f ca="1">IFERROR(SUMIFS('TRA balance'!AU$5:AU$40,'TRA balance'!$C$5:$C$40,Assumptions!$C55,'TRA balance'!$D$5:$D$40,Assumptions!$B55)*EO55*AX55,"")</f>
        <v/>
      </c>
      <c r="CU55" s="34" t="str">
        <f ca="1">IFERROR(SUMIFS('TRA balance'!AV$5:AV$40,'TRA balance'!$C$5:$C$40,Assumptions!$C55,'TRA balance'!$D$5:$D$40,Assumptions!$B55)*EP55*AY55,"")</f>
        <v/>
      </c>
      <c r="CV55" s="34" t="str">
        <f ca="1">IFERROR(SUMIFS('TRA balance'!AW$5:AW$40,'TRA balance'!$C$5:$C$40,Assumptions!$C55,'TRA balance'!$D$5:$D$40,Assumptions!$B55)*EQ55*AZ55,"")</f>
        <v/>
      </c>
      <c r="CW55" s="34" t="str">
        <f ca="1">IFERROR(SUMIFS('TRA balance'!AX$5:AX$40,'TRA balance'!$C$5:$C$40,Assumptions!$C55,'TRA balance'!$D$5:$D$40,Assumptions!$B55)*ER55*BA55,"")</f>
        <v/>
      </c>
      <c r="CY55" s="33">
        <f t="shared" si="66"/>
        <v>1</v>
      </c>
      <c r="CZ55" s="33">
        <f t="shared" si="3"/>
        <v>1</v>
      </c>
      <c r="DA55" s="33">
        <f t="shared" si="4"/>
        <v>1</v>
      </c>
      <c r="DB55" s="33">
        <f t="shared" si="5"/>
        <v>1</v>
      </c>
      <c r="DC55" s="33">
        <f t="shared" si="6"/>
        <v>1</v>
      </c>
      <c r="DD55" s="33">
        <f t="shared" si="7"/>
        <v>1</v>
      </c>
      <c r="DE55" s="33">
        <f t="shared" si="8"/>
        <v>1</v>
      </c>
      <c r="DF55" s="33">
        <f t="shared" si="9"/>
        <v>1</v>
      </c>
      <c r="DG55" s="33">
        <f t="shared" si="10"/>
        <v>1</v>
      </c>
      <c r="DH55" s="33">
        <f t="shared" si="11"/>
        <v>1</v>
      </c>
      <c r="DI55" s="33">
        <f t="shared" si="12"/>
        <v>1</v>
      </c>
      <c r="DJ55" s="33">
        <f t="shared" si="13"/>
        <v>1</v>
      </c>
      <c r="DK55" s="33">
        <f t="shared" si="14"/>
        <v>1</v>
      </c>
      <c r="DL55" s="33">
        <f t="shared" si="15"/>
        <v>1</v>
      </c>
      <c r="DM55" s="33">
        <f t="shared" si="16"/>
        <v>1</v>
      </c>
      <c r="DN55" s="33">
        <f t="shared" si="17"/>
        <v>1</v>
      </c>
      <c r="DO55" s="33">
        <f t="shared" si="18"/>
        <v>1</v>
      </c>
      <c r="DP55" s="33">
        <f t="shared" si="19"/>
        <v>1</v>
      </c>
      <c r="DQ55" s="33">
        <f t="shared" si="20"/>
        <v>1</v>
      </c>
      <c r="DR55" s="33">
        <f t="shared" si="21"/>
        <v>1</v>
      </c>
      <c r="DS55" s="33">
        <f t="shared" si="22"/>
        <v>1</v>
      </c>
      <c r="DT55" s="33">
        <f t="shared" si="23"/>
        <v>1</v>
      </c>
      <c r="DU55" s="33">
        <f t="shared" si="24"/>
        <v>1</v>
      </c>
      <c r="DV55" s="33">
        <f t="shared" si="25"/>
        <v>1</v>
      </c>
      <c r="DW55" s="33">
        <f t="shared" si="26"/>
        <v>1</v>
      </c>
      <c r="DX55" s="33">
        <f t="shared" si="27"/>
        <v>1</v>
      </c>
      <c r="DY55" s="33">
        <f t="shared" si="28"/>
        <v>1</v>
      </c>
      <c r="DZ55" s="33">
        <f t="shared" si="29"/>
        <v>1</v>
      </c>
      <c r="EA55" s="33">
        <f t="shared" si="30"/>
        <v>1</v>
      </c>
      <c r="EB55" s="33">
        <f t="shared" si="31"/>
        <v>1</v>
      </c>
      <c r="EC55" s="33">
        <f t="shared" si="32"/>
        <v>1</v>
      </c>
      <c r="ED55" s="33">
        <f t="shared" si="33"/>
        <v>1</v>
      </c>
      <c r="EE55" s="33">
        <f t="shared" si="34"/>
        <v>1</v>
      </c>
      <c r="EF55" s="33">
        <f t="shared" si="35"/>
        <v>1</v>
      </c>
      <c r="EG55" s="33">
        <f t="shared" si="36"/>
        <v>1</v>
      </c>
      <c r="EH55" s="33">
        <f t="shared" si="37"/>
        <v>1</v>
      </c>
      <c r="EI55" s="33">
        <f t="shared" si="38"/>
        <v>1</v>
      </c>
      <c r="EJ55" s="33">
        <f t="shared" si="39"/>
        <v>1</v>
      </c>
      <c r="EK55" s="33">
        <f t="shared" si="40"/>
        <v>1</v>
      </c>
      <c r="EL55" s="33">
        <f t="shared" si="41"/>
        <v>1</v>
      </c>
      <c r="EM55" s="33">
        <f t="shared" si="42"/>
        <v>1</v>
      </c>
      <c r="EN55" s="33">
        <f t="shared" si="43"/>
        <v>1</v>
      </c>
      <c r="EO55" s="33">
        <f t="shared" si="44"/>
        <v>1</v>
      </c>
      <c r="EP55" s="33">
        <f t="shared" si="45"/>
        <v>1</v>
      </c>
      <c r="EQ55" s="33">
        <f t="shared" si="46"/>
        <v>1</v>
      </c>
      <c r="ER55" s="33">
        <f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14">
        <v>2</v>
      </c>
      <c r="D56" s="15" t="s">
        <v>16</v>
      </c>
      <c r="E56" s="15" t="s">
        <v>70</v>
      </c>
      <c r="F56" s="16" t="str">
        <f>F55</f>
        <v>Natural Gas</v>
      </c>
      <c r="G56" s="14"/>
      <c r="H56" s="21">
        <f t="shared" ref="H56" ca="1" si="80">1-H52</f>
        <v>0.75</v>
      </c>
      <c r="I56" s="21">
        <f t="shared" ref="I56:BA56" ca="1" si="81">1-I52</f>
        <v>0.75</v>
      </c>
      <c r="J56" s="21">
        <f t="shared" ca="1" si="81"/>
        <v>0.75</v>
      </c>
      <c r="K56" s="21">
        <f t="shared" ca="1" si="81"/>
        <v>0.31799999999999995</v>
      </c>
      <c r="L56" s="21">
        <f t="shared" ca="1" si="81"/>
        <v>0.30000000000000004</v>
      </c>
      <c r="M56" s="21">
        <f t="shared" ca="1" si="81"/>
        <v>0.31799999999999995</v>
      </c>
      <c r="N56" s="21">
        <f t="shared" ca="1" si="81"/>
        <v>0.5</v>
      </c>
      <c r="O56" s="21">
        <f t="shared" ca="1" si="81"/>
        <v>0.6</v>
      </c>
      <c r="P56" s="21">
        <f t="shared" ca="1" si="81"/>
        <v>1</v>
      </c>
      <c r="Q56" s="21">
        <f t="shared" ca="1" si="81"/>
        <v>1</v>
      </c>
      <c r="R56" s="21">
        <f t="shared" ca="1" si="81"/>
        <v>0.31799999999999995</v>
      </c>
      <c r="S56" s="21">
        <f t="shared" ca="1" si="81"/>
        <v>0.31799999999999995</v>
      </c>
      <c r="T56" s="21">
        <f t="shared" ca="1" si="81"/>
        <v>0.31799999999999995</v>
      </c>
      <c r="U56" s="21">
        <f t="shared" ca="1" si="81"/>
        <v>1</v>
      </c>
      <c r="V56" s="21">
        <f t="shared" ca="1" si="81"/>
        <v>0.31799999999999995</v>
      </c>
      <c r="W56" s="21">
        <f t="shared" ca="1" si="81"/>
        <v>0.75</v>
      </c>
      <c r="X56" s="21">
        <f t="shared" ca="1" si="81"/>
        <v>0.31799999999999995</v>
      </c>
      <c r="Y56" s="21">
        <f t="shared" ca="1" si="81"/>
        <v>0.31799999999999995</v>
      </c>
      <c r="Z56" s="21">
        <f t="shared" ca="1" si="81"/>
        <v>5.0000000000000044E-2</v>
      </c>
      <c r="AA56" s="21">
        <f t="shared" ca="1" si="81"/>
        <v>0.5</v>
      </c>
      <c r="AB56" s="21">
        <f t="shared" ca="1" si="81"/>
        <v>0.31799999999999995</v>
      </c>
      <c r="AC56" s="21">
        <f t="shared" ca="1" si="81"/>
        <v>2.0830205440209748E-2</v>
      </c>
      <c r="AD56" s="21">
        <f t="shared" ca="1" si="81"/>
        <v>0.31799999999999995</v>
      </c>
      <c r="AE56" s="21">
        <f t="shared" ca="1" si="81"/>
        <v>1</v>
      </c>
      <c r="AF56" s="21">
        <f t="shared" ca="1" si="81"/>
        <v>9.9999999999999978E-2</v>
      </c>
      <c r="AG56" s="21">
        <f t="shared" ca="1" si="81"/>
        <v>0.30000000000000004</v>
      </c>
      <c r="AH56" s="21">
        <f t="shared" ca="1" si="81"/>
        <v>0.31799999999999995</v>
      </c>
      <c r="AI56" s="21">
        <f t="shared" ca="1" si="81"/>
        <v>0.75</v>
      </c>
      <c r="AJ56" s="21">
        <f t="shared" ca="1" si="81"/>
        <v>0.31799999999999995</v>
      </c>
      <c r="AK56" s="21">
        <f t="shared" ca="1" si="81"/>
        <v>0.31799999999999995</v>
      </c>
      <c r="AL56" s="21">
        <f t="shared" ca="1" si="81"/>
        <v>0.31799999999999995</v>
      </c>
      <c r="AM56" s="21">
        <f t="shared" ca="1" si="81"/>
        <v>0.31799999999999995</v>
      </c>
      <c r="AN56" s="21">
        <f t="shared" ca="1" si="81"/>
        <v>0.31799999999999995</v>
      </c>
      <c r="AO56" s="21">
        <f t="shared" ca="1" si="81"/>
        <v>0.30000000000000004</v>
      </c>
      <c r="AP56" s="21">
        <f t="shared" ca="1" si="81"/>
        <v>1</v>
      </c>
      <c r="AQ56" s="21">
        <f t="shared" ca="1" si="81"/>
        <v>2.0830205440209748E-2</v>
      </c>
      <c r="AR56" s="21">
        <f t="shared" ca="1" si="81"/>
        <v>2.0830205440209748E-2</v>
      </c>
      <c r="AS56" s="21">
        <f t="shared" ca="1" si="81"/>
        <v>2.0830205440209748E-2</v>
      </c>
      <c r="AT56" s="21">
        <f t="shared" ca="1" si="81"/>
        <v>2.0830205440209748E-2</v>
      </c>
      <c r="AU56" s="21">
        <f t="shared" ca="1" si="81"/>
        <v>2.0830205440209748E-2</v>
      </c>
      <c r="AV56" s="21">
        <f t="shared" ca="1" si="81"/>
        <v>2.0830205440209748E-2</v>
      </c>
      <c r="AW56" s="21">
        <f t="shared" ca="1" si="81"/>
        <v>2.0830205440209748E-2</v>
      </c>
      <c r="AX56" s="21">
        <f t="shared" ca="1" si="81"/>
        <v>2.0830205440209748E-2</v>
      </c>
      <c r="AY56" s="21">
        <f t="shared" ca="1" si="81"/>
        <v>2.0830205440209748E-2</v>
      </c>
      <c r="AZ56" s="21">
        <f t="shared" ca="1" si="81"/>
        <v>2.0830205440209748E-2</v>
      </c>
      <c r="BA56" s="21">
        <f t="shared" ca="1" si="81"/>
        <v>2.0830205440209748E-2</v>
      </c>
      <c r="BD56" s="34">
        <f ca="1">IFERROR(SUMIFS('TRA balance'!E$5:E$40,'TRA balance'!$C$5:$C$40,Assumptions!$C56,'TRA balance'!$D$5:$D$40,Assumptions!$B56)*CY56*H56,"")</f>
        <v>0</v>
      </c>
      <c r="BE56" s="34">
        <f ca="1">IFERROR(SUMIFS('TRA balance'!F$5:F$40,'TRA balance'!$C$5:$C$40,Assumptions!$C56,'TRA balance'!$D$5:$D$40,Assumptions!$B56)*CZ56*I56,"")</f>
        <v>0</v>
      </c>
      <c r="BF56" s="34">
        <f ca="1">IFERROR(SUMIFS('TRA balance'!G$5:G$40,'TRA balance'!$C$5:$C$40,Assumptions!$C56,'TRA balance'!$D$5:$D$40,Assumptions!$B56)*DA56*J56,"")</f>
        <v>0</v>
      </c>
      <c r="BG56" s="34">
        <f ca="1">IFERROR(SUMIFS('TRA balance'!H$5:H$40,'TRA balance'!$C$5:$C$40,Assumptions!$C56,'TRA balance'!$D$5:$D$40,Assumptions!$B56)*DB56*K56,"")</f>
        <v>0</v>
      </c>
      <c r="BH56" s="34">
        <f ca="1">IFERROR(SUMIFS('TRA balance'!I$5:I$40,'TRA balance'!$C$5:$C$40,Assumptions!$C56,'TRA balance'!$D$5:$D$40,Assumptions!$B56)*DC56*L56,"")</f>
        <v>0</v>
      </c>
      <c r="BI56" s="34">
        <f ca="1">IFERROR(SUMIFS('TRA balance'!J$5:J$40,'TRA balance'!$C$5:$C$40,Assumptions!$C56,'TRA balance'!$D$5:$D$40,Assumptions!$B56)*DD56*M56,"")</f>
        <v>0</v>
      </c>
      <c r="BJ56" s="34">
        <f ca="1">IFERROR(SUMIFS('TRA balance'!K$5:K$40,'TRA balance'!$C$5:$C$40,Assumptions!$C56,'TRA balance'!$D$5:$D$40,Assumptions!$B56)*DE56*N56,"")</f>
        <v>0</v>
      </c>
      <c r="BK56" s="34">
        <f ca="1">IFERROR(SUMIFS('TRA balance'!L$5:L$40,'TRA balance'!$C$5:$C$40,Assumptions!$C56,'TRA balance'!$D$5:$D$40,Assumptions!$B56)*DF56*O56,"")</f>
        <v>0</v>
      </c>
      <c r="BL56" s="34">
        <f ca="1">IFERROR(SUMIFS('TRA balance'!M$5:M$40,'TRA balance'!$C$5:$C$40,Assumptions!$C56,'TRA balance'!$D$5:$D$40,Assumptions!$B56)*DG56*P56,"")</f>
        <v>0</v>
      </c>
      <c r="BM56" s="34">
        <f ca="1">IFERROR(SUMIFS('TRA balance'!N$5:N$40,'TRA balance'!$C$5:$C$40,Assumptions!$C56,'TRA balance'!$D$5:$D$40,Assumptions!$B56)*DH56*Q56,"")</f>
        <v>0</v>
      </c>
      <c r="BN56" s="34">
        <f ca="1">IFERROR(SUMIFS('TRA balance'!O$5:O$40,'TRA balance'!$C$5:$C$40,Assumptions!$C56,'TRA balance'!$D$5:$D$40,Assumptions!$B56)*DI56*R56,"")</f>
        <v>0</v>
      </c>
      <c r="BO56" s="34">
        <f ca="1">IFERROR(SUMIFS('TRA balance'!P$5:P$40,'TRA balance'!$C$5:$C$40,Assumptions!$C56,'TRA balance'!$D$5:$D$40,Assumptions!$B56)*DJ56*S56,"")</f>
        <v>0</v>
      </c>
      <c r="BP56" s="34">
        <f ca="1">IFERROR(SUMIFS('TRA balance'!Q$5:Q$40,'TRA balance'!$C$5:$C$40,Assumptions!$C56,'TRA balance'!$D$5:$D$40,Assumptions!$B56)*DK56*T56,"")</f>
        <v>0</v>
      </c>
      <c r="BQ56" s="34">
        <f ca="1">IFERROR(SUMIFS('TRA balance'!R$5:R$40,'TRA balance'!$C$5:$C$40,Assumptions!$C56,'TRA balance'!$D$5:$D$40,Assumptions!$B56)*DL56*U56,"")</f>
        <v>0</v>
      </c>
      <c r="BR56" s="34">
        <f ca="1">IFERROR(SUMIFS('TRA balance'!S$5:S$40,'TRA balance'!$C$5:$C$40,Assumptions!$C56,'TRA balance'!$D$5:$D$40,Assumptions!$B56)*DM56*V56,"")</f>
        <v>0</v>
      </c>
      <c r="BS56" s="34">
        <f ca="1">IFERROR(SUMIFS('TRA balance'!T$5:T$40,'TRA balance'!$C$5:$C$40,Assumptions!$C56,'TRA balance'!$D$5:$D$40,Assumptions!$B56)*DN56*W56,"")</f>
        <v>0</v>
      </c>
      <c r="BT56" s="34">
        <f ca="1">IFERROR(SUMIFS('TRA balance'!U$5:U$40,'TRA balance'!$C$5:$C$40,Assumptions!$C56,'TRA balance'!$D$5:$D$40,Assumptions!$B56)*DO56*X56,"")</f>
        <v>0</v>
      </c>
      <c r="BU56" s="34">
        <f ca="1">IFERROR(SUMIFS('TRA balance'!V$5:V$40,'TRA balance'!$C$5:$C$40,Assumptions!$C56,'TRA balance'!$D$5:$D$40,Assumptions!$B56)*DP56*Y56,"")</f>
        <v>0</v>
      </c>
      <c r="BV56" s="34">
        <f ca="1">IFERROR(SUMIFS('TRA balance'!W$5:W$40,'TRA balance'!$C$5:$C$40,Assumptions!$C56,'TRA balance'!$D$5:$D$40,Assumptions!$B56)*DQ56*Z56,"")</f>
        <v>0</v>
      </c>
      <c r="BW56" s="34">
        <f ca="1">IFERROR(SUMIFS('TRA balance'!X$5:X$40,'TRA balance'!$C$5:$C$40,Assumptions!$C56,'TRA balance'!$D$5:$D$40,Assumptions!$B56)*DR56*AA56,"")</f>
        <v>0</v>
      </c>
      <c r="BX56" s="34">
        <f ca="1">IFERROR(SUMIFS('TRA balance'!Y$5:Y$40,'TRA balance'!$C$5:$C$40,Assumptions!$C56,'TRA balance'!$D$5:$D$40,Assumptions!$B56)*DS56*AB56,"")</f>
        <v>0</v>
      </c>
      <c r="BY56" s="34">
        <f ca="1">IFERROR(SUMIFS('TRA balance'!Z$5:Z$40,'TRA balance'!$C$5:$C$40,Assumptions!$C56,'TRA balance'!$D$5:$D$40,Assumptions!$B56)*DT56*AC56,"")</f>
        <v>0</v>
      </c>
      <c r="BZ56" s="34">
        <f ca="1">IFERROR(SUMIFS('TRA balance'!AA$5:AA$40,'TRA balance'!$C$5:$C$40,Assumptions!$C56,'TRA balance'!$D$5:$D$40,Assumptions!$B56)*DU56*AD56,"")</f>
        <v>0</v>
      </c>
      <c r="CA56" s="34">
        <f ca="1">IFERROR(SUMIFS('TRA balance'!AB$5:AB$40,'TRA balance'!$C$5:$C$40,Assumptions!$C56,'TRA balance'!$D$5:$D$40,Assumptions!$B56)*DV56*AE56,"")</f>
        <v>0</v>
      </c>
      <c r="CB56" s="34">
        <f ca="1">IFERROR(SUMIFS('TRA balance'!AC$5:AC$40,'TRA balance'!$C$5:$C$40,Assumptions!$C56,'TRA balance'!$D$5:$D$40,Assumptions!$B56)*DW56*AF56,"")</f>
        <v>0</v>
      </c>
      <c r="CC56" s="34">
        <f ca="1">IFERROR(SUMIFS('TRA balance'!AD$5:AD$40,'TRA balance'!$C$5:$C$40,Assumptions!$C56,'TRA balance'!$D$5:$D$40,Assumptions!$B56)*DX56*AG56,"")</f>
        <v>0</v>
      </c>
      <c r="CD56" s="34">
        <f ca="1">IFERROR(SUMIFS('TRA balance'!AE$5:AE$40,'TRA balance'!$C$5:$C$40,Assumptions!$C56,'TRA balance'!$D$5:$D$40,Assumptions!$B56)*DY56*AH56,"")</f>
        <v>0</v>
      </c>
      <c r="CE56" s="34">
        <f ca="1">IFERROR(SUMIFS('TRA balance'!AF$5:AF$40,'TRA balance'!$C$5:$C$40,Assumptions!$C56,'TRA balance'!$D$5:$D$40,Assumptions!$B56)*DZ56*AI56,"")</f>
        <v>0</v>
      </c>
      <c r="CF56" s="34">
        <f ca="1">IFERROR(SUMIFS('TRA balance'!AG$5:AG$40,'TRA balance'!$C$5:$C$40,Assumptions!$C56,'TRA balance'!$D$5:$D$40,Assumptions!$B56)*EA56*AJ56,"")</f>
        <v>0</v>
      </c>
      <c r="CG56" s="34">
        <f ca="1">IFERROR(SUMIFS('TRA balance'!AH$5:AH$40,'TRA balance'!$C$5:$C$40,Assumptions!$C56,'TRA balance'!$D$5:$D$40,Assumptions!$B56)*EB56*AK56,"")</f>
        <v>0</v>
      </c>
      <c r="CH56" s="34">
        <f ca="1">IFERROR(SUMIFS('TRA balance'!AI$5:AI$40,'TRA balance'!$C$5:$C$40,Assumptions!$C56,'TRA balance'!$D$5:$D$40,Assumptions!$B56)*EC56*AL56,"")</f>
        <v>0</v>
      </c>
      <c r="CI56" s="34">
        <f ca="1">IFERROR(SUMIFS('TRA balance'!AJ$5:AJ$40,'TRA balance'!$C$5:$C$40,Assumptions!$C56,'TRA balance'!$D$5:$D$40,Assumptions!$B56)*ED56*AM56,"")</f>
        <v>0</v>
      </c>
      <c r="CJ56" s="34">
        <f ca="1">IFERROR(SUMIFS('TRA balance'!AK$5:AK$40,'TRA balance'!$C$5:$C$40,Assumptions!$C56,'TRA balance'!$D$5:$D$40,Assumptions!$B56)*EE56*AN56,"")</f>
        <v>0</v>
      </c>
      <c r="CK56" s="34">
        <f ca="1">IFERROR(SUMIFS('TRA balance'!AL$5:AL$40,'TRA balance'!$C$5:$C$40,Assumptions!$C56,'TRA balance'!$D$5:$D$40,Assumptions!$B56)*EF56*AO56,"")</f>
        <v>0</v>
      </c>
      <c r="CL56" s="34">
        <f ca="1">IFERROR(SUMIFS('TRA balance'!AM$5:AM$40,'TRA balance'!$C$5:$C$40,Assumptions!$C56,'TRA balance'!$D$5:$D$40,Assumptions!$B56)*EG56*AP56,"")</f>
        <v>0</v>
      </c>
      <c r="CM56" s="34">
        <f ca="1">IFERROR(SUMIFS('TRA balance'!AN$5:AN$40,'TRA balance'!$C$5:$C$40,Assumptions!$C56,'TRA balance'!$D$5:$D$40,Assumptions!$B56)*EH56*AQ56,"")</f>
        <v>0</v>
      </c>
      <c r="CN56" s="34">
        <f ca="1">IFERROR(SUMIFS('TRA balance'!AO$5:AO$40,'TRA balance'!$C$5:$C$40,Assumptions!$C56,'TRA balance'!$D$5:$D$40,Assumptions!$B56)*EI56*AR56,"")</f>
        <v>0</v>
      </c>
      <c r="CO56" s="34">
        <f ca="1">IFERROR(SUMIFS('TRA balance'!AP$5:AP$40,'TRA balance'!$C$5:$C$40,Assumptions!$C56,'TRA balance'!$D$5:$D$40,Assumptions!$B56)*EJ56*AS56,"")</f>
        <v>0</v>
      </c>
      <c r="CP56" s="34">
        <f ca="1">IFERROR(SUMIFS('TRA balance'!AQ$5:AQ$40,'TRA balance'!$C$5:$C$40,Assumptions!$C56,'TRA balance'!$D$5:$D$40,Assumptions!$B56)*EK56*AT56,"")</f>
        <v>0</v>
      </c>
      <c r="CQ56" s="34">
        <f ca="1">IFERROR(SUMIFS('TRA balance'!AR$5:AR$40,'TRA balance'!$C$5:$C$40,Assumptions!$C56,'TRA balance'!$D$5:$D$40,Assumptions!$B56)*EL56*AU56,"")</f>
        <v>0</v>
      </c>
      <c r="CR56" s="34">
        <f ca="1">IFERROR(SUMIFS('TRA balance'!AS$5:AS$40,'TRA balance'!$C$5:$C$40,Assumptions!$C56,'TRA balance'!$D$5:$D$40,Assumptions!$B56)*EM56*AV56,"")</f>
        <v>0</v>
      </c>
      <c r="CS56" s="34">
        <f ca="1">IFERROR(SUMIFS('TRA balance'!AT$5:AT$40,'TRA balance'!$C$5:$C$40,Assumptions!$C56,'TRA balance'!$D$5:$D$40,Assumptions!$B56)*EN56*AW56,"")</f>
        <v>0</v>
      </c>
      <c r="CT56" s="34">
        <f ca="1">IFERROR(SUMIFS('TRA balance'!AU$5:AU$40,'TRA balance'!$C$5:$C$40,Assumptions!$C56,'TRA balance'!$D$5:$D$40,Assumptions!$B56)*EO56*AX56,"")</f>
        <v>0</v>
      </c>
      <c r="CU56" s="34">
        <f ca="1">IFERROR(SUMIFS('TRA balance'!AV$5:AV$40,'TRA balance'!$C$5:$C$40,Assumptions!$C56,'TRA balance'!$D$5:$D$40,Assumptions!$B56)*EP56*AY56,"")</f>
        <v>0</v>
      </c>
      <c r="CV56" s="34">
        <f ca="1">IFERROR(SUMIFS('TRA balance'!AW$5:AW$40,'TRA balance'!$C$5:$C$40,Assumptions!$C56,'TRA balance'!$D$5:$D$40,Assumptions!$B56)*EQ56*AZ56,"")</f>
        <v>0</v>
      </c>
      <c r="CW56" s="34">
        <f ca="1">IFERROR(SUMIFS('TRA balance'!AX$5:AX$40,'TRA balance'!$C$5:$C$40,Assumptions!$C56,'TRA balance'!$D$5:$D$40,Assumptions!$B56)*ER56*BA56,"")</f>
        <v>0</v>
      </c>
      <c r="CY56" s="33">
        <f t="shared" si="66"/>
        <v>1</v>
      </c>
      <c r="CZ56" s="33">
        <f t="shared" si="3"/>
        <v>1</v>
      </c>
      <c r="DA56" s="33">
        <f t="shared" si="4"/>
        <v>1</v>
      </c>
      <c r="DB56" s="33">
        <f t="shared" si="5"/>
        <v>1</v>
      </c>
      <c r="DC56" s="33">
        <f t="shared" si="6"/>
        <v>1</v>
      </c>
      <c r="DD56" s="33">
        <f t="shared" si="7"/>
        <v>1</v>
      </c>
      <c r="DE56" s="33">
        <f t="shared" si="8"/>
        <v>1</v>
      </c>
      <c r="DF56" s="33">
        <f t="shared" si="9"/>
        <v>1</v>
      </c>
      <c r="DG56" s="33">
        <f t="shared" si="10"/>
        <v>1</v>
      </c>
      <c r="DH56" s="33">
        <f t="shared" si="11"/>
        <v>1</v>
      </c>
      <c r="DI56" s="33">
        <f t="shared" si="12"/>
        <v>1</v>
      </c>
      <c r="DJ56" s="33">
        <f t="shared" si="13"/>
        <v>1</v>
      </c>
      <c r="DK56" s="33">
        <f t="shared" si="14"/>
        <v>1</v>
      </c>
      <c r="DL56" s="33">
        <f t="shared" si="15"/>
        <v>1</v>
      </c>
      <c r="DM56" s="33">
        <f t="shared" si="16"/>
        <v>1</v>
      </c>
      <c r="DN56" s="33">
        <f t="shared" si="17"/>
        <v>1</v>
      </c>
      <c r="DO56" s="33">
        <f t="shared" si="18"/>
        <v>1</v>
      </c>
      <c r="DP56" s="33">
        <f t="shared" si="19"/>
        <v>1</v>
      </c>
      <c r="DQ56" s="33">
        <f t="shared" si="20"/>
        <v>1</v>
      </c>
      <c r="DR56" s="33">
        <f t="shared" si="21"/>
        <v>1</v>
      </c>
      <c r="DS56" s="33">
        <f t="shared" si="22"/>
        <v>1</v>
      </c>
      <c r="DT56" s="33">
        <f t="shared" si="23"/>
        <v>1</v>
      </c>
      <c r="DU56" s="33">
        <f t="shared" si="24"/>
        <v>1</v>
      </c>
      <c r="DV56" s="33">
        <f t="shared" si="25"/>
        <v>1</v>
      </c>
      <c r="DW56" s="33">
        <f t="shared" si="26"/>
        <v>1</v>
      </c>
      <c r="DX56" s="33">
        <f t="shared" si="27"/>
        <v>1</v>
      </c>
      <c r="DY56" s="33">
        <f t="shared" si="28"/>
        <v>1</v>
      </c>
      <c r="DZ56" s="33">
        <f t="shared" si="29"/>
        <v>1</v>
      </c>
      <c r="EA56" s="33">
        <f t="shared" si="30"/>
        <v>1</v>
      </c>
      <c r="EB56" s="33">
        <f t="shared" si="31"/>
        <v>1</v>
      </c>
      <c r="EC56" s="33">
        <f t="shared" si="32"/>
        <v>1</v>
      </c>
      <c r="ED56" s="33">
        <f t="shared" si="33"/>
        <v>1</v>
      </c>
      <c r="EE56" s="33">
        <f t="shared" si="34"/>
        <v>1</v>
      </c>
      <c r="EF56" s="33">
        <f t="shared" si="35"/>
        <v>1</v>
      </c>
      <c r="EG56" s="33">
        <f t="shared" si="36"/>
        <v>1</v>
      </c>
      <c r="EH56" s="33">
        <f t="shared" si="37"/>
        <v>1</v>
      </c>
      <c r="EI56" s="33">
        <f t="shared" si="38"/>
        <v>1</v>
      </c>
      <c r="EJ56" s="33">
        <f t="shared" si="39"/>
        <v>1</v>
      </c>
      <c r="EK56" s="33">
        <f t="shared" si="40"/>
        <v>1</v>
      </c>
      <c r="EL56" s="33">
        <f t="shared" si="41"/>
        <v>1</v>
      </c>
      <c r="EM56" s="33">
        <f t="shared" si="42"/>
        <v>1</v>
      </c>
      <c r="EN56" s="33">
        <f t="shared" si="43"/>
        <v>1</v>
      </c>
      <c r="EO56" s="33">
        <f t="shared" si="44"/>
        <v>1</v>
      </c>
      <c r="EP56" s="33">
        <f t="shared" si="45"/>
        <v>1</v>
      </c>
      <c r="EQ56" s="33">
        <f t="shared" si="46"/>
        <v>1</v>
      </c>
      <c r="ER56" s="33">
        <f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6" t="str">
        <f t="shared" si="48"/>
        <v>TR</v>
      </c>
      <c r="D57" s="7" t="s">
        <v>16</v>
      </c>
      <c r="E57" s="18" t="s">
        <v>71</v>
      </c>
      <c r="F57" s="8" t="str">
        <f>F56</f>
        <v>Natural Gas</v>
      </c>
      <c r="G57" s="6" t="s">
        <v>72</v>
      </c>
      <c r="H57" s="9">
        <f ca="1">OFFSET(TIAM15_assumptions!$G57,0,MATCH(VLOOKUP(Assumptions!H$2,TIAM15_assumptions!$Y$3:$Z$87,2,FALSE),TIAM15_assumptions!$H$2:$V$2,0))</f>
        <v>0.8</v>
      </c>
      <c r="I57" s="9">
        <f ca="1">OFFSET(TIAM15_assumptions!$G57,0,MATCH(VLOOKUP(Assumptions!I$2,TIAM15_assumptions!$Y$3:$Z$87,2,FALSE),TIAM15_assumptions!$H$2:$V$2,0))</f>
        <v>0.8</v>
      </c>
      <c r="J57" s="9">
        <f ca="1">OFFSET(TIAM15_assumptions!$G57,0,MATCH(VLOOKUP(Assumptions!J$2,TIAM15_assumptions!$Y$3:$Z$87,2,FALSE),TIAM15_assumptions!$H$2:$V$2,0))</f>
        <v>0.8</v>
      </c>
      <c r="K57" s="9">
        <f ca="1">OFFSET(TIAM15_assumptions!$G57,0,MATCH(VLOOKUP(Assumptions!K$2,TIAM15_assumptions!$Y$3:$Z$87,2,FALSE),TIAM15_assumptions!$H$2:$V$2,0))</f>
        <v>1</v>
      </c>
      <c r="L57" s="9">
        <f ca="1">OFFSET(TIAM15_assumptions!$G57,0,MATCH(VLOOKUP(Assumptions!L$2,TIAM15_assumptions!$Y$3:$Z$87,2,FALSE),TIAM15_assumptions!$H$2:$V$2,0))</f>
        <v>0</v>
      </c>
      <c r="M57" s="9">
        <f ca="1">OFFSET(TIAM15_assumptions!$G57,0,MATCH(VLOOKUP(Assumptions!M$2,TIAM15_assumptions!$Y$3:$Z$87,2,FALSE),TIAM15_assumptions!$H$2:$V$2,0))</f>
        <v>1</v>
      </c>
      <c r="N57" s="9">
        <f ca="1">OFFSET(TIAM15_assumptions!$G57,0,MATCH(VLOOKUP(Assumptions!N$2,TIAM15_assumptions!$Y$3:$Z$87,2,FALSE),TIAM15_assumptions!$H$2:$V$2,0))</f>
        <v>0.6</v>
      </c>
      <c r="O57" s="9">
        <f ca="1">OFFSET(TIAM15_assumptions!$G57,0,MATCH(VLOOKUP(Assumptions!O$2,TIAM15_assumptions!$Y$3:$Z$87,2,FALSE),TIAM15_assumptions!$H$2:$V$2,0))</f>
        <v>0.8</v>
      </c>
      <c r="P57" s="9">
        <f ca="1">OFFSET(TIAM15_assumptions!$G57,0,MATCH(VLOOKUP(Assumptions!P$2,TIAM15_assumptions!$Y$3:$Z$87,2,FALSE),TIAM15_assumptions!$H$2:$V$2,0))</f>
        <v>1</v>
      </c>
      <c r="Q57" s="9">
        <f ca="1">OFFSET(TIAM15_assumptions!$G57,0,MATCH(VLOOKUP(Assumptions!Q$2,TIAM15_assumptions!$Y$3:$Z$87,2,FALSE),TIAM15_assumptions!$H$2:$V$2,0))</f>
        <v>1</v>
      </c>
      <c r="R57" s="9">
        <f ca="1">OFFSET(TIAM15_assumptions!$G57,0,MATCH(VLOOKUP(Assumptions!R$2,TIAM15_assumptions!$Y$3:$Z$87,2,FALSE),TIAM15_assumptions!$H$2:$V$2,0))</f>
        <v>1</v>
      </c>
      <c r="S57" s="9">
        <f ca="1">OFFSET(TIAM15_assumptions!$G57,0,MATCH(VLOOKUP(Assumptions!S$2,TIAM15_assumptions!$Y$3:$Z$87,2,FALSE),TIAM15_assumptions!$H$2:$V$2,0))</f>
        <v>1</v>
      </c>
      <c r="T57" s="9">
        <f ca="1">OFFSET(TIAM15_assumptions!$G57,0,MATCH(VLOOKUP(Assumptions!T$2,TIAM15_assumptions!$Y$3:$Z$87,2,FALSE),TIAM15_assumptions!$H$2:$V$2,0))</f>
        <v>1</v>
      </c>
      <c r="U57" s="9">
        <f ca="1">OFFSET(TIAM15_assumptions!$G57,0,MATCH(VLOOKUP(Assumptions!U$2,TIAM15_assumptions!$Y$3:$Z$87,2,FALSE),TIAM15_assumptions!$H$2:$V$2,0))</f>
        <v>1</v>
      </c>
      <c r="V57" s="9">
        <f ca="1">OFFSET(TIAM15_assumptions!$G57,0,MATCH(VLOOKUP(Assumptions!V$2,TIAM15_assumptions!$Y$3:$Z$87,2,FALSE),TIAM15_assumptions!$H$2:$V$2,0))</f>
        <v>1</v>
      </c>
      <c r="W57" s="9">
        <f ca="1">OFFSET(TIAM15_assumptions!$G57,0,MATCH(VLOOKUP(Assumptions!W$2,TIAM15_assumptions!$Y$3:$Z$87,2,FALSE),TIAM15_assumptions!$H$2:$V$2,0))</f>
        <v>0.8</v>
      </c>
      <c r="X57" s="9">
        <f ca="1">OFFSET(TIAM15_assumptions!$G57,0,MATCH(VLOOKUP(Assumptions!X$2,TIAM15_assumptions!$Y$3:$Z$87,2,FALSE),TIAM15_assumptions!$H$2:$V$2,0))</f>
        <v>1</v>
      </c>
      <c r="Y57" s="9">
        <f ca="1">OFFSET(TIAM15_assumptions!$G57,0,MATCH(VLOOKUP(Assumptions!Y$2,TIAM15_assumptions!$Y$3:$Z$87,2,FALSE),TIAM15_assumptions!$H$2:$V$2,0))</f>
        <v>1</v>
      </c>
      <c r="Z57" s="9">
        <f ca="1">OFFSET(TIAM15_assumptions!$G57,0,MATCH(VLOOKUP(Assumptions!Z$2,TIAM15_assumptions!$Y$3:$Z$87,2,FALSE),TIAM15_assumptions!$H$2:$V$2,0))</f>
        <v>0</v>
      </c>
      <c r="AA57" s="9">
        <f ca="1">OFFSET(TIAM15_assumptions!$G57,0,MATCH(VLOOKUP(Assumptions!AA$2,TIAM15_assumptions!$Y$3:$Z$87,2,FALSE),TIAM15_assumptions!$H$2:$V$2,0))</f>
        <v>0.6</v>
      </c>
      <c r="AB57" s="9">
        <f ca="1">OFFSET(TIAM15_assumptions!$G57,0,MATCH(VLOOKUP(Assumptions!AB$2,TIAM15_assumptions!$Y$3:$Z$87,2,FALSE),TIAM15_assumptions!$H$2:$V$2,0))</f>
        <v>1</v>
      </c>
      <c r="AC57" s="9">
        <f ca="1">OFFSET(TIAM15_assumptions!$G57,0,MATCH(VLOOKUP(Assumptions!AC$2,TIAM15_assumptions!$Y$3:$Z$87,2,FALSE),TIAM15_assumptions!$H$2:$V$2,0))</f>
        <v>0.02</v>
      </c>
      <c r="AD57" s="9">
        <f ca="1">OFFSET(TIAM15_assumptions!$G57,0,MATCH(VLOOKUP(Assumptions!AD$2,TIAM15_assumptions!$Y$3:$Z$87,2,FALSE),TIAM15_assumptions!$H$2:$V$2,0))</f>
        <v>1</v>
      </c>
      <c r="AE57" s="9">
        <f ca="1">OFFSET(TIAM15_assumptions!$G57,0,MATCH(VLOOKUP(Assumptions!AE$2,TIAM15_assumptions!$Y$3:$Z$87,2,FALSE),TIAM15_assumptions!$H$2:$V$2,0))</f>
        <v>1</v>
      </c>
      <c r="AF57" s="9">
        <f ca="1">OFFSET(TIAM15_assumptions!$G57,0,MATCH(VLOOKUP(Assumptions!AF$2,TIAM15_assumptions!$Y$3:$Z$87,2,FALSE),TIAM15_assumptions!$H$2:$V$2,0))</f>
        <v>0.7</v>
      </c>
      <c r="AG57" s="9">
        <f ca="1">OFFSET(TIAM15_assumptions!$G57,0,MATCH(VLOOKUP(Assumptions!AG$2,TIAM15_assumptions!$Y$3:$Z$87,2,FALSE),TIAM15_assumptions!$H$2:$V$2,0))</f>
        <v>0</v>
      </c>
      <c r="AH57" s="9">
        <f ca="1">OFFSET(TIAM15_assumptions!$G57,0,MATCH(VLOOKUP(Assumptions!AH$2,TIAM15_assumptions!$Y$3:$Z$87,2,FALSE),TIAM15_assumptions!$H$2:$V$2,0))</f>
        <v>1</v>
      </c>
      <c r="AI57" s="9">
        <f ca="1">OFFSET(TIAM15_assumptions!$G57,0,MATCH(VLOOKUP(Assumptions!AI$2,TIAM15_assumptions!$Y$3:$Z$87,2,FALSE),TIAM15_assumptions!$H$2:$V$2,0))</f>
        <v>0.8</v>
      </c>
      <c r="AJ57" s="9">
        <f ca="1">OFFSET(TIAM15_assumptions!$G57,0,MATCH(VLOOKUP(Assumptions!AJ$2,TIAM15_assumptions!$Y$3:$Z$87,2,FALSE),TIAM15_assumptions!$H$2:$V$2,0))</f>
        <v>1</v>
      </c>
      <c r="AK57" s="9">
        <f ca="1">OFFSET(TIAM15_assumptions!$G57,0,MATCH(VLOOKUP(Assumptions!AK$2,TIAM15_assumptions!$Y$3:$Z$87,2,FALSE),TIAM15_assumptions!$H$2:$V$2,0))</f>
        <v>1</v>
      </c>
      <c r="AL57" s="9">
        <f ca="1">OFFSET(TIAM15_assumptions!$G57,0,MATCH(VLOOKUP(Assumptions!AL$2,TIAM15_assumptions!$Y$3:$Z$87,2,FALSE),TIAM15_assumptions!$H$2:$V$2,0))</f>
        <v>1</v>
      </c>
      <c r="AM57" s="9">
        <f ca="1">OFFSET(TIAM15_assumptions!$G57,0,MATCH(VLOOKUP(Assumptions!AM$2,TIAM15_assumptions!$Y$3:$Z$87,2,FALSE),TIAM15_assumptions!$H$2:$V$2,0))</f>
        <v>1</v>
      </c>
      <c r="AN57" s="9">
        <f ca="1">OFFSET(TIAM15_assumptions!$G57,0,MATCH(VLOOKUP(Assumptions!AN$2,TIAM15_assumptions!$Y$3:$Z$87,2,FALSE),TIAM15_assumptions!$H$2:$V$2,0))</f>
        <v>1</v>
      </c>
      <c r="AO57" s="9">
        <f ca="1">OFFSET(TIAM15_assumptions!$G57,0,MATCH(VLOOKUP(Assumptions!AO$2,TIAM15_assumptions!$Y$3:$Z$87,2,FALSE),TIAM15_assumptions!$H$2:$V$2,0))</f>
        <v>0</v>
      </c>
      <c r="AP57" s="9">
        <f ca="1">OFFSET(TIAM15_assumptions!$G57,0,MATCH(VLOOKUP(Assumptions!AP$2,TIAM15_assumptions!$Y$3:$Z$87,2,FALSE),TIAM15_assumptions!$H$2:$V$2,0))</f>
        <v>1</v>
      </c>
      <c r="AQ57" s="9">
        <f ca="1">OFFSET(TIAM15_assumptions!$G57,0,MATCH(VLOOKUP(Assumptions!AQ$2,TIAM15_assumptions!$Y$3:$Z$87,2,FALSE),TIAM15_assumptions!$H$2:$V$2,0))</f>
        <v>0.02</v>
      </c>
      <c r="AR57" s="9">
        <f ca="1">OFFSET(TIAM15_assumptions!$G57,0,MATCH(VLOOKUP(Assumptions!AR$2,TIAM15_assumptions!$Y$3:$Z$87,2,FALSE),TIAM15_assumptions!$H$2:$V$2,0))</f>
        <v>0.02</v>
      </c>
      <c r="AS57" s="9">
        <f ca="1">OFFSET(TIAM15_assumptions!$G57,0,MATCH(VLOOKUP(Assumptions!AS$2,TIAM15_assumptions!$Y$3:$Z$87,2,FALSE),TIAM15_assumptions!$H$2:$V$2,0))</f>
        <v>0.02</v>
      </c>
      <c r="AT57" s="9">
        <f ca="1">OFFSET(TIAM15_assumptions!$G57,0,MATCH(VLOOKUP(Assumptions!AT$2,TIAM15_assumptions!$Y$3:$Z$87,2,FALSE),TIAM15_assumptions!$H$2:$V$2,0))</f>
        <v>0.02</v>
      </c>
      <c r="AU57" s="9">
        <f ca="1">OFFSET(TIAM15_assumptions!$G57,0,MATCH(VLOOKUP(Assumptions!AU$2,TIAM15_assumptions!$Y$3:$Z$87,2,FALSE),TIAM15_assumptions!$H$2:$V$2,0))</f>
        <v>0.02</v>
      </c>
      <c r="AV57" s="9">
        <f ca="1">OFFSET(TIAM15_assumptions!$G57,0,MATCH(VLOOKUP(Assumptions!AV$2,TIAM15_assumptions!$Y$3:$Z$87,2,FALSE),TIAM15_assumptions!$H$2:$V$2,0))</f>
        <v>0.02</v>
      </c>
      <c r="AW57" s="9">
        <f ca="1">OFFSET(TIAM15_assumptions!$G57,0,MATCH(VLOOKUP(Assumptions!AW$2,TIAM15_assumptions!$Y$3:$Z$87,2,FALSE),TIAM15_assumptions!$H$2:$V$2,0))</f>
        <v>0.02</v>
      </c>
      <c r="AX57" s="9">
        <f ca="1">OFFSET(TIAM15_assumptions!$G57,0,MATCH(VLOOKUP(Assumptions!AX$2,TIAM15_assumptions!$Y$3:$Z$87,2,FALSE),TIAM15_assumptions!$H$2:$V$2,0))</f>
        <v>0.02</v>
      </c>
      <c r="AY57" s="9">
        <f ca="1">OFFSET(TIAM15_assumptions!$G57,0,MATCH(VLOOKUP(Assumptions!AY$2,TIAM15_assumptions!$Y$3:$Z$87,2,FALSE),TIAM15_assumptions!$H$2:$V$2,0))</f>
        <v>0.02</v>
      </c>
      <c r="AZ57" s="9">
        <f ca="1">OFFSET(TIAM15_assumptions!$G57,0,MATCH(VLOOKUP(Assumptions!AZ$2,TIAM15_assumptions!$Y$3:$Z$87,2,FALSE),TIAM15_assumptions!$H$2:$V$2,0))</f>
        <v>0.02</v>
      </c>
      <c r="BA57" s="9">
        <f ca="1">OFFSET(TIAM15_assumptions!$G57,0,MATCH(VLOOKUP(Assumptions!BA$2,TIAM15_assumptions!$Y$3:$Z$87,2,FALSE),TIAM15_assumptions!$H$2:$V$2,0))</f>
        <v>0.02</v>
      </c>
      <c r="BD57" s="34">
        <f ca="1">IFERROR(SUMIFS('TRA balance'!E$5:E$40,'TRA balance'!$C$5:$C$40,Assumptions!$C57,'TRA balance'!$D$5:$D$40,Assumptions!$B57)*CY57*H57,"")</f>
        <v>12.208831891919999</v>
      </c>
      <c r="BE57" s="34">
        <f ca="1">IFERROR(SUMIFS('TRA balance'!F$5:F$40,'TRA balance'!$C$5:$C$40,Assumptions!$C57,'TRA balance'!$D$5:$D$40,Assumptions!$B57)*CZ57*I57,"")</f>
        <v>4.4812995120000004E-2</v>
      </c>
      <c r="BF57" s="34">
        <f ca="1">IFERROR(SUMIFS('TRA balance'!G$5:G$40,'TRA balance'!$C$5:$C$40,Assumptions!$C57,'TRA balance'!$D$5:$D$40,Assumptions!$B57)*DA57*J57,"")</f>
        <v>1.8740719699200001</v>
      </c>
      <c r="BG57" s="34">
        <f ca="1">IFERROR(SUMIFS('TRA balance'!H$5:H$40,'TRA balance'!$C$5:$C$40,Assumptions!$C57,'TRA balance'!$D$5:$D$40,Assumptions!$B57)*DB57*K57,"")</f>
        <v>0.24930776220479994</v>
      </c>
      <c r="BH57" s="34">
        <f ca="1">IFERROR(SUMIFS('TRA balance'!I$5:I$40,'TRA balance'!$C$5:$C$40,Assumptions!$C57,'TRA balance'!$D$5:$D$40,Assumptions!$B57)*DC57*L57,"")</f>
        <v>0</v>
      </c>
      <c r="BI57" s="34">
        <f ca="1">IFERROR(SUMIFS('TRA balance'!J$5:J$40,'TRA balance'!$C$5:$C$40,Assumptions!$C57,'TRA balance'!$D$5:$D$40,Assumptions!$B57)*DD57*M57,"")</f>
        <v>1.2201304444199998</v>
      </c>
      <c r="BJ57" s="34">
        <f ca="1">IFERROR(SUMIFS('TRA balance'!K$5:K$40,'TRA balance'!$C$5:$C$40,Assumptions!$C57,'TRA balance'!$D$5:$D$40,Assumptions!$B57)*DE57*N57,"")</f>
        <v>25.251920527679996</v>
      </c>
      <c r="BK57" s="34">
        <f ca="1">IFERROR(SUMIFS('TRA balance'!L$5:L$40,'TRA balance'!$C$5:$C$40,Assumptions!$C57,'TRA balance'!$D$5:$D$40,Assumptions!$B57)*DF57*O57,"")</f>
        <v>493.60335808435207</v>
      </c>
      <c r="BL57" s="34">
        <f ca="1">IFERROR(SUMIFS('TRA balance'!M$5:M$40,'TRA balance'!$C$5:$C$40,Assumptions!$C57,'TRA balance'!$D$5:$D$40,Assumptions!$B57)*DG57*P57,"")</f>
        <v>0.3512432124</v>
      </c>
      <c r="BM57" s="34">
        <f ca="1">IFERROR(SUMIFS('TRA balance'!N$5:N$40,'TRA balance'!$C$5:$C$40,Assumptions!$C57,'TRA balance'!$D$5:$D$40,Assumptions!$B57)*DH57*Q57,"")</f>
        <v>3.1564536408000001</v>
      </c>
      <c r="BN57" s="34">
        <f ca="1">IFERROR(SUMIFS('TRA balance'!O$5:O$40,'TRA balance'!$C$5:$C$40,Assumptions!$C57,'TRA balance'!$D$5:$D$40,Assumptions!$B57)*DI57*R57,"")</f>
        <v>2.1662383038839996</v>
      </c>
      <c r="BO57" s="34">
        <f ca="1">IFERROR(SUMIFS('TRA balance'!P$5:P$40,'TRA balance'!$C$5:$C$40,Assumptions!$C57,'TRA balance'!$D$5:$D$40,Assumptions!$B57)*DJ57*S57,"")</f>
        <v>2.6510232201623998</v>
      </c>
      <c r="BP57" s="34">
        <f ca="1">IFERROR(SUMIFS('TRA balance'!Q$5:Q$40,'TRA balance'!$C$5:$C$40,Assumptions!$C57,'TRA balance'!$D$5:$D$40,Assumptions!$B57)*DK57*T57,"")</f>
        <v>0.23820120338399994</v>
      </c>
      <c r="BQ57" s="34">
        <f ca="1">IFERROR(SUMIFS('TRA balance'!R$5:R$40,'TRA balance'!$C$5:$C$40,Assumptions!$C57,'TRA balance'!$D$5:$D$40,Assumptions!$B57)*DL57*U57,"")</f>
        <v>4.0482462276</v>
      </c>
      <c r="BR57" s="34">
        <f ca="1">IFERROR(SUMIFS('TRA balance'!S$5:S$40,'TRA balance'!$C$5:$C$40,Assumptions!$C57,'TRA balance'!$D$5:$D$40,Assumptions!$B57)*DM57*V57,"")</f>
        <v>2.3672334671999997E-2</v>
      </c>
      <c r="BS57" s="34">
        <f ca="1">IFERROR(SUMIFS('TRA balance'!T$5:T$40,'TRA balance'!$C$5:$C$40,Assumptions!$C57,'TRA balance'!$D$5:$D$40,Assumptions!$B57)*DN57*W57,"")</f>
        <v>74.028445326720004</v>
      </c>
      <c r="BT57" s="34">
        <f ca="1">IFERROR(SUMIFS('TRA balance'!U$5:U$40,'TRA balance'!$C$5:$C$40,Assumptions!$C57,'TRA balance'!$D$5:$D$40,Assumptions!$B57)*DO57*X57,"")</f>
        <v>0</v>
      </c>
      <c r="BU57" s="34">
        <f ca="1">IFERROR(SUMIFS('TRA balance'!V$5:V$40,'TRA balance'!$C$5:$C$40,Assumptions!$C57,'TRA balance'!$D$5:$D$40,Assumptions!$B57)*DP57*Y57,"")</f>
        <v>12.780063736077597</v>
      </c>
      <c r="BV57" s="34">
        <f ca="1">IFERROR(SUMIFS('TRA balance'!W$5:W$40,'TRA balance'!$C$5:$C$40,Assumptions!$C57,'TRA balance'!$D$5:$D$40,Assumptions!$B57)*DQ57*Z57,"")</f>
        <v>0</v>
      </c>
      <c r="BW57" s="34">
        <f ca="1">IFERROR(SUMIFS('TRA balance'!X$5:X$40,'TRA balance'!$C$5:$C$40,Assumptions!$C57,'TRA balance'!$D$5:$D$40,Assumptions!$B57)*DR57*AA57,"")</f>
        <v>48.564588145679998</v>
      </c>
      <c r="BX57" s="34">
        <f ca="1">IFERROR(SUMIFS('TRA balance'!Y$5:Y$40,'TRA balance'!$C$5:$C$40,Assumptions!$C57,'TRA balance'!$D$5:$D$40,Assumptions!$B57)*DS57*AB57,"")</f>
        <v>88.862910092618392</v>
      </c>
      <c r="BY57" s="34">
        <f ca="1">IFERROR(SUMIFS('TRA balance'!Z$5:Z$40,'TRA balance'!$C$5:$C$40,Assumptions!$C57,'TRA balance'!$D$5:$D$40,Assumptions!$B57)*DT57*AC57,"")</f>
        <v>2.2641785360972132E-2</v>
      </c>
      <c r="BZ57" s="34">
        <f ca="1">IFERROR(SUMIFS('TRA balance'!AA$5:AA$40,'TRA balance'!$C$5:$C$40,Assumptions!$C57,'TRA balance'!$D$5:$D$40,Assumptions!$B57)*DU57*AD57,"")</f>
        <v>0.75360438065519986</v>
      </c>
      <c r="CA57" s="34">
        <f ca="1">IFERROR(SUMIFS('TRA balance'!AB$5:AB$40,'TRA balance'!$C$5:$C$40,Assumptions!$C57,'TRA balance'!$D$5:$D$40,Assumptions!$B57)*DV57*AE57,"")</f>
        <v>0.71836695719999999</v>
      </c>
      <c r="CB57" s="34">
        <f ca="1">IFERROR(SUMIFS('TRA balance'!AC$5:AC$40,'TRA balance'!$C$5:$C$40,Assumptions!$C57,'TRA balance'!$D$5:$D$40,Assumptions!$B57)*DW57*AF57,"")</f>
        <v>25.542652505831992</v>
      </c>
      <c r="CC57" s="34">
        <f ca="1">IFERROR(SUMIFS('TRA balance'!AD$5:AD$40,'TRA balance'!$C$5:$C$40,Assumptions!$C57,'TRA balance'!$D$5:$D$40,Assumptions!$B57)*DX57*AG57,"")</f>
        <v>0</v>
      </c>
      <c r="CD57" s="34">
        <f ca="1">IFERROR(SUMIFS('TRA balance'!AE$5:AE$40,'TRA balance'!$C$5:$C$40,Assumptions!$C57,'TRA balance'!$D$5:$D$40,Assumptions!$B57)*DY57*AH57,"")</f>
        <v>0</v>
      </c>
      <c r="CE57" s="34">
        <f ca="1">IFERROR(SUMIFS('TRA balance'!AF$5:AF$40,'TRA balance'!$C$5:$C$40,Assumptions!$C57,'TRA balance'!$D$5:$D$40,Assumptions!$B57)*DZ57*AI57,"")</f>
        <v>4.39865208E-3</v>
      </c>
      <c r="CF57" s="34">
        <f ca="1">IFERROR(SUMIFS('TRA balance'!AG$5:AG$40,'TRA balance'!$C$5:$C$40,Assumptions!$C57,'TRA balance'!$D$5:$D$40,Assumptions!$B57)*EA57*AJ57,"")</f>
        <v>2.8200767084999994</v>
      </c>
      <c r="CG57" s="34">
        <f ca="1">IFERROR(SUMIFS('TRA balance'!AH$5:AH$40,'TRA balance'!$C$5:$C$40,Assumptions!$C57,'TRA balance'!$D$5:$D$40,Assumptions!$B57)*EB57*AK57,"")</f>
        <v>1.6777880367983995</v>
      </c>
      <c r="CH57" s="34">
        <f ca="1">IFERROR(SUMIFS('TRA balance'!AI$5:AI$40,'TRA balance'!$C$5:$C$40,Assumptions!$C57,'TRA balance'!$D$5:$D$40,Assumptions!$B57)*EC57*AL57,"")</f>
        <v>0.18573995461679996</v>
      </c>
      <c r="CI57" s="34">
        <f ca="1">IFERROR(SUMIFS('TRA balance'!AJ$5:AJ$40,'TRA balance'!$C$5:$C$40,Assumptions!$C57,'TRA balance'!$D$5:$D$40,Assumptions!$B57)*ED57*AM57,"")</f>
        <v>1.0632619508471999</v>
      </c>
      <c r="CJ57" s="34">
        <f ca="1">IFERROR(SUMIFS('TRA balance'!AK$5:AK$40,'TRA balance'!$C$5:$C$40,Assumptions!$C57,'TRA balance'!$D$5:$D$40,Assumptions!$B57)*EE57*AN57,"")</f>
        <v>0.18116525597039998</v>
      </c>
      <c r="CK57" s="34">
        <f ca="1">IFERROR(SUMIFS('TRA balance'!AL$5:AL$40,'TRA balance'!$C$5:$C$40,Assumptions!$C57,'TRA balance'!$D$5:$D$40,Assumptions!$B57)*EF57*AO57,"")</f>
        <v>0</v>
      </c>
      <c r="CL57" s="34">
        <f ca="1">IFERROR(SUMIFS('TRA balance'!AM$5:AM$40,'TRA balance'!$C$5:$C$40,Assumptions!$C57,'TRA balance'!$D$5:$D$40,Assumptions!$B57)*EG57*AP57,"")</f>
        <v>0.54971846639999999</v>
      </c>
      <c r="CM57" s="34">
        <f ca="1">IFERROR(SUMIFS('TRA balance'!AN$5:AN$40,'TRA balance'!$C$5:$C$40,Assumptions!$C57,'TRA balance'!$D$5:$D$40,Assumptions!$B57)*EH57*AQ57,"")</f>
        <v>0</v>
      </c>
      <c r="CN57" s="34">
        <f ca="1">IFERROR(SUMIFS('TRA balance'!AO$5:AO$40,'TRA balance'!$C$5:$C$40,Assumptions!$C57,'TRA balance'!$D$5:$D$40,Assumptions!$B57)*EI57*AR57,"")</f>
        <v>0</v>
      </c>
      <c r="CO57" s="34">
        <f ca="1">IFERROR(SUMIFS('TRA balance'!AP$5:AP$40,'TRA balance'!$C$5:$C$40,Assumptions!$C57,'TRA balance'!$D$5:$D$40,Assumptions!$B57)*EJ57*AS57,"")</f>
        <v>0</v>
      </c>
      <c r="CP57" s="34">
        <f ca="1">IFERROR(SUMIFS('TRA balance'!AQ$5:AQ$40,'TRA balance'!$C$5:$C$40,Assumptions!$C57,'TRA balance'!$D$5:$D$40,Assumptions!$B57)*EK57*AT57,"")</f>
        <v>0</v>
      </c>
      <c r="CQ57" s="34">
        <f ca="1">IFERROR(SUMIFS('TRA balance'!AR$5:AR$40,'TRA balance'!$C$5:$C$40,Assumptions!$C57,'TRA balance'!$D$5:$D$40,Assumptions!$B57)*EL57*AU57,"")</f>
        <v>0</v>
      </c>
      <c r="CR57" s="34">
        <f ca="1">IFERROR(SUMIFS('TRA balance'!AS$5:AS$40,'TRA balance'!$C$5:$C$40,Assumptions!$C57,'TRA balance'!$D$5:$D$40,Assumptions!$B57)*EM57*AV57,"")</f>
        <v>0</v>
      </c>
      <c r="CS57" s="34">
        <f ca="1">IFERROR(SUMIFS('TRA balance'!AT$5:AT$40,'TRA balance'!$C$5:$C$40,Assumptions!$C57,'TRA balance'!$D$5:$D$40,Assumptions!$B57)*EN57*AW57,"")</f>
        <v>0</v>
      </c>
      <c r="CT57" s="34">
        <f ca="1">IFERROR(SUMIFS('TRA balance'!AU$5:AU$40,'TRA balance'!$C$5:$C$40,Assumptions!$C57,'TRA balance'!$D$5:$D$40,Assumptions!$B57)*EO57*AX57,"")</f>
        <v>0</v>
      </c>
      <c r="CU57" s="34">
        <f ca="1">IFERROR(SUMIFS('TRA balance'!AV$5:AV$40,'TRA balance'!$C$5:$C$40,Assumptions!$C57,'TRA balance'!$D$5:$D$40,Assumptions!$B57)*EP57*AY57,"")</f>
        <v>0</v>
      </c>
      <c r="CV57" s="34">
        <f ca="1">IFERROR(SUMIFS('TRA balance'!AW$5:AW$40,'TRA balance'!$C$5:$C$40,Assumptions!$C57,'TRA balance'!$D$5:$D$40,Assumptions!$B57)*EQ57*AZ57,"")</f>
        <v>0</v>
      </c>
      <c r="CW57" s="34">
        <f ca="1">IFERROR(SUMIFS('TRA balance'!AX$5:AX$40,'TRA balance'!$C$5:$C$40,Assumptions!$C57,'TRA balance'!$D$5:$D$40,Assumptions!$B57)*ER57*BA57,"")</f>
        <v>0</v>
      </c>
      <c r="CY57" s="33">
        <f t="shared" ca="1" si="66"/>
        <v>0.75</v>
      </c>
      <c r="CZ57" s="33">
        <f t="shared" ca="1" si="3"/>
        <v>0.75</v>
      </c>
      <c r="DA57" s="33">
        <f t="shared" ca="1" si="4"/>
        <v>0.75</v>
      </c>
      <c r="DB57" s="33">
        <f t="shared" ca="1" si="5"/>
        <v>0.31799999999999995</v>
      </c>
      <c r="DC57" s="33">
        <f t="shared" ca="1" si="6"/>
        <v>0.30000000000000004</v>
      </c>
      <c r="DD57" s="33">
        <f t="shared" ca="1" si="7"/>
        <v>0.31799999999999995</v>
      </c>
      <c r="DE57" s="33">
        <f t="shared" ca="1" si="8"/>
        <v>0.5</v>
      </c>
      <c r="DF57" s="33">
        <f t="shared" ca="1" si="9"/>
        <v>0.6</v>
      </c>
      <c r="DG57" s="33">
        <f t="shared" ca="1" si="10"/>
        <v>1</v>
      </c>
      <c r="DH57" s="33">
        <f t="shared" ca="1" si="11"/>
        <v>1</v>
      </c>
      <c r="DI57" s="33">
        <f t="shared" ca="1" si="12"/>
        <v>0.31799999999999995</v>
      </c>
      <c r="DJ57" s="33">
        <f t="shared" ca="1" si="13"/>
        <v>0.31799999999999995</v>
      </c>
      <c r="DK57" s="33">
        <f t="shared" ca="1" si="14"/>
        <v>0.31799999999999995</v>
      </c>
      <c r="DL57" s="33">
        <f t="shared" ca="1" si="15"/>
        <v>1</v>
      </c>
      <c r="DM57" s="33">
        <f t="shared" ca="1" si="16"/>
        <v>0.31799999999999995</v>
      </c>
      <c r="DN57" s="33">
        <f t="shared" ca="1" si="17"/>
        <v>0.75</v>
      </c>
      <c r="DO57" s="33">
        <f t="shared" ca="1" si="18"/>
        <v>0.31799999999999995</v>
      </c>
      <c r="DP57" s="33">
        <f t="shared" ca="1" si="19"/>
        <v>0.31799999999999995</v>
      </c>
      <c r="DQ57" s="33">
        <f t="shared" ca="1" si="20"/>
        <v>5.0000000000000044E-2</v>
      </c>
      <c r="DR57" s="33">
        <f t="shared" ca="1" si="21"/>
        <v>0.5</v>
      </c>
      <c r="DS57" s="33">
        <f t="shared" ca="1" si="22"/>
        <v>0.31799999999999995</v>
      </c>
      <c r="DT57" s="33">
        <f t="shared" ca="1" si="23"/>
        <v>2.0830205440209748E-2</v>
      </c>
      <c r="DU57" s="33">
        <f t="shared" ca="1" si="24"/>
        <v>0.31799999999999995</v>
      </c>
      <c r="DV57" s="33">
        <f t="shared" ca="1" si="25"/>
        <v>1</v>
      </c>
      <c r="DW57" s="33">
        <f t="shared" ca="1" si="26"/>
        <v>9.9999999999999978E-2</v>
      </c>
      <c r="DX57" s="33">
        <f t="shared" ca="1" si="27"/>
        <v>0.30000000000000004</v>
      </c>
      <c r="DY57" s="33">
        <f t="shared" ca="1" si="28"/>
        <v>0.31799999999999995</v>
      </c>
      <c r="DZ57" s="33">
        <f t="shared" ca="1" si="29"/>
        <v>0.75</v>
      </c>
      <c r="EA57" s="33">
        <f t="shared" ca="1" si="30"/>
        <v>0.31799999999999995</v>
      </c>
      <c r="EB57" s="33">
        <f t="shared" ca="1" si="31"/>
        <v>0.31799999999999995</v>
      </c>
      <c r="EC57" s="33">
        <f t="shared" ca="1" si="32"/>
        <v>0.31799999999999995</v>
      </c>
      <c r="ED57" s="33">
        <f t="shared" ca="1" si="33"/>
        <v>0.31799999999999995</v>
      </c>
      <c r="EE57" s="33">
        <f t="shared" ca="1" si="34"/>
        <v>0.31799999999999995</v>
      </c>
      <c r="EF57" s="33">
        <f t="shared" ca="1" si="35"/>
        <v>0.30000000000000004</v>
      </c>
      <c r="EG57" s="33">
        <f t="shared" ca="1" si="36"/>
        <v>1</v>
      </c>
      <c r="EH57" s="33">
        <f t="shared" ca="1" si="37"/>
        <v>2.0830205440209748E-2</v>
      </c>
      <c r="EI57" s="33">
        <f t="shared" ca="1" si="38"/>
        <v>2.0830205440209748E-2</v>
      </c>
      <c r="EJ57" s="33">
        <f t="shared" ca="1" si="39"/>
        <v>2.0830205440209748E-2</v>
      </c>
      <c r="EK57" s="33">
        <f t="shared" ca="1" si="40"/>
        <v>2.0830205440209748E-2</v>
      </c>
      <c r="EL57" s="33">
        <f t="shared" ca="1" si="41"/>
        <v>2.0830205440209748E-2</v>
      </c>
      <c r="EM57" s="33">
        <f t="shared" ca="1" si="42"/>
        <v>2.0830205440209748E-2</v>
      </c>
      <c r="EN57" s="33">
        <f t="shared" ca="1" si="43"/>
        <v>2.0830205440209748E-2</v>
      </c>
      <c r="EO57" s="33">
        <f t="shared" ca="1" si="44"/>
        <v>2.0830205440209748E-2</v>
      </c>
      <c r="EP57" s="33">
        <f t="shared" ca="1" si="45"/>
        <v>2.0830205440209748E-2</v>
      </c>
      <c r="EQ57" s="33">
        <f t="shared" ca="1" si="46"/>
        <v>2.0830205440209748E-2</v>
      </c>
      <c r="ER57" s="33">
        <f t="shared" ca="1" si="47"/>
        <v>2.0830205440209748E-2</v>
      </c>
    </row>
    <row r="58" spans="1:148">
      <c r="A58">
        <v>2</v>
      </c>
      <c r="B58" t="str">
        <f>VLOOKUP(F58,'TRA balance'!$BA$5:$BB$14,2,FALSE)</f>
        <v>TRANGA</v>
      </c>
      <c r="C58" s="6" t="str">
        <f t="shared" si="48"/>
        <v>TR</v>
      </c>
      <c r="D58" s="7" t="s">
        <v>16</v>
      </c>
      <c r="E58" s="18" t="s">
        <v>73</v>
      </c>
      <c r="F58" s="8" t="str">
        <f t="shared" ref="F58:F61" si="82">F57</f>
        <v>Natural Gas</v>
      </c>
      <c r="G58" s="6" t="s">
        <v>74</v>
      </c>
      <c r="H58" s="9">
        <f ca="1">OFFSET(TIAM15_assumptions!$G58,0,MATCH(VLOOKUP(Assumptions!H$2,TIAM15_assumptions!$Y$3:$Z$87,2,FALSE),TIAM15_assumptions!$H$2:$V$2,0))</f>
        <v>0</v>
      </c>
      <c r="I58" s="9">
        <f ca="1">OFFSET(TIAM15_assumptions!$G58,0,MATCH(VLOOKUP(Assumptions!I$2,TIAM15_assumptions!$Y$3:$Z$87,2,FALSE),TIAM15_assumptions!$H$2:$V$2,0))</f>
        <v>0</v>
      </c>
      <c r="J58" s="9">
        <f ca="1">OFFSET(TIAM15_assumptions!$G58,0,MATCH(VLOOKUP(Assumptions!J$2,TIAM15_assumptions!$Y$3:$Z$87,2,FALSE),TIAM15_assumptions!$H$2:$V$2,0))</f>
        <v>0</v>
      </c>
      <c r="K58" s="9">
        <f ca="1">OFFSET(TIAM15_assumptions!$G58,0,MATCH(VLOOKUP(Assumptions!K$2,TIAM15_assumptions!$Y$3:$Z$87,2,FALSE),TIAM15_assumptions!$H$2:$V$2,0))</f>
        <v>0</v>
      </c>
      <c r="L58" s="9">
        <f ca="1">OFFSET(TIAM15_assumptions!$G58,0,MATCH(VLOOKUP(Assumptions!L$2,TIAM15_assumptions!$Y$3:$Z$87,2,FALSE),TIAM15_assumptions!$H$2:$V$2,0))</f>
        <v>0</v>
      </c>
      <c r="M58" s="9">
        <f ca="1">OFFSET(TIAM15_assumptions!$G58,0,MATCH(VLOOKUP(Assumptions!M$2,TIAM15_assumptions!$Y$3:$Z$87,2,FALSE),TIAM15_assumptions!$H$2:$V$2,0))</f>
        <v>0</v>
      </c>
      <c r="N58" s="9">
        <f ca="1">OFFSET(TIAM15_assumptions!$G58,0,MATCH(VLOOKUP(Assumptions!N$2,TIAM15_assumptions!$Y$3:$Z$87,2,FALSE),TIAM15_assumptions!$H$2:$V$2,0))</f>
        <v>0</v>
      </c>
      <c r="O58" s="9">
        <f ca="1">OFFSET(TIAM15_assumptions!$G58,0,MATCH(VLOOKUP(Assumptions!O$2,TIAM15_assumptions!$Y$3:$Z$87,2,FALSE),TIAM15_assumptions!$H$2:$V$2,0))</f>
        <v>0</v>
      </c>
      <c r="P58" s="9">
        <f ca="1">OFFSET(TIAM15_assumptions!$G58,0,MATCH(VLOOKUP(Assumptions!P$2,TIAM15_assumptions!$Y$3:$Z$87,2,FALSE),TIAM15_assumptions!$H$2:$V$2,0))</f>
        <v>0</v>
      </c>
      <c r="Q58" s="9">
        <f ca="1">OFFSET(TIAM15_assumptions!$G58,0,MATCH(VLOOKUP(Assumptions!Q$2,TIAM15_assumptions!$Y$3:$Z$87,2,FALSE),TIAM15_assumptions!$H$2:$V$2,0))</f>
        <v>0</v>
      </c>
      <c r="R58" s="9">
        <f ca="1">OFFSET(TIAM15_assumptions!$G58,0,MATCH(VLOOKUP(Assumptions!R$2,TIAM15_assumptions!$Y$3:$Z$87,2,FALSE),TIAM15_assumptions!$H$2:$V$2,0))</f>
        <v>0</v>
      </c>
      <c r="S58" s="9">
        <f ca="1">OFFSET(TIAM15_assumptions!$G58,0,MATCH(VLOOKUP(Assumptions!S$2,TIAM15_assumptions!$Y$3:$Z$87,2,FALSE),TIAM15_assumptions!$H$2:$V$2,0))</f>
        <v>0</v>
      </c>
      <c r="T58" s="9">
        <f ca="1">OFFSET(TIAM15_assumptions!$G58,0,MATCH(VLOOKUP(Assumptions!T$2,TIAM15_assumptions!$Y$3:$Z$87,2,FALSE),TIAM15_assumptions!$H$2:$V$2,0))</f>
        <v>0</v>
      </c>
      <c r="U58" s="9">
        <f ca="1">OFFSET(TIAM15_assumptions!$G58,0,MATCH(VLOOKUP(Assumptions!U$2,TIAM15_assumptions!$Y$3:$Z$87,2,FALSE),TIAM15_assumptions!$H$2:$V$2,0))</f>
        <v>0</v>
      </c>
      <c r="V58" s="9">
        <f ca="1">OFFSET(TIAM15_assumptions!$G58,0,MATCH(VLOOKUP(Assumptions!V$2,TIAM15_assumptions!$Y$3:$Z$87,2,FALSE),TIAM15_assumptions!$H$2:$V$2,0))</f>
        <v>0</v>
      </c>
      <c r="W58" s="9">
        <f ca="1">OFFSET(TIAM15_assumptions!$G58,0,MATCH(VLOOKUP(Assumptions!W$2,TIAM15_assumptions!$Y$3:$Z$87,2,FALSE),TIAM15_assumptions!$H$2:$V$2,0))</f>
        <v>0</v>
      </c>
      <c r="X58" s="9">
        <f ca="1">OFFSET(TIAM15_assumptions!$G58,0,MATCH(VLOOKUP(Assumptions!X$2,TIAM15_assumptions!$Y$3:$Z$87,2,FALSE),TIAM15_assumptions!$H$2:$V$2,0))</f>
        <v>0</v>
      </c>
      <c r="Y58" s="9">
        <f ca="1">OFFSET(TIAM15_assumptions!$G58,0,MATCH(VLOOKUP(Assumptions!Y$2,TIAM15_assumptions!$Y$3:$Z$87,2,FALSE),TIAM15_assumptions!$H$2:$V$2,0))</f>
        <v>0</v>
      </c>
      <c r="Z58" s="9">
        <f ca="1">OFFSET(TIAM15_assumptions!$G58,0,MATCH(VLOOKUP(Assumptions!Z$2,TIAM15_assumptions!$Y$3:$Z$87,2,FALSE),TIAM15_assumptions!$H$2:$V$2,0))</f>
        <v>0</v>
      </c>
      <c r="AA58" s="9">
        <f ca="1">OFFSET(TIAM15_assumptions!$G58,0,MATCH(VLOOKUP(Assumptions!AA$2,TIAM15_assumptions!$Y$3:$Z$87,2,FALSE),TIAM15_assumptions!$H$2:$V$2,0))</f>
        <v>0</v>
      </c>
      <c r="AB58" s="9">
        <f ca="1">OFFSET(TIAM15_assumptions!$G58,0,MATCH(VLOOKUP(Assumptions!AB$2,TIAM15_assumptions!$Y$3:$Z$87,2,FALSE),TIAM15_assumptions!$H$2:$V$2,0))</f>
        <v>0</v>
      </c>
      <c r="AC58" s="9">
        <f ca="1">OFFSET(TIAM15_assumptions!$G58,0,MATCH(VLOOKUP(Assumptions!AC$2,TIAM15_assumptions!$Y$3:$Z$87,2,FALSE),TIAM15_assumptions!$H$2:$V$2,0))</f>
        <v>0</v>
      </c>
      <c r="AD58" s="9">
        <f ca="1">OFFSET(TIAM15_assumptions!$G58,0,MATCH(VLOOKUP(Assumptions!AD$2,TIAM15_assumptions!$Y$3:$Z$87,2,FALSE),TIAM15_assumptions!$H$2:$V$2,0))</f>
        <v>0</v>
      </c>
      <c r="AE58" s="9">
        <f ca="1">OFFSET(TIAM15_assumptions!$G58,0,MATCH(VLOOKUP(Assumptions!AE$2,TIAM15_assumptions!$Y$3:$Z$87,2,FALSE),TIAM15_assumptions!$H$2:$V$2,0))</f>
        <v>0</v>
      </c>
      <c r="AF58" s="9">
        <f ca="1">OFFSET(TIAM15_assumptions!$G58,0,MATCH(VLOOKUP(Assumptions!AF$2,TIAM15_assumptions!$Y$3:$Z$87,2,FALSE),TIAM15_assumptions!$H$2:$V$2,0))</f>
        <v>0</v>
      </c>
      <c r="AG58" s="9">
        <f ca="1">OFFSET(TIAM15_assumptions!$G58,0,MATCH(VLOOKUP(Assumptions!AG$2,TIAM15_assumptions!$Y$3:$Z$87,2,FALSE),TIAM15_assumptions!$H$2:$V$2,0))</f>
        <v>0</v>
      </c>
      <c r="AH58" s="9">
        <f ca="1">OFFSET(TIAM15_assumptions!$G58,0,MATCH(VLOOKUP(Assumptions!AH$2,TIAM15_assumptions!$Y$3:$Z$87,2,FALSE),TIAM15_assumptions!$H$2:$V$2,0))</f>
        <v>0</v>
      </c>
      <c r="AI58" s="9">
        <f ca="1">OFFSET(TIAM15_assumptions!$G58,0,MATCH(VLOOKUP(Assumptions!AI$2,TIAM15_assumptions!$Y$3:$Z$87,2,FALSE),TIAM15_assumptions!$H$2:$V$2,0))</f>
        <v>0</v>
      </c>
      <c r="AJ58" s="9">
        <f ca="1">OFFSET(TIAM15_assumptions!$G58,0,MATCH(VLOOKUP(Assumptions!AJ$2,TIAM15_assumptions!$Y$3:$Z$87,2,FALSE),TIAM15_assumptions!$H$2:$V$2,0))</f>
        <v>0</v>
      </c>
      <c r="AK58" s="9">
        <f ca="1">OFFSET(TIAM15_assumptions!$G58,0,MATCH(VLOOKUP(Assumptions!AK$2,TIAM15_assumptions!$Y$3:$Z$87,2,FALSE),TIAM15_assumptions!$H$2:$V$2,0))</f>
        <v>0</v>
      </c>
      <c r="AL58" s="9">
        <f ca="1">OFFSET(TIAM15_assumptions!$G58,0,MATCH(VLOOKUP(Assumptions!AL$2,TIAM15_assumptions!$Y$3:$Z$87,2,FALSE),TIAM15_assumptions!$H$2:$V$2,0))</f>
        <v>0</v>
      </c>
      <c r="AM58" s="9">
        <f ca="1">OFFSET(TIAM15_assumptions!$G58,0,MATCH(VLOOKUP(Assumptions!AM$2,TIAM15_assumptions!$Y$3:$Z$87,2,FALSE),TIAM15_assumptions!$H$2:$V$2,0))</f>
        <v>0</v>
      </c>
      <c r="AN58" s="9">
        <f ca="1">OFFSET(TIAM15_assumptions!$G58,0,MATCH(VLOOKUP(Assumptions!AN$2,TIAM15_assumptions!$Y$3:$Z$87,2,FALSE),TIAM15_assumptions!$H$2:$V$2,0))</f>
        <v>0</v>
      </c>
      <c r="AO58" s="9">
        <f ca="1">OFFSET(TIAM15_assumptions!$G58,0,MATCH(VLOOKUP(Assumptions!AO$2,TIAM15_assumptions!$Y$3:$Z$87,2,FALSE),TIAM15_assumptions!$H$2:$V$2,0))</f>
        <v>0</v>
      </c>
      <c r="AP58" s="9">
        <f ca="1">OFFSET(TIAM15_assumptions!$G58,0,MATCH(VLOOKUP(Assumptions!AP$2,TIAM15_assumptions!$Y$3:$Z$87,2,FALSE),TIAM15_assumptions!$H$2:$V$2,0))</f>
        <v>0</v>
      </c>
      <c r="AQ58" s="9">
        <f ca="1">OFFSET(TIAM15_assumptions!$G58,0,MATCH(VLOOKUP(Assumptions!AQ$2,TIAM15_assumptions!$Y$3:$Z$87,2,FALSE),TIAM15_assumptions!$H$2:$V$2,0))</f>
        <v>0</v>
      </c>
      <c r="AR58" s="9">
        <f ca="1">OFFSET(TIAM15_assumptions!$G58,0,MATCH(VLOOKUP(Assumptions!AR$2,TIAM15_assumptions!$Y$3:$Z$87,2,FALSE),TIAM15_assumptions!$H$2:$V$2,0))</f>
        <v>0</v>
      </c>
      <c r="AS58" s="9">
        <f ca="1">OFFSET(TIAM15_assumptions!$G58,0,MATCH(VLOOKUP(Assumptions!AS$2,TIAM15_assumptions!$Y$3:$Z$87,2,FALSE),TIAM15_assumptions!$H$2:$V$2,0))</f>
        <v>0</v>
      </c>
      <c r="AT58" s="9">
        <f ca="1">OFFSET(TIAM15_assumptions!$G58,0,MATCH(VLOOKUP(Assumptions!AT$2,TIAM15_assumptions!$Y$3:$Z$87,2,FALSE),TIAM15_assumptions!$H$2:$V$2,0))</f>
        <v>0</v>
      </c>
      <c r="AU58" s="9">
        <f ca="1">OFFSET(TIAM15_assumptions!$G58,0,MATCH(VLOOKUP(Assumptions!AU$2,TIAM15_assumptions!$Y$3:$Z$87,2,FALSE),TIAM15_assumptions!$H$2:$V$2,0))</f>
        <v>0</v>
      </c>
      <c r="AV58" s="9">
        <f ca="1">OFFSET(TIAM15_assumptions!$G58,0,MATCH(VLOOKUP(Assumptions!AV$2,TIAM15_assumptions!$Y$3:$Z$87,2,FALSE),TIAM15_assumptions!$H$2:$V$2,0))</f>
        <v>0</v>
      </c>
      <c r="AW58" s="9">
        <f ca="1">OFFSET(TIAM15_assumptions!$G58,0,MATCH(VLOOKUP(Assumptions!AW$2,TIAM15_assumptions!$Y$3:$Z$87,2,FALSE),TIAM15_assumptions!$H$2:$V$2,0))</f>
        <v>0</v>
      </c>
      <c r="AX58" s="9">
        <f ca="1">OFFSET(TIAM15_assumptions!$G58,0,MATCH(VLOOKUP(Assumptions!AX$2,TIAM15_assumptions!$Y$3:$Z$87,2,FALSE),TIAM15_assumptions!$H$2:$V$2,0))</f>
        <v>0</v>
      </c>
      <c r="AY58" s="9">
        <f ca="1">OFFSET(TIAM15_assumptions!$G58,0,MATCH(VLOOKUP(Assumptions!AY$2,TIAM15_assumptions!$Y$3:$Z$87,2,FALSE),TIAM15_assumptions!$H$2:$V$2,0))</f>
        <v>0</v>
      </c>
      <c r="AZ58" s="9">
        <f ca="1">OFFSET(TIAM15_assumptions!$G58,0,MATCH(VLOOKUP(Assumptions!AZ$2,TIAM15_assumptions!$Y$3:$Z$87,2,FALSE),TIAM15_assumptions!$H$2:$V$2,0))</f>
        <v>0</v>
      </c>
      <c r="BA58" s="9">
        <f ca="1">OFFSET(TIAM15_assumptions!$G58,0,MATCH(VLOOKUP(Assumptions!BA$2,TIAM15_assumptions!$Y$3:$Z$87,2,FALSE),TIAM15_assumptions!$H$2:$V$2,0))</f>
        <v>0</v>
      </c>
      <c r="BD58" s="34">
        <f ca="1">IFERROR(SUMIFS('TRA balance'!E$5:E$40,'TRA balance'!$C$5:$C$40,Assumptions!$C58,'TRA balance'!$D$5:$D$40,Assumptions!$B58)*CY58*H58,"")</f>
        <v>0</v>
      </c>
      <c r="BE58" s="34">
        <f ca="1">IFERROR(SUMIFS('TRA balance'!F$5:F$40,'TRA balance'!$C$5:$C$40,Assumptions!$C58,'TRA balance'!$D$5:$D$40,Assumptions!$B58)*CZ58*I58,"")</f>
        <v>0</v>
      </c>
      <c r="BF58" s="34">
        <f ca="1">IFERROR(SUMIFS('TRA balance'!G$5:G$40,'TRA balance'!$C$5:$C$40,Assumptions!$C58,'TRA balance'!$D$5:$D$40,Assumptions!$B58)*DA58*J58,"")</f>
        <v>0</v>
      </c>
      <c r="BG58" s="34">
        <f ca="1">IFERROR(SUMIFS('TRA balance'!H$5:H$40,'TRA balance'!$C$5:$C$40,Assumptions!$C58,'TRA balance'!$D$5:$D$40,Assumptions!$B58)*DB58*K58,"")</f>
        <v>0</v>
      </c>
      <c r="BH58" s="34">
        <f ca="1">IFERROR(SUMIFS('TRA balance'!I$5:I$40,'TRA balance'!$C$5:$C$40,Assumptions!$C58,'TRA balance'!$D$5:$D$40,Assumptions!$B58)*DC58*L58,"")</f>
        <v>0</v>
      </c>
      <c r="BI58" s="34">
        <f ca="1">IFERROR(SUMIFS('TRA balance'!J$5:J$40,'TRA balance'!$C$5:$C$40,Assumptions!$C58,'TRA balance'!$D$5:$D$40,Assumptions!$B58)*DD58*M58,"")</f>
        <v>0</v>
      </c>
      <c r="BJ58" s="34">
        <f ca="1">IFERROR(SUMIFS('TRA balance'!K$5:K$40,'TRA balance'!$C$5:$C$40,Assumptions!$C58,'TRA balance'!$D$5:$D$40,Assumptions!$B58)*DE58*N58,"")</f>
        <v>0</v>
      </c>
      <c r="BK58" s="34">
        <f ca="1">IFERROR(SUMIFS('TRA balance'!L$5:L$40,'TRA balance'!$C$5:$C$40,Assumptions!$C58,'TRA balance'!$D$5:$D$40,Assumptions!$B58)*DF58*O58,"")</f>
        <v>0</v>
      </c>
      <c r="BL58" s="34">
        <f ca="1">IFERROR(SUMIFS('TRA balance'!M$5:M$40,'TRA balance'!$C$5:$C$40,Assumptions!$C58,'TRA balance'!$D$5:$D$40,Assumptions!$B58)*DG58*P58,"")</f>
        <v>0</v>
      </c>
      <c r="BM58" s="34">
        <f ca="1">IFERROR(SUMIFS('TRA balance'!N$5:N$40,'TRA balance'!$C$5:$C$40,Assumptions!$C58,'TRA balance'!$D$5:$D$40,Assumptions!$B58)*DH58*Q58,"")</f>
        <v>0</v>
      </c>
      <c r="BN58" s="34">
        <f ca="1">IFERROR(SUMIFS('TRA balance'!O$5:O$40,'TRA balance'!$C$5:$C$40,Assumptions!$C58,'TRA balance'!$D$5:$D$40,Assumptions!$B58)*DI58*R58,"")</f>
        <v>0</v>
      </c>
      <c r="BO58" s="34">
        <f ca="1">IFERROR(SUMIFS('TRA balance'!P$5:P$40,'TRA balance'!$C$5:$C$40,Assumptions!$C58,'TRA balance'!$D$5:$D$40,Assumptions!$B58)*DJ58*S58,"")</f>
        <v>0</v>
      </c>
      <c r="BP58" s="34">
        <f ca="1">IFERROR(SUMIFS('TRA balance'!Q$5:Q$40,'TRA balance'!$C$5:$C$40,Assumptions!$C58,'TRA balance'!$D$5:$D$40,Assumptions!$B58)*DK58*T58,"")</f>
        <v>0</v>
      </c>
      <c r="BQ58" s="34">
        <f ca="1">IFERROR(SUMIFS('TRA balance'!R$5:R$40,'TRA balance'!$C$5:$C$40,Assumptions!$C58,'TRA balance'!$D$5:$D$40,Assumptions!$B58)*DL58*U58,"")</f>
        <v>0</v>
      </c>
      <c r="BR58" s="34">
        <f ca="1">IFERROR(SUMIFS('TRA balance'!S$5:S$40,'TRA balance'!$C$5:$C$40,Assumptions!$C58,'TRA balance'!$D$5:$D$40,Assumptions!$B58)*DM58*V58,"")</f>
        <v>0</v>
      </c>
      <c r="BS58" s="34">
        <f ca="1">IFERROR(SUMIFS('TRA balance'!T$5:T$40,'TRA balance'!$C$5:$C$40,Assumptions!$C58,'TRA balance'!$D$5:$D$40,Assumptions!$B58)*DN58*W58,"")</f>
        <v>0</v>
      </c>
      <c r="BT58" s="34">
        <f ca="1">IFERROR(SUMIFS('TRA balance'!U$5:U$40,'TRA balance'!$C$5:$C$40,Assumptions!$C58,'TRA balance'!$D$5:$D$40,Assumptions!$B58)*DO58*X58,"")</f>
        <v>0</v>
      </c>
      <c r="BU58" s="34">
        <f ca="1">IFERROR(SUMIFS('TRA balance'!V$5:V$40,'TRA balance'!$C$5:$C$40,Assumptions!$C58,'TRA balance'!$D$5:$D$40,Assumptions!$B58)*DP58*Y58,"")</f>
        <v>0</v>
      </c>
      <c r="BV58" s="34">
        <f ca="1">IFERROR(SUMIFS('TRA balance'!W$5:W$40,'TRA balance'!$C$5:$C$40,Assumptions!$C58,'TRA balance'!$D$5:$D$40,Assumptions!$B58)*DQ58*Z58,"")</f>
        <v>0</v>
      </c>
      <c r="BW58" s="34">
        <f ca="1">IFERROR(SUMIFS('TRA balance'!X$5:X$40,'TRA balance'!$C$5:$C$40,Assumptions!$C58,'TRA balance'!$D$5:$D$40,Assumptions!$B58)*DR58*AA58,"")</f>
        <v>0</v>
      </c>
      <c r="BX58" s="34">
        <f ca="1">IFERROR(SUMIFS('TRA balance'!Y$5:Y$40,'TRA balance'!$C$5:$C$40,Assumptions!$C58,'TRA balance'!$D$5:$D$40,Assumptions!$B58)*DS58*AB58,"")</f>
        <v>0</v>
      </c>
      <c r="BY58" s="34">
        <f ca="1">IFERROR(SUMIFS('TRA balance'!Z$5:Z$40,'TRA balance'!$C$5:$C$40,Assumptions!$C58,'TRA balance'!$D$5:$D$40,Assumptions!$B58)*DT58*AC58,"")</f>
        <v>0</v>
      </c>
      <c r="BZ58" s="34">
        <f ca="1">IFERROR(SUMIFS('TRA balance'!AA$5:AA$40,'TRA balance'!$C$5:$C$40,Assumptions!$C58,'TRA balance'!$D$5:$D$40,Assumptions!$B58)*DU58*AD58,"")</f>
        <v>0</v>
      </c>
      <c r="CA58" s="34">
        <f ca="1">IFERROR(SUMIFS('TRA balance'!AB$5:AB$40,'TRA balance'!$C$5:$C$40,Assumptions!$C58,'TRA balance'!$D$5:$D$40,Assumptions!$B58)*DV58*AE58,"")</f>
        <v>0</v>
      </c>
      <c r="CB58" s="34">
        <f ca="1">IFERROR(SUMIFS('TRA balance'!AC$5:AC$40,'TRA balance'!$C$5:$C$40,Assumptions!$C58,'TRA balance'!$D$5:$D$40,Assumptions!$B58)*DW58*AF58,"")</f>
        <v>0</v>
      </c>
      <c r="CC58" s="34">
        <f ca="1">IFERROR(SUMIFS('TRA balance'!AD$5:AD$40,'TRA balance'!$C$5:$C$40,Assumptions!$C58,'TRA balance'!$D$5:$D$40,Assumptions!$B58)*DX58*AG58,"")</f>
        <v>0</v>
      </c>
      <c r="CD58" s="34">
        <f ca="1">IFERROR(SUMIFS('TRA balance'!AE$5:AE$40,'TRA balance'!$C$5:$C$40,Assumptions!$C58,'TRA balance'!$D$5:$D$40,Assumptions!$B58)*DY58*AH58,"")</f>
        <v>0</v>
      </c>
      <c r="CE58" s="34">
        <f ca="1">IFERROR(SUMIFS('TRA balance'!AF$5:AF$40,'TRA balance'!$C$5:$C$40,Assumptions!$C58,'TRA balance'!$D$5:$D$40,Assumptions!$B58)*DZ58*AI58,"")</f>
        <v>0</v>
      </c>
      <c r="CF58" s="34">
        <f ca="1">IFERROR(SUMIFS('TRA balance'!AG$5:AG$40,'TRA balance'!$C$5:$C$40,Assumptions!$C58,'TRA balance'!$D$5:$D$40,Assumptions!$B58)*EA58*AJ58,"")</f>
        <v>0</v>
      </c>
      <c r="CG58" s="34">
        <f ca="1">IFERROR(SUMIFS('TRA balance'!AH$5:AH$40,'TRA balance'!$C$5:$C$40,Assumptions!$C58,'TRA balance'!$D$5:$D$40,Assumptions!$B58)*EB58*AK58,"")</f>
        <v>0</v>
      </c>
      <c r="CH58" s="34">
        <f ca="1">IFERROR(SUMIFS('TRA balance'!AI$5:AI$40,'TRA balance'!$C$5:$C$40,Assumptions!$C58,'TRA balance'!$D$5:$D$40,Assumptions!$B58)*EC58*AL58,"")</f>
        <v>0</v>
      </c>
      <c r="CI58" s="34">
        <f ca="1">IFERROR(SUMIFS('TRA balance'!AJ$5:AJ$40,'TRA balance'!$C$5:$C$40,Assumptions!$C58,'TRA balance'!$D$5:$D$40,Assumptions!$B58)*ED58*AM58,"")</f>
        <v>0</v>
      </c>
      <c r="CJ58" s="34">
        <f ca="1">IFERROR(SUMIFS('TRA balance'!AK$5:AK$40,'TRA balance'!$C$5:$C$40,Assumptions!$C58,'TRA balance'!$D$5:$D$40,Assumptions!$B58)*EE58*AN58,"")</f>
        <v>0</v>
      </c>
      <c r="CK58" s="34">
        <f ca="1">IFERROR(SUMIFS('TRA balance'!AL$5:AL$40,'TRA balance'!$C$5:$C$40,Assumptions!$C58,'TRA balance'!$D$5:$D$40,Assumptions!$B58)*EF58*AO58,"")</f>
        <v>0</v>
      </c>
      <c r="CL58" s="34">
        <f ca="1">IFERROR(SUMIFS('TRA balance'!AM$5:AM$40,'TRA balance'!$C$5:$C$40,Assumptions!$C58,'TRA balance'!$D$5:$D$40,Assumptions!$B58)*EG58*AP58,"")</f>
        <v>0</v>
      </c>
      <c r="CM58" s="34">
        <f ca="1">IFERROR(SUMIFS('TRA balance'!AN$5:AN$40,'TRA balance'!$C$5:$C$40,Assumptions!$C58,'TRA balance'!$D$5:$D$40,Assumptions!$B58)*EH58*AQ58,"")</f>
        <v>0</v>
      </c>
      <c r="CN58" s="34">
        <f ca="1">IFERROR(SUMIFS('TRA balance'!AO$5:AO$40,'TRA balance'!$C$5:$C$40,Assumptions!$C58,'TRA balance'!$D$5:$D$40,Assumptions!$B58)*EI58*AR58,"")</f>
        <v>0</v>
      </c>
      <c r="CO58" s="34">
        <f ca="1">IFERROR(SUMIFS('TRA balance'!AP$5:AP$40,'TRA balance'!$C$5:$C$40,Assumptions!$C58,'TRA balance'!$D$5:$D$40,Assumptions!$B58)*EJ58*AS58,"")</f>
        <v>0</v>
      </c>
      <c r="CP58" s="34">
        <f ca="1">IFERROR(SUMIFS('TRA balance'!AQ$5:AQ$40,'TRA balance'!$C$5:$C$40,Assumptions!$C58,'TRA balance'!$D$5:$D$40,Assumptions!$B58)*EK58*AT58,"")</f>
        <v>0</v>
      </c>
      <c r="CQ58" s="34">
        <f ca="1">IFERROR(SUMIFS('TRA balance'!AR$5:AR$40,'TRA balance'!$C$5:$C$40,Assumptions!$C58,'TRA balance'!$D$5:$D$40,Assumptions!$B58)*EL58*AU58,"")</f>
        <v>0</v>
      </c>
      <c r="CR58" s="34">
        <f ca="1">IFERROR(SUMIFS('TRA balance'!AS$5:AS$40,'TRA balance'!$C$5:$C$40,Assumptions!$C58,'TRA balance'!$D$5:$D$40,Assumptions!$B58)*EM58*AV58,"")</f>
        <v>0</v>
      </c>
      <c r="CS58" s="34">
        <f ca="1">IFERROR(SUMIFS('TRA balance'!AT$5:AT$40,'TRA balance'!$C$5:$C$40,Assumptions!$C58,'TRA balance'!$D$5:$D$40,Assumptions!$B58)*EN58*AW58,"")</f>
        <v>0</v>
      </c>
      <c r="CT58" s="34">
        <f ca="1">IFERROR(SUMIFS('TRA balance'!AU$5:AU$40,'TRA balance'!$C$5:$C$40,Assumptions!$C58,'TRA balance'!$D$5:$D$40,Assumptions!$B58)*EO58*AX58,"")</f>
        <v>0</v>
      </c>
      <c r="CU58" s="34">
        <f ca="1">IFERROR(SUMIFS('TRA balance'!AV$5:AV$40,'TRA balance'!$C$5:$C$40,Assumptions!$C58,'TRA balance'!$D$5:$D$40,Assumptions!$B58)*EP58*AY58,"")</f>
        <v>0</v>
      </c>
      <c r="CV58" s="34">
        <f ca="1">IFERROR(SUMIFS('TRA balance'!AW$5:AW$40,'TRA balance'!$C$5:$C$40,Assumptions!$C58,'TRA balance'!$D$5:$D$40,Assumptions!$B58)*EQ58*AZ58,"")</f>
        <v>0</v>
      </c>
      <c r="CW58" s="34">
        <f ca="1">IFERROR(SUMIFS('TRA balance'!AX$5:AX$40,'TRA balance'!$C$5:$C$40,Assumptions!$C58,'TRA balance'!$D$5:$D$40,Assumptions!$B58)*ER58*BA58,"")</f>
        <v>0</v>
      </c>
      <c r="CY58" s="33">
        <f t="shared" ca="1" si="66"/>
        <v>0.75</v>
      </c>
      <c r="CZ58" s="33">
        <f t="shared" ca="1" si="3"/>
        <v>0.75</v>
      </c>
      <c r="DA58" s="33">
        <f t="shared" ca="1" si="4"/>
        <v>0.75</v>
      </c>
      <c r="DB58" s="33">
        <f t="shared" ca="1" si="5"/>
        <v>0.31799999999999995</v>
      </c>
      <c r="DC58" s="33">
        <f t="shared" ca="1" si="6"/>
        <v>0.30000000000000004</v>
      </c>
      <c r="DD58" s="33">
        <f t="shared" ca="1" si="7"/>
        <v>0.31799999999999995</v>
      </c>
      <c r="DE58" s="33">
        <f t="shared" ca="1" si="8"/>
        <v>0.5</v>
      </c>
      <c r="DF58" s="33">
        <f t="shared" ca="1" si="9"/>
        <v>0.6</v>
      </c>
      <c r="DG58" s="33">
        <f t="shared" ca="1" si="10"/>
        <v>1</v>
      </c>
      <c r="DH58" s="33">
        <f t="shared" ca="1" si="11"/>
        <v>1</v>
      </c>
      <c r="DI58" s="33">
        <f t="shared" ca="1" si="12"/>
        <v>0.31799999999999995</v>
      </c>
      <c r="DJ58" s="33">
        <f t="shared" ca="1" si="13"/>
        <v>0.31799999999999995</v>
      </c>
      <c r="DK58" s="33">
        <f t="shared" ca="1" si="14"/>
        <v>0.31799999999999995</v>
      </c>
      <c r="DL58" s="33">
        <f t="shared" ca="1" si="15"/>
        <v>1</v>
      </c>
      <c r="DM58" s="33">
        <f t="shared" ca="1" si="16"/>
        <v>0.31799999999999995</v>
      </c>
      <c r="DN58" s="33">
        <f t="shared" ca="1" si="17"/>
        <v>0.75</v>
      </c>
      <c r="DO58" s="33">
        <f t="shared" ca="1" si="18"/>
        <v>0.31799999999999995</v>
      </c>
      <c r="DP58" s="33">
        <f t="shared" ca="1" si="19"/>
        <v>0.31799999999999995</v>
      </c>
      <c r="DQ58" s="33">
        <f t="shared" ca="1" si="20"/>
        <v>5.0000000000000044E-2</v>
      </c>
      <c r="DR58" s="33">
        <f t="shared" ca="1" si="21"/>
        <v>0.5</v>
      </c>
      <c r="DS58" s="33">
        <f t="shared" ca="1" si="22"/>
        <v>0.31799999999999995</v>
      </c>
      <c r="DT58" s="33">
        <f t="shared" ca="1" si="23"/>
        <v>2.0830205440209748E-2</v>
      </c>
      <c r="DU58" s="33">
        <f t="shared" ca="1" si="24"/>
        <v>0.31799999999999995</v>
      </c>
      <c r="DV58" s="33">
        <f t="shared" ca="1" si="25"/>
        <v>1</v>
      </c>
      <c r="DW58" s="33">
        <f t="shared" ca="1" si="26"/>
        <v>9.9999999999999978E-2</v>
      </c>
      <c r="DX58" s="33">
        <f t="shared" ca="1" si="27"/>
        <v>0.30000000000000004</v>
      </c>
      <c r="DY58" s="33">
        <f t="shared" ca="1" si="28"/>
        <v>0.31799999999999995</v>
      </c>
      <c r="DZ58" s="33">
        <f t="shared" ca="1" si="29"/>
        <v>0.75</v>
      </c>
      <c r="EA58" s="33">
        <f t="shared" ca="1" si="30"/>
        <v>0.31799999999999995</v>
      </c>
      <c r="EB58" s="33">
        <f t="shared" ca="1" si="31"/>
        <v>0.31799999999999995</v>
      </c>
      <c r="EC58" s="33">
        <f t="shared" ca="1" si="32"/>
        <v>0.31799999999999995</v>
      </c>
      <c r="ED58" s="33">
        <f t="shared" ca="1" si="33"/>
        <v>0.31799999999999995</v>
      </c>
      <c r="EE58" s="33">
        <f t="shared" ca="1" si="34"/>
        <v>0.31799999999999995</v>
      </c>
      <c r="EF58" s="33">
        <f t="shared" ca="1" si="35"/>
        <v>0.30000000000000004</v>
      </c>
      <c r="EG58" s="33">
        <f t="shared" ca="1" si="36"/>
        <v>1</v>
      </c>
      <c r="EH58" s="33">
        <f t="shared" ca="1" si="37"/>
        <v>2.0830205440209748E-2</v>
      </c>
      <c r="EI58" s="33">
        <f t="shared" ca="1" si="38"/>
        <v>2.0830205440209748E-2</v>
      </c>
      <c r="EJ58" s="33">
        <f t="shared" ca="1" si="39"/>
        <v>2.0830205440209748E-2</v>
      </c>
      <c r="EK58" s="33">
        <f t="shared" ca="1" si="40"/>
        <v>2.0830205440209748E-2</v>
      </c>
      <c r="EL58" s="33">
        <f t="shared" ca="1" si="41"/>
        <v>2.0830205440209748E-2</v>
      </c>
      <c r="EM58" s="33">
        <f t="shared" ca="1" si="42"/>
        <v>2.0830205440209748E-2</v>
      </c>
      <c r="EN58" s="33">
        <f t="shared" ca="1" si="43"/>
        <v>2.0830205440209748E-2</v>
      </c>
      <c r="EO58" s="33">
        <f t="shared" ca="1" si="44"/>
        <v>2.0830205440209748E-2</v>
      </c>
      <c r="EP58" s="33">
        <f t="shared" ca="1" si="45"/>
        <v>2.0830205440209748E-2</v>
      </c>
      <c r="EQ58" s="33">
        <f t="shared" ca="1" si="46"/>
        <v>2.0830205440209748E-2</v>
      </c>
      <c r="ER58" s="33">
        <f t="shared" ca="1" si="47"/>
        <v>2.0830205440209748E-2</v>
      </c>
    </row>
    <row r="59" spans="1:148">
      <c r="A59">
        <v>2</v>
      </c>
      <c r="B59" t="str">
        <f>VLOOKUP(F59,'TRA balance'!$BA$5:$BB$14,2,FALSE)</f>
        <v>TRANGA</v>
      </c>
      <c r="C59" s="6" t="str">
        <f t="shared" si="48"/>
        <v>TR</v>
      </c>
      <c r="D59" s="7" t="s">
        <v>16</v>
      </c>
      <c r="E59" s="18" t="s">
        <v>75</v>
      </c>
      <c r="F59" s="8" t="str">
        <f t="shared" si="82"/>
        <v>Natural Gas</v>
      </c>
      <c r="G59" s="6" t="s">
        <v>76</v>
      </c>
      <c r="H59" s="9">
        <f ca="1">OFFSET(TIAM15_assumptions!$G59,0,MATCH(VLOOKUP(Assumptions!H$2,TIAM15_assumptions!$Y$3:$Z$87,2,FALSE),TIAM15_assumptions!$H$2:$V$2,0))</f>
        <v>0</v>
      </c>
      <c r="I59" s="9">
        <f ca="1">OFFSET(TIAM15_assumptions!$G59,0,MATCH(VLOOKUP(Assumptions!I$2,TIAM15_assumptions!$Y$3:$Z$87,2,FALSE),TIAM15_assumptions!$H$2:$V$2,0))</f>
        <v>0</v>
      </c>
      <c r="J59" s="9">
        <f ca="1">OFFSET(TIAM15_assumptions!$G59,0,MATCH(VLOOKUP(Assumptions!J$2,TIAM15_assumptions!$Y$3:$Z$87,2,FALSE),TIAM15_assumptions!$H$2:$V$2,0))</f>
        <v>0</v>
      </c>
      <c r="K59" s="9">
        <f ca="1">OFFSET(TIAM15_assumptions!$G59,0,MATCH(VLOOKUP(Assumptions!K$2,TIAM15_assumptions!$Y$3:$Z$87,2,FALSE),TIAM15_assumptions!$H$2:$V$2,0))</f>
        <v>0</v>
      </c>
      <c r="L59" s="9">
        <f ca="1">OFFSET(TIAM15_assumptions!$G59,0,MATCH(VLOOKUP(Assumptions!L$2,TIAM15_assumptions!$Y$3:$Z$87,2,FALSE),TIAM15_assumptions!$H$2:$V$2,0))</f>
        <v>0</v>
      </c>
      <c r="M59" s="9">
        <f ca="1">OFFSET(TIAM15_assumptions!$G59,0,MATCH(VLOOKUP(Assumptions!M$2,TIAM15_assumptions!$Y$3:$Z$87,2,FALSE),TIAM15_assumptions!$H$2:$V$2,0))</f>
        <v>0</v>
      </c>
      <c r="N59" s="9">
        <f ca="1">OFFSET(TIAM15_assumptions!$G59,0,MATCH(VLOOKUP(Assumptions!N$2,TIAM15_assumptions!$Y$3:$Z$87,2,FALSE),TIAM15_assumptions!$H$2:$V$2,0))</f>
        <v>0</v>
      </c>
      <c r="O59" s="9">
        <f ca="1">OFFSET(TIAM15_assumptions!$G59,0,MATCH(VLOOKUP(Assumptions!O$2,TIAM15_assumptions!$Y$3:$Z$87,2,FALSE),TIAM15_assumptions!$H$2:$V$2,0))</f>
        <v>0</v>
      </c>
      <c r="P59" s="9">
        <f ca="1">OFFSET(TIAM15_assumptions!$G59,0,MATCH(VLOOKUP(Assumptions!P$2,TIAM15_assumptions!$Y$3:$Z$87,2,FALSE),TIAM15_assumptions!$H$2:$V$2,0))</f>
        <v>0</v>
      </c>
      <c r="Q59" s="9">
        <f ca="1">OFFSET(TIAM15_assumptions!$G59,0,MATCH(VLOOKUP(Assumptions!Q$2,TIAM15_assumptions!$Y$3:$Z$87,2,FALSE),TIAM15_assumptions!$H$2:$V$2,0))</f>
        <v>0</v>
      </c>
      <c r="R59" s="9">
        <f ca="1">OFFSET(TIAM15_assumptions!$G59,0,MATCH(VLOOKUP(Assumptions!R$2,TIAM15_assumptions!$Y$3:$Z$87,2,FALSE),TIAM15_assumptions!$H$2:$V$2,0))</f>
        <v>0</v>
      </c>
      <c r="S59" s="9">
        <f ca="1">OFFSET(TIAM15_assumptions!$G59,0,MATCH(VLOOKUP(Assumptions!S$2,TIAM15_assumptions!$Y$3:$Z$87,2,FALSE),TIAM15_assumptions!$H$2:$V$2,0))</f>
        <v>0</v>
      </c>
      <c r="T59" s="9">
        <f ca="1">OFFSET(TIAM15_assumptions!$G59,0,MATCH(VLOOKUP(Assumptions!T$2,TIAM15_assumptions!$Y$3:$Z$87,2,FALSE),TIAM15_assumptions!$H$2:$V$2,0))</f>
        <v>0</v>
      </c>
      <c r="U59" s="9">
        <f ca="1">OFFSET(TIAM15_assumptions!$G59,0,MATCH(VLOOKUP(Assumptions!U$2,TIAM15_assumptions!$Y$3:$Z$87,2,FALSE),TIAM15_assumptions!$H$2:$V$2,0))</f>
        <v>0</v>
      </c>
      <c r="V59" s="9">
        <f ca="1">OFFSET(TIAM15_assumptions!$G59,0,MATCH(VLOOKUP(Assumptions!V$2,TIAM15_assumptions!$Y$3:$Z$87,2,FALSE),TIAM15_assumptions!$H$2:$V$2,0))</f>
        <v>0</v>
      </c>
      <c r="W59" s="9">
        <f ca="1">OFFSET(TIAM15_assumptions!$G59,0,MATCH(VLOOKUP(Assumptions!W$2,TIAM15_assumptions!$Y$3:$Z$87,2,FALSE),TIAM15_assumptions!$H$2:$V$2,0))</f>
        <v>0</v>
      </c>
      <c r="X59" s="9">
        <f ca="1">OFFSET(TIAM15_assumptions!$G59,0,MATCH(VLOOKUP(Assumptions!X$2,TIAM15_assumptions!$Y$3:$Z$87,2,FALSE),TIAM15_assumptions!$H$2:$V$2,0))</f>
        <v>0</v>
      </c>
      <c r="Y59" s="9">
        <f ca="1">OFFSET(TIAM15_assumptions!$G59,0,MATCH(VLOOKUP(Assumptions!Y$2,TIAM15_assumptions!$Y$3:$Z$87,2,FALSE),TIAM15_assumptions!$H$2:$V$2,0))</f>
        <v>0</v>
      </c>
      <c r="Z59" s="9">
        <f ca="1">OFFSET(TIAM15_assumptions!$G59,0,MATCH(VLOOKUP(Assumptions!Z$2,TIAM15_assumptions!$Y$3:$Z$87,2,FALSE),TIAM15_assumptions!$H$2:$V$2,0))</f>
        <v>0</v>
      </c>
      <c r="AA59" s="9">
        <f ca="1">OFFSET(TIAM15_assumptions!$G59,0,MATCH(VLOOKUP(Assumptions!AA$2,TIAM15_assumptions!$Y$3:$Z$87,2,FALSE),TIAM15_assumptions!$H$2:$V$2,0))</f>
        <v>0</v>
      </c>
      <c r="AB59" s="9">
        <f ca="1">OFFSET(TIAM15_assumptions!$G59,0,MATCH(VLOOKUP(Assumptions!AB$2,TIAM15_assumptions!$Y$3:$Z$87,2,FALSE),TIAM15_assumptions!$H$2:$V$2,0))</f>
        <v>0</v>
      </c>
      <c r="AC59" s="9">
        <f ca="1">OFFSET(TIAM15_assumptions!$G59,0,MATCH(VLOOKUP(Assumptions!AC$2,TIAM15_assumptions!$Y$3:$Z$87,2,FALSE),TIAM15_assumptions!$H$2:$V$2,0))</f>
        <v>0</v>
      </c>
      <c r="AD59" s="9">
        <f ca="1">OFFSET(TIAM15_assumptions!$G59,0,MATCH(VLOOKUP(Assumptions!AD$2,TIAM15_assumptions!$Y$3:$Z$87,2,FALSE),TIAM15_assumptions!$H$2:$V$2,0))</f>
        <v>0</v>
      </c>
      <c r="AE59" s="9">
        <f ca="1">OFFSET(TIAM15_assumptions!$G59,0,MATCH(VLOOKUP(Assumptions!AE$2,TIAM15_assumptions!$Y$3:$Z$87,2,FALSE),TIAM15_assumptions!$H$2:$V$2,0))</f>
        <v>0</v>
      </c>
      <c r="AF59" s="9">
        <f ca="1">OFFSET(TIAM15_assumptions!$G59,0,MATCH(VLOOKUP(Assumptions!AF$2,TIAM15_assumptions!$Y$3:$Z$87,2,FALSE),TIAM15_assumptions!$H$2:$V$2,0))</f>
        <v>0</v>
      </c>
      <c r="AG59" s="9">
        <f ca="1">OFFSET(TIAM15_assumptions!$G59,0,MATCH(VLOOKUP(Assumptions!AG$2,TIAM15_assumptions!$Y$3:$Z$87,2,FALSE),TIAM15_assumptions!$H$2:$V$2,0))</f>
        <v>0</v>
      </c>
      <c r="AH59" s="9">
        <f ca="1">OFFSET(TIAM15_assumptions!$G59,0,MATCH(VLOOKUP(Assumptions!AH$2,TIAM15_assumptions!$Y$3:$Z$87,2,FALSE),TIAM15_assumptions!$H$2:$V$2,0))</f>
        <v>0</v>
      </c>
      <c r="AI59" s="9">
        <f ca="1">OFFSET(TIAM15_assumptions!$G59,0,MATCH(VLOOKUP(Assumptions!AI$2,TIAM15_assumptions!$Y$3:$Z$87,2,FALSE),TIAM15_assumptions!$H$2:$V$2,0))</f>
        <v>0</v>
      </c>
      <c r="AJ59" s="9">
        <f ca="1">OFFSET(TIAM15_assumptions!$G59,0,MATCH(VLOOKUP(Assumptions!AJ$2,TIAM15_assumptions!$Y$3:$Z$87,2,FALSE),TIAM15_assumptions!$H$2:$V$2,0))</f>
        <v>0</v>
      </c>
      <c r="AK59" s="9">
        <f ca="1">OFFSET(TIAM15_assumptions!$G59,0,MATCH(VLOOKUP(Assumptions!AK$2,TIAM15_assumptions!$Y$3:$Z$87,2,FALSE),TIAM15_assumptions!$H$2:$V$2,0))</f>
        <v>0</v>
      </c>
      <c r="AL59" s="9">
        <f ca="1">OFFSET(TIAM15_assumptions!$G59,0,MATCH(VLOOKUP(Assumptions!AL$2,TIAM15_assumptions!$Y$3:$Z$87,2,FALSE),TIAM15_assumptions!$H$2:$V$2,0))</f>
        <v>0</v>
      </c>
      <c r="AM59" s="9">
        <f ca="1">OFFSET(TIAM15_assumptions!$G59,0,MATCH(VLOOKUP(Assumptions!AM$2,TIAM15_assumptions!$Y$3:$Z$87,2,FALSE),TIAM15_assumptions!$H$2:$V$2,0))</f>
        <v>0</v>
      </c>
      <c r="AN59" s="9">
        <f ca="1">OFFSET(TIAM15_assumptions!$G59,0,MATCH(VLOOKUP(Assumptions!AN$2,TIAM15_assumptions!$Y$3:$Z$87,2,FALSE),TIAM15_assumptions!$H$2:$V$2,0))</f>
        <v>0</v>
      </c>
      <c r="AO59" s="9">
        <f ca="1">OFFSET(TIAM15_assumptions!$G59,0,MATCH(VLOOKUP(Assumptions!AO$2,TIAM15_assumptions!$Y$3:$Z$87,2,FALSE),TIAM15_assumptions!$H$2:$V$2,0))</f>
        <v>0</v>
      </c>
      <c r="AP59" s="9">
        <f ca="1">OFFSET(TIAM15_assumptions!$G59,0,MATCH(VLOOKUP(Assumptions!AP$2,TIAM15_assumptions!$Y$3:$Z$87,2,FALSE),TIAM15_assumptions!$H$2:$V$2,0))</f>
        <v>0</v>
      </c>
      <c r="AQ59" s="9">
        <f ca="1">OFFSET(TIAM15_assumptions!$G59,0,MATCH(VLOOKUP(Assumptions!AQ$2,TIAM15_assumptions!$Y$3:$Z$87,2,FALSE),TIAM15_assumptions!$H$2:$V$2,0))</f>
        <v>0</v>
      </c>
      <c r="AR59" s="9">
        <f ca="1">OFFSET(TIAM15_assumptions!$G59,0,MATCH(VLOOKUP(Assumptions!AR$2,TIAM15_assumptions!$Y$3:$Z$87,2,FALSE),TIAM15_assumptions!$H$2:$V$2,0))</f>
        <v>0</v>
      </c>
      <c r="AS59" s="9">
        <f ca="1">OFFSET(TIAM15_assumptions!$G59,0,MATCH(VLOOKUP(Assumptions!AS$2,TIAM15_assumptions!$Y$3:$Z$87,2,FALSE),TIAM15_assumptions!$H$2:$V$2,0))</f>
        <v>0</v>
      </c>
      <c r="AT59" s="9">
        <f ca="1">OFFSET(TIAM15_assumptions!$G59,0,MATCH(VLOOKUP(Assumptions!AT$2,TIAM15_assumptions!$Y$3:$Z$87,2,FALSE),TIAM15_assumptions!$H$2:$V$2,0))</f>
        <v>0</v>
      </c>
      <c r="AU59" s="9">
        <f ca="1">OFFSET(TIAM15_assumptions!$G59,0,MATCH(VLOOKUP(Assumptions!AU$2,TIAM15_assumptions!$Y$3:$Z$87,2,FALSE),TIAM15_assumptions!$H$2:$V$2,0))</f>
        <v>0</v>
      </c>
      <c r="AV59" s="9">
        <f ca="1">OFFSET(TIAM15_assumptions!$G59,0,MATCH(VLOOKUP(Assumptions!AV$2,TIAM15_assumptions!$Y$3:$Z$87,2,FALSE),TIAM15_assumptions!$H$2:$V$2,0))</f>
        <v>0</v>
      </c>
      <c r="AW59" s="9">
        <f ca="1">OFFSET(TIAM15_assumptions!$G59,0,MATCH(VLOOKUP(Assumptions!AW$2,TIAM15_assumptions!$Y$3:$Z$87,2,FALSE),TIAM15_assumptions!$H$2:$V$2,0))</f>
        <v>0</v>
      </c>
      <c r="AX59" s="9">
        <f ca="1">OFFSET(TIAM15_assumptions!$G59,0,MATCH(VLOOKUP(Assumptions!AX$2,TIAM15_assumptions!$Y$3:$Z$87,2,FALSE),TIAM15_assumptions!$H$2:$V$2,0))</f>
        <v>0</v>
      </c>
      <c r="AY59" s="9">
        <f ca="1">OFFSET(TIAM15_assumptions!$G59,0,MATCH(VLOOKUP(Assumptions!AY$2,TIAM15_assumptions!$Y$3:$Z$87,2,FALSE),TIAM15_assumptions!$H$2:$V$2,0))</f>
        <v>0</v>
      </c>
      <c r="AZ59" s="9">
        <f ca="1">OFFSET(TIAM15_assumptions!$G59,0,MATCH(VLOOKUP(Assumptions!AZ$2,TIAM15_assumptions!$Y$3:$Z$87,2,FALSE),TIAM15_assumptions!$H$2:$V$2,0))</f>
        <v>0</v>
      </c>
      <c r="BA59" s="9">
        <f ca="1">OFFSET(TIAM15_assumptions!$G59,0,MATCH(VLOOKUP(Assumptions!BA$2,TIAM15_assumptions!$Y$3:$Z$87,2,FALSE),TIAM15_assumptions!$H$2:$V$2,0))</f>
        <v>0</v>
      </c>
      <c r="BD59" s="34">
        <f ca="1">IFERROR(SUMIFS('TRA balance'!E$5:E$40,'TRA balance'!$C$5:$C$40,Assumptions!$C59,'TRA balance'!$D$5:$D$40,Assumptions!$B59)*CY59*H59,"")</f>
        <v>0</v>
      </c>
      <c r="BE59" s="34">
        <f ca="1">IFERROR(SUMIFS('TRA balance'!F$5:F$40,'TRA balance'!$C$5:$C$40,Assumptions!$C59,'TRA balance'!$D$5:$D$40,Assumptions!$B59)*CZ59*I59,"")</f>
        <v>0</v>
      </c>
      <c r="BF59" s="34">
        <f ca="1">IFERROR(SUMIFS('TRA balance'!G$5:G$40,'TRA balance'!$C$5:$C$40,Assumptions!$C59,'TRA balance'!$D$5:$D$40,Assumptions!$B59)*DA59*J59,"")</f>
        <v>0</v>
      </c>
      <c r="BG59" s="34">
        <f ca="1">IFERROR(SUMIFS('TRA balance'!H$5:H$40,'TRA balance'!$C$5:$C$40,Assumptions!$C59,'TRA balance'!$D$5:$D$40,Assumptions!$B59)*DB59*K59,"")</f>
        <v>0</v>
      </c>
      <c r="BH59" s="34">
        <f ca="1">IFERROR(SUMIFS('TRA balance'!I$5:I$40,'TRA balance'!$C$5:$C$40,Assumptions!$C59,'TRA balance'!$D$5:$D$40,Assumptions!$B59)*DC59*L59,"")</f>
        <v>0</v>
      </c>
      <c r="BI59" s="34">
        <f ca="1">IFERROR(SUMIFS('TRA balance'!J$5:J$40,'TRA balance'!$C$5:$C$40,Assumptions!$C59,'TRA balance'!$D$5:$D$40,Assumptions!$B59)*DD59*M59,"")</f>
        <v>0</v>
      </c>
      <c r="BJ59" s="34">
        <f ca="1">IFERROR(SUMIFS('TRA balance'!K$5:K$40,'TRA balance'!$C$5:$C$40,Assumptions!$C59,'TRA balance'!$D$5:$D$40,Assumptions!$B59)*DE59*N59,"")</f>
        <v>0</v>
      </c>
      <c r="BK59" s="34">
        <f ca="1">IFERROR(SUMIFS('TRA balance'!L$5:L$40,'TRA balance'!$C$5:$C$40,Assumptions!$C59,'TRA balance'!$D$5:$D$40,Assumptions!$B59)*DF59*O59,"")</f>
        <v>0</v>
      </c>
      <c r="BL59" s="34">
        <f ca="1">IFERROR(SUMIFS('TRA balance'!M$5:M$40,'TRA balance'!$C$5:$C$40,Assumptions!$C59,'TRA balance'!$D$5:$D$40,Assumptions!$B59)*DG59*P59,"")</f>
        <v>0</v>
      </c>
      <c r="BM59" s="34">
        <f ca="1">IFERROR(SUMIFS('TRA balance'!N$5:N$40,'TRA balance'!$C$5:$C$40,Assumptions!$C59,'TRA balance'!$D$5:$D$40,Assumptions!$B59)*DH59*Q59,"")</f>
        <v>0</v>
      </c>
      <c r="BN59" s="34">
        <f ca="1">IFERROR(SUMIFS('TRA balance'!O$5:O$40,'TRA balance'!$C$5:$C$40,Assumptions!$C59,'TRA balance'!$D$5:$D$40,Assumptions!$B59)*DI59*R59,"")</f>
        <v>0</v>
      </c>
      <c r="BO59" s="34">
        <f ca="1">IFERROR(SUMIFS('TRA balance'!P$5:P$40,'TRA balance'!$C$5:$C$40,Assumptions!$C59,'TRA balance'!$D$5:$D$40,Assumptions!$B59)*DJ59*S59,"")</f>
        <v>0</v>
      </c>
      <c r="BP59" s="34">
        <f ca="1">IFERROR(SUMIFS('TRA balance'!Q$5:Q$40,'TRA balance'!$C$5:$C$40,Assumptions!$C59,'TRA balance'!$D$5:$D$40,Assumptions!$B59)*DK59*T59,"")</f>
        <v>0</v>
      </c>
      <c r="BQ59" s="34">
        <f ca="1">IFERROR(SUMIFS('TRA balance'!R$5:R$40,'TRA balance'!$C$5:$C$40,Assumptions!$C59,'TRA balance'!$D$5:$D$40,Assumptions!$B59)*DL59*U59,"")</f>
        <v>0</v>
      </c>
      <c r="BR59" s="34">
        <f ca="1">IFERROR(SUMIFS('TRA balance'!S$5:S$40,'TRA balance'!$C$5:$C$40,Assumptions!$C59,'TRA balance'!$D$5:$D$40,Assumptions!$B59)*DM59*V59,"")</f>
        <v>0</v>
      </c>
      <c r="BS59" s="34">
        <f ca="1">IFERROR(SUMIFS('TRA balance'!T$5:T$40,'TRA balance'!$C$5:$C$40,Assumptions!$C59,'TRA balance'!$D$5:$D$40,Assumptions!$B59)*DN59*W59,"")</f>
        <v>0</v>
      </c>
      <c r="BT59" s="34">
        <f ca="1">IFERROR(SUMIFS('TRA balance'!U$5:U$40,'TRA balance'!$C$5:$C$40,Assumptions!$C59,'TRA balance'!$D$5:$D$40,Assumptions!$B59)*DO59*X59,"")</f>
        <v>0</v>
      </c>
      <c r="BU59" s="34">
        <f ca="1">IFERROR(SUMIFS('TRA balance'!V$5:V$40,'TRA balance'!$C$5:$C$40,Assumptions!$C59,'TRA balance'!$D$5:$D$40,Assumptions!$B59)*DP59*Y59,"")</f>
        <v>0</v>
      </c>
      <c r="BV59" s="34">
        <f ca="1">IFERROR(SUMIFS('TRA balance'!W$5:W$40,'TRA balance'!$C$5:$C$40,Assumptions!$C59,'TRA balance'!$D$5:$D$40,Assumptions!$B59)*DQ59*Z59,"")</f>
        <v>0</v>
      </c>
      <c r="BW59" s="34">
        <f ca="1">IFERROR(SUMIFS('TRA balance'!X$5:X$40,'TRA balance'!$C$5:$C$40,Assumptions!$C59,'TRA balance'!$D$5:$D$40,Assumptions!$B59)*DR59*AA59,"")</f>
        <v>0</v>
      </c>
      <c r="BX59" s="34">
        <f ca="1">IFERROR(SUMIFS('TRA balance'!Y$5:Y$40,'TRA balance'!$C$5:$C$40,Assumptions!$C59,'TRA balance'!$D$5:$D$40,Assumptions!$B59)*DS59*AB59,"")</f>
        <v>0</v>
      </c>
      <c r="BY59" s="34">
        <f ca="1">IFERROR(SUMIFS('TRA balance'!Z$5:Z$40,'TRA balance'!$C$5:$C$40,Assumptions!$C59,'TRA balance'!$D$5:$D$40,Assumptions!$B59)*DT59*AC59,"")</f>
        <v>0</v>
      </c>
      <c r="BZ59" s="34">
        <f ca="1">IFERROR(SUMIFS('TRA balance'!AA$5:AA$40,'TRA balance'!$C$5:$C$40,Assumptions!$C59,'TRA balance'!$D$5:$D$40,Assumptions!$B59)*DU59*AD59,"")</f>
        <v>0</v>
      </c>
      <c r="CA59" s="34">
        <f ca="1">IFERROR(SUMIFS('TRA balance'!AB$5:AB$40,'TRA balance'!$C$5:$C$40,Assumptions!$C59,'TRA balance'!$D$5:$D$40,Assumptions!$B59)*DV59*AE59,"")</f>
        <v>0</v>
      </c>
      <c r="CB59" s="34">
        <f ca="1">IFERROR(SUMIFS('TRA balance'!AC$5:AC$40,'TRA balance'!$C$5:$C$40,Assumptions!$C59,'TRA balance'!$D$5:$D$40,Assumptions!$B59)*DW59*AF59,"")</f>
        <v>0</v>
      </c>
      <c r="CC59" s="34">
        <f ca="1">IFERROR(SUMIFS('TRA balance'!AD$5:AD$40,'TRA balance'!$C$5:$C$40,Assumptions!$C59,'TRA balance'!$D$5:$D$40,Assumptions!$B59)*DX59*AG59,"")</f>
        <v>0</v>
      </c>
      <c r="CD59" s="34">
        <f ca="1">IFERROR(SUMIFS('TRA balance'!AE$5:AE$40,'TRA balance'!$C$5:$C$40,Assumptions!$C59,'TRA balance'!$D$5:$D$40,Assumptions!$B59)*DY59*AH59,"")</f>
        <v>0</v>
      </c>
      <c r="CE59" s="34">
        <f ca="1">IFERROR(SUMIFS('TRA balance'!AF$5:AF$40,'TRA balance'!$C$5:$C$40,Assumptions!$C59,'TRA balance'!$D$5:$D$40,Assumptions!$B59)*DZ59*AI59,"")</f>
        <v>0</v>
      </c>
      <c r="CF59" s="34">
        <f ca="1">IFERROR(SUMIFS('TRA balance'!AG$5:AG$40,'TRA balance'!$C$5:$C$40,Assumptions!$C59,'TRA balance'!$D$5:$D$40,Assumptions!$B59)*EA59*AJ59,"")</f>
        <v>0</v>
      </c>
      <c r="CG59" s="34">
        <f ca="1">IFERROR(SUMIFS('TRA balance'!AH$5:AH$40,'TRA balance'!$C$5:$C$40,Assumptions!$C59,'TRA balance'!$D$5:$D$40,Assumptions!$B59)*EB59*AK59,"")</f>
        <v>0</v>
      </c>
      <c r="CH59" s="34">
        <f ca="1">IFERROR(SUMIFS('TRA balance'!AI$5:AI$40,'TRA balance'!$C$5:$C$40,Assumptions!$C59,'TRA balance'!$D$5:$D$40,Assumptions!$B59)*EC59*AL59,"")</f>
        <v>0</v>
      </c>
      <c r="CI59" s="34">
        <f ca="1">IFERROR(SUMIFS('TRA balance'!AJ$5:AJ$40,'TRA balance'!$C$5:$C$40,Assumptions!$C59,'TRA balance'!$D$5:$D$40,Assumptions!$B59)*ED59*AM59,"")</f>
        <v>0</v>
      </c>
      <c r="CJ59" s="34">
        <f ca="1">IFERROR(SUMIFS('TRA balance'!AK$5:AK$40,'TRA balance'!$C$5:$C$40,Assumptions!$C59,'TRA balance'!$D$5:$D$40,Assumptions!$B59)*EE59*AN59,"")</f>
        <v>0</v>
      </c>
      <c r="CK59" s="34">
        <f ca="1">IFERROR(SUMIFS('TRA balance'!AL$5:AL$40,'TRA balance'!$C$5:$C$40,Assumptions!$C59,'TRA balance'!$D$5:$D$40,Assumptions!$B59)*EF59*AO59,"")</f>
        <v>0</v>
      </c>
      <c r="CL59" s="34">
        <f ca="1">IFERROR(SUMIFS('TRA balance'!AM$5:AM$40,'TRA balance'!$C$5:$C$40,Assumptions!$C59,'TRA balance'!$D$5:$D$40,Assumptions!$B59)*EG59*AP59,"")</f>
        <v>0</v>
      </c>
      <c r="CM59" s="34">
        <f ca="1">IFERROR(SUMIFS('TRA balance'!AN$5:AN$40,'TRA balance'!$C$5:$C$40,Assumptions!$C59,'TRA balance'!$D$5:$D$40,Assumptions!$B59)*EH59*AQ59,"")</f>
        <v>0</v>
      </c>
      <c r="CN59" s="34">
        <f ca="1">IFERROR(SUMIFS('TRA balance'!AO$5:AO$40,'TRA balance'!$C$5:$C$40,Assumptions!$C59,'TRA balance'!$D$5:$D$40,Assumptions!$B59)*EI59*AR59,"")</f>
        <v>0</v>
      </c>
      <c r="CO59" s="34">
        <f ca="1">IFERROR(SUMIFS('TRA balance'!AP$5:AP$40,'TRA balance'!$C$5:$C$40,Assumptions!$C59,'TRA balance'!$D$5:$D$40,Assumptions!$B59)*EJ59*AS59,"")</f>
        <v>0</v>
      </c>
      <c r="CP59" s="34">
        <f ca="1">IFERROR(SUMIFS('TRA balance'!AQ$5:AQ$40,'TRA balance'!$C$5:$C$40,Assumptions!$C59,'TRA balance'!$D$5:$D$40,Assumptions!$B59)*EK59*AT59,"")</f>
        <v>0</v>
      </c>
      <c r="CQ59" s="34">
        <f ca="1">IFERROR(SUMIFS('TRA balance'!AR$5:AR$40,'TRA balance'!$C$5:$C$40,Assumptions!$C59,'TRA balance'!$D$5:$D$40,Assumptions!$B59)*EL59*AU59,"")</f>
        <v>0</v>
      </c>
      <c r="CR59" s="34">
        <f ca="1">IFERROR(SUMIFS('TRA balance'!AS$5:AS$40,'TRA balance'!$C$5:$C$40,Assumptions!$C59,'TRA balance'!$D$5:$D$40,Assumptions!$B59)*EM59*AV59,"")</f>
        <v>0</v>
      </c>
      <c r="CS59" s="34">
        <f ca="1">IFERROR(SUMIFS('TRA balance'!AT$5:AT$40,'TRA balance'!$C$5:$C$40,Assumptions!$C59,'TRA balance'!$D$5:$D$40,Assumptions!$B59)*EN59*AW59,"")</f>
        <v>0</v>
      </c>
      <c r="CT59" s="34">
        <f ca="1">IFERROR(SUMIFS('TRA balance'!AU$5:AU$40,'TRA balance'!$C$5:$C$40,Assumptions!$C59,'TRA balance'!$D$5:$D$40,Assumptions!$B59)*EO59*AX59,"")</f>
        <v>0</v>
      </c>
      <c r="CU59" s="34">
        <f ca="1">IFERROR(SUMIFS('TRA balance'!AV$5:AV$40,'TRA balance'!$C$5:$C$40,Assumptions!$C59,'TRA balance'!$D$5:$D$40,Assumptions!$B59)*EP59*AY59,"")</f>
        <v>0</v>
      </c>
      <c r="CV59" s="34">
        <f ca="1">IFERROR(SUMIFS('TRA balance'!AW$5:AW$40,'TRA balance'!$C$5:$C$40,Assumptions!$C59,'TRA balance'!$D$5:$D$40,Assumptions!$B59)*EQ59*AZ59,"")</f>
        <v>0</v>
      </c>
      <c r="CW59" s="34">
        <f ca="1">IFERROR(SUMIFS('TRA balance'!AX$5:AX$40,'TRA balance'!$C$5:$C$40,Assumptions!$C59,'TRA balance'!$D$5:$D$40,Assumptions!$B59)*ER59*BA59,"")</f>
        <v>0</v>
      </c>
      <c r="CY59" s="33">
        <f t="shared" ca="1" si="66"/>
        <v>0.75</v>
      </c>
      <c r="CZ59" s="33">
        <f t="shared" ca="1" si="3"/>
        <v>0.75</v>
      </c>
      <c r="DA59" s="33">
        <f t="shared" ca="1" si="4"/>
        <v>0.75</v>
      </c>
      <c r="DB59" s="33">
        <f t="shared" ca="1" si="5"/>
        <v>0.31799999999999995</v>
      </c>
      <c r="DC59" s="33">
        <f t="shared" ca="1" si="6"/>
        <v>0.30000000000000004</v>
      </c>
      <c r="DD59" s="33">
        <f t="shared" ca="1" si="7"/>
        <v>0.31799999999999995</v>
      </c>
      <c r="DE59" s="33">
        <f t="shared" ca="1" si="8"/>
        <v>0.5</v>
      </c>
      <c r="DF59" s="33">
        <f t="shared" ca="1" si="9"/>
        <v>0.6</v>
      </c>
      <c r="DG59" s="33">
        <f t="shared" ca="1" si="10"/>
        <v>1</v>
      </c>
      <c r="DH59" s="33">
        <f t="shared" ca="1" si="11"/>
        <v>1</v>
      </c>
      <c r="DI59" s="33">
        <f t="shared" ca="1" si="12"/>
        <v>0.31799999999999995</v>
      </c>
      <c r="DJ59" s="33">
        <f t="shared" ca="1" si="13"/>
        <v>0.31799999999999995</v>
      </c>
      <c r="DK59" s="33">
        <f t="shared" ca="1" si="14"/>
        <v>0.31799999999999995</v>
      </c>
      <c r="DL59" s="33">
        <f t="shared" ca="1" si="15"/>
        <v>1</v>
      </c>
      <c r="DM59" s="33">
        <f t="shared" ca="1" si="16"/>
        <v>0.31799999999999995</v>
      </c>
      <c r="DN59" s="33">
        <f t="shared" ca="1" si="17"/>
        <v>0.75</v>
      </c>
      <c r="DO59" s="33">
        <f t="shared" ca="1" si="18"/>
        <v>0.31799999999999995</v>
      </c>
      <c r="DP59" s="33">
        <f t="shared" ca="1" si="19"/>
        <v>0.31799999999999995</v>
      </c>
      <c r="DQ59" s="33">
        <f t="shared" ca="1" si="20"/>
        <v>5.0000000000000044E-2</v>
      </c>
      <c r="DR59" s="33">
        <f t="shared" ca="1" si="21"/>
        <v>0.5</v>
      </c>
      <c r="DS59" s="33">
        <f t="shared" ca="1" si="22"/>
        <v>0.31799999999999995</v>
      </c>
      <c r="DT59" s="33">
        <f t="shared" ca="1" si="23"/>
        <v>2.0830205440209748E-2</v>
      </c>
      <c r="DU59" s="33">
        <f t="shared" ca="1" si="24"/>
        <v>0.31799999999999995</v>
      </c>
      <c r="DV59" s="33">
        <f t="shared" ca="1" si="25"/>
        <v>1</v>
      </c>
      <c r="DW59" s="33">
        <f t="shared" ca="1" si="26"/>
        <v>9.9999999999999978E-2</v>
      </c>
      <c r="DX59" s="33">
        <f t="shared" ca="1" si="27"/>
        <v>0.30000000000000004</v>
      </c>
      <c r="DY59" s="33">
        <f t="shared" ca="1" si="28"/>
        <v>0.31799999999999995</v>
      </c>
      <c r="DZ59" s="33">
        <f t="shared" ca="1" si="29"/>
        <v>0.75</v>
      </c>
      <c r="EA59" s="33">
        <f t="shared" ca="1" si="30"/>
        <v>0.31799999999999995</v>
      </c>
      <c r="EB59" s="33">
        <f t="shared" ca="1" si="31"/>
        <v>0.31799999999999995</v>
      </c>
      <c r="EC59" s="33">
        <f t="shared" ca="1" si="32"/>
        <v>0.31799999999999995</v>
      </c>
      <c r="ED59" s="33">
        <f t="shared" ca="1" si="33"/>
        <v>0.31799999999999995</v>
      </c>
      <c r="EE59" s="33">
        <f t="shared" ca="1" si="34"/>
        <v>0.31799999999999995</v>
      </c>
      <c r="EF59" s="33">
        <f t="shared" ca="1" si="35"/>
        <v>0.30000000000000004</v>
      </c>
      <c r="EG59" s="33">
        <f t="shared" ca="1" si="36"/>
        <v>1</v>
      </c>
      <c r="EH59" s="33">
        <f t="shared" ca="1" si="37"/>
        <v>2.0830205440209748E-2</v>
      </c>
      <c r="EI59" s="33">
        <f t="shared" ca="1" si="38"/>
        <v>2.0830205440209748E-2</v>
      </c>
      <c r="EJ59" s="33">
        <f t="shared" ca="1" si="39"/>
        <v>2.0830205440209748E-2</v>
      </c>
      <c r="EK59" s="33">
        <f t="shared" ca="1" si="40"/>
        <v>2.0830205440209748E-2</v>
      </c>
      <c r="EL59" s="33">
        <f t="shared" ca="1" si="41"/>
        <v>2.0830205440209748E-2</v>
      </c>
      <c r="EM59" s="33">
        <f t="shared" ca="1" si="42"/>
        <v>2.0830205440209748E-2</v>
      </c>
      <c r="EN59" s="33">
        <f t="shared" ca="1" si="43"/>
        <v>2.0830205440209748E-2</v>
      </c>
      <c r="EO59" s="33">
        <f t="shared" ca="1" si="44"/>
        <v>2.0830205440209748E-2</v>
      </c>
      <c r="EP59" s="33">
        <f t="shared" ca="1" si="45"/>
        <v>2.0830205440209748E-2</v>
      </c>
      <c r="EQ59" s="33">
        <f t="shared" ca="1" si="46"/>
        <v>2.0830205440209748E-2</v>
      </c>
      <c r="ER59" s="33">
        <f t="shared" ca="1" si="47"/>
        <v>2.0830205440209748E-2</v>
      </c>
    </row>
    <row r="60" spans="1:148">
      <c r="A60">
        <v>2</v>
      </c>
      <c r="B60" t="str">
        <f>VLOOKUP(F60,'TRA balance'!$BA$5:$BB$14,2,FALSE)</f>
        <v>TRANGA</v>
      </c>
      <c r="C60" s="6" t="str">
        <f t="shared" si="48"/>
        <v>TR</v>
      </c>
      <c r="D60" s="7" t="s">
        <v>16</v>
      </c>
      <c r="E60" s="18" t="s">
        <v>77</v>
      </c>
      <c r="F60" s="8" t="str">
        <f t="shared" si="82"/>
        <v>Natural Gas</v>
      </c>
      <c r="G60" s="6" t="s">
        <v>78</v>
      </c>
      <c r="H60" s="9">
        <f ca="1">OFFSET(TIAM15_assumptions!$G60,0,MATCH(VLOOKUP(Assumptions!H$2,TIAM15_assumptions!$Y$3:$Z$87,2,FALSE),TIAM15_assumptions!$H$2:$V$2,0))</f>
        <v>0.19999999999999996</v>
      </c>
      <c r="I60" s="9">
        <f ca="1">OFFSET(TIAM15_assumptions!$G60,0,MATCH(VLOOKUP(Assumptions!I$2,TIAM15_assumptions!$Y$3:$Z$87,2,FALSE),TIAM15_assumptions!$H$2:$V$2,0))</f>
        <v>0.19999999999999996</v>
      </c>
      <c r="J60" s="9">
        <f ca="1">OFFSET(TIAM15_assumptions!$G60,0,MATCH(VLOOKUP(Assumptions!J$2,TIAM15_assumptions!$Y$3:$Z$87,2,FALSE),TIAM15_assumptions!$H$2:$V$2,0))</f>
        <v>0.19999999999999996</v>
      </c>
      <c r="K60" s="9">
        <f ca="1">OFFSET(TIAM15_assumptions!$G60,0,MATCH(VLOOKUP(Assumptions!K$2,TIAM15_assumptions!$Y$3:$Z$87,2,FALSE),TIAM15_assumptions!$H$2:$V$2,0))</f>
        <v>0</v>
      </c>
      <c r="L60" s="9">
        <f ca="1">OFFSET(TIAM15_assumptions!$G60,0,MATCH(VLOOKUP(Assumptions!L$2,TIAM15_assumptions!$Y$3:$Z$87,2,FALSE),TIAM15_assumptions!$H$2:$V$2,0))</f>
        <v>1</v>
      </c>
      <c r="M60" s="9">
        <f ca="1">OFFSET(TIAM15_assumptions!$G60,0,MATCH(VLOOKUP(Assumptions!M$2,TIAM15_assumptions!$Y$3:$Z$87,2,FALSE),TIAM15_assumptions!$H$2:$V$2,0))</f>
        <v>0</v>
      </c>
      <c r="N60" s="9">
        <f ca="1">OFFSET(TIAM15_assumptions!$G60,0,MATCH(VLOOKUP(Assumptions!N$2,TIAM15_assumptions!$Y$3:$Z$87,2,FALSE),TIAM15_assumptions!$H$2:$V$2,0))</f>
        <v>0.4</v>
      </c>
      <c r="O60" s="9">
        <f ca="1">OFFSET(TIAM15_assumptions!$G60,0,MATCH(VLOOKUP(Assumptions!O$2,TIAM15_assumptions!$Y$3:$Z$87,2,FALSE),TIAM15_assumptions!$H$2:$V$2,0))</f>
        <v>0.19999999999999996</v>
      </c>
      <c r="P60" s="9">
        <f ca="1">OFFSET(TIAM15_assumptions!$G60,0,MATCH(VLOOKUP(Assumptions!P$2,TIAM15_assumptions!$Y$3:$Z$87,2,FALSE),TIAM15_assumptions!$H$2:$V$2,0))</f>
        <v>0</v>
      </c>
      <c r="Q60" s="9">
        <f ca="1">OFFSET(TIAM15_assumptions!$G60,0,MATCH(VLOOKUP(Assumptions!Q$2,TIAM15_assumptions!$Y$3:$Z$87,2,FALSE),TIAM15_assumptions!$H$2:$V$2,0))</f>
        <v>0</v>
      </c>
      <c r="R60" s="9">
        <f ca="1">OFFSET(TIAM15_assumptions!$G60,0,MATCH(VLOOKUP(Assumptions!R$2,TIAM15_assumptions!$Y$3:$Z$87,2,FALSE),TIAM15_assumptions!$H$2:$V$2,0))</f>
        <v>0</v>
      </c>
      <c r="S60" s="9">
        <f ca="1">OFFSET(TIAM15_assumptions!$G60,0,MATCH(VLOOKUP(Assumptions!S$2,TIAM15_assumptions!$Y$3:$Z$87,2,FALSE),TIAM15_assumptions!$H$2:$V$2,0))</f>
        <v>0</v>
      </c>
      <c r="T60" s="9">
        <f ca="1">OFFSET(TIAM15_assumptions!$G60,0,MATCH(VLOOKUP(Assumptions!T$2,TIAM15_assumptions!$Y$3:$Z$87,2,FALSE),TIAM15_assumptions!$H$2:$V$2,0))</f>
        <v>0</v>
      </c>
      <c r="U60" s="9">
        <f ca="1">OFFSET(TIAM15_assumptions!$G60,0,MATCH(VLOOKUP(Assumptions!U$2,TIAM15_assumptions!$Y$3:$Z$87,2,FALSE),TIAM15_assumptions!$H$2:$V$2,0))</f>
        <v>0</v>
      </c>
      <c r="V60" s="9">
        <f ca="1">OFFSET(TIAM15_assumptions!$G60,0,MATCH(VLOOKUP(Assumptions!V$2,TIAM15_assumptions!$Y$3:$Z$87,2,FALSE),TIAM15_assumptions!$H$2:$V$2,0))</f>
        <v>0</v>
      </c>
      <c r="W60" s="9">
        <f ca="1">OFFSET(TIAM15_assumptions!$G60,0,MATCH(VLOOKUP(Assumptions!W$2,TIAM15_assumptions!$Y$3:$Z$87,2,FALSE),TIAM15_assumptions!$H$2:$V$2,0))</f>
        <v>0.19999999999999996</v>
      </c>
      <c r="X60" s="9">
        <f ca="1">OFFSET(TIAM15_assumptions!$G60,0,MATCH(VLOOKUP(Assumptions!X$2,TIAM15_assumptions!$Y$3:$Z$87,2,FALSE),TIAM15_assumptions!$H$2:$V$2,0))</f>
        <v>0</v>
      </c>
      <c r="Y60" s="9">
        <f ca="1">OFFSET(TIAM15_assumptions!$G60,0,MATCH(VLOOKUP(Assumptions!Y$2,TIAM15_assumptions!$Y$3:$Z$87,2,FALSE),TIAM15_assumptions!$H$2:$V$2,0))</f>
        <v>0</v>
      </c>
      <c r="Z60" s="9">
        <f ca="1">OFFSET(TIAM15_assumptions!$G60,0,MATCH(VLOOKUP(Assumptions!Z$2,TIAM15_assumptions!$Y$3:$Z$87,2,FALSE),TIAM15_assumptions!$H$2:$V$2,0))</f>
        <v>1</v>
      </c>
      <c r="AA60" s="9">
        <f ca="1">OFFSET(TIAM15_assumptions!$G60,0,MATCH(VLOOKUP(Assumptions!AA$2,TIAM15_assumptions!$Y$3:$Z$87,2,FALSE),TIAM15_assumptions!$H$2:$V$2,0))</f>
        <v>0.4</v>
      </c>
      <c r="AB60" s="9">
        <f ca="1">OFFSET(TIAM15_assumptions!$G60,0,MATCH(VLOOKUP(Assumptions!AB$2,TIAM15_assumptions!$Y$3:$Z$87,2,FALSE),TIAM15_assumptions!$H$2:$V$2,0))</f>
        <v>0</v>
      </c>
      <c r="AC60" s="9">
        <f ca="1">OFFSET(TIAM15_assumptions!$G60,0,MATCH(VLOOKUP(Assumptions!AC$2,TIAM15_assumptions!$Y$3:$Z$87,2,FALSE),TIAM15_assumptions!$H$2:$V$2,0))</f>
        <v>0.98</v>
      </c>
      <c r="AD60" s="9">
        <f ca="1">OFFSET(TIAM15_assumptions!$G60,0,MATCH(VLOOKUP(Assumptions!AD$2,TIAM15_assumptions!$Y$3:$Z$87,2,FALSE),TIAM15_assumptions!$H$2:$V$2,0))</f>
        <v>0</v>
      </c>
      <c r="AE60" s="9">
        <f ca="1">OFFSET(TIAM15_assumptions!$G60,0,MATCH(VLOOKUP(Assumptions!AE$2,TIAM15_assumptions!$Y$3:$Z$87,2,FALSE),TIAM15_assumptions!$H$2:$V$2,0))</f>
        <v>0</v>
      </c>
      <c r="AF60" s="9">
        <f ca="1">OFFSET(TIAM15_assumptions!$G60,0,MATCH(VLOOKUP(Assumptions!AF$2,TIAM15_assumptions!$Y$3:$Z$87,2,FALSE),TIAM15_assumptions!$H$2:$V$2,0))</f>
        <v>0.30000000000000004</v>
      </c>
      <c r="AG60" s="9">
        <f ca="1">OFFSET(TIAM15_assumptions!$G60,0,MATCH(VLOOKUP(Assumptions!AG$2,TIAM15_assumptions!$Y$3:$Z$87,2,FALSE),TIAM15_assumptions!$H$2:$V$2,0))</f>
        <v>1</v>
      </c>
      <c r="AH60" s="9">
        <f ca="1">OFFSET(TIAM15_assumptions!$G60,0,MATCH(VLOOKUP(Assumptions!AH$2,TIAM15_assumptions!$Y$3:$Z$87,2,FALSE),TIAM15_assumptions!$H$2:$V$2,0))</f>
        <v>0</v>
      </c>
      <c r="AI60" s="9">
        <f ca="1">OFFSET(TIAM15_assumptions!$G60,0,MATCH(VLOOKUP(Assumptions!AI$2,TIAM15_assumptions!$Y$3:$Z$87,2,FALSE),TIAM15_assumptions!$H$2:$V$2,0))</f>
        <v>0.19999999999999996</v>
      </c>
      <c r="AJ60" s="9">
        <f ca="1">OFFSET(TIAM15_assumptions!$G60,0,MATCH(VLOOKUP(Assumptions!AJ$2,TIAM15_assumptions!$Y$3:$Z$87,2,FALSE),TIAM15_assumptions!$H$2:$V$2,0))</f>
        <v>0</v>
      </c>
      <c r="AK60" s="9">
        <f ca="1">OFFSET(TIAM15_assumptions!$G60,0,MATCH(VLOOKUP(Assumptions!AK$2,TIAM15_assumptions!$Y$3:$Z$87,2,FALSE),TIAM15_assumptions!$H$2:$V$2,0))</f>
        <v>0</v>
      </c>
      <c r="AL60" s="9">
        <f ca="1">OFFSET(TIAM15_assumptions!$G60,0,MATCH(VLOOKUP(Assumptions!AL$2,TIAM15_assumptions!$Y$3:$Z$87,2,FALSE),TIAM15_assumptions!$H$2:$V$2,0))</f>
        <v>0</v>
      </c>
      <c r="AM60" s="9">
        <f ca="1">OFFSET(TIAM15_assumptions!$G60,0,MATCH(VLOOKUP(Assumptions!AM$2,TIAM15_assumptions!$Y$3:$Z$87,2,FALSE),TIAM15_assumptions!$H$2:$V$2,0))</f>
        <v>0</v>
      </c>
      <c r="AN60" s="9">
        <f ca="1">OFFSET(TIAM15_assumptions!$G60,0,MATCH(VLOOKUP(Assumptions!AN$2,TIAM15_assumptions!$Y$3:$Z$87,2,FALSE),TIAM15_assumptions!$H$2:$V$2,0))</f>
        <v>0</v>
      </c>
      <c r="AO60" s="9">
        <f ca="1">OFFSET(TIAM15_assumptions!$G60,0,MATCH(VLOOKUP(Assumptions!AO$2,TIAM15_assumptions!$Y$3:$Z$87,2,FALSE),TIAM15_assumptions!$H$2:$V$2,0))</f>
        <v>1</v>
      </c>
      <c r="AP60" s="9">
        <f ca="1">OFFSET(TIAM15_assumptions!$G60,0,MATCH(VLOOKUP(Assumptions!AP$2,TIAM15_assumptions!$Y$3:$Z$87,2,FALSE),TIAM15_assumptions!$H$2:$V$2,0))</f>
        <v>0</v>
      </c>
      <c r="AQ60" s="9">
        <f ca="1">OFFSET(TIAM15_assumptions!$G60,0,MATCH(VLOOKUP(Assumptions!AQ$2,TIAM15_assumptions!$Y$3:$Z$87,2,FALSE),TIAM15_assumptions!$H$2:$V$2,0))</f>
        <v>0.98</v>
      </c>
      <c r="AR60" s="9">
        <f ca="1">OFFSET(TIAM15_assumptions!$G60,0,MATCH(VLOOKUP(Assumptions!AR$2,TIAM15_assumptions!$Y$3:$Z$87,2,FALSE),TIAM15_assumptions!$H$2:$V$2,0))</f>
        <v>0.98</v>
      </c>
      <c r="AS60" s="9">
        <f ca="1">OFFSET(TIAM15_assumptions!$G60,0,MATCH(VLOOKUP(Assumptions!AS$2,TIAM15_assumptions!$Y$3:$Z$87,2,FALSE),TIAM15_assumptions!$H$2:$V$2,0))</f>
        <v>0.98</v>
      </c>
      <c r="AT60" s="9">
        <f ca="1">OFFSET(TIAM15_assumptions!$G60,0,MATCH(VLOOKUP(Assumptions!AT$2,TIAM15_assumptions!$Y$3:$Z$87,2,FALSE),TIAM15_assumptions!$H$2:$V$2,0))</f>
        <v>0.98</v>
      </c>
      <c r="AU60" s="9">
        <f ca="1">OFFSET(TIAM15_assumptions!$G60,0,MATCH(VLOOKUP(Assumptions!AU$2,TIAM15_assumptions!$Y$3:$Z$87,2,FALSE),TIAM15_assumptions!$H$2:$V$2,0))</f>
        <v>0.98</v>
      </c>
      <c r="AV60" s="9">
        <f ca="1">OFFSET(TIAM15_assumptions!$G60,0,MATCH(VLOOKUP(Assumptions!AV$2,TIAM15_assumptions!$Y$3:$Z$87,2,FALSE),TIAM15_assumptions!$H$2:$V$2,0))</f>
        <v>0.98</v>
      </c>
      <c r="AW60" s="9">
        <f ca="1">OFFSET(TIAM15_assumptions!$G60,0,MATCH(VLOOKUP(Assumptions!AW$2,TIAM15_assumptions!$Y$3:$Z$87,2,FALSE),TIAM15_assumptions!$H$2:$V$2,0))</f>
        <v>0.98</v>
      </c>
      <c r="AX60" s="9">
        <f ca="1">OFFSET(TIAM15_assumptions!$G60,0,MATCH(VLOOKUP(Assumptions!AX$2,TIAM15_assumptions!$Y$3:$Z$87,2,FALSE),TIAM15_assumptions!$H$2:$V$2,0))</f>
        <v>0.98</v>
      </c>
      <c r="AY60" s="9">
        <f ca="1">OFFSET(TIAM15_assumptions!$G60,0,MATCH(VLOOKUP(Assumptions!AY$2,TIAM15_assumptions!$Y$3:$Z$87,2,FALSE),TIAM15_assumptions!$H$2:$V$2,0))</f>
        <v>0.98</v>
      </c>
      <c r="AZ60" s="9">
        <f ca="1">OFFSET(TIAM15_assumptions!$G60,0,MATCH(VLOOKUP(Assumptions!AZ$2,TIAM15_assumptions!$Y$3:$Z$87,2,FALSE),TIAM15_assumptions!$H$2:$V$2,0))</f>
        <v>0.98</v>
      </c>
      <c r="BA60" s="9">
        <f ca="1">OFFSET(TIAM15_assumptions!$G60,0,MATCH(VLOOKUP(Assumptions!BA$2,TIAM15_assumptions!$Y$3:$Z$87,2,FALSE),TIAM15_assumptions!$H$2:$V$2,0))</f>
        <v>0.98</v>
      </c>
      <c r="BD60" s="34">
        <f ca="1">IFERROR(SUMIFS('TRA balance'!E$5:E$40,'TRA balance'!$C$5:$C$40,Assumptions!$C60,'TRA balance'!$D$5:$D$40,Assumptions!$B60)*CY60*H60,"")</f>
        <v>3.0522079729799989</v>
      </c>
      <c r="BE60" s="34">
        <f ca="1">IFERROR(SUMIFS('TRA balance'!F$5:F$40,'TRA balance'!$C$5:$C$40,Assumptions!$C60,'TRA balance'!$D$5:$D$40,Assumptions!$B60)*CZ60*I60,"")</f>
        <v>1.1203248779999998E-2</v>
      </c>
      <c r="BF60" s="34">
        <f ca="1">IFERROR(SUMIFS('TRA balance'!G$5:G$40,'TRA balance'!$C$5:$C$40,Assumptions!$C60,'TRA balance'!$D$5:$D$40,Assumptions!$B60)*DA60*J60,"")</f>
        <v>0.46851799247999987</v>
      </c>
      <c r="BG60" s="34">
        <f ca="1">IFERROR(SUMIFS('TRA balance'!H$5:H$40,'TRA balance'!$C$5:$C$40,Assumptions!$C60,'TRA balance'!$D$5:$D$40,Assumptions!$B60)*DB60*K60,"")</f>
        <v>0</v>
      </c>
      <c r="BH60" s="34">
        <f ca="1">IFERROR(SUMIFS('TRA balance'!I$5:I$40,'TRA balance'!$C$5:$C$40,Assumptions!$C60,'TRA balance'!$D$5:$D$40,Assumptions!$B60)*DC60*L60,"")</f>
        <v>0.24127523568000003</v>
      </c>
      <c r="BI60" s="34">
        <f ca="1">IFERROR(SUMIFS('TRA balance'!J$5:J$40,'TRA balance'!$C$5:$C$40,Assumptions!$C60,'TRA balance'!$D$5:$D$40,Assumptions!$B60)*DD60*M60,"")</f>
        <v>0</v>
      </c>
      <c r="BJ60" s="34">
        <f ca="1">IFERROR(SUMIFS('TRA balance'!K$5:K$40,'TRA balance'!$C$5:$C$40,Assumptions!$C60,'TRA balance'!$D$5:$D$40,Assumptions!$B60)*DE60*N60,"")</f>
        <v>16.834613685120001</v>
      </c>
      <c r="BK60" s="34">
        <f ca="1">IFERROR(SUMIFS('TRA balance'!L$5:L$40,'TRA balance'!$C$5:$C$40,Assumptions!$C60,'TRA balance'!$D$5:$D$40,Assumptions!$B60)*DF60*O60,"")</f>
        <v>123.40083952108797</v>
      </c>
      <c r="BL60" s="34">
        <f ca="1">IFERROR(SUMIFS('TRA balance'!M$5:M$40,'TRA balance'!$C$5:$C$40,Assumptions!$C60,'TRA balance'!$D$5:$D$40,Assumptions!$B60)*DG60*P60,"")</f>
        <v>0</v>
      </c>
      <c r="BM60" s="34">
        <f ca="1">IFERROR(SUMIFS('TRA balance'!N$5:N$40,'TRA balance'!$C$5:$C$40,Assumptions!$C60,'TRA balance'!$D$5:$D$40,Assumptions!$B60)*DH60*Q60,"")</f>
        <v>0</v>
      </c>
      <c r="BN60" s="34">
        <f ca="1">IFERROR(SUMIFS('TRA balance'!O$5:O$40,'TRA balance'!$C$5:$C$40,Assumptions!$C60,'TRA balance'!$D$5:$D$40,Assumptions!$B60)*DI60*R60,"")</f>
        <v>0</v>
      </c>
      <c r="BO60" s="34">
        <f ca="1">IFERROR(SUMIFS('TRA balance'!P$5:P$40,'TRA balance'!$C$5:$C$40,Assumptions!$C60,'TRA balance'!$D$5:$D$40,Assumptions!$B60)*DJ60*S60,"")</f>
        <v>0</v>
      </c>
      <c r="BP60" s="34">
        <f ca="1">IFERROR(SUMIFS('TRA balance'!Q$5:Q$40,'TRA balance'!$C$5:$C$40,Assumptions!$C60,'TRA balance'!$D$5:$D$40,Assumptions!$B60)*DK60*T60,"")</f>
        <v>0</v>
      </c>
      <c r="BQ60" s="34">
        <f ca="1">IFERROR(SUMIFS('TRA balance'!R$5:R$40,'TRA balance'!$C$5:$C$40,Assumptions!$C60,'TRA balance'!$D$5:$D$40,Assumptions!$B60)*DL60*U60,"")</f>
        <v>0</v>
      </c>
      <c r="BR60" s="34">
        <f ca="1">IFERROR(SUMIFS('TRA balance'!S$5:S$40,'TRA balance'!$C$5:$C$40,Assumptions!$C60,'TRA balance'!$D$5:$D$40,Assumptions!$B60)*DM60*V60,"")</f>
        <v>0</v>
      </c>
      <c r="BS60" s="34">
        <f ca="1">IFERROR(SUMIFS('TRA balance'!T$5:T$40,'TRA balance'!$C$5:$C$40,Assumptions!$C60,'TRA balance'!$D$5:$D$40,Assumptions!$B60)*DN60*W60,"")</f>
        <v>18.507111331679994</v>
      </c>
      <c r="BT60" s="34">
        <f ca="1">IFERROR(SUMIFS('TRA balance'!U$5:U$40,'TRA balance'!$C$5:$C$40,Assumptions!$C60,'TRA balance'!$D$5:$D$40,Assumptions!$B60)*DO60*X60,"")</f>
        <v>0</v>
      </c>
      <c r="BU60" s="34">
        <f ca="1">IFERROR(SUMIFS('TRA balance'!V$5:V$40,'TRA balance'!$C$5:$C$40,Assumptions!$C60,'TRA balance'!$D$5:$D$40,Assumptions!$B60)*DP60*Y60,"")</f>
        <v>0</v>
      </c>
      <c r="BV60" s="34">
        <f ca="1">IFERROR(SUMIFS('TRA balance'!W$5:W$40,'TRA balance'!$C$5:$C$40,Assumptions!$C60,'TRA balance'!$D$5:$D$40,Assumptions!$B60)*DQ60*Z60,"")</f>
        <v>6.9950332980000057E-2</v>
      </c>
      <c r="BW60" s="34">
        <f ca="1">IFERROR(SUMIFS('TRA balance'!X$5:X$40,'TRA balance'!$C$5:$C$40,Assumptions!$C60,'TRA balance'!$D$5:$D$40,Assumptions!$B60)*DR60*AA60,"")</f>
        <v>32.376392097119997</v>
      </c>
      <c r="BX60" s="34">
        <f ca="1">IFERROR(SUMIFS('TRA balance'!Y$5:Y$40,'TRA balance'!$C$5:$C$40,Assumptions!$C60,'TRA balance'!$D$5:$D$40,Assumptions!$B60)*DS60*AB60,"")</f>
        <v>0</v>
      </c>
      <c r="BY60" s="34">
        <f ca="1">IFERROR(SUMIFS('TRA balance'!Z$5:Z$40,'TRA balance'!$C$5:$C$40,Assumptions!$C60,'TRA balance'!$D$5:$D$40,Assumptions!$B60)*DT60*AC60,"")</f>
        <v>1.1094474826876344</v>
      </c>
      <c r="BZ60" s="34">
        <f ca="1">IFERROR(SUMIFS('TRA balance'!AA$5:AA$40,'TRA balance'!$C$5:$C$40,Assumptions!$C60,'TRA balance'!$D$5:$D$40,Assumptions!$B60)*DU60*AD60,"")</f>
        <v>0</v>
      </c>
      <c r="CA60" s="34">
        <f ca="1">IFERROR(SUMIFS('TRA balance'!AB$5:AB$40,'TRA balance'!$C$5:$C$40,Assumptions!$C60,'TRA balance'!$D$5:$D$40,Assumptions!$B60)*DV60*AE60,"")</f>
        <v>0</v>
      </c>
      <c r="CB60" s="34">
        <f ca="1">IFERROR(SUMIFS('TRA balance'!AC$5:AC$40,'TRA balance'!$C$5:$C$40,Assumptions!$C60,'TRA balance'!$D$5:$D$40,Assumptions!$B60)*DW60*AF60,"")</f>
        <v>10.946851073927998</v>
      </c>
      <c r="CC60" s="34">
        <f ca="1">IFERROR(SUMIFS('TRA balance'!AD$5:AD$40,'TRA balance'!$C$5:$C$40,Assumptions!$C60,'TRA balance'!$D$5:$D$40,Assumptions!$B60)*DX60*AG60,"")</f>
        <v>2.6716850028000003</v>
      </c>
      <c r="CD60" s="34">
        <f ca="1">IFERROR(SUMIFS('TRA balance'!AE$5:AE$40,'TRA balance'!$C$5:$C$40,Assumptions!$C60,'TRA balance'!$D$5:$D$40,Assumptions!$B60)*DY60*AH60,"")</f>
        <v>0</v>
      </c>
      <c r="CE60" s="34">
        <f ca="1">IFERROR(SUMIFS('TRA balance'!AF$5:AF$40,'TRA balance'!$C$5:$C$40,Assumptions!$C60,'TRA balance'!$D$5:$D$40,Assumptions!$B60)*DZ60*AI60,"")</f>
        <v>1.0996630199999998E-3</v>
      </c>
      <c r="CF60" s="34">
        <f ca="1">IFERROR(SUMIFS('TRA balance'!AG$5:AG$40,'TRA balance'!$C$5:$C$40,Assumptions!$C60,'TRA balance'!$D$5:$D$40,Assumptions!$B60)*EA60*AJ60,"")</f>
        <v>0</v>
      </c>
      <c r="CG60" s="34">
        <f ca="1">IFERROR(SUMIFS('TRA balance'!AH$5:AH$40,'TRA balance'!$C$5:$C$40,Assumptions!$C60,'TRA balance'!$D$5:$D$40,Assumptions!$B60)*EB60*AK60,"")</f>
        <v>0</v>
      </c>
      <c r="CH60" s="34">
        <f ca="1">IFERROR(SUMIFS('TRA balance'!AI$5:AI$40,'TRA balance'!$C$5:$C$40,Assumptions!$C60,'TRA balance'!$D$5:$D$40,Assumptions!$B60)*EC60*AL60,"")</f>
        <v>0</v>
      </c>
      <c r="CI60" s="34">
        <f ca="1">IFERROR(SUMIFS('TRA balance'!AJ$5:AJ$40,'TRA balance'!$C$5:$C$40,Assumptions!$C60,'TRA balance'!$D$5:$D$40,Assumptions!$B60)*ED60*AM60,"")</f>
        <v>0</v>
      </c>
      <c r="CJ60" s="34">
        <f ca="1">IFERROR(SUMIFS('TRA balance'!AK$5:AK$40,'TRA balance'!$C$5:$C$40,Assumptions!$C60,'TRA balance'!$D$5:$D$40,Assumptions!$B60)*EE60*AN60,"")</f>
        <v>0</v>
      </c>
      <c r="CK60" s="34">
        <f ca="1">IFERROR(SUMIFS('TRA balance'!AL$5:AL$40,'TRA balance'!$C$5:$C$40,Assumptions!$C60,'TRA balance'!$D$5:$D$40,Assumptions!$B60)*EF60*AO60,"")</f>
        <v>0.40364980668</v>
      </c>
      <c r="CL60" s="34">
        <f ca="1">IFERROR(SUMIFS('TRA balance'!AM$5:AM$40,'TRA balance'!$C$5:$C$40,Assumptions!$C60,'TRA balance'!$D$5:$D$40,Assumptions!$B60)*EG60*AP60,"")</f>
        <v>0</v>
      </c>
      <c r="CM60" s="34">
        <f ca="1">IFERROR(SUMIFS('TRA balance'!AN$5:AN$40,'TRA balance'!$C$5:$C$40,Assumptions!$C60,'TRA balance'!$D$5:$D$40,Assumptions!$B60)*EH60*AQ60,"")</f>
        <v>0</v>
      </c>
      <c r="CN60" s="34">
        <f ca="1">IFERROR(SUMIFS('TRA balance'!AO$5:AO$40,'TRA balance'!$C$5:$C$40,Assumptions!$C60,'TRA balance'!$D$5:$D$40,Assumptions!$B60)*EI60*AR60,"")</f>
        <v>0</v>
      </c>
      <c r="CO60" s="34">
        <f ca="1">IFERROR(SUMIFS('TRA balance'!AP$5:AP$40,'TRA balance'!$C$5:$C$40,Assumptions!$C60,'TRA balance'!$D$5:$D$40,Assumptions!$B60)*EJ60*AS60,"")</f>
        <v>0</v>
      </c>
      <c r="CP60" s="34">
        <f ca="1">IFERROR(SUMIFS('TRA balance'!AQ$5:AQ$40,'TRA balance'!$C$5:$C$40,Assumptions!$C60,'TRA balance'!$D$5:$D$40,Assumptions!$B60)*EK60*AT60,"")</f>
        <v>0</v>
      </c>
      <c r="CQ60" s="34">
        <f ca="1">IFERROR(SUMIFS('TRA balance'!AR$5:AR$40,'TRA balance'!$C$5:$C$40,Assumptions!$C60,'TRA balance'!$D$5:$D$40,Assumptions!$B60)*EL60*AU60,"")</f>
        <v>0</v>
      </c>
      <c r="CR60" s="34">
        <f ca="1">IFERROR(SUMIFS('TRA balance'!AS$5:AS$40,'TRA balance'!$C$5:$C$40,Assumptions!$C60,'TRA balance'!$D$5:$D$40,Assumptions!$B60)*EM60*AV60,"")</f>
        <v>0</v>
      </c>
      <c r="CS60" s="34">
        <f ca="1">IFERROR(SUMIFS('TRA balance'!AT$5:AT$40,'TRA balance'!$C$5:$C$40,Assumptions!$C60,'TRA balance'!$D$5:$D$40,Assumptions!$B60)*EN60*AW60,"")</f>
        <v>0</v>
      </c>
      <c r="CT60" s="34">
        <f ca="1">IFERROR(SUMIFS('TRA balance'!AU$5:AU$40,'TRA balance'!$C$5:$C$40,Assumptions!$C60,'TRA balance'!$D$5:$D$40,Assumptions!$B60)*EO60*AX60,"")</f>
        <v>0</v>
      </c>
      <c r="CU60" s="34">
        <f ca="1">IFERROR(SUMIFS('TRA balance'!AV$5:AV$40,'TRA balance'!$C$5:$C$40,Assumptions!$C60,'TRA balance'!$D$5:$D$40,Assumptions!$B60)*EP60*AY60,"")</f>
        <v>0</v>
      </c>
      <c r="CV60" s="34">
        <f ca="1">IFERROR(SUMIFS('TRA balance'!AW$5:AW$40,'TRA balance'!$C$5:$C$40,Assumptions!$C60,'TRA balance'!$D$5:$D$40,Assumptions!$B60)*EQ60*AZ60,"")</f>
        <v>0</v>
      </c>
      <c r="CW60" s="34">
        <f ca="1">IFERROR(SUMIFS('TRA balance'!AX$5:AX$40,'TRA balance'!$C$5:$C$40,Assumptions!$C60,'TRA balance'!$D$5:$D$40,Assumptions!$B60)*ER60*BA60,"")</f>
        <v>0</v>
      </c>
      <c r="CY60" s="33">
        <f t="shared" ca="1" si="66"/>
        <v>0.75</v>
      </c>
      <c r="CZ60" s="33">
        <f t="shared" ca="1" si="3"/>
        <v>0.75</v>
      </c>
      <c r="DA60" s="33">
        <f t="shared" ca="1" si="4"/>
        <v>0.75</v>
      </c>
      <c r="DB60" s="33">
        <f t="shared" ca="1" si="5"/>
        <v>0.31799999999999995</v>
      </c>
      <c r="DC60" s="33">
        <f t="shared" ca="1" si="6"/>
        <v>0.30000000000000004</v>
      </c>
      <c r="DD60" s="33">
        <f t="shared" ca="1" si="7"/>
        <v>0.31799999999999995</v>
      </c>
      <c r="DE60" s="33">
        <f t="shared" ca="1" si="8"/>
        <v>0.5</v>
      </c>
      <c r="DF60" s="33">
        <f t="shared" ca="1" si="9"/>
        <v>0.6</v>
      </c>
      <c r="DG60" s="33">
        <f t="shared" ca="1" si="10"/>
        <v>1</v>
      </c>
      <c r="DH60" s="33">
        <f t="shared" ca="1" si="11"/>
        <v>1</v>
      </c>
      <c r="DI60" s="33">
        <f t="shared" ca="1" si="12"/>
        <v>0.31799999999999995</v>
      </c>
      <c r="DJ60" s="33">
        <f t="shared" ca="1" si="13"/>
        <v>0.31799999999999995</v>
      </c>
      <c r="DK60" s="33">
        <f t="shared" ca="1" si="14"/>
        <v>0.31799999999999995</v>
      </c>
      <c r="DL60" s="33">
        <f t="shared" ca="1" si="15"/>
        <v>1</v>
      </c>
      <c r="DM60" s="33">
        <f t="shared" ca="1" si="16"/>
        <v>0.31799999999999995</v>
      </c>
      <c r="DN60" s="33">
        <f t="shared" ca="1" si="17"/>
        <v>0.75</v>
      </c>
      <c r="DO60" s="33">
        <f t="shared" ca="1" si="18"/>
        <v>0.31799999999999995</v>
      </c>
      <c r="DP60" s="33">
        <f t="shared" ca="1" si="19"/>
        <v>0.31799999999999995</v>
      </c>
      <c r="DQ60" s="33">
        <f t="shared" ca="1" si="20"/>
        <v>5.0000000000000044E-2</v>
      </c>
      <c r="DR60" s="33">
        <f t="shared" ca="1" si="21"/>
        <v>0.5</v>
      </c>
      <c r="DS60" s="33">
        <f t="shared" ca="1" si="22"/>
        <v>0.31799999999999995</v>
      </c>
      <c r="DT60" s="33">
        <f t="shared" ca="1" si="23"/>
        <v>2.0830205440209748E-2</v>
      </c>
      <c r="DU60" s="33">
        <f t="shared" ca="1" si="24"/>
        <v>0.31799999999999995</v>
      </c>
      <c r="DV60" s="33">
        <f t="shared" ca="1" si="25"/>
        <v>1</v>
      </c>
      <c r="DW60" s="33">
        <f t="shared" ca="1" si="26"/>
        <v>9.9999999999999978E-2</v>
      </c>
      <c r="DX60" s="33">
        <f t="shared" ca="1" si="27"/>
        <v>0.30000000000000004</v>
      </c>
      <c r="DY60" s="33">
        <f t="shared" ca="1" si="28"/>
        <v>0.31799999999999995</v>
      </c>
      <c r="DZ60" s="33">
        <f t="shared" ca="1" si="29"/>
        <v>0.75</v>
      </c>
      <c r="EA60" s="33">
        <f t="shared" ca="1" si="30"/>
        <v>0.31799999999999995</v>
      </c>
      <c r="EB60" s="33">
        <f t="shared" ca="1" si="31"/>
        <v>0.31799999999999995</v>
      </c>
      <c r="EC60" s="33">
        <f t="shared" ca="1" si="32"/>
        <v>0.31799999999999995</v>
      </c>
      <c r="ED60" s="33">
        <f t="shared" ca="1" si="33"/>
        <v>0.31799999999999995</v>
      </c>
      <c r="EE60" s="33">
        <f t="shared" ca="1" si="34"/>
        <v>0.31799999999999995</v>
      </c>
      <c r="EF60" s="33">
        <f t="shared" ca="1" si="35"/>
        <v>0.30000000000000004</v>
      </c>
      <c r="EG60" s="33">
        <f t="shared" ca="1" si="36"/>
        <v>1</v>
      </c>
      <c r="EH60" s="33">
        <f t="shared" ca="1" si="37"/>
        <v>2.0830205440209748E-2</v>
      </c>
      <c r="EI60" s="33">
        <f t="shared" ca="1" si="38"/>
        <v>2.0830205440209748E-2</v>
      </c>
      <c r="EJ60" s="33">
        <f t="shared" ca="1" si="39"/>
        <v>2.0830205440209748E-2</v>
      </c>
      <c r="EK60" s="33">
        <f t="shared" ca="1" si="40"/>
        <v>2.0830205440209748E-2</v>
      </c>
      <c r="EL60" s="33">
        <f t="shared" ca="1" si="41"/>
        <v>2.0830205440209748E-2</v>
      </c>
      <c r="EM60" s="33">
        <f t="shared" ca="1" si="42"/>
        <v>2.0830205440209748E-2</v>
      </c>
      <c r="EN60" s="33">
        <f t="shared" ca="1" si="43"/>
        <v>2.0830205440209748E-2</v>
      </c>
      <c r="EO60" s="33">
        <f t="shared" ca="1" si="44"/>
        <v>2.0830205440209748E-2</v>
      </c>
      <c r="EP60" s="33">
        <f t="shared" ca="1" si="45"/>
        <v>2.0830205440209748E-2</v>
      </c>
      <c r="EQ60" s="33">
        <f t="shared" ca="1" si="46"/>
        <v>2.0830205440209748E-2</v>
      </c>
      <c r="ER60" s="33">
        <f t="shared" ca="1" si="47"/>
        <v>2.0830205440209748E-2</v>
      </c>
    </row>
    <row r="61" spans="1:148">
      <c r="A61">
        <v>1</v>
      </c>
      <c r="B61" t="str">
        <f>VLOOKUP(F61,'TRA balance'!$BA$5:$BB$14,2,FALSE)</f>
        <v>TRANGA</v>
      </c>
      <c r="C61" s="11" t="str">
        <f t="shared" si="48"/>
        <v/>
      </c>
      <c r="D61" s="25"/>
      <c r="E61" s="12" t="s">
        <v>79</v>
      </c>
      <c r="F61" s="13" t="str">
        <f t="shared" si="82"/>
        <v>Natural Gas</v>
      </c>
      <c r="G61" s="11"/>
      <c r="H61" s="26" t="str">
        <f ca="1">IF(SUM(H57:H60)=1,"-","&lt;&gt;1!!")</f>
        <v>-</v>
      </c>
      <c r="I61" s="26" t="str">
        <f t="shared" ref="I61:BA61" ca="1" si="83">IF(SUM(I57:I60)=1,"-","&lt;&gt;1!!")</f>
        <v>-</v>
      </c>
      <c r="J61" s="26" t="str">
        <f t="shared" ca="1" si="83"/>
        <v>-</v>
      </c>
      <c r="K61" s="26" t="str">
        <f t="shared" ca="1" si="83"/>
        <v>-</v>
      </c>
      <c r="L61" s="26" t="str">
        <f t="shared" ca="1" si="83"/>
        <v>-</v>
      </c>
      <c r="M61" s="26" t="str">
        <f t="shared" ca="1" si="83"/>
        <v>-</v>
      </c>
      <c r="N61" s="26" t="str">
        <f t="shared" ca="1" si="83"/>
        <v>-</v>
      </c>
      <c r="O61" s="26" t="str">
        <f t="shared" ca="1" si="83"/>
        <v>-</v>
      </c>
      <c r="P61" s="26" t="str">
        <f t="shared" ca="1" si="83"/>
        <v>-</v>
      </c>
      <c r="Q61" s="26" t="str">
        <f t="shared" ca="1" si="83"/>
        <v>-</v>
      </c>
      <c r="R61" s="26" t="str">
        <f t="shared" ca="1" si="83"/>
        <v>-</v>
      </c>
      <c r="S61" s="26" t="str">
        <f t="shared" ca="1" si="83"/>
        <v>-</v>
      </c>
      <c r="T61" s="26" t="str">
        <f t="shared" ca="1" si="83"/>
        <v>-</v>
      </c>
      <c r="U61" s="26" t="str">
        <f t="shared" ca="1" si="83"/>
        <v>-</v>
      </c>
      <c r="V61" s="26" t="str">
        <f t="shared" ca="1" si="83"/>
        <v>-</v>
      </c>
      <c r="W61" s="26" t="str">
        <f t="shared" ca="1" si="83"/>
        <v>-</v>
      </c>
      <c r="X61" s="26" t="str">
        <f t="shared" ca="1" si="83"/>
        <v>-</v>
      </c>
      <c r="Y61" s="26" t="str">
        <f t="shared" ca="1" si="83"/>
        <v>-</v>
      </c>
      <c r="Z61" s="26" t="str">
        <f t="shared" ca="1" si="83"/>
        <v>-</v>
      </c>
      <c r="AA61" s="26" t="str">
        <f t="shared" ca="1" si="83"/>
        <v>-</v>
      </c>
      <c r="AB61" s="26" t="str">
        <f t="shared" ca="1" si="83"/>
        <v>-</v>
      </c>
      <c r="AC61" s="26" t="str">
        <f t="shared" ca="1" si="83"/>
        <v>-</v>
      </c>
      <c r="AD61" s="26" t="str">
        <f t="shared" ca="1" si="83"/>
        <v>-</v>
      </c>
      <c r="AE61" s="26" t="str">
        <f t="shared" ca="1" si="83"/>
        <v>-</v>
      </c>
      <c r="AF61" s="26" t="str">
        <f t="shared" ca="1" si="83"/>
        <v>-</v>
      </c>
      <c r="AG61" s="26" t="str">
        <f t="shared" ca="1" si="83"/>
        <v>-</v>
      </c>
      <c r="AH61" s="26" t="str">
        <f t="shared" ca="1" si="83"/>
        <v>-</v>
      </c>
      <c r="AI61" s="26" t="str">
        <f t="shared" ca="1" si="83"/>
        <v>-</v>
      </c>
      <c r="AJ61" s="26" t="str">
        <f t="shared" ca="1" si="83"/>
        <v>-</v>
      </c>
      <c r="AK61" s="26" t="str">
        <f t="shared" ca="1" si="83"/>
        <v>-</v>
      </c>
      <c r="AL61" s="26" t="str">
        <f t="shared" ca="1" si="83"/>
        <v>-</v>
      </c>
      <c r="AM61" s="26" t="str">
        <f t="shared" ca="1" si="83"/>
        <v>-</v>
      </c>
      <c r="AN61" s="26" t="str">
        <f t="shared" ca="1" si="83"/>
        <v>-</v>
      </c>
      <c r="AO61" s="26" t="str">
        <f t="shared" ca="1" si="83"/>
        <v>-</v>
      </c>
      <c r="AP61" s="26" t="str">
        <f t="shared" ca="1" si="83"/>
        <v>-</v>
      </c>
      <c r="AQ61" s="26" t="str">
        <f t="shared" ca="1" si="83"/>
        <v>-</v>
      </c>
      <c r="AR61" s="26" t="str">
        <f t="shared" ca="1" si="83"/>
        <v>-</v>
      </c>
      <c r="AS61" s="26" t="str">
        <f t="shared" ca="1" si="83"/>
        <v>-</v>
      </c>
      <c r="AT61" s="26" t="str">
        <f t="shared" ca="1" si="83"/>
        <v>-</v>
      </c>
      <c r="AU61" s="26" t="str">
        <f t="shared" ca="1" si="83"/>
        <v>-</v>
      </c>
      <c r="AV61" s="26" t="str">
        <f t="shared" ca="1" si="83"/>
        <v>-</v>
      </c>
      <c r="AW61" s="26" t="str">
        <f t="shared" ca="1" si="83"/>
        <v>-</v>
      </c>
      <c r="AX61" s="26" t="str">
        <f t="shared" ca="1" si="83"/>
        <v>-</v>
      </c>
      <c r="AY61" s="26" t="str">
        <f t="shared" ca="1" si="83"/>
        <v>-</v>
      </c>
      <c r="AZ61" s="26" t="str">
        <f t="shared" ca="1" si="83"/>
        <v>-</v>
      </c>
      <c r="BA61" s="26" t="str">
        <f t="shared" ca="1" si="83"/>
        <v>-</v>
      </c>
      <c r="BD61" s="34" t="str">
        <f ca="1">IFERROR(SUMIFS('TRA balance'!E$5:E$40,'TRA balance'!$C$5:$C$40,Assumptions!$C61,'TRA balance'!$D$5:$D$40,Assumptions!$B61)*CY61*H61,"")</f>
        <v/>
      </c>
      <c r="BE61" s="34" t="str">
        <f ca="1">IFERROR(SUMIFS('TRA balance'!F$5:F$40,'TRA balance'!$C$5:$C$40,Assumptions!$C61,'TRA balance'!$D$5:$D$40,Assumptions!$B61)*CZ61*I61,"")</f>
        <v/>
      </c>
      <c r="BF61" s="34" t="str">
        <f ca="1">IFERROR(SUMIFS('TRA balance'!G$5:G$40,'TRA balance'!$C$5:$C$40,Assumptions!$C61,'TRA balance'!$D$5:$D$40,Assumptions!$B61)*DA61*J61,"")</f>
        <v/>
      </c>
      <c r="BG61" s="34" t="str">
        <f ca="1">IFERROR(SUMIFS('TRA balance'!H$5:H$40,'TRA balance'!$C$5:$C$40,Assumptions!$C61,'TRA balance'!$D$5:$D$40,Assumptions!$B61)*DB61*K61,"")</f>
        <v/>
      </c>
      <c r="BH61" s="34" t="str">
        <f ca="1">IFERROR(SUMIFS('TRA balance'!I$5:I$40,'TRA balance'!$C$5:$C$40,Assumptions!$C61,'TRA balance'!$D$5:$D$40,Assumptions!$B61)*DC61*L61,"")</f>
        <v/>
      </c>
      <c r="BI61" s="34" t="str">
        <f ca="1">IFERROR(SUMIFS('TRA balance'!J$5:J$40,'TRA balance'!$C$5:$C$40,Assumptions!$C61,'TRA balance'!$D$5:$D$40,Assumptions!$B61)*DD61*M61,"")</f>
        <v/>
      </c>
      <c r="BJ61" s="34" t="str">
        <f ca="1">IFERROR(SUMIFS('TRA balance'!K$5:K$40,'TRA balance'!$C$5:$C$40,Assumptions!$C61,'TRA balance'!$D$5:$D$40,Assumptions!$B61)*DE61*N61,"")</f>
        <v/>
      </c>
      <c r="BK61" s="34" t="str">
        <f ca="1">IFERROR(SUMIFS('TRA balance'!L$5:L$40,'TRA balance'!$C$5:$C$40,Assumptions!$C61,'TRA balance'!$D$5:$D$40,Assumptions!$B61)*DF61*O61,"")</f>
        <v/>
      </c>
      <c r="BL61" s="34" t="str">
        <f ca="1">IFERROR(SUMIFS('TRA balance'!M$5:M$40,'TRA balance'!$C$5:$C$40,Assumptions!$C61,'TRA balance'!$D$5:$D$40,Assumptions!$B61)*DG61*P61,"")</f>
        <v/>
      </c>
      <c r="BM61" s="34" t="str">
        <f ca="1">IFERROR(SUMIFS('TRA balance'!N$5:N$40,'TRA balance'!$C$5:$C$40,Assumptions!$C61,'TRA balance'!$D$5:$D$40,Assumptions!$B61)*DH61*Q61,"")</f>
        <v/>
      </c>
      <c r="BN61" s="34" t="str">
        <f ca="1">IFERROR(SUMIFS('TRA balance'!O$5:O$40,'TRA balance'!$C$5:$C$40,Assumptions!$C61,'TRA balance'!$D$5:$D$40,Assumptions!$B61)*DI61*R61,"")</f>
        <v/>
      </c>
      <c r="BO61" s="34" t="str">
        <f ca="1">IFERROR(SUMIFS('TRA balance'!P$5:P$40,'TRA balance'!$C$5:$C$40,Assumptions!$C61,'TRA balance'!$D$5:$D$40,Assumptions!$B61)*DJ61*S61,"")</f>
        <v/>
      </c>
      <c r="BP61" s="34" t="str">
        <f ca="1">IFERROR(SUMIFS('TRA balance'!Q$5:Q$40,'TRA balance'!$C$5:$C$40,Assumptions!$C61,'TRA balance'!$D$5:$D$40,Assumptions!$B61)*DK61*T61,"")</f>
        <v/>
      </c>
      <c r="BQ61" s="34" t="str">
        <f ca="1">IFERROR(SUMIFS('TRA balance'!R$5:R$40,'TRA balance'!$C$5:$C$40,Assumptions!$C61,'TRA balance'!$D$5:$D$40,Assumptions!$B61)*DL61*U61,"")</f>
        <v/>
      </c>
      <c r="BR61" s="34" t="str">
        <f ca="1">IFERROR(SUMIFS('TRA balance'!S$5:S$40,'TRA balance'!$C$5:$C$40,Assumptions!$C61,'TRA balance'!$D$5:$D$40,Assumptions!$B61)*DM61*V61,"")</f>
        <v/>
      </c>
      <c r="BS61" s="34" t="str">
        <f ca="1">IFERROR(SUMIFS('TRA balance'!T$5:T$40,'TRA balance'!$C$5:$C$40,Assumptions!$C61,'TRA balance'!$D$5:$D$40,Assumptions!$B61)*DN61*W61,"")</f>
        <v/>
      </c>
      <c r="BT61" s="34" t="str">
        <f ca="1">IFERROR(SUMIFS('TRA balance'!U$5:U$40,'TRA balance'!$C$5:$C$40,Assumptions!$C61,'TRA balance'!$D$5:$D$40,Assumptions!$B61)*DO61*X61,"")</f>
        <v/>
      </c>
      <c r="BU61" s="34" t="str">
        <f ca="1">IFERROR(SUMIFS('TRA balance'!V$5:V$40,'TRA balance'!$C$5:$C$40,Assumptions!$C61,'TRA balance'!$D$5:$D$40,Assumptions!$B61)*DP61*Y61,"")</f>
        <v/>
      </c>
      <c r="BV61" s="34" t="str">
        <f ca="1">IFERROR(SUMIFS('TRA balance'!W$5:W$40,'TRA balance'!$C$5:$C$40,Assumptions!$C61,'TRA balance'!$D$5:$D$40,Assumptions!$B61)*DQ61*Z61,"")</f>
        <v/>
      </c>
      <c r="BW61" s="34" t="str">
        <f ca="1">IFERROR(SUMIFS('TRA balance'!X$5:X$40,'TRA balance'!$C$5:$C$40,Assumptions!$C61,'TRA balance'!$D$5:$D$40,Assumptions!$B61)*DR61*AA61,"")</f>
        <v/>
      </c>
      <c r="BX61" s="34" t="str">
        <f ca="1">IFERROR(SUMIFS('TRA balance'!Y$5:Y$40,'TRA balance'!$C$5:$C$40,Assumptions!$C61,'TRA balance'!$D$5:$D$40,Assumptions!$B61)*DS61*AB61,"")</f>
        <v/>
      </c>
      <c r="BY61" s="34" t="str">
        <f ca="1">IFERROR(SUMIFS('TRA balance'!Z$5:Z$40,'TRA balance'!$C$5:$C$40,Assumptions!$C61,'TRA balance'!$D$5:$D$40,Assumptions!$B61)*DT61*AC61,"")</f>
        <v/>
      </c>
      <c r="BZ61" s="34" t="str">
        <f ca="1">IFERROR(SUMIFS('TRA balance'!AA$5:AA$40,'TRA balance'!$C$5:$C$40,Assumptions!$C61,'TRA balance'!$D$5:$D$40,Assumptions!$B61)*DU61*AD61,"")</f>
        <v/>
      </c>
      <c r="CA61" s="34" t="str">
        <f ca="1">IFERROR(SUMIFS('TRA balance'!AB$5:AB$40,'TRA balance'!$C$5:$C$40,Assumptions!$C61,'TRA balance'!$D$5:$D$40,Assumptions!$B61)*DV61*AE61,"")</f>
        <v/>
      </c>
      <c r="CB61" s="34" t="str">
        <f ca="1">IFERROR(SUMIFS('TRA balance'!AC$5:AC$40,'TRA balance'!$C$5:$C$40,Assumptions!$C61,'TRA balance'!$D$5:$D$40,Assumptions!$B61)*DW61*AF61,"")</f>
        <v/>
      </c>
      <c r="CC61" s="34" t="str">
        <f ca="1">IFERROR(SUMIFS('TRA balance'!AD$5:AD$40,'TRA balance'!$C$5:$C$40,Assumptions!$C61,'TRA balance'!$D$5:$D$40,Assumptions!$B61)*DX61*AG61,"")</f>
        <v/>
      </c>
      <c r="CD61" s="34" t="str">
        <f ca="1">IFERROR(SUMIFS('TRA balance'!AE$5:AE$40,'TRA balance'!$C$5:$C$40,Assumptions!$C61,'TRA balance'!$D$5:$D$40,Assumptions!$B61)*DY61*AH61,"")</f>
        <v/>
      </c>
      <c r="CE61" s="34" t="str">
        <f ca="1">IFERROR(SUMIFS('TRA balance'!AF$5:AF$40,'TRA balance'!$C$5:$C$40,Assumptions!$C61,'TRA balance'!$D$5:$D$40,Assumptions!$B61)*DZ61*AI61,"")</f>
        <v/>
      </c>
      <c r="CF61" s="34" t="str">
        <f ca="1">IFERROR(SUMIFS('TRA balance'!AG$5:AG$40,'TRA balance'!$C$5:$C$40,Assumptions!$C61,'TRA balance'!$D$5:$D$40,Assumptions!$B61)*EA61*AJ61,"")</f>
        <v/>
      </c>
      <c r="CG61" s="34" t="str">
        <f ca="1">IFERROR(SUMIFS('TRA balance'!AH$5:AH$40,'TRA balance'!$C$5:$C$40,Assumptions!$C61,'TRA balance'!$D$5:$D$40,Assumptions!$B61)*EB61*AK61,"")</f>
        <v/>
      </c>
      <c r="CH61" s="34" t="str">
        <f ca="1">IFERROR(SUMIFS('TRA balance'!AI$5:AI$40,'TRA balance'!$C$5:$C$40,Assumptions!$C61,'TRA balance'!$D$5:$D$40,Assumptions!$B61)*EC61*AL61,"")</f>
        <v/>
      </c>
      <c r="CI61" s="34" t="str">
        <f ca="1">IFERROR(SUMIFS('TRA balance'!AJ$5:AJ$40,'TRA balance'!$C$5:$C$40,Assumptions!$C61,'TRA balance'!$D$5:$D$40,Assumptions!$B61)*ED61*AM61,"")</f>
        <v/>
      </c>
      <c r="CJ61" s="34" t="str">
        <f ca="1">IFERROR(SUMIFS('TRA balance'!AK$5:AK$40,'TRA balance'!$C$5:$C$40,Assumptions!$C61,'TRA balance'!$D$5:$D$40,Assumptions!$B61)*EE61*AN61,"")</f>
        <v/>
      </c>
      <c r="CK61" s="34" t="str">
        <f ca="1">IFERROR(SUMIFS('TRA balance'!AL$5:AL$40,'TRA balance'!$C$5:$C$40,Assumptions!$C61,'TRA balance'!$D$5:$D$40,Assumptions!$B61)*EF61*AO61,"")</f>
        <v/>
      </c>
      <c r="CL61" s="34" t="str">
        <f ca="1">IFERROR(SUMIFS('TRA balance'!AM$5:AM$40,'TRA balance'!$C$5:$C$40,Assumptions!$C61,'TRA balance'!$D$5:$D$40,Assumptions!$B61)*EG61*AP61,"")</f>
        <v/>
      </c>
      <c r="CM61" s="34" t="str">
        <f ca="1">IFERROR(SUMIFS('TRA balance'!AN$5:AN$40,'TRA balance'!$C$5:$C$40,Assumptions!$C61,'TRA balance'!$D$5:$D$40,Assumptions!$B61)*EH61*AQ61,"")</f>
        <v/>
      </c>
      <c r="CN61" s="34" t="str">
        <f ca="1">IFERROR(SUMIFS('TRA balance'!AO$5:AO$40,'TRA balance'!$C$5:$C$40,Assumptions!$C61,'TRA balance'!$D$5:$D$40,Assumptions!$B61)*EI61*AR61,"")</f>
        <v/>
      </c>
      <c r="CO61" s="34" t="str">
        <f ca="1">IFERROR(SUMIFS('TRA balance'!AP$5:AP$40,'TRA balance'!$C$5:$C$40,Assumptions!$C61,'TRA balance'!$D$5:$D$40,Assumptions!$B61)*EJ61*AS61,"")</f>
        <v/>
      </c>
      <c r="CP61" s="34" t="str">
        <f ca="1">IFERROR(SUMIFS('TRA balance'!AQ$5:AQ$40,'TRA balance'!$C$5:$C$40,Assumptions!$C61,'TRA balance'!$D$5:$D$40,Assumptions!$B61)*EK61*AT61,"")</f>
        <v/>
      </c>
      <c r="CQ61" s="34" t="str">
        <f ca="1">IFERROR(SUMIFS('TRA balance'!AR$5:AR$40,'TRA balance'!$C$5:$C$40,Assumptions!$C61,'TRA balance'!$D$5:$D$40,Assumptions!$B61)*EL61*AU61,"")</f>
        <v/>
      </c>
      <c r="CR61" s="34" t="str">
        <f ca="1">IFERROR(SUMIFS('TRA balance'!AS$5:AS$40,'TRA balance'!$C$5:$C$40,Assumptions!$C61,'TRA balance'!$D$5:$D$40,Assumptions!$B61)*EM61*AV61,"")</f>
        <v/>
      </c>
      <c r="CS61" s="34" t="str">
        <f ca="1">IFERROR(SUMIFS('TRA balance'!AT$5:AT$40,'TRA balance'!$C$5:$C$40,Assumptions!$C61,'TRA balance'!$D$5:$D$40,Assumptions!$B61)*EN61*AW61,"")</f>
        <v/>
      </c>
      <c r="CT61" s="34" t="str">
        <f ca="1">IFERROR(SUMIFS('TRA balance'!AU$5:AU$40,'TRA balance'!$C$5:$C$40,Assumptions!$C61,'TRA balance'!$D$5:$D$40,Assumptions!$B61)*EO61*AX61,"")</f>
        <v/>
      </c>
      <c r="CU61" s="34" t="str">
        <f ca="1">IFERROR(SUMIFS('TRA balance'!AV$5:AV$40,'TRA balance'!$C$5:$C$40,Assumptions!$C61,'TRA balance'!$D$5:$D$40,Assumptions!$B61)*EP61*AY61,"")</f>
        <v/>
      </c>
      <c r="CV61" s="34" t="str">
        <f ca="1">IFERROR(SUMIFS('TRA balance'!AW$5:AW$40,'TRA balance'!$C$5:$C$40,Assumptions!$C61,'TRA balance'!$D$5:$D$40,Assumptions!$B61)*EQ61*AZ61,"")</f>
        <v/>
      </c>
      <c r="CW61" s="34" t="str">
        <f ca="1">IFERROR(SUMIFS('TRA balance'!AX$5:AX$40,'TRA balance'!$C$5:$C$40,Assumptions!$C61,'TRA balance'!$D$5:$D$40,Assumptions!$B61)*ER61*BA61,"")</f>
        <v/>
      </c>
      <c r="CY61" s="33">
        <f t="shared" si="66"/>
        <v>1</v>
      </c>
      <c r="CZ61" s="33">
        <f t="shared" si="3"/>
        <v>1</v>
      </c>
      <c r="DA61" s="33">
        <f t="shared" si="4"/>
        <v>1</v>
      </c>
      <c r="DB61" s="33">
        <f t="shared" si="5"/>
        <v>1</v>
      </c>
      <c r="DC61" s="33">
        <f t="shared" si="6"/>
        <v>1</v>
      </c>
      <c r="DD61" s="33">
        <f t="shared" si="7"/>
        <v>1</v>
      </c>
      <c r="DE61" s="33">
        <f t="shared" si="8"/>
        <v>1</v>
      </c>
      <c r="DF61" s="33">
        <f t="shared" si="9"/>
        <v>1</v>
      </c>
      <c r="DG61" s="33">
        <f t="shared" si="10"/>
        <v>1</v>
      </c>
      <c r="DH61" s="33">
        <f t="shared" si="11"/>
        <v>1</v>
      </c>
      <c r="DI61" s="33">
        <f t="shared" si="12"/>
        <v>1</v>
      </c>
      <c r="DJ61" s="33">
        <f t="shared" si="13"/>
        <v>1</v>
      </c>
      <c r="DK61" s="33">
        <f t="shared" si="14"/>
        <v>1</v>
      </c>
      <c r="DL61" s="33">
        <f t="shared" si="15"/>
        <v>1</v>
      </c>
      <c r="DM61" s="33">
        <f t="shared" si="16"/>
        <v>1</v>
      </c>
      <c r="DN61" s="33">
        <f t="shared" si="17"/>
        <v>1</v>
      </c>
      <c r="DO61" s="33">
        <f t="shared" si="18"/>
        <v>1</v>
      </c>
      <c r="DP61" s="33">
        <f t="shared" si="19"/>
        <v>1</v>
      </c>
      <c r="DQ61" s="33">
        <f t="shared" si="20"/>
        <v>1</v>
      </c>
      <c r="DR61" s="33">
        <f t="shared" si="21"/>
        <v>1</v>
      </c>
      <c r="DS61" s="33">
        <f t="shared" si="22"/>
        <v>1</v>
      </c>
      <c r="DT61" s="33">
        <f t="shared" si="23"/>
        <v>1</v>
      </c>
      <c r="DU61" s="33">
        <f t="shared" si="24"/>
        <v>1</v>
      </c>
      <c r="DV61" s="33">
        <f t="shared" si="25"/>
        <v>1</v>
      </c>
      <c r="DW61" s="33">
        <f t="shared" si="26"/>
        <v>1</v>
      </c>
      <c r="DX61" s="33">
        <f t="shared" si="27"/>
        <v>1</v>
      </c>
      <c r="DY61" s="33">
        <f t="shared" si="28"/>
        <v>1</v>
      </c>
      <c r="DZ61" s="33">
        <f t="shared" si="29"/>
        <v>1</v>
      </c>
      <c r="EA61" s="33">
        <f t="shared" si="30"/>
        <v>1</v>
      </c>
      <c r="EB61" s="33">
        <f t="shared" si="31"/>
        <v>1</v>
      </c>
      <c r="EC61" s="33">
        <f t="shared" si="32"/>
        <v>1</v>
      </c>
      <c r="ED61" s="33">
        <f t="shared" si="33"/>
        <v>1</v>
      </c>
      <c r="EE61" s="33">
        <f t="shared" si="34"/>
        <v>1</v>
      </c>
      <c r="EF61" s="33">
        <f t="shared" si="35"/>
        <v>1</v>
      </c>
      <c r="EG61" s="33">
        <f t="shared" si="36"/>
        <v>1</v>
      </c>
      <c r="EH61" s="33">
        <f t="shared" si="37"/>
        <v>1</v>
      </c>
      <c r="EI61" s="33">
        <f t="shared" si="38"/>
        <v>1</v>
      </c>
      <c r="EJ61" s="33">
        <f t="shared" si="39"/>
        <v>1</v>
      </c>
      <c r="EK61" s="33">
        <f t="shared" si="40"/>
        <v>1</v>
      </c>
      <c r="EL61" s="33">
        <f t="shared" si="41"/>
        <v>1</v>
      </c>
      <c r="EM61" s="33">
        <f t="shared" si="42"/>
        <v>1</v>
      </c>
      <c r="EN61" s="33">
        <f t="shared" si="43"/>
        <v>1</v>
      </c>
      <c r="EO61" s="33">
        <f t="shared" si="44"/>
        <v>1</v>
      </c>
      <c r="EP61" s="33">
        <f t="shared" si="45"/>
        <v>1</v>
      </c>
      <c r="EQ61" s="33">
        <f t="shared" si="46"/>
        <v>1</v>
      </c>
      <c r="ER61" s="33">
        <f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14">
        <v>1</v>
      </c>
      <c r="D62" s="15" t="s">
        <v>16</v>
      </c>
      <c r="E62" s="15" t="s">
        <v>59</v>
      </c>
      <c r="F62" s="16" t="s">
        <v>84</v>
      </c>
      <c r="G62" s="14"/>
      <c r="H62" s="9">
        <f ca="1">OFFSET(TIAM15_assumptions!$G62,0,MATCH(VLOOKUP(Assumptions!H$2,TIAM15_assumptions!$Y$3:$Z$87,2,FALSE),TIAM15_assumptions!$H$2:$V$2,0))</f>
        <v>0.1</v>
      </c>
      <c r="I62" s="9">
        <f ca="1">OFFSET(TIAM15_assumptions!$G62,0,MATCH(VLOOKUP(Assumptions!I$2,TIAM15_assumptions!$Y$3:$Z$87,2,FALSE),TIAM15_assumptions!$H$2:$V$2,0))</f>
        <v>0.1</v>
      </c>
      <c r="J62" s="9">
        <f ca="1">OFFSET(TIAM15_assumptions!$G62,0,MATCH(VLOOKUP(Assumptions!J$2,TIAM15_assumptions!$Y$3:$Z$87,2,FALSE),TIAM15_assumptions!$H$2:$V$2,0))</f>
        <v>0.02</v>
      </c>
      <c r="K62" s="9">
        <f ca="1">OFFSET(TIAM15_assumptions!$G62,0,MATCH(VLOOKUP(Assumptions!K$2,TIAM15_assumptions!$Y$3:$Z$87,2,FALSE),TIAM15_assumptions!$H$2:$V$2,0))</f>
        <v>0.2</v>
      </c>
      <c r="L62" s="9">
        <f ca="1">OFFSET(TIAM15_assumptions!$G62,0,MATCH(VLOOKUP(Assumptions!L$2,TIAM15_assumptions!$Y$3:$Z$87,2,FALSE),TIAM15_assumptions!$H$2:$V$2,0))</f>
        <v>0.05</v>
      </c>
      <c r="M62" s="9">
        <f ca="1">OFFSET(TIAM15_assumptions!$G62,0,MATCH(VLOOKUP(Assumptions!M$2,TIAM15_assumptions!$Y$3:$Z$87,2,FALSE),TIAM15_assumptions!$H$2:$V$2,0))</f>
        <v>0.2</v>
      </c>
      <c r="N62" s="9">
        <f ca="1">OFFSET(TIAM15_assumptions!$G62,0,MATCH(VLOOKUP(Assumptions!N$2,TIAM15_assumptions!$Y$3:$Z$87,2,FALSE),TIAM15_assumptions!$H$2:$V$2,0))</f>
        <v>7.0000000000000007E-2</v>
      </c>
      <c r="O62" s="9">
        <f ca="1">OFFSET(TIAM15_assumptions!$G62,0,MATCH(VLOOKUP(Assumptions!O$2,TIAM15_assumptions!$Y$3:$Z$87,2,FALSE),TIAM15_assumptions!$H$2:$V$2,0))</f>
        <v>0.1</v>
      </c>
      <c r="P62" s="9">
        <f ca="1">OFFSET(TIAM15_assumptions!$G62,0,MATCH(VLOOKUP(Assumptions!P$2,TIAM15_assumptions!$Y$3:$Z$87,2,FALSE),TIAM15_assumptions!$H$2:$V$2,0))</f>
        <v>0.2</v>
      </c>
      <c r="Q62" s="9">
        <f ca="1">OFFSET(TIAM15_assumptions!$G62,0,MATCH(VLOOKUP(Assumptions!Q$2,TIAM15_assumptions!$Y$3:$Z$87,2,FALSE),TIAM15_assumptions!$H$2:$V$2,0))</f>
        <v>0.2</v>
      </c>
      <c r="R62" s="9">
        <f ca="1">OFFSET(TIAM15_assumptions!$G62,0,MATCH(VLOOKUP(Assumptions!R$2,TIAM15_assumptions!$Y$3:$Z$87,2,FALSE),TIAM15_assumptions!$H$2:$V$2,0))</f>
        <v>0.2</v>
      </c>
      <c r="S62" s="9">
        <f ca="1">OFFSET(TIAM15_assumptions!$G62,0,MATCH(VLOOKUP(Assumptions!S$2,TIAM15_assumptions!$Y$3:$Z$87,2,FALSE),TIAM15_assumptions!$H$2:$V$2,0))</f>
        <v>0.2</v>
      </c>
      <c r="T62" s="9">
        <f ca="1">OFFSET(TIAM15_assumptions!$G62,0,MATCH(VLOOKUP(Assumptions!T$2,TIAM15_assumptions!$Y$3:$Z$87,2,FALSE),TIAM15_assumptions!$H$2:$V$2,0))</f>
        <v>0.2</v>
      </c>
      <c r="U62" s="9">
        <f ca="1">OFFSET(TIAM15_assumptions!$G62,0,MATCH(VLOOKUP(Assumptions!U$2,TIAM15_assumptions!$Y$3:$Z$87,2,FALSE),TIAM15_assumptions!$H$2:$V$2,0))</f>
        <v>0.2</v>
      </c>
      <c r="V62" s="9">
        <f ca="1">OFFSET(TIAM15_assumptions!$G62,0,MATCH(VLOOKUP(Assumptions!V$2,TIAM15_assumptions!$Y$3:$Z$87,2,FALSE),TIAM15_assumptions!$H$2:$V$2,0))</f>
        <v>0.2</v>
      </c>
      <c r="W62" s="9">
        <f ca="1">OFFSET(TIAM15_assumptions!$G62,0,MATCH(VLOOKUP(Assumptions!W$2,TIAM15_assumptions!$Y$3:$Z$87,2,FALSE),TIAM15_assumptions!$H$2:$V$2,0))</f>
        <v>0.25</v>
      </c>
      <c r="X62" s="9">
        <f ca="1">OFFSET(TIAM15_assumptions!$G62,0,MATCH(VLOOKUP(Assumptions!X$2,TIAM15_assumptions!$Y$3:$Z$87,2,FALSE),TIAM15_assumptions!$H$2:$V$2,0))</f>
        <v>0.2</v>
      </c>
      <c r="Y62" s="9">
        <f ca="1">OFFSET(TIAM15_assumptions!$G62,0,MATCH(VLOOKUP(Assumptions!Y$2,TIAM15_assumptions!$Y$3:$Z$87,2,FALSE),TIAM15_assumptions!$H$2:$V$2,0))</f>
        <v>0.2</v>
      </c>
      <c r="Z62" s="9">
        <f ca="1">OFFSET(TIAM15_assumptions!$G62,0,MATCH(VLOOKUP(Assumptions!Z$2,TIAM15_assumptions!$Y$3:$Z$87,2,FALSE),TIAM15_assumptions!$H$2:$V$2,0))</f>
        <v>0.05</v>
      </c>
      <c r="AA62" s="9">
        <f ca="1">OFFSET(TIAM15_assumptions!$G62,0,MATCH(VLOOKUP(Assumptions!AA$2,TIAM15_assumptions!$Y$3:$Z$87,2,FALSE),TIAM15_assumptions!$H$2:$V$2,0))</f>
        <v>7.0000000000000007E-2</v>
      </c>
      <c r="AB62" s="9">
        <f ca="1">OFFSET(TIAM15_assumptions!$G62,0,MATCH(VLOOKUP(Assumptions!AB$2,TIAM15_assumptions!$Y$3:$Z$87,2,FALSE),TIAM15_assumptions!$H$2:$V$2,0))</f>
        <v>0.1</v>
      </c>
      <c r="AC62" s="9">
        <f ca="1">OFFSET(TIAM15_assumptions!$G62,0,MATCH(VLOOKUP(Assumptions!AC$2,TIAM15_assumptions!$Y$3:$Z$87,2,FALSE),TIAM15_assumptions!$H$2:$V$2,0))</f>
        <v>2.4406421822616497E-2</v>
      </c>
      <c r="AD62" s="9">
        <f ca="1">OFFSET(TIAM15_assumptions!$G62,0,MATCH(VLOOKUP(Assumptions!AD$2,TIAM15_assumptions!$Y$3:$Z$87,2,FALSE),TIAM15_assumptions!$H$2:$V$2,0))</f>
        <v>0.2</v>
      </c>
      <c r="AE62" s="9">
        <f ca="1">OFFSET(TIAM15_assumptions!$G62,0,MATCH(VLOOKUP(Assumptions!AE$2,TIAM15_assumptions!$Y$3:$Z$87,2,FALSE),TIAM15_assumptions!$H$2:$V$2,0))</f>
        <v>0.2</v>
      </c>
      <c r="AF62" s="9">
        <f ca="1">OFFSET(TIAM15_assumptions!$G62,0,MATCH(VLOOKUP(Assumptions!AF$2,TIAM15_assumptions!$Y$3:$Z$87,2,FALSE),TIAM15_assumptions!$H$2:$V$2,0))</f>
        <v>0.08</v>
      </c>
      <c r="AG62" s="9">
        <f ca="1">OFFSET(TIAM15_assumptions!$G62,0,MATCH(VLOOKUP(Assumptions!AG$2,TIAM15_assumptions!$Y$3:$Z$87,2,FALSE),TIAM15_assumptions!$H$2:$V$2,0))</f>
        <v>0.05</v>
      </c>
      <c r="AH62" s="9">
        <f ca="1">OFFSET(TIAM15_assumptions!$G62,0,MATCH(VLOOKUP(Assumptions!AH$2,TIAM15_assumptions!$Y$3:$Z$87,2,FALSE),TIAM15_assumptions!$H$2:$V$2,0))</f>
        <v>0.1</v>
      </c>
      <c r="AI62" s="9">
        <f ca="1">OFFSET(TIAM15_assumptions!$G62,0,MATCH(VLOOKUP(Assumptions!AI$2,TIAM15_assumptions!$Y$3:$Z$87,2,FALSE),TIAM15_assumptions!$H$2:$V$2,0))</f>
        <v>0.1</v>
      </c>
      <c r="AJ62" s="9">
        <f ca="1">OFFSET(TIAM15_assumptions!$G62,0,MATCH(VLOOKUP(Assumptions!AJ$2,TIAM15_assumptions!$Y$3:$Z$87,2,FALSE),TIAM15_assumptions!$H$2:$V$2,0))</f>
        <v>0.2</v>
      </c>
      <c r="AK62" s="9">
        <f ca="1">OFFSET(TIAM15_assumptions!$G62,0,MATCH(VLOOKUP(Assumptions!AK$2,TIAM15_assumptions!$Y$3:$Z$87,2,FALSE),TIAM15_assumptions!$H$2:$V$2,0))</f>
        <v>0.2</v>
      </c>
      <c r="AL62" s="9">
        <f ca="1">OFFSET(TIAM15_assumptions!$G62,0,MATCH(VLOOKUP(Assumptions!AL$2,TIAM15_assumptions!$Y$3:$Z$87,2,FALSE),TIAM15_assumptions!$H$2:$V$2,0))</f>
        <v>0.2</v>
      </c>
      <c r="AM62" s="9">
        <f ca="1">OFFSET(TIAM15_assumptions!$G62,0,MATCH(VLOOKUP(Assumptions!AM$2,TIAM15_assumptions!$Y$3:$Z$87,2,FALSE),TIAM15_assumptions!$H$2:$V$2,0))</f>
        <v>0.1</v>
      </c>
      <c r="AN62" s="9">
        <f ca="1">OFFSET(TIAM15_assumptions!$G62,0,MATCH(VLOOKUP(Assumptions!AN$2,TIAM15_assumptions!$Y$3:$Z$87,2,FALSE),TIAM15_assumptions!$H$2:$V$2,0))</f>
        <v>0.2</v>
      </c>
      <c r="AO62" s="9">
        <f ca="1">OFFSET(TIAM15_assumptions!$G62,0,MATCH(VLOOKUP(Assumptions!AO$2,TIAM15_assumptions!$Y$3:$Z$87,2,FALSE),TIAM15_assumptions!$H$2:$V$2,0))</f>
        <v>0.05</v>
      </c>
      <c r="AP62" s="9">
        <f ca="1">OFFSET(TIAM15_assumptions!$G62,0,MATCH(VLOOKUP(Assumptions!AP$2,TIAM15_assumptions!$Y$3:$Z$87,2,FALSE),TIAM15_assumptions!$H$2:$V$2,0))</f>
        <v>0.2</v>
      </c>
      <c r="AQ62" s="9">
        <f ca="1">OFFSET(TIAM15_assumptions!$G62,0,MATCH(VLOOKUP(Assumptions!AQ$2,TIAM15_assumptions!$Y$3:$Z$87,2,FALSE),TIAM15_assumptions!$H$2:$V$2,0))</f>
        <v>2.4406421822616497E-2</v>
      </c>
      <c r="AR62" s="9">
        <f ca="1">OFFSET(TIAM15_assumptions!$G62,0,MATCH(VLOOKUP(Assumptions!AR$2,TIAM15_assumptions!$Y$3:$Z$87,2,FALSE),TIAM15_assumptions!$H$2:$V$2,0))</f>
        <v>2.4406421822616497E-2</v>
      </c>
      <c r="AS62" s="9">
        <f ca="1">OFFSET(TIAM15_assumptions!$G62,0,MATCH(VLOOKUP(Assumptions!AS$2,TIAM15_assumptions!$Y$3:$Z$87,2,FALSE),TIAM15_assumptions!$H$2:$V$2,0))</f>
        <v>2.4406421822616497E-2</v>
      </c>
      <c r="AT62" s="9">
        <f ca="1">OFFSET(TIAM15_assumptions!$G62,0,MATCH(VLOOKUP(Assumptions!AT$2,TIAM15_assumptions!$Y$3:$Z$87,2,FALSE),TIAM15_assumptions!$H$2:$V$2,0))</f>
        <v>2.4406421822616497E-2</v>
      </c>
      <c r="AU62" s="9">
        <f ca="1">OFFSET(TIAM15_assumptions!$G62,0,MATCH(VLOOKUP(Assumptions!AU$2,TIAM15_assumptions!$Y$3:$Z$87,2,FALSE),TIAM15_assumptions!$H$2:$V$2,0))</f>
        <v>2.4406421822616497E-2</v>
      </c>
      <c r="AV62" s="9">
        <f ca="1">OFFSET(TIAM15_assumptions!$G62,0,MATCH(VLOOKUP(Assumptions!AV$2,TIAM15_assumptions!$Y$3:$Z$87,2,FALSE),TIAM15_assumptions!$H$2:$V$2,0))</f>
        <v>2.4406421822616497E-2</v>
      </c>
      <c r="AW62" s="9">
        <f ca="1">OFFSET(TIAM15_assumptions!$G62,0,MATCH(VLOOKUP(Assumptions!AW$2,TIAM15_assumptions!$Y$3:$Z$87,2,FALSE),TIAM15_assumptions!$H$2:$V$2,0))</f>
        <v>2.4406421822616497E-2</v>
      </c>
      <c r="AX62" s="9">
        <f ca="1">OFFSET(TIAM15_assumptions!$G62,0,MATCH(VLOOKUP(Assumptions!AX$2,TIAM15_assumptions!$Y$3:$Z$87,2,FALSE),TIAM15_assumptions!$H$2:$V$2,0))</f>
        <v>2.4406421822616497E-2</v>
      </c>
      <c r="AY62" s="9">
        <f ca="1">OFFSET(TIAM15_assumptions!$G62,0,MATCH(VLOOKUP(Assumptions!AY$2,TIAM15_assumptions!$Y$3:$Z$87,2,FALSE),TIAM15_assumptions!$H$2:$V$2,0))</f>
        <v>2.4406421822616497E-2</v>
      </c>
      <c r="AZ62" s="9">
        <f ca="1">OFFSET(TIAM15_assumptions!$G62,0,MATCH(VLOOKUP(Assumptions!AZ$2,TIAM15_assumptions!$Y$3:$Z$87,2,FALSE),TIAM15_assumptions!$H$2:$V$2,0))</f>
        <v>2.4406421822616497E-2</v>
      </c>
      <c r="BA62" s="9">
        <f ca="1">OFFSET(TIAM15_assumptions!$G62,0,MATCH(VLOOKUP(Assumptions!BA$2,TIAM15_assumptions!$Y$3:$Z$87,2,FALSE),TIAM15_assumptions!$H$2:$V$2,0))</f>
        <v>2.4406421822616497E-2</v>
      </c>
      <c r="BD62" s="34">
        <f ca="1">IFERROR(SUMIFS('TRA balance'!E$5:E$40,'TRA balance'!$C$5:$C$40,Assumptions!$C62,'TRA balance'!$D$5:$D$40,Assumptions!$B62)*CY62*H62,"")</f>
        <v>0</v>
      </c>
      <c r="BE62" s="34">
        <f ca="1">IFERROR(SUMIFS('TRA balance'!F$5:F$40,'TRA balance'!$C$5:$C$40,Assumptions!$C62,'TRA balance'!$D$5:$D$40,Assumptions!$B62)*CZ62*I62,"")</f>
        <v>0</v>
      </c>
      <c r="BF62" s="34">
        <f ca="1">IFERROR(SUMIFS('TRA balance'!G$5:G$40,'TRA balance'!$C$5:$C$40,Assumptions!$C62,'TRA balance'!$D$5:$D$40,Assumptions!$B62)*DA62*J62,"")</f>
        <v>0</v>
      </c>
      <c r="BG62" s="34">
        <f ca="1">IFERROR(SUMIFS('TRA balance'!H$5:H$40,'TRA balance'!$C$5:$C$40,Assumptions!$C62,'TRA balance'!$D$5:$D$40,Assumptions!$B62)*DB62*K62,"")</f>
        <v>0</v>
      </c>
      <c r="BH62" s="34">
        <f ca="1">IFERROR(SUMIFS('TRA balance'!I$5:I$40,'TRA balance'!$C$5:$C$40,Assumptions!$C62,'TRA balance'!$D$5:$D$40,Assumptions!$B62)*DC62*L62,"")</f>
        <v>0</v>
      </c>
      <c r="BI62" s="34">
        <f ca="1">IFERROR(SUMIFS('TRA balance'!J$5:J$40,'TRA balance'!$C$5:$C$40,Assumptions!$C62,'TRA balance'!$D$5:$D$40,Assumptions!$B62)*DD62*M62,"")</f>
        <v>0</v>
      </c>
      <c r="BJ62" s="34">
        <f ca="1">IFERROR(SUMIFS('TRA balance'!K$5:K$40,'TRA balance'!$C$5:$C$40,Assumptions!$C62,'TRA balance'!$D$5:$D$40,Assumptions!$B62)*DE62*N62,"")</f>
        <v>0</v>
      </c>
      <c r="BK62" s="34">
        <f ca="1">IFERROR(SUMIFS('TRA balance'!L$5:L$40,'TRA balance'!$C$5:$C$40,Assumptions!$C62,'TRA balance'!$D$5:$D$40,Assumptions!$B62)*DF62*O62,"")</f>
        <v>0</v>
      </c>
      <c r="BL62" s="34">
        <f ca="1">IFERROR(SUMIFS('TRA balance'!M$5:M$40,'TRA balance'!$C$5:$C$40,Assumptions!$C62,'TRA balance'!$D$5:$D$40,Assumptions!$B62)*DG62*P62,"")</f>
        <v>0</v>
      </c>
      <c r="BM62" s="34">
        <f ca="1">IFERROR(SUMIFS('TRA balance'!N$5:N$40,'TRA balance'!$C$5:$C$40,Assumptions!$C62,'TRA balance'!$D$5:$D$40,Assumptions!$B62)*DH62*Q62,"")</f>
        <v>0</v>
      </c>
      <c r="BN62" s="34">
        <f ca="1">IFERROR(SUMIFS('TRA balance'!O$5:O$40,'TRA balance'!$C$5:$C$40,Assumptions!$C62,'TRA balance'!$D$5:$D$40,Assumptions!$B62)*DI62*R62,"")</f>
        <v>0</v>
      </c>
      <c r="BO62" s="34">
        <f ca="1">IFERROR(SUMIFS('TRA balance'!P$5:P$40,'TRA balance'!$C$5:$C$40,Assumptions!$C62,'TRA balance'!$D$5:$D$40,Assumptions!$B62)*DJ62*S62,"")</f>
        <v>0</v>
      </c>
      <c r="BP62" s="34">
        <f ca="1">IFERROR(SUMIFS('TRA balance'!Q$5:Q$40,'TRA balance'!$C$5:$C$40,Assumptions!$C62,'TRA balance'!$D$5:$D$40,Assumptions!$B62)*DK62*T62,"")</f>
        <v>0</v>
      </c>
      <c r="BQ62" s="34">
        <f ca="1">IFERROR(SUMIFS('TRA balance'!R$5:R$40,'TRA balance'!$C$5:$C$40,Assumptions!$C62,'TRA balance'!$D$5:$D$40,Assumptions!$B62)*DL62*U62,"")</f>
        <v>0</v>
      </c>
      <c r="BR62" s="34">
        <f ca="1">IFERROR(SUMIFS('TRA balance'!S$5:S$40,'TRA balance'!$C$5:$C$40,Assumptions!$C62,'TRA balance'!$D$5:$D$40,Assumptions!$B62)*DM62*V62,"")</f>
        <v>0</v>
      </c>
      <c r="BS62" s="34">
        <f ca="1">IFERROR(SUMIFS('TRA balance'!T$5:T$40,'TRA balance'!$C$5:$C$40,Assumptions!$C62,'TRA balance'!$D$5:$D$40,Assumptions!$B62)*DN62*W62,"")</f>
        <v>0</v>
      </c>
      <c r="BT62" s="34">
        <f ca="1">IFERROR(SUMIFS('TRA balance'!U$5:U$40,'TRA balance'!$C$5:$C$40,Assumptions!$C62,'TRA balance'!$D$5:$D$40,Assumptions!$B62)*DO62*X62,"")</f>
        <v>0</v>
      </c>
      <c r="BU62" s="34">
        <f ca="1">IFERROR(SUMIFS('TRA balance'!V$5:V$40,'TRA balance'!$C$5:$C$40,Assumptions!$C62,'TRA balance'!$D$5:$D$40,Assumptions!$B62)*DP62*Y62,"")</f>
        <v>0</v>
      </c>
      <c r="BV62" s="34">
        <f ca="1">IFERROR(SUMIFS('TRA balance'!W$5:W$40,'TRA balance'!$C$5:$C$40,Assumptions!$C62,'TRA balance'!$D$5:$D$40,Assumptions!$B62)*DQ62*Z62,"")</f>
        <v>0</v>
      </c>
      <c r="BW62" s="34">
        <f ca="1">IFERROR(SUMIFS('TRA balance'!X$5:X$40,'TRA balance'!$C$5:$C$40,Assumptions!$C62,'TRA balance'!$D$5:$D$40,Assumptions!$B62)*DR62*AA62,"")</f>
        <v>0</v>
      </c>
      <c r="BX62" s="34">
        <f ca="1">IFERROR(SUMIFS('TRA balance'!Y$5:Y$40,'TRA balance'!$C$5:$C$40,Assumptions!$C62,'TRA balance'!$D$5:$D$40,Assumptions!$B62)*DS62*AB62,"")</f>
        <v>0</v>
      </c>
      <c r="BY62" s="34">
        <f ca="1">IFERROR(SUMIFS('TRA balance'!Z$5:Z$40,'TRA balance'!$C$5:$C$40,Assumptions!$C62,'TRA balance'!$D$5:$D$40,Assumptions!$B62)*DT62*AC62,"")</f>
        <v>0</v>
      </c>
      <c r="BZ62" s="34">
        <f ca="1">IFERROR(SUMIFS('TRA balance'!AA$5:AA$40,'TRA balance'!$C$5:$C$40,Assumptions!$C62,'TRA balance'!$D$5:$D$40,Assumptions!$B62)*DU62*AD62,"")</f>
        <v>0</v>
      </c>
      <c r="CA62" s="34">
        <f ca="1">IFERROR(SUMIFS('TRA balance'!AB$5:AB$40,'TRA balance'!$C$5:$C$40,Assumptions!$C62,'TRA balance'!$D$5:$D$40,Assumptions!$B62)*DV62*AE62,"")</f>
        <v>0</v>
      </c>
      <c r="CB62" s="34">
        <f ca="1">IFERROR(SUMIFS('TRA balance'!AC$5:AC$40,'TRA balance'!$C$5:$C$40,Assumptions!$C62,'TRA balance'!$D$5:$D$40,Assumptions!$B62)*DW62*AF62,"")</f>
        <v>0</v>
      </c>
      <c r="CC62" s="34">
        <f ca="1">IFERROR(SUMIFS('TRA balance'!AD$5:AD$40,'TRA balance'!$C$5:$C$40,Assumptions!$C62,'TRA balance'!$D$5:$D$40,Assumptions!$B62)*DX62*AG62,"")</f>
        <v>0</v>
      </c>
      <c r="CD62" s="34">
        <f ca="1">IFERROR(SUMIFS('TRA balance'!AE$5:AE$40,'TRA balance'!$C$5:$C$40,Assumptions!$C62,'TRA balance'!$D$5:$D$40,Assumptions!$B62)*DY62*AH62,"")</f>
        <v>0</v>
      </c>
      <c r="CE62" s="34">
        <f ca="1">IFERROR(SUMIFS('TRA balance'!AF$5:AF$40,'TRA balance'!$C$5:$C$40,Assumptions!$C62,'TRA balance'!$D$5:$D$40,Assumptions!$B62)*DZ62*AI62,"")</f>
        <v>0</v>
      </c>
      <c r="CF62" s="34">
        <f ca="1">IFERROR(SUMIFS('TRA balance'!AG$5:AG$40,'TRA balance'!$C$5:$C$40,Assumptions!$C62,'TRA balance'!$D$5:$D$40,Assumptions!$B62)*EA62*AJ62,"")</f>
        <v>0</v>
      </c>
      <c r="CG62" s="34">
        <f ca="1">IFERROR(SUMIFS('TRA balance'!AH$5:AH$40,'TRA balance'!$C$5:$C$40,Assumptions!$C62,'TRA balance'!$D$5:$D$40,Assumptions!$B62)*EB62*AK62,"")</f>
        <v>0</v>
      </c>
      <c r="CH62" s="34">
        <f ca="1">IFERROR(SUMIFS('TRA balance'!AI$5:AI$40,'TRA balance'!$C$5:$C$40,Assumptions!$C62,'TRA balance'!$D$5:$D$40,Assumptions!$B62)*EC62*AL62,"")</f>
        <v>0</v>
      </c>
      <c r="CI62" s="34">
        <f ca="1">IFERROR(SUMIFS('TRA balance'!AJ$5:AJ$40,'TRA balance'!$C$5:$C$40,Assumptions!$C62,'TRA balance'!$D$5:$D$40,Assumptions!$B62)*ED62*AM62,"")</f>
        <v>0</v>
      </c>
      <c r="CJ62" s="34">
        <f ca="1">IFERROR(SUMIFS('TRA balance'!AK$5:AK$40,'TRA balance'!$C$5:$C$40,Assumptions!$C62,'TRA balance'!$D$5:$D$40,Assumptions!$B62)*EE62*AN62,"")</f>
        <v>0</v>
      </c>
      <c r="CK62" s="34">
        <f ca="1">IFERROR(SUMIFS('TRA balance'!AL$5:AL$40,'TRA balance'!$C$5:$C$40,Assumptions!$C62,'TRA balance'!$D$5:$D$40,Assumptions!$B62)*EF62*AO62,"")</f>
        <v>0</v>
      </c>
      <c r="CL62" s="34">
        <f ca="1">IFERROR(SUMIFS('TRA balance'!AM$5:AM$40,'TRA balance'!$C$5:$C$40,Assumptions!$C62,'TRA balance'!$D$5:$D$40,Assumptions!$B62)*EG62*AP62,"")</f>
        <v>0</v>
      </c>
      <c r="CM62" s="34">
        <f ca="1">IFERROR(SUMIFS('TRA balance'!AN$5:AN$40,'TRA balance'!$C$5:$C$40,Assumptions!$C62,'TRA balance'!$D$5:$D$40,Assumptions!$B62)*EH62*AQ62,"")</f>
        <v>0</v>
      </c>
      <c r="CN62" s="34">
        <f ca="1">IFERROR(SUMIFS('TRA balance'!AO$5:AO$40,'TRA balance'!$C$5:$C$40,Assumptions!$C62,'TRA balance'!$D$5:$D$40,Assumptions!$B62)*EI62*AR62,"")</f>
        <v>0</v>
      </c>
      <c r="CO62" s="34">
        <f ca="1">IFERROR(SUMIFS('TRA balance'!AP$5:AP$40,'TRA balance'!$C$5:$C$40,Assumptions!$C62,'TRA balance'!$D$5:$D$40,Assumptions!$B62)*EJ62*AS62,"")</f>
        <v>0</v>
      </c>
      <c r="CP62" s="34">
        <f ca="1">IFERROR(SUMIFS('TRA balance'!AQ$5:AQ$40,'TRA balance'!$C$5:$C$40,Assumptions!$C62,'TRA balance'!$D$5:$D$40,Assumptions!$B62)*EK62*AT62,"")</f>
        <v>0</v>
      </c>
      <c r="CQ62" s="34">
        <f ca="1">IFERROR(SUMIFS('TRA balance'!AR$5:AR$40,'TRA balance'!$C$5:$C$40,Assumptions!$C62,'TRA balance'!$D$5:$D$40,Assumptions!$B62)*EL62*AU62,"")</f>
        <v>0</v>
      </c>
      <c r="CR62" s="34">
        <f ca="1">IFERROR(SUMIFS('TRA balance'!AS$5:AS$40,'TRA balance'!$C$5:$C$40,Assumptions!$C62,'TRA balance'!$D$5:$D$40,Assumptions!$B62)*EM62*AV62,"")</f>
        <v>0</v>
      </c>
      <c r="CS62" s="34">
        <f ca="1">IFERROR(SUMIFS('TRA balance'!AT$5:AT$40,'TRA balance'!$C$5:$C$40,Assumptions!$C62,'TRA balance'!$D$5:$D$40,Assumptions!$B62)*EN62*AW62,"")</f>
        <v>0</v>
      </c>
      <c r="CT62" s="34">
        <f ca="1">IFERROR(SUMIFS('TRA balance'!AU$5:AU$40,'TRA balance'!$C$5:$C$40,Assumptions!$C62,'TRA balance'!$D$5:$D$40,Assumptions!$B62)*EO62*AX62,"")</f>
        <v>0</v>
      </c>
      <c r="CU62" s="34">
        <f ca="1">IFERROR(SUMIFS('TRA balance'!AV$5:AV$40,'TRA balance'!$C$5:$C$40,Assumptions!$C62,'TRA balance'!$D$5:$D$40,Assumptions!$B62)*EP62*AY62,"")</f>
        <v>0</v>
      </c>
      <c r="CV62" s="34">
        <f ca="1">IFERROR(SUMIFS('TRA balance'!AW$5:AW$40,'TRA balance'!$C$5:$C$40,Assumptions!$C62,'TRA balance'!$D$5:$D$40,Assumptions!$B62)*EQ62*AZ62,"")</f>
        <v>0</v>
      </c>
      <c r="CW62" s="34">
        <f ca="1">IFERROR(SUMIFS('TRA balance'!AX$5:AX$40,'TRA balance'!$C$5:$C$40,Assumptions!$C62,'TRA balance'!$D$5:$D$40,Assumptions!$B62)*ER62*BA62,"")</f>
        <v>0</v>
      </c>
      <c r="CY62" s="33">
        <f t="shared" si="66"/>
        <v>1</v>
      </c>
      <c r="CZ62" s="33">
        <f t="shared" si="3"/>
        <v>1</v>
      </c>
      <c r="DA62" s="33">
        <f t="shared" si="4"/>
        <v>1</v>
      </c>
      <c r="DB62" s="33">
        <f t="shared" si="5"/>
        <v>1</v>
      </c>
      <c r="DC62" s="33">
        <f t="shared" si="6"/>
        <v>1</v>
      </c>
      <c r="DD62" s="33">
        <f t="shared" si="7"/>
        <v>1</v>
      </c>
      <c r="DE62" s="33">
        <f t="shared" si="8"/>
        <v>1</v>
      </c>
      <c r="DF62" s="33">
        <f t="shared" si="9"/>
        <v>1</v>
      </c>
      <c r="DG62" s="33">
        <f t="shared" si="10"/>
        <v>1</v>
      </c>
      <c r="DH62" s="33">
        <f t="shared" si="11"/>
        <v>1</v>
      </c>
      <c r="DI62" s="33">
        <f t="shared" si="12"/>
        <v>1</v>
      </c>
      <c r="DJ62" s="33">
        <f t="shared" si="13"/>
        <v>1</v>
      </c>
      <c r="DK62" s="33">
        <f t="shared" si="14"/>
        <v>1</v>
      </c>
      <c r="DL62" s="33">
        <f t="shared" si="15"/>
        <v>1</v>
      </c>
      <c r="DM62" s="33">
        <f t="shared" si="16"/>
        <v>1</v>
      </c>
      <c r="DN62" s="33">
        <f t="shared" si="17"/>
        <v>1</v>
      </c>
      <c r="DO62" s="33">
        <f t="shared" si="18"/>
        <v>1</v>
      </c>
      <c r="DP62" s="33">
        <f t="shared" si="19"/>
        <v>1</v>
      </c>
      <c r="DQ62" s="33">
        <f t="shared" si="20"/>
        <v>1</v>
      </c>
      <c r="DR62" s="33">
        <f t="shared" si="21"/>
        <v>1</v>
      </c>
      <c r="DS62" s="33">
        <f t="shared" si="22"/>
        <v>1</v>
      </c>
      <c r="DT62" s="33">
        <f t="shared" si="23"/>
        <v>1</v>
      </c>
      <c r="DU62" s="33">
        <f t="shared" si="24"/>
        <v>1</v>
      </c>
      <c r="DV62" s="33">
        <f t="shared" si="25"/>
        <v>1</v>
      </c>
      <c r="DW62" s="33">
        <f t="shared" si="26"/>
        <v>1</v>
      </c>
      <c r="DX62" s="33">
        <f t="shared" si="27"/>
        <v>1</v>
      </c>
      <c r="DY62" s="33">
        <f t="shared" si="28"/>
        <v>1</v>
      </c>
      <c r="DZ62" s="33">
        <f t="shared" si="29"/>
        <v>1</v>
      </c>
      <c r="EA62" s="33">
        <f t="shared" si="30"/>
        <v>1</v>
      </c>
      <c r="EB62" s="33">
        <f t="shared" si="31"/>
        <v>1</v>
      </c>
      <c r="EC62" s="33">
        <f t="shared" si="32"/>
        <v>1</v>
      </c>
      <c r="ED62" s="33">
        <f t="shared" si="33"/>
        <v>1</v>
      </c>
      <c r="EE62" s="33">
        <f t="shared" si="34"/>
        <v>1</v>
      </c>
      <c r="EF62" s="33">
        <f t="shared" si="35"/>
        <v>1</v>
      </c>
      <c r="EG62" s="33">
        <f t="shared" si="36"/>
        <v>1</v>
      </c>
      <c r="EH62" s="33">
        <f t="shared" si="37"/>
        <v>1</v>
      </c>
      <c r="EI62" s="33">
        <f t="shared" si="38"/>
        <v>1</v>
      </c>
      <c r="EJ62" s="33">
        <f t="shared" si="39"/>
        <v>1</v>
      </c>
      <c r="EK62" s="33">
        <f t="shared" si="40"/>
        <v>1</v>
      </c>
      <c r="EL62" s="33">
        <f t="shared" si="41"/>
        <v>1</v>
      </c>
      <c r="EM62" s="33">
        <f t="shared" si="42"/>
        <v>1</v>
      </c>
      <c r="EN62" s="33">
        <f t="shared" si="43"/>
        <v>1</v>
      </c>
      <c r="EO62" s="33">
        <f t="shared" si="44"/>
        <v>1</v>
      </c>
      <c r="EP62" s="33">
        <f t="shared" si="45"/>
        <v>1</v>
      </c>
      <c r="EQ62" s="33">
        <f t="shared" si="46"/>
        <v>1</v>
      </c>
      <c r="ER62" s="33">
        <f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6" t="str">
        <f t="shared" si="48"/>
        <v>TR</v>
      </c>
      <c r="D63" s="7" t="s">
        <v>16</v>
      </c>
      <c r="E63" s="18" t="s">
        <v>61</v>
      </c>
      <c r="F63" s="8" t="str">
        <f>F62</f>
        <v>Bio Diesel</v>
      </c>
      <c r="G63" s="6" t="s">
        <v>62</v>
      </c>
      <c r="H63" s="9">
        <f ca="1">OFFSET(TIAM15_assumptions!$G63,0,MATCH(VLOOKUP(Assumptions!H$2,TIAM15_assumptions!$Y$3:$Z$87,2,FALSE),TIAM15_assumptions!$H$2:$V$2,0))</f>
        <v>0.5</v>
      </c>
      <c r="I63" s="9">
        <f ca="1">OFFSET(TIAM15_assumptions!$G63,0,MATCH(VLOOKUP(Assumptions!I$2,TIAM15_assumptions!$Y$3:$Z$87,2,FALSE),TIAM15_assumptions!$H$2:$V$2,0))</f>
        <v>0.5</v>
      </c>
      <c r="J63" s="9">
        <f ca="1">OFFSET(TIAM15_assumptions!$G63,0,MATCH(VLOOKUP(Assumptions!J$2,TIAM15_assumptions!$Y$3:$Z$87,2,FALSE),TIAM15_assumptions!$H$2:$V$2,0))</f>
        <v>0.3</v>
      </c>
      <c r="K63" s="9">
        <f ca="1">OFFSET(TIAM15_assumptions!$G63,0,MATCH(VLOOKUP(Assumptions!K$2,TIAM15_assumptions!$Y$3:$Z$87,2,FALSE),TIAM15_assumptions!$H$2:$V$2,0))</f>
        <v>0.8</v>
      </c>
      <c r="L63" s="9">
        <f ca="1">OFFSET(TIAM15_assumptions!$G63,0,MATCH(VLOOKUP(Assumptions!L$2,TIAM15_assumptions!$Y$3:$Z$87,2,FALSE),TIAM15_assumptions!$H$2:$V$2,0))</f>
        <v>0.51</v>
      </c>
      <c r="M63" s="9">
        <f ca="1">OFFSET(TIAM15_assumptions!$G63,0,MATCH(VLOOKUP(Assumptions!M$2,TIAM15_assumptions!$Y$3:$Z$87,2,FALSE),TIAM15_assumptions!$H$2:$V$2,0))</f>
        <v>0.8</v>
      </c>
      <c r="N63" s="9">
        <f ca="1">OFFSET(TIAM15_assumptions!$G63,0,MATCH(VLOOKUP(Assumptions!N$2,TIAM15_assumptions!$Y$3:$Z$87,2,FALSE),TIAM15_assumptions!$H$2:$V$2,0))</f>
        <v>0.3</v>
      </c>
      <c r="O63" s="9">
        <f ca="1">OFFSET(TIAM15_assumptions!$G63,0,MATCH(VLOOKUP(Assumptions!O$2,TIAM15_assumptions!$Y$3:$Z$87,2,FALSE),TIAM15_assumptions!$H$2:$V$2,0))</f>
        <v>0.2</v>
      </c>
      <c r="P63" s="9">
        <f ca="1">OFFSET(TIAM15_assumptions!$G63,0,MATCH(VLOOKUP(Assumptions!P$2,TIAM15_assumptions!$Y$3:$Z$87,2,FALSE),TIAM15_assumptions!$H$2:$V$2,0))</f>
        <v>0.51</v>
      </c>
      <c r="Q63" s="9">
        <f ca="1">OFFSET(TIAM15_assumptions!$G63,0,MATCH(VLOOKUP(Assumptions!Q$2,TIAM15_assumptions!$Y$3:$Z$87,2,FALSE),TIAM15_assumptions!$H$2:$V$2,0))</f>
        <v>0.51</v>
      </c>
      <c r="R63" s="9">
        <f ca="1">OFFSET(TIAM15_assumptions!$G63,0,MATCH(VLOOKUP(Assumptions!R$2,TIAM15_assumptions!$Y$3:$Z$87,2,FALSE),TIAM15_assumptions!$H$2:$V$2,0))</f>
        <v>0.8</v>
      </c>
      <c r="S63" s="9">
        <f ca="1">OFFSET(TIAM15_assumptions!$G63,0,MATCH(VLOOKUP(Assumptions!S$2,TIAM15_assumptions!$Y$3:$Z$87,2,FALSE),TIAM15_assumptions!$H$2:$V$2,0))</f>
        <v>0.8</v>
      </c>
      <c r="T63" s="9">
        <f ca="1">OFFSET(TIAM15_assumptions!$G63,0,MATCH(VLOOKUP(Assumptions!T$2,TIAM15_assumptions!$Y$3:$Z$87,2,FALSE),TIAM15_assumptions!$H$2:$V$2,0))</f>
        <v>0.8</v>
      </c>
      <c r="U63" s="9">
        <f ca="1">OFFSET(TIAM15_assumptions!$G63,0,MATCH(VLOOKUP(Assumptions!U$2,TIAM15_assumptions!$Y$3:$Z$87,2,FALSE),TIAM15_assumptions!$H$2:$V$2,0))</f>
        <v>0.51</v>
      </c>
      <c r="V63" s="9">
        <f ca="1">OFFSET(TIAM15_assumptions!$G63,0,MATCH(VLOOKUP(Assumptions!V$2,TIAM15_assumptions!$Y$3:$Z$87,2,FALSE),TIAM15_assumptions!$H$2:$V$2,0))</f>
        <v>0.8</v>
      </c>
      <c r="W63" s="9">
        <f ca="1">OFFSET(TIAM15_assumptions!$G63,0,MATCH(VLOOKUP(Assumptions!W$2,TIAM15_assumptions!$Y$3:$Z$87,2,FALSE),TIAM15_assumptions!$H$2:$V$2,0))</f>
        <v>0.4</v>
      </c>
      <c r="X63" s="9">
        <f ca="1">OFFSET(TIAM15_assumptions!$G63,0,MATCH(VLOOKUP(Assumptions!X$2,TIAM15_assumptions!$Y$3:$Z$87,2,FALSE),TIAM15_assumptions!$H$2:$V$2,0))</f>
        <v>0.8</v>
      </c>
      <c r="Y63" s="9">
        <f ca="1">OFFSET(TIAM15_assumptions!$G63,0,MATCH(VLOOKUP(Assumptions!Y$2,TIAM15_assumptions!$Y$3:$Z$87,2,FALSE),TIAM15_assumptions!$H$2:$V$2,0))</f>
        <v>0.8</v>
      </c>
      <c r="Z63" s="9">
        <f ca="1">OFFSET(TIAM15_assumptions!$G63,0,MATCH(VLOOKUP(Assumptions!Z$2,TIAM15_assumptions!$Y$3:$Z$87,2,FALSE),TIAM15_assumptions!$H$2:$V$2,0))</f>
        <v>0.46</v>
      </c>
      <c r="AA63" s="9">
        <f ca="1">OFFSET(TIAM15_assumptions!$G63,0,MATCH(VLOOKUP(Assumptions!AA$2,TIAM15_assumptions!$Y$3:$Z$87,2,FALSE),TIAM15_assumptions!$H$2:$V$2,0))</f>
        <v>0.3</v>
      </c>
      <c r="AB63" s="9">
        <f ca="1">OFFSET(TIAM15_assumptions!$G63,0,MATCH(VLOOKUP(Assumptions!AB$2,TIAM15_assumptions!$Y$3:$Z$87,2,FALSE),TIAM15_assumptions!$H$2:$V$2,0))</f>
        <v>0.2</v>
      </c>
      <c r="AC63" s="9">
        <f ca="1">OFFSET(TIAM15_assumptions!$G63,0,MATCH(VLOOKUP(Assumptions!AC$2,TIAM15_assumptions!$Y$3:$Z$87,2,FALSE),TIAM15_assumptions!$H$2:$V$2,0))</f>
        <v>0.39173710207873419</v>
      </c>
      <c r="AD63" s="9">
        <f ca="1">OFFSET(TIAM15_assumptions!$G63,0,MATCH(VLOOKUP(Assumptions!AD$2,TIAM15_assumptions!$Y$3:$Z$87,2,FALSE),TIAM15_assumptions!$H$2:$V$2,0))</f>
        <v>0.8</v>
      </c>
      <c r="AE63" s="9">
        <f ca="1">OFFSET(TIAM15_assumptions!$G63,0,MATCH(VLOOKUP(Assumptions!AE$2,TIAM15_assumptions!$Y$3:$Z$87,2,FALSE),TIAM15_assumptions!$H$2:$V$2,0))</f>
        <v>0.51</v>
      </c>
      <c r="AF63" s="9">
        <f ca="1">OFFSET(TIAM15_assumptions!$G63,0,MATCH(VLOOKUP(Assumptions!AF$2,TIAM15_assumptions!$Y$3:$Z$87,2,FALSE),TIAM15_assumptions!$H$2:$V$2,0))</f>
        <v>0.34</v>
      </c>
      <c r="AG63" s="9">
        <f ca="1">OFFSET(TIAM15_assumptions!$G63,0,MATCH(VLOOKUP(Assumptions!AG$2,TIAM15_assumptions!$Y$3:$Z$87,2,FALSE),TIAM15_assumptions!$H$2:$V$2,0))</f>
        <v>0.51</v>
      </c>
      <c r="AH63" s="9">
        <f ca="1">OFFSET(TIAM15_assumptions!$G63,0,MATCH(VLOOKUP(Assumptions!AH$2,TIAM15_assumptions!$Y$3:$Z$87,2,FALSE),TIAM15_assumptions!$H$2:$V$2,0))</f>
        <v>0.2</v>
      </c>
      <c r="AI63" s="9">
        <f ca="1">OFFSET(TIAM15_assumptions!$G63,0,MATCH(VLOOKUP(Assumptions!AI$2,TIAM15_assumptions!$Y$3:$Z$87,2,FALSE),TIAM15_assumptions!$H$2:$V$2,0))</f>
        <v>0.5</v>
      </c>
      <c r="AJ63" s="9">
        <f ca="1">OFFSET(TIAM15_assumptions!$G63,0,MATCH(VLOOKUP(Assumptions!AJ$2,TIAM15_assumptions!$Y$3:$Z$87,2,FALSE),TIAM15_assumptions!$H$2:$V$2,0))</f>
        <v>0.8</v>
      </c>
      <c r="AK63" s="9">
        <f ca="1">OFFSET(TIAM15_assumptions!$G63,0,MATCH(VLOOKUP(Assumptions!AK$2,TIAM15_assumptions!$Y$3:$Z$87,2,FALSE),TIAM15_assumptions!$H$2:$V$2,0))</f>
        <v>0.8</v>
      </c>
      <c r="AL63" s="9">
        <f ca="1">OFFSET(TIAM15_assumptions!$G63,0,MATCH(VLOOKUP(Assumptions!AL$2,TIAM15_assumptions!$Y$3:$Z$87,2,FALSE),TIAM15_assumptions!$H$2:$V$2,0))</f>
        <v>0.8</v>
      </c>
      <c r="AM63" s="9">
        <f ca="1">OFFSET(TIAM15_assumptions!$G63,0,MATCH(VLOOKUP(Assumptions!AM$2,TIAM15_assumptions!$Y$3:$Z$87,2,FALSE),TIAM15_assumptions!$H$2:$V$2,0))</f>
        <v>0.2</v>
      </c>
      <c r="AN63" s="9">
        <f ca="1">OFFSET(TIAM15_assumptions!$G63,0,MATCH(VLOOKUP(Assumptions!AN$2,TIAM15_assumptions!$Y$3:$Z$87,2,FALSE),TIAM15_assumptions!$H$2:$V$2,0))</f>
        <v>0.8</v>
      </c>
      <c r="AO63" s="9">
        <f ca="1">OFFSET(TIAM15_assumptions!$G63,0,MATCH(VLOOKUP(Assumptions!AO$2,TIAM15_assumptions!$Y$3:$Z$87,2,FALSE),TIAM15_assumptions!$H$2:$V$2,0))</f>
        <v>0.51</v>
      </c>
      <c r="AP63" s="9">
        <f ca="1">OFFSET(TIAM15_assumptions!$G63,0,MATCH(VLOOKUP(Assumptions!AP$2,TIAM15_assumptions!$Y$3:$Z$87,2,FALSE),TIAM15_assumptions!$H$2:$V$2,0))</f>
        <v>0.51</v>
      </c>
      <c r="AQ63" s="9">
        <f ca="1">OFFSET(TIAM15_assumptions!$G63,0,MATCH(VLOOKUP(Assumptions!AQ$2,TIAM15_assumptions!$Y$3:$Z$87,2,FALSE),TIAM15_assumptions!$H$2:$V$2,0))</f>
        <v>0.39173710207873419</v>
      </c>
      <c r="AR63" s="9">
        <f ca="1">OFFSET(TIAM15_assumptions!$G63,0,MATCH(VLOOKUP(Assumptions!AR$2,TIAM15_assumptions!$Y$3:$Z$87,2,FALSE),TIAM15_assumptions!$H$2:$V$2,0))</f>
        <v>0.39173710207873419</v>
      </c>
      <c r="AS63" s="9">
        <f ca="1">OFFSET(TIAM15_assumptions!$G63,0,MATCH(VLOOKUP(Assumptions!AS$2,TIAM15_assumptions!$Y$3:$Z$87,2,FALSE),TIAM15_assumptions!$H$2:$V$2,0))</f>
        <v>0.39173710207873419</v>
      </c>
      <c r="AT63" s="9">
        <f ca="1">OFFSET(TIAM15_assumptions!$G63,0,MATCH(VLOOKUP(Assumptions!AT$2,TIAM15_assumptions!$Y$3:$Z$87,2,FALSE),TIAM15_assumptions!$H$2:$V$2,0))</f>
        <v>0.39173710207873419</v>
      </c>
      <c r="AU63" s="9">
        <f ca="1">OFFSET(TIAM15_assumptions!$G63,0,MATCH(VLOOKUP(Assumptions!AU$2,TIAM15_assumptions!$Y$3:$Z$87,2,FALSE),TIAM15_assumptions!$H$2:$V$2,0))</f>
        <v>0.39173710207873419</v>
      </c>
      <c r="AV63" s="9">
        <f ca="1">OFFSET(TIAM15_assumptions!$G63,0,MATCH(VLOOKUP(Assumptions!AV$2,TIAM15_assumptions!$Y$3:$Z$87,2,FALSE),TIAM15_assumptions!$H$2:$V$2,0))</f>
        <v>0.39173710207873419</v>
      </c>
      <c r="AW63" s="9">
        <f ca="1">OFFSET(TIAM15_assumptions!$G63,0,MATCH(VLOOKUP(Assumptions!AW$2,TIAM15_assumptions!$Y$3:$Z$87,2,FALSE),TIAM15_assumptions!$H$2:$V$2,0))</f>
        <v>0.39173710207873419</v>
      </c>
      <c r="AX63" s="9">
        <f ca="1">OFFSET(TIAM15_assumptions!$G63,0,MATCH(VLOOKUP(Assumptions!AX$2,TIAM15_assumptions!$Y$3:$Z$87,2,FALSE),TIAM15_assumptions!$H$2:$V$2,0))</f>
        <v>0.39173710207873419</v>
      </c>
      <c r="AY63" s="9">
        <f ca="1">OFFSET(TIAM15_assumptions!$G63,0,MATCH(VLOOKUP(Assumptions!AY$2,TIAM15_assumptions!$Y$3:$Z$87,2,FALSE),TIAM15_assumptions!$H$2:$V$2,0))</f>
        <v>0.39173710207873419</v>
      </c>
      <c r="AZ63" s="9">
        <f ca="1">OFFSET(TIAM15_assumptions!$G63,0,MATCH(VLOOKUP(Assumptions!AZ$2,TIAM15_assumptions!$Y$3:$Z$87,2,FALSE),TIAM15_assumptions!$H$2:$V$2,0))</f>
        <v>0.39173710207873419</v>
      </c>
      <c r="BA63" s="9">
        <f ca="1">OFFSET(TIAM15_assumptions!$G63,0,MATCH(VLOOKUP(Assumptions!BA$2,TIAM15_assumptions!$Y$3:$Z$87,2,FALSE),TIAM15_assumptions!$H$2:$V$2,0))</f>
        <v>0.39173710207873419</v>
      </c>
      <c r="BD63" s="34">
        <f ca="1">IFERROR(SUMIFS('TRA balance'!E$5:E$40,'TRA balance'!$C$5:$C$40,Assumptions!$C63,'TRA balance'!$D$5:$D$40,Assumptions!$B63)*CY63*H63,"")</f>
        <v>0</v>
      </c>
      <c r="BE63" s="34">
        <f ca="1">IFERROR(SUMIFS('TRA balance'!F$5:F$40,'TRA balance'!$C$5:$C$40,Assumptions!$C63,'TRA balance'!$D$5:$D$40,Assumptions!$B63)*CZ63*I63,"")</f>
        <v>0</v>
      </c>
      <c r="BF63" s="34">
        <f ca="1">IFERROR(SUMIFS('TRA balance'!G$5:G$40,'TRA balance'!$C$5:$C$40,Assumptions!$C63,'TRA balance'!$D$5:$D$40,Assumptions!$B63)*DA63*J63,"")</f>
        <v>2.2081183199999999E-4</v>
      </c>
      <c r="BG63" s="34">
        <f ca="1">IFERROR(SUMIFS('TRA balance'!H$5:H$40,'TRA balance'!$C$5:$C$40,Assumptions!$C63,'TRA balance'!$D$5:$D$40,Assumptions!$B63)*DB63*K63,"")</f>
        <v>2.8519168619520006</v>
      </c>
      <c r="BH63" s="34">
        <f ca="1">IFERROR(SUMIFS('TRA balance'!I$5:I$40,'TRA balance'!$C$5:$C$40,Assumptions!$C63,'TRA balance'!$D$5:$D$40,Assumptions!$B63)*DC63*L63,"")</f>
        <v>0.11687517514080002</v>
      </c>
      <c r="BI63" s="34">
        <f ca="1">IFERROR(SUMIFS('TRA balance'!J$5:J$40,'TRA balance'!$C$5:$C$40,Assumptions!$C63,'TRA balance'!$D$5:$D$40,Assumptions!$B63)*DD63*M63,"")</f>
        <v>5.9087852876160012</v>
      </c>
      <c r="BJ63" s="34">
        <f ca="1">IFERROR(SUMIFS('TRA balance'!K$5:K$40,'TRA balance'!$C$5:$C$40,Assumptions!$C63,'TRA balance'!$D$5:$D$40,Assumptions!$B63)*DE63*N63,"")</f>
        <v>13.671628410232801</v>
      </c>
      <c r="BK63" s="34">
        <f ca="1">IFERROR(SUMIFS('TRA balance'!L$5:L$40,'TRA balance'!$C$5:$C$40,Assumptions!$C63,'TRA balance'!$D$5:$D$40,Assumptions!$B63)*DF63*O63,"")</f>
        <v>0.75808001124000013</v>
      </c>
      <c r="BL63" s="34">
        <f ca="1">IFERROR(SUMIFS('TRA balance'!M$5:M$40,'TRA balance'!$C$5:$C$40,Assumptions!$C63,'TRA balance'!$D$5:$D$40,Assumptions!$B63)*DG63*P63,"")</f>
        <v>0.65109616784640001</v>
      </c>
      <c r="BM63" s="34">
        <f ca="1">IFERROR(SUMIFS('TRA balance'!N$5:N$40,'TRA balance'!$C$5:$C$40,Assumptions!$C63,'TRA balance'!$D$5:$D$40,Assumptions!$B63)*DH63*Q63,"")</f>
        <v>1.7064446898816004</v>
      </c>
      <c r="BN63" s="34">
        <f ca="1">IFERROR(SUMIFS('TRA balance'!O$5:O$40,'TRA balance'!$C$5:$C$40,Assumptions!$C63,'TRA balance'!$D$5:$D$40,Assumptions!$B63)*DI63*R63,"")</f>
        <v>16.912520989632004</v>
      </c>
      <c r="BO63" s="34">
        <f ca="1">IFERROR(SUMIFS('TRA balance'!P$5:P$40,'TRA balance'!$C$5:$C$40,Assumptions!$C63,'TRA balance'!$D$5:$D$40,Assumptions!$B63)*DJ63*S63,"")</f>
        <v>12.655022349888</v>
      </c>
      <c r="BP63" s="34">
        <f ca="1">IFERROR(SUMIFS('TRA balance'!Q$5:Q$40,'TRA balance'!$C$5:$C$40,Assumptions!$C63,'TRA balance'!$D$5:$D$40,Assumptions!$B63)*DK63*T63,"")</f>
        <v>1.1465173313280002</v>
      </c>
      <c r="BQ63" s="34">
        <f ca="1">IFERROR(SUMIFS('TRA balance'!R$5:R$40,'TRA balance'!$C$5:$C$40,Assumptions!$C63,'TRA balance'!$D$5:$D$40,Assumptions!$B63)*DL63*U63,"")</f>
        <v>2.6429873274504003</v>
      </c>
      <c r="BR63" s="34">
        <f ca="1">IFERROR(SUMIFS('TRA balance'!S$5:S$40,'TRA balance'!$C$5:$C$40,Assumptions!$C63,'TRA balance'!$D$5:$D$40,Assumptions!$B63)*DM63*V63,"")</f>
        <v>0.10382929056000001</v>
      </c>
      <c r="BS63" s="34">
        <f ca="1">IFERROR(SUMIFS('TRA balance'!T$5:T$40,'TRA balance'!$C$5:$C$40,Assumptions!$C63,'TRA balance'!$D$5:$D$40,Assumptions!$B63)*DN63*W63,"")</f>
        <v>0.16369383168000001</v>
      </c>
      <c r="BT63" s="34">
        <f ca="1">IFERROR(SUMIFS('TRA balance'!U$5:U$40,'TRA balance'!$C$5:$C$40,Assumptions!$C63,'TRA balance'!$D$5:$D$40,Assumptions!$B63)*DO63*X63,"")</f>
        <v>1.0850912812800002</v>
      </c>
      <c r="BU63" s="34">
        <f ca="1">IFERROR(SUMIFS('TRA balance'!V$5:V$40,'TRA balance'!$C$5:$C$40,Assumptions!$C63,'TRA balance'!$D$5:$D$40,Assumptions!$B63)*DP63*Y63,"")</f>
        <v>8.4174850327680009</v>
      </c>
      <c r="BV63" s="34">
        <f ca="1">IFERROR(SUMIFS('TRA balance'!W$5:W$40,'TRA balance'!$C$5:$C$40,Assumptions!$C63,'TRA balance'!$D$5:$D$40,Assumptions!$B63)*DQ63*Z63,"")</f>
        <v>1.1942679528000003E-2</v>
      </c>
      <c r="BW63" s="34">
        <f ca="1">IFERROR(SUMIFS('TRA balance'!X$5:X$40,'TRA balance'!$C$5:$C$40,Assumptions!$C63,'TRA balance'!$D$5:$D$40,Assumptions!$B63)*DR63*AA63,"")</f>
        <v>1.5595340939892</v>
      </c>
      <c r="BX63" s="34">
        <f ca="1">IFERROR(SUMIFS('TRA balance'!Y$5:Y$40,'TRA balance'!$C$5:$C$40,Assumptions!$C63,'TRA balance'!$D$5:$D$40,Assumptions!$B63)*DS63*AB63,"")</f>
        <v>0</v>
      </c>
      <c r="BY63" s="34">
        <f ca="1">IFERROR(SUMIFS('TRA balance'!Z$5:Z$40,'TRA balance'!$C$5:$C$40,Assumptions!$C63,'TRA balance'!$D$5:$D$40,Assumptions!$B63)*DT63*AC63,"")</f>
        <v>1.9527129703291271</v>
      </c>
      <c r="BZ63" s="34">
        <f ca="1">IFERROR(SUMIFS('TRA balance'!AA$5:AA$40,'TRA balance'!$C$5:$C$40,Assumptions!$C63,'TRA balance'!$D$5:$D$40,Assumptions!$B63)*DU63*AD63,"")</f>
        <v>2.8068039244800005</v>
      </c>
      <c r="CA63" s="34">
        <f ca="1">IFERROR(SUMIFS('TRA balance'!AB$5:AB$40,'TRA balance'!$C$5:$C$40,Assumptions!$C63,'TRA balance'!$D$5:$D$40,Assumptions!$B63)*DV63*AE63,"")</f>
        <v>3.5777935650816004</v>
      </c>
      <c r="CB63" s="34">
        <f ca="1">IFERROR(SUMIFS('TRA balance'!AC$5:AC$40,'TRA balance'!$C$5:$C$40,Assumptions!$C63,'TRA balance'!$D$5:$D$40,Assumptions!$B63)*DW63*AF63,"")</f>
        <v>7.7537568940876804</v>
      </c>
      <c r="CC63" s="34">
        <f ca="1">IFERROR(SUMIFS('TRA balance'!AD$5:AD$40,'TRA balance'!$C$5:$C$40,Assumptions!$C63,'TRA balance'!$D$5:$D$40,Assumptions!$B63)*DX63*AG63,"")</f>
        <v>1.8360101898000003E-3</v>
      </c>
      <c r="CD63" s="34">
        <f ca="1">IFERROR(SUMIFS('TRA balance'!AE$5:AE$40,'TRA balance'!$C$5:$C$40,Assumptions!$C63,'TRA balance'!$D$5:$D$40,Assumptions!$B63)*DY63*AH63,"")</f>
        <v>0</v>
      </c>
      <c r="CE63" s="34">
        <f ca="1">IFERROR(SUMIFS('TRA balance'!AF$5:AF$40,'TRA balance'!$C$5:$C$40,Assumptions!$C63,'TRA balance'!$D$5:$D$40,Assumptions!$B63)*DZ63*AI63,"")</f>
        <v>0</v>
      </c>
      <c r="CF63" s="34">
        <f ca="1">IFERROR(SUMIFS('TRA balance'!AG$5:AG$40,'TRA balance'!$C$5:$C$40,Assumptions!$C63,'TRA balance'!$D$5:$D$40,Assumptions!$B63)*EA63*AJ63,"")</f>
        <v>11.773547545536003</v>
      </c>
      <c r="CG63" s="34">
        <f ca="1">IFERROR(SUMIFS('TRA balance'!AH$5:AH$40,'TRA balance'!$C$5:$C$40,Assumptions!$C63,'TRA balance'!$D$5:$D$40,Assumptions!$B63)*EB63*AK63,"")</f>
        <v>11.466407916864</v>
      </c>
      <c r="CH63" s="34">
        <f ca="1">IFERROR(SUMIFS('TRA balance'!AI$5:AI$40,'TRA balance'!$C$5:$C$40,Assumptions!$C63,'TRA balance'!$D$5:$D$40,Assumptions!$B63)*EC63*AL63,"")</f>
        <v>1.0037199859200001</v>
      </c>
      <c r="CI63" s="34">
        <f ca="1">IFERROR(SUMIFS('TRA balance'!AJ$5:AJ$40,'TRA balance'!$C$5:$C$40,Assumptions!$C63,'TRA balance'!$D$5:$D$40,Assumptions!$B63)*ED63*AM63,"")</f>
        <v>9.559000310400001E-2</v>
      </c>
      <c r="CJ63" s="34">
        <f ca="1">IFERROR(SUMIFS('TRA balance'!AK$5:AK$40,'TRA balance'!$C$5:$C$40,Assumptions!$C63,'TRA balance'!$D$5:$D$40,Assumptions!$B63)*EE63*AN63,"")</f>
        <v>8.461696300992001</v>
      </c>
      <c r="CK63" s="34">
        <f ca="1">IFERROR(SUMIFS('TRA balance'!AL$5:AL$40,'TRA balance'!$C$5:$C$40,Assumptions!$C63,'TRA balance'!$D$5:$D$40,Assumptions!$B63)*EF63*AO63,"")</f>
        <v>0</v>
      </c>
      <c r="CL63" s="34">
        <f ca="1">IFERROR(SUMIFS('TRA balance'!AM$5:AM$40,'TRA balance'!$C$5:$C$40,Assumptions!$C63,'TRA balance'!$D$5:$D$40,Assumptions!$B63)*EG63*AP63,"")</f>
        <v>0.51359643909359998</v>
      </c>
      <c r="CM63" s="34">
        <f ca="1">IFERROR(SUMIFS('TRA balance'!AN$5:AN$40,'TRA balance'!$C$5:$C$40,Assumptions!$C63,'TRA balance'!$D$5:$D$40,Assumptions!$B63)*EH63*AQ63,"")</f>
        <v>0</v>
      </c>
      <c r="CN63" s="34">
        <f ca="1">IFERROR(SUMIFS('TRA balance'!AO$5:AO$40,'TRA balance'!$C$5:$C$40,Assumptions!$C63,'TRA balance'!$D$5:$D$40,Assumptions!$B63)*EI63*AR63,"")</f>
        <v>0</v>
      </c>
      <c r="CO63" s="34">
        <f ca="1">IFERROR(SUMIFS('TRA balance'!AP$5:AP$40,'TRA balance'!$C$5:$C$40,Assumptions!$C63,'TRA balance'!$D$5:$D$40,Assumptions!$B63)*EJ63*AS63,"")</f>
        <v>0</v>
      </c>
      <c r="CP63" s="34">
        <f ca="1">IFERROR(SUMIFS('TRA balance'!AQ$5:AQ$40,'TRA balance'!$C$5:$C$40,Assumptions!$C63,'TRA balance'!$D$5:$D$40,Assumptions!$B63)*EK63*AT63,"")</f>
        <v>0</v>
      </c>
      <c r="CQ63" s="34">
        <f ca="1">IFERROR(SUMIFS('TRA balance'!AR$5:AR$40,'TRA balance'!$C$5:$C$40,Assumptions!$C63,'TRA balance'!$D$5:$D$40,Assumptions!$B63)*EL63*AU63,"")</f>
        <v>0</v>
      </c>
      <c r="CR63" s="34">
        <f ca="1">IFERROR(SUMIFS('TRA balance'!AS$5:AS$40,'TRA balance'!$C$5:$C$40,Assumptions!$C63,'TRA balance'!$D$5:$D$40,Assumptions!$B63)*EM63*AV63,"")</f>
        <v>0</v>
      </c>
      <c r="CS63" s="34">
        <f ca="1">IFERROR(SUMIFS('TRA balance'!AT$5:AT$40,'TRA balance'!$C$5:$C$40,Assumptions!$C63,'TRA balance'!$D$5:$D$40,Assumptions!$B63)*EN63*AW63,"")</f>
        <v>0</v>
      </c>
      <c r="CT63" s="34">
        <f ca="1">IFERROR(SUMIFS('TRA balance'!AU$5:AU$40,'TRA balance'!$C$5:$C$40,Assumptions!$C63,'TRA balance'!$D$5:$D$40,Assumptions!$B63)*EO63*AX63,"")</f>
        <v>0</v>
      </c>
      <c r="CU63" s="34">
        <f ca="1">IFERROR(SUMIFS('TRA balance'!AV$5:AV$40,'TRA balance'!$C$5:$C$40,Assumptions!$C63,'TRA balance'!$D$5:$D$40,Assumptions!$B63)*EP63*AY63,"")</f>
        <v>0</v>
      </c>
      <c r="CV63" s="34">
        <f ca="1">IFERROR(SUMIFS('TRA balance'!AW$5:AW$40,'TRA balance'!$C$5:$C$40,Assumptions!$C63,'TRA balance'!$D$5:$D$40,Assumptions!$B63)*EQ63*AZ63,"")</f>
        <v>0</v>
      </c>
      <c r="CW63" s="34">
        <f ca="1">IFERROR(SUMIFS('TRA balance'!AX$5:AX$40,'TRA balance'!$C$5:$C$40,Assumptions!$C63,'TRA balance'!$D$5:$D$40,Assumptions!$B63)*ER63*BA63,"")</f>
        <v>0</v>
      </c>
      <c r="CY63" s="33">
        <f t="shared" ca="1" si="66"/>
        <v>0.1</v>
      </c>
      <c r="CZ63" s="33">
        <f t="shared" ca="1" si="3"/>
        <v>0.1</v>
      </c>
      <c r="DA63" s="33">
        <f t="shared" ca="1" si="4"/>
        <v>0.02</v>
      </c>
      <c r="DB63" s="33">
        <f t="shared" ca="1" si="5"/>
        <v>0.2</v>
      </c>
      <c r="DC63" s="33">
        <f t="shared" ca="1" si="6"/>
        <v>0.05</v>
      </c>
      <c r="DD63" s="33">
        <f t="shared" ca="1" si="7"/>
        <v>0.2</v>
      </c>
      <c r="DE63" s="33">
        <f t="shared" ca="1" si="8"/>
        <v>7.0000000000000007E-2</v>
      </c>
      <c r="DF63" s="33">
        <f t="shared" ca="1" si="9"/>
        <v>0.1</v>
      </c>
      <c r="DG63" s="33">
        <f t="shared" ca="1" si="10"/>
        <v>0.2</v>
      </c>
      <c r="DH63" s="33">
        <f t="shared" ca="1" si="11"/>
        <v>0.2</v>
      </c>
      <c r="DI63" s="33">
        <f t="shared" ca="1" si="12"/>
        <v>0.2</v>
      </c>
      <c r="DJ63" s="33">
        <f t="shared" ca="1" si="13"/>
        <v>0.2</v>
      </c>
      <c r="DK63" s="33">
        <f t="shared" ca="1" si="14"/>
        <v>0.2</v>
      </c>
      <c r="DL63" s="33">
        <f t="shared" ca="1" si="15"/>
        <v>0.2</v>
      </c>
      <c r="DM63" s="33">
        <f t="shared" ca="1" si="16"/>
        <v>0.2</v>
      </c>
      <c r="DN63" s="33">
        <f t="shared" ca="1" si="17"/>
        <v>0.25</v>
      </c>
      <c r="DO63" s="33">
        <f t="shared" ca="1" si="18"/>
        <v>0.2</v>
      </c>
      <c r="DP63" s="33">
        <f t="shared" ca="1" si="19"/>
        <v>0.2</v>
      </c>
      <c r="DQ63" s="33">
        <f t="shared" ca="1" si="20"/>
        <v>0.05</v>
      </c>
      <c r="DR63" s="33">
        <f t="shared" ca="1" si="21"/>
        <v>7.0000000000000007E-2</v>
      </c>
      <c r="DS63" s="33">
        <f t="shared" ca="1" si="22"/>
        <v>0.1</v>
      </c>
      <c r="DT63" s="33">
        <f t="shared" ca="1" si="23"/>
        <v>2.4406421822616497E-2</v>
      </c>
      <c r="DU63" s="33">
        <f t="shared" ca="1" si="24"/>
        <v>0.2</v>
      </c>
      <c r="DV63" s="33">
        <f t="shared" ca="1" si="25"/>
        <v>0.2</v>
      </c>
      <c r="DW63" s="33">
        <f t="shared" ca="1" si="26"/>
        <v>0.08</v>
      </c>
      <c r="DX63" s="33">
        <f t="shared" ca="1" si="27"/>
        <v>0.05</v>
      </c>
      <c r="DY63" s="33">
        <f t="shared" ca="1" si="28"/>
        <v>0.1</v>
      </c>
      <c r="DZ63" s="33">
        <f t="shared" ca="1" si="29"/>
        <v>0.1</v>
      </c>
      <c r="EA63" s="33">
        <f t="shared" ca="1" si="30"/>
        <v>0.2</v>
      </c>
      <c r="EB63" s="33">
        <f t="shared" ca="1" si="31"/>
        <v>0.2</v>
      </c>
      <c r="EC63" s="33">
        <f t="shared" ca="1" si="32"/>
        <v>0.2</v>
      </c>
      <c r="ED63" s="33">
        <f t="shared" ca="1" si="33"/>
        <v>0.1</v>
      </c>
      <c r="EE63" s="33">
        <f t="shared" ca="1" si="34"/>
        <v>0.2</v>
      </c>
      <c r="EF63" s="33">
        <f t="shared" ca="1" si="35"/>
        <v>0.05</v>
      </c>
      <c r="EG63" s="33">
        <f t="shared" ca="1" si="36"/>
        <v>0.2</v>
      </c>
      <c r="EH63" s="33">
        <f t="shared" ca="1" si="37"/>
        <v>2.4406421822616497E-2</v>
      </c>
      <c r="EI63" s="33">
        <f t="shared" ca="1" si="38"/>
        <v>2.4406421822616497E-2</v>
      </c>
      <c r="EJ63" s="33">
        <f t="shared" ca="1" si="39"/>
        <v>2.4406421822616497E-2</v>
      </c>
      <c r="EK63" s="33">
        <f t="shared" ca="1" si="40"/>
        <v>2.4406421822616497E-2</v>
      </c>
      <c r="EL63" s="33">
        <f t="shared" ca="1" si="41"/>
        <v>2.4406421822616497E-2</v>
      </c>
      <c r="EM63" s="33">
        <f t="shared" ca="1" si="42"/>
        <v>2.4406421822616497E-2</v>
      </c>
      <c r="EN63" s="33">
        <f t="shared" ca="1" si="43"/>
        <v>2.4406421822616497E-2</v>
      </c>
      <c r="EO63" s="33">
        <f t="shared" ca="1" si="44"/>
        <v>2.4406421822616497E-2</v>
      </c>
      <c r="EP63" s="33">
        <f t="shared" ca="1" si="45"/>
        <v>2.4406421822616497E-2</v>
      </c>
      <c r="EQ63" s="33">
        <f t="shared" ca="1" si="46"/>
        <v>2.4406421822616497E-2</v>
      </c>
      <c r="ER63" s="33">
        <f t="shared" ca="1" si="47"/>
        <v>2.4406421822616497E-2</v>
      </c>
    </row>
    <row r="64" spans="1:148">
      <c r="A64">
        <v>1</v>
      </c>
      <c r="B64" t="str">
        <f>VLOOKUP(F64,'TRA balance'!$BA$5:$BB$14,2,FALSE)</f>
        <v>TRABDS</v>
      </c>
      <c r="C64" s="6" t="str">
        <f t="shared" si="48"/>
        <v>TR</v>
      </c>
      <c r="D64" s="7" t="s">
        <v>16</v>
      </c>
      <c r="E64" s="18" t="s">
        <v>63</v>
      </c>
      <c r="F64" s="8" t="str">
        <f t="shared" ref="F64:F67" si="84">F63</f>
        <v>Bio Diesel</v>
      </c>
      <c r="G64" s="6" t="s">
        <v>64</v>
      </c>
      <c r="H64" s="9">
        <f ca="1">OFFSET(TIAM15_assumptions!$G64,0,MATCH(VLOOKUP(Assumptions!H$2,TIAM15_assumptions!$Y$3:$Z$87,2,FALSE),TIAM15_assumptions!$H$2:$V$2,0))</f>
        <v>0.5</v>
      </c>
      <c r="I64" s="9">
        <f ca="1">OFFSET(TIAM15_assumptions!$G64,0,MATCH(VLOOKUP(Assumptions!I$2,TIAM15_assumptions!$Y$3:$Z$87,2,FALSE),TIAM15_assumptions!$H$2:$V$2,0))</f>
        <v>0.5</v>
      </c>
      <c r="J64" s="9">
        <f ca="1">OFFSET(TIAM15_assumptions!$G64,0,MATCH(VLOOKUP(Assumptions!J$2,TIAM15_assumptions!$Y$3:$Z$87,2,FALSE),TIAM15_assumptions!$H$2:$V$2,0))</f>
        <v>0.7</v>
      </c>
      <c r="K64" s="9">
        <f ca="1">OFFSET(TIAM15_assumptions!$G64,0,MATCH(VLOOKUP(Assumptions!K$2,TIAM15_assumptions!$Y$3:$Z$87,2,FALSE),TIAM15_assumptions!$H$2:$V$2,0))</f>
        <v>0.2</v>
      </c>
      <c r="L64" s="9">
        <f ca="1">OFFSET(TIAM15_assumptions!$G64,0,MATCH(VLOOKUP(Assumptions!L$2,TIAM15_assumptions!$Y$3:$Z$87,2,FALSE),TIAM15_assumptions!$H$2:$V$2,0))</f>
        <v>0.49</v>
      </c>
      <c r="M64" s="9">
        <f ca="1">OFFSET(TIAM15_assumptions!$G64,0,MATCH(VLOOKUP(Assumptions!M$2,TIAM15_assumptions!$Y$3:$Z$87,2,FALSE),TIAM15_assumptions!$H$2:$V$2,0))</f>
        <v>0.2</v>
      </c>
      <c r="N64" s="9">
        <f ca="1">OFFSET(TIAM15_assumptions!$G64,0,MATCH(VLOOKUP(Assumptions!N$2,TIAM15_assumptions!$Y$3:$Z$87,2,FALSE),TIAM15_assumptions!$H$2:$V$2,0))</f>
        <v>0.69</v>
      </c>
      <c r="O64" s="9">
        <f ca="1">OFFSET(TIAM15_assumptions!$G64,0,MATCH(VLOOKUP(Assumptions!O$2,TIAM15_assumptions!$Y$3:$Z$87,2,FALSE),TIAM15_assumptions!$H$2:$V$2,0))</f>
        <v>0.2</v>
      </c>
      <c r="P64" s="9">
        <f ca="1">OFFSET(TIAM15_assumptions!$G64,0,MATCH(VLOOKUP(Assumptions!P$2,TIAM15_assumptions!$Y$3:$Z$87,2,FALSE),TIAM15_assumptions!$H$2:$V$2,0))</f>
        <v>0.49</v>
      </c>
      <c r="Q64" s="9">
        <f ca="1">OFFSET(TIAM15_assumptions!$G64,0,MATCH(VLOOKUP(Assumptions!Q$2,TIAM15_assumptions!$Y$3:$Z$87,2,FALSE),TIAM15_assumptions!$H$2:$V$2,0))</f>
        <v>0.49</v>
      </c>
      <c r="R64" s="9">
        <f ca="1">OFFSET(TIAM15_assumptions!$G64,0,MATCH(VLOOKUP(Assumptions!R$2,TIAM15_assumptions!$Y$3:$Z$87,2,FALSE),TIAM15_assumptions!$H$2:$V$2,0))</f>
        <v>0.2</v>
      </c>
      <c r="S64" s="9">
        <f ca="1">OFFSET(TIAM15_assumptions!$G64,0,MATCH(VLOOKUP(Assumptions!S$2,TIAM15_assumptions!$Y$3:$Z$87,2,FALSE),TIAM15_assumptions!$H$2:$V$2,0))</f>
        <v>0.2</v>
      </c>
      <c r="T64" s="9">
        <f ca="1">OFFSET(TIAM15_assumptions!$G64,0,MATCH(VLOOKUP(Assumptions!T$2,TIAM15_assumptions!$Y$3:$Z$87,2,FALSE),TIAM15_assumptions!$H$2:$V$2,0))</f>
        <v>0.2</v>
      </c>
      <c r="U64" s="9">
        <f ca="1">OFFSET(TIAM15_assumptions!$G64,0,MATCH(VLOOKUP(Assumptions!U$2,TIAM15_assumptions!$Y$3:$Z$87,2,FALSE),TIAM15_assumptions!$H$2:$V$2,0))</f>
        <v>0.49</v>
      </c>
      <c r="V64" s="9">
        <f ca="1">OFFSET(TIAM15_assumptions!$G64,0,MATCH(VLOOKUP(Assumptions!V$2,TIAM15_assumptions!$Y$3:$Z$87,2,FALSE),TIAM15_assumptions!$H$2:$V$2,0))</f>
        <v>0.2</v>
      </c>
      <c r="W64" s="9">
        <f ca="1">OFFSET(TIAM15_assumptions!$G64,0,MATCH(VLOOKUP(Assumptions!W$2,TIAM15_assumptions!$Y$3:$Z$87,2,FALSE),TIAM15_assumptions!$H$2:$V$2,0))</f>
        <v>0.35</v>
      </c>
      <c r="X64" s="9">
        <f ca="1">OFFSET(TIAM15_assumptions!$G64,0,MATCH(VLOOKUP(Assumptions!X$2,TIAM15_assumptions!$Y$3:$Z$87,2,FALSE),TIAM15_assumptions!$H$2:$V$2,0))</f>
        <v>0.2</v>
      </c>
      <c r="Y64" s="9">
        <f ca="1">OFFSET(TIAM15_assumptions!$G64,0,MATCH(VLOOKUP(Assumptions!Y$2,TIAM15_assumptions!$Y$3:$Z$87,2,FALSE),TIAM15_assumptions!$H$2:$V$2,0))</f>
        <v>0.2</v>
      </c>
      <c r="Z64" s="9">
        <f ca="1">OFFSET(TIAM15_assumptions!$G64,0,MATCH(VLOOKUP(Assumptions!Z$2,TIAM15_assumptions!$Y$3:$Z$87,2,FALSE),TIAM15_assumptions!$H$2:$V$2,0))</f>
        <v>0.53</v>
      </c>
      <c r="AA64" s="9">
        <f ca="1">OFFSET(TIAM15_assumptions!$G64,0,MATCH(VLOOKUP(Assumptions!AA$2,TIAM15_assumptions!$Y$3:$Z$87,2,FALSE),TIAM15_assumptions!$H$2:$V$2,0))</f>
        <v>0.69</v>
      </c>
      <c r="AB64" s="9">
        <f ca="1">OFFSET(TIAM15_assumptions!$G64,0,MATCH(VLOOKUP(Assumptions!AB$2,TIAM15_assumptions!$Y$3:$Z$87,2,FALSE),TIAM15_assumptions!$H$2:$V$2,0))</f>
        <v>0.8</v>
      </c>
      <c r="AC64" s="9">
        <f ca="1">OFFSET(TIAM15_assumptions!$G64,0,MATCH(VLOOKUP(Assumptions!AC$2,TIAM15_assumptions!$Y$3:$Z$87,2,FALSE),TIAM15_assumptions!$H$2:$V$2,0))</f>
        <v>0.60826289792126587</v>
      </c>
      <c r="AD64" s="9">
        <f ca="1">OFFSET(TIAM15_assumptions!$G64,0,MATCH(VLOOKUP(Assumptions!AD$2,TIAM15_assumptions!$Y$3:$Z$87,2,FALSE),TIAM15_assumptions!$H$2:$V$2,0))</f>
        <v>0.2</v>
      </c>
      <c r="AE64" s="9">
        <f ca="1">OFFSET(TIAM15_assumptions!$G64,0,MATCH(VLOOKUP(Assumptions!AE$2,TIAM15_assumptions!$Y$3:$Z$87,2,FALSE),TIAM15_assumptions!$H$2:$V$2,0))</f>
        <v>0.49</v>
      </c>
      <c r="AF64" s="9">
        <f ca="1">OFFSET(TIAM15_assumptions!$G64,0,MATCH(VLOOKUP(Assumptions!AF$2,TIAM15_assumptions!$Y$3:$Z$87,2,FALSE),TIAM15_assumptions!$H$2:$V$2,0))</f>
        <v>0.66</v>
      </c>
      <c r="AG64" s="9">
        <f ca="1">OFFSET(TIAM15_assumptions!$G64,0,MATCH(VLOOKUP(Assumptions!AG$2,TIAM15_assumptions!$Y$3:$Z$87,2,FALSE),TIAM15_assumptions!$H$2:$V$2,0))</f>
        <v>0.49</v>
      </c>
      <c r="AH64" s="9">
        <f ca="1">OFFSET(TIAM15_assumptions!$G64,0,MATCH(VLOOKUP(Assumptions!AH$2,TIAM15_assumptions!$Y$3:$Z$87,2,FALSE),TIAM15_assumptions!$H$2:$V$2,0))</f>
        <v>0.8</v>
      </c>
      <c r="AI64" s="9">
        <f ca="1">OFFSET(TIAM15_assumptions!$G64,0,MATCH(VLOOKUP(Assumptions!AI$2,TIAM15_assumptions!$Y$3:$Z$87,2,FALSE),TIAM15_assumptions!$H$2:$V$2,0))</f>
        <v>0.5</v>
      </c>
      <c r="AJ64" s="9">
        <f ca="1">OFFSET(TIAM15_assumptions!$G64,0,MATCH(VLOOKUP(Assumptions!AJ$2,TIAM15_assumptions!$Y$3:$Z$87,2,FALSE),TIAM15_assumptions!$H$2:$V$2,0))</f>
        <v>0.2</v>
      </c>
      <c r="AK64" s="9">
        <f ca="1">OFFSET(TIAM15_assumptions!$G64,0,MATCH(VLOOKUP(Assumptions!AK$2,TIAM15_assumptions!$Y$3:$Z$87,2,FALSE),TIAM15_assumptions!$H$2:$V$2,0))</f>
        <v>0.2</v>
      </c>
      <c r="AL64" s="9">
        <f ca="1">OFFSET(TIAM15_assumptions!$G64,0,MATCH(VLOOKUP(Assumptions!AL$2,TIAM15_assumptions!$Y$3:$Z$87,2,FALSE),TIAM15_assumptions!$H$2:$V$2,0))</f>
        <v>0.2</v>
      </c>
      <c r="AM64" s="9">
        <f ca="1">OFFSET(TIAM15_assumptions!$G64,0,MATCH(VLOOKUP(Assumptions!AM$2,TIAM15_assumptions!$Y$3:$Z$87,2,FALSE),TIAM15_assumptions!$H$2:$V$2,0))</f>
        <v>0.8</v>
      </c>
      <c r="AN64" s="9">
        <f ca="1">OFFSET(TIAM15_assumptions!$G64,0,MATCH(VLOOKUP(Assumptions!AN$2,TIAM15_assumptions!$Y$3:$Z$87,2,FALSE),TIAM15_assumptions!$H$2:$V$2,0))</f>
        <v>0.2</v>
      </c>
      <c r="AO64" s="9">
        <f ca="1">OFFSET(TIAM15_assumptions!$G64,0,MATCH(VLOOKUP(Assumptions!AO$2,TIAM15_assumptions!$Y$3:$Z$87,2,FALSE),TIAM15_assumptions!$H$2:$V$2,0))</f>
        <v>0.49</v>
      </c>
      <c r="AP64" s="9">
        <f ca="1">OFFSET(TIAM15_assumptions!$G64,0,MATCH(VLOOKUP(Assumptions!AP$2,TIAM15_assumptions!$Y$3:$Z$87,2,FALSE),TIAM15_assumptions!$H$2:$V$2,0))</f>
        <v>0.49</v>
      </c>
      <c r="AQ64" s="9">
        <f ca="1">OFFSET(TIAM15_assumptions!$G64,0,MATCH(VLOOKUP(Assumptions!AQ$2,TIAM15_assumptions!$Y$3:$Z$87,2,FALSE),TIAM15_assumptions!$H$2:$V$2,0))</f>
        <v>0.60826289792126587</v>
      </c>
      <c r="AR64" s="9">
        <f ca="1">OFFSET(TIAM15_assumptions!$G64,0,MATCH(VLOOKUP(Assumptions!AR$2,TIAM15_assumptions!$Y$3:$Z$87,2,FALSE),TIAM15_assumptions!$H$2:$V$2,0))</f>
        <v>0.60826289792126587</v>
      </c>
      <c r="AS64" s="9">
        <f ca="1">OFFSET(TIAM15_assumptions!$G64,0,MATCH(VLOOKUP(Assumptions!AS$2,TIAM15_assumptions!$Y$3:$Z$87,2,FALSE),TIAM15_assumptions!$H$2:$V$2,0))</f>
        <v>0.60826289792126587</v>
      </c>
      <c r="AT64" s="9">
        <f ca="1">OFFSET(TIAM15_assumptions!$G64,0,MATCH(VLOOKUP(Assumptions!AT$2,TIAM15_assumptions!$Y$3:$Z$87,2,FALSE),TIAM15_assumptions!$H$2:$V$2,0))</f>
        <v>0.60826289792126587</v>
      </c>
      <c r="AU64" s="9">
        <f ca="1">OFFSET(TIAM15_assumptions!$G64,0,MATCH(VLOOKUP(Assumptions!AU$2,TIAM15_assumptions!$Y$3:$Z$87,2,FALSE),TIAM15_assumptions!$H$2:$V$2,0))</f>
        <v>0.60826289792126587</v>
      </c>
      <c r="AV64" s="9">
        <f ca="1">OFFSET(TIAM15_assumptions!$G64,0,MATCH(VLOOKUP(Assumptions!AV$2,TIAM15_assumptions!$Y$3:$Z$87,2,FALSE),TIAM15_assumptions!$H$2:$V$2,0))</f>
        <v>0.60826289792126587</v>
      </c>
      <c r="AW64" s="9">
        <f ca="1">OFFSET(TIAM15_assumptions!$G64,0,MATCH(VLOOKUP(Assumptions!AW$2,TIAM15_assumptions!$Y$3:$Z$87,2,FALSE),TIAM15_assumptions!$H$2:$V$2,0))</f>
        <v>0.60826289792126587</v>
      </c>
      <c r="AX64" s="9">
        <f ca="1">OFFSET(TIAM15_assumptions!$G64,0,MATCH(VLOOKUP(Assumptions!AX$2,TIAM15_assumptions!$Y$3:$Z$87,2,FALSE),TIAM15_assumptions!$H$2:$V$2,0))</f>
        <v>0.60826289792126587</v>
      </c>
      <c r="AY64" s="9">
        <f ca="1">OFFSET(TIAM15_assumptions!$G64,0,MATCH(VLOOKUP(Assumptions!AY$2,TIAM15_assumptions!$Y$3:$Z$87,2,FALSE),TIAM15_assumptions!$H$2:$V$2,0))</f>
        <v>0.60826289792126587</v>
      </c>
      <c r="AZ64" s="9">
        <f ca="1">OFFSET(TIAM15_assumptions!$G64,0,MATCH(VLOOKUP(Assumptions!AZ$2,TIAM15_assumptions!$Y$3:$Z$87,2,FALSE),TIAM15_assumptions!$H$2:$V$2,0))</f>
        <v>0.60826289792126587</v>
      </c>
      <c r="BA64" s="9">
        <f ca="1">OFFSET(TIAM15_assumptions!$G64,0,MATCH(VLOOKUP(Assumptions!BA$2,TIAM15_assumptions!$Y$3:$Z$87,2,FALSE),TIAM15_assumptions!$H$2:$V$2,0))</f>
        <v>0.60826289792126587</v>
      </c>
      <c r="BD64" s="34">
        <f ca="1">IFERROR(SUMIFS('TRA balance'!E$5:E$40,'TRA balance'!$C$5:$C$40,Assumptions!$C64,'TRA balance'!$D$5:$D$40,Assumptions!$B64)*CY64*H64,"")</f>
        <v>0</v>
      </c>
      <c r="BE64" s="34">
        <f ca="1">IFERROR(SUMIFS('TRA balance'!F$5:F$40,'TRA balance'!$C$5:$C$40,Assumptions!$C64,'TRA balance'!$D$5:$D$40,Assumptions!$B64)*CZ64*I64,"")</f>
        <v>0</v>
      </c>
      <c r="BF64" s="34">
        <f ca="1">IFERROR(SUMIFS('TRA balance'!G$5:G$40,'TRA balance'!$C$5:$C$40,Assumptions!$C64,'TRA balance'!$D$5:$D$40,Assumptions!$B64)*DA64*J64,"")</f>
        <v>5.15227608E-4</v>
      </c>
      <c r="BG64" s="34">
        <f ca="1">IFERROR(SUMIFS('TRA balance'!H$5:H$40,'TRA balance'!$C$5:$C$40,Assumptions!$C64,'TRA balance'!$D$5:$D$40,Assumptions!$B64)*DB64*K64,"")</f>
        <v>0.71297921548800014</v>
      </c>
      <c r="BH64" s="34">
        <f ca="1">IFERROR(SUMIFS('TRA balance'!I$5:I$40,'TRA balance'!$C$5:$C$40,Assumptions!$C64,'TRA balance'!$D$5:$D$40,Assumptions!$B64)*DC64*L64,"")</f>
        <v>0.11229183493920002</v>
      </c>
      <c r="BI64" s="34">
        <f ca="1">IFERROR(SUMIFS('TRA balance'!J$5:J$40,'TRA balance'!$C$5:$C$40,Assumptions!$C64,'TRA balance'!$D$5:$D$40,Assumptions!$B64)*DD64*M64,"")</f>
        <v>1.4771963219040003</v>
      </c>
      <c r="BJ64" s="34">
        <f ca="1">IFERROR(SUMIFS('TRA balance'!K$5:K$40,'TRA balance'!$C$5:$C$40,Assumptions!$C64,'TRA balance'!$D$5:$D$40,Assumptions!$B64)*DE64*N64,"")</f>
        <v>31.444745343535441</v>
      </c>
      <c r="BK64" s="34">
        <f ca="1">IFERROR(SUMIFS('TRA balance'!L$5:L$40,'TRA balance'!$C$5:$C$40,Assumptions!$C64,'TRA balance'!$D$5:$D$40,Assumptions!$B64)*DF64*O64,"")</f>
        <v>0.75808001124000013</v>
      </c>
      <c r="BL64" s="34">
        <f ca="1">IFERROR(SUMIFS('TRA balance'!M$5:M$40,'TRA balance'!$C$5:$C$40,Assumptions!$C64,'TRA balance'!$D$5:$D$40,Assumptions!$B64)*DG64*P64,"")</f>
        <v>0.62556298479359995</v>
      </c>
      <c r="BM64" s="34">
        <f ca="1">IFERROR(SUMIFS('TRA balance'!N$5:N$40,'TRA balance'!$C$5:$C$40,Assumptions!$C64,'TRA balance'!$D$5:$D$40,Assumptions!$B64)*DH64*Q64,"")</f>
        <v>1.6395252902784001</v>
      </c>
      <c r="BN64" s="34">
        <f ca="1">IFERROR(SUMIFS('TRA balance'!O$5:O$40,'TRA balance'!$C$5:$C$40,Assumptions!$C64,'TRA balance'!$D$5:$D$40,Assumptions!$B64)*DI64*R64,"")</f>
        <v>4.2281302474080009</v>
      </c>
      <c r="BO64" s="34">
        <f ca="1">IFERROR(SUMIFS('TRA balance'!P$5:P$40,'TRA balance'!$C$5:$C$40,Assumptions!$C64,'TRA balance'!$D$5:$D$40,Assumptions!$B64)*DJ64*S64,"")</f>
        <v>3.163755587472</v>
      </c>
      <c r="BP64" s="34">
        <f ca="1">IFERROR(SUMIFS('TRA balance'!Q$5:Q$40,'TRA balance'!$C$5:$C$40,Assumptions!$C64,'TRA balance'!$D$5:$D$40,Assumptions!$B64)*DK64*T64,"")</f>
        <v>0.28662933283200004</v>
      </c>
      <c r="BQ64" s="34">
        <f ca="1">IFERROR(SUMIFS('TRA balance'!R$5:R$40,'TRA balance'!$C$5:$C$40,Assumptions!$C64,'TRA balance'!$D$5:$D$40,Assumptions!$B64)*DL64*U64,"")</f>
        <v>2.5393407655896003</v>
      </c>
      <c r="BR64" s="34">
        <f ca="1">IFERROR(SUMIFS('TRA balance'!S$5:S$40,'TRA balance'!$C$5:$C$40,Assumptions!$C64,'TRA balance'!$D$5:$D$40,Assumptions!$B64)*DM64*V64,"")</f>
        <v>2.5957322640000002E-2</v>
      </c>
      <c r="BS64" s="34">
        <f ca="1">IFERROR(SUMIFS('TRA balance'!T$5:T$40,'TRA balance'!$C$5:$C$40,Assumptions!$C64,'TRA balance'!$D$5:$D$40,Assumptions!$B64)*DN64*W64,"")</f>
        <v>0.14323210272</v>
      </c>
      <c r="BT64" s="34">
        <f ca="1">IFERROR(SUMIFS('TRA balance'!U$5:U$40,'TRA balance'!$C$5:$C$40,Assumptions!$C64,'TRA balance'!$D$5:$D$40,Assumptions!$B64)*DO64*X64,"")</f>
        <v>0.27127282032000005</v>
      </c>
      <c r="BU64" s="34">
        <f ca="1">IFERROR(SUMIFS('TRA balance'!V$5:V$40,'TRA balance'!$C$5:$C$40,Assumptions!$C64,'TRA balance'!$D$5:$D$40,Assumptions!$B64)*DP64*Y64,"")</f>
        <v>2.1043712581920002</v>
      </c>
      <c r="BV64" s="34">
        <f ca="1">IFERROR(SUMIFS('TRA balance'!W$5:W$40,'TRA balance'!$C$5:$C$40,Assumptions!$C64,'TRA balance'!$D$5:$D$40,Assumptions!$B64)*DQ64*Z64,"")</f>
        <v>1.3760043804000003E-2</v>
      </c>
      <c r="BW64" s="34">
        <f ca="1">IFERROR(SUMIFS('TRA balance'!X$5:X$40,'TRA balance'!$C$5:$C$40,Assumptions!$C64,'TRA balance'!$D$5:$D$40,Assumptions!$B64)*DR64*AA64,"")</f>
        <v>3.58692841617516</v>
      </c>
      <c r="BX64" s="34">
        <f ca="1">IFERROR(SUMIFS('TRA balance'!Y$5:Y$40,'TRA balance'!$C$5:$C$40,Assumptions!$C64,'TRA balance'!$D$5:$D$40,Assumptions!$B64)*DS64*AB64,"")</f>
        <v>0</v>
      </c>
      <c r="BY64" s="34">
        <f ca="1">IFERROR(SUMIFS('TRA balance'!Z$5:Z$40,'TRA balance'!$C$5:$C$40,Assumptions!$C64,'TRA balance'!$D$5:$D$40,Assumptions!$B64)*DT64*AC64,"")</f>
        <v>3.0320407330274075</v>
      </c>
      <c r="BZ64" s="34">
        <f ca="1">IFERROR(SUMIFS('TRA balance'!AA$5:AA$40,'TRA balance'!$C$5:$C$40,Assumptions!$C64,'TRA balance'!$D$5:$D$40,Assumptions!$B64)*DU64*AD64,"")</f>
        <v>0.70170098112000012</v>
      </c>
      <c r="CA64" s="34">
        <f ca="1">IFERROR(SUMIFS('TRA balance'!AB$5:AB$40,'TRA balance'!$C$5:$C$40,Assumptions!$C64,'TRA balance'!$D$5:$D$40,Assumptions!$B64)*DV64*AE64,"")</f>
        <v>3.4374879350784</v>
      </c>
      <c r="CB64" s="34">
        <f ca="1">IFERROR(SUMIFS('TRA balance'!AC$5:AC$40,'TRA balance'!$C$5:$C$40,Assumptions!$C64,'TRA balance'!$D$5:$D$40,Assumptions!$B64)*DW64*AF64,"")</f>
        <v>15.05141044146432</v>
      </c>
      <c r="CC64" s="34">
        <f ca="1">IFERROR(SUMIFS('TRA balance'!AD$5:AD$40,'TRA balance'!$C$5:$C$40,Assumptions!$C64,'TRA balance'!$D$5:$D$40,Assumptions!$B64)*DX64*AG64,"")</f>
        <v>1.7640097902E-3</v>
      </c>
      <c r="CD64" s="34">
        <f ca="1">IFERROR(SUMIFS('TRA balance'!AE$5:AE$40,'TRA balance'!$C$5:$C$40,Assumptions!$C64,'TRA balance'!$D$5:$D$40,Assumptions!$B64)*DY64*AH64,"")</f>
        <v>0</v>
      </c>
      <c r="CE64" s="34">
        <f ca="1">IFERROR(SUMIFS('TRA balance'!AF$5:AF$40,'TRA balance'!$C$5:$C$40,Assumptions!$C64,'TRA balance'!$D$5:$D$40,Assumptions!$B64)*DZ64*AI64,"")</f>
        <v>0</v>
      </c>
      <c r="CF64" s="34">
        <f ca="1">IFERROR(SUMIFS('TRA balance'!AG$5:AG$40,'TRA balance'!$C$5:$C$40,Assumptions!$C64,'TRA balance'!$D$5:$D$40,Assumptions!$B64)*EA64*AJ64,"")</f>
        <v>2.9433868863840007</v>
      </c>
      <c r="CG64" s="34">
        <f ca="1">IFERROR(SUMIFS('TRA balance'!AH$5:AH$40,'TRA balance'!$C$5:$C$40,Assumptions!$C64,'TRA balance'!$D$5:$D$40,Assumptions!$B64)*EB64*AK64,"")</f>
        <v>2.866601979216</v>
      </c>
      <c r="CH64" s="34">
        <f ca="1">IFERROR(SUMIFS('TRA balance'!AI$5:AI$40,'TRA balance'!$C$5:$C$40,Assumptions!$C64,'TRA balance'!$D$5:$D$40,Assumptions!$B64)*EC64*AL64,"")</f>
        <v>0.25092999648000003</v>
      </c>
      <c r="CI64" s="34">
        <f ca="1">IFERROR(SUMIFS('TRA balance'!AJ$5:AJ$40,'TRA balance'!$C$5:$C$40,Assumptions!$C64,'TRA balance'!$D$5:$D$40,Assumptions!$B64)*ED64*AM64,"")</f>
        <v>0.38236001241600004</v>
      </c>
      <c r="CJ64" s="34">
        <f ca="1">IFERROR(SUMIFS('TRA balance'!AK$5:AK$40,'TRA balance'!$C$5:$C$40,Assumptions!$C64,'TRA balance'!$D$5:$D$40,Assumptions!$B64)*EE64*AN64,"")</f>
        <v>2.1154240752480002</v>
      </c>
      <c r="CK64" s="34">
        <f ca="1">IFERROR(SUMIFS('TRA balance'!AL$5:AL$40,'TRA balance'!$C$5:$C$40,Assumptions!$C64,'TRA balance'!$D$5:$D$40,Assumptions!$B64)*EF64*AO64,"")</f>
        <v>0</v>
      </c>
      <c r="CL64" s="34">
        <f ca="1">IFERROR(SUMIFS('TRA balance'!AM$5:AM$40,'TRA balance'!$C$5:$C$40,Assumptions!$C64,'TRA balance'!$D$5:$D$40,Assumptions!$B64)*EG64*AP64,"")</f>
        <v>0.4934554022664</v>
      </c>
      <c r="CM64" s="34">
        <f ca="1">IFERROR(SUMIFS('TRA balance'!AN$5:AN$40,'TRA balance'!$C$5:$C$40,Assumptions!$C64,'TRA balance'!$D$5:$D$40,Assumptions!$B64)*EH64*AQ64,"")</f>
        <v>0</v>
      </c>
      <c r="CN64" s="34">
        <f ca="1">IFERROR(SUMIFS('TRA balance'!AO$5:AO$40,'TRA balance'!$C$5:$C$40,Assumptions!$C64,'TRA balance'!$D$5:$D$40,Assumptions!$B64)*EI64*AR64,"")</f>
        <v>0</v>
      </c>
      <c r="CO64" s="34">
        <f ca="1">IFERROR(SUMIFS('TRA balance'!AP$5:AP$40,'TRA balance'!$C$5:$C$40,Assumptions!$C64,'TRA balance'!$D$5:$D$40,Assumptions!$B64)*EJ64*AS64,"")</f>
        <v>0</v>
      </c>
      <c r="CP64" s="34">
        <f ca="1">IFERROR(SUMIFS('TRA balance'!AQ$5:AQ$40,'TRA balance'!$C$5:$C$40,Assumptions!$C64,'TRA balance'!$D$5:$D$40,Assumptions!$B64)*EK64*AT64,"")</f>
        <v>0</v>
      </c>
      <c r="CQ64" s="34">
        <f ca="1">IFERROR(SUMIFS('TRA balance'!AR$5:AR$40,'TRA balance'!$C$5:$C$40,Assumptions!$C64,'TRA balance'!$D$5:$D$40,Assumptions!$B64)*EL64*AU64,"")</f>
        <v>0</v>
      </c>
      <c r="CR64" s="34">
        <f ca="1">IFERROR(SUMIFS('TRA balance'!AS$5:AS$40,'TRA balance'!$C$5:$C$40,Assumptions!$C64,'TRA balance'!$D$5:$D$40,Assumptions!$B64)*EM64*AV64,"")</f>
        <v>0</v>
      </c>
      <c r="CS64" s="34">
        <f ca="1">IFERROR(SUMIFS('TRA balance'!AT$5:AT$40,'TRA balance'!$C$5:$C$40,Assumptions!$C64,'TRA balance'!$D$5:$D$40,Assumptions!$B64)*EN64*AW64,"")</f>
        <v>0</v>
      </c>
      <c r="CT64" s="34">
        <f ca="1">IFERROR(SUMIFS('TRA balance'!AU$5:AU$40,'TRA balance'!$C$5:$C$40,Assumptions!$C64,'TRA balance'!$D$5:$D$40,Assumptions!$B64)*EO64*AX64,"")</f>
        <v>0</v>
      </c>
      <c r="CU64" s="34">
        <f ca="1">IFERROR(SUMIFS('TRA balance'!AV$5:AV$40,'TRA balance'!$C$5:$C$40,Assumptions!$C64,'TRA balance'!$D$5:$D$40,Assumptions!$B64)*EP64*AY64,"")</f>
        <v>0</v>
      </c>
      <c r="CV64" s="34">
        <f ca="1">IFERROR(SUMIFS('TRA balance'!AW$5:AW$40,'TRA balance'!$C$5:$C$40,Assumptions!$C64,'TRA balance'!$D$5:$D$40,Assumptions!$B64)*EQ64*AZ64,"")</f>
        <v>0</v>
      </c>
      <c r="CW64" s="34">
        <f ca="1">IFERROR(SUMIFS('TRA balance'!AX$5:AX$40,'TRA balance'!$C$5:$C$40,Assumptions!$C64,'TRA balance'!$D$5:$D$40,Assumptions!$B64)*ER64*BA64,"")</f>
        <v>0</v>
      </c>
      <c r="CY64" s="33">
        <f t="shared" ca="1" si="66"/>
        <v>0.1</v>
      </c>
      <c r="CZ64" s="33">
        <f t="shared" ca="1" si="3"/>
        <v>0.1</v>
      </c>
      <c r="DA64" s="33">
        <f t="shared" ca="1" si="4"/>
        <v>0.02</v>
      </c>
      <c r="DB64" s="33">
        <f t="shared" ca="1" si="5"/>
        <v>0.2</v>
      </c>
      <c r="DC64" s="33">
        <f t="shared" ca="1" si="6"/>
        <v>0.05</v>
      </c>
      <c r="DD64" s="33">
        <f t="shared" ca="1" si="7"/>
        <v>0.2</v>
      </c>
      <c r="DE64" s="33">
        <f t="shared" ca="1" si="8"/>
        <v>7.0000000000000007E-2</v>
      </c>
      <c r="DF64" s="33">
        <f t="shared" ca="1" si="9"/>
        <v>0.1</v>
      </c>
      <c r="DG64" s="33">
        <f t="shared" ca="1" si="10"/>
        <v>0.2</v>
      </c>
      <c r="DH64" s="33">
        <f t="shared" ca="1" si="11"/>
        <v>0.2</v>
      </c>
      <c r="DI64" s="33">
        <f t="shared" ca="1" si="12"/>
        <v>0.2</v>
      </c>
      <c r="DJ64" s="33">
        <f t="shared" ca="1" si="13"/>
        <v>0.2</v>
      </c>
      <c r="DK64" s="33">
        <f t="shared" ca="1" si="14"/>
        <v>0.2</v>
      </c>
      <c r="DL64" s="33">
        <f t="shared" ca="1" si="15"/>
        <v>0.2</v>
      </c>
      <c r="DM64" s="33">
        <f t="shared" ca="1" si="16"/>
        <v>0.2</v>
      </c>
      <c r="DN64" s="33">
        <f t="shared" ca="1" si="17"/>
        <v>0.25</v>
      </c>
      <c r="DO64" s="33">
        <f t="shared" ca="1" si="18"/>
        <v>0.2</v>
      </c>
      <c r="DP64" s="33">
        <f t="shared" ca="1" si="19"/>
        <v>0.2</v>
      </c>
      <c r="DQ64" s="33">
        <f t="shared" ca="1" si="20"/>
        <v>0.05</v>
      </c>
      <c r="DR64" s="33">
        <f t="shared" ca="1" si="21"/>
        <v>7.0000000000000007E-2</v>
      </c>
      <c r="DS64" s="33">
        <f t="shared" ca="1" si="22"/>
        <v>0.1</v>
      </c>
      <c r="DT64" s="33">
        <f t="shared" ca="1" si="23"/>
        <v>2.4406421822616497E-2</v>
      </c>
      <c r="DU64" s="33">
        <f t="shared" ca="1" si="24"/>
        <v>0.2</v>
      </c>
      <c r="DV64" s="33">
        <f t="shared" ca="1" si="25"/>
        <v>0.2</v>
      </c>
      <c r="DW64" s="33">
        <f t="shared" ca="1" si="26"/>
        <v>0.08</v>
      </c>
      <c r="DX64" s="33">
        <f t="shared" ca="1" si="27"/>
        <v>0.05</v>
      </c>
      <c r="DY64" s="33">
        <f t="shared" ca="1" si="28"/>
        <v>0.1</v>
      </c>
      <c r="DZ64" s="33">
        <f t="shared" ca="1" si="29"/>
        <v>0.1</v>
      </c>
      <c r="EA64" s="33">
        <f t="shared" ca="1" si="30"/>
        <v>0.2</v>
      </c>
      <c r="EB64" s="33">
        <f t="shared" ca="1" si="31"/>
        <v>0.2</v>
      </c>
      <c r="EC64" s="33">
        <f t="shared" ca="1" si="32"/>
        <v>0.2</v>
      </c>
      <c r="ED64" s="33">
        <f t="shared" ca="1" si="33"/>
        <v>0.1</v>
      </c>
      <c r="EE64" s="33">
        <f t="shared" ca="1" si="34"/>
        <v>0.2</v>
      </c>
      <c r="EF64" s="33">
        <f t="shared" ca="1" si="35"/>
        <v>0.05</v>
      </c>
      <c r="EG64" s="33">
        <f t="shared" ca="1" si="36"/>
        <v>0.2</v>
      </c>
      <c r="EH64" s="33">
        <f t="shared" ca="1" si="37"/>
        <v>2.4406421822616497E-2</v>
      </c>
      <c r="EI64" s="33">
        <f t="shared" ca="1" si="38"/>
        <v>2.4406421822616497E-2</v>
      </c>
      <c r="EJ64" s="33">
        <f t="shared" ca="1" si="39"/>
        <v>2.4406421822616497E-2</v>
      </c>
      <c r="EK64" s="33">
        <f t="shared" ca="1" si="40"/>
        <v>2.4406421822616497E-2</v>
      </c>
      <c r="EL64" s="33">
        <f t="shared" ca="1" si="41"/>
        <v>2.4406421822616497E-2</v>
      </c>
      <c r="EM64" s="33">
        <f t="shared" ca="1" si="42"/>
        <v>2.4406421822616497E-2</v>
      </c>
      <c r="EN64" s="33">
        <f t="shared" ca="1" si="43"/>
        <v>2.4406421822616497E-2</v>
      </c>
      <c r="EO64" s="33">
        <f t="shared" ca="1" si="44"/>
        <v>2.4406421822616497E-2</v>
      </c>
      <c r="EP64" s="33">
        <f t="shared" ca="1" si="45"/>
        <v>2.4406421822616497E-2</v>
      </c>
      <c r="EQ64" s="33">
        <f t="shared" ca="1" si="46"/>
        <v>2.4406421822616497E-2</v>
      </c>
      <c r="ER64" s="33">
        <f t="shared" ca="1" si="47"/>
        <v>2.4406421822616497E-2</v>
      </c>
    </row>
    <row r="65" spans="1:148">
      <c r="A65">
        <v>1</v>
      </c>
      <c r="B65" t="str">
        <f>VLOOKUP(F65,'TRA balance'!$BA$5:$BB$14,2,FALSE)</f>
        <v>TRABDS</v>
      </c>
      <c r="C65" s="6" t="str">
        <f t="shared" si="48"/>
        <v>TR</v>
      </c>
      <c r="D65" s="7" t="s">
        <v>16</v>
      </c>
      <c r="E65" s="18" t="s">
        <v>65</v>
      </c>
      <c r="F65" s="8" t="str">
        <f t="shared" si="84"/>
        <v>Bio Diesel</v>
      </c>
      <c r="G65" s="6" t="s">
        <v>66</v>
      </c>
      <c r="H65" s="9">
        <f ca="1">OFFSET(TIAM15_assumptions!$G65,0,MATCH(VLOOKUP(Assumptions!H$2,TIAM15_assumptions!$Y$3:$Z$87,2,FALSE),TIAM15_assumptions!$H$2:$V$2,0))</f>
        <v>0</v>
      </c>
      <c r="I65" s="9">
        <f ca="1">OFFSET(TIAM15_assumptions!$G65,0,MATCH(VLOOKUP(Assumptions!I$2,TIAM15_assumptions!$Y$3:$Z$87,2,FALSE),TIAM15_assumptions!$H$2:$V$2,0))</f>
        <v>0</v>
      </c>
      <c r="J65" s="9">
        <f ca="1">OFFSET(TIAM15_assumptions!$G65,0,MATCH(VLOOKUP(Assumptions!J$2,TIAM15_assumptions!$Y$3:$Z$87,2,FALSE),TIAM15_assumptions!$H$2:$V$2,0))</f>
        <v>0</v>
      </c>
      <c r="K65" s="9">
        <f ca="1">OFFSET(TIAM15_assumptions!$G65,0,MATCH(VLOOKUP(Assumptions!K$2,TIAM15_assumptions!$Y$3:$Z$87,2,FALSE),TIAM15_assumptions!$H$2:$V$2,0))</f>
        <v>0</v>
      </c>
      <c r="L65" s="9">
        <f ca="1">OFFSET(TIAM15_assumptions!$G65,0,MATCH(VLOOKUP(Assumptions!L$2,TIAM15_assumptions!$Y$3:$Z$87,2,FALSE),TIAM15_assumptions!$H$2:$V$2,0))</f>
        <v>0</v>
      </c>
      <c r="M65" s="9">
        <f ca="1">OFFSET(TIAM15_assumptions!$G65,0,MATCH(VLOOKUP(Assumptions!M$2,TIAM15_assumptions!$Y$3:$Z$87,2,FALSE),TIAM15_assumptions!$H$2:$V$2,0))</f>
        <v>0</v>
      </c>
      <c r="N65" s="9">
        <f ca="1">OFFSET(TIAM15_assumptions!$G65,0,MATCH(VLOOKUP(Assumptions!N$2,TIAM15_assumptions!$Y$3:$Z$87,2,FALSE),TIAM15_assumptions!$H$2:$V$2,0))</f>
        <v>0.01</v>
      </c>
      <c r="O65" s="9">
        <f ca="1">OFFSET(TIAM15_assumptions!$G65,0,MATCH(VLOOKUP(Assumptions!O$2,TIAM15_assumptions!$Y$3:$Z$87,2,FALSE),TIAM15_assumptions!$H$2:$V$2,0))</f>
        <v>0.6</v>
      </c>
      <c r="P65" s="9">
        <f ca="1">OFFSET(TIAM15_assumptions!$G65,0,MATCH(VLOOKUP(Assumptions!P$2,TIAM15_assumptions!$Y$3:$Z$87,2,FALSE),TIAM15_assumptions!$H$2:$V$2,0))</f>
        <v>0</v>
      </c>
      <c r="Q65" s="9">
        <f ca="1">OFFSET(TIAM15_assumptions!$G65,0,MATCH(VLOOKUP(Assumptions!Q$2,TIAM15_assumptions!$Y$3:$Z$87,2,FALSE),TIAM15_assumptions!$H$2:$V$2,0))</f>
        <v>0</v>
      </c>
      <c r="R65" s="9">
        <f ca="1">OFFSET(TIAM15_assumptions!$G65,0,MATCH(VLOOKUP(Assumptions!R$2,TIAM15_assumptions!$Y$3:$Z$87,2,FALSE),TIAM15_assumptions!$H$2:$V$2,0))</f>
        <v>0</v>
      </c>
      <c r="S65" s="9">
        <f ca="1">OFFSET(TIAM15_assumptions!$G65,0,MATCH(VLOOKUP(Assumptions!S$2,TIAM15_assumptions!$Y$3:$Z$87,2,FALSE),TIAM15_assumptions!$H$2:$V$2,0))</f>
        <v>0</v>
      </c>
      <c r="T65" s="9">
        <f ca="1">OFFSET(TIAM15_assumptions!$G65,0,MATCH(VLOOKUP(Assumptions!T$2,TIAM15_assumptions!$Y$3:$Z$87,2,FALSE),TIAM15_assumptions!$H$2:$V$2,0))</f>
        <v>0</v>
      </c>
      <c r="U65" s="9">
        <f ca="1">OFFSET(TIAM15_assumptions!$G65,0,MATCH(VLOOKUP(Assumptions!U$2,TIAM15_assumptions!$Y$3:$Z$87,2,FALSE),TIAM15_assumptions!$H$2:$V$2,0))</f>
        <v>0</v>
      </c>
      <c r="V65" s="9">
        <f ca="1">OFFSET(TIAM15_assumptions!$G65,0,MATCH(VLOOKUP(Assumptions!V$2,TIAM15_assumptions!$Y$3:$Z$87,2,FALSE),TIAM15_assumptions!$H$2:$V$2,0))</f>
        <v>0</v>
      </c>
      <c r="W65" s="9">
        <f ca="1">OFFSET(TIAM15_assumptions!$G65,0,MATCH(VLOOKUP(Assumptions!W$2,TIAM15_assumptions!$Y$3:$Z$87,2,FALSE),TIAM15_assumptions!$H$2:$V$2,0))</f>
        <v>0.25</v>
      </c>
      <c r="X65" s="9">
        <f ca="1">OFFSET(TIAM15_assumptions!$G65,0,MATCH(VLOOKUP(Assumptions!X$2,TIAM15_assumptions!$Y$3:$Z$87,2,FALSE),TIAM15_assumptions!$H$2:$V$2,0))</f>
        <v>0</v>
      </c>
      <c r="Y65" s="9">
        <f ca="1">OFFSET(TIAM15_assumptions!$G65,0,MATCH(VLOOKUP(Assumptions!Y$2,TIAM15_assumptions!$Y$3:$Z$87,2,FALSE),TIAM15_assumptions!$H$2:$V$2,0))</f>
        <v>0</v>
      </c>
      <c r="Z65" s="9">
        <f ca="1">OFFSET(TIAM15_assumptions!$G65,0,MATCH(VLOOKUP(Assumptions!Z$2,TIAM15_assumptions!$Y$3:$Z$87,2,FALSE),TIAM15_assumptions!$H$2:$V$2,0))</f>
        <v>0.01</v>
      </c>
      <c r="AA65" s="9">
        <f ca="1">OFFSET(TIAM15_assumptions!$G65,0,MATCH(VLOOKUP(Assumptions!AA$2,TIAM15_assumptions!$Y$3:$Z$87,2,FALSE),TIAM15_assumptions!$H$2:$V$2,0))</f>
        <v>0.01</v>
      </c>
      <c r="AB65" s="9">
        <f ca="1">OFFSET(TIAM15_assumptions!$G65,0,MATCH(VLOOKUP(Assumptions!AB$2,TIAM15_assumptions!$Y$3:$Z$87,2,FALSE),TIAM15_assumptions!$H$2:$V$2,0))</f>
        <v>0</v>
      </c>
      <c r="AC65" s="9">
        <f ca="1">OFFSET(TIAM15_assumptions!$G65,0,MATCH(VLOOKUP(Assumptions!AC$2,TIAM15_assumptions!$Y$3:$Z$87,2,FALSE),TIAM15_assumptions!$H$2:$V$2,0))</f>
        <v>0</v>
      </c>
      <c r="AD65" s="9">
        <f ca="1">OFFSET(TIAM15_assumptions!$G65,0,MATCH(VLOOKUP(Assumptions!AD$2,TIAM15_assumptions!$Y$3:$Z$87,2,FALSE),TIAM15_assumptions!$H$2:$V$2,0))</f>
        <v>0</v>
      </c>
      <c r="AE65" s="9">
        <f ca="1">OFFSET(TIAM15_assumptions!$G65,0,MATCH(VLOOKUP(Assumptions!AE$2,TIAM15_assumptions!$Y$3:$Z$87,2,FALSE),TIAM15_assumptions!$H$2:$V$2,0))</f>
        <v>0</v>
      </c>
      <c r="AF65" s="9">
        <f ca="1">OFFSET(TIAM15_assumptions!$G65,0,MATCH(VLOOKUP(Assumptions!AF$2,TIAM15_assumptions!$Y$3:$Z$87,2,FALSE),TIAM15_assumptions!$H$2:$V$2,0))</f>
        <v>0</v>
      </c>
      <c r="AG65" s="9">
        <f ca="1">OFFSET(TIAM15_assumptions!$G65,0,MATCH(VLOOKUP(Assumptions!AG$2,TIAM15_assumptions!$Y$3:$Z$87,2,FALSE),TIAM15_assumptions!$H$2:$V$2,0))</f>
        <v>0</v>
      </c>
      <c r="AH65" s="9">
        <f ca="1">OFFSET(TIAM15_assumptions!$G65,0,MATCH(VLOOKUP(Assumptions!AH$2,TIAM15_assumptions!$Y$3:$Z$87,2,FALSE),TIAM15_assumptions!$H$2:$V$2,0))</f>
        <v>0</v>
      </c>
      <c r="AI65" s="9">
        <f ca="1">OFFSET(TIAM15_assumptions!$G65,0,MATCH(VLOOKUP(Assumptions!AI$2,TIAM15_assumptions!$Y$3:$Z$87,2,FALSE),TIAM15_assumptions!$H$2:$V$2,0))</f>
        <v>0</v>
      </c>
      <c r="AJ65" s="9">
        <f ca="1">OFFSET(TIAM15_assumptions!$G65,0,MATCH(VLOOKUP(Assumptions!AJ$2,TIAM15_assumptions!$Y$3:$Z$87,2,FALSE),TIAM15_assumptions!$H$2:$V$2,0))</f>
        <v>0</v>
      </c>
      <c r="AK65" s="9">
        <f ca="1">OFFSET(TIAM15_assumptions!$G65,0,MATCH(VLOOKUP(Assumptions!AK$2,TIAM15_assumptions!$Y$3:$Z$87,2,FALSE),TIAM15_assumptions!$H$2:$V$2,0))</f>
        <v>0</v>
      </c>
      <c r="AL65" s="9">
        <f ca="1">OFFSET(TIAM15_assumptions!$G65,0,MATCH(VLOOKUP(Assumptions!AL$2,TIAM15_assumptions!$Y$3:$Z$87,2,FALSE),TIAM15_assumptions!$H$2:$V$2,0))</f>
        <v>0</v>
      </c>
      <c r="AM65" s="9">
        <f ca="1">OFFSET(TIAM15_assumptions!$G65,0,MATCH(VLOOKUP(Assumptions!AM$2,TIAM15_assumptions!$Y$3:$Z$87,2,FALSE),TIAM15_assumptions!$H$2:$V$2,0))</f>
        <v>0</v>
      </c>
      <c r="AN65" s="9">
        <f ca="1">OFFSET(TIAM15_assumptions!$G65,0,MATCH(VLOOKUP(Assumptions!AN$2,TIAM15_assumptions!$Y$3:$Z$87,2,FALSE),TIAM15_assumptions!$H$2:$V$2,0))</f>
        <v>0</v>
      </c>
      <c r="AO65" s="9">
        <f ca="1">OFFSET(TIAM15_assumptions!$G65,0,MATCH(VLOOKUP(Assumptions!AO$2,TIAM15_assumptions!$Y$3:$Z$87,2,FALSE),TIAM15_assumptions!$H$2:$V$2,0))</f>
        <v>0</v>
      </c>
      <c r="AP65" s="9">
        <f ca="1">OFFSET(TIAM15_assumptions!$G65,0,MATCH(VLOOKUP(Assumptions!AP$2,TIAM15_assumptions!$Y$3:$Z$87,2,FALSE),TIAM15_assumptions!$H$2:$V$2,0))</f>
        <v>0</v>
      </c>
      <c r="AQ65" s="9">
        <f ca="1">OFFSET(TIAM15_assumptions!$G65,0,MATCH(VLOOKUP(Assumptions!AQ$2,TIAM15_assumptions!$Y$3:$Z$87,2,FALSE),TIAM15_assumptions!$H$2:$V$2,0))</f>
        <v>0</v>
      </c>
      <c r="AR65" s="9">
        <f ca="1">OFFSET(TIAM15_assumptions!$G65,0,MATCH(VLOOKUP(Assumptions!AR$2,TIAM15_assumptions!$Y$3:$Z$87,2,FALSE),TIAM15_assumptions!$H$2:$V$2,0))</f>
        <v>0</v>
      </c>
      <c r="AS65" s="9">
        <f ca="1">OFFSET(TIAM15_assumptions!$G65,0,MATCH(VLOOKUP(Assumptions!AS$2,TIAM15_assumptions!$Y$3:$Z$87,2,FALSE),TIAM15_assumptions!$H$2:$V$2,0))</f>
        <v>0</v>
      </c>
      <c r="AT65" s="9">
        <f ca="1">OFFSET(TIAM15_assumptions!$G65,0,MATCH(VLOOKUP(Assumptions!AT$2,TIAM15_assumptions!$Y$3:$Z$87,2,FALSE),TIAM15_assumptions!$H$2:$V$2,0))</f>
        <v>0</v>
      </c>
      <c r="AU65" s="9">
        <f ca="1">OFFSET(TIAM15_assumptions!$G65,0,MATCH(VLOOKUP(Assumptions!AU$2,TIAM15_assumptions!$Y$3:$Z$87,2,FALSE),TIAM15_assumptions!$H$2:$V$2,0))</f>
        <v>0</v>
      </c>
      <c r="AV65" s="9">
        <f ca="1">OFFSET(TIAM15_assumptions!$G65,0,MATCH(VLOOKUP(Assumptions!AV$2,TIAM15_assumptions!$Y$3:$Z$87,2,FALSE),TIAM15_assumptions!$H$2:$V$2,0))</f>
        <v>0</v>
      </c>
      <c r="AW65" s="9">
        <f ca="1">OFFSET(TIAM15_assumptions!$G65,0,MATCH(VLOOKUP(Assumptions!AW$2,TIAM15_assumptions!$Y$3:$Z$87,2,FALSE),TIAM15_assumptions!$H$2:$V$2,0))</f>
        <v>0</v>
      </c>
      <c r="AX65" s="9">
        <f ca="1">OFFSET(TIAM15_assumptions!$G65,0,MATCH(VLOOKUP(Assumptions!AX$2,TIAM15_assumptions!$Y$3:$Z$87,2,FALSE),TIAM15_assumptions!$H$2:$V$2,0))</f>
        <v>0</v>
      </c>
      <c r="AY65" s="9">
        <f ca="1">OFFSET(TIAM15_assumptions!$G65,0,MATCH(VLOOKUP(Assumptions!AY$2,TIAM15_assumptions!$Y$3:$Z$87,2,FALSE),TIAM15_assumptions!$H$2:$V$2,0))</f>
        <v>0</v>
      </c>
      <c r="AZ65" s="9">
        <f ca="1">OFFSET(TIAM15_assumptions!$G65,0,MATCH(VLOOKUP(Assumptions!AZ$2,TIAM15_assumptions!$Y$3:$Z$87,2,FALSE),TIAM15_assumptions!$H$2:$V$2,0))</f>
        <v>0</v>
      </c>
      <c r="BA65" s="9">
        <f ca="1">OFFSET(TIAM15_assumptions!$G65,0,MATCH(VLOOKUP(Assumptions!BA$2,TIAM15_assumptions!$Y$3:$Z$87,2,FALSE),TIAM15_assumptions!$H$2:$V$2,0))</f>
        <v>0</v>
      </c>
      <c r="BD65" s="34">
        <f ca="1">IFERROR(SUMIFS('TRA balance'!E$5:E$40,'TRA balance'!$C$5:$C$40,Assumptions!$C65,'TRA balance'!$D$5:$D$40,Assumptions!$B65)*CY65*H65,"")</f>
        <v>0</v>
      </c>
      <c r="BE65" s="34">
        <f ca="1">IFERROR(SUMIFS('TRA balance'!F$5:F$40,'TRA balance'!$C$5:$C$40,Assumptions!$C65,'TRA balance'!$D$5:$D$40,Assumptions!$B65)*CZ65*I65,"")</f>
        <v>0</v>
      </c>
      <c r="BF65" s="34">
        <f ca="1">IFERROR(SUMIFS('TRA balance'!G$5:G$40,'TRA balance'!$C$5:$C$40,Assumptions!$C65,'TRA balance'!$D$5:$D$40,Assumptions!$B65)*DA65*J65,"")</f>
        <v>0</v>
      </c>
      <c r="BG65" s="34">
        <f ca="1">IFERROR(SUMIFS('TRA balance'!H$5:H$40,'TRA balance'!$C$5:$C$40,Assumptions!$C65,'TRA balance'!$D$5:$D$40,Assumptions!$B65)*DB65*K65,"")</f>
        <v>0</v>
      </c>
      <c r="BH65" s="34">
        <f ca="1">IFERROR(SUMIFS('TRA balance'!I$5:I$40,'TRA balance'!$C$5:$C$40,Assumptions!$C65,'TRA balance'!$D$5:$D$40,Assumptions!$B65)*DC65*L65,"")</f>
        <v>0</v>
      </c>
      <c r="BI65" s="34">
        <f ca="1">IFERROR(SUMIFS('TRA balance'!J$5:J$40,'TRA balance'!$C$5:$C$40,Assumptions!$C65,'TRA balance'!$D$5:$D$40,Assumptions!$B65)*DD65*M65,"")</f>
        <v>0</v>
      </c>
      <c r="BJ65" s="34">
        <f ca="1">IFERROR(SUMIFS('TRA balance'!K$5:K$40,'TRA balance'!$C$5:$C$40,Assumptions!$C65,'TRA balance'!$D$5:$D$40,Assumptions!$B65)*DE65*N65,"")</f>
        <v>0.45572094700776006</v>
      </c>
      <c r="BK65" s="34">
        <f ca="1">IFERROR(SUMIFS('TRA balance'!L$5:L$40,'TRA balance'!$C$5:$C$40,Assumptions!$C65,'TRA balance'!$D$5:$D$40,Assumptions!$B65)*DF65*O65,"")</f>
        <v>2.2742400337199999</v>
      </c>
      <c r="BL65" s="34">
        <f ca="1">IFERROR(SUMIFS('TRA balance'!M$5:M$40,'TRA balance'!$C$5:$C$40,Assumptions!$C65,'TRA balance'!$D$5:$D$40,Assumptions!$B65)*DG65*P65,"")</f>
        <v>0</v>
      </c>
      <c r="BM65" s="34">
        <f ca="1">IFERROR(SUMIFS('TRA balance'!N$5:N$40,'TRA balance'!$C$5:$C$40,Assumptions!$C65,'TRA balance'!$D$5:$D$40,Assumptions!$B65)*DH65*Q65,"")</f>
        <v>0</v>
      </c>
      <c r="BN65" s="34">
        <f ca="1">IFERROR(SUMIFS('TRA balance'!O$5:O$40,'TRA balance'!$C$5:$C$40,Assumptions!$C65,'TRA balance'!$D$5:$D$40,Assumptions!$B65)*DI65*R65,"")</f>
        <v>0</v>
      </c>
      <c r="BO65" s="34">
        <f ca="1">IFERROR(SUMIFS('TRA balance'!P$5:P$40,'TRA balance'!$C$5:$C$40,Assumptions!$C65,'TRA balance'!$D$5:$D$40,Assumptions!$B65)*DJ65*S65,"")</f>
        <v>0</v>
      </c>
      <c r="BP65" s="34">
        <f ca="1">IFERROR(SUMIFS('TRA balance'!Q$5:Q$40,'TRA balance'!$C$5:$C$40,Assumptions!$C65,'TRA balance'!$D$5:$D$40,Assumptions!$B65)*DK65*T65,"")</f>
        <v>0</v>
      </c>
      <c r="BQ65" s="34">
        <f ca="1">IFERROR(SUMIFS('TRA balance'!R$5:R$40,'TRA balance'!$C$5:$C$40,Assumptions!$C65,'TRA balance'!$D$5:$D$40,Assumptions!$B65)*DL65*U65,"")</f>
        <v>0</v>
      </c>
      <c r="BR65" s="34">
        <f ca="1">IFERROR(SUMIFS('TRA balance'!S$5:S$40,'TRA balance'!$C$5:$C$40,Assumptions!$C65,'TRA balance'!$D$5:$D$40,Assumptions!$B65)*DM65*V65,"")</f>
        <v>0</v>
      </c>
      <c r="BS65" s="34">
        <f ca="1">IFERROR(SUMIFS('TRA balance'!T$5:T$40,'TRA balance'!$C$5:$C$40,Assumptions!$C65,'TRA balance'!$D$5:$D$40,Assumptions!$B65)*DN65*W65,"")</f>
        <v>0.1023086448</v>
      </c>
      <c r="BT65" s="34">
        <f ca="1">IFERROR(SUMIFS('TRA balance'!U$5:U$40,'TRA balance'!$C$5:$C$40,Assumptions!$C65,'TRA balance'!$D$5:$D$40,Assumptions!$B65)*DO65*X65,"")</f>
        <v>0</v>
      </c>
      <c r="BU65" s="34">
        <f ca="1">IFERROR(SUMIFS('TRA balance'!V$5:V$40,'TRA balance'!$C$5:$C$40,Assumptions!$C65,'TRA balance'!$D$5:$D$40,Assumptions!$B65)*DP65*Y65,"")</f>
        <v>0</v>
      </c>
      <c r="BV65" s="34">
        <f ca="1">IFERROR(SUMIFS('TRA balance'!W$5:W$40,'TRA balance'!$C$5:$C$40,Assumptions!$C65,'TRA balance'!$D$5:$D$40,Assumptions!$B65)*DQ65*Z65,"")</f>
        <v>2.5962346800000003E-4</v>
      </c>
      <c r="BW65" s="34">
        <f ca="1">IFERROR(SUMIFS('TRA balance'!X$5:X$40,'TRA balance'!$C$5:$C$40,Assumptions!$C65,'TRA balance'!$D$5:$D$40,Assumptions!$B65)*DR65*AA65,"")</f>
        <v>5.1984469799640005E-2</v>
      </c>
      <c r="BX65" s="34">
        <f ca="1">IFERROR(SUMIFS('TRA balance'!Y$5:Y$40,'TRA balance'!$C$5:$C$40,Assumptions!$C65,'TRA balance'!$D$5:$D$40,Assumptions!$B65)*DS65*AB65,"")</f>
        <v>0</v>
      </c>
      <c r="BY65" s="34">
        <f ca="1">IFERROR(SUMIFS('TRA balance'!Z$5:Z$40,'TRA balance'!$C$5:$C$40,Assumptions!$C65,'TRA balance'!$D$5:$D$40,Assumptions!$B65)*DT65*AC65,"")</f>
        <v>0</v>
      </c>
      <c r="BZ65" s="34">
        <f ca="1">IFERROR(SUMIFS('TRA balance'!AA$5:AA$40,'TRA balance'!$C$5:$C$40,Assumptions!$C65,'TRA balance'!$D$5:$D$40,Assumptions!$B65)*DU65*AD65,"")</f>
        <v>0</v>
      </c>
      <c r="CA65" s="34">
        <f ca="1">IFERROR(SUMIFS('TRA balance'!AB$5:AB$40,'TRA balance'!$C$5:$C$40,Assumptions!$C65,'TRA balance'!$D$5:$D$40,Assumptions!$B65)*DV65*AE65,"")</f>
        <v>0</v>
      </c>
      <c r="CB65" s="34">
        <f ca="1">IFERROR(SUMIFS('TRA balance'!AC$5:AC$40,'TRA balance'!$C$5:$C$40,Assumptions!$C65,'TRA balance'!$D$5:$D$40,Assumptions!$B65)*DW65*AF65,"")</f>
        <v>0</v>
      </c>
      <c r="CC65" s="34">
        <f ca="1">IFERROR(SUMIFS('TRA balance'!AD$5:AD$40,'TRA balance'!$C$5:$C$40,Assumptions!$C65,'TRA balance'!$D$5:$D$40,Assumptions!$B65)*DX65*AG65,"")</f>
        <v>0</v>
      </c>
      <c r="CD65" s="34">
        <f ca="1">IFERROR(SUMIFS('TRA balance'!AE$5:AE$40,'TRA balance'!$C$5:$C$40,Assumptions!$C65,'TRA balance'!$D$5:$D$40,Assumptions!$B65)*DY65*AH65,"")</f>
        <v>0</v>
      </c>
      <c r="CE65" s="34">
        <f ca="1">IFERROR(SUMIFS('TRA balance'!AF$5:AF$40,'TRA balance'!$C$5:$C$40,Assumptions!$C65,'TRA balance'!$D$5:$D$40,Assumptions!$B65)*DZ65*AI65,"")</f>
        <v>0</v>
      </c>
      <c r="CF65" s="34">
        <f ca="1">IFERROR(SUMIFS('TRA balance'!AG$5:AG$40,'TRA balance'!$C$5:$C$40,Assumptions!$C65,'TRA balance'!$D$5:$D$40,Assumptions!$B65)*EA65*AJ65,"")</f>
        <v>0</v>
      </c>
      <c r="CG65" s="34">
        <f ca="1">IFERROR(SUMIFS('TRA balance'!AH$5:AH$40,'TRA balance'!$C$5:$C$40,Assumptions!$C65,'TRA balance'!$D$5:$D$40,Assumptions!$B65)*EB65*AK65,"")</f>
        <v>0</v>
      </c>
      <c r="CH65" s="34">
        <f ca="1">IFERROR(SUMIFS('TRA balance'!AI$5:AI$40,'TRA balance'!$C$5:$C$40,Assumptions!$C65,'TRA balance'!$D$5:$D$40,Assumptions!$B65)*EC65*AL65,"")</f>
        <v>0</v>
      </c>
      <c r="CI65" s="34">
        <f ca="1">IFERROR(SUMIFS('TRA balance'!AJ$5:AJ$40,'TRA balance'!$C$5:$C$40,Assumptions!$C65,'TRA balance'!$D$5:$D$40,Assumptions!$B65)*ED65*AM65,"")</f>
        <v>0</v>
      </c>
      <c r="CJ65" s="34">
        <f ca="1">IFERROR(SUMIFS('TRA balance'!AK$5:AK$40,'TRA balance'!$C$5:$C$40,Assumptions!$C65,'TRA balance'!$D$5:$D$40,Assumptions!$B65)*EE65*AN65,"")</f>
        <v>0</v>
      </c>
      <c r="CK65" s="34">
        <f ca="1">IFERROR(SUMIFS('TRA balance'!AL$5:AL$40,'TRA balance'!$C$5:$C$40,Assumptions!$C65,'TRA balance'!$D$5:$D$40,Assumptions!$B65)*EF65*AO65,"")</f>
        <v>0</v>
      </c>
      <c r="CL65" s="34">
        <f ca="1">IFERROR(SUMIFS('TRA balance'!AM$5:AM$40,'TRA balance'!$C$5:$C$40,Assumptions!$C65,'TRA balance'!$D$5:$D$40,Assumptions!$B65)*EG65*AP65,"")</f>
        <v>0</v>
      </c>
      <c r="CM65" s="34">
        <f ca="1">IFERROR(SUMIFS('TRA balance'!AN$5:AN$40,'TRA balance'!$C$5:$C$40,Assumptions!$C65,'TRA balance'!$D$5:$D$40,Assumptions!$B65)*EH65*AQ65,"")</f>
        <v>0</v>
      </c>
      <c r="CN65" s="34">
        <f ca="1">IFERROR(SUMIFS('TRA balance'!AO$5:AO$40,'TRA balance'!$C$5:$C$40,Assumptions!$C65,'TRA balance'!$D$5:$D$40,Assumptions!$B65)*EI65*AR65,"")</f>
        <v>0</v>
      </c>
      <c r="CO65" s="34">
        <f ca="1">IFERROR(SUMIFS('TRA balance'!AP$5:AP$40,'TRA balance'!$C$5:$C$40,Assumptions!$C65,'TRA balance'!$D$5:$D$40,Assumptions!$B65)*EJ65*AS65,"")</f>
        <v>0</v>
      </c>
      <c r="CP65" s="34">
        <f ca="1">IFERROR(SUMIFS('TRA balance'!AQ$5:AQ$40,'TRA balance'!$C$5:$C$40,Assumptions!$C65,'TRA balance'!$D$5:$D$40,Assumptions!$B65)*EK65*AT65,"")</f>
        <v>0</v>
      </c>
      <c r="CQ65" s="34">
        <f ca="1">IFERROR(SUMIFS('TRA balance'!AR$5:AR$40,'TRA balance'!$C$5:$C$40,Assumptions!$C65,'TRA balance'!$D$5:$D$40,Assumptions!$B65)*EL65*AU65,"")</f>
        <v>0</v>
      </c>
      <c r="CR65" s="34">
        <f ca="1">IFERROR(SUMIFS('TRA balance'!AS$5:AS$40,'TRA balance'!$C$5:$C$40,Assumptions!$C65,'TRA balance'!$D$5:$D$40,Assumptions!$B65)*EM65*AV65,"")</f>
        <v>0</v>
      </c>
      <c r="CS65" s="34">
        <f ca="1">IFERROR(SUMIFS('TRA balance'!AT$5:AT$40,'TRA balance'!$C$5:$C$40,Assumptions!$C65,'TRA balance'!$D$5:$D$40,Assumptions!$B65)*EN65*AW65,"")</f>
        <v>0</v>
      </c>
      <c r="CT65" s="34">
        <f ca="1">IFERROR(SUMIFS('TRA balance'!AU$5:AU$40,'TRA balance'!$C$5:$C$40,Assumptions!$C65,'TRA balance'!$D$5:$D$40,Assumptions!$B65)*EO65*AX65,"")</f>
        <v>0</v>
      </c>
      <c r="CU65" s="34">
        <f ca="1">IFERROR(SUMIFS('TRA balance'!AV$5:AV$40,'TRA balance'!$C$5:$C$40,Assumptions!$C65,'TRA balance'!$D$5:$D$40,Assumptions!$B65)*EP65*AY65,"")</f>
        <v>0</v>
      </c>
      <c r="CV65" s="34">
        <f ca="1">IFERROR(SUMIFS('TRA balance'!AW$5:AW$40,'TRA balance'!$C$5:$C$40,Assumptions!$C65,'TRA balance'!$D$5:$D$40,Assumptions!$B65)*EQ65*AZ65,"")</f>
        <v>0</v>
      </c>
      <c r="CW65" s="34">
        <f ca="1">IFERROR(SUMIFS('TRA balance'!AX$5:AX$40,'TRA balance'!$C$5:$C$40,Assumptions!$C65,'TRA balance'!$D$5:$D$40,Assumptions!$B65)*ER65*BA65,"")</f>
        <v>0</v>
      </c>
      <c r="CY65" s="33">
        <f t="shared" ca="1" si="66"/>
        <v>0.1</v>
      </c>
      <c r="CZ65" s="33">
        <f t="shared" ca="1" si="3"/>
        <v>0.1</v>
      </c>
      <c r="DA65" s="33">
        <f t="shared" ca="1" si="4"/>
        <v>0.02</v>
      </c>
      <c r="DB65" s="33">
        <f t="shared" ca="1" si="5"/>
        <v>0.2</v>
      </c>
      <c r="DC65" s="33">
        <f t="shared" ca="1" si="6"/>
        <v>0.05</v>
      </c>
      <c r="DD65" s="33">
        <f t="shared" ca="1" si="7"/>
        <v>0.2</v>
      </c>
      <c r="DE65" s="33">
        <f t="shared" ca="1" si="8"/>
        <v>7.0000000000000007E-2</v>
      </c>
      <c r="DF65" s="33">
        <f t="shared" ca="1" si="9"/>
        <v>0.1</v>
      </c>
      <c r="DG65" s="33">
        <f t="shared" ca="1" si="10"/>
        <v>0.2</v>
      </c>
      <c r="DH65" s="33">
        <f t="shared" ca="1" si="11"/>
        <v>0.2</v>
      </c>
      <c r="DI65" s="33">
        <f t="shared" ca="1" si="12"/>
        <v>0.2</v>
      </c>
      <c r="DJ65" s="33">
        <f t="shared" ca="1" si="13"/>
        <v>0.2</v>
      </c>
      <c r="DK65" s="33">
        <f t="shared" ca="1" si="14"/>
        <v>0.2</v>
      </c>
      <c r="DL65" s="33">
        <f t="shared" ca="1" si="15"/>
        <v>0.2</v>
      </c>
      <c r="DM65" s="33">
        <f t="shared" ca="1" si="16"/>
        <v>0.2</v>
      </c>
      <c r="DN65" s="33">
        <f t="shared" ca="1" si="17"/>
        <v>0.25</v>
      </c>
      <c r="DO65" s="33">
        <f t="shared" ca="1" si="18"/>
        <v>0.2</v>
      </c>
      <c r="DP65" s="33">
        <f t="shared" ca="1" si="19"/>
        <v>0.2</v>
      </c>
      <c r="DQ65" s="33">
        <f t="shared" ca="1" si="20"/>
        <v>0.05</v>
      </c>
      <c r="DR65" s="33">
        <f t="shared" ca="1" si="21"/>
        <v>7.0000000000000007E-2</v>
      </c>
      <c r="DS65" s="33">
        <f t="shared" ca="1" si="22"/>
        <v>0.1</v>
      </c>
      <c r="DT65" s="33">
        <f t="shared" ca="1" si="23"/>
        <v>2.4406421822616497E-2</v>
      </c>
      <c r="DU65" s="33">
        <f t="shared" ca="1" si="24"/>
        <v>0.2</v>
      </c>
      <c r="DV65" s="33">
        <f t="shared" ca="1" si="25"/>
        <v>0.2</v>
      </c>
      <c r="DW65" s="33">
        <f t="shared" ca="1" si="26"/>
        <v>0.08</v>
      </c>
      <c r="DX65" s="33">
        <f t="shared" ca="1" si="27"/>
        <v>0.05</v>
      </c>
      <c r="DY65" s="33">
        <f t="shared" ca="1" si="28"/>
        <v>0.1</v>
      </c>
      <c r="DZ65" s="33">
        <f t="shared" ca="1" si="29"/>
        <v>0.1</v>
      </c>
      <c r="EA65" s="33">
        <f t="shared" ca="1" si="30"/>
        <v>0.2</v>
      </c>
      <c r="EB65" s="33">
        <f t="shared" ca="1" si="31"/>
        <v>0.2</v>
      </c>
      <c r="EC65" s="33">
        <f t="shared" ca="1" si="32"/>
        <v>0.2</v>
      </c>
      <c r="ED65" s="33">
        <f t="shared" ca="1" si="33"/>
        <v>0.1</v>
      </c>
      <c r="EE65" s="33">
        <f t="shared" ca="1" si="34"/>
        <v>0.2</v>
      </c>
      <c r="EF65" s="33">
        <f t="shared" ca="1" si="35"/>
        <v>0.05</v>
      </c>
      <c r="EG65" s="33">
        <f t="shared" ca="1" si="36"/>
        <v>0.2</v>
      </c>
      <c r="EH65" s="33">
        <f t="shared" ca="1" si="37"/>
        <v>2.4406421822616497E-2</v>
      </c>
      <c r="EI65" s="33">
        <f t="shared" ca="1" si="38"/>
        <v>2.4406421822616497E-2</v>
      </c>
      <c r="EJ65" s="33">
        <f t="shared" ca="1" si="39"/>
        <v>2.4406421822616497E-2</v>
      </c>
      <c r="EK65" s="33">
        <f t="shared" ca="1" si="40"/>
        <v>2.4406421822616497E-2</v>
      </c>
      <c r="EL65" s="33">
        <f t="shared" ca="1" si="41"/>
        <v>2.4406421822616497E-2</v>
      </c>
      <c r="EM65" s="33">
        <f t="shared" ca="1" si="42"/>
        <v>2.4406421822616497E-2</v>
      </c>
      <c r="EN65" s="33">
        <f t="shared" ca="1" si="43"/>
        <v>2.4406421822616497E-2</v>
      </c>
      <c r="EO65" s="33">
        <f t="shared" ca="1" si="44"/>
        <v>2.4406421822616497E-2</v>
      </c>
      <c r="EP65" s="33">
        <f t="shared" ca="1" si="45"/>
        <v>2.4406421822616497E-2</v>
      </c>
      <c r="EQ65" s="33">
        <f t="shared" ca="1" si="46"/>
        <v>2.4406421822616497E-2</v>
      </c>
      <c r="ER65" s="33">
        <f t="shared" ca="1" si="47"/>
        <v>2.4406421822616497E-2</v>
      </c>
    </row>
    <row r="66" spans="1:148">
      <c r="A66">
        <v>1</v>
      </c>
      <c r="B66" t="str">
        <f>VLOOKUP(F66,'TRA balance'!$BA$5:$BB$14,2,FALSE)</f>
        <v>TRABDS</v>
      </c>
      <c r="C66" s="6" t="str">
        <f t="shared" si="48"/>
        <v>TR</v>
      </c>
      <c r="D66" s="7" t="s">
        <v>16</v>
      </c>
      <c r="E66" s="18" t="s">
        <v>67</v>
      </c>
      <c r="F66" s="8" t="str">
        <f t="shared" si="84"/>
        <v>Bio Diesel</v>
      </c>
      <c r="G66" s="6" t="s">
        <v>68</v>
      </c>
      <c r="H66" s="9">
        <f ca="1">OFFSET(TIAM15_assumptions!$G66,0,MATCH(VLOOKUP(Assumptions!H$2,TIAM15_assumptions!$Y$3:$Z$87,2,FALSE),TIAM15_assumptions!$H$2:$V$2,0))</f>
        <v>0</v>
      </c>
      <c r="I66" s="9">
        <f ca="1">OFFSET(TIAM15_assumptions!$G66,0,MATCH(VLOOKUP(Assumptions!I$2,TIAM15_assumptions!$Y$3:$Z$87,2,FALSE),TIAM15_assumptions!$H$2:$V$2,0))</f>
        <v>0</v>
      </c>
      <c r="J66" s="9">
        <f ca="1">OFFSET(TIAM15_assumptions!$G66,0,MATCH(VLOOKUP(Assumptions!J$2,TIAM15_assumptions!$Y$3:$Z$87,2,FALSE),TIAM15_assumptions!$H$2:$V$2,0))</f>
        <v>0</v>
      </c>
      <c r="K66" s="9">
        <f ca="1">OFFSET(TIAM15_assumptions!$G66,0,MATCH(VLOOKUP(Assumptions!K$2,TIAM15_assumptions!$Y$3:$Z$87,2,FALSE),TIAM15_assumptions!$H$2:$V$2,0))</f>
        <v>0</v>
      </c>
      <c r="L66" s="9">
        <f ca="1">OFFSET(TIAM15_assumptions!$G66,0,MATCH(VLOOKUP(Assumptions!L$2,TIAM15_assumptions!$Y$3:$Z$87,2,FALSE),TIAM15_assumptions!$H$2:$V$2,0))</f>
        <v>0</v>
      </c>
      <c r="M66" s="9">
        <f ca="1">OFFSET(TIAM15_assumptions!$G66,0,MATCH(VLOOKUP(Assumptions!M$2,TIAM15_assumptions!$Y$3:$Z$87,2,FALSE),TIAM15_assumptions!$H$2:$V$2,0))</f>
        <v>0</v>
      </c>
      <c r="N66" s="9">
        <f ca="1">OFFSET(TIAM15_assumptions!$G66,0,MATCH(VLOOKUP(Assumptions!N$2,TIAM15_assumptions!$Y$3:$Z$87,2,FALSE),TIAM15_assumptions!$H$2:$V$2,0))</f>
        <v>0</v>
      </c>
      <c r="O66" s="9">
        <f ca="1">OFFSET(TIAM15_assumptions!$G66,0,MATCH(VLOOKUP(Assumptions!O$2,TIAM15_assumptions!$Y$3:$Z$87,2,FALSE),TIAM15_assumptions!$H$2:$V$2,0))</f>
        <v>0</v>
      </c>
      <c r="P66" s="9">
        <f ca="1">OFFSET(TIAM15_assumptions!$G66,0,MATCH(VLOOKUP(Assumptions!P$2,TIAM15_assumptions!$Y$3:$Z$87,2,FALSE),TIAM15_assumptions!$H$2:$V$2,0))</f>
        <v>0</v>
      </c>
      <c r="Q66" s="9">
        <f ca="1">OFFSET(TIAM15_assumptions!$G66,0,MATCH(VLOOKUP(Assumptions!Q$2,TIAM15_assumptions!$Y$3:$Z$87,2,FALSE),TIAM15_assumptions!$H$2:$V$2,0))</f>
        <v>0</v>
      </c>
      <c r="R66" s="9">
        <f ca="1">OFFSET(TIAM15_assumptions!$G66,0,MATCH(VLOOKUP(Assumptions!R$2,TIAM15_assumptions!$Y$3:$Z$87,2,FALSE),TIAM15_assumptions!$H$2:$V$2,0))</f>
        <v>0</v>
      </c>
      <c r="S66" s="9">
        <f ca="1">OFFSET(TIAM15_assumptions!$G66,0,MATCH(VLOOKUP(Assumptions!S$2,TIAM15_assumptions!$Y$3:$Z$87,2,FALSE),TIAM15_assumptions!$H$2:$V$2,0))</f>
        <v>0</v>
      </c>
      <c r="T66" s="9">
        <f ca="1">OFFSET(TIAM15_assumptions!$G66,0,MATCH(VLOOKUP(Assumptions!T$2,TIAM15_assumptions!$Y$3:$Z$87,2,FALSE),TIAM15_assumptions!$H$2:$V$2,0))</f>
        <v>0</v>
      </c>
      <c r="U66" s="9">
        <f ca="1">OFFSET(TIAM15_assumptions!$G66,0,MATCH(VLOOKUP(Assumptions!U$2,TIAM15_assumptions!$Y$3:$Z$87,2,FALSE),TIAM15_assumptions!$H$2:$V$2,0))</f>
        <v>0</v>
      </c>
      <c r="V66" s="9">
        <f ca="1">OFFSET(TIAM15_assumptions!$G66,0,MATCH(VLOOKUP(Assumptions!V$2,TIAM15_assumptions!$Y$3:$Z$87,2,FALSE),TIAM15_assumptions!$H$2:$V$2,0))</f>
        <v>0</v>
      </c>
      <c r="W66" s="9">
        <f ca="1">OFFSET(TIAM15_assumptions!$G66,0,MATCH(VLOOKUP(Assumptions!W$2,TIAM15_assumptions!$Y$3:$Z$87,2,FALSE),TIAM15_assumptions!$H$2:$V$2,0))</f>
        <v>0</v>
      </c>
      <c r="X66" s="9">
        <f ca="1">OFFSET(TIAM15_assumptions!$G66,0,MATCH(VLOOKUP(Assumptions!X$2,TIAM15_assumptions!$Y$3:$Z$87,2,FALSE),TIAM15_assumptions!$H$2:$V$2,0))</f>
        <v>0</v>
      </c>
      <c r="Y66" s="9">
        <f ca="1">OFFSET(TIAM15_assumptions!$G66,0,MATCH(VLOOKUP(Assumptions!Y$2,TIAM15_assumptions!$Y$3:$Z$87,2,FALSE),TIAM15_assumptions!$H$2:$V$2,0))</f>
        <v>0</v>
      </c>
      <c r="Z66" s="9">
        <f ca="1">OFFSET(TIAM15_assumptions!$G66,0,MATCH(VLOOKUP(Assumptions!Z$2,TIAM15_assumptions!$Y$3:$Z$87,2,FALSE),TIAM15_assumptions!$H$2:$V$2,0))</f>
        <v>0</v>
      </c>
      <c r="AA66" s="9">
        <f ca="1">OFFSET(TIAM15_assumptions!$G66,0,MATCH(VLOOKUP(Assumptions!AA$2,TIAM15_assumptions!$Y$3:$Z$87,2,FALSE),TIAM15_assumptions!$H$2:$V$2,0))</f>
        <v>0</v>
      </c>
      <c r="AB66" s="9">
        <f ca="1">OFFSET(TIAM15_assumptions!$G66,0,MATCH(VLOOKUP(Assumptions!AB$2,TIAM15_assumptions!$Y$3:$Z$87,2,FALSE),TIAM15_assumptions!$H$2:$V$2,0))</f>
        <v>0</v>
      </c>
      <c r="AC66" s="9">
        <f ca="1">OFFSET(TIAM15_assumptions!$G66,0,MATCH(VLOOKUP(Assumptions!AC$2,TIAM15_assumptions!$Y$3:$Z$87,2,FALSE),TIAM15_assumptions!$H$2:$V$2,0))</f>
        <v>0</v>
      </c>
      <c r="AD66" s="9">
        <f ca="1">OFFSET(TIAM15_assumptions!$G66,0,MATCH(VLOOKUP(Assumptions!AD$2,TIAM15_assumptions!$Y$3:$Z$87,2,FALSE),TIAM15_assumptions!$H$2:$V$2,0))</f>
        <v>0</v>
      </c>
      <c r="AE66" s="9">
        <f ca="1">OFFSET(TIAM15_assumptions!$G66,0,MATCH(VLOOKUP(Assumptions!AE$2,TIAM15_assumptions!$Y$3:$Z$87,2,FALSE),TIAM15_assumptions!$H$2:$V$2,0))</f>
        <v>0</v>
      </c>
      <c r="AF66" s="9">
        <f ca="1">OFFSET(TIAM15_assumptions!$G66,0,MATCH(VLOOKUP(Assumptions!AF$2,TIAM15_assumptions!$Y$3:$Z$87,2,FALSE),TIAM15_assumptions!$H$2:$V$2,0))</f>
        <v>0</v>
      </c>
      <c r="AG66" s="9">
        <f ca="1">OFFSET(TIAM15_assumptions!$G66,0,MATCH(VLOOKUP(Assumptions!AG$2,TIAM15_assumptions!$Y$3:$Z$87,2,FALSE),TIAM15_assumptions!$H$2:$V$2,0))</f>
        <v>0</v>
      </c>
      <c r="AH66" s="9">
        <f ca="1">OFFSET(TIAM15_assumptions!$G66,0,MATCH(VLOOKUP(Assumptions!AH$2,TIAM15_assumptions!$Y$3:$Z$87,2,FALSE),TIAM15_assumptions!$H$2:$V$2,0))</f>
        <v>0</v>
      </c>
      <c r="AI66" s="9">
        <f ca="1">OFFSET(TIAM15_assumptions!$G66,0,MATCH(VLOOKUP(Assumptions!AI$2,TIAM15_assumptions!$Y$3:$Z$87,2,FALSE),TIAM15_assumptions!$H$2:$V$2,0))</f>
        <v>0</v>
      </c>
      <c r="AJ66" s="9">
        <f ca="1">OFFSET(TIAM15_assumptions!$G66,0,MATCH(VLOOKUP(Assumptions!AJ$2,TIAM15_assumptions!$Y$3:$Z$87,2,FALSE),TIAM15_assumptions!$H$2:$V$2,0))</f>
        <v>0</v>
      </c>
      <c r="AK66" s="9">
        <f ca="1">OFFSET(TIAM15_assumptions!$G66,0,MATCH(VLOOKUP(Assumptions!AK$2,TIAM15_assumptions!$Y$3:$Z$87,2,FALSE),TIAM15_assumptions!$H$2:$V$2,0))</f>
        <v>0</v>
      </c>
      <c r="AL66" s="9">
        <f ca="1">OFFSET(TIAM15_assumptions!$G66,0,MATCH(VLOOKUP(Assumptions!AL$2,TIAM15_assumptions!$Y$3:$Z$87,2,FALSE),TIAM15_assumptions!$H$2:$V$2,0))</f>
        <v>0</v>
      </c>
      <c r="AM66" s="9">
        <f ca="1">OFFSET(TIAM15_assumptions!$G66,0,MATCH(VLOOKUP(Assumptions!AM$2,TIAM15_assumptions!$Y$3:$Z$87,2,FALSE),TIAM15_assumptions!$H$2:$V$2,0))</f>
        <v>0</v>
      </c>
      <c r="AN66" s="9">
        <f ca="1">OFFSET(TIAM15_assumptions!$G66,0,MATCH(VLOOKUP(Assumptions!AN$2,TIAM15_assumptions!$Y$3:$Z$87,2,FALSE),TIAM15_assumptions!$H$2:$V$2,0))</f>
        <v>0</v>
      </c>
      <c r="AO66" s="9">
        <f ca="1">OFFSET(TIAM15_assumptions!$G66,0,MATCH(VLOOKUP(Assumptions!AO$2,TIAM15_assumptions!$Y$3:$Z$87,2,FALSE),TIAM15_assumptions!$H$2:$V$2,0))</f>
        <v>0</v>
      </c>
      <c r="AP66" s="9">
        <f ca="1">OFFSET(TIAM15_assumptions!$G66,0,MATCH(VLOOKUP(Assumptions!AP$2,TIAM15_assumptions!$Y$3:$Z$87,2,FALSE),TIAM15_assumptions!$H$2:$V$2,0))</f>
        <v>0</v>
      </c>
      <c r="AQ66" s="9">
        <f ca="1">OFFSET(TIAM15_assumptions!$G66,0,MATCH(VLOOKUP(Assumptions!AQ$2,TIAM15_assumptions!$Y$3:$Z$87,2,FALSE),TIAM15_assumptions!$H$2:$V$2,0))</f>
        <v>0</v>
      </c>
      <c r="AR66" s="9">
        <f ca="1">OFFSET(TIAM15_assumptions!$G66,0,MATCH(VLOOKUP(Assumptions!AR$2,TIAM15_assumptions!$Y$3:$Z$87,2,FALSE),TIAM15_assumptions!$H$2:$V$2,0))</f>
        <v>0</v>
      </c>
      <c r="AS66" s="9">
        <f ca="1">OFFSET(TIAM15_assumptions!$G66,0,MATCH(VLOOKUP(Assumptions!AS$2,TIAM15_assumptions!$Y$3:$Z$87,2,FALSE),TIAM15_assumptions!$H$2:$V$2,0))</f>
        <v>0</v>
      </c>
      <c r="AT66" s="9">
        <f ca="1">OFFSET(TIAM15_assumptions!$G66,0,MATCH(VLOOKUP(Assumptions!AT$2,TIAM15_assumptions!$Y$3:$Z$87,2,FALSE),TIAM15_assumptions!$H$2:$V$2,0))</f>
        <v>0</v>
      </c>
      <c r="AU66" s="9">
        <f ca="1">OFFSET(TIAM15_assumptions!$G66,0,MATCH(VLOOKUP(Assumptions!AU$2,TIAM15_assumptions!$Y$3:$Z$87,2,FALSE),TIAM15_assumptions!$H$2:$V$2,0))</f>
        <v>0</v>
      </c>
      <c r="AV66" s="9">
        <f ca="1">OFFSET(TIAM15_assumptions!$G66,0,MATCH(VLOOKUP(Assumptions!AV$2,TIAM15_assumptions!$Y$3:$Z$87,2,FALSE),TIAM15_assumptions!$H$2:$V$2,0))</f>
        <v>0</v>
      </c>
      <c r="AW66" s="9">
        <f ca="1">OFFSET(TIAM15_assumptions!$G66,0,MATCH(VLOOKUP(Assumptions!AW$2,TIAM15_assumptions!$Y$3:$Z$87,2,FALSE),TIAM15_assumptions!$H$2:$V$2,0))</f>
        <v>0</v>
      </c>
      <c r="AX66" s="9">
        <f ca="1">OFFSET(TIAM15_assumptions!$G66,0,MATCH(VLOOKUP(Assumptions!AX$2,TIAM15_assumptions!$Y$3:$Z$87,2,FALSE),TIAM15_assumptions!$H$2:$V$2,0))</f>
        <v>0</v>
      </c>
      <c r="AY66" s="9">
        <f ca="1">OFFSET(TIAM15_assumptions!$G66,0,MATCH(VLOOKUP(Assumptions!AY$2,TIAM15_assumptions!$Y$3:$Z$87,2,FALSE),TIAM15_assumptions!$H$2:$V$2,0))</f>
        <v>0</v>
      </c>
      <c r="AZ66" s="9">
        <f ca="1">OFFSET(TIAM15_assumptions!$G66,0,MATCH(VLOOKUP(Assumptions!AZ$2,TIAM15_assumptions!$Y$3:$Z$87,2,FALSE),TIAM15_assumptions!$H$2:$V$2,0))</f>
        <v>0</v>
      </c>
      <c r="BA66" s="9">
        <f ca="1">OFFSET(TIAM15_assumptions!$G66,0,MATCH(VLOOKUP(Assumptions!BA$2,TIAM15_assumptions!$Y$3:$Z$87,2,FALSE),TIAM15_assumptions!$H$2:$V$2,0))</f>
        <v>0</v>
      </c>
      <c r="BD66" s="34">
        <f ca="1">IFERROR(SUMIFS('TRA balance'!E$5:E$40,'TRA balance'!$C$5:$C$40,Assumptions!$C66,'TRA balance'!$D$5:$D$40,Assumptions!$B66)*CY66*H66,"")</f>
        <v>0</v>
      </c>
      <c r="BE66" s="34">
        <f ca="1">IFERROR(SUMIFS('TRA balance'!F$5:F$40,'TRA balance'!$C$5:$C$40,Assumptions!$C66,'TRA balance'!$D$5:$D$40,Assumptions!$B66)*CZ66*I66,"")</f>
        <v>0</v>
      </c>
      <c r="BF66" s="34">
        <f ca="1">IFERROR(SUMIFS('TRA balance'!G$5:G$40,'TRA balance'!$C$5:$C$40,Assumptions!$C66,'TRA balance'!$D$5:$D$40,Assumptions!$B66)*DA66*J66,"")</f>
        <v>0</v>
      </c>
      <c r="BG66" s="34">
        <f ca="1">IFERROR(SUMIFS('TRA balance'!H$5:H$40,'TRA balance'!$C$5:$C$40,Assumptions!$C66,'TRA balance'!$D$5:$D$40,Assumptions!$B66)*DB66*K66,"")</f>
        <v>0</v>
      </c>
      <c r="BH66" s="34">
        <f ca="1">IFERROR(SUMIFS('TRA balance'!I$5:I$40,'TRA balance'!$C$5:$C$40,Assumptions!$C66,'TRA balance'!$D$5:$D$40,Assumptions!$B66)*DC66*L66,"")</f>
        <v>0</v>
      </c>
      <c r="BI66" s="34">
        <f ca="1">IFERROR(SUMIFS('TRA balance'!J$5:J$40,'TRA balance'!$C$5:$C$40,Assumptions!$C66,'TRA balance'!$D$5:$D$40,Assumptions!$B66)*DD66*M66,"")</f>
        <v>0</v>
      </c>
      <c r="BJ66" s="34">
        <f ca="1">IFERROR(SUMIFS('TRA balance'!K$5:K$40,'TRA balance'!$C$5:$C$40,Assumptions!$C66,'TRA balance'!$D$5:$D$40,Assumptions!$B66)*DE66*N66,"")</f>
        <v>0</v>
      </c>
      <c r="BK66" s="34">
        <f ca="1">IFERROR(SUMIFS('TRA balance'!L$5:L$40,'TRA balance'!$C$5:$C$40,Assumptions!$C66,'TRA balance'!$D$5:$D$40,Assumptions!$B66)*DF66*O66,"")</f>
        <v>0</v>
      </c>
      <c r="BL66" s="34">
        <f ca="1">IFERROR(SUMIFS('TRA balance'!M$5:M$40,'TRA balance'!$C$5:$C$40,Assumptions!$C66,'TRA balance'!$D$5:$D$40,Assumptions!$B66)*DG66*P66,"")</f>
        <v>0</v>
      </c>
      <c r="BM66" s="34">
        <f ca="1">IFERROR(SUMIFS('TRA balance'!N$5:N$40,'TRA balance'!$C$5:$C$40,Assumptions!$C66,'TRA balance'!$D$5:$D$40,Assumptions!$B66)*DH66*Q66,"")</f>
        <v>0</v>
      </c>
      <c r="BN66" s="34">
        <f ca="1">IFERROR(SUMIFS('TRA balance'!O$5:O$40,'TRA balance'!$C$5:$C$40,Assumptions!$C66,'TRA balance'!$D$5:$D$40,Assumptions!$B66)*DI66*R66,"")</f>
        <v>0</v>
      </c>
      <c r="BO66" s="34">
        <f ca="1">IFERROR(SUMIFS('TRA balance'!P$5:P$40,'TRA balance'!$C$5:$C$40,Assumptions!$C66,'TRA balance'!$D$5:$D$40,Assumptions!$B66)*DJ66*S66,"")</f>
        <v>0</v>
      </c>
      <c r="BP66" s="34">
        <f ca="1">IFERROR(SUMIFS('TRA balance'!Q$5:Q$40,'TRA balance'!$C$5:$C$40,Assumptions!$C66,'TRA balance'!$D$5:$D$40,Assumptions!$B66)*DK66*T66,"")</f>
        <v>0</v>
      </c>
      <c r="BQ66" s="34">
        <f ca="1">IFERROR(SUMIFS('TRA balance'!R$5:R$40,'TRA balance'!$C$5:$C$40,Assumptions!$C66,'TRA balance'!$D$5:$D$40,Assumptions!$B66)*DL66*U66,"")</f>
        <v>0</v>
      </c>
      <c r="BR66" s="34">
        <f ca="1">IFERROR(SUMIFS('TRA balance'!S$5:S$40,'TRA balance'!$C$5:$C$40,Assumptions!$C66,'TRA balance'!$D$5:$D$40,Assumptions!$B66)*DM66*V66,"")</f>
        <v>0</v>
      </c>
      <c r="BS66" s="34">
        <f ca="1">IFERROR(SUMIFS('TRA balance'!T$5:T$40,'TRA balance'!$C$5:$C$40,Assumptions!$C66,'TRA balance'!$D$5:$D$40,Assumptions!$B66)*DN66*W66,"")</f>
        <v>0</v>
      </c>
      <c r="BT66" s="34">
        <f ca="1">IFERROR(SUMIFS('TRA balance'!U$5:U$40,'TRA balance'!$C$5:$C$40,Assumptions!$C66,'TRA balance'!$D$5:$D$40,Assumptions!$B66)*DO66*X66,"")</f>
        <v>0</v>
      </c>
      <c r="BU66" s="34">
        <f ca="1">IFERROR(SUMIFS('TRA balance'!V$5:V$40,'TRA balance'!$C$5:$C$40,Assumptions!$C66,'TRA balance'!$D$5:$D$40,Assumptions!$B66)*DP66*Y66,"")</f>
        <v>0</v>
      </c>
      <c r="BV66" s="34">
        <f ca="1">IFERROR(SUMIFS('TRA balance'!W$5:W$40,'TRA balance'!$C$5:$C$40,Assumptions!$C66,'TRA balance'!$D$5:$D$40,Assumptions!$B66)*DQ66*Z66,"")</f>
        <v>0</v>
      </c>
      <c r="BW66" s="34">
        <f ca="1">IFERROR(SUMIFS('TRA balance'!X$5:X$40,'TRA balance'!$C$5:$C$40,Assumptions!$C66,'TRA balance'!$D$5:$D$40,Assumptions!$B66)*DR66*AA66,"")</f>
        <v>0</v>
      </c>
      <c r="BX66" s="34">
        <f ca="1">IFERROR(SUMIFS('TRA balance'!Y$5:Y$40,'TRA balance'!$C$5:$C$40,Assumptions!$C66,'TRA balance'!$D$5:$D$40,Assumptions!$B66)*DS66*AB66,"")</f>
        <v>0</v>
      </c>
      <c r="BY66" s="34">
        <f ca="1">IFERROR(SUMIFS('TRA balance'!Z$5:Z$40,'TRA balance'!$C$5:$C$40,Assumptions!$C66,'TRA balance'!$D$5:$D$40,Assumptions!$B66)*DT66*AC66,"")</f>
        <v>0</v>
      </c>
      <c r="BZ66" s="34">
        <f ca="1">IFERROR(SUMIFS('TRA balance'!AA$5:AA$40,'TRA balance'!$C$5:$C$40,Assumptions!$C66,'TRA balance'!$D$5:$D$40,Assumptions!$B66)*DU66*AD66,"")</f>
        <v>0</v>
      </c>
      <c r="CA66" s="34">
        <f ca="1">IFERROR(SUMIFS('TRA balance'!AB$5:AB$40,'TRA balance'!$C$5:$C$40,Assumptions!$C66,'TRA balance'!$D$5:$D$40,Assumptions!$B66)*DV66*AE66,"")</f>
        <v>0</v>
      </c>
      <c r="CB66" s="34">
        <f ca="1">IFERROR(SUMIFS('TRA balance'!AC$5:AC$40,'TRA balance'!$C$5:$C$40,Assumptions!$C66,'TRA balance'!$D$5:$D$40,Assumptions!$B66)*DW66*AF66,"")</f>
        <v>0</v>
      </c>
      <c r="CC66" s="34">
        <f ca="1">IFERROR(SUMIFS('TRA balance'!AD$5:AD$40,'TRA balance'!$C$5:$C$40,Assumptions!$C66,'TRA balance'!$D$5:$D$40,Assumptions!$B66)*DX66*AG66,"")</f>
        <v>0</v>
      </c>
      <c r="CD66" s="34">
        <f ca="1">IFERROR(SUMIFS('TRA balance'!AE$5:AE$40,'TRA balance'!$C$5:$C$40,Assumptions!$C66,'TRA balance'!$D$5:$D$40,Assumptions!$B66)*DY66*AH66,"")</f>
        <v>0</v>
      </c>
      <c r="CE66" s="34">
        <f ca="1">IFERROR(SUMIFS('TRA balance'!AF$5:AF$40,'TRA balance'!$C$5:$C$40,Assumptions!$C66,'TRA balance'!$D$5:$D$40,Assumptions!$B66)*DZ66*AI66,"")</f>
        <v>0</v>
      </c>
      <c r="CF66" s="34">
        <f ca="1">IFERROR(SUMIFS('TRA balance'!AG$5:AG$40,'TRA balance'!$C$5:$C$40,Assumptions!$C66,'TRA balance'!$D$5:$D$40,Assumptions!$B66)*EA66*AJ66,"")</f>
        <v>0</v>
      </c>
      <c r="CG66" s="34">
        <f ca="1">IFERROR(SUMIFS('TRA balance'!AH$5:AH$40,'TRA balance'!$C$5:$C$40,Assumptions!$C66,'TRA balance'!$D$5:$D$40,Assumptions!$B66)*EB66*AK66,"")</f>
        <v>0</v>
      </c>
      <c r="CH66" s="34">
        <f ca="1">IFERROR(SUMIFS('TRA balance'!AI$5:AI$40,'TRA balance'!$C$5:$C$40,Assumptions!$C66,'TRA balance'!$D$5:$D$40,Assumptions!$B66)*EC66*AL66,"")</f>
        <v>0</v>
      </c>
      <c r="CI66" s="34">
        <f ca="1">IFERROR(SUMIFS('TRA balance'!AJ$5:AJ$40,'TRA balance'!$C$5:$C$40,Assumptions!$C66,'TRA balance'!$D$5:$D$40,Assumptions!$B66)*ED66*AM66,"")</f>
        <v>0</v>
      </c>
      <c r="CJ66" s="34">
        <f ca="1">IFERROR(SUMIFS('TRA balance'!AK$5:AK$40,'TRA balance'!$C$5:$C$40,Assumptions!$C66,'TRA balance'!$D$5:$D$40,Assumptions!$B66)*EE66*AN66,"")</f>
        <v>0</v>
      </c>
      <c r="CK66" s="34">
        <f ca="1">IFERROR(SUMIFS('TRA balance'!AL$5:AL$40,'TRA balance'!$C$5:$C$40,Assumptions!$C66,'TRA balance'!$D$5:$D$40,Assumptions!$B66)*EF66*AO66,"")</f>
        <v>0</v>
      </c>
      <c r="CL66" s="34">
        <f ca="1">IFERROR(SUMIFS('TRA balance'!AM$5:AM$40,'TRA balance'!$C$5:$C$40,Assumptions!$C66,'TRA balance'!$D$5:$D$40,Assumptions!$B66)*EG66*AP66,"")</f>
        <v>0</v>
      </c>
      <c r="CM66" s="34">
        <f ca="1">IFERROR(SUMIFS('TRA balance'!AN$5:AN$40,'TRA balance'!$C$5:$C$40,Assumptions!$C66,'TRA balance'!$D$5:$D$40,Assumptions!$B66)*EH66*AQ66,"")</f>
        <v>0</v>
      </c>
      <c r="CN66" s="34">
        <f ca="1">IFERROR(SUMIFS('TRA balance'!AO$5:AO$40,'TRA balance'!$C$5:$C$40,Assumptions!$C66,'TRA balance'!$D$5:$D$40,Assumptions!$B66)*EI66*AR66,"")</f>
        <v>0</v>
      </c>
      <c r="CO66" s="34">
        <f ca="1">IFERROR(SUMIFS('TRA balance'!AP$5:AP$40,'TRA balance'!$C$5:$C$40,Assumptions!$C66,'TRA balance'!$D$5:$D$40,Assumptions!$B66)*EJ66*AS66,"")</f>
        <v>0</v>
      </c>
      <c r="CP66" s="34">
        <f ca="1">IFERROR(SUMIFS('TRA balance'!AQ$5:AQ$40,'TRA balance'!$C$5:$C$40,Assumptions!$C66,'TRA balance'!$D$5:$D$40,Assumptions!$B66)*EK66*AT66,"")</f>
        <v>0</v>
      </c>
      <c r="CQ66" s="34">
        <f ca="1">IFERROR(SUMIFS('TRA balance'!AR$5:AR$40,'TRA balance'!$C$5:$C$40,Assumptions!$C66,'TRA balance'!$D$5:$D$40,Assumptions!$B66)*EL66*AU66,"")</f>
        <v>0</v>
      </c>
      <c r="CR66" s="34">
        <f ca="1">IFERROR(SUMIFS('TRA balance'!AS$5:AS$40,'TRA balance'!$C$5:$C$40,Assumptions!$C66,'TRA balance'!$D$5:$D$40,Assumptions!$B66)*EM66*AV66,"")</f>
        <v>0</v>
      </c>
      <c r="CS66" s="34">
        <f ca="1">IFERROR(SUMIFS('TRA balance'!AT$5:AT$40,'TRA balance'!$C$5:$C$40,Assumptions!$C66,'TRA balance'!$D$5:$D$40,Assumptions!$B66)*EN66*AW66,"")</f>
        <v>0</v>
      </c>
      <c r="CT66" s="34">
        <f ca="1">IFERROR(SUMIFS('TRA balance'!AU$5:AU$40,'TRA balance'!$C$5:$C$40,Assumptions!$C66,'TRA balance'!$D$5:$D$40,Assumptions!$B66)*EO66*AX66,"")</f>
        <v>0</v>
      </c>
      <c r="CU66" s="34">
        <f ca="1">IFERROR(SUMIFS('TRA balance'!AV$5:AV$40,'TRA balance'!$C$5:$C$40,Assumptions!$C66,'TRA balance'!$D$5:$D$40,Assumptions!$B66)*EP66*AY66,"")</f>
        <v>0</v>
      </c>
      <c r="CV66" s="34">
        <f ca="1">IFERROR(SUMIFS('TRA balance'!AW$5:AW$40,'TRA balance'!$C$5:$C$40,Assumptions!$C66,'TRA balance'!$D$5:$D$40,Assumptions!$B66)*EQ66*AZ66,"")</f>
        <v>0</v>
      </c>
      <c r="CW66" s="34">
        <f ca="1">IFERROR(SUMIFS('TRA balance'!AX$5:AX$40,'TRA balance'!$C$5:$C$40,Assumptions!$C66,'TRA balance'!$D$5:$D$40,Assumptions!$B66)*ER66*BA66,"")</f>
        <v>0</v>
      </c>
      <c r="CY66" s="33">
        <f t="shared" ca="1" si="66"/>
        <v>0.1</v>
      </c>
      <c r="CZ66" s="33">
        <f t="shared" ca="1" si="3"/>
        <v>0.1</v>
      </c>
      <c r="DA66" s="33">
        <f t="shared" ca="1" si="4"/>
        <v>0.02</v>
      </c>
      <c r="DB66" s="33">
        <f t="shared" ca="1" si="5"/>
        <v>0.2</v>
      </c>
      <c r="DC66" s="33">
        <f t="shared" ca="1" si="6"/>
        <v>0.05</v>
      </c>
      <c r="DD66" s="33">
        <f t="shared" ca="1" si="7"/>
        <v>0.2</v>
      </c>
      <c r="DE66" s="33">
        <f t="shared" ca="1" si="8"/>
        <v>7.0000000000000007E-2</v>
      </c>
      <c r="DF66" s="33">
        <f t="shared" ca="1" si="9"/>
        <v>0.1</v>
      </c>
      <c r="DG66" s="33">
        <f t="shared" ca="1" si="10"/>
        <v>0.2</v>
      </c>
      <c r="DH66" s="33">
        <f t="shared" ca="1" si="11"/>
        <v>0.2</v>
      </c>
      <c r="DI66" s="33">
        <f t="shared" ca="1" si="12"/>
        <v>0.2</v>
      </c>
      <c r="DJ66" s="33">
        <f t="shared" ca="1" si="13"/>
        <v>0.2</v>
      </c>
      <c r="DK66" s="33">
        <f t="shared" ca="1" si="14"/>
        <v>0.2</v>
      </c>
      <c r="DL66" s="33">
        <f t="shared" ca="1" si="15"/>
        <v>0.2</v>
      </c>
      <c r="DM66" s="33">
        <f t="shared" ca="1" si="16"/>
        <v>0.2</v>
      </c>
      <c r="DN66" s="33">
        <f t="shared" ca="1" si="17"/>
        <v>0.25</v>
      </c>
      <c r="DO66" s="33">
        <f t="shared" ca="1" si="18"/>
        <v>0.2</v>
      </c>
      <c r="DP66" s="33">
        <f t="shared" ca="1" si="19"/>
        <v>0.2</v>
      </c>
      <c r="DQ66" s="33">
        <f t="shared" ca="1" si="20"/>
        <v>0.05</v>
      </c>
      <c r="DR66" s="33">
        <f t="shared" ca="1" si="21"/>
        <v>7.0000000000000007E-2</v>
      </c>
      <c r="DS66" s="33">
        <f t="shared" ca="1" si="22"/>
        <v>0.1</v>
      </c>
      <c r="DT66" s="33">
        <f t="shared" ca="1" si="23"/>
        <v>2.4406421822616497E-2</v>
      </c>
      <c r="DU66" s="33">
        <f t="shared" ca="1" si="24"/>
        <v>0.2</v>
      </c>
      <c r="DV66" s="33">
        <f t="shared" ca="1" si="25"/>
        <v>0.2</v>
      </c>
      <c r="DW66" s="33">
        <f t="shared" ca="1" si="26"/>
        <v>0.08</v>
      </c>
      <c r="DX66" s="33">
        <f t="shared" ca="1" si="27"/>
        <v>0.05</v>
      </c>
      <c r="DY66" s="33">
        <f t="shared" ca="1" si="28"/>
        <v>0.1</v>
      </c>
      <c r="DZ66" s="33">
        <f t="shared" ca="1" si="29"/>
        <v>0.1</v>
      </c>
      <c r="EA66" s="33">
        <f t="shared" ca="1" si="30"/>
        <v>0.2</v>
      </c>
      <c r="EB66" s="33">
        <f t="shared" ca="1" si="31"/>
        <v>0.2</v>
      </c>
      <c r="EC66" s="33">
        <f t="shared" ca="1" si="32"/>
        <v>0.2</v>
      </c>
      <c r="ED66" s="33">
        <f t="shared" ca="1" si="33"/>
        <v>0.1</v>
      </c>
      <c r="EE66" s="33">
        <f t="shared" ca="1" si="34"/>
        <v>0.2</v>
      </c>
      <c r="EF66" s="33">
        <f t="shared" ca="1" si="35"/>
        <v>0.05</v>
      </c>
      <c r="EG66" s="33">
        <f t="shared" ca="1" si="36"/>
        <v>0.2</v>
      </c>
      <c r="EH66" s="33">
        <f t="shared" ca="1" si="37"/>
        <v>2.4406421822616497E-2</v>
      </c>
      <c r="EI66" s="33">
        <f t="shared" ca="1" si="38"/>
        <v>2.4406421822616497E-2</v>
      </c>
      <c r="EJ66" s="33">
        <f t="shared" ca="1" si="39"/>
        <v>2.4406421822616497E-2</v>
      </c>
      <c r="EK66" s="33">
        <f t="shared" ca="1" si="40"/>
        <v>2.4406421822616497E-2</v>
      </c>
      <c r="EL66" s="33">
        <f t="shared" ca="1" si="41"/>
        <v>2.4406421822616497E-2</v>
      </c>
      <c r="EM66" s="33">
        <f t="shared" ca="1" si="42"/>
        <v>2.4406421822616497E-2</v>
      </c>
      <c r="EN66" s="33">
        <f t="shared" ca="1" si="43"/>
        <v>2.4406421822616497E-2</v>
      </c>
      <c r="EO66" s="33">
        <f t="shared" ca="1" si="44"/>
        <v>2.4406421822616497E-2</v>
      </c>
      <c r="EP66" s="33">
        <f t="shared" ca="1" si="45"/>
        <v>2.4406421822616497E-2</v>
      </c>
      <c r="EQ66" s="33">
        <f t="shared" ca="1" si="46"/>
        <v>2.4406421822616497E-2</v>
      </c>
      <c r="ER66" s="33">
        <f t="shared" ca="1" si="47"/>
        <v>2.4406421822616497E-2</v>
      </c>
    </row>
    <row r="67" spans="1:148">
      <c r="A67">
        <v>1</v>
      </c>
      <c r="B67" t="str">
        <f>VLOOKUP(F67,'TRA balance'!$BA$5:$BB$14,2,FALSE)</f>
        <v>TRABDS</v>
      </c>
      <c r="C67" s="6" t="str">
        <f t="shared" si="48"/>
        <v/>
      </c>
      <c r="D67" s="7"/>
      <c r="E67" s="19" t="s">
        <v>69</v>
      </c>
      <c r="F67" s="8" t="str">
        <f t="shared" si="84"/>
        <v>Bio Diesel</v>
      </c>
      <c r="G67" s="6"/>
      <c r="H67" s="20" t="str">
        <f ca="1">IF(SUM(H63:H66)=1,"-","&lt;&gt;1!!")</f>
        <v>-</v>
      </c>
      <c r="I67" s="20" t="str">
        <f t="shared" ref="I67:BA67" ca="1" si="85">IF(SUM(I63:I66)=1,"-","&lt;&gt;1!!")</f>
        <v>-</v>
      </c>
      <c r="J67" s="20" t="str">
        <f t="shared" ca="1" si="85"/>
        <v>-</v>
      </c>
      <c r="K67" s="20" t="str">
        <f t="shared" ca="1" si="85"/>
        <v>-</v>
      </c>
      <c r="L67" s="20" t="str">
        <f t="shared" ca="1" si="85"/>
        <v>-</v>
      </c>
      <c r="M67" s="20" t="str">
        <f t="shared" ca="1" si="85"/>
        <v>-</v>
      </c>
      <c r="N67" s="20" t="str">
        <f t="shared" ca="1" si="85"/>
        <v>-</v>
      </c>
      <c r="O67" s="20" t="str">
        <f t="shared" ca="1" si="85"/>
        <v>-</v>
      </c>
      <c r="P67" s="20" t="str">
        <f t="shared" ca="1" si="85"/>
        <v>-</v>
      </c>
      <c r="Q67" s="20" t="str">
        <f t="shared" ca="1" si="85"/>
        <v>-</v>
      </c>
      <c r="R67" s="20" t="str">
        <f t="shared" ca="1" si="85"/>
        <v>-</v>
      </c>
      <c r="S67" s="20" t="str">
        <f t="shared" ca="1" si="85"/>
        <v>-</v>
      </c>
      <c r="T67" s="20" t="str">
        <f t="shared" ca="1" si="85"/>
        <v>-</v>
      </c>
      <c r="U67" s="20" t="str">
        <f t="shared" ca="1" si="85"/>
        <v>-</v>
      </c>
      <c r="V67" s="20" t="str">
        <f t="shared" ca="1" si="85"/>
        <v>-</v>
      </c>
      <c r="W67" s="20" t="str">
        <f t="shared" ca="1" si="85"/>
        <v>-</v>
      </c>
      <c r="X67" s="20" t="str">
        <f t="shared" ca="1" si="85"/>
        <v>-</v>
      </c>
      <c r="Y67" s="20" t="str">
        <f t="shared" ca="1" si="85"/>
        <v>-</v>
      </c>
      <c r="Z67" s="20" t="str">
        <f t="shared" ca="1" si="85"/>
        <v>-</v>
      </c>
      <c r="AA67" s="20" t="str">
        <f t="shared" ca="1" si="85"/>
        <v>-</v>
      </c>
      <c r="AB67" s="20" t="str">
        <f t="shared" ca="1" si="85"/>
        <v>-</v>
      </c>
      <c r="AC67" s="20" t="str">
        <f t="shared" ca="1" si="85"/>
        <v>-</v>
      </c>
      <c r="AD67" s="20" t="str">
        <f t="shared" ca="1" si="85"/>
        <v>-</v>
      </c>
      <c r="AE67" s="20" t="str">
        <f t="shared" ca="1" si="85"/>
        <v>-</v>
      </c>
      <c r="AF67" s="20" t="str">
        <f t="shared" ca="1" si="85"/>
        <v>-</v>
      </c>
      <c r="AG67" s="20" t="str">
        <f t="shared" ca="1" si="85"/>
        <v>-</v>
      </c>
      <c r="AH67" s="20" t="str">
        <f t="shared" ca="1" si="85"/>
        <v>-</v>
      </c>
      <c r="AI67" s="20" t="str">
        <f t="shared" ca="1" si="85"/>
        <v>-</v>
      </c>
      <c r="AJ67" s="20" t="str">
        <f t="shared" ca="1" si="85"/>
        <v>-</v>
      </c>
      <c r="AK67" s="20" t="str">
        <f t="shared" ca="1" si="85"/>
        <v>-</v>
      </c>
      <c r="AL67" s="20" t="str">
        <f t="shared" ca="1" si="85"/>
        <v>-</v>
      </c>
      <c r="AM67" s="20" t="str">
        <f t="shared" ca="1" si="85"/>
        <v>-</v>
      </c>
      <c r="AN67" s="20" t="str">
        <f t="shared" ca="1" si="85"/>
        <v>-</v>
      </c>
      <c r="AO67" s="20" t="str">
        <f t="shared" ca="1" si="85"/>
        <v>-</v>
      </c>
      <c r="AP67" s="20" t="str">
        <f t="shared" ca="1" si="85"/>
        <v>-</v>
      </c>
      <c r="AQ67" s="20" t="str">
        <f t="shared" ca="1" si="85"/>
        <v>-</v>
      </c>
      <c r="AR67" s="20" t="str">
        <f t="shared" ca="1" si="85"/>
        <v>-</v>
      </c>
      <c r="AS67" s="20" t="str">
        <f t="shared" ca="1" si="85"/>
        <v>-</v>
      </c>
      <c r="AT67" s="20" t="str">
        <f t="shared" ca="1" si="85"/>
        <v>-</v>
      </c>
      <c r="AU67" s="20" t="str">
        <f t="shared" ca="1" si="85"/>
        <v>-</v>
      </c>
      <c r="AV67" s="20" t="str">
        <f t="shared" ca="1" si="85"/>
        <v>-</v>
      </c>
      <c r="AW67" s="20" t="str">
        <f t="shared" ca="1" si="85"/>
        <v>-</v>
      </c>
      <c r="AX67" s="20" t="str">
        <f t="shared" ca="1" si="85"/>
        <v>-</v>
      </c>
      <c r="AY67" s="20" t="str">
        <f t="shared" ca="1" si="85"/>
        <v>-</v>
      </c>
      <c r="AZ67" s="20" t="str">
        <f t="shared" ca="1" si="85"/>
        <v>-</v>
      </c>
      <c r="BA67" s="20" t="str">
        <f t="shared" ca="1" si="85"/>
        <v>-</v>
      </c>
      <c r="BD67" s="34" t="str">
        <f ca="1">IFERROR(SUMIFS('TRA balance'!E$5:E$40,'TRA balance'!$C$5:$C$40,Assumptions!$C67,'TRA balance'!$D$5:$D$40,Assumptions!$B67)*CY67*H67,"")</f>
        <v/>
      </c>
      <c r="BE67" s="34" t="str">
        <f ca="1">IFERROR(SUMIFS('TRA balance'!F$5:F$40,'TRA balance'!$C$5:$C$40,Assumptions!$C67,'TRA balance'!$D$5:$D$40,Assumptions!$B67)*CZ67*I67,"")</f>
        <v/>
      </c>
      <c r="BF67" s="34" t="str">
        <f ca="1">IFERROR(SUMIFS('TRA balance'!G$5:G$40,'TRA balance'!$C$5:$C$40,Assumptions!$C67,'TRA balance'!$D$5:$D$40,Assumptions!$B67)*DA67*J67,"")</f>
        <v/>
      </c>
      <c r="BG67" s="34" t="str">
        <f ca="1">IFERROR(SUMIFS('TRA balance'!H$5:H$40,'TRA balance'!$C$5:$C$40,Assumptions!$C67,'TRA balance'!$D$5:$D$40,Assumptions!$B67)*DB67*K67,"")</f>
        <v/>
      </c>
      <c r="BH67" s="34" t="str">
        <f ca="1">IFERROR(SUMIFS('TRA balance'!I$5:I$40,'TRA balance'!$C$5:$C$40,Assumptions!$C67,'TRA balance'!$D$5:$D$40,Assumptions!$B67)*DC67*L67,"")</f>
        <v/>
      </c>
      <c r="BI67" s="34" t="str">
        <f ca="1">IFERROR(SUMIFS('TRA balance'!J$5:J$40,'TRA balance'!$C$5:$C$40,Assumptions!$C67,'TRA balance'!$D$5:$D$40,Assumptions!$B67)*DD67*M67,"")</f>
        <v/>
      </c>
      <c r="BJ67" s="34" t="str">
        <f ca="1">IFERROR(SUMIFS('TRA balance'!K$5:K$40,'TRA balance'!$C$5:$C$40,Assumptions!$C67,'TRA balance'!$D$5:$D$40,Assumptions!$B67)*DE67*N67,"")</f>
        <v/>
      </c>
      <c r="BK67" s="34" t="str">
        <f ca="1">IFERROR(SUMIFS('TRA balance'!L$5:L$40,'TRA balance'!$C$5:$C$40,Assumptions!$C67,'TRA balance'!$D$5:$D$40,Assumptions!$B67)*DF67*O67,"")</f>
        <v/>
      </c>
      <c r="BL67" s="34" t="str">
        <f ca="1">IFERROR(SUMIFS('TRA balance'!M$5:M$40,'TRA balance'!$C$5:$C$40,Assumptions!$C67,'TRA balance'!$D$5:$D$40,Assumptions!$B67)*DG67*P67,"")</f>
        <v/>
      </c>
      <c r="BM67" s="34" t="str">
        <f ca="1">IFERROR(SUMIFS('TRA balance'!N$5:N$40,'TRA balance'!$C$5:$C$40,Assumptions!$C67,'TRA balance'!$D$5:$D$40,Assumptions!$B67)*DH67*Q67,"")</f>
        <v/>
      </c>
      <c r="BN67" s="34" t="str">
        <f ca="1">IFERROR(SUMIFS('TRA balance'!O$5:O$40,'TRA balance'!$C$5:$C$40,Assumptions!$C67,'TRA balance'!$D$5:$D$40,Assumptions!$B67)*DI67*R67,"")</f>
        <v/>
      </c>
      <c r="BO67" s="34" t="str">
        <f ca="1">IFERROR(SUMIFS('TRA balance'!P$5:P$40,'TRA balance'!$C$5:$C$40,Assumptions!$C67,'TRA balance'!$D$5:$D$40,Assumptions!$B67)*DJ67*S67,"")</f>
        <v/>
      </c>
      <c r="BP67" s="34" t="str">
        <f ca="1">IFERROR(SUMIFS('TRA balance'!Q$5:Q$40,'TRA balance'!$C$5:$C$40,Assumptions!$C67,'TRA balance'!$D$5:$D$40,Assumptions!$B67)*DK67*T67,"")</f>
        <v/>
      </c>
      <c r="BQ67" s="34" t="str">
        <f ca="1">IFERROR(SUMIFS('TRA balance'!R$5:R$40,'TRA balance'!$C$5:$C$40,Assumptions!$C67,'TRA balance'!$D$5:$D$40,Assumptions!$B67)*DL67*U67,"")</f>
        <v/>
      </c>
      <c r="BR67" s="34" t="str">
        <f ca="1">IFERROR(SUMIFS('TRA balance'!S$5:S$40,'TRA balance'!$C$5:$C$40,Assumptions!$C67,'TRA balance'!$D$5:$D$40,Assumptions!$B67)*DM67*V67,"")</f>
        <v/>
      </c>
      <c r="BS67" s="34" t="str">
        <f ca="1">IFERROR(SUMIFS('TRA balance'!T$5:T$40,'TRA balance'!$C$5:$C$40,Assumptions!$C67,'TRA balance'!$D$5:$D$40,Assumptions!$B67)*DN67*W67,"")</f>
        <v/>
      </c>
      <c r="BT67" s="34" t="str">
        <f ca="1">IFERROR(SUMIFS('TRA balance'!U$5:U$40,'TRA balance'!$C$5:$C$40,Assumptions!$C67,'TRA balance'!$D$5:$D$40,Assumptions!$B67)*DO67*X67,"")</f>
        <v/>
      </c>
      <c r="BU67" s="34" t="str">
        <f ca="1">IFERROR(SUMIFS('TRA balance'!V$5:V$40,'TRA balance'!$C$5:$C$40,Assumptions!$C67,'TRA balance'!$D$5:$D$40,Assumptions!$B67)*DP67*Y67,"")</f>
        <v/>
      </c>
      <c r="BV67" s="34" t="str">
        <f ca="1">IFERROR(SUMIFS('TRA balance'!W$5:W$40,'TRA balance'!$C$5:$C$40,Assumptions!$C67,'TRA balance'!$D$5:$D$40,Assumptions!$B67)*DQ67*Z67,"")</f>
        <v/>
      </c>
      <c r="BW67" s="34" t="str">
        <f ca="1">IFERROR(SUMIFS('TRA balance'!X$5:X$40,'TRA balance'!$C$5:$C$40,Assumptions!$C67,'TRA balance'!$D$5:$D$40,Assumptions!$B67)*DR67*AA67,"")</f>
        <v/>
      </c>
      <c r="BX67" s="34" t="str">
        <f ca="1">IFERROR(SUMIFS('TRA balance'!Y$5:Y$40,'TRA balance'!$C$5:$C$40,Assumptions!$C67,'TRA balance'!$D$5:$D$40,Assumptions!$B67)*DS67*AB67,"")</f>
        <v/>
      </c>
      <c r="BY67" s="34" t="str">
        <f ca="1">IFERROR(SUMIFS('TRA balance'!Z$5:Z$40,'TRA balance'!$C$5:$C$40,Assumptions!$C67,'TRA balance'!$D$5:$D$40,Assumptions!$B67)*DT67*AC67,"")</f>
        <v/>
      </c>
      <c r="BZ67" s="34" t="str">
        <f ca="1">IFERROR(SUMIFS('TRA balance'!AA$5:AA$40,'TRA balance'!$C$5:$C$40,Assumptions!$C67,'TRA balance'!$D$5:$D$40,Assumptions!$B67)*DU67*AD67,"")</f>
        <v/>
      </c>
      <c r="CA67" s="34" t="str">
        <f ca="1">IFERROR(SUMIFS('TRA balance'!AB$5:AB$40,'TRA balance'!$C$5:$C$40,Assumptions!$C67,'TRA balance'!$D$5:$D$40,Assumptions!$B67)*DV67*AE67,"")</f>
        <v/>
      </c>
      <c r="CB67" s="34" t="str">
        <f ca="1">IFERROR(SUMIFS('TRA balance'!AC$5:AC$40,'TRA balance'!$C$5:$C$40,Assumptions!$C67,'TRA balance'!$D$5:$D$40,Assumptions!$B67)*DW67*AF67,"")</f>
        <v/>
      </c>
      <c r="CC67" s="34" t="str">
        <f ca="1">IFERROR(SUMIFS('TRA balance'!AD$5:AD$40,'TRA balance'!$C$5:$C$40,Assumptions!$C67,'TRA balance'!$D$5:$D$40,Assumptions!$B67)*DX67*AG67,"")</f>
        <v/>
      </c>
      <c r="CD67" s="34" t="str">
        <f ca="1">IFERROR(SUMIFS('TRA balance'!AE$5:AE$40,'TRA balance'!$C$5:$C$40,Assumptions!$C67,'TRA balance'!$D$5:$D$40,Assumptions!$B67)*DY67*AH67,"")</f>
        <v/>
      </c>
      <c r="CE67" s="34" t="str">
        <f ca="1">IFERROR(SUMIFS('TRA balance'!AF$5:AF$40,'TRA balance'!$C$5:$C$40,Assumptions!$C67,'TRA balance'!$D$5:$D$40,Assumptions!$B67)*DZ67*AI67,"")</f>
        <v/>
      </c>
      <c r="CF67" s="34" t="str">
        <f ca="1">IFERROR(SUMIFS('TRA balance'!AG$5:AG$40,'TRA balance'!$C$5:$C$40,Assumptions!$C67,'TRA balance'!$D$5:$D$40,Assumptions!$B67)*EA67*AJ67,"")</f>
        <v/>
      </c>
      <c r="CG67" s="34" t="str">
        <f ca="1">IFERROR(SUMIFS('TRA balance'!AH$5:AH$40,'TRA balance'!$C$5:$C$40,Assumptions!$C67,'TRA balance'!$D$5:$D$40,Assumptions!$B67)*EB67*AK67,"")</f>
        <v/>
      </c>
      <c r="CH67" s="34" t="str">
        <f ca="1">IFERROR(SUMIFS('TRA balance'!AI$5:AI$40,'TRA balance'!$C$5:$C$40,Assumptions!$C67,'TRA balance'!$D$5:$D$40,Assumptions!$B67)*EC67*AL67,"")</f>
        <v/>
      </c>
      <c r="CI67" s="34" t="str">
        <f ca="1">IFERROR(SUMIFS('TRA balance'!AJ$5:AJ$40,'TRA balance'!$C$5:$C$40,Assumptions!$C67,'TRA balance'!$D$5:$D$40,Assumptions!$B67)*ED67*AM67,"")</f>
        <v/>
      </c>
      <c r="CJ67" s="34" t="str">
        <f ca="1">IFERROR(SUMIFS('TRA balance'!AK$5:AK$40,'TRA balance'!$C$5:$C$40,Assumptions!$C67,'TRA balance'!$D$5:$D$40,Assumptions!$B67)*EE67*AN67,"")</f>
        <v/>
      </c>
      <c r="CK67" s="34" t="str">
        <f ca="1">IFERROR(SUMIFS('TRA balance'!AL$5:AL$40,'TRA balance'!$C$5:$C$40,Assumptions!$C67,'TRA balance'!$D$5:$D$40,Assumptions!$B67)*EF67*AO67,"")</f>
        <v/>
      </c>
      <c r="CL67" s="34" t="str">
        <f ca="1">IFERROR(SUMIFS('TRA balance'!AM$5:AM$40,'TRA balance'!$C$5:$C$40,Assumptions!$C67,'TRA balance'!$D$5:$D$40,Assumptions!$B67)*EG67*AP67,"")</f>
        <v/>
      </c>
      <c r="CM67" s="34" t="str">
        <f ca="1">IFERROR(SUMIFS('TRA balance'!AN$5:AN$40,'TRA balance'!$C$5:$C$40,Assumptions!$C67,'TRA balance'!$D$5:$D$40,Assumptions!$B67)*EH67*AQ67,"")</f>
        <v/>
      </c>
      <c r="CN67" s="34" t="str">
        <f ca="1">IFERROR(SUMIFS('TRA balance'!AO$5:AO$40,'TRA balance'!$C$5:$C$40,Assumptions!$C67,'TRA balance'!$D$5:$D$40,Assumptions!$B67)*EI67*AR67,"")</f>
        <v/>
      </c>
      <c r="CO67" s="34" t="str">
        <f ca="1">IFERROR(SUMIFS('TRA balance'!AP$5:AP$40,'TRA balance'!$C$5:$C$40,Assumptions!$C67,'TRA balance'!$D$5:$D$40,Assumptions!$B67)*EJ67*AS67,"")</f>
        <v/>
      </c>
      <c r="CP67" s="34" t="str">
        <f ca="1">IFERROR(SUMIFS('TRA balance'!AQ$5:AQ$40,'TRA balance'!$C$5:$C$40,Assumptions!$C67,'TRA balance'!$D$5:$D$40,Assumptions!$B67)*EK67*AT67,"")</f>
        <v/>
      </c>
      <c r="CQ67" s="34" t="str">
        <f ca="1">IFERROR(SUMIFS('TRA balance'!AR$5:AR$40,'TRA balance'!$C$5:$C$40,Assumptions!$C67,'TRA balance'!$D$5:$D$40,Assumptions!$B67)*EL67*AU67,"")</f>
        <v/>
      </c>
      <c r="CR67" s="34" t="str">
        <f ca="1">IFERROR(SUMIFS('TRA balance'!AS$5:AS$40,'TRA balance'!$C$5:$C$40,Assumptions!$C67,'TRA balance'!$D$5:$D$40,Assumptions!$B67)*EM67*AV67,"")</f>
        <v/>
      </c>
      <c r="CS67" s="34" t="str">
        <f ca="1">IFERROR(SUMIFS('TRA balance'!AT$5:AT$40,'TRA balance'!$C$5:$C$40,Assumptions!$C67,'TRA balance'!$D$5:$D$40,Assumptions!$B67)*EN67*AW67,"")</f>
        <v/>
      </c>
      <c r="CT67" s="34" t="str">
        <f ca="1">IFERROR(SUMIFS('TRA balance'!AU$5:AU$40,'TRA balance'!$C$5:$C$40,Assumptions!$C67,'TRA balance'!$D$5:$D$40,Assumptions!$B67)*EO67*AX67,"")</f>
        <v/>
      </c>
      <c r="CU67" s="34" t="str">
        <f ca="1">IFERROR(SUMIFS('TRA balance'!AV$5:AV$40,'TRA balance'!$C$5:$C$40,Assumptions!$C67,'TRA balance'!$D$5:$D$40,Assumptions!$B67)*EP67*AY67,"")</f>
        <v/>
      </c>
      <c r="CV67" s="34" t="str">
        <f ca="1">IFERROR(SUMIFS('TRA balance'!AW$5:AW$40,'TRA balance'!$C$5:$C$40,Assumptions!$C67,'TRA balance'!$D$5:$D$40,Assumptions!$B67)*EQ67*AZ67,"")</f>
        <v/>
      </c>
      <c r="CW67" s="34" t="str">
        <f ca="1">IFERROR(SUMIFS('TRA balance'!AX$5:AX$40,'TRA balance'!$C$5:$C$40,Assumptions!$C67,'TRA balance'!$D$5:$D$40,Assumptions!$B67)*ER67*BA67,"")</f>
        <v/>
      </c>
      <c r="CY67" s="33">
        <f t="shared" ref="CY67:CY103" si="86">IF($C67="TR",SUMIFS(H$3:H$103,$B$3:$B$103,$B67,$C$3:$C$103,$A67),1)</f>
        <v>1</v>
      </c>
      <c r="CZ67" s="33">
        <f t="shared" ref="CZ67:CZ103" si="87">IF($C67="TR",SUMIFS(I$3:I$103,$B$3:$B$103,$B67,$C$3:$C$103,$A67),1)</f>
        <v>1</v>
      </c>
      <c r="DA67" s="33">
        <f t="shared" ref="DA67:DA103" si="88">IF($C67="TR",SUMIFS(J$3:J$103,$B$3:$B$103,$B67,$C$3:$C$103,$A67),1)</f>
        <v>1</v>
      </c>
      <c r="DB67" s="33">
        <f t="shared" ref="DB67:DB103" si="89">IF($C67="TR",SUMIFS(K$3:K$103,$B$3:$B$103,$B67,$C$3:$C$103,$A67),1)</f>
        <v>1</v>
      </c>
      <c r="DC67" s="33">
        <f t="shared" ref="DC67:DC103" si="90">IF($C67="TR",SUMIFS(L$3:L$103,$B$3:$B$103,$B67,$C$3:$C$103,$A67),1)</f>
        <v>1</v>
      </c>
      <c r="DD67" s="33">
        <f t="shared" ref="DD67:DD103" si="91">IF($C67="TR",SUMIFS(M$3:M$103,$B$3:$B$103,$B67,$C$3:$C$103,$A67),1)</f>
        <v>1</v>
      </c>
      <c r="DE67" s="33">
        <f t="shared" ref="DE67:DE103" si="92">IF($C67="TR",SUMIFS(N$3:N$103,$B$3:$B$103,$B67,$C$3:$C$103,$A67),1)</f>
        <v>1</v>
      </c>
      <c r="DF67" s="33">
        <f t="shared" ref="DF67:DF103" si="93">IF($C67="TR",SUMIFS(O$3:O$103,$B$3:$B$103,$B67,$C$3:$C$103,$A67),1)</f>
        <v>1</v>
      </c>
      <c r="DG67" s="33">
        <f t="shared" ref="DG67:DG103" si="94">IF($C67="TR",SUMIFS(P$3:P$103,$B$3:$B$103,$B67,$C$3:$C$103,$A67),1)</f>
        <v>1</v>
      </c>
      <c r="DH67" s="33">
        <f t="shared" ref="DH67:DH103" si="95">IF($C67="TR",SUMIFS(Q$3:Q$103,$B$3:$B$103,$B67,$C$3:$C$103,$A67),1)</f>
        <v>1</v>
      </c>
      <c r="DI67" s="33">
        <f t="shared" ref="DI67:DI103" si="96">IF($C67="TR",SUMIFS(R$3:R$103,$B$3:$B$103,$B67,$C$3:$C$103,$A67),1)</f>
        <v>1</v>
      </c>
      <c r="DJ67" s="33">
        <f t="shared" ref="DJ67:DJ103" si="97">IF($C67="TR",SUMIFS(S$3:S$103,$B$3:$B$103,$B67,$C$3:$C$103,$A67),1)</f>
        <v>1</v>
      </c>
      <c r="DK67" s="33">
        <f t="shared" ref="DK67:DK103" si="98">IF($C67="TR",SUMIFS(T$3:T$103,$B$3:$B$103,$B67,$C$3:$C$103,$A67),1)</f>
        <v>1</v>
      </c>
      <c r="DL67" s="33">
        <f t="shared" ref="DL67:DL103" si="99">IF($C67="TR",SUMIFS(U$3:U$103,$B$3:$B$103,$B67,$C$3:$C$103,$A67),1)</f>
        <v>1</v>
      </c>
      <c r="DM67" s="33">
        <f t="shared" ref="DM67:DM103" si="100">IF($C67="TR",SUMIFS(V$3:V$103,$B$3:$B$103,$B67,$C$3:$C$103,$A67),1)</f>
        <v>1</v>
      </c>
      <c r="DN67" s="33">
        <f t="shared" ref="DN67:DN103" si="101">IF($C67="TR",SUMIFS(W$3:W$103,$B$3:$B$103,$B67,$C$3:$C$103,$A67),1)</f>
        <v>1</v>
      </c>
      <c r="DO67" s="33">
        <f t="shared" ref="DO67:DO103" si="102">IF($C67="TR",SUMIFS(X$3:X$103,$B$3:$B$103,$B67,$C$3:$C$103,$A67),1)</f>
        <v>1</v>
      </c>
      <c r="DP67" s="33">
        <f t="shared" ref="DP67:DP103" si="103">IF($C67="TR",SUMIFS(Y$3:Y$103,$B$3:$B$103,$B67,$C$3:$C$103,$A67),1)</f>
        <v>1</v>
      </c>
      <c r="DQ67" s="33">
        <f t="shared" ref="DQ67:DQ103" si="104">IF($C67="TR",SUMIFS(Z$3:Z$103,$B$3:$B$103,$B67,$C$3:$C$103,$A67),1)</f>
        <v>1</v>
      </c>
      <c r="DR67" s="33">
        <f t="shared" ref="DR67:DR103" si="105">IF($C67="TR",SUMIFS(AA$3:AA$103,$B$3:$B$103,$B67,$C$3:$C$103,$A67),1)</f>
        <v>1</v>
      </c>
      <c r="DS67" s="33">
        <f t="shared" ref="DS67:DS103" si="106">IF($C67="TR",SUMIFS(AB$3:AB$103,$B$3:$B$103,$B67,$C$3:$C$103,$A67),1)</f>
        <v>1</v>
      </c>
      <c r="DT67" s="33">
        <f t="shared" ref="DT67:DT103" si="107">IF($C67="TR",SUMIFS(AC$3:AC$103,$B$3:$B$103,$B67,$C$3:$C$103,$A67),1)</f>
        <v>1</v>
      </c>
      <c r="DU67" s="33">
        <f t="shared" ref="DU67:DU103" si="108">IF($C67="TR",SUMIFS(AD$3:AD$103,$B$3:$B$103,$B67,$C$3:$C$103,$A67),1)</f>
        <v>1</v>
      </c>
      <c r="DV67" s="33">
        <f t="shared" ref="DV67:DV103" si="109">IF($C67="TR",SUMIFS(AE$3:AE$103,$B$3:$B$103,$B67,$C$3:$C$103,$A67),1)</f>
        <v>1</v>
      </c>
      <c r="DW67" s="33">
        <f t="shared" ref="DW67:DW103" si="110">IF($C67="TR",SUMIFS(AF$3:AF$103,$B$3:$B$103,$B67,$C$3:$C$103,$A67),1)</f>
        <v>1</v>
      </c>
      <c r="DX67" s="33">
        <f t="shared" ref="DX67:DX103" si="111">IF($C67="TR",SUMIFS(AG$3:AG$103,$B$3:$B$103,$B67,$C$3:$C$103,$A67),1)</f>
        <v>1</v>
      </c>
      <c r="DY67" s="33">
        <f t="shared" ref="DY67:DY103" si="112">IF($C67="TR",SUMIFS(AH$3:AH$103,$B$3:$B$103,$B67,$C$3:$C$103,$A67),1)</f>
        <v>1</v>
      </c>
      <c r="DZ67" s="33">
        <f t="shared" ref="DZ67:DZ103" si="113">IF($C67="TR",SUMIFS(AI$3:AI$103,$B$3:$B$103,$B67,$C$3:$C$103,$A67),1)</f>
        <v>1</v>
      </c>
      <c r="EA67" s="33">
        <f t="shared" ref="EA67:EA103" si="114">IF($C67="TR",SUMIFS(AJ$3:AJ$103,$B$3:$B$103,$B67,$C$3:$C$103,$A67),1)</f>
        <v>1</v>
      </c>
      <c r="EB67" s="33">
        <f t="shared" ref="EB67:EB103" si="115">IF($C67="TR",SUMIFS(AK$3:AK$103,$B$3:$B$103,$B67,$C$3:$C$103,$A67),1)</f>
        <v>1</v>
      </c>
      <c r="EC67" s="33">
        <f t="shared" ref="EC67:EC103" si="116">IF($C67="TR",SUMIFS(AL$3:AL$103,$B$3:$B$103,$B67,$C$3:$C$103,$A67),1)</f>
        <v>1</v>
      </c>
      <c r="ED67" s="33">
        <f t="shared" ref="ED67:ED103" si="117">IF($C67="TR",SUMIFS(AM$3:AM$103,$B$3:$B$103,$B67,$C$3:$C$103,$A67),1)</f>
        <v>1</v>
      </c>
      <c r="EE67" s="33">
        <f t="shared" ref="EE67:EE103" si="118">IF($C67="TR",SUMIFS(AN$3:AN$103,$B$3:$B$103,$B67,$C$3:$C$103,$A67),1)</f>
        <v>1</v>
      </c>
      <c r="EF67" s="33">
        <f t="shared" ref="EF67:EF103" si="119">IF($C67="TR",SUMIFS(AO$3:AO$103,$B$3:$B$103,$B67,$C$3:$C$103,$A67),1)</f>
        <v>1</v>
      </c>
      <c r="EG67" s="33">
        <f t="shared" ref="EG67:EG103" si="120">IF($C67="TR",SUMIFS(AP$3:AP$103,$B$3:$B$103,$B67,$C$3:$C$103,$A67),1)</f>
        <v>1</v>
      </c>
      <c r="EH67" s="33">
        <f t="shared" ref="EH67:EH103" si="121">IF($C67="TR",SUMIFS(AQ$3:AQ$103,$B$3:$B$103,$B67,$C$3:$C$103,$A67),1)</f>
        <v>1</v>
      </c>
      <c r="EI67" s="33">
        <f t="shared" ref="EI67:EI103" si="122">IF($C67="TR",SUMIFS(AR$3:AR$103,$B$3:$B$103,$B67,$C$3:$C$103,$A67),1)</f>
        <v>1</v>
      </c>
      <c r="EJ67" s="33">
        <f t="shared" ref="EJ67:EJ103" si="123">IF($C67="TR",SUMIFS(AS$3:AS$103,$B$3:$B$103,$B67,$C$3:$C$103,$A67),1)</f>
        <v>1</v>
      </c>
      <c r="EK67" s="33">
        <f t="shared" ref="EK67:EK103" si="124">IF($C67="TR",SUMIFS(AT$3:AT$103,$B$3:$B$103,$B67,$C$3:$C$103,$A67),1)</f>
        <v>1</v>
      </c>
      <c r="EL67" s="33">
        <f t="shared" ref="EL67:EL103" si="125">IF($C67="TR",SUMIFS(AU$3:AU$103,$B$3:$B$103,$B67,$C$3:$C$103,$A67),1)</f>
        <v>1</v>
      </c>
      <c r="EM67" s="33">
        <f t="shared" ref="EM67:EM103" si="126">IF($C67="TR",SUMIFS(AV$3:AV$103,$B$3:$B$103,$B67,$C$3:$C$103,$A67),1)</f>
        <v>1</v>
      </c>
      <c r="EN67" s="33">
        <f t="shared" ref="EN67:EN103" si="127">IF($C67="TR",SUMIFS(AW$3:AW$103,$B$3:$B$103,$B67,$C$3:$C$103,$A67),1)</f>
        <v>1</v>
      </c>
      <c r="EO67" s="33">
        <f t="shared" ref="EO67:EO103" si="128">IF($C67="TR",SUMIFS(AX$3:AX$103,$B$3:$B$103,$B67,$C$3:$C$103,$A67),1)</f>
        <v>1</v>
      </c>
      <c r="EP67" s="33">
        <f t="shared" ref="EP67:EP103" si="129">IF($C67="TR",SUMIFS(AY$3:AY$103,$B$3:$B$103,$B67,$C$3:$C$103,$A67),1)</f>
        <v>1</v>
      </c>
      <c r="EQ67" s="33">
        <f t="shared" ref="EQ67:EQ103" si="130">IF($C67="TR",SUMIFS(AZ$3:AZ$103,$B$3:$B$103,$B67,$C$3:$C$103,$A67),1)</f>
        <v>1</v>
      </c>
      <c r="ER67" s="33">
        <f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14">
        <v>2</v>
      </c>
      <c r="D68" s="15" t="s">
        <v>16</v>
      </c>
      <c r="E68" s="15" t="s">
        <v>70</v>
      </c>
      <c r="F68" s="16" t="str">
        <f>F67</f>
        <v>Bio Diesel</v>
      </c>
      <c r="G68" s="14"/>
      <c r="H68" s="21">
        <f ca="1">1-H62</f>
        <v>0.9</v>
      </c>
      <c r="I68" s="21">
        <f t="shared" ref="I68:BA68" ca="1" si="132">1-I62</f>
        <v>0.9</v>
      </c>
      <c r="J68" s="21">
        <f t="shared" ca="1" si="132"/>
        <v>0.98</v>
      </c>
      <c r="K68" s="21">
        <f t="shared" ca="1" si="132"/>
        <v>0.8</v>
      </c>
      <c r="L68" s="21">
        <f t="shared" ca="1" si="132"/>
        <v>0.95</v>
      </c>
      <c r="M68" s="21">
        <f t="shared" ca="1" si="132"/>
        <v>0.8</v>
      </c>
      <c r="N68" s="21">
        <f t="shared" ca="1" si="132"/>
        <v>0.92999999999999994</v>
      </c>
      <c r="O68" s="21">
        <f t="shared" ca="1" si="132"/>
        <v>0.9</v>
      </c>
      <c r="P68" s="21">
        <f t="shared" ca="1" si="132"/>
        <v>0.8</v>
      </c>
      <c r="Q68" s="21">
        <f t="shared" ca="1" si="132"/>
        <v>0.8</v>
      </c>
      <c r="R68" s="21">
        <f t="shared" ca="1" si="132"/>
        <v>0.8</v>
      </c>
      <c r="S68" s="21">
        <f t="shared" ca="1" si="132"/>
        <v>0.8</v>
      </c>
      <c r="T68" s="21">
        <f t="shared" ca="1" si="132"/>
        <v>0.8</v>
      </c>
      <c r="U68" s="21">
        <f t="shared" ca="1" si="132"/>
        <v>0.8</v>
      </c>
      <c r="V68" s="21">
        <f t="shared" ca="1" si="132"/>
        <v>0.8</v>
      </c>
      <c r="W68" s="21">
        <f t="shared" ca="1" si="132"/>
        <v>0.75</v>
      </c>
      <c r="X68" s="21">
        <f t="shared" ca="1" si="132"/>
        <v>0.8</v>
      </c>
      <c r="Y68" s="21">
        <f t="shared" ca="1" si="132"/>
        <v>0.8</v>
      </c>
      <c r="Z68" s="21">
        <f t="shared" ca="1" si="132"/>
        <v>0.95</v>
      </c>
      <c r="AA68" s="21">
        <f t="shared" ca="1" si="132"/>
        <v>0.92999999999999994</v>
      </c>
      <c r="AB68" s="21">
        <f t="shared" ca="1" si="132"/>
        <v>0.9</v>
      </c>
      <c r="AC68" s="21">
        <f t="shared" ca="1" si="132"/>
        <v>0.97559357817738346</v>
      </c>
      <c r="AD68" s="21">
        <f t="shared" ca="1" si="132"/>
        <v>0.8</v>
      </c>
      <c r="AE68" s="21">
        <f t="shared" ca="1" si="132"/>
        <v>0.8</v>
      </c>
      <c r="AF68" s="21">
        <f t="shared" ca="1" si="132"/>
        <v>0.92</v>
      </c>
      <c r="AG68" s="21">
        <f t="shared" ca="1" si="132"/>
        <v>0.95</v>
      </c>
      <c r="AH68" s="21">
        <f t="shared" ca="1" si="132"/>
        <v>0.9</v>
      </c>
      <c r="AI68" s="21">
        <f t="shared" ca="1" si="132"/>
        <v>0.9</v>
      </c>
      <c r="AJ68" s="21">
        <f t="shared" ca="1" si="132"/>
        <v>0.8</v>
      </c>
      <c r="AK68" s="21">
        <f t="shared" ca="1" si="132"/>
        <v>0.8</v>
      </c>
      <c r="AL68" s="21">
        <f t="shared" ca="1" si="132"/>
        <v>0.8</v>
      </c>
      <c r="AM68" s="21">
        <f t="shared" ca="1" si="132"/>
        <v>0.9</v>
      </c>
      <c r="AN68" s="21">
        <f t="shared" ca="1" si="132"/>
        <v>0.8</v>
      </c>
      <c r="AO68" s="21">
        <f t="shared" ca="1" si="132"/>
        <v>0.95</v>
      </c>
      <c r="AP68" s="21">
        <f t="shared" ca="1" si="132"/>
        <v>0.8</v>
      </c>
      <c r="AQ68" s="21">
        <f t="shared" ca="1" si="132"/>
        <v>0.97559357817738346</v>
      </c>
      <c r="AR68" s="21">
        <f t="shared" ca="1" si="132"/>
        <v>0.97559357817738346</v>
      </c>
      <c r="AS68" s="21">
        <f t="shared" ca="1" si="132"/>
        <v>0.97559357817738346</v>
      </c>
      <c r="AT68" s="21">
        <f t="shared" ca="1" si="132"/>
        <v>0.97559357817738346</v>
      </c>
      <c r="AU68" s="21">
        <f t="shared" ca="1" si="132"/>
        <v>0.97559357817738346</v>
      </c>
      <c r="AV68" s="21">
        <f t="shared" ca="1" si="132"/>
        <v>0.97559357817738346</v>
      </c>
      <c r="AW68" s="21">
        <f t="shared" ca="1" si="132"/>
        <v>0.97559357817738346</v>
      </c>
      <c r="AX68" s="21">
        <f t="shared" ca="1" si="132"/>
        <v>0.97559357817738346</v>
      </c>
      <c r="AY68" s="21">
        <f t="shared" ca="1" si="132"/>
        <v>0.97559357817738346</v>
      </c>
      <c r="AZ68" s="21">
        <f t="shared" ca="1" si="132"/>
        <v>0.97559357817738346</v>
      </c>
      <c r="BA68" s="21">
        <f t="shared" ca="1" si="132"/>
        <v>0.97559357817738346</v>
      </c>
      <c r="BD68" s="34">
        <f ca="1">IFERROR(SUMIFS('TRA balance'!E$5:E$40,'TRA balance'!$C$5:$C$40,Assumptions!$C68,'TRA balance'!$D$5:$D$40,Assumptions!$B68)*CY68*H68,"")</f>
        <v>0</v>
      </c>
      <c r="BE68" s="34">
        <f ca="1">IFERROR(SUMIFS('TRA balance'!F$5:F$40,'TRA balance'!$C$5:$C$40,Assumptions!$C68,'TRA balance'!$D$5:$D$40,Assumptions!$B68)*CZ68*I68,"")</f>
        <v>0</v>
      </c>
      <c r="BF68" s="34">
        <f ca="1">IFERROR(SUMIFS('TRA balance'!G$5:G$40,'TRA balance'!$C$5:$C$40,Assumptions!$C68,'TRA balance'!$D$5:$D$40,Assumptions!$B68)*DA68*J68,"")</f>
        <v>0</v>
      </c>
      <c r="BG68" s="34">
        <f ca="1">IFERROR(SUMIFS('TRA balance'!H$5:H$40,'TRA balance'!$C$5:$C$40,Assumptions!$C68,'TRA balance'!$D$5:$D$40,Assumptions!$B68)*DB68*K68,"")</f>
        <v>0</v>
      </c>
      <c r="BH68" s="34">
        <f ca="1">IFERROR(SUMIFS('TRA balance'!I$5:I$40,'TRA balance'!$C$5:$C$40,Assumptions!$C68,'TRA balance'!$D$5:$D$40,Assumptions!$B68)*DC68*L68,"")</f>
        <v>0</v>
      </c>
      <c r="BI68" s="34">
        <f ca="1">IFERROR(SUMIFS('TRA balance'!J$5:J$40,'TRA balance'!$C$5:$C$40,Assumptions!$C68,'TRA balance'!$D$5:$D$40,Assumptions!$B68)*DD68*M68,"")</f>
        <v>0</v>
      </c>
      <c r="BJ68" s="34">
        <f ca="1">IFERROR(SUMIFS('TRA balance'!K$5:K$40,'TRA balance'!$C$5:$C$40,Assumptions!$C68,'TRA balance'!$D$5:$D$40,Assumptions!$B68)*DE68*N68,"")</f>
        <v>0</v>
      </c>
      <c r="BK68" s="34">
        <f ca="1">IFERROR(SUMIFS('TRA balance'!L$5:L$40,'TRA balance'!$C$5:$C$40,Assumptions!$C68,'TRA balance'!$D$5:$D$40,Assumptions!$B68)*DF68*O68,"")</f>
        <v>0</v>
      </c>
      <c r="BL68" s="34">
        <f ca="1">IFERROR(SUMIFS('TRA balance'!M$5:M$40,'TRA balance'!$C$5:$C$40,Assumptions!$C68,'TRA balance'!$D$5:$D$40,Assumptions!$B68)*DG68*P68,"")</f>
        <v>0</v>
      </c>
      <c r="BM68" s="34">
        <f ca="1">IFERROR(SUMIFS('TRA balance'!N$5:N$40,'TRA balance'!$C$5:$C$40,Assumptions!$C68,'TRA balance'!$D$5:$D$40,Assumptions!$B68)*DH68*Q68,"")</f>
        <v>0</v>
      </c>
      <c r="BN68" s="34">
        <f ca="1">IFERROR(SUMIFS('TRA balance'!O$5:O$40,'TRA balance'!$C$5:$C$40,Assumptions!$C68,'TRA balance'!$D$5:$D$40,Assumptions!$B68)*DI68*R68,"")</f>
        <v>0</v>
      </c>
      <c r="BO68" s="34">
        <f ca="1">IFERROR(SUMIFS('TRA balance'!P$5:P$40,'TRA balance'!$C$5:$C$40,Assumptions!$C68,'TRA balance'!$D$5:$D$40,Assumptions!$B68)*DJ68*S68,"")</f>
        <v>0</v>
      </c>
      <c r="BP68" s="34">
        <f ca="1">IFERROR(SUMIFS('TRA balance'!Q$5:Q$40,'TRA balance'!$C$5:$C$40,Assumptions!$C68,'TRA balance'!$D$5:$D$40,Assumptions!$B68)*DK68*T68,"")</f>
        <v>0</v>
      </c>
      <c r="BQ68" s="34">
        <f ca="1">IFERROR(SUMIFS('TRA balance'!R$5:R$40,'TRA balance'!$C$5:$C$40,Assumptions!$C68,'TRA balance'!$D$5:$D$40,Assumptions!$B68)*DL68*U68,"")</f>
        <v>0</v>
      </c>
      <c r="BR68" s="34">
        <f ca="1">IFERROR(SUMIFS('TRA balance'!S$5:S$40,'TRA balance'!$C$5:$C$40,Assumptions!$C68,'TRA balance'!$D$5:$D$40,Assumptions!$B68)*DM68*V68,"")</f>
        <v>0</v>
      </c>
      <c r="BS68" s="34">
        <f ca="1">IFERROR(SUMIFS('TRA balance'!T$5:T$40,'TRA balance'!$C$5:$C$40,Assumptions!$C68,'TRA balance'!$D$5:$D$40,Assumptions!$B68)*DN68*W68,"")</f>
        <v>0</v>
      </c>
      <c r="BT68" s="34">
        <f ca="1">IFERROR(SUMIFS('TRA balance'!U$5:U$40,'TRA balance'!$C$5:$C$40,Assumptions!$C68,'TRA balance'!$D$5:$D$40,Assumptions!$B68)*DO68*X68,"")</f>
        <v>0</v>
      </c>
      <c r="BU68" s="34">
        <f ca="1">IFERROR(SUMIFS('TRA balance'!V$5:V$40,'TRA balance'!$C$5:$C$40,Assumptions!$C68,'TRA balance'!$D$5:$D$40,Assumptions!$B68)*DP68*Y68,"")</f>
        <v>0</v>
      </c>
      <c r="BV68" s="34">
        <f ca="1">IFERROR(SUMIFS('TRA balance'!W$5:W$40,'TRA balance'!$C$5:$C$40,Assumptions!$C68,'TRA balance'!$D$5:$D$40,Assumptions!$B68)*DQ68*Z68,"")</f>
        <v>0</v>
      </c>
      <c r="BW68" s="34">
        <f ca="1">IFERROR(SUMIFS('TRA balance'!X$5:X$40,'TRA balance'!$C$5:$C$40,Assumptions!$C68,'TRA balance'!$D$5:$D$40,Assumptions!$B68)*DR68*AA68,"")</f>
        <v>0</v>
      </c>
      <c r="BX68" s="34">
        <f ca="1">IFERROR(SUMIFS('TRA balance'!Y$5:Y$40,'TRA balance'!$C$5:$C$40,Assumptions!$C68,'TRA balance'!$D$5:$D$40,Assumptions!$B68)*DS68*AB68,"")</f>
        <v>0</v>
      </c>
      <c r="BY68" s="34">
        <f ca="1">IFERROR(SUMIFS('TRA balance'!Z$5:Z$40,'TRA balance'!$C$5:$C$40,Assumptions!$C68,'TRA balance'!$D$5:$D$40,Assumptions!$B68)*DT68*AC68,"")</f>
        <v>0</v>
      </c>
      <c r="BZ68" s="34">
        <f ca="1">IFERROR(SUMIFS('TRA balance'!AA$5:AA$40,'TRA balance'!$C$5:$C$40,Assumptions!$C68,'TRA balance'!$D$5:$D$40,Assumptions!$B68)*DU68*AD68,"")</f>
        <v>0</v>
      </c>
      <c r="CA68" s="34">
        <f ca="1">IFERROR(SUMIFS('TRA balance'!AB$5:AB$40,'TRA balance'!$C$5:$C$40,Assumptions!$C68,'TRA balance'!$D$5:$D$40,Assumptions!$B68)*DV68*AE68,"")</f>
        <v>0</v>
      </c>
      <c r="CB68" s="34">
        <f ca="1">IFERROR(SUMIFS('TRA balance'!AC$5:AC$40,'TRA balance'!$C$5:$C$40,Assumptions!$C68,'TRA balance'!$D$5:$D$40,Assumptions!$B68)*DW68*AF68,"")</f>
        <v>0</v>
      </c>
      <c r="CC68" s="34">
        <f ca="1">IFERROR(SUMIFS('TRA balance'!AD$5:AD$40,'TRA balance'!$C$5:$C$40,Assumptions!$C68,'TRA balance'!$D$5:$D$40,Assumptions!$B68)*DX68*AG68,"")</f>
        <v>0</v>
      </c>
      <c r="CD68" s="34">
        <f ca="1">IFERROR(SUMIFS('TRA balance'!AE$5:AE$40,'TRA balance'!$C$5:$C$40,Assumptions!$C68,'TRA balance'!$D$5:$D$40,Assumptions!$B68)*DY68*AH68,"")</f>
        <v>0</v>
      </c>
      <c r="CE68" s="34">
        <f ca="1">IFERROR(SUMIFS('TRA balance'!AF$5:AF$40,'TRA balance'!$C$5:$C$40,Assumptions!$C68,'TRA balance'!$D$5:$D$40,Assumptions!$B68)*DZ68*AI68,"")</f>
        <v>0</v>
      </c>
      <c r="CF68" s="34">
        <f ca="1">IFERROR(SUMIFS('TRA balance'!AG$5:AG$40,'TRA balance'!$C$5:$C$40,Assumptions!$C68,'TRA balance'!$D$5:$D$40,Assumptions!$B68)*EA68*AJ68,"")</f>
        <v>0</v>
      </c>
      <c r="CG68" s="34">
        <f ca="1">IFERROR(SUMIFS('TRA balance'!AH$5:AH$40,'TRA balance'!$C$5:$C$40,Assumptions!$C68,'TRA balance'!$D$5:$D$40,Assumptions!$B68)*EB68*AK68,"")</f>
        <v>0</v>
      </c>
      <c r="CH68" s="34">
        <f ca="1">IFERROR(SUMIFS('TRA balance'!AI$5:AI$40,'TRA balance'!$C$5:$C$40,Assumptions!$C68,'TRA balance'!$D$5:$D$40,Assumptions!$B68)*EC68*AL68,"")</f>
        <v>0</v>
      </c>
      <c r="CI68" s="34">
        <f ca="1">IFERROR(SUMIFS('TRA balance'!AJ$5:AJ$40,'TRA balance'!$C$5:$C$40,Assumptions!$C68,'TRA balance'!$D$5:$D$40,Assumptions!$B68)*ED68*AM68,"")</f>
        <v>0</v>
      </c>
      <c r="CJ68" s="34">
        <f ca="1">IFERROR(SUMIFS('TRA balance'!AK$5:AK$40,'TRA balance'!$C$5:$C$40,Assumptions!$C68,'TRA balance'!$D$5:$D$40,Assumptions!$B68)*EE68*AN68,"")</f>
        <v>0</v>
      </c>
      <c r="CK68" s="34">
        <f ca="1">IFERROR(SUMIFS('TRA balance'!AL$5:AL$40,'TRA balance'!$C$5:$C$40,Assumptions!$C68,'TRA balance'!$D$5:$D$40,Assumptions!$B68)*EF68*AO68,"")</f>
        <v>0</v>
      </c>
      <c r="CL68" s="34">
        <f ca="1">IFERROR(SUMIFS('TRA balance'!AM$5:AM$40,'TRA balance'!$C$5:$C$40,Assumptions!$C68,'TRA balance'!$D$5:$D$40,Assumptions!$B68)*EG68*AP68,"")</f>
        <v>0</v>
      </c>
      <c r="CM68" s="34">
        <f ca="1">IFERROR(SUMIFS('TRA balance'!AN$5:AN$40,'TRA balance'!$C$5:$C$40,Assumptions!$C68,'TRA balance'!$D$5:$D$40,Assumptions!$B68)*EH68*AQ68,"")</f>
        <v>0</v>
      </c>
      <c r="CN68" s="34">
        <f ca="1">IFERROR(SUMIFS('TRA balance'!AO$5:AO$40,'TRA balance'!$C$5:$C$40,Assumptions!$C68,'TRA balance'!$D$5:$D$40,Assumptions!$B68)*EI68*AR68,"")</f>
        <v>0</v>
      </c>
      <c r="CO68" s="34">
        <f ca="1">IFERROR(SUMIFS('TRA balance'!AP$5:AP$40,'TRA balance'!$C$5:$C$40,Assumptions!$C68,'TRA balance'!$D$5:$D$40,Assumptions!$B68)*EJ68*AS68,"")</f>
        <v>0</v>
      </c>
      <c r="CP68" s="34">
        <f ca="1">IFERROR(SUMIFS('TRA balance'!AQ$5:AQ$40,'TRA balance'!$C$5:$C$40,Assumptions!$C68,'TRA balance'!$D$5:$D$40,Assumptions!$B68)*EK68*AT68,"")</f>
        <v>0</v>
      </c>
      <c r="CQ68" s="34">
        <f ca="1">IFERROR(SUMIFS('TRA balance'!AR$5:AR$40,'TRA balance'!$C$5:$C$40,Assumptions!$C68,'TRA balance'!$D$5:$D$40,Assumptions!$B68)*EL68*AU68,"")</f>
        <v>0</v>
      </c>
      <c r="CR68" s="34">
        <f ca="1">IFERROR(SUMIFS('TRA balance'!AS$5:AS$40,'TRA balance'!$C$5:$C$40,Assumptions!$C68,'TRA balance'!$D$5:$D$40,Assumptions!$B68)*EM68*AV68,"")</f>
        <v>0</v>
      </c>
      <c r="CS68" s="34">
        <f ca="1">IFERROR(SUMIFS('TRA balance'!AT$5:AT$40,'TRA balance'!$C$5:$C$40,Assumptions!$C68,'TRA balance'!$D$5:$D$40,Assumptions!$B68)*EN68*AW68,"")</f>
        <v>0</v>
      </c>
      <c r="CT68" s="34">
        <f ca="1">IFERROR(SUMIFS('TRA balance'!AU$5:AU$40,'TRA balance'!$C$5:$C$40,Assumptions!$C68,'TRA balance'!$D$5:$D$40,Assumptions!$B68)*EO68*AX68,"")</f>
        <v>0</v>
      </c>
      <c r="CU68" s="34">
        <f ca="1">IFERROR(SUMIFS('TRA balance'!AV$5:AV$40,'TRA balance'!$C$5:$C$40,Assumptions!$C68,'TRA balance'!$D$5:$D$40,Assumptions!$B68)*EP68*AY68,"")</f>
        <v>0</v>
      </c>
      <c r="CV68" s="34">
        <f ca="1">IFERROR(SUMIFS('TRA balance'!AW$5:AW$40,'TRA balance'!$C$5:$C$40,Assumptions!$C68,'TRA balance'!$D$5:$D$40,Assumptions!$B68)*EQ68*AZ68,"")</f>
        <v>0</v>
      </c>
      <c r="CW68" s="34">
        <f ca="1">IFERROR(SUMIFS('TRA balance'!AX$5:AX$40,'TRA balance'!$C$5:$C$40,Assumptions!$C68,'TRA balance'!$D$5:$D$40,Assumptions!$B68)*ER68*BA68,"")</f>
        <v>0</v>
      </c>
      <c r="CY68" s="33">
        <f t="shared" si="86"/>
        <v>1</v>
      </c>
      <c r="CZ68" s="33">
        <f t="shared" si="87"/>
        <v>1</v>
      </c>
      <c r="DA68" s="33">
        <f t="shared" si="88"/>
        <v>1</v>
      </c>
      <c r="DB68" s="33">
        <f t="shared" si="89"/>
        <v>1</v>
      </c>
      <c r="DC68" s="33">
        <f t="shared" si="90"/>
        <v>1</v>
      </c>
      <c r="DD68" s="33">
        <f t="shared" si="91"/>
        <v>1</v>
      </c>
      <c r="DE68" s="33">
        <f t="shared" si="92"/>
        <v>1</v>
      </c>
      <c r="DF68" s="33">
        <f t="shared" si="93"/>
        <v>1</v>
      </c>
      <c r="DG68" s="33">
        <f t="shared" si="94"/>
        <v>1</v>
      </c>
      <c r="DH68" s="33">
        <f t="shared" si="95"/>
        <v>1</v>
      </c>
      <c r="DI68" s="33">
        <f t="shared" si="96"/>
        <v>1</v>
      </c>
      <c r="DJ68" s="33">
        <f t="shared" si="97"/>
        <v>1</v>
      </c>
      <c r="DK68" s="33">
        <f t="shared" si="98"/>
        <v>1</v>
      </c>
      <c r="DL68" s="33">
        <f t="shared" si="99"/>
        <v>1</v>
      </c>
      <c r="DM68" s="33">
        <f t="shared" si="100"/>
        <v>1</v>
      </c>
      <c r="DN68" s="33">
        <f t="shared" si="101"/>
        <v>1</v>
      </c>
      <c r="DO68" s="33">
        <f t="shared" si="102"/>
        <v>1</v>
      </c>
      <c r="DP68" s="33">
        <f t="shared" si="103"/>
        <v>1</v>
      </c>
      <c r="DQ68" s="33">
        <f t="shared" si="104"/>
        <v>1</v>
      </c>
      <c r="DR68" s="33">
        <f t="shared" si="105"/>
        <v>1</v>
      </c>
      <c r="DS68" s="33">
        <f t="shared" si="106"/>
        <v>1</v>
      </c>
      <c r="DT68" s="33">
        <f t="shared" si="107"/>
        <v>1</v>
      </c>
      <c r="DU68" s="33">
        <f t="shared" si="108"/>
        <v>1</v>
      </c>
      <c r="DV68" s="33">
        <f t="shared" si="109"/>
        <v>1</v>
      </c>
      <c r="DW68" s="33">
        <f t="shared" si="110"/>
        <v>1</v>
      </c>
      <c r="DX68" s="33">
        <f t="shared" si="111"/>
        <v>1</v>
      </c>
      <c r="DY68" s="33">
        <f t="shared" si="112"/>
        <v>1</v>
      </c>
      <c r="DZ68" s="33">
        <f t="shared" si="113"/>
        <v>1</v>
      </c>
      <c r="EA68" s="33">
        <f t="shared" si="114"/>
        <v>1</v>
      </c>
      <c r="EB68" s="33">
        <f t="shared" si="115"/>
        <v>1</v>
      </c>
      <c r="EC68" s="33">
        <f t="shared" si="116"/>
        <v>1</v>
      </c>
      <c r="ED68" s="33">
        <f t="shared" si="117"/>
        <v>1</v>
      </c>
      <c r="EE68" s="33">
        <f t="shared" si="118"/>
        <v>1</v>
      </c>
      <c r="EF68" s="33">
        <f t="shared" si="119"/>
        <v>1</v>
      </c>
      <c r="EG68" s="33">
        <f t="shared" si="120"/>
        <v>1</v>
      </c>
      <c r="EH68" s="33">
        <f t="shared" si="121"/>
        <v>1</v>
      </c>
      <c r="EI68" s="33">
        <f t="shared" si="122"/>
        <v>1</v>
      </c>
      <c r="EJ68" s="33">
        <f t="shared" si="123"/>
        <v>1</v>
      </c>
      <c r="EK68" s="33">
        <f t="shared" si="124"/>
        <v>1</v>
      </c>
      <c r="EL68" s="33">
        <f t="shared" si="125"/>
        <v>1</v>
      </c>
      <c r="EM68" s="33">
        <f t="shared" si="126"/>
        <v>1</v>
      </c>
      <c r="EN68" s="33">
        <f t="shared" si="127"/>
        <v>1</v>
      </c>
      <c r="EO68" s="33">
        <f t="shared" si="128"/>
        <v>1</v>
      </c>
      <c r="EP68" s="33">
        <f t="shared" si="129"/>
        <v>1</v>
      </c>
      <c r="EQ68" s="33">
        <f t="shared" si="130"/>
        <v>1</v>
      </c>
      <c r="ER68" s="33">
        <f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6" t="str">
        <f t="shared" ref="C69:C102" si="133">LEFT(G69,2)</f>
        <v>TR</v>
      </c>
      <c r="D69" s="7" t="s">
        <v>16</v>
      </c>
      <c r="E69" s="18" t="s">
        <v>71</v>
      </c>
      <c r="F69" s="8" t="str">
        <f>F68</f>
        <v>Bio Diesel</v>
      </c>
      <c r="G69" s="6" t="s">
        <v>72</v>
      </c>
      <c r="H69" s="9">
        <f ca="1">OFFSET(TIAM15_assumptions!$G69,0,MATCH(VLOOKUP(Assumptions!H$2,TIAM15_assumptions!$Y$3:$Z$87,2,FALSE),TIAM15_assumptions!$H$2:$V$2,0))</f>
        <v>0.35</v>
      </c>
      <c r="I69" s="9">
        <f ca="1">OFFSET(TIAM15_assumptions!$G69,0,MATCH(VLOOKUP(Assumptions!I$2,TIAM15_assumptions!$Y$3:$Z$87,2,FALSE),TIAM15_assumptions!$H$2:$V$2,0))</f>
        <v>0.35</v>
      </c>
      <c r="J69" s="9">
        <f ca="1">OFFSET(TIAM15_assumptions!$G69,0,MATCH(VLOOKUP(Assumptions!J$2,TIAM15_assumptions!$Y$3:$Z$87,2,FALSE),TIAM15_assumptions!$H$2:$V$2,0))</f>
        <v>0.15</v>
      </c>
      <c r="K69" s="9">
        <f ca="1">OFFSET(TIAM15_assumptions!$G69,0,MATCH(VLOOKUP(Assumptions!K$2,TIAM15_assumptions!$Y$3:$Z$87,2,FALSE),TIAM15_assumptions!$H$2:$V$2,0))</f>
        <v>0.05</v>
      </c>
      <c r="L69" s="9">
        <f ca="1">OFFSET(TIAM15_assumptions!$G69,0,MATCH(VLOOKUP(Assumptions!L$2,TIAM15_assumptions!$Y$3:$Z$87,2,FALSE),TIAM15_assumptions!$H$2:$V$2,0))</f>
        <v>0.1</v>
      </c>
      <c r="M69" s="9">
        <f ca="1">OFFSET(TIAM15_assumptions!$G69,0,MATCH(VLOOKUP(Assumptions!M$2,TIAM15_assumptions!$Y$3:$Z$87,2,FALSE),TIAM15_assumptions!$H$2:$V$2,0))</f>
        <v>0.05</v>
      </c>
      <c r="N69" s="9">
        <f ca="1">OFFSET(TIAM15_assumptions!$G69,0,MATCH(VLOOKUP(Assumptions!N$2,TIAM15_assumptions!$Y$3:$Z$87,2,FALSE),TIAM15_assumptions!$H$2:$V$2,0))</f>
        <v>0.1</v>
      </c>
      <c r="O69" s="9">
        <f ca="1">OFFSET(TIAM15_assumptions!$G69,0,MATCH(VLOOKUP(Assumptions!O$2,TIAM15_assumptions!$Y$3:$Z$87,2,FALSE),TIAM15_assumptions!$H$2:$V$2,0))</f>
        <v>0.35</v>
      </c>
      <c r="P69" s="9">
        <f ca="1">OFFSET(TIAM15_assumptions!$G69,0,MATCH(VLOOKUP(Assumptions!P$2,TIAM15_assumptions!$Y$3:$Z$87,2,FALSE),TIAM15_assumptions!$H$2:$V$2,0))</f>
        <v>0.1</v>
      </c>
      <c r="Q69" s="9">
        <f ca="1">OFFSET(TIAM15_assumptions!$G69,0,MATCH(VLOOKUP(Assumptions!Q$2,TIAM15_assumptions!$Y$3:$Z$87,2,FALSE),TIAM15_assumptions!$H$2:$V$2,0))</f>
        <v>0.1</v>
      </c>
      <c r="R69" s="9">
        <f ca="1">OFFSET(TIAM15_assumptions!$G69,0,MATCH(VLOOKUP(Assumptions!R$2,TIAM15_assumptions!$Y$3:$Z$87,2,FALSE),TIAM15_assumptions!$H$2:$V$2,0))</f>
        <v>0.05</v>
      </c>
      <c r="S69" s="9">
        <f ca="1">OFFSET(TIAM15_assumptions!$G69,0,MATCH(VLOOKUP(Assumptions!S$2,TIAM15_assumptions!$Y$3:$Z$87,2,FALSE),TIAM15_assumptions!$H$2:$V$2,0))</f>
        <v>0.05</v>
      </c>
      <c r="T69" s="9">
        <f ca="1">OFFSET(TIAM15_assumptions!$G69,0,MATCH(VLOOKUP(Assumptions!T$2,TIAM15_assumptions!$Y$3:$Z$87,2,FALSE),TIAM15_assumptions!$H$2:$V$2,0))</f>
        <v>0.05</v>
      </c>
      <c r="U69" s="9">
        <f ca="1">OFFSET(TIAM15_assumptions!$G69,0,MATCH(VLOOKUP(Assumptions!U$2,TIAM15_assumptions!$Y$3:$Z$87,2,FALSE),TIAM15_assumptions!$H$2:$V$2,0))</f>
        <v>0.1</v>
      </c>
      <c r="V69" s="9">
        <f ca="1">OFFSET(TIAM15_assumptions!$G69,0,MATCH(VLOOKUP(Assumptions!V$2,TIAM15_assumptions!$Y$3:$Z$87,2,FALSE),TIAM15_assumptions!$H$2:$V$2,0))</f>
        <v>0.05</v>
      </c>
      <c r="W69" s="9">
        <f ca="1">OFFSET(TIAM15_assumptions!$G69,0,MATCH(VLOOKUP(Assumptions!W$2,TIAM15_assumptions!$Y$3:$Z$87,2,FALSE),TIAM15_assumptions!$H$2:$V$2,0))</f>
        <v>0.25</v>
      </c>
      <c r="X69" s="9">
        <f ca="1">OFFSET(TIAM15_assumptions!$G69,0,MATCH(VLOOKUP(Assumptions!X$2,TIAM15_assumptions!$Y$3:$Z$87,2,FALSE),TIAM15_assumptions!$H$2:$V$2,0))</f>
        <v>0.05</v>
      </c>
      <c r="Y69" s="9">
        <f ca="1">OFFSET(TIAM15_assumptions!$G69,0,MATCH(VLOOKUP(Assumptions!Y$2,TIAM15_assumptions!$Y$3:$Z$87,2,FALSE),TIAM15_assumptions!$H$2:$V$2,0))</f>
        <v>0.05</v>
      </c>
      <c r="Z69" s="9">
        <f ca="1">OFFSET(TIAM15_assumptions!$G69,0,MATCH(VLOOKUP(Assumptions!Z$2,TIAM15_assumptions!$Y$3:$Z$87,2,FALSE),TIAM15_assumptions!$H$2:$V$2,0))</f>
        <v>0.05</v>
      </c>
      <c r="AA69" s="9">
        <f ca="1">OFFSET(TIAM15_assumptions!$G69,0,MATCH(VLOOKUP(Assumptions!AA$2,TIAM15_assumptions!$Y$3:$Z$87,2,FALSE),TIAM15_assumptions!$H$2:$V$2,0))</f>
        <v>0.1</v>
      </c>
      <c r="AB69" s="9">
        <f ca="1">OFFSET(TIAM15_assumptions!$G69,0,MATCH(VLOOKUP(Assumptions!AB$2,TIAM15_assumptions!$Y$3:$Z$87,2,FALSE),TIAM15_assumptions!$H$2:$V$2,0))</f>
        <v>0.1</v>
      </c>
      <c r="AC69" s="9">
        <f ca="1">OFFSET(TIAM15_assumptions!$G69,0,MATCH(VLOOKUP(Assumptions!AC$2,TIAM15_assumptions!$Y$3:$Z$87,2,FALSE),TIAM15_assumptions!$H$2:$V$2,0))</f>
        <v>0.04</v>
      </c>
      <c r="AD69" s="9">
        <f ca="1">OFFSET(TIAM15_assumptions!$G69,0,MATCH(VLOOKUP(Assumptions!AD$2,TIAM15_assumptions!$Y$3:$Z$87,2,FALSE),TIAM15_assumptions!$H$2:$V$2,0))</f>
        <v>0.05</v>
      </c>
      <c r="AE69" s="9">
        <f ca="1">OFFSET(TIAM15_assumptions!$G69,0,MATCH(VLOOKUP(Assumptions!AE$2,TIAM15_assumptions!$Y$3:$Z$87,2,FALSE),TIAM15_assumptions!$H$2:$V$2,0))</f>
        <v>0.1</v>
      </c>
      <c r="AF69" s="9">
        <f ca="1">OFFSET(TIAM15_assumptions!$G69,0,MATCH(VLOOKUP(Assumptions!AF$2,TIAM15_assumptions!$Y$3:$Z$87,2,FALSE),TIAM15_assumptions!$H$2:$V$2,0))</f>
        <v>0.15</v>
      </c>
      <c r="AG69" s="9">
        <f ca="1">OFFSET(TIAM15_assumptions!$G69,0,MATCH(VLOOKUP(Assumptions!AG$2,TIAM15_assumptions!$Y$3:$Z$87,2,FALSE),TIAM15_assumptions!$H$2:$V$2,0))</f>
        <v>0.1</v>
      </c>
      <c r="AH69" s="9">
        <f ca="1">OFFSET(TIAM15_assumptions!$G69,0,MATCH(VLOOKUP(Assumptions!AH$2,TIAM15_assumptions!$Y$3:$Z$87,2,FALSE),TIAM15_assumptions!$H$2:$V$2,0))</f>
        <v>0.1</v>
      </c>
      <c r="AI69" s="9">
        <f ca="1">OFFSET(TIAM15_assumptions!$G69,0,MATCH(VLOOKUP(Assumptions!AI$2,TIAM15_assumptions!$Y$3:$Z$87,2,FALSE),TIAM15_assumptions!$H$2:$V$2,0))</f>
        <v>0.35</v>
      </c>
      <c r="AJ69" s="9">
        <f ca="1">OFFSET(TIAM15_assumptions!$G69,0,MATCH(VLOOKUP(Assumptions!AJ$2,TIAM15_assumptions!$Y$3:$Z$87,2,FALSE),TIAM15_assumptions!$H$2:$V$2,0))</f>
        <v>0.05</v>
      </c>
      <c r="AK69" s="9">
        <f ca="1">OFFSET(TIAM15_assumptions!$G69,0,MATCH(VLOOKUP(Assumptions!AK$2,TIAM15_assumptions!$Y$3:$Z$87,2,FALSE),TIAM15_assumptions!$H$2:$V$2,0))</f>
        <v>0.05</v>
      </c>
      <c r="AL69" s="9">
        <f ca="1">OFFSET(TIAM15_assumptions!$G69,0,MATCH(VLOOKUP(Assumptions!AL$2,TIAM15_assumptions!$Y$3:$Z$87,2,FALSE),TIAM15_assumptions!$H$2:$V$2,0))</f>
        <v>0.05</v>
      </c>
      <c r="AM69" s="9">
        <f ca="1">OFFSET(TIAM15_assumptions!$G69,0,MATCH(VLOOKUP(Assumptions!AM$2,TIAM15_assumptions!$Y$3:$Z$87,2,FALSE),TIAM15_assumptions!$H$2:$V$2,0))</f>
        <v>0.1</v>
      </c>
      <c r="AN69" s="9">
        <f ca="1">OFFSET(TIAM15_assumptions!$G69,0,MATCH(VLOOKUP(Assumptions!AN$2,TIAM15_assumptions!$Y$3:$Z$87,2,FALSE),TIAM15_assumptions!$H$2:$V$2,0))</f>
        <v>0.05</v>
      </c>
      <c r="AO69" s="9">
        <f ca="1">OFFSET(TIAM15_assumptions!$G69,0,MATCH(VLOOKUP(Assumptions!AO$2,TIAM15_assumptions!$Y$3:$Z$87,2,FALSE),TIAM15_assumptions!$H$2:$V$2,0))</f>
        <v>0.1</v>
      </c>
      <c r="AP69" s="9">
        <f ca="1">OFFSET(TIAM15_assumptions!$G69,0,MATCH(VLOOKUP(Assumptions!AP$2,TIAM15_assumptions!$Y$3:$Z$87,2,FALSE),TIAM15_assumptions!$H$2:$V$2,0))</f>
        <v>0.1</v>
      </c>
      <c r="AQ69" s="9">
        <f ca="1">OFFSET(TIAM15_assumptions!$G69,0,MATCH(VLOOKUP(Assumptions!AQ$2,TIAM15_assumptions!$Y$3:$Z$87,2,FALSE),TIAM15_assumptions!$H$2:$V$2,0))</f>
        <v>0.04</v>
      </c>
      <c r="AR69" s="9">
        <f ca="1">OFFSET(TIAM15_assumptions!$G69,0,MATCH(VLOOKUP(Assumptions!AR$2,TIAM15_assumptions!$Y$3:$Z$87,2,FALSE),TIAM15_assumptions!$H$2:$V$2,0))</f>
        <v>0.04</v>
      </c>
      <c r="AS69" s="9">
        <f ca="1">OFFSET(TIAM15_assumptions!$G69,0,MATCH(VLOOKUP(Assumptions!AS$2,TIAM15_assumptions!$Y$3:$Z$87,2,FALSE),TIAM15_assumptions!$H$2:$V$2,0))</f>
        <v>0.04</v>
      </c>
      <c r="AT69" s="9">
        <f ca="1">OFFSET(TIAM15_assumptions!$G69,0,MATCH(VLOOKUP(Assumptions!AT$2,TIAM15_assumptions!$Y$3:$Z$87,2,FALSE),TIAM15_assumptions!$H$2:$V$2,0))</f>
        <v>0.04</v>
      </c>
      <c r="AU69" s="9">
        <f ca="1">OFFSET(TIAM15_assumptions!$G69,0,MATCH(VLOOKUP(Assumptions!AU$2,TIAM15_assumptions!$Y$3:$Z$87,2,FALSE),TIAM15_assumptions!$H$2:$V$2,0))</f>
        <v>0.04</v>
      </c>
      <c r="AV69" s="9">
        <f ca="1">OFFSET(TIAM15_assumptions!$G69,0,MATCH(VLOOKUP(Assumptions!AV$2,TIAM15_assumptions!$Y$3:$Z$87,2,FALSE),TIAM15_assumptions!$H$2:$V$2,0))</f>
        <v>0.04</v>
      </c>
      <c r="AW69" s="9">
        <f ca="1">OFFSET(TIAM15_assumptions!$G69,0,MATCH(VLOOKUP(Assumptions!AW$2,TIAM15_assumptions!$Y$3:$Z$87,2,FALSE),TIAM15_assumptions!$H$2:$V$2,0))</f>
        <v>0.04</v>
      </c>
      <c r="AX69" s="9">
        <f ca="1">OFFSET(TIAM15_assumptions!$G69,0,MATCH(VLOOKUP(Assumptions!AX$2,TIAM15_assumptions!$Y$3:$Z$87,2,FALSE),TIAM15_assumptions!$H$2:$V$2,0))</f>
        <v>0.04</v>
      </c>
      <c r="AY69" s="9">
        <f ca="1">OFFSET(TIAM15_assumptions!$G69,0,MATCH(VLOOKUP(Assumptions!AY$2,TIAM15_assumptions!$Y$3:$Z$87,2,FALSE),TIAM15_assumptions!$H$2:$V$2,0))</f>
        <v>0.04</v>
      </c>
      <c r="AZ69" s="9">
        <f ca="1">OFFSET(TIAM15_assumptions!$G69,0,MATCH(VLOOKUP(Assumptions!AZ$2,TIAM15_assumptions!$Y$3:$Z$87,2,FALSE),TIAM15_assumptions!$H$2:$V$2,0))</f>
        <v>0.04</v>
      </c>
      <c r="BA69" s="9">
        <f ca="1">OFFSET(TIAM15_assumptions!$G69,0,MATCH(VLOOKUP(Assumptions!BA$2,TIAM15_assumptions!$Y$3:$Z$87,2,FALSE),TIAM15_assumptions!$H$2:$V$2,0))</f>
        <v>0.04</v>
      </c>
      <c r="BD69" s="34">
        <f ca="1">IFERROR(SUMIFS('TRA balance'!E$5:E$40,'TRA balance'!$C$5:$C$40,Assumptions!$C69,'TRA balance'!$D$5:$D$40,Assumptions!$B69)*CY69*H69,"")</f>
        <v>0</v>
      </c>
      <c r="BE69" s="34">
        <f ca="1">IFERROR(SUMIFS('TRA balance'!F$5:F$40,'TRA balance'!$C$5:$C$40,Assumptions!$C69,'TRA balance'!$D$5:$D$40,Assumptions!$B69)*CZ69*I69,"")</f>
        <v>0</v>
      </c>
      <c r="BF69" s="34">
        <f ca="1">IFERROR(SUMIFS('TRA balance'!G$5:G$40,'TRA balance'!$C$5:$C$40,Assumptions!$C69,'TRA balance'!$D$5:$D$40,Assumptions!$B69)*DA69*J69,"")</f>
        <v>5.4098898840000001E-3</v>
      </c>
      <c r="BG69" s="34">
        <f ca="1">IFERROR(SUMIFS('TRA balance'!H$5:H$40,'TRA balance'!$C$5:$C$40,Assumptions!$C69,'TRA balance'!$D$5:$D$40,Assumptions!$B69)*DB69*K69,"")</f>
        <v>0.71297921548800014</v>
      </c>
      <c r="BH69" s="34">
        <f ca="1">IFERROR(SUMIFS('TRA balance'!I$5:I$40,'TRA balance'!$C$5:$C$40,Assumptions!$C69,'TRA balance'!$D$5:$D$40,Assumptions!$B69)*DC69*L69,"")</f>
        <v>0.43541731915200005</v>
      </c>
      <c r="BI69" s="34">
        <f ca="1">IFERROR(SUMIFS('TRA balance'!J$5:J$40,'TRA balance'!$C$5:$C$40,Assumptions!$C69,'TRA balance'!$D$5:$D$40,Assumptions!$B69)*DD69*M69,"")</f>
        <v>1.4771963219040003</v>
      </c>
      <c r="BJ69" s="34">
        <f ca="1">IFERROR(SUMIFS('TRA balance'!K$5:K$40,'TRA balance'!$C$5:$C$40,Assumptions!$C69,'TRA balance'!$D$5:$D$40,Assumptions!$B69)*DE69*N69,"")</f>
        <v>60.545782959602406</v>
      </c>
      <c r="BK69" s="34">
        <f ca="1">IFERROR(SUMIFS('TRA balance'!L$5:L$40,'TRA balance'!$C$5:$C$40,Assumptions!$C69,'TRA balance'!$D$5:$D$40,Assumptions!$B69)*DF69*O69,"")</f>
        <v>11.939760177029999</v>
      </c>
      <c r="BL69" s="34">
        <f ca="1">IFERROR(SUMIFS('TRA balance'!M$5:M$40,'TRA balance'!$C$5:$C$40,Assumptions!$C69,'TRA balance'!$D$5:$D$40,Assumptions!$B69)*DG69*P69,"")</f>
        <v>0.51066366105600003</v>
      </c>
      <c r="BM69" s="34">
        <f ca="1">IFERROR(SUMIFS('TRA balance'!N$5:N$40,'TRA balance'!$C$5:$C$40,Assumptions!$C69,'TRA balance'!$D$5:$D$40,Assumptions!$B69)*DH69*Q69,"")</f>
        <v>1.3383879920640003</v>
      </c>
      <c r="BN69" s="34">
        <f ca="1">IFERROR(SUMIFS('TRA balance'!O$5:O$40,'TRA balance'!$C$5:$C$40,Assumptions!$C69,'TRA balance'!$D$5:$D$40,Assumptions!$B69)*DI69*R69,"")</f>
        <v>4.2281302474080009</v>
      </c>
      <c r="BO69" s="34">
        <f ca="1">IFERROR(SUMIFS('TRA balance'!P$5:P$40,'TRA balance'!$C$5:$C$40,Assumptions!$C69,'TRA balance'!$D$5:$D$40,Assumptions!$B69)*DJ69*S69,"")</f>
        <v>3.163755587472</v>
      </c>
      <c r="BP69" s="34">
        <f ca="1">IFERROR(SUMIFS('TRA balance'!Q$5:Q$40,'TRA balance'!$C$5:$C$40,Assumptions!$C69,'TRA balance'!$D$5:$D$40,Assumptions!$B69)*DK69*T69,"")</f>
        <v>0.28662933283200004</v>
      </c>
      <c r="BQ69" s="34">
        <f ca="1">IFERROR(SUMIFS('TRA balance'!R$5:R$40,'TRA balance'!$C$5:$C$40,Assumptions!$C69,'TRA balance'!$D$5:$D$40,Assumptions!$B69)*DL69*U69,"")</f>
        <v>2.0729312372160003</v>
      </c>
      <c r="BR69" s="34">
        <f ca="1">IFERROR(SUMIFS('TRA balance'!S$5:S$40,'TRA balance'!$C$5:$C$40,Assumptions!$C69,'TRA balance'!$D$5:$D$40,Assumptions!$B69)*DM69*V69,"")</f>
        <v>2.5957322640000002E-2</v>
      </c>
      <c r="BS69" s="34">
        <f ca="1">IFERROR(SUMIFS('TRA balance'!T$5:T$40,'TRA balance'!$C$5:$C$40,Assumptions!$C69,'TRA balance'!$D$5:$D$40,Assumptions!$B69)*DN69*W69,"")</f>
        <v>0.30692593439999999</v>
      </c>
      <c r="BT69" s="34">
        <f ca="1">IFERROR(SUMIFS('TRA balance'!U$5:U$40,'TRA balance'!$C$5:$C$40,Assumptions!$C69,'TRA balance'!$D$5:$D$40,Assumptions!$B69)*DO69*X69,"")</f>
        <v>0.27127282032000005</v>
      </c>
      <c r="BU69" s="34">
        <f ca="1">IFERROR(SUMIFS('TRA balance'!V$5:V$40,'TRA balance'!$C$5:$C$40,Assumptions!$C69,'TRA balance'!$D$5:$D$40,Assumptions!$B69)*DP69*Y69,"")</f>
        <v>2.1043712581920002</v>
      </c>
      <c r="BV69" s="34">
        <f ca="1">IFERROR(SUMIFS('TRA balance'!W$5:W$40,'TRA balance'!$C$5:$C$40,Assumptions!$C69,'TRA balance'!$D$5:$D$40,Assumptions!$B69)*DQ69*Z69,"")</f>
        <v>2.4664229460000003E-2</v>
      </c>
      <c r="BW69" s="34">
        <f ca="1">IFERROR(SUMIFS('TRA balance'!X$5:X$40,'TRA balance'!$C$5:$C$40,Assumptions!$C69,'TRA balance'!$D$5:$D$40,Assumptions!$B69)*DR69*AA69,"")</f>
        <v>6.9065081305235996</v>
      </c>
      <c r="BX69" s="34">
        <f ca="1">IFERROR(SUMIFS('TRA balance'!Y$5:Y$40,'TRA balance'!$C$5:$C$40,Assumptions!$C69,'TRA balance'!$D$5:$D$40,Assumptions!$B69)*DS69*AB69,"")</f>
        <v>0</v>
      </c>
      <c r="BY69" s="34">
        <f ca="1">IFERROR(SUMIFS('TRA balance'!Z$5:Z$40,'TRA balance'!$C$5:$C$40,Assumptions!$C69,'TRA balance'!$D$5:$D$40,Assumptions!$B69)*DT69*AC69,"")</f>
        <v>7.9701870878657388</v>
      </c>
      <c r="BZ69" s="34">
        <f ca="1">IFERROR(SUMIFS('TRA balance'!AA$5:AA$40,'TRA balance'!$C$5:$C$40,Assumptions!$C69,'TRA balance'!$D$5:$D$40,Assumptions!$B69)*DU69*AD69,"")</f>
        <v>0.70170098112000012</v>
      </c>
      <c r="CA69" s="34">
        <f ca="1">IFERROR(SUMIFS('TRA balance'!AB$5:AB$40,'TRA balance'!$C$5:$C$40,Assumptions!$C69,'TRA balance'!$D$5:$D$40,Assumptions!$B69)*DV69*AE69,"")</f>
        <v>2.8061126000640004</v>
      </c>
      <c r="CB69" s="34">
        <f ca="1">IFERROR(SUMIFS('TRA balance'!AC$5:AC$40,'TRA balance'!$C$5:$C$40,Assumptions!$C69,'TRA balance'!$D$5:$D$40,Assumptions!$B69)*DW69*AF69,"")</f>
        <v>39.338913653827206</v>
      </c>
      <c r="CC69" s="34">
        <f ca="1">IFERROR(SUMIFS('TRA balance'!AD$5:AD$40,'TRA balance'!$C$5:$C$40,Assumptions!$C69,'TRA balance'!$D$5:$D$40,Assumptions!$B69)*DX69*AG69,"")</f>
        <v>6.8400379619999998E-3</v>
      </c>
      <c r="CD69" s="34">
        <f ca="1">IFERROR(SUMIFS('TRA balance'!AE$5:AE$40,'TRA balance'!$C$5:$C$40,Assumptions!$C69,'TRA balance'!$D$5:$D$40,Assumptions!$B69)*DY69*AH69,"")</f>
        <v>0</v>
      </c>
      <c r="CE69" s="34">
        <f ca="1">IFERROR(SUMIFS('TRA balance'!AF$5:AF$40,'TRA balance'!$C$5:$C$40,Assumptions!$C69,'TRA balance'!$D$5:$D$40,Assumptions!$B69)*DZ69*AI69,"")</f>
        <v>0</v>
      </c>
      <c r="CF69" s="34">
        <f ca="1">IFERROR(SUMIFS('TRA balance'!AG$5:AG$40,'TRA balance'!$C$5:$C$40,Assumptions!$C69,'TRA balance'!$D$5:$D$40,Assumptions!$B69)*EA69*AJ69,"")</f>
        <v>2.9433868863840007</v>
      </c>
      <c r="CG69" s="34">
        <f ca="1">IFERROR(SUMIFS('TRA balance'!AH$5:AH$40,'TRA balance'!$C$5:$C$40,Assumptions!$C69,'TRA balance'!$D$5:$D$40,Assumptions!$B69)*EB69*AK69,"")</f>
        <v>2.866601979216</v>
      </c>
      <c r="CH69" s="34">
        <f ca="1">IFERROR(SUMIFS('TRA balance'!AI$5:AI$40,'TRA balance'!$C$5:$C$40,Assumptions!$C69,'TRA balance'!$D$5:$D$40,Assumptions!$B69)*EC69*AL69,"")</f>
        <v>0.25092999648000003</v>
      </c>
      <c r="CI69" s="34">
        <f ca="1">IFERROR(SUMIFS('TRA balance'!AJ$5:AJ$40,'TRA balance'!$C$5:$C$40,Assumptions!$C69,'TRA balance'!$D$5:$D$40,Assumptions!$B69)*ED69*AM69,"")</f>
        <v>0.43015501396799999</v>
      </c>
      <c r="CJ69" s="34">
        <f ca="1">IFERROR(SUMIFS('TRA balance'!AK$5:AK$40,'TRA balance'!$C$5:$C$40,Assumptions!$C69,'TRA balance'!$D$5:$D$40,Assumptions!$B69)*EE69*AN69,"")</f>
        <v>2.1154240752480002</v>
      </c>
      <c r="CK69" s="34">
        <f ca="1">IFERROR(SUMIFS('TRA balance'!AL$5:AL$40,'TRA balance'!$C$5:$C$40,Assumptions!$C69,'TRA balance'!$D$5:$D$40,Assumptions!$B69)*EF69*AO69,"")</f>
        <v>0</v>
      </c>
      <c r="CL69" s="34">
        <f ca="1">IFERROR(SUMIFS('TRA balance'!AM$5:AM$40,'TRA balance'!$C$5:$C$40,Assumptions!$C69,'TRA balance'!$D$5:$D$40,Assumptions!$B69)*EG69*AP69,"")</f>
        <v>0.40282073654400002</v>
      </c>
      <c r="CM69" s="34">
        <f ca="1">IFERROR(SUMIFS('TRA balance'!AN$5:AN$40,'TRA balance'!$C$5:$C$40,Assumptions!$C69,'TRA balance'!$D$5:$D$40,Assumptions!$B69)*EH69*AQ69,"")</f>
        <v>0</v>
      </c>
      <c r="CN69" s="34">
        <f ca="1">IFERROR(SUMIFS('TRA balance'!AO$5:AO$40,'TRA balance'!$C$5:$C$40,Assumptions!$C69,'TRA balance'!$D$5:$D$40,Assumptions!$B69)*EI69*AR69,"")</f>
        <v>0</v>
      </c>
      <c r="CO69" s="34">
        <f ca="1">IFERROR(SUMIFS('TRA balance'!AP$5:AP$40,'TRA balance'!$C$5:$C$40,Assumptions!$C69,'TRA balance'!$D$5:$D$40,Assumptions!$B69)*EJ69*AS69,"")</f>
        <v>0</v>
      </c>
      <c r="CP69" s="34">
        <f ca="1">IFERROR(SUMIFS('TRA balance'!AQ$5:AQ$40,'TRA balance'!$C$5:$C$40,Assumptions!$C69,'TRA balance'!$D$5:$D$40,Assumptions!$B69)*EK69*AT69,"")</f>
        <v>0</v>
      </c>
      <c r="CQ69" s="34">
        <f ca="1">IFERROR(SUMIFS('TRA balance'!AR$5:AR$40,'TRA balance'!$C$5:$C$40,Assumptions!$C69,'TRA balance'!$D$5:$D$40,Assumptions!$B69)*EL69*AU69,"")</f>
        <v>0</v>
      </c>
      <c r="CR69" s="34">
        <f ca="1">IFERROR(SUMIFS('TRA balance'!AS$5:AS$40,'TRA balance'!$C$5:$C$40,Assumptions!$C69,'TRA balance'!$D$5:$D$40,Assumptions!$B69)*EM69*AV69,"")</f>
        <v>0</v>
      </c>
      <c r="CS69" s="34">
        <f ca="1">IFERROR(SUMIFS('TRA balance'!AT$5:AT$40,'TRA balance'!$C$5:$C$40,Assumptions!$C69,'TRA balance'!$D$5:$D$40,Assumptions!$B69)*EN69*AW69,"")</f>
        <v>0</v>
      </c>
      <c r="CT69" s="34">
        <f ca="1">IFERROR(SUMIFS('TRA balance'!AU$5:AU$40,'TRA balance'!$C$5:$C$40,Assumptions!$C69,'TRA balance'!$D$5:$D$40,Assumptions!$B69)*EO69*AX69,"")</f>
        <v>0</v>
      </c>
      <c r="CU69" s="34">
        <f ca="1">IFERROR(SUMIFS('TRA balance'!AV$5:AV$40,'TRA balance'!$C$5:$C$40,Assumptions!$C69,'TRA balance'!$D$5:$D$40,Assumptions!$B69)*EP69*AY69,"")</f>
        <v>0</v>
      </c>
      <c r="CV69" s="34">
        <f ca="1">IFERROR(SUMIFS('TRA balance'!AW$5:AW$40,'TRA balance'!$C$5:$C$40,Assumptions!$C69,'TRA balance'!$D$5:$D$40,Assumptions!$B69)*EQ69*AZ69,"")</f>
        <v>0</v>
      </c>
      <c r="CW69" s="34">
        <f ca="1">IFERROR(SUMIFS('TRA balance'!AX$5:AX$40,'TRA balance'!$C$5:$C$40,Assumptions!$C69,'TRA balance'!$D$5:$D$40,Assumptions!$B69)*ER69*BA69,"")</f>
        <v>0</v>
      </c>
      <c r="CY69" s="33">
        <f t="shared" ca="1" si="86"/>
        <v>0.9</v>
      </c>
      <c r="CZ69" s="33">
        <f t="shared" ca="1" si="87"/>
        <v>0.9</v>
      </c>
      <c r="DA69" s="33">
        <f t="shared" ca="1" si="88"/>
        <v>0.98</v>
      </c>
      <c r="DB69" s="33">
        <f t="shared" ca="1" si="89"/>
        <v>0.8</v>
      </c>
      <c r="DC69" s="33">
        <f t="shared" ca="1" si="90"/>
        <v>0.95</v>
      </c>
      <c r="DD69" s="33">
        <f t="shared" ca="1" si="91"/>
        <v>0.8</v>
      </c>
      <c r="DE69" s="33">
        <f t="shared" ca="1" si="92"/>
        <v>0.92999999999999994</v>
      </c>
      <c r="DF69" s="33">
        <f t="shared" ca="1" si="93"/>
        <v>0.9</v>
      </c>
      <c r="DG69" s="33">
        <f t="shared" ca="1" si="94"/>
        <v>0.8</v>
      </c>
      <c r="DH69" s="33">
        <f t="shared" ca="1" si="95"/>
        <v>0.8</v>
      </c>
      <c r="DI69" s="33">
        <f t="shared" ca="1" si="96"/>
        <v>0.8</v>
      </c>
      <c r="DJ69" s="33">
        <f t="shared" ca="1" si="97"/>
        <v>0.8</v>
      </c>
      <c r="DK69" s="33">
        <f t="shared" ca="1" si="98"/>
        <v>0.8</v>
      </c>
      <c r="DL69" s="33">
        <f t="shared" ca="1" si="99"/>
        <v>0.8</v>
      </c>
      <c r="DM69" s="33">
        <f t="shared" ca="1" si="100"/>
        <v>0.8</v>
      </c>
      <c r="DN69" s="33">
        <f t="shared" ca="1" si="101"/>
        <v>0.75</v>
      </c>
      <c r="DO69" s="33">
        <f t="shared" ca="1" si="102"/>
        <v>0.8</v>
      </c>
      <c r="DP69" s="33">
        <f t="shared" ca="1" si="103"/>
        <v>0.8</v>
      </c>
      <c r="DQ69" s="33">
        <f t="shared" ca="1" si="104"/>
        <v>0.95</v>
      </c>
      <c r="DR69" s="33">
        <f t="shared" ca="1" si="105"/>
        <v>0.92999999999999994</v>
      </c>
      <c r="DS69" s="33">
        <f t="shared" ca="1" si="106"/>
        <v>0.9</v>
      </c>
      <c r="DT69" s="33">
        <f t="shared" ca="1" si="107"/>
        <v>0.97559357817738346</v>
      </c>
      <c r="DU69" s="33">
        <f t="shared" ca="1" si="108"/>
        <v>0.8</v>
      </c>
      <c r="DV69" s="33">
        <f t="shared" ca="1" si="109"/>
        <v>0.8</v>
      </c>
      <c r="DW69" s="33">
        <f t="shared" ca="1" si="110"/>
        <v>0.92</v>
      </c>
      <c r="DX69" s="33">
        <f t="shared" ca="1" si="111"/>
        <v>0.95</v>
      </c>
      <c r="DY69" s="33">
        <f t="shared" ca="1" si="112"/>
        <v>0.9</v>
      </c>
      <c r="DZ69" s="33">
        <f t="shared" ca="1" si="113"/>
        <v>0.9</v>
      </c>
      <c r="EA69" s="33">
        <f t="shared" ca="1" si="114"/>
        <v>0.8</v>
      </c>
      <c r="EB69" s="33">
        <f t="shared" ca="1" si="115"/>
        <v>0.8</v>
      </c>
      <c r="EC69" s="33">
        <f t="shared" ca="1" si="116"/>
        <v>0.8</v>
      </c>
      <c r="ED69" s="33">
        <f t="shared" ca="1" si="117"/>
        <v>0.9</v>
      </c>
      <c r="EE69" s="33">
        <f t="shared" ca="1" si="118"/>
        <v>0.8</v>
      </c>
      <c r="EF69" s="33">
        <f t="shared" ca="1" si="119"/>
        <v>0.95</v>
      </c>
      <c r="EG69" s="33">
        <f t="shared" ca="1" si="120"/>
        <v>0.8</v>
      </c>
      <c r="EH69" s="33">
        <f t="shared" ca="1" si="121"/>
        <v>0.97559357817738346</v>
      </c>
      <c r="EI69" s="33">
        <f t="shared" ca="1" si="122"/>
        <v>0.97559357817738346</v>
      </c>
      <c r="EJ69" s="33">
        <f t="shared" ca="1" si="123"/>
        <v>0.97559357817738346</v>
      </c>
      <c r="EK69" s="33">
        <f t="shared" ca="1" si="124"/>
        <v>0.97559357817738346</v>
      </c>
      <c r="EL69" s="33">
        <f t="shared" ca="1" si="125"/>
        <v>0.97559357817738346</v>
      </c>
      <c r="EM69" s="33">
        <f t="shared" ca="1" si="126"/>
        <v>0.97559357817738346</v>
      </c>
      <c r="EN69" s="33">
        <f t="shared" ca="1" si="127"/>
        <v>0.97559357817738346</v>
      </c>
      <c r="EO69" s="33">
        <f t="shared" ca="1" si="128"/>
        <v>0.97559357817738346</v>
      </c>
      <c r="EP69" s="33">
        <f t="shared" ca="1" si="129"/>
        <v>0.97559357817738346</v>
      </c>
      <c r="EQ69" s="33">
        <f t="shared" ca="1" si="130"/>
        <v>0.97559357817738346</v>
      </c>
      <c r="ER69" s="33">
        <f t="shared" ca="1" si="131"/>
        <v>0.97559357817738346</v>
      </c>
    </row>
    <row r="70" spans="1:148">
      <c r="A70">
        <v>2</v>
      </c>
      <c r="B70" t="str">
        <f>VLOOKUP(F70,'TRA balance'!$BA$5:$BB$14,2,FALSE)</f>
        <v>TRABDS</v>
      </c>
      <c r="C70" s="6" t="str">
        <f t="shared" si="133"/>
        <v>TR</v>
      </c>
      <c r="D70" s="7" t="s">
        <v>16</v>
      </c>
      <c r="E70" s="18" t="s">
        <v>73</v>
      </c>
      <c r="F70" s="8" t="str">
        <f t="shared" ref="F70:F76" si="134">F69</f>
        <v>Bio Diesel</v>
      </c>
      <c r="G70" s="6" t="s">
        <v>74</v>
      </c>
      <c r="H70" s="9">
        <f ca="1">OFFSET(TIAM15_assumptions!$G70,0,MATCH(VLOOKUP(Assumptions!H$2,TIAM15_assumptions!$Y$3:$Z$87,2,FALSE),TIAM15_assumptions!$H$2:$V$2,0))</f>
        <v>0.35</v>
      </c>
      <c r="I70" s="9">
        <f ca="1">OFFSET(TIAM15_assumptions!$G70,0,MATCH(VLOOKUP(Assumptions!I$2,TIAM15_assumptions!$Y$3:$Z$87,2,FALSE),TIAM15_assumptions!$H$2:$V$2,0))</f>
        <v>0.35</v>
      </c>
      <c r="J70" s="9">
        <f ca="1">OFFSET(TIAM15_assumptions!$G70,0,MATCH(VLOOKUP(Assumptions!J$2,TIAM15_assumptions!$Y$3:$Z$87,2,FALSE),TIAM15_assumptions!$H$2:$V$2,0))</f>
        <v>0.35</v>
      </c>
      <c r="K70" s="9">
        <f ca="1">OFFSET(TIAM15_assumptions!$G70,0,MATCH(VLOOKUP(Assumptions!K$2,TIAM15_assumptions!$Y$3:$Z$87,2,FALSE),TIAM15_assumptions!$H$2:$V$2,0))</f>
        <v>0.5</v>
      </c>
      <c r="L70" s="9">
        <f ca="1">OFFSET(TIAM15_assumptions!$G70,0,MATCH(VLOOKUP(Assumptions!L$2,TIAM15_assumptions!$Y$3:$Z$87,2,FALSE),TIAM15_assumptions!$H$2:$V$2,0))</f>
        <v>0.6</v>
      </c>
      <c r="M70" s="9">
        <f ca="1">OFFSET(TIAM15_assumptions!$G70,0,MATCH(VLOOKUP(Assumptions!M$2,TIAM15_assumptions!$Y$3:$Z$87,2,FALSE),TIAM15_assumptions!$H$2:$V$2,0))</f>
        <v>0.5</v>
      </c>
      <c r="N70" s="9">
        <f ca="1">OFFSET(TIAM15_assumptions!$G70,0,MATCH(VLOOKUP(Assumptions!N$2,TIAM15_assumptions!$Y$3:$Z$87,2,FALSE),TIAM15_assumptions!$H$2:$V$2,0))</f>
        <v>0.5</v>
      </c>
      <c r="O70" s="9">
        <f ca="1">OFFSET(TIAM15_assumptions!$G70,0,MATCH(VLOOKUP(Assumptions!O$2,TIAM15_assumptions!$Y$3:$Z$87,2,FALSE),TIAM15_assumptions!$H$2:$V$2,0))</f>
        <v>0.35</v>
      </c>
      <c r="P70" s="9">
        <f ca="1">OFFSET(TIAM15_assumptions!$G70,0,MATCH(VLOOKUP(Assumptions!P$2,TIAM15_assumptions!$Y$3:$Z$87,2,FALSE),TIAM15_assumptions!$H$2:$V$2,0))</f>
        <v>0.5</v>
      </c>
      <c r="Q70" s="9">
        <f ca="1">OFFSET(TIAM15_assumptions!$G70,0,MATCH(VLOOKUP(Assumptions!Q$2,TIAM15_assumptions!$Y$3:$Z$87,2,FALSE),TIAM15_assumptions!$H$2:$V$2,0))</f>
        <v>0.5</v>
      </c>
      <c r="R70" s="9">
        <f ca="1">OFFSET(TIAM15_assumptions!$G70,0,MATCH(VLOOKUP(Assumptions!R$2,TIAM15_assumptions!$Y$3:$Z$87,2,FALSE),TIAM15_assumptions!$H$2:$V$2,0))</f>
        <v>0.5</v>
      </c>
      <c r="S70" s="9">
        <f ca="1">OFFSET(TIAM15_assumptions!$G70,0,MATCH(VLOOKUP(Assumptions!S$2,TIAM15_assumptions!$Y$3:$Z$87,2,FALSE),TIAM15_assumptions!$H$2:$V$2,0))</f>
        <v>0.5</v>
      </c>
      <c r="T70" s="9">
        <f ca="1">OFFSET(TIAM15_assumptions!$G70,0,MATCH(VLOOKUP(Assumptions!T$2,TIAM15_assumptions!$Y$3:$Z$87,2,FALSE),TIAM15_assumptions!$H$2:$V$2,0))</f>
        <v>0.5</v>
      </c>
      <c r="U70" s="9">
        <f ca="1">OFFSET(TIAM15_assumptions!$G70,0,MATCH(VLOOKUP(Assumptions!U$2,TIAM15_assumptions!$Y$3:$Z$87,2,FALSE),TIAM15_assumptions!$H$2:$V$2,0))</f>
        <v>0.5</v>
      </c>
      <c r="V70" s="9">
        <f ca="1">OFFSET(TIAM15_assumptions!$G70,0,MATCH(VLOOKUP(Assumptions!V$2,TIAM15_assumptions!$Y$3:$Z$87,2,FALSE),TIAM15_assumptions!$H$2:$V$2,0))</f>
        <v>0.5</v>
      </c>
      <c r="W70" s="9">
        <f ca="1">OFFSET(TIAM15_assumptions!$G70,0,MATCH(VLOOKUP(Assumptions!W$2,TIAM15_assumptions!$Y$3:$Z$87,2,FALSE),TIAM15_assumptions!$H$2:$V$2,0))</f>
        <v>0.3</v>
      </c>
      <c r="X70" s="9">
        <f ca="1">OFFSET(TIAM15_assumptions!$G70,0,MATCH(VLOOKUP(Assumptions!X$2,TIAM15_assumptions!$Y$3:$Z$87,2,FALSE),TIAM15_assumptions!$H$2:$V$2,0))</f>
        <v>0.5</v>
      </c>
      <c r="Y70" s="9">
        <f ca="1">OFFSET(TIAM15_assumptions!$G70,0,MATCH(VLOOKUP(Assumptions!Y$2,TIAM15_assumptions!$Y$3:$Z$87,2,FALSE),TIAM15_assumptions!$H$2:$V$2,0))</f>
        <v>0.5</v>
      </c>
      <c r="Z70" s="9">
        <f ca="1">OFFSET(TIAM15_assumptions!$G70,0,MATCH(VLOOKUP(Assumptions!Z$2,TIAM15_assumptions!$Y$3:$Z$87,2,FALSE),TIAM15_assumptions!$H$2:$V$2,0))</f>
        <v>0.5</v>
      </c>
      <c r="AA70" s="9">
        <f ca="1">OFFSET(TIAM15_assumptions!$G70,0,MATCH(VLOOKUP(Assumptions!AA$2,TIAM15_assumptions!$Y$3:$Z$87,2,FALSE),TIAM15_assumptions!$H$2:$V$2,0))</f>
        <v>0.5</v>
      </c>
      <c r="AB70" s="9">
        <f ca="1">OFFSET(TIAM15_assumptions!$G70,0,MATCH(VLOOKUP(Assumptions!AB$2,TIAM15_assumptions!$Y$3:$Z$87,2,FALSE),TIAM15_assumptions!$H$2:$V$2,0))</f>
        <v>0.5</v>
      </c>
      <c r="AC70" s="9">
        <f ca="1">OFFSET(TIAM15_assumptions!$G70,0,MATCH(VLOOKUP(Assumptions!AC$2,TIAM15_assumptions!$Y$3:$Z$87,2,FALSE),TIAM15_assumptions!$H$2:$V$2,0))</f>
        <v>0.79999999999999993</v>
      </c>
      <c r="AD70" s="9">
        <f ca="1">OFFSET(TIAM15_assumptions!$G70,0,MATCH(VLOOKUP(Assumptions!AD$2,TIAM15_assumptions!$Y$3:$Z$87,2,FALSE),TIAM15_assumptions!$H$2:$V$2,0))</f>
        <v>0.5</v>
      </c>
      <c r="AE70" s="9">
        <f ca="1">OFFSET(TIAM15_assumptions!$G70,0,MATCH(VLOOKUP(Assumptions!AE$2,TIAM15_assumptions!$Y$3:$Z$87,2,FALSE),TIAM15_assumptions!$H$2:$V$2,0))</f>
        <v>0.5</v>
      </c>
      <c r="AF70" s="9">
        <f ca="1">OFFSET(TIAM15_assumptions!$G70,0,MATCH(VLOOKUP(Assumptions!AF$2,TIAM15_assumptions!$Y$3:$Z$87,2,FALSE),TIAM15_assumptions!$H$2:$V$2,0))</f>
        <v>0.5</v>
      </c>
      <c r="AG70" s="9">
        <f ca="1">OFFSET(TIAM15_assumptions!$G70,0,MATCH(VLOOKUP(Assumptions!AG$2,TIAM15_assumptions!$Y$3:$Z$87,2,FALSE),TIAM15_assumptions!$H$2:$V$2,0))</f>
        <v>0.6</v>
      </c>
      <c r="AH70" s="9">
        <f ca="1">OFFSET(TIAM15_assumptions!$G70,0,MATCH(VLOOKUP(Assumptions!AH$2,TIAM15_assumptions!$Y$3:$Z$87,2,FALSE),TIAM15_assumptions!$H$2:$V$2,0))</f>
        <v>0.5</v>
      </c>
      <c r="AI70" s="9">
        <f ca="1">OFFSET(TIAM15_assumptions!$G70,0,MATCH(VLOOKUP(Assumptions!AI$2,TIAM15_assumptions!$Y$3:$Z$87,2,FALSE),TIAM15_assumptions!$H$2:$V$2,0))</f>
        <v>0.35</v>
      </c>
      <c r="AJ70" s="9">
        <f ca="1">OFFSET(TIAM15_assumptions!$G70,0,MATCH(VLOOKUP(Assumptions!AJ$2,TIAM15_assumptions!$Y$3:$Z$87,2,FALSE),TIAM15_assumptions!$H$2:$V$2,0))</f>
        <v>0.5</v>
      </c>
      <c r="AK70" s="9">
        <f ca="1">OFFSET(TIAM15_assumptions!$G70,0,MATCH(VLOOKUP(Assumptions!AK$2,TIAM15_assumptions!$Y$3:$Z$87,2,FALSE),TIAM15_assumptions!$H$2:$V$2,0))</f>
        <v>0.5</v>
      </c>
      <c r="AL70" s="9">
        <f ca="1">OFFSET(TIAM15_assumptions!$G70,0,MATCH(VLOOKUP(Assumptions!AL$2,TIAM15_assumptions!$Y$3:$Z$87,2,FALSE),TIAM15_assumptions!$H$2:$V$2,0))</f>
        <v>0.5</v>
      </c>
      <c r="AM70" s="9">
        <f ca="1">OFFSET(TIAM15_assumptions!$G70,0,MATCH(VLOOKUP(Assumptions!AM$2,TIAM15_assumptions!$Y$3:$Z$87,2,FALSE),TIAM15_assumptions!$H$2:$V$2,0))</f>
        <v>0.5</v>
      </c>
      <c r="AN70" s="9">
        <f ca="1">OFFSET(TIAM15_assumptions!$G70,0,MATCH(VLOOKUP(Assumptions!AN$2,TIAM15_assumptions!$Y$3:$Z$87,2,FALSE),TIAM15_assumptions!$H$2:$V$2,0))</f>
        <v>0.5</v>
      </c>
      <c r="AO70" s="9">
        <f ca="1">OFFSET(TIAM15_assumptions!$G70,0,MATCH(VLOOKUP(Assumptions!AO$2,TIAM15_assumptions!$Y$3:$Z$87,2,FALSE),TIAM15_assumptions!$H$2:$V$2,0))</f>
        <v>0.6</v>
      </c>
      <c r="AP70" s="9">
        <f ca="1">OFFSET(TIAM15_assumptions!$G70,0,MATCH(VLOOKUP(Assumptions!AP$2,TIAM15_assumptions!$Y$3:$Z$87,2,FALSE),TIAM15_assumptions!$H$2:$V$2,0))</f>
        <v>0.5</v>
      </c>
      <c r="AQ70" s="9">
        <f ca="1">OFFSET(TIAM15_assumptions!$G70,0,MATCH(VLOOKUP(Assumptions!AQ$2,TIAM15_assumptions!$Y$3:$Z$87,2,FALSE),TIAM15_assumptions!$H$2:$V$2,0))</f>
        <v>0.79999999999999993</v>
      </c>
      <c r="AR70" s="9">
        <f ca="1">OFFSET(TIAM15_assumptions!$G70,0,MATCH(VLOOKUP(Assumptions!AR$2,TIAM15_assumptions!$Y$3:$Z$87,2,FALSE),TIAM15_assumptions!$H$2:$V$2,0))</f>
        <v>0.79999999999999993</v>
      </c>
      <c r="AS70" s="9">
        <f ca="1">OFFSET(TIAM15_assumptions!$G70,0,MATCH(VLOOKUP(Assumptions!AS$2,TIAM15_assumptions!$Y$3:$Z$87,2,FALSE),TIAM15_assumptions!$H$2:$V$2,0))</f>
        <v>0.79999999999999993</v>
      </c>
      <c r="AT70" s="9">
        <f ca="1">OFFSET(TIAM15_assumptions!$G70,0,MATCH(VLOOKUP(Assumptions!AT$2,TIAM15_assumptions!$Y$3:$Z$87,2,FALSE),TIAM15_assumptions!$H$2:$V$2,0))</f>
        <v>0.79999999999999993</v>
      </c>
      <c r="AU70" s="9">
        <f ca="1">OFFSET(TIAM15_assumptions!$G70,0,MATCH(VLOOKUP(Assumptions!AU$2,TIAM15_assumptions!$Y$3:$Z$87,2,FALSE),TIAM15_assumptions!$H$2:$V$2,0))</f>
        <v>0.79999999999999993</v>
      </c>
      <c r="AV70" s="9">
        <f ca="1">OFFSET(TIAM15_assumptions!$G70,0,MATCH(VLOOKUP(Assumptions!AV$2,TIAM15_assumptions!$Y$3:$Z$87,2,FALSE),TIAM15_assumptions!$H$2:$V$2,0))</f>
        <v>0.79999999999999993</v>
      </c>
      <c r="AW70" s="9">
        <f ca="1">OFFSET(TIAM15_assumptions!$G70,0,MATCH(VLOOKUP(Assumptions!AW$2,TIAM15_assumptions!$Y$3:$Z$87,2,FALSE),TIAM15_assumptions!$H$2:$V$2,0))</f>
        <v>0.79999999999999993</v>
      </c>
      <c r="AX70" s="9">
        <f ca="1">OFFSET(TIAM15_assumptions!$G70,0,MATCH(VLOOKUP(Assumptions!AX$2,TIAM15_assumptions!$Y$3:$Z$87,2,FALSE),TIAM15_assumptions!$H$2:$V$2,0))</f>
        <v>0.79999999999999993</v>
      </c>
      <c r="AY70" s="9">
        <f ca="1">OFFSET(TIAM15_assumptions!$G70,0,MATCH(VLOOKUP(Assumptions!AY$2,TIAM15_assumptions!$Y$3:$Z$87,2,FALSE),TIAM15_assumptions!$H$2:$V$2,0))</f>
        <v>0.79999999999999993</v>
      </c>
      <c r="AZ70" s="9">
        <f ca="1">OFFSET(TIAM15_assumptions!$G70,0,MATCH(VLOOKUP(Assumptions!AZ$2,TIAM15_assumptions!$Y$3:$Z$87,2,FALSE),TIAM15_assumptions!$H$2:$V$2,0))</f>
        <v>0.79999999999999993</v>
      </c>
      <c r="BA70" s="9">
        <f ca="1">OFFSET(TIAM15_assumptions!$G70,0,MATCH(VLOOKUP(Assumptions!BA$2,TIAM15_assumptions!$Y$3:$Z$87,2,FALSE),TIAM15_assumptions!$H$2:$V$2,0))</f>
        <v>0.79999999999999993</v>
      </c>
      <c r="BD70" s="34">
        <f ca="1">IFERROR(SUMIFS('TRA balance'!E$5:E$40,'TRA balance'!$C$5:$C$40,Assumptions!$C70,'TRA balance'!$D$5:$D$40,Assumptions!$B70)*CY70*H70,"")</f>
        <v>0</v>
      </c>
      <c r="BE70" s="34">
        <f ca="1">IFERROR(SUMIFS('TRA balance'!F$5:F$40,'TRA balance'!$C$5:$C$40,Assumptions!$C70,'TRA balance'!$D$5:$D$40,Assumptions!$B70)*CZ70*I70,"")</f>
        <v>0</v>
      </c>
      <c r="BF70" s="34">
        <f ca="1">IFERROR(SUMIFS('TRA balance'!G$5:G$40,'TRA balance'!$C$5:$C$40,Assumptions!$C70,'TRA balance'!$D$5:$D$40,Assumptions!$B70)*DA70*J70,"")</f>
        <v>1.2623076395999999E-2</v>
      </c>
      <c r="BG70" s="34">
        <f ca="1">IFERROR(SUMIFS('TRA balance'!H$5:H$40,'TRA balance'!$C$5:$C$40,Assumptions!$C70,'TRA balance'!$D$5:$D$40,Assumptions!$B70)*DB70*K70,"")</f>
        <v>7.1297921548800005</v>
      </c>
      <c r="BH70" s="34">
        <f ca="1">IFERROR(SUMIFS('TRA balance'!I$5:I$40,'TRA balance'!$C$5:$C$40,Assumptions!$C70,'TRA balance'!$D$5:$D$40,Assumptions!$B70)*DC70*L70,"")</f>
        <v>2.6125039149120002</v>
      </c>
      <c r="BI70" s="34">
        <f ca="1">IFERROR(SUMIFS('TRA balance'!J$5:J$40,'TRA balance'!$C$5:$C$40,Assumptions!$C70,'TRA balance'!$D$5:$D$40,Assumptions!$B70)*DD70*M70,"")</f>
        <v>14.771963219040002</v>
      </c>
      <c r="BJ70" s="34">
        <f ca="1">IFERROR(SUMIFS('TRA balance'!K$5:K$40,'TRA balance'!$C$5:$C$40,Assumptions!$C70,'TRA balance'!$D$5:$D$40,Assumptions!$B70)*DE70*N70,"")</f>
        <v>302.728914798012</v>
      </c>
      <c r="BK70" s="34">
        <f ca="1">IFERROR(SUMIFS('TRA balance'!L$5:L$40,'TRA balance'!$C$5:$C$40,Assumptions!$C70,'TRA balance'!$D$5:$D$40,Assumptions!$B70)*DF70*O70,"")</f>
        <v>11.939760177029999</v>
      </c>
      <c r="BL70" s="34">
        <f ca="1">IFERROR(SUMIFS('TRA balance'!M$5:M$40,'TRA balance'!$C$5:$C$40,Assumptions!$C70,'TRA balance'!$D$5:$D$40,Assumptions!$B70)*DG70*P70,"")</f>
        <v>2.5533183052799999</v>
      </c>
      <c r="BM70" s="34">
        <f ca="1">IFERROR(SUMIFS('TRA balance'!N$5:N$40,'TRA balance'!$C$5:$C$40,Assumptions!$C70,'TRA balance'!$D$5:$D$40,Assumptions!$B70)*DH70*Q70,"")</f>
        <v>6.6919399603200009</v>
      </c>
      <c r="BN70" s="34">
        <f ca="1">IFERROR(SUMIFS('TRA balance'!O$5:O$40,'TRA balance'!$C$5:$C$40,Assumptions!$C70,'TRA balance'!$D$5:$D$40,Assumptions!$B70)*DI70*R70,"")</f>
        <v>42.281302474080007</v>
      </c>
      <c r="BO70" s="34">
        <f ca="1">IFERROR(SUMIFS('TRA balance'!P$5:P$40,'TRA balance'!$C$5:$C$40,Assumptions!$C70,'TRA balance'!$D$5:$D$40,Assumptions!$B70)*DJ70*S70,"")</f>
        <v>31.63755587472</v>
      </c>
      <c r="BP70" s="34">
        <f ca="1">IFERROR(SUMIFS('TRA balance'!Q$5:Q$40,'TRA balance'!$C$5:$C$40,Assumptions!$C70,'TRA balance'!$D$5:$D$40,Assumptions!$B70)*DK70*T70,"")</f>
        <v>2.8662933283200003</v>
      </c>
      <c r="BQ70" s="34">
        <f ca="1">IFERROR(SUMIFS('TRA balance'!R$5:R$40,'TRA balance'!$C$5:$C$40,Assumptions!$C70,'TRA balance'!$D$5:$D$40,Assumptions!$B70)*DL70*U70,"")</f>
        <v>10.364656186080001</v>
      </c>
      <c r="BR70" s="34">
        <f ca="1">IFERROR(SUMIFS('TRA balance'!S$5:S$40,'TRA balance'!$C$5:$C$40,Assumptions!$C70,'TRA balance'!$D$5:$D$40,Assumptions!$B70)*DM70*V70,"")</f>
        <v>0.25957322640000002</v>
      </c>
      <c r="BS70" s="34">
        <f ca="1">IFERROR(SUMIFS('TRA balance'!T$5:T$40,'TRA balance'!$C$5:$C$40,Assumptions!$C70,'TRA balance'!$D$5:$D$40,Assumptions!$B70)*DN70*W70,"")</f>
        <v>0.36831112127999999</v>
      </c>
      <c r="BT70" s="34">
        <f ca="1">IFERROR(SUMIFS('TRA balance'!U$5:U$40,'TRA balance'!$C$5:$C$40,Assumptions!$C70,'TRA balance'!$D$5:$D$40,Assumptions!$B70)*DO70*X70,"")</f>
        <v>2.7127282032000002</v>
      </c>
      <c r="BU70" s="34">
        <f ca="1">IFERROR(SUMIFS('TRA balance'!V$5:V$40,'TRA balance'!$C$5:$C$40,Assumptions!$C70,'TRA balance'!$D$5:$D$40,Assumptions!$B70)*DP70*Y70,"")</f>
        <v>21.043712581920001</v>
      </c>
      <c r="BV70" s="34">
        <f ca="1">IFERROR(SUMIFS('TRA balance'!W$5:W$40,'TRA balance'!$C$5:$C$40,Assumptions!$C70,'TRA balance'!$D$5:$D$40,Assumptions!$B70)*DQ70*Z70,"")</f>
        <v>0.24664229460000001</v>
      </c>
      <c r="BW70" s="34">
        <f ca="1">IFERROR(SUMIFS('TRA balance'!X$5:X$40,'TRA balance'!$C$5:$C$40,Assumptions!$C70,'TRA balance'!$D$5:$D$40,Assumptions!$B70)*DR70*AA70,"")</f>
        <v>34.532540652617996</v>
      </c>
      <c r="BX70" s="34">
        <f ca="1">IFERROR(SUMIFS('TRA balance'!Y$5:Y$40,'TRA balance'!$C$5:$C$40,Assumptions!$C70,'TRA balance'!$D$5:$D$40,Assumptions!$B70)*DS70*AB70,"")</f>
        <v>0</v>
      </c>
      <c r="BY70" s="34">
        <f ca="1">IFERROR(SUMIFS('TRA balance'!Z$5:Z$40,'TRA balance'!$C$5:$C$40,Assumptions!$C70,'TRA balance'!$D$5:$D$40,Assumptions!$B70)*DT70*AC70,"")</f>
        <v>159.40374175731475</v>
      </c>
      <c r="BZ70" s="34">
        <f ca="1">IFERROR(SUMIFS('TRA balance'!AA$5:AA$40,'TRA balance'!$C$5:$C$40,Assumptions!$C70,'TRA balance'!$D$5:$D$40,Assumptions!$B70)*DU70*AD70,"")</f>
        <v>7.0170098112000012</v>
      </c>
      <c r="CA70" s="34">
        <f ca="1">IFERROR(SUMIFS('TRA balance'!AB$5:AB$40,'TRA balance'!$C$5:$C$40,Assumptions!$C70,'TRA balance'!$D$5:$D$40,Assumptions!$B70)*DV70*AE70,"")</f>
        <v>14.030563000320001</v>
      </c>
      <c r="CB70" s="34">
        <f ca="1">IFERROR(SUMIFS('TRA balance'!AC$5:AC$40,'TRA balance'!$C$5:$C$40,Assumptions!$C70,'TRA balance'!$D$5:$D$40,Assumptions!$B70)*DW70*AF70,"")</f>
        <v>131.12971217942402</v>
      </c>
      <c r="CC70" s="34">
        <f ca="1">IFERROR(SUMIFS('TRA balance'!AD$5:AD$40,'TRA balance'!$C$5:$C$40,Assumptions!$C70,'TRA balance'!$D$5:$D$40,Assumptions!$B70)*DX70*AG70,"")</f>
        <v>4.1040227771999997E-2</v>
      </c>
      <c r="CD70" s="34">
        <f ca="1">IFERROR(SUMIFS('TRA balance'!AE$5:AE$40,'TRA balance'!$C$5:$C$40,Assumptions!$C70,'TRA balance'!$D$5:$D$40,Assumptions!$B70)*DY70*AH70,"")</f>
        <v>0</v>
      </c>
      <c r="CE70" s="34">
        <f ca="1">IFERROR(SUMIFS('TRA balance'!AF$5:AF$40,'TRA balance'!$C$5:$C$40,Assumptions!$C70,'TRA balance'!$D$5:$D$40,Assumptions!$B70)*DZ70*AI70,"")</f>
        <v>0</v>
      </c>
      <c r="CF70" s="34">
        <f ca="1">IFERROR(SUMIFS('TRA balance'!AG$5:AG$40,'TRA balance'!$C$5:$C$40,Assumptions!$C70,'TRA balance'!$D$5:$D$40,Assumptions!$B70)*EA70*AJ70,"")</f>
        <v>29.433868863840004</v>
      </c>
      <c r="CG70" s="34">
        <f ca="1">IFERROR(SUMIFS('TRA balance'!AH$5:AH$40,'TRA balance'!$C$5:$C$40,Assumptions!$C70,'TRA balance'!$D$5:$D$40,Assumptions!$B70)*EB70*AK70,"")</f>
        <v>28.66601979216</v>
      </c>
      <c r="CH70" s="34">
        <f ca="1">IFERROR(SUMIFS('TRA balance'!AI$5:AI$40,'TRA balance'!$C$5:$C$40,Assumptions!$C70,'TRA balance'!$D$5:$D$40,Assumptions!$B70)*EC70*AL70,"")</f>
        <v>2.5092999648000003</v>
      </c>
      <c r="CI70" s="34">
        <f ca="1">IFERROR(SUMIFS('TRA balance'!AJ$5:AJ$40,'TRA balance'!$C$5:$C$40,Assumptions!$C70,'TRA balance'!$D$5:$D$40,Assumptions!$B70)*ED70*AM70,"")</f>
        <v>2.1507750698399999</v>
      </c>
      <c r="CJ70" s="34">
        <f ca="1">IFERROR(SUMIFS('TRA balance'!AK$5:AK$40,'TRA balance'!$C$5:$C$40,Assumptions!$C70,'TRA balance'!$D$5:$D$40,Assumptions!$B70)*EE70*AN70,"")</f>
        <v>21.154240752480003</v>
      </c>
      <c r="CK70" s="34">
        <f ca="1">IFERROR(SUMIFS('TRA balance'!AL$5:AL$40,'TRA balance'!$C$5:$C$40,Assumptions!$C70,'TRA balance'!$D$5:$D$40,Assumptions!$B70)*EF70*AO70,"")</f>
        <v>0</v>
      </c>
      <c r="CL70" s="34">
        <f ca="1">IFERROR(SUMIFS('TRA balance'!AM$5:AM$40,'TRA balance'!$C$5:$C$40,Assumptions!$C70,'TRA balance'!$D$5:$D$40,Assumptions!$B70)*EG70*AP70,"")</f>
        <v>2.0141036827200001</v>
      </c>
      <c r="CM70" s="34">
        <f ca="1">IFERROR(SUMIFS('TRA balance'!AN$5:AN$40,'TRA balance'!$C$5:$C$40,Assumptions!$C70,'TRA balance'!$D$5:$D$40,Assumptions!$B70)*EH70*AQ70,"")</f>
        <v>0</v>
      </c>
      <c r="CN70" s="34">
        <f ca="1">IFERROR(SUMIFS('TRA balance'!AO$5:AO$40,'TRA balance'!$C$5:$C$40,Assumptions!$C70,'TRA balance'!$D$5:$D$40,Assumptions!$B70)*EI70*AR70,"")</f>
        <v>0</v>
      </c>
      <c r="CO70" s="34">
        <f ca="1">IFERROR(SUMIFS('TRA balance'!AP$5:AP$40,'TRA balance'!$C$5:$C$40,Assumptions!$C70,'TRA balance'!$D$5:$D$40,Assumptions!$B70)*EJ70*AS70,"")</f>
        <v>0</v>
      </c>
      <c r="CP70" s="34">
        <f ca="1">IFERROR(SUMIFS('TRA balance'!AQ$5:AQ$40,'TRA balance'!$C$5:$C$40,Assumptions!$C70,'TRA balance'!$D$5:$D$40,Assumptions!$B70)*EK70*AT70,"")</f>
        <v>0</v>
      </c>
      <c r="CQ70" s="34">
        <f ca="1">IFERROR(SUMIFS('TRA balance'!AR$5:AR$40,'TRA balance'!$C$5:$C$40,Assumptions!$C70,'TRA balance'!$D$5:$D$40,Assumptions!$B70)*EL70*AU70,"")</f>
        <v>0</v>
      </c>
      <c r="CR70" s="34">
        <f ca="1">IFERROR(SUMIFS('TRA balance'!AS$5:AS$40,'TRA balance'!$C$5:$C$40,Assumptions!$C70,'TRA balance'!$D$5:$D$40,Assumptions!$B70)*EM70*AV70,"")</f>
        <v>0</v>
      </c>
      <c r="CS70" s="34">
        <f ca="1">IFERROR(SUMIFS('TRA balance'!AT$5:AT$40,'TRA balance'!$C$5:$C$40,Assumptions!$C70,'TRA balance'!$D$5:$D$40,Assumptions!$B70)*EN70*AW70,"")</f>
        <v>0</v>
      </c>
      <c r="CT70" s="34">
        <f ca="1">IFERROR(SUMIFS('TRA balance'!AU$5:AU$40,'TRA balance'!$C$5:$C$40,Assumptions!$C70,'TRA balance'!$D$5:$D$40,Assumptions!$B70)*EO70*AX70,"")</f>
        <v>0</v>
      </c>
      <c r="CU70" s="34">
        <f ca="1">IFERROR(SUMIFS('TRA balance'!AV$5:AV$40,'TRA balance'!$C$5:$C$40,Assumptions!$C70,'TRA balance'!$D$5:$D$40,Assumptions!$B70)*EP70*AY70,"")</f>
        <v>0</v>
      </c>
      <c r="CV70" s="34">
        <f ca="1">IFERROR(SUMIFS('TRA balance'!AW$5:AW$40,'TRA balance'!$C$5:$C$40,Assumptions!$C70,'TRA balance'!$D$5:$D$40,Assumptions!$B70)*EQ70*AZ70,"")</f>
        <v>0</v>
      </c>
      <c r="CW70" s="34">
        <f ca="1">IFERROR(SUMIFS('TRA balance'!AX$5:AX$40,'TRA balance'!$C$5:$C$40,Assumptions!$C70,'TRA balance'!$D$5:$D$40,Assumptions!$B70)*ER70*BA70,"")</f>
        <v>0</v>
      </c>
      <c r="CY70" s="33">
        <f t="shared" ca="1" si="86"/>
        <v>0.9</v>
      </c>
      <c r="CZ70" s="33">
        <f t="shared" ca="1" si="87"/>
        <v>0.9</v>
      </c>
      <c r="DA70" s="33">
        <f t="shared" ca="1" si="88"/>
        <v>0.98</v>
      </c>
      <c r="DB70" s="33">
        <f t="shared" ca="1" si="89"/>
        <v>0.8</v>
      </c>
      <c r="DC70" s="33">
        <f t="shared" ca="1" si="90"/>
        <v>0.95</v>
      </c>
      <c r="DD70" s="33">
        <f t="shared" ca="1" si="91"/>
        <v>0.8</v>
      </c>
      <c r="DE70" s="33">
        <f t="shared" ca="1" si="92"/>
        <v>0.92999999999999994</v>
      </c>
      <c r="DF70" s="33">
        <f t="shared" ca="1" si="93"/>
        <v>0.9</v>
      </c>
      <c r="DG70" s="33">
        <f t="shared" ca="1" si="94"/>
        <v>0.8</v>
      </c>
      <c r="DH70" s="33">
        <f t="shared" ca="1" si="95"/>
        <v>0.8</v>
      </c>
      <c r="DI70" s="33">
        <f t="shared" ca="1" si="96"/>
        <v>0.8</v>
      </c>
      <c r="DJ70" s="33">
        <f t="shared" ca="1" si="97"/>
        <v>0.8</v>
      </c>
      <c r="DK70" s="33">
        <f t="shared" ca="1" si="98"/>
        <v>0.8</v>
      </c>
      <c r="DL70" s="33">
        <f t="shared" ca="1" si="99"/>
        <v>0.8</v>
      </c>
      <c r="DM70" s="33">
        <f t="shared" ca="1" si="100"/>
        <v>0.8</v>
      </c>
      <c r="DN70" s="33">
        <f t="shared" ca="1" si="101"/>
        <v>0.75</v>
      </c>
      <c r="DO70" s="33">
        <f t="shared" ca="1" si="102"/>
        <v>0.8</v>
      </c>
      <c r="DP70" s="33">
        <f t="shared" ca="1" si="103"/>
        <v>0.8</v>
      </c>
      <c r="DQ70" s="33">
        <f t="shared" ca="1" si="104"/>
        <v>0.95</v>
      </c>
      <c r="DR70" s="33">
        <f t="shared" ca="1" si="105"/>
        <v>0.92999999999999994</v>
      </c>
      <c r="DS70" s="33">
        <f t="shared" ca="1" si="106"/>
        <v>0.9</v>
      </c>
      <c r="DT70" s="33">
        <f t="shared" ca="1" si="107"/>
        <v>0.97559357817738346</v>
      </c>
      <c r="DU70" s="33">
        <f t="shared" ca="1" si="108"/>
        <v>0.8</v>
      </c>
      <c r="DV70" s="33">
        <f t="shared" ca="1" si="109"/>
        <v>0.8</v>
      </c>
      <c r="DW70" s="33">
        <f t="shared" ca="1" si="110"/>
        <v>0.92</v>
      </c>
      <c r="DX70" s="33">
        <f t="shared" ca="1" si="111"/>
        <v>0.95</v>
      </c>
      <c r="DY70" s="33">
        <f t="shared" ca="1" si="112"/>
        <v>0.9</v>
      </c>
      <c r="DZ70" s="33">
        <f t="shared" ca="1" si="113"/>
        <v>0.9</v>
      </c>
      <c r="EA70" s="33">
        <f t="shared" ca="1" si="114"/>
        <v>0.8</v>
      </c>
      <c r="EB70" s="33">
        <f t="shared" ca="1" si="115"/>
        <v>0.8</v>
      </c>
      <c r="EC70" s="33">
        <f t="shared" ca="1" si="116"/>
        <v>0.8</v>
      </c>
      <c r="ED70" s="33">
        <f t="shared" ca="1" si="117"/>
        <v>0.9</v>
      </c>
      <c r="EE70" s="33">
        <f t="shared" ca="1" si="118"/>
        <v>0.8</v>
      </c>
      <c r="EF70" s="33">
        <f t="shared" ca="1" si="119"/>
        <v>0.95</v>
      </c>
      <c r="EG70" s="33">
        <f t="shared" ca="1" si="120"/>
        <v>0.8</v>
      </c>
      <c r="EH70" s="33">
        <f t="shared" ca="1" si="121"/>
        <v>0.97559357817738346</v>
      </c>
      <c r="EI70" s="33">
        <f t="shared" ca="1" si="122"/>
        <v>0.97559357817738346</v>
      </c>
      <c r="EJ70" s="33">
        <f t="shared" ca="1" si="123"/>
        <v>0.97559357817738346</v>
      </c>
      <c r="EK70" s="33">
        <f t="shared" ca="1" si="124"/>
        <v>0.97559357817738346</v>
      </c>
      <c r="EL70" s="33">
        <f t="shared" ca="1" si="125"/>
        <v>0.97559357817738346</v>
      </c>
      <c r="EM70" s="33">
        <f t="shared" ca="1" si="126"/>
        <v>0.97559357817738346</v>
      </c>
      <c r="EN70" s="33">
        <f t="shared" ca="1" si="127"/>
        <v>0.97559357817738346</v>
      </c>
      <c r="EO70" s="33">
        <f t="shared" ca="1" si="128"/>
        <v>0.97559357817738346</v>
      </c>
      <c r="EP70" s="33">
        <f t="shared" ca="1" si="129"/>
        <v>0.97559357817738346</v>
      </c>
      <c r="EQ70" s="33">
        <f t="shared" ca="1" si="130"/>
        <v>0.97559357817738346</v>
      </c>
      <c r="ER70" s="33">
        <f t="shared" ca="1" si="131"/>
        <v>0.97559357817738346</v>
      </c>
    </row>
    <row r="71" spans="1:148">
      <c r="A71">
        <v>2</v>
      </c>
      <c r="B71" t="str">
        <f>VLOOKUP(F71,'TRA balance'!$BA$5:$BB$14,2,FALSE)</f>
        <v>TRABDS</v>
      </c>
      <c r="C71" s="6" t="str">
        <f t="shared" si="133"/>
        <v>TR</v>
      </c>
      <c r="D71" s="7" t="s">
        <v>16</v>
      </c>
      <c r="E71" s="18" t="s">
        <v>75</v>
      </c>
      <c r="F71" s="8" t="str">
        <f t="shared" si="134"/>
        <v>Bio Diesel</v>
      </c>
      <c r="G71" s="6" t="s">
        <v>76</v>
      </c>
      <c r="H71" s="9">
        <f ca="1">OFFSET(TIAM15_assumptions!$G71,0,MATCH(VLOOKUP(Assumptions!H$2,TIAM15_assumptions!$Y$3:$Z$87,2,FALSE),TIAM15_assumptions!$H$2:$V$2,0))</f>
        <v>0.1</v>
      </c>
      <c r="I71" s="9">
        <f ca="1">OFFSET(TIAM15_assumptions!$G71,0,MATCH(VLOOKUP(Assumptions!I$2,TIAM15_assumptions!$Y$3:$Z$87,2,FALSE),TIAM15_assumptions!$H$2:$V$2,0))</f>
        <v>0.1</v>
      </c>
      <c r="J71" s="9">
        <f ca="1">OFFSET(TIAM15_assumptions!$G71,0,MATCH(VLOOKUP(Assumptions!J$2,TIAM15_assumptions!$Y$3:$Z$87,2,FALSE),TIAM15_assumptions!$H$2:$V$2,0))</f>
        <v>0.3</v>
      </c>
      <c r="K71" s="9">
        <f ca="1">OFFSET(TIAM15_assumptions!$G71,0,MATCH(VLOOKUP(Assumptions!K$2,TIAM15_assumptions!$Y$3:$Z$87,2,FALSE),TIAM15_assumptions!$H$2:$V$2,0))</f>
        <v>0.3</v>
      </c>
      <c r="L71" s="9">
        <f ca="1">OFFSET(TIAM15_assumptions!$G71,0,MATCH(VLOOKUP(Assumptions!L$2,TIAM15_assumptions!$Y$3:$Z$87,2,FALSE),TIAM15_assumptions!$H$2:$V$2,0))</f>
        <v>0.2</v>
      </c>
      <c r="M71" s="9">
        <f ca="1">OFFSET(TIAM15_assumptions!$G71,0,MATCH(VLOOKUP(Assumptions!M$2,TIAM15_assumptions!$Y$3:$Z$87,2,FALSE),TIAM15_assumptions!$H$2:$V$2,0))</f>
        <v>0.3</v>
      </c>
      <c r="N71" s="9">
        <f ca="1">OFFSET(TIAM15_assumptions!$G71,0,MATCH(VLOOKUP(Assumptions!N$2,TIAM15_assumptions!$Y$3:$Z$87,2,FALSE),TIAM15_assumptions!$H$2:$V$2,0))</f>
        <v>0.3</v>
      </c>
      <c r="O71" s="9">
        <f ca="1">OFFSET(TIAM15_assumptions!$G71,0,MATCH(VLOOKUP(Assumptions!O$2,TIAM15_assumptions!$Y$3:$Z$87,2,FALSE),TIAM15_assumptions!$H$2:$V$2,0))</f>
        <v>0.2</v>
      </c>
      <c r="P71" s="9">
        <f ca="1">OFFSET(TIAM15_assumptions!$G71,0,MATCH(VLOOKUP(Assumptions!P$2,TIAM15_assumptions!$Y$3:$Z$87,2,FALSE),TIAM15_assumptions!$H$2:$V$2,0))</f>
        <v>0.25</v>
      </c>
      <c r="Q71" s="9">
        <f ca="1">OFFSET(TIAM15_assumptions!$G71,0,MATCH(VLOOKUP(Assumptions!Q$2,TIAM15_assumptions!$Y$3:$Z$87,2,FALSE),TIAM15_assumptions!$H$2:$V$2,0))</f>
        <v>0.25</v>
      </c>
      <c r="R71" s="9">
        <f ca="1">OFFSET(TIAM15_assumptions!$G71,0,MATCH(VLOOKUP(Assumptions!R$2,TIAM15_assumptions!$Y$3:$Z$87,2,FALSE),TIAM15_assumptions!$H$2:$V$2,0))</f>
        <v>0.3</v>
      </c>
      <c r="S71" s="9">
        <f ca="1">OFFSET(TIAM15_assumptions!$G71,0,MATCH(VLOOKUP(Assumptions!S$2,TIAM15_assumptions!$Y$3:$Z$87,2,FALSE),TIAM15_assumptions!$H$2:$V$2,0))</f>
        <v>0.3</v>
      </c>
      <c r="T71" s="9">
        <f ca="1">OFFSET(TIAM15_assumptions!$G71,0,MATCH(VLOOKUP(Assumptions!T$2,TIAM15_assumptions!$Y$3:$Z$87,2,FALSE),TIAM15_assumptions!$H$2:$V$2,0))</f>
        <v>0.3</v>
      </c>
      <c r="U71" s="9">
        <f ca="1">OFFSET(TIAM15_assumptions!$G71,0,MATCH(VLOOKUP(Assumptions!U$2,TIAM15_assumptions!$Y$3:$Z$87,2,FALSE),TIAM15_assumptions!$H$2:$V$2,0))</f>
        <v>0.25</v>
      </c>
      <c r="V71" s="9">
        <f ca="1">OFFSET(TIAM15_assumptions!$G71,0,MATCH(VLOOKUP(Assumptions!V$2,TIAM15_assumptions!$Y$3:$Z$87,2,FALSE),TIAM15_assumptions!$H$2:$V$2,0))</f>
        <v>0.3</v>
      </c>
      <c r="W71" s="9">
        <f ca="1">OFFSET(TIAM15_assumptions!$G71,0,MATCH(VLOOKUP(Assumptions!W$2,TIAM15_assumptions!$Y$3:$Z$87,2,FALSE),TIAM15_assumptions!$H$2:$V$2,0))</f>
        <v>0.2</v>
      </c>
      <c r="X71" s="9">
        <f ca="1">OFFSET(TIAM15_assumptions!$G71,0,MATCH(VLOOKUP(Assumptions!X$2,TIAM15_assumptions!$Y$3:$Z$87,2,FALSE),TIAM15_assumptions!$H$2:$V$2,0))</f>
        <v>0.3</v>
      </c>
      <c r="Y71" s="9">
        <f ca="1">OFFSET(TIAM15_assumptions!$G71,0,MATCH(VLOOKUP(Assumptions!Y$2,TIAM15_assumptions!$Y$3:$Z$87,2,FALSE),TIAM15_assumptions!$H$2:$V$2,0))</f>
        <v>0.3</v>
      </c>
      <c r="Z71" s="9">
        <f ca="1">OFFSET(TIAM15_assumptions!$G71,0,MATCH(VLOOKUP(Assumptions!Z$2,TIAM15_assumptions!$Y$3:$Z$87,2,FALSE),TIAM15_assumptions!$H$2:$V$2,0))</f>
        <v>0.3</v>
      </c>
      <c r="AA71" s="9">
        <f ca="1">OFFSET(TIAM15_assumptions!$G71,0,MATCH(VLOOKUP(Assumptions!AA$2,TIAM15_assumptions!$Y$3:$Z$87,2,FALSE),TIAM15_assumptions!$H$2:$V$2,0))</f>
        <v>0.3</v>
      </c>
      <c r="AB71" s="9">
        <f ca="1">OFFSET(TIAM15_assumptions!$G71,0,MATCH(VLOOKUP(Assumptions!AB$2,TIAM15_assumptions!$Y$3:$Z$87,2,FALSE),TIAM15_assumptions!$H$2:$V$2,0))</f>
        <v>0.25</v>
      </c>
      <c r="AC71" s="9">
        <f ca="1">OFFSET(TIAM15_assumptions!$G71,0,MATCH(VLOOKUP(Assumptions!AC$2,TIAM15_assumptions!$Y$3:$Z$87,2,FALSE),TIAM15_assumptions!$H$2:$V$2,0))</f>
        <v>0.11</v>
      </c>
      <c r="AD71" s="9">
        <f ca="1">OFFSET(TIAM15_assumptions!$G71,0,MATCH(VLOOKUP(Assumptions!AD$2,TIAM15_assumptions!$Y$3:$Z$87,2,FALSE),TIAM15_assumptions!$H$2:$V$2,0))</f>
        <v>0.3</v>
      </c>
      <c r="AE71" s="9">
        <f ca="1">OFFSET(TIAM15_assumptions!$G71,0,MATCH(VLOOKUP(Assumptions!AE$2,TIAM15_assumptions!$Y$3:$Z$87,2,FALSE),TIAM15_assumptions!$H$2:$V$2,0))</f>
        <v>0.25</v>
      </c>
      <c r="AF71" s="9">
        <f ca="1">OFFSET(TIAM15_assumptions!$G71,0,MATCH(VLOOKUP(Assumptions!AF$2,TIAM15_assumptions!$Y$3:$Z$87,2,FALSE),TIAM15_assumptions!$H$2:$V$2,0))</f>
        <v>0.25</v>
      </c>
      <c r="AG71" s="9">
        <f ca="1">OFFSET(TIAM15_assumptions!$G71,0,MATCH(VLOOKUP(Assumptions!AG$2,TIAM15_assumptions!$Y$3:$Z$87,2,FALSE),TIAM15_assumptions!$H$2:$V$2,0))</f>
        <v>0.2</v>
      </c>
      <c r="AH71" s="9">
        <f ca="1">OFFSET(TIAM15_assumptions!$G71,0,MATCH(VLOOKUP(Assumptions!AH$2,TIAM15_assumptions!$Y$3:$Z$87,2,FALSE),TIAM15_assumptions!$H$2:$V$2,0))</f>
        <v>0.25</v>
      </c>
      <c r="AI71" s="9">
        <f ca="1">OFFSET(TIAM15_assumptions!$G71,0,MATCH(VLOOKUP(Assumptions!AI$2,TIAM15_assumptions!$Y$3:$Z$87,2,FALSE),TIAM15_assumptions!$H$2:$V$2,0))</f>
        <v>0.1</v>
      </c>
      <c r="AJ71" s="9">
        <f ca="1">OFFSET(TIAM15_assumptions!$G71,0,MATCH(VLOOKUP(Assumptions!AJ$2,TIAM15_assumptions!$Y$3:$Z$87,2,FALSE),TIAM15_assumptions!$H$2:$V$2,0))</f>
        <v>0.3</v>
      </c>
      <c r="AK71" s="9">
        <f ca="1">OFFSET(TIAM15_assumptions!$G71,0,MATCH(VLOOKUP(Assumptions!AK$2,TIAM15_assumptions!$Y$3:$Z$87,2,FALSE),TIAM15_assumptions!$H$2:$V$2,0))</f>
        <v>0.3</v>
      </c>
      <c r="AL71" s="9">
        <f ca="1">OFFSET(TIAM15_assumptions!$G71,0,MATCH(VLOOKUP(Assumptions!AL$2,TIAM15_assumptions!$Y$3:$Z$87,2,FALSE),TIAM15_assumptions!$H$2:$V$2,0))</f>
        <v>0.3</v>
      </c>
      <c r="AM71" s="9">
        <f ca="1">OFFSET(TIAM15_assumptions!$G71,0,MATCH(VLOOKUP(Assumptions!AM$2,TIAM15_assumptions!$Y$3:$Z$87,2,FALSE),TIAM15_assumptions!$H$2:$V$2,0))</f>
        <v>0.25</v>
      </c>
      <c r="AN71" s="9">
        <f ca="1">OFFSET(TIAM15_assumptions!$G71,0,MATCH(VLOOKUP(Assumptions!AN$2,TIAM15_assumptions!$Y$3:$Z$87,2,FALSE),TIAM15_assumptions!$H$2:$V$2,0))</f>
        <v>0.3</v>
      </c>
      <c r="AO71" s="9">
        <f ca="1">OFFSET(TIAM15_assumptions!$G71,0,MATCH(VLOOKUP(Assumptions!AO$2,TIAM15_assumptions!$Y$3:$Z$87,2,FALSE),TIAM15_assumptions!$H$2:$V$2,0))</f>
        <v>0.2</v>
      </c>
      <c r="AP71" s="9">
        <f ca="1">OFFSET(TIAM15_assumptions!$G71,0,MATCH(VLOOKUP(Assumptions!AP$2,TIAM15_assumptions!$Y$3:$Z$87,2,FALSE),TIAM15_assumptions!$H$2:$V$2,0))</f>
        <v>0.25</v>
      </c>
      <c r="AQ71" s="9">
        <f ca="1">OFFSET(TIAM15_assumptions!$G71,0,MATCH(VLOOKUP(Assumptions!AQ$2,TIAM15_assumptions!$Y$3:$Z$87,2,FALSE),TIAM15_assumptions!$H$2:$V$2,0))</f>
        <v>0.11</v>
      </c>
      <c r="AR71" s="9">
        <f ca="1">OFFSET(TIAM15_assumptions!$G71,0,MATCH(VLOOKUP(Assumptions!AR$2,TIAM15_assumptions!$Y$3:$Z$87,2,FALSE),TIAM15_assumptions!$H$2:$V$2,0))</f>
        <v>0.11</v>
      </c>
      <c r="AS71" s="9">
        <f ca="1">OFFSET(TIAM15_assumptions!$G71,0,MATCH(VLOOKUP(Assumptions!AS$2,TIAM15_assumptions!$Y$3:$Z$87,2,FALSE),TIAM15_assumptions!$H$2:$V$2,0))</f>
        <v>0.11</v>
      </c>
      <c r="AT71" s="9">
        <f ca="1">OFFSET(TIAM15_assumptions!$G71,0,MATCH(VLOOKUP(Assumptions!AT$2,TIAM15_assumptions!$Y$3:$Z$87,2,FALSE),TIAM15_assumptions!$H$2:$V$2,0))</f>
        <v>0.11</v>
      </c>
      <c r="AU71" s="9">
        <f ca="1">OFFSET(TIAM15_assumptions!$G71,0,MATCH(VLOOKUP(Assumptions!AU$2,TIAM15_assumptions!$Y$3:$Z$87,2,FALSE),TIAM15_assumptions!$H$2:$V$2,0))</f>
        <v>0.11</v>
      </c>
      <c r="AV71" s="9">
        <f ca="1">OFFSET(TIAM15_assumptions!$G71,0,MATCH(VLOOKUP(Assumptions!AV$2,TIAM15_assumptions!$Y$3:$Z$87,2,FALSE),TIAM15_assumptions!$H$2:$V$2,0))</f>
        <v>0.11</v>
      </c>
      <c r="AW71" s="9">
        <f ca="1">OFFSET(TIAM15_assumptions!$G71,0,MATCH(VLOOKUP(Assumptions!AW$2,TIAM15_assumptions!$Y$3:$Z$87,2,FALSE),TIAM15_assumptions!$H$2:$V$2,0))</f>
        <v>0.11</v>
      </c>
      <c r="AX71" s="9">
        <f ca="1">OFFSET(TIAM15_assumptions!$G71,0,MATCH(VLOOKUP(Assumptions!AX$2,TIAM15_assumptions!$Y$3:$Z$87,2,FALSE),TIAM15_assumptions!$H$2:$V$2,0))</f>
        <v>0.11</v>
      </c>
      <c r="AY71" s="9">
        <f ca="1">OFFSET(TIAM15_assumptions!$G71,0,MATCH(VLOOKUP(Assumptions!AY$2,TIAM15_assumptions!$Y$3:$Z$87,2,FALSE),TIAM15_assumptions!$H$2:$V$2,0))</f>
        <v>0.11</v>
      </c>
      <c r="AZ71" s="9">
        <f ca="1">OFFSET(TIAM15_assumptions!$G71,0,MATCH(VLOOKUP(Assumptions!AZ$2,TIAM15_assumptions!$Y$3:$Z$87,2,FALSE),TIAM15_assumptions!$H$2:$V$2,0))</f>
        <v>0.11</v>
      </c>
      <c r="BA71" s="9">
        <f ca="1">OFFSET(TIAM15_assumptions!$G71,0,MATCH(VLOOKUP(Assumptions!BA$2,TIAM15_assumptions!$Y$3:$Z$87,2,FALSE),TIAM15_assumptions!$H$2:$V$2,0))</f>
        <v>0.11</v>
      </c>
      <c r="BD71" s="34">
        <f ca="1">IFERROR(SUMIFS('TRA balance'!E$5:E$40,'TRA balance'!$C$5:$C$40,Assumptions!$C71,'TRA balance'!$D$5:$D$40,Assumptions!$B71)*CY71*H71,"")</f>
        <v>0</v>
      </c>
      <c r="BE71" s="34">
        <f ca="1">IFERROR(SUMIFS('TRA balance'!F$5:F$40,'TRA balance'!$C$5:$C$40,Assumptions!$C71,'TRA balance'!$D$5:$D$40,Assumptions!$B71)*CZ71*I71,"")</f>
        <v>0</v>
      </c>
      <c r="BF71" s="34">
        <f ca="1">IFERROR(SUMIFS('TRA balance'!G$5:G$40,'TRA balance'!$C$5:$C$40,Assumptions!$C71,'TRA balance'!$D$5:$D$40,Assumptions!$B71)*DA71*J71,"")</f>
        <v>1.0819779768E-2</v>
      </c>
      <c r="BG71" s="34">
        <f ca="1">IFERROR(SUMIFS('TRA balance'!H$5:H$40,'TRA balance'!$C$5:$C$40,Assumptions!$C71,'TRA balance'!$D$5:$D$40,Assumptions!$B71)*DB71*K71,"")</f>
        <v>4.277875292928</v>
      </c>
      <c r="BH71" s="34">
        <f ca="1">IFERROR(SUMIFS('TRA balance'!I$5:I$40,'TRA balance'!$C$5:$C$40,Assumptions!$C71,'TRA balance'!$D$5:$D$40,Assumptions!$B71)*DC71*L71,"")</f>
        <v>0.8708346383040001</v>
      </c>
      <c r="BI71" s="34">
        <f ca="1">IFERROR(SUMIFS('TRA balance'!J$5:J$40,'TRA balance'!$C$5:$C$40,Assumptions!$C71,'TRA balance'!$D$5:$D$40,Assumptions!$B71)*DD71*M71,"")</f>
        <v>8.8631779314240013</v>
      </c>
      <c r="BJ71" s="34">
        <f ca="1">IFERROR(SUMIFS('TRA balance'!K$5:K$40,'TRA balance'!$C$5:$C$40,Assumptions!$C71,'TRA balance'!$D$5:$D$40,Assumptions!$B71)*DE71*N71,"")</f>
        <v>181.63734887880719</v>
      </c>
      <c r="BK71" s="34">
        <f ca="1">IFERROR(SUMIFS('TRA balance'!L$5:L$40,'TRA balance'!$C$5:$C$40,Assumptions!$C71,'TRA balance'!$D$5:$D$40,Assumptions!$B71)*DF71*O71,"")</f>
        <v>6.8227201011600007</v>
      </c>
      <c r="BL71" s="34">
        <f ca="1">IFERROR(SUMIFS('TRA balance'!M$5:M$40,'TRA balance'!$C$5:$C$40,Assumptions!$C71,'TRA balance'!$D$5:$D$40,Assumptions!$B71)*DG71*P71,"")</f>
        <v>1.27665915264</v>
      </c>
      <c r="BM71" s="34">
        <f ca="1">IFERROR(SUMIFS('TRA balance'!N$5:N$40,'TRA balance'!$C$5:$C$40,Assumptions!$C71,'TRA balance'!$D$5:$D$40,Assumptions!$B71)*DH71*Q71,"")</f>
        <v>3.3459699801600005</v>
      </c>
      <c r="BN71" s="34">
        <f ca="1">IFERROR(SUMIFS('TRA balance'!O$5:O$40,'TRA balance'!$C$5:$C$40,Assumptions!$C71,'TRA balance'!$D$5:$D$40,Assumptions!$B71)*DI71*R71,"")</f>
        <v>25.368781484448004</v>
      </c>
      <c r="BO71" s="34">
        <f ca="1">IFERROR(SUMIFS('TRA balance'!P$5:P$40,'TRA balance'!$C$5:$C$40,Assumptions!$C71,'TRA balance'!$D$5:$D$40,Assumptions!$B71)*DJ71*S71,"")</f>
        <v>18.982533524832</v>
      </c>
      <c r="BP71" s="34">
        <f ca="1">IFERROR(SUMIFS('TRA balance'!Q$5:Q$40,'TRA balance'!$C$5:$C$40,Assumptions!$C71,'TRA balance'!$D$5:$D$40,Assumptions!$B71)*DK71*T71,"")</f>
        <v>1.7197759969920001</v>
      </c>
      <c r="BQ71" s="34">
        <f ca="1">IFERROR(SUMIFS('TRA balance'!R$5:R$40,'TRA balance'!$C$5:$C$40,Assumptions!$C71,'TRA balance'!$D$5:$D$40,Assumptions!$B71)*DL71*U71,"")</f>
        <v>5.1823280930400006</v>
      </c>
      <c r="BR71" s="34">
        <f ca="1">IFERROR(SUMIFS('TRA balance'!S$5:S$40,'TRA balance'!$C$5:$C$40,Assumptions!$C71,'TRA balance'!$D$5:$D$40,Assumptions!$B71)*DM71*V71,"")</f>
        <v>0.15574393584000001</v>
      </c>
      <c r="BS71" s="34">
        <f ca="1">IFERROR(SUMIFS('TRA balance'!T$5:T$40,'TRA balance'!$C$5:$C$40,Assumptions!$C71,'TRA balance'!$D$5:$D$40,Assumptions!$B71)*DN71*W71,"")</f>
        <v>0.24554074751999999</v>
      </c>
      <c r="BT71" s="34">
        <f ca="1">IFERROR(SUMIFS('TRA balance'!U$5:U$40,'TRA balance'!$C$5:$C$40,Assumptions!$C71,'TRA balance'!$D$5:$D$40,Assumptions!$B71)*DO71*X71,"")</f>
        <v>1.62763692192</v>
      </c>
      <c r="BU71" s="34">
        <f ca="1">IFERROR(SUMIFS('TRA balance'!V$5:V$40,'TRA balance'!$C$5:$C$40,Assumptions!$C71,'TRA balance'!$D$5:$D$40,Assumptions!$B71)*DP71*Y71,"")</f>
        <v>12.626227549152</v>
      </c>
      <c r="BV71" s="34">
        <f ca="1">IFERROR(SUMIFS('TRA balance'!W$5:W$40,'TRA balance'!$C$5:$C$40,Assumptions!$C71,'TRA balance'!$D$5:$D$40,Assumptions!$B71)*DQ71*Z71,"")</f>
        <v>0.14798537676000001</v>
      </c>
      <c r="BW71" s="34">
        <f ca="1">IFERROR(SUMIFS('TRA balance'!X$5:X$40,'TRA balance'!$C$5:$C$40,Assumptions!$C71,'TRA balance'!$D$5:$D$40,Assumptions!$B71)*DR71*AA71,"")</f>
        <v>20.719524391570797</v>
      </c>
      <c r="BX71" s="34">
        <f ca="1">IFERROR(SUMIFS('TRA balance'!Y$5:Y$40,'TRA balance'!$C$5:$C$40,Assumptions!$C71,'TRA balance'!$D$5:$D$40,Assumptions!$B71)*DS71*AB71,"")</f>
        <v>0</v>
      </c>
      <c r="BY71" s="34">
        <f ca="1">IFERROR(SUMIFS('TRA balance'!Z$5:Z$40,'TRA balance'!$C$5:$C$40,Assumptions!$C71,'TRA balance'!$D$5:$D$40,Assumptions!$B71)*DT71*AC71,"")</f>
        <v>21.918014491630782</v>
      </c>
      <c r="BZ71" s="34">
        <f ca="1">IFERROR(SUMIFS('TRA balance'!AA$5:AA$40,'TRA balance'!$C$5:$C$40,Assumptions!$C71,'TRA balance'!$D$5:$D$40,Assumptions!$B71)*DU71*AD71,"")</f>
        <v>4.2102058867200007</v>
      </c>
      <c r="CA71" s="34">
        <f ca="1">IFERROR(SUMIFS('TRA balance'!AB$5:AB$40,'TRA balance'!$C$5:$C$40,Assumptions!$C71,'TRA balance'!$D$5:$D$40,Assumptions!$B71)*DV71*AE71,"")</f>
        <v>7.0152815001600004</v>
      </c>
      <c r="CB71" s="34">
        <f ca="1">IFERROR(SUMIFS('TRA balance'!AC$5:AC$40,'TRA balance'!$C$5:$C$40,Assumptions!$C71,'TRA balance'!$D$5:$D$40,Assumptions!$B71)*DW71*AF71,"")</f>
        <v>65.564856089712009</v>
      </c>
      <c r="CC71" s="34">
        <f ca="1">IFERROR(SUMIFS('TRA balance'!AD$5:AD$40,'TRA balance'!$C$5:$C$40,Assumptions!$C71,'TRA balance'!$D$5:$D$40,Assumptions!$B71)*DX71*AG71,"")</f>
        <v>1.3680075924E-2</v>
      </c>
      <c r="CD71" s="34">
        <f ca="1">IFERROR(SUMIFS('TRA balance'!AE$5:AE$40,'TRA balance'!$C$5:$C$40,Assumptions!$C71,'TRA balance'!$D$5:$D$40,Assumptions!$B71)*DY71*AH71,"")</f>
        <v>0</v>
      </c>
      <c r="CE71" s="34">
        <f ca="1">IFERROR(SUMIFS('TRA balance'!AF$5:AF$40,'TRA balance'!$C$5:$C$40,Assumptions!$C71,'TRA balance'!$D$5:$D$40,Assumptions!$B71)*DZ71*AI71,"")</f>
        <v>0</v>
      </c>
      <c r="CF71" s="34">
        <f ca="1">IFERROR(SUMIFS('TRA balance'!AG$5:AG$40,'TRA balance'!$C$5:$C$40,Assumptions!$C71,'TRA balance'!$D$5:$D$40,Assumptions!$B71)*EA71*AJ71,"")</f>
        <v>17.660321318304003</v>
      </c>
      <c r="CG71" s="34">
        <f ca="1">IFERROR(SUMIFS('TRA balance'!AH$5:AH$40,'TRA balance'!$C$5:$C$40,Assumptions!$C71,'TRA balance'!$D$5:$D$40,Assumptions!$B71)*EB71*AK71,"")</f>
        <v>17.199611875296</v>
      </c>
      <c r="CH71" s="34">
        <f ca="1">IFERROR(SUMIFS('TRA balance'!AI$5:AI$40,'TRA balance'!$C$5:$C$40,Assumptions!$C71,'TRA balance'!$D$5:$D$40,Assumptions!$B71)*EC71*AL71,"")</f>
        <v>1.5055799788800002</v>
      </c>
      <c r="CI71" s="34">
        <f ca="1">IFERROR(SUMIFS('TRA balance'!AJ$5:AJ$40,'TRA balance'!$C$5:$C$40,Assumptions!$C71,'TRA balance'!$D$5:$D$40,Assumptions!$B71)*ED71*AM71,"")</f>
        <v>1.0753875349199999</v>
      </c>
      <c r="CJ71" s="34">
        <f ca="1">IFERROR(SUMIFS('TRA balance'!AK$5:AK$40,'TRA balance'!$C$5:$C$40,Assumptions!$C71,'TRA balance'!$D$5:$D$40,Assumptions!$B71)*EE71*AN71,"")</f>
        <v>12.692544451488002</v>
      </c>
      <c r="CK71" s="34">
        <f ca="1">IFERROR(SUMIFS('TRA balance'!AL$5:AL$40,'TRA balance'!$C$5:$C$40,Assumptions!$C71,'TRA balance'!$D$5:$D$40,Assumptions!$B71)*EF71*AO71,"")</f>
        <v>0</v>
      </c>
      <c r="CL71" s="34">
        <f ca="1">IFERROR(SUMIFS('TRA balance'!AM$5:AM$40,'TRA balance'!$C$5:$C$40,Assumptions!$C71,'TRA balance'!$D$5:$D$40,Assumptions!$B71)*EG71*AP71,"")</f>
        <v>1.00705184136</v>
      </c>
      <c r="CM71" s="34">
        <f ca="1">IFERROR(SUMIFS('TRA balance'!AN$5:AN$40,'TRA balance'!$C$5:$C$40,Assumptions!$C71,'TRA balance'!$D$5:$D$40,Assumptions!$B71)*EH71*AQ71,"")</f>
        <v>0</v>
      </c>
      <c r="CN71" s="34">
        <f ca="1">IFERROR(SUMIFS('TRA balance'!AO$5:AO$40,'TRA balance'!$C$5:$C$40,Assumptions!$C71,'TRA balance'!$D$5:$D$40,Assumptions!$B71)*EI71*AR71,"")</f>
        <v>0</v>
      </c>
      <c r="CO71" s="34">
        <f ca="1">IFERROR(SUMIFS('TRA balance'!AP$5:AP$40,'TRA balance'!$C$5:$C$40,Assumptions!$C71,'TRA balance'!$D$5:$D$40,Assumptions!$B71)*EJ71*AS71,"")</f>
        <v>0</v>
      </c>
      <c r="CP71" s="34">
        <f ca="1">IFERROR(SUMIFS('TRA balance'!AQ$5:AQ$40,'TRA balance'!$C$5:$C$40,Assumptions!$C71,'TRA balance'!$D$5:$D$40,Assumptions!$B71)*EK71*AT71,"")</f>
        <v>0</v>
      </c>
      <c r="CQ71" s="34">
        <f ca="1">IFERROR(SUMIFS('TRA balance'!AR$5:AR$40,'TRA balance'!$C$5:$C$40,Assumptions!$C71,'TRA balance'!$D$5:$D$40,Assumptions!$B71)*EL71*AU71,"")</f>
        <v>0</v>
      </c>
      <c r="CR71" s="34">
        <f ca="1">IFERROR(SUMIFS('TRA balance'!AS$5:AS$40,'TRA balance'!$C$5:$C$40,Assumptions!$C71,'TRA balance'!$D$5:$D$40,Assumptions!$B71)*EM71*AV71,"")</f>
        <v>0</v>
      </c>
      <c r="CS71" s="34">
        <f ca="1">IFERROR(SUMIFS('TRA balance'!AT$5:AT$40,'TRA balance'!$C$5:$C$40,Assumptions!$C71,'TRA balance'!$D$5:$D$40,Assumptions!$B71)*EN71*AW71,"")</f>
        <v>0</v>
      </c>
      <c r="CT71" s="34">
        <f ca="1">IFERROR(SUMIFS('TRA balance'!AU$5:AU$40,'TRA balance'!$C$5:$C$40,Assumptions!$C71,'TRA balance'!$D$5:$D$40,Assumptions!$B71)*EO71*AX71,"")</f>
        <v>0</v>
      </c>
      <c r="CU71" s="34">
        <f ca="1">IFERROR(SUMIFS('TRA balance'!AV$5:AV$40,'TRA balance'!$C$5:$C$40,Assumptions!$C71,'TRA balance'!$D$5:$D$40,Assumptions!$B71)*EP71*AY71,"")</f>
        <v>0</v>
      </c>
      <c r="CV71" s="34">
        <f ca="1">IFERROR(SUMIFS('TRA balance'!AW$5:AW$40,'TRA balance'!$C$5:$C$40,Assumptions!$C71,'TRA balance'!$D$5:$D$40,Assumptions!$B71)*EQ71*AZ71,"")</f>
        <v>0</v>
      </c>
      <c r="CW71" s="34">
        <f ca="1">IFERROR(SUMIFS('TRA balance'!AX$5:AX$40,'TRA balance'!$C$5:$C$40,Assumptions!$C71,'TRA balance'!$D$5:$D$40,Assumptions!$B71)*ER71*BA71,"")</f>
        <v>0</v>
      </c>
      <c r="CY71" s="33">
        <f t="shared" ca="1" si="86"/>
        <v>0.9</v>
      </c>
      <c r="CZ71" s="33">
        <f t="shared" ca="1" si="87"/>
        <v>0.9</v>
      </c>
      <c r="DA71" s="33">
        <f t="shared" ca="1" si="88"/>
        <v>0.98</v>
      </c>
      <c r="DB71" s="33">
        <f t="shared" ca="1" si="89"/>
        <v>0.8</v>
      </c>
      <c r="DC71" s="33">
        <f t="shared" ca="1" si="90"/>
        <v>0.95</v>
      </c>
      <c r="DD71" s="33">
        <f t="shared" ca="1" si="91"/>
        <v>0.8</v>
      </c>
      <c r="DE71" s="33">
        <f t="shared" ca="1" si="92"/>
        <v>0.92999999999999994</v>
      </c>
      <c r="DF71" s="33">
        <f t="shared" ca="1" si="93"/>
        <v>0.9</v>
      </c>
      <c r="DG71" s="33">
        <f t="shared" ca="1" si="94"/>
        <v>0.8</v>
      </c>
      <c r="DH71" s="33">
        <f t="shared" ca="1" si="95"/>
        <v>0.8</v>
      </c>
      <c r="DI71" s="33">
        <f t="shared" ca="1" si="96"/>
        <v>0.8</v>
      </c>
      <c r="DJ71" s="33">
        <f t="shared" ca="1" si="97"/>
        <v>0.8</v>
      </c>
      <c r="DK71" s="33">
        <f t="shared" ca="1" si="98"/>
        <v>0.8</v>
      </c>
      <c r="DL71" s="33">
        <f t="shared" ca="1" si="99"/>
        <v>0.8</v>
      </c>
      <c r="DM71" s="33">
        <f t="shared" ca="1" si="100"/>
        <v>0.8</v>
      </c>
      <c r="DN71" s="33">
        <f t="shared" ca="1" si="101"/>
        <v>0.75</v>
      </c>
      <c r="DO71" s="33">
        <f t="shared" ca="1" si="102"/>
        <v>0.8</v>
      </c>
      <c r="DP71" s="33">
        <f t="shared" ca="1" si="103"/>
        <v>0.8</v>
      </c>
      <c r="DQ71" s="33">
        <f t="shared" ca="1" si="104"/>
        <v>0.95</v>
      </c>
      <c r="DR71" s="33">
        <f t="shared" ca="1" si="105"/>
        <v>0.92999999999999994</v>
      </c>
      <c r="DS71" s="33">
        <f t="shared" ca="1" si="106"/>
        <v>0.9</v>
      </c>
      <c r="DT71" s="33">
        <f t="shared" ca="1" si="107"/>
        <v>0.97559357817738346</v>
      </c>
      <c r="DU71" s="33">
        <f t="shared" ca="1" si="108"/>
        <v>0.8</v>
      </c>
      <c r="DV71" s="33">
        <f t="shared" ca="1" si="109"/>
        <v>0.8</v>
      </c>
      <c r="DW71" s="33">
        <f t="shared" ca="1" si="110"/>
        <v>0.92</v>
      </c>
      <c r="DX71" s="33">
        <f t="shared" ca="1" si="111"/>
        <v>0.95</v>
      </c>
      <c r="DY71" s="33">
        <f t="shared" ca="1" si="112"/>
        <v>0.9</v>
      </c>
      <c r="DZ71" s="33">
        <f t="shared" ca="1" si="113"/>
        <v>0.9</v>
      </c>
      <c r="EA71" s="33">
        <f t="shared" ca="1" si="114"/>
        <v>0.8</v>
      </c>
      <c r="EB71" s="33">
        <f t="shared" ca="1" si="115"/>
        <v>0.8</v>
      </c>
      <c r="EC71" s="33">
        <f t="shared" ca="1" si="116"/>
        <v>0.8</v>
      </c>
      <c r="ED71" s="33">
        <f t="shared" ca="1" si="117"/>
        <v>0.9</v>
      </c>
      <c r="EE71" s="33">
        <f t="shared" ca="1" si="118"/>
        <v>0.8</v>
      </c>
      <c r="EF71" s="33">
        <f t="shared" ca="1" si="119"/>
        <v>0.95</v>
      </c>
      <c r="EG71" s="33">
        <f t="shared" ca="1" si="120"/>
        <v>0.8</v>
      </c>
      <c r="EH71" s="33">
        <f t="shared" ca="1" si="121"/>
        <v>0.97559357817738346</v>
      </c>
      <c r="EI71" s="33">
        <f t="shared" ca="1" si="122"/>
        <v>0.97559357817738346</v>
      </c>
      <c r="EJ71" s="33">
        <f t="shared" ca="1" si="123"/>
        <v>0.97559357817738346</v>
      </c>
      <c r="EK71" s="33">
        <f t="shared" ca="1" si="124"/>
        <v>0.97559357817738346</v>
      </c>
      <c r="EL71" s="33">
        <f t="shared" ca="1" si="125"/>
        <v>0.97559357817738346</v>
      </c>
      <c r="EM71" s="33">
        <f t="shared" ca="1" si="126"/>
        <v>0.97559357817738346</v>
      </c>
      <c r="EN71" s="33">
        <f t="shared" ca="1" si="127"/>
        <v>0.97559357817738346</v>
      </c>
      <c r="EO71" s="33">
        <f t="shared" ca="1" si="128"/>
        <v>0.97559357817738346</v>
      </c>
      <c r="EP71" s="33">
        <f t="shared" ca="1" si="129"/>
        <v>0.97559357817738346</v>
      </c>
      <c r="EQ71" s="33">
        <f t="shared" ca="1" si="130"/>
        <v>0.97559357817738346</v>
      </c>
      <c r="ER71" s="33">
        <f t="shared" ca="1" si="131"/>
        <v>0.97559357817738346</v>
      </c>
    </row>
    <row r="72" spans="1:148">
      <c r="A72">
        <v>2</v>
      </c>
      <c r="B72" t="str">
        <f>VLOOKUP(F72,'TRA balance'!$BA$5:$BB$14,2,FALSE)</f>
        <v>TRABDS</v>
      </c>
      <c r="C72" s="6" t="str">
        <f t="shared" si="133"/>
        <v>TR</v>
      </c>
      <c r="D72" s="7" t="s">
        <v>16</v>
      </c>
      <c r="E72" s="18" t="s">
        <v>77</v>
      </c>
      <c r="F72" s="8" t="str">
        <f t="shared" si="134"/>
        <v>Bio Diesel</v>
      </c>
      <c r="G72" s="6" t="s">
        <v>78</v>
      </c>
      <c r="H72" s="9">
        <f ca="1">OFFSET(TIAM15_assumptions!$G72,0,MATCH(VLOOKUP(Assumptions!H$2,TIAM15_assumptions!$Y$3:$Z$87,2,FALSE),TIAM15_assumptions!$H$2:$V$2,0))</f>
        <v>0.2</v>
      </c>
      <c r="I72" s="9">
        <f ca="1">OFFSET(TIAM15_assumptions!$G72,0,MATCH(VLOOKUP(Assumptions!I$2,TIAM15_assumptions!$Y$3:$Z$87,2,FALSE),TIAM15_assumptions!$H$2:$V$2,0))</f>
        <v>0.2</v>
      </c>
      <c r="J72" s="9">
        <f ca="1">OFFSET(TIAM15_assumptions!$G72,0,MATCH(VLOOKUP(Assumptions!J$2,TIAM15_assumptions!$Y$3:$Z$87,2,FALSE),TIAM15_assumptions!$H$2:$V$2,0))</f>
        <v>0.2</v>
      </c>
      <c r="K72" s="9">
        <f ca="1">OFFSET(TIAM15_assumptions!$G72,0,MATCH(VLOOKUP(Assumptions!K$2,TIAM15_assumptions!$Y$3:$Z$87,2,FALSE),TIAM15_assumptions!$H$2:$V$2,0))</f>
        <v>0.15</v>
      </c>
      <c r="L72" s="9">
        <f ca="1">OFFSET(TIAM15_assumptions!$G72,0,MATCH(VLOOKUP(Assumptions!L$2,TIAM15_assumptions!$Y$3:$Z$87,2,FALSE),TIAM15_assumptions!$H$2:$V$2,0))</f>
        <v>0.1</v>
      </c>
      <c r="M72" s="9">
        <f ca="1">OFFSET(TIAM15_assumptions!$G72,0,MATCH(VLOOKUP(Assumptions!M$2,TIAM15_assumptions!$Y$3:$Z$87,2,FALSE),TIAM15_assumptions!$H$2:$V$2,0))</f>
        <v>0.15</v>
      </c>
      <c r="N72" s="9">
        <f ca="1">OFFSET(TIAM15_assumptions!$G72,0,MATCH(VLOOKUP(Assumptions!N$2,TIAM15_assumptions!$Y$3:$Z$87,2,FALSE),TIAM15_assumptions!$H$2:$V$2,0))</f>
        <v>0.1</v>
      </c>
      <c r="O72" s="9">
        <f ca="1">OFFSET(TIAM15_assumptions!$G72,0,MATCH(VLOOKUP(Assumptions!O$2,TIAM15_assumptions!$Y$3:$Z$87,2,FALSE),TIAM15_assumptions!$H$2:$V$2,0))</f>
        <v>0.1</v>
      </c>
      <c r="P72" s="9">
        <f ca="1">OFFSET(TIAM15_assumptions!$G72,0,MATCH(VLOOKUP(Assumptions!P$2,TIAM15_assumptions!$Y$3:$Z$87,2,FALSE),TIAM15_assumptions!$H$2:$V$2,0))</f>
        <v>0.15</v>
      </c>
      <c r="Q72" s="9">
        <f ca="1">OFFSET(TIAM15_assumptions!$G72,0,MATCH(VLOOKUP(Assumptions!Q$2,TIAM15_assumptions!$Y$3:$Z$87,2,FALSE),TIAM15_assumptions!$H$2:$V$2,0))</f>
        <v>0.15</v>
      </c>
      <c r="R72" s="9">
        <f ca="1">OFFSET(TIAM15_assumptions!$G72,0,MATCH(VLOOKUP(Assumptions!R$2,TIAM15_assumptions!$Y$3:$Z$87,2,FALSE),TIAM15_assumptions!$H$2:$V$2,0))</f>
        <v>0.15</v>
      </c>
      <c r="S72" s="9">
        <f ca="1">OFFSET(TIAM15_assumptions!$G72,0,MATCH(VLOOKUP(Assumptions!S$2,TIAM15_assumptions!$Y$3:$Z$87,2,FALSE),TIAM15_assumptions!$H$2:$V$2,0))</f>
        <v>0.15</v>
      </c>
      <c r="T72" s="9">
        <f ca="1">OFFSET(TIAM15_assumptions!$G72,0,MATCH(VLOOKUP(Assumptions!T$2,TIAM15_assumptions!$Y$3:$Z$87,2,FALSE),TIAM15_assumptions!$H$2:$V$2,0))</f>
        <v>0.15</v>
      </c>
      <c r="U72" s="9">
        <f ca="1">OFFSET(TIAM15_assumptions!$G72,0,MATCH(VLOOKUP(Assumptions!U$2,TIAM15_assumptions!$Y$3:$Z$87,2,FALSE),TIAM15_assumptions!$H$2:$V$2,0))</f>
        <v>0.15</v>
      </c>
      <c r="V72" s="9">
        <f ca="1">OFFSET(TIAM15_assumptions!$G72,0,MATCH(VLOOKUP(Assumptions!V$2,TIAM15_assumptions!$Y$3:$Z$87,2,FALSE),TIAM15_assumptions!$H$2:$V$2,0))</f>
        <v>0.15</v>
      </c>
      <c r="W72" s="9">
        <f ca="1">OFFSET(TIAM15_assumptions!$G72,0,MATCH(VLOOKUP(Assumptions!W$2,TIAM15_assumptions!$Y$3:$Z$87,2,FALSE),TIAM15_assumptions!$H$2:$V$2,0))</f>
        <v>0.25</v>
      </c>
      <c r="X72" s="9">
        <f ca="1">OFFSET(TIAM15_assumptions!$G72,0,MATCH(VLOOKUP(Assumptions!X$2,TIAM15_assumptions!$Y$3:$Z$87,2,FALSE),TIAM15_assumptions!$H$2:$V$2,0))</f>
        <v>0.15</v>
      </c>
      <c r="Y72" s="9">
        <f ca="1">OFFSET(TIAM15_assumptions!$G72,0,MATCH(VLOOKUP(Assumptions!Y$2,TIAM15_assumptions!$Y$3:$Z$87,2,FALSE),TIAM15_assumptions!$H$2:$V$2,0))</f>
        <v>0.15</v>
      </c>
      <c r="Z72" s="9">
        <f ca="1">OFFSET(TIAM15_assumptions!$G72,0,MATCH(VLOOKUP(Assumptions!Z$2,TIAM15_assumptions!$Y$3:$Z$87,2,FALSE),TIAM15_assumptions!$H$2:$V$2,0))</f>
        <v>0.15</v>
      </c>
      <c r="AA72" s="9">
        <f ca="1">OFFSET(TIAM15_assumptions!$G72,0,MATCH(VLOOKUP(Assumptions!AA$2,TIAM15_assumptions!$Y$3:$Z$87,2,FALSE),TIAM15_assumptions!$H$2:$V$2,0))</f>
        <v>0.1</v>
      </c>
      <c r="AB72" s="9">
        <f ca="1">OFFSET(TIAM15_assumptions!$G72,0,MATCH(VLOOKUP(Assumptions!AB$2,TIAM15_assumptions!$Y$3:$Z$87,2,FALSE),TIAM15_assumptions!$H$2:$V$2,0))</f>
        <v>0.15</v>
      </c>
      <c r="AC72" s="9">
        <f ca="1">OFFSET(TIAM15_assumptions!$G72,0,MATCH(VLOOKUP(Assumptions!AC$2,TIAM15_assumptions!$Y$3:$Z$87,2,FALSE),TIAM15_assumptions!$H$2:$V$2,0))</f>
        <v>0.05</v>
      </c>
      <c r="AD72" s="9">
        <f ca="1">OFFSET(TIAM15_assumptions!$G72,0,MATCH(VLOOKUP(Assumptions!AD$2,TIAM15_assumptions!$Y$3:$Z$87,2,FALSE),TIAM15_assumptions!$H$2:$V$2,0))</f>
        <v>0.15</v>
      </c>
      <c r="AE72" s="9">
        <f ca="1">OFFSET(TIAM15_assumptions!$G72,0,MATCH(VLOOKUP(Assumptions!AE$2,TIAM15_assumptions!$Y$3:$Z$87,2,FALSE),TIAM15_assumptions!$H$2:$V$2,0))</f>
        <v>0.15</v>
      </c>
      <c r="AF72" s="9">
        <f ca="1">OFFSET(TIAM15_assumptions!$G72,0,MATCH(VLOOKUP(Assumptions!AF$2,TIAM15_assumptions!$Y$3:$Z$87,2,FALSE),TIAM15_assumptions!$H$2:$V$2,0))</f>
        <v>0.1</v>
      </c>
      <c r="AG72" s="9">
        <f ca="1">OFFSET(TIAM15_assumptions!$G72,0,MATCH(VLOOKUP(Assumptions!AG$2,TIAM15_assumptions!$Y$3:$Z$87,2,FALSE),TIAM15_assumptions!$H$2:$V$2,0))</f>
        <v>0.1</v>
      </c>
      <c r="AH72" s="9">
        <f ca="1">OFFSET(TIAM15_assumptions!$G72,0,MATCH(VLOOKUP(Assumptions!AH$2,TIAM15_assumptions!$Y$3:$Z$87,2,FALSE),TIAM15_assumptions!$H$2:$V$2,0))</f>
        <v>0.15</v>
      </c>
      <c r="AI72" s="9">
        <f ca="1">OFFSET(TIAM15_assumptions!$G72,0,MATCH(VLOOKUP(Assumptions!AI$2,TIAM15_assumptions!$Y$3:$Z$87,2,FALSE),TIAM15_assumptions!$H$2:$V$2,0))</f>
        <v>0.2</v>
      </c>
      <c r="AJ72" s="9">
        <f ca="1">OFFSET(TIAM15_assumptions!$G72,0,MATCH(VLOOKUP(Assumptions!AJ$2,TIAM15_assumptions!$Y$3:$Z$87,2,FALSE),TIAM15_assumptions!$H$2:$V$2,0))</f>
        <v>0.15</v>
      </c>
      <c r="AK72" s="9">
        <f ca="1">OFFSET(TIAM15_assumptions!$G72,0,MATCH(VLOOKUP(Assumptions!AK$2,TIAM15_assumptions!$Y$3:$Z$87,2,FALSE),TIAM15_assumptions!$H$2:$V$2,0))</f>
        <v>0.15</v>
      </c>
      <c r="AL72" s="9">
        <f ca="1">OFFSET(TIAM15_assumptions!$G72,0,MATCH(VLOOKUP(Assumptions!AL$2,TIAM15_assumptions!$Y$3:$Z$87,2,FALSE),TIAM15_assumptions!$H$2:$V$2,0))</f>
        <v>0.15</v>
      </c>
      <c r="AM72" s="9">
        <f ca="1">OFFSET(TIAM15_assumptions!$G72,0,MATCH(VLOOKUP(Assumptions!AM$2,TIAM15_assumptions!$Y$3:$Z$87,2,FALSE),TIAM15_assumptions!$H$2:$V$2,0))</f>
        <v>0.15</v>
      </c>
      <c r="AN72" s="9">
        <f ca="1">OFFSET(TIAM15_assumptions!$G72,0,MATCH(VLOOKUP(Assumptions!AN$2,TIAM15_assumptions!$Y$3:$Z$87,2,FALSE),TIAM15_assumptions!$H$2:$V$2,0))</f>
        <v>0.15</v>
      </c>
      <c r="AO72" s="9">
        <f ca="1">OFFSET(TIAM15_assumptions!$G72,0,MATCH(VLOOKUP(Assumptions!AO$2,TIAM15_assumptions!$Y$3:$Z$87,2,FALSE),TIAM15_assumptions!$H$2:$V$2,0))</f>
        <v>0.1</v>
      </c>
      <c r="AP72" s="9">
        <f ca="1">OFFSET(TIAM15_assumptions!$G72,0,MATCH(VLOOKUP(Assumptions!AP$2,TIAM15_assumptions!$Y$3:$Z$87,2,FALSE),TIAM15_assumptions!$H$2:$V$2,0))</f>
        <v>0.15</v>
      </c>
      <c r="AQ72" s="9">
        <f ca="1">OFFSET(TIAM15_assumptions!$G72,0,MATCH(VLOOKUP(Assumptions!AQ$2,TIAM15_assumptions!$Y$3:$Z$87,2,FALSE),TIAM15_assumptions!$H$2:$V$2,0))</f>
        <v>0.05</v>
      </c>
      <c r="AR72" s="9">
        <f ca="1">OFFSET(TIAM15_assumptions!$G72,0,MATCH(VLOOKUP(Assumptions!AR$2,TIAM15_assumptions!$Y$3:$Z$87,2,FALSE),TIAM15_assumptions!$H$2:$V$2,0))</f>
        <v>0.05</v>
      </c>
      <c r="AS72" s="9">
        <f ca="1">OFFSET(TIAM15_assumptions!$G72,0,MATCH(VLOOKUP(Assumptions!AS$2,TIAM15_assumptions!$Y$3:$Z$87,2,FALSE),TIAM15_assumptions!$H$2:$V$2,0))</f>
        <v>0.05</v>
      </c>
      <c r="AT72" s="9">
        <f ca="1">OFFSET(TIAM15_assumptions!$G72,0,MATCH(VLOOKUP(Assumptions!AT$2,TIAM15_assumptions!$Y$3:$Z$87,2,FALSE),TIAM15_assumptions!$H$2:$V$2,0))</f>
        <v>0.05</v>
      </c>
      <c r="AU72" s="9">
        <f ca="1">OFFSET(TIAM15_assumptions!$G72,0,MATCH(VLOOKUP(Assumptions!AU$2,TIAM15_assumptions!$Y$3:$Z$87,2,FALSE),TIAM15_assumptions!$H$2:$V$2,0))</f>
        <v>0.05</v>
      </c>
      <c r="AV72" s="9">
        <f ca="1">OFFSET(TIAM15_assumptions!$G72,0,MATCH(VLOOKUP(Assumptions!AV$2,TIAM15_assumptions!$Y$3:$Z$87,2,FALSE),TIAM15_assumptions!$H$2:$V$2,0))</f>
        <v>0.05</v>
      </c>
      <c r="AW72" s="9">
        <f ca="1">OFFSET(TIAM15_assumptions!$G72,0,MATCH(VLOOKUP(Assumptions!AW$2,TIAM15_assumptions!$Y$3:$Z$87,2,FALSE),TIAM15_assumptions!$H$2:$V$2,0))</f>
        <v>0.05</v>
      </c>
      <c r="AX72" s="9">
        <f ca="1">OFFSET(TIAM15_assumptions!$G72,0,MATCH(VLOOKUP(Assumptions!AX$2,TIAM15_assumptions!$Y$3:$Z$87,2,FALSE),TIAM15_assumptions!$H$2:$V$2,0))</f>
        <v>0.05</v>
      </c>
      <c r="AY72" s="9">
        <f ca="1">OFFSET(TIAM15_assumptions!$G72,0,MATCH(VLOOKUP(Assumptions!AY$2,TIAM15_assumptions!$Y$3:$Z$87,2,FALSE),TIAM15_assumptions!$H$2:$V$2,0))</f>
        <v>0.05</v>
      </c>
      <c r="AZ72" s="9">
        <f ca="1">OFFSET(TIAM15_assumptions!$G72,0,MATCH(VLOOKUP(Assumptions!AZ$2,TIAM15_assumptions!$Y$3:$Z$87,2,FALSE),TIAM15_assumptions!$H$2:$V$2,0))</f>
        <v>0.05</v>
      </c>
      <c r="BA72" s="9">
        <f ca="1">OFFSET(TIAM15_assumptions!$G72,0,MATCH(VLOOKUP(Assumptions!BA$2,TIAM15_assumptions!$Y$3:$Z$87,2,FALSE),TIAM15_assumptions!$H$2:$V$2,0))</f>
        <v>0.05</v>
      </c>
      <c r="BD72" s="34">
        <f ca="1">IFERROR(SUMIFS('TRA balance'!E$5:E$40,'TRA balance'!$C$5:$C$40,Assumptions!$C72,'TRA balance'!$D$5:$D$40,Assumptions!$B72)*CY72*H72,"")</f>
        <v>0</v>
      </c>
      <c r="BE72" s="34">
        <f ca="1">IFERROR(SUMIFS('TRA balance'!F$5:F$40,'TRA balance'!$C$5:$C$40,Assumptions!$C72,'TRA balance'!$D$5:$D$40,Assumptions!$B72)*CZ72*I72,"")</f>
        <v>0</v>
      </c>
      <c r="BF72" s="34">
        <f ca="1">IFERROR(SUMIFS('TRA balance'!G$5:G$40,'TRA balance'!$C$5:$C$40,Assumptions!$C72,'TRA balance'!$D$5:$D$40,Assumptions!$B72)*DA72*J72,"")</f>
        <v>7.2131865120000005E-3</v>
      </c>
      <c r="BG72" s="34">
        <f ca="1">IFERROR(SUMIFS('TRA balance'!H$5:H$40,'TRA balance'!$C$5:$C$40,Assumptions!$C72,'TRA balance'!$D$5:$D$40,Assumptions!$B72)*DB72*K72,"")</f>
        <v>2.138937646464</v>
      </c>
      <c r="BH72" s="34">
        <f ca="1">IFERROR(SUMIFS('TRA balance'!I$5:I$40,'TRA balance'!$C$5:$C$40,Assumptions!$C72,'TRA balance'!$D$5:$D$40,Assumptions!$B72)*DC72*L72,"")</f>
        <v>0.43541731915200005</v>
      </c>
      <c r="BI72" s="34">
        <f ca="1">IFERROR(SUMIFS('TRA balance'!J$5:J$40,'TRA balance'!$C$5:$C$40,Assumptions!$C72,'TRA balance'!$D$5:$D$40,Assumptions!$B72)*DD72*M72,"")</f>
        <v>4.4315889657120007</v>
      </c>
      <c r="BJ72" s="34">
        <f ca="1">IFERROR(SUMIFS('TRA balance'!K$5:K$40,'TRA balance'!$C$5:$C$40,Assumptions!$C72,'TRA balance'!$D$5:$D$40,Assumptions!$B72)*DE72*N72,"")</f>
        <v>60.545782959602406</v>
      </c>
      <c r="BK72" s="34">
        <f ca="1">IFERROR(SUMIFS('TRA balance'!L$5:L$40,'TRA balance'!$C$5:$C$40,Assumptions!$C72,'TRA balance'!$D$5:$D$40,Assumptions!$B72)*DF72*O72,"")</f>
        <v>3.4113600505800004</v>
      </c>
      <c r="BL72" s="34">
        <f ca="1">IFERROR(SUMIFS('TRA balance'!M$5:M$40,'TRA balance'!$C$5:$C$40,Assumptions!$C72,'TRA balance'!$D$5:$D$40,Assumptions!$B72)*DG72*P72,"")</f>
        <v>0.76599549158399993</v>
      </c>
      <c r="BM72" s="34">
        <f ca="1">IFERROR(SUMIFS('TRA balance'!N$5:N$40,'TRA balance'!$C$5:$C$40,Assumptions!$C72,'TRA balance'!$D$5:$D$40,Assumptions!$B72)*DH72*Q72,"")</f>
        <v>2.0075819880960002</v>
      </c>
      <c r="BN72" s="34">
        <f ca="1">IFERROR(SUMIFS('TRA balance'!O$5:O$40,'TRA balance'!$C$5:$C$40,Assumptions!$C72,'TRA balance'!$D$5:$D$40,Assumptions!$B72)*DI72*R72,"")</f>
        <v>12.684390742224002</v>
      </c>
      <c r="BO72" s="34">
        <f ca="1">IFERROR(SUMIFS('TRA balance'!P$5:P$40,'TRA balance'!$C$5:$C$40,Assumptions!$C72,'TRA balance'!$D$5:$D$40,Assumptions!$B72)*DJ72*S72,"")</f>
        <v>9.4912667624160001</v>
      </c>
      <c r="BP72" s="34">
        <f ca="1">IFERROR(SUMIFS('TRA balance'!Q$5:Q$40,'TRA balance'!$C$5:$C$40,Assumptions!$C72,'TRA balance'!$D$5:$D$40,Assumptions!$B72)*DK72*T72,"")</f>
        <v>0.85988799849600006</v>
      </c>
      <c r="BQ72" s="34">
        <f ca="1">IFERROR(SUMIFS('TRA balance'!R$5:R$40,'TRA balance'!$C$5:$C$40,Assumptions!$C72,'TRA balance'!$D$5:$D$40,Assumptions!$B72)*DL72*U72,"")</f>
        <v>3.1093968558240004</v>
      </c>
      <c r="BR72" s="34">
        <f ca="1">IFERROR(SUMIFS('TRA balance'!S$5:S$40,'TRA balance'!$C$5:$C$40,Assumptions!$C72,'TRA balance'!$D$5:$D$40,Assumptions!$B72)*DM72*V72,"")</f>
        <v>7.7871967920000007E-2</v>
      </c>
      <c r="BS72" s="34">
        <f ca="1">IFERROR(SUMIFS('TRA balance'!T$5:T$40,'TRA balance'!$C$5:$C$40,Assumptions!$C72,'TRA balance'!$D$5:$D$40,Assumptions!$B72)*DN72*W72,"")</f>
        <v>0.30692593439999999</v>
      </c>
      <c r="BT72" s="34">
        <f ca="1">IFERROR(SUMIFS('TRA balance'!U$5:U$40,'TRA balance'!$C$5:$C$40,Assumptions!$C72,'TRA balance'!$D$5:$D$40,Assumptions!$B72)*DO72*X72,"")</f>
        <v>0.81381846095999999</v>
      </c>
      <c r="BU72" s="34">
        <f ca="1">IFERROR(SUMIFS('TRA balance'!V$5:V$40,'TRA balance'!$C$5:$C$40,Assumptions!$C72,'TRA balance'!$D$5:$D$40,Assumptions!$B72)*DP72*Y72,"")</f>
        <v>6.3131137745760002</v>
      </c>
      <c r="BV72" s="34">
        <f ca="1">IFERROR(SUMIFS('TRA balance'!W$5:W$40,'TRA balance'!$C$5:$C$40,Assumptions!$C72,'TRA balance'!$D$5:$D$40,Assumptions!$B72)*DQ72*Z72,"")</f>
        <v>7.3992688380000005E-2</v>
      </c>
      <c r="BW72" s="34">
        <f ca="1">IFERROR(SUMIFS('TRA balance'!X$5:X$40,'TRA balance'!$C$5:$C$40,Assumptions!$C72,'TRA balance'!$D$5:$D$40,Assumptions!$B72)*DR72*AA72,"")</f>
        <v>6.9065081305235996</v>
      </c>
      <c r="BX72" s="34">
        <f ca="1">IFERROR(SUMIFS('TRA balance'!Y$5:Y$40,'TRA balance'!$C$5:$C$40,Assumptions!$C72,'TRA balance'!$D$5:$D$40,Assumptions!$B72)*DS72*AB72,"")</f>
        <v>0</v>
      </c>
      <c r="BY72" s="34">
        <f ca="1">IFERROR(SUMIFS('TRA balance'!Z$5:Z$40,'TRA balance'!$C$5:$C$40,Assumptions!$C72,'TRA balance'!$D$5:$D$40,Assumptions!$B72)*DT72*AC72,"")</f>
        <v>9.9627338598321735</v>
      </c>
      <c r="BZ72" s="34">
        <f ca="1">IFERROR(SUMIFS('TRA balance'!AA$5:AA$40,'TRA balance'!$C$5:$C$40,Assumptions!$C72,'TRA balance'!$D$5:$D$40,Assumptions!$B72)*DU72*AD72,"")</f>
        <v>2.1051029433600004</v>
      </c>
      <c r="CA72" s="34">
        <f ca="1">IFERROR(SUMIFS('TRA balance'!AB$5:AB$40,'TRA balance'!$C$5:$C$40,Assumptions!$C72,'TRA balance'!$D$5:$D$40,Assumptions!$B72)*DV72*AE72,"")</f>
        <v>4.2091689000960004</v>
      </c>
      <c r="CB72" s="34">
        <f ca="1">IFERROR(SUMIFS('TRA balance'!AC$5:AC$40,'TRA balance'!$C$5:$C$40,Assumptions!$C72,'TRA balance'!$D$5:$D$40,Assumptions!$B72)*DW72*AF72,"")</f>
        <v>26.225942435884804</v>
      </c>
      <c r="CC72" s="34">
        <f ca="1">IFERROR(SUMIFS('TRA balance'!AD$5:AD$40,'TRA balance'!$C$5:$C$40,Assumptions!$C72,'TRA balance'!$D$5:$D$40,Assumptions!$B72)*DX72*AG72,"")</f>
        <v>6.8400379619999998E-3</v>
      </c>
      <c r="CD72" s="34">
        <f ca="1">IFERROR(SUMIFS('TRA balance'!AE$5:AE$40,'TRA balance'!$C$5:$C$40,Assumptions!$C72,'TRA balance'!$D$5:$D$40,Assumptions!$B72)*DY72*AH72,"")</f>
        <v>0</v>
      </c>
      <c r="CE72" s="34">
        <f ca="1">IFERROR(SUMIFS('TRA balance'!AF$5:AF$40,'TRA balance'!$C$5:$C$40,Assumptions!$C72,'TRA balance'!$D$5:$D$40,Assumptions!$B72)*DZ72*AI72,"")</f>
        <v>0</v>
      </c>
      <c r="CF72" s="34">
        <f ca="1">IFERROR(SUMIFS('TRA balance'!AG$5:AG$40,'TRA balance'!$C$5:$C$40,Assumptions!$C72,'TRA balance'!$D$5:$D$40,Assumptions!$B72)*EA72*AJ72,"")</f>
        <v>8.8301606591520017</v>
      </c>
      <c r="CG72" s="34">
        <f ca="1">IFERROR(SUMIFS('TRA balance'!AH$5:AH$40,'TRA balance'!$C$5:$C$40,Assumptions!$C72,'TRA balance'!$D$5:$D$40,Assumptions!$B72)*EB72*AK72,"")</f>
        <v>8.5998059376480001</v>
      </c>
      <c r="CH72" s="34">
        <f ca="1">IFERROR(SUMIFS('TRA balance'!AI$5:AI$40,'TRA balance'!$C$5:$C$40,Assumptions!$C72,'TRA balance'!$D$5:$D$40,Assumptions!$B72)*EC72*AL72,"")</f>
        <v>0.75278998944000008</v>
      </c>
      <c r="CI72" s="34">
        <f ca="1">IFERROR(SUMIFS('TRA balance'!AJ$5:AJ$40,'TRA balance'!$C$5:$C$40,Assumptions!$C72,'TRA balance'!$D$5:$D$40,Assumptions!$B72)*ED72*AM72,"")</f>
        <v>0.6452325209519999</v>
      </c>
      <c r="CJ72" s="34">
        <f ca="1">IFERROR(SUMIFS('TRA balance'!AK$5:AK$40,'TRA balance'!$C$5:$C$40,Assumptions!$C72,'TRA balance'!$D$5:$D$40,Assumptions!$B72)*EE72*AN72,"")</f>
        <v>6.3462722257440012</v>
      </c>
      <c r="CK72" s="34">
        <f ca="1">IFERROR(SUMIFS('TRA balance'!AL$5:AL$40,'TRA balance'!$C$5:$C$40,Assumptions!$C72,'TRA balance'!$D$5:$D$40,Assumptions!$B72)*EF72*AO72,"")</f>
        <v>0</v>
      </c>
      <c r="CL72" s="34">
        <f ca="1">IFERROR(SUMIFS('TRA balance'!AM$5:AM$40,'TRA balance'!$C$5:$C$40,Assumptions!$C72,'TRA balance'!$D$5:$D$40,Assumptions!$B72)*EG72*AP72,"")</f>
        <v>0.60423110481599995</v>
      </c>
      <c r="CM72" s="34">
        <f ca="1">IFERROR(SUMIFS('TRA balance'!AN$5:AN$40,'TRA balance'!$C$5:$C$40,Assumptions!$C72,'TRA balance'!$D$5:$D$40,Assumptions!$B72)*EH72*AQ72,"")</f>
        <v>0</v>
      </c>
      <c r="CN72" s="34">
        <f ca="1">IFERROR(SUMIFS('TRA balance'!AO$5:AO$40,'TRA balance'!$C$5:$C$40,Assumptions!$C72,'TRA balance'!$D$5:$D$40,Assumptions!$B72)*EI72*AR72,"")</f>
        <v>0</v>
      </c>
      <c r="CO72" s="34">
        <f ca="1">IFERROR(SUMIFS('TRA balance'!AP$5:AP$40,'TRA balance'!$C$5:$C$40,Assumptions!$C72,'TRA balance'!$D$5:$D$40,Assumptions!$B72)*EJ72*AS72,"")</f>
        <v>0</v>
      </c>
      <c r="CP72" s="34">
        <f ca="1">IFERROR(SUMIFS('TRA balance'!AQ$5:AQ$40,'TRA balance'!$C$5:$C$40,Assumptions!$C72,'TRA balance'!$D$5:$D$40,Assumptions!$B72)*EK72*AT72,"")</f>
        <v>0</v>
      </c>
      <c r="CQ72" s="34">
        <f ca="1">IFERROR(SUMIFS('TRA balance'!AR$5:AR$40,'TRA balance'!$C$5:$C$40,Assumptions!$C72,'TRA balance'!$D$5:$D$40,Assumptions!$B72)*EL72*AU72,"")</f>
        <v>0</v>
      </c>
      <c r="CR72" s="34">
        <f ca="1">IFERROR(SUMIFS('TRA balance'!AS$5:AS$40,'TRA balance'!$C$5:$C$40,Assumptions!$C72,'TRA balance'!$D$5:$D$40,Assumptions!$B72)*EM72*AV72,"")</f>
        <v>0</v>
      </c>
      <c r="CS72" s="34">
        <f ca="1">IFERROR(SUMIFS('TRA balance'!AT$5:AT$40,'TRA balance'!$C$5:$C$40,Assumptions!$C72,'TRA balance'!$D$5:$D$40,Assumptions!$B72)*EN72*AW72,"")</f>
        <v>0</v>
      </c>
      <c r="CT72" s="34">
        <f ca="1">IFERROR(SUMIFS('TRA balance'!AU$5:AU$40,'TRA balance'!$C$5:$C$40,Assumptions!$C72,'TRA balance'!$D$5:$D$40,Assumptions!$B72)*EO72*AX72,"")</f>
        <v>0</v>
      </c>
      <c r="CU72" s="34">
        <f ca="1">IFERROR(SUMIFS('TRA balance'!AV$5:AV$40,'TRA balance'!$C$5:$C$40,Assumptions!$C72,'TRA balance'!$D$5:$D$40,Assumptions!$B72)*EP72*AY72,"")</f>
        <v>0</v>
      </c>
      <c r="CV72" s="34">
        <f ca="1">IFERROR(SUMIFS('TRA balance'!AW$5:AW$40,'TRA balance'!$C$5:$C$40,Assumptions!$C72,'TRA balance'!$D$5:$D$40,Assumptions!$B72)*EQ72*AZ72,"")</f>
        <v>0</v>
      </c>
      <c r="CW72" s="34">
        <f ca="1">IFERROR(SUMIFS('TRA balance'!AX$5:AX$40,'TRA balance'!$C$5:$C$40,Assumptions!$C72,'TRA balance'!$D$5:$D$40,Assumptions!$B72)*ER72*BA72,"")</f>
        <v>0</v>
      </c>
      <c r="CY72" s="33">
        <f t="shared" ca="1" si="86"/>
        <v>0.9</v>
      </c>
      <c r="CZ72" s="33">
        <f t="shared" ca="1" si="87"/>
        <v>0.9</v>
      </c>
      <c r="DA72" s="33">
        <f t="shared" ca="1" si="88"/>
        <v>0.98</v>
      </c>
      <c r="DB72" s="33">
        <f t="shared" ca="1" si="89"/>
        <v>0.8</v>
      </c>
      <c r="DC72" s="33">
        <f t="shared" ca="1" si="90"/>
        <v>0.95</v>
      </c>
      <c r="DD72" s="33">
        <f t="shared" ca="1" si="91"/>
        <v>0.8</v>
      </c>
      <c r="DE72" s="33">
        <f t="shared" ca="1" si="92"/>
        <v>0.92999999999999994</v>
      </c>
      <c r="DF72" s="33">
        <f t="shared" ca="1" si="93"/>
        <v>0.9</v>
      </c>
      <c r="DG72" s="33">
        <f t="shared" ca="1" si="94"/>
        <v>0.8</v>
      </c>
      <c r="DH72" s="33">
        <f t="shared" ca="1" si="95"/>
        <v>0.8</v>
      </c>
      <c r="DI72" s="33">
        <f t="shared" ca="1" si="96"/>
        <v>0.8</v>
      </c>
      <c r="DJ72" s="33">
        <f t="shared" ca="1" si="97"/>
        <v>0.8</v>
      </c>
      <c r="DK72" s="33">
        <f t="shared" ca="1" si="98"/>
        <v>0.8</v>
      </c>
      <c r="DL72" s="33">
        <f t="shared" ca="1" si="99"/>
        <v>0.8</v>
      </c>
      <c r="DM72" s="33">
        <f t="shared" ca="1" si="100"/>
        <v>0.8</v>
      </c>
      <c r="DN72" s="33">
        <f t="shared" ca="1" si="101"/>
        <v>0.75</v>
      </c>
      <c r="DO72" s="33">
        <f t="shared" ca="1" si="102"/>
        <v>0.8</v>
      </c>
      <c r="DP72" s="33">
        <f t="shared" ca="1" si="103"/>
        <v>0.8</v>
      </c>
      <c r="DQ72" s="33">
        <f t="shared" ca="1" si="104"/>
        <v>0.95</v>
      </c>
      <c r="DR72" s="33">
        <f t="shared" ca="1" si="105"/>
        <v>0.92999999999999994</v>
      </c>
      <c r="DS72" s="33">
        <f t="shared" ca="1" si="106"/>
        <v>0.9</v>
      </c>
      <c r="DT72" s="33">
        <f t="shared" ca="1" si="107"/>
        <v>0.97559357817738346</v>
      </c>
      <c r="DU72" s="33">
        <f t="shared" ca="1" si="108"/>
        <v>0.8</v>
      </c>
      <c r="DV72" s="33">
        <f t="shared" ca="1" si="109"/>
        <v>0.8</v>
      </c>
      <c r="DW72" s="33">
        <f t="shared" ca="1" si="110"/>
        <v>0.92</v>
      </c>
      <c r="DX72" s="33">
        <f t="shared" ca="1" si="111"/>
        <v>0.95</v>
      </c>
      <c r="DY72" s="33">
        <f t="shared" ca="1" si="112"/>
        <v>0.9</v>
      </c>
      <c r="DZ72" s="33">
        <f t="shared" ca="1" si="113"/>
        <v>0.9</v>
      </c>
      <c r="EA72" s="33">
        <f t="shared" ca="1" si="114"/>
        <v>0.8</v>
      </c>
      <c r="EB72" s="33">
        <f t="shared" ca="1" si="115"/>
        <v>0.8</v>
      </c>
      <c r="EC72" s="33">
        <f t="shared" ca="1" si="116"/>
        <v>0.8</v>
      </c>
      <c r="ED72" s="33">
        <f t="shared" ca="1" si="117"/>
        <v>0.9</v>
      </c>
      <c r="EE72" s="33">
        <f t="shared" ca="1" si="118"/>
        <v>0.8</v>
      </c>
      <c r="EF72" s="33">
        <f t="shared" ca="1" si="119"/>
        <v>0.95</v>
      </c>
      <c r="EG72" s="33">
        <f t="shared" ca="1" si="120"/>
        <v>0.8</v>
      </c>
      <c r="EH72" s="33">
        <f t="shared" ca="1" si="121"/>
        <v>0.97559357817738346</v>
      </c>
      <c r="EI72" s="33">
        <f t="shared" ca="1" si="122"/>
        <v>0.97559357817738346</v>
      </c>
      <c r="EJ72" s="33">
        <f t="shared" ca="1" si="123"/>
        <v>0.97559357817738346</v>
      </c>
      <c r="EK72" s="33">
        <f t="shared" ca="1" si="124"/>
        <v>0.97559357817738346</v>
      </c>
      <c r="EL72" s="33">
        <f t="shared" ca="1" si="125"/>
        <v>0.97559357817738346</v>
      </c>
      <c r="EM72" s="33">
        <f t="shared" ca="1" si="126"/>
        <v>0.97559357817738346</v>
      </c>
      <c r="EN72" s="33">
        <f t="shared" ca="1" si="127"/>
        <v>0.97559357817738346</v>
      </c>
      <c r="EO72" s="33">
        <f t="shared" ca="1" si="128"/>
        <v>0.97559357817738346</v>
      </c>
      <c r="EP72" s="33">
        <f t="shared" ca="1" si="129"/>
        <v>0.97559357817738346</v>
      </c>
      <c r="EQ72" s="33">
        <f t="shared" ca="1" si="130"/>
        <v>0.97559357817738346</v>
      </c>
      <c r="ER72" s="33">
        <f t="shared" ca="1" si="131"/>
        <v>0.97559357817738346</v>
      </c>
    </row>
    <row r="73" spans="1:148">
      <c r="A73">
        <v>1</v>
      </c>
      <c r="B73" t="str">
        <f>VLOOKUP(F73,'TRA balance'!$BA$5:$BB$14,2,FALSE)</f>
        <v>TRABDS</v>
      </c>
      <c r="C73" s="6" t="str">
        <f t="shared" si="133"/>
        <v/>
      </c>
      <c r="D73" s="7"/>
      <c r="E73" s="19" t="s">
        <v>79</v>
      </c>
      <c r="F73" s="8" t="str">
        <f t="shared" si="134"/>
        <v>Bio Diesel</v>
      </c>
      <c r="G73" s="6"/>
      <c r="H73" s="22" t="str">
        <f ca="1">IF(SUM(H69:H72)=1,"-","&lt;&gt;1!!")</f>
        <v>-</v>
      </c>
      <c r="I73" s="22" t="str">
        <f t="shared" ref="I73:BA73" ca="1" si="135">IF(SUM(I69:I72)=1,"-","&lt;&gt;1!!")</f>
        <v>-</v>
      </c>
      <c r="J73" s="22" t="str">
        <f t="shared" ca="1" si="135"/>
        <v>-</v>
      </c>
      <c r="K73" s="22" t="str">
        <f t="shared" ca="1" si="135"/>
        <v>-</v>
      </c>
      <c r="L73" s="22" t="str">
        <f t="shared" ca="1" si="135"/>
        <v>-</v>
      </c>
      <c r="M73" s="22" t="str">
        <f t="shared" ca="1" si="135"/>
        <v>-</v>
      </c>
      <c r="N73" s="22" t="str">
        <f t="shared" ca="1" si="135"/>
        <v>-</v>
      </c>
      <c r="O73" s="22" t="str">
        <f t="shared" ca="1" si="135"/>
        <v>-</v>
      </c>
      <c r="P73" s="22" t="str">
        <f t="shared" ca="1" si="135"/>
        <v>-</v>
      </c>
      <c r="Q73" s="22" t="str">
        <f t="shared" ca="1" si="135"/>
        <v>-</v>
      </c>
      <c r="R73" s="22" t="str">
        <f t="shared" ca="1" si="135"/>
        <v>-</v>
      </c>
      <c r="S73" s="22" t="str">
        <f t="shared" ca="1" si="135"/>
        <v>-</v>
      </c>
      <c r="T73" s="22" t="str">
        <f t="shared" ca="1" si="135"/>
        <v>-</v>
      </c>
      <c r="U73" s="22" t="str">
        <f t="shared" ca="1" si="135"/>
        <v>-</v>
      </c>
      <c r="V73" s="22" t="str">
        <f t="shared" ca="1" si="135"/>
        <v>-</v>
      </c>
      <c r="W73" s="22" t="str">
        <f t="shared" ca="1" si="135"/>
        <v>-</v>
      </c>
      <c r="X73" s="22" t="str">
        <f t="shared" ca="1" si="135"/>
        <v>-</v>
      </c>
      <c r="Y73" s="22" t="str">
        <f t="shared" ca="1" si="135"/>
        <v>-</v>
      </c>
      <c r="Z73" s="22" t="str">
        <f t="shared" ca="1" si="135"/>
        <v>-</v>
      </c>
      <c r="AA73" s="22" t="str">
        <f t="shared" ca="1" si="135"/>
        <v>-</v>
      </c>
      <c r="AB73" s="22" t="str">
        <f t="shared" ca="1" si="135"/>
        <v>-</v>
      </c>
      <c r="AC73" s="22" t="str">
        <f t="shared" ca="1" si="135"/>
        <v>-</v>
      </c>
      <c r="AD73" s="22" t="str">
        <f t="shared" ca="1" si="135"/>
        <v>-</v>
      </c>
      <c r="AE73" s="22" t="str">
        <f t="shared" ca="1" si="135"/>
        <v>-</v>
      </c>
      <c r="AF73" s="22" t="str">
        <f t="shared" ca="1" si="135"/>
        <v>-</v>
      </c>
      <c r="AG73" s="22" t="str">
        <f t="shared" ca="1" si="135"/>
        <v>-</v>
      </c>
      <c r="AH73" s="22" t="str">
        <f t="shared" ca="1" si="135"/>
        <v>-</v>
      </c>
      <c r="AI73" s="22" t="str">
        <f t="shared" ca="1" si="135"/>
        <v>-</v>
      </c>
      <c r="AJ73" s="22" t="str">
        <f t="shared" ca="1" si="135"/>
        <v>-</v>
      </c>
      <c r="AK73" s="22" t="str">
        <f t="shared" ca="1" si="135"/>
        <v>-</v>
      </c>
      <c r="AL73" s="22" t="str">
        <f t="shared" ca="1" si="135"/>
        <v>-</v>
      </c>
      <c r="AM73" s="22" t="str">
        <f t="shared" ca="1" si="135"/>
        <v>-</v>
      </c>
      <c r="AN73" s="22" t="str">
        <f t="shared" ca="1" si="135"/>
        <v>-</v>
      </c>
      <c r="AO73" s="22" t="str">
        <f t="shared" ca="1" si="135"/>
        <v>-</v>
      </c>
      <c r="AP73" s="22" t="str">
        <f t="shared" ca="1" si="135"/>
        <v>-</v>
      </c>
      <c r="AQ73" s="22" t="str">
        <f t="shared" ca="1" si="135"/>
        <v>-</v>
      </c>
      <c r="AR73" s="22" t="str">
        <f t="shared" ca="1" si="135"/>
        <v>-</v>
      </c>
      <c r="AS73" s="22" t="str">
        <f t="shared" ca="1" si="135"/>
        <v>-</v>
      </c>
      <c r="AT73" s="22" t="str">
        <f t="shared" ca="1" si="135"/>
        <v>-</v>
      </c>
      <c r="AU73" s="22" t="str">
        <f t="shared" ca="1" si="135"/>
        <v>-</v>
      </c>
      <c r="AV73" s="22" t="str">
        <f t="shared" ca="1" si="135"/>
        <v>-</v>
      </c>
      <c r="AW73" s="22" t="str">
        <f t="shared" ca="1" si="135"/>
        <v>-</v>
      </c>
      <c r="AX73" s="22" t="str">
        <f t="shared" ca="1" si="135"/>
        <v>-</v>
      </c>
      <c r="AY73" s="22" t="str">
        <f t="shared" ca="1" si="135"/>
        <v>-</v>
      </c>
      <c r="AZ73" s="22" t="str">
        <f t="shared" ca="1" si="135"/>
        <v>-</v>
      </c>
      <c r="BA73" s="22" t="str">
        <f t="shared" ca="1" si="135"/>
        <v>-</v>
      </c>
      <c r="BD73" s="34" t="str">
        <f ca="1">IFERROR(SUMIFS('TRA balance'!E$5:E$40,'TRA balance'!$C$5:$C$40,Assumptions!$C73,'TRA balance'!$D$5:$D$40,Assumptions!$B73)*CY73*H73,"")</f>
        <v/>
      </c>
      <c r="BE73" s="34" t="str">
        <f ca="1">IFERROR(SUMIFS('TRA balance'!F$5:F$40,'TRA balance'!$C$5:$C$40,Assumptions!$C73,'TRA balance'!$D$5:$D$40,Assumptions!$B73)*CZ73*I73,"")</f>
        <v/>
      </c>
      <c r="BF73" s="34" t="str">
        <f ca="1">IFERROR(SUMIFS('TRA balance'!G$5:G$40,'TRA balance'!$C$5:$C$40,Assumptions!$C73,'TRA balance'!$D$5:$D$40,Assumptions!$B73)*DA73*J73,"")</f>
        <v/>
      </c>
      <c r="BG73" s="34" t="str">
        <f ca="1">IFERROR(SUMIFS('TRA balance'!H$5:H$40,'TRA balance'!$C$5:$C$40,Assumptions!$C73,'TRA balance'!$D$5:$D$40,Assumptions!$B73)*DB73*K73,"")</f>
        <v/>
      </c>
      <c r="BH73" s="34" t="str">
        <f ca="1">IFERROR(SUMIFS('TRA balance'!I$5:I$40,'TRA balance'!$C$5:$C$40,Assumptions!$C73,'TRA balance'!$D$5:$D$40,Assumptions!$B73)*DC73*L73,"")</f>
        <v/>
      </c>
      <c r="BI73" s="34" t="str">
        <f ca="1">IFERROR(SUMIFS('TRA balance'!J$5:J$40,'TRA balance'!$C$5:$C$40,Assumptions!$C73,'TRA balance'!$D$5:$D$40,Assumptions!$B73)*DD73*M73,"")</f>
        <v/>
      </c>
      <c r="BJ73" s="34" t="str">
        <f ca="1">IFERROR(SUMIFS('TRA balance'!K$5:K$40,'TRA balance'!$C$5:$C$40,Assumptions!$C73,'TRA balance'!$D$5:$D$40,Assumptions!$B73)*DE73*N73,"")</f>
        <v/>
      </c>
      <c r="BK73" s="34" t="str">
        <f ca="1">IFERROR(SUMIFS('TRA balance'!L$5:L$40,'TRA balance'!$C$5:$C$40,Assumptions!$C73,'TRA balance'!$D$5:$D$40,Assumptions!$B73)*DF73*O73,"")</f>
        <v/>
      </c>
      <c r="BL73" s="34" t="str">
        <f ca="1">IFERROR(SUMIFS('TRA balance'!M$5:M$40,'TRA balance'!$C$5:$C$40,Assumptions!$C73,'TRA balance'!$D$5:$D$40,Assumptions!$B73)*DG73*P73,"")</f>
        <v/>
      </c>
      <c r="BM73" s="34" t="str">
        <f ca="1">IFERROR(SUMIFS('TRA balance'!N$5:N$40,'TRA balance'!$C$5:$C$40,Assumptions!$C73,'TRA balance'!$D$5:$D$40,Assumptions!$B73)*DH73*Q73,"")</f>
        <v/>
      </c>
      <c r="BN73" s="34" t="str">
        <f ca="1">IFERROR(SUMIFS('TRA balance'!O$5:O$40,'TRA balance'!$C$5:$C$40,Assumptions!$C73,'TRA balance'!$D$5:$D$40,Assumptions!$B73)*DI73*R73,"")</f>
        <v/>
      </c>
      <c r="BO73" s="34" t="str">
        <f ca="1">IFERROR(SUMIFS('TRA balance'!P$5:P$40,'TRA balance'!$C$5:$C$40,Assumptions!$C73,'TRA balance'!$D$5:$D$40,Assumptions!$B73)*DJ73*S73,"")</f>
        <v/>
      </c>
      <c r="BP73" s="34" t="str">
        <f ca="1">IFERROR(SUMIFS('TRA balance'!Q$5:Q$40,'TRA balance'!$C$5:$C$40,Assumptions!$C73,'TRA balance'!$D$5:$D$40,Assumptions!$B73)*DK73*T73,"")</f>
        <v/>
      </c>
      <c r="BQ73" s="34" t="str">
        <f ca="1">IFERROR(SUMIFS('TRA balance'!R$5:R$40,'TRA balance'!$C$5:$C$40,Assumptions!$C73,'TRA balance'!$D$5:$D$40,Assumptions!$B73)*DL73*U73,"")</f>
        <v/>
      </c>
      <c r="BR73" s="34" t="str">
        <f ca="1">IFERROR(SUMIFS('TRA balance'!S$5:S$40,'TRA balance'!$C$5:$C$40,Assumptions!$C73,'TRA balance'!$D$5:$D$40,Assumptions!$B73)*DM73*V73,"")</f>
        <v/>
      </c>
      <c r="BS73" s="34" t="str">
        <f ca="1">IFERROR(SUMIFS('TRA balance'!T$5:T$40,'TRA balance'!$C$5:$C$40,Assumptions!$C73,'TRA balance'!$D$5:$D$40,Assumptions!$B73)*DN73*W73,"")</f>
        <v/>
      </c>
      <c r="BT73" s="34" t="str">
        <f ca="1">IFERROR(SUMIFS('TRA balance'!U$5:U$40,'TRA balance'!$C$5:$C$40,Assumptions!$C73,'TRA balance'!$D$5:$D$40,Assumptions!$B73)*DO73*X73,"")</f>
        <v/>
      </c>
      <c r="BU73" s="34" t="str">
        <f ca="1">IFERROR(SUMIFS('TRA balance'!V$5:V$40,'TRA balance'!$C$5:$C$40,Assumptions!$C73,'TRA balance'!$D$5:$D$40,Assumptions!$B73)*DP73*Y73,"")</f>
        <v/>
      </c>
      <c r="BV73" s="34" t="str">
        <f ca="1">IFERROR(SUMIFS('TRA balance'!W$5:W$40,'TRA balance'!$C$5:$C$40,Assumptions!$C73,'TRA balance'!$D$5:$D$40,Assumptions!$B73)*DQ73*Z73,"")</f>
        <v/>
      </c>
      <c r="BW73" s="34" t="str">
        <f ca="1">IFERROR(SUMIFS('TRA balance'!X$5:X$40,'TRA balance'!$C$5:$C$40,Assumptions!$C73,'TRA balance'!$D$5:$D$40,Assumptions!$B73)*DR73*AA73,"")</f>
        <v/>
      </c>
      <c r="BX73" s="34" t="str">
        <f ca="1">IFERROR(SUMIFS('TRA balance'!Y$5:Y$40,'TRA balance'!$C$5:$C$40,Assumptions!$C73,'TRA balance'!$D$5:$D$40,Assumptions!$B73)*DS73*AB73,"")</f>
        <v/>
      </c>
      <c r="BY73" s="34" t="str">
        <f ca="1">IFERROR(SUMIFS('TRA balance'!Z$5:Z$40,'TRA balance'!$C$5:$C$40,Assumptions!$C73,'TRA balance'!$D$5:$D$40,Assumptions!$B73)*DT73*AC73,"")</f>
        <v/>
      </c>
      <c r="BZ73" s="34" t="str">
        <f ca="1">IFERROR(SUMIFS('TRA balance'!AA$5:AA$40,'TRA balance'!$C$5:$C$40,Assumptions!$C73,'TRA balance'!$D$5:$D$40,Assumptions!$B73)*DU73*AD73,"")</f>
        <v/>
      </c>
      <c r="CA73" s="34" t="str">
        <f ca="1">IFERROR(SUMIFS('TRA balance'!AB$5:AB$40,'TRA balance'!$C$5:$C$40,Assumptions!$C73,'TRA balance'!$D$5:$D$40,Assumptions!$B73)*DV73*AE73,"")</f>
        <v/>
      </c>
      <c r="CB73" s="34" t="str">
        <f ca="1">IFERROR(SUMIFS('TRA balance'!AC$5:AC$40,'TRA balance'!$C$5:$C$40,Assumptions!$C73,'TRA balance'!$D$5:$D$40,Assumptions!$B73)*DW73*AF73,"")</f>
        <v/>
      </c>
      <c r="CC73" s="34" t="str">
        <f ca="1">IFERROR(SUMIFS('TRA balance'!AD$5:AD$40,'TRA balance'!$C$5:$C$40,Assumptions!$C73,'TRA balance'!$D$5:$D$40,Assumptions!$B73)*DX73*AG73,"")</f>
        <v/>
      </c>
      <c r="CD73" s="34" t="str">
        <f ca="1">IFERROR(SUMIFS('TRA balance'!AE$5:AE$40,'TRA balance'!$C$5:$C$40,Assumptions!$C73,'TRA balance'!$D$5:$D$40,Assumptions!$B73)*DY73*AH73,"")</f>
        <v/>
      </c>
      <c r="CE73" s="34" t="str">
        <f ca="1">IFERROR(SUMIFS('TRA balance'!AF$5:AF$40,'TRA balance'!$C$5:$C$40,Assumptions!$C73,'TRA balance'!$D$5:$D$40,Assumptions!$B73)*DZ73*AI73,"")</f>
        <v/>
      </c>
      <c r="CF73" s="34" t="str">
        <f ca="1">IFERROR(SUMIFS('TRA balance'!AG$5:AG$40,'TRA balance'!$C$5:$C$40,Assumptions!$C73,'TRA balance'!$D$5:$D$40,Assumptions!$B73)*EA73*AJ73,"")</f>
        <v/>
      </c>
      <c r="CG73" s="34" t="str">
        <f ca="1">IFERROR(SUMIFS('TRA balance'!AH$5:AH$40,'TRA balance'!$C$5:$C$40,Assumptions!$C73,'TRA balance'!$D$5:$D$40,Assumptions!$B73)*EB73*AK73,"")</f>
        <v/>
      </c>
      <c r="CH73" s="34" t="str">
        <f ca="1">IFERROR(SUMIFS('TRA balance'!AI$5:AI$40,'TRA balance'!$C$5:$C$40,Assumptions!$C73,'TRA balance'!$D$5:$D$40,Assumptions!$B73)*EC73*AL73,"")</f>
        <v/>
      </c>
      <c r="CI73" s="34" t="str">
        <f ca="1">IFERROR(SUMIFS('TRA balance'!AJ$5:AJ$40,'TRA balance'!$C$5:$C$40,Assumptions!$C73,'TRA balance'!$D$5:$D$40,Assumptions!$B73)*ED73*AM73,"")</f>
        <v/>
      </c>
      <c r="CJ73" s="34" t="str">
        <f ca="1">IFERROR(SUMIFS('TRA balance'!AK$5:AK$40,'TRA balance'!$C$5:$C$40,Assumptions!$C73,'TRA balance'!$D$5:$D$40,Assumptions!$B73)*EE73*AN73,"")</f>
        <v/>
      </c>
      <c r="CK73" s="34" t="str">
        <f ca="1">IFERROR(SUMIFS('TRA balance'!AL$5:AL$40,'TRA balance'!$C$5:$C$40,Assumptions!$C73,'TRA balance'!$D$5:$D$40,Assumptions!$B73)*EF73*AO73,"")</f>
        <v/>
      </c>
      <c r="CL73" s="34" t="str">
        <f ca="1">IFERROR(SUMIFS('TRA balance'!AM$5:AM$40,'TRA balance'!$C$5:$C$40,Assumptions!$C73,'TRA balance'!$D$5:$D$40,Assumptions!$B73)*EG73*AP73,"")</f>
        <v/>
      </c>
      <c r="CM73" s="34" t="str">
        <f ca="1">IFERROR(SUMIFS('TRA balance'!AN$5:AN$40,'TRA balance'!$C$5:$C$40,Assumptions!$C73,'TRA balance'!$D$5:$D$40,Assumptions!$B73)*EH73*AQ73,"")</f>
        <v/>
      </c>
      <c r="CN73" s="34" t="str">
        <f ca="1">IFERROR(SUMIFS('TRA balance'!AO$5:AO$40,'TRA balance'!$C$5:$C$40,Assumptions!$C73,'TRA balance'!$D$5:$D$40,Assumptions!$B73)*EI73*AR73,"")</f>
        <v/>
      </c>
      <c r="CO73" s="34" t="str">
        <f ca="1">IFERROR(SUMIFS('TRA balance'!AP$5:AP$40,'TRA balance'!$C$5:$C$40,Assumptions!$C73,'TRA balance'!$D$5:$D$40,Assumptions!$B73)*EJ73*AS73,"")</f>
        <v/>
      </c>
      <c r="CP73" s="34" t="str">
        <f ca="1">IFERROR(SUMIFS('TRA balance'!AQ$5:AQ$40,'TRA balance'!$C$5:$C$40,Assumptions!$C73,'TRA balance'!$D$5:$D$40,Assumptions!$B73)*EK73*AT73,"")</f>
        <v/>
      </c>
      <c r="CQ73" s="34" t="str">
        <f ca="1">IFERROR(SUMIFS('TRA balance'!AR$5:AR$40,'TRA balance'!$C$5:$C$40,Assumptions!$C73,'TRA balance'!$D$5:$D$40,Assumptions!$B73)*EL73*AU73,"")</f>
        <v/>
      </c>
      <c r="CR73" s="34" t="str">
        <f ca="1">IFERROR(SUMIFS('TRA balance'!AS$5:AS$40,'TRA balance'!$C$5:$C$40,Assumptions!$C73,'TRA balance'!$D$5:$D$40,Assumptions!$B73)*EM73*AV73,"")</f>
        <v/>
      </c>
      <c r="CS73" s="34" t="str">
        <f ca="1">IFERROR(SUMIFS('TRA balance'!AT$5:AT$40,'TRA balance'!$C$5:$C$40,Assumptions!$C73,'TRA balance'!$D$5:$D$40,Assumptions!$B73)*EN73*AW73,"")</f>
        <v/>
      </c>
      <c r="CT73" s="34" t="str">
        <f ca="1">IFERROR(SUMIFS('TRA balance'!AU$5:AU$40,'TRA balance'!$C$5:$C$40,Assumptions!$C73,'TRA balance'!$D$5:$D$40,Assumptions!$B73)*EO73*AX73,"")</f>
        <v/>
      </c>
      <c r="CU73" s="34" t="str">
        <f ca="1">IFERROR(SUMIFS('TRA balance'!AV$5:AV$40,'TRA balance'!$C$5:$C$40,Assumptions!$C73,'TRA balance'!$D$5:$D$40,Assumptions!$B73)*EP73*AY73,"")</f>
        <v/>
      </c>
      <c r="CV73" s="34" t="str">
        <f ca="1">IFERROR(SUMIFS('TRA balance'!AW$5:AW$40,'TRA balance'!$C$5:$C$40,Assumptions!$C73,'TRA balance'!$D$5:$D$40,Assumptions!$B73)*EQ73*AZ73,"")</f>
        <v/>
      </c>
      <c r="CW73" s="34" t="str">
        <f ca="1">IFERROR(SUMIFS('TRA balance'!AX$5:AX$40,'TRA balance'!$C$5:$C$40,Assumptions!$C73,'TRA balance'!$D$5:$D$40,Assumptions!$B73)*ER73*BA73,"")</f>
        <v/>
      </c>
      <c r="CY73" s="33">
        <f t="shared" si="86"/>
        <v>1</v>
      </c>
      <c r="CZ73" s="33">
        <f t="shared" si="87"/>
        <v>1</v>
      </c>
      <c r="DA73" s="33">
        <f t="shared" si="88"/>
        <v>1</v>
      </c>
      <c r="DB73" s="33">
        <f t="shared" si="89"/>
        <v>1</v>
      </c>
      <c r="DC73" s="33">
        <f t="shared" si="90"/>
        <v>1</v>
      </c>
      <c r="DD73" s="33">
        <f t="shared" si="91"/>
        <v>1</v>
      </c>
      <c r="DE73" s="33">
        <f t="shared" si="92"/>
        <v>1</v>
      </c>
      <c r="DF73" s="33">
        <f t="shared" si="93"/>
        <v>1</v>
      </c>
      <c r="DG73" s="33">
        <f t="shared" si="94"/>
        <v>1</v>
      </c>
      <c r="DH73" s="33">
        <f t="shared" si="95"/>
        <v>1</v>
      </c>
      <c r="DI73" s="33">
        <f t="shared" si="96"/>
        <v>1</v>
      </c>
      <c r="DJ73" s="33">
        <f t="shared" si="97"/>
        <v>1</v>
      </c>
      <c r="DK73" s="33">
        <f t="shared" si="98"/>
        <v>1</v>
      </c>
      <c r="DL73" s="33">
        <f t="shared" si="99"/>
        <v>1</v>
      </c>
      <c r="DM73" s="33">
        <f t="shared" si="100"/>
        <v>1</v>
      </c>
      <c r="DN73" s="33">
        <f t="shared" si="101"/>
        <v>1</v>
      </c>
      <c r="DO73" s="33">
        <f t="shared" si="102"/>
        <v>1</v>
      </c>
      <c r="DP73" s="33">
        <f t="shared" si="103"/>
        <v>1</v>
      </c>
      <c r="DQ73" s="33">
        <f t="shared" si="104"/>
        <v>1</v>
      </c>
      <c r="DR73" s="33">
        <f t="shared" si="105"/>
        <v>1</v>
      </c>
      <c r="DS73" s="33">
        <f t="shared" si="106"/>
        <v>1</v>
      </c>
      <c r="DT73" s="33">
        <f t="shared" si="107"/>
        <v>1</v>
      </c>
      <c r="DU73" s="33">
        <f t="shared" si="108"/>
        <v>1</v>
      </c>
      <c r="DV73" s="33">
        <f t="shared" si="109"/>
        <v>1</v>
      </c>
      <c r="DW73" s="33">
        <f t="shared" si="110"/>
        <v>1</v>
      </c>
      <c r="DX73" s="33">
        <f t="shared" si="111"/>
        <v>1</v>
      </c>
      <c r="DY73" s="33">
        <f t="shared" si="112"/>
        <v>1</v>
      </c>
      <c r="DZ73" s="33">
        <f t="shared" si="113"/>
        <v>1</v>
      </c>
      <c r="EA73" s="33">
        <f t="shared" si="114"/>
        <v>1</v>
      </c>
      <c r="EB73" s="33">
        <f t="shared" si="115"/>
        <v>1</v>
      </c>
      <c r="EC73" s="33">
        <f t="shared" si="116"/>
        <v>1</v>
      </c>
      <c r="ED73" s="33">
        <f t="shared" si="117"/>
        <v>1</v>
      </c>
      <c r="EE73" s="33">
        <f t="shared" si="118"/>
        <v>1</v>
      </c>
      <c r="EF73" s="33">
        <f t="shared" si="119"/>
        <v>1</v>
      </c>
      <c r="EG73" s="33">
        <f t="shared" si="120"/>
        <v>1</v>
      </c>
      <c r="EH73" s="33">
        <f t="shared" si="121"/>
        <v>1</v>
      </c>
      <c r="EI73" s="33">
        <f t="shared" si="122"/>
        <v>1</v>
      </c>
      <c r="EJ73" s="33">
        <f t="shared" si="123"/>
        <v>1</v>
      </c>
      <c r="EK73" s="33">
        <f t="shared" si="124"/>
        <v>1</v>
      </c>
      <c r="EL73" s="33">
        <f t="shared" si="125"/>
        <v>1</v>
      </c>
      <c r="EM73" s="33">
        <f t="shared" si="126"/>
        <v>1</v>
      </c>
      <c r="EN73" s="33">
        <f t="shared" si="127"/>
        <v>1</v>
      </c>
      <c r="EO73" s="33">
        <f t="shared" si="128"/>
        <v>1</v>
      </c>
      <c r="EP73" s="33">
        <f t="shared" si="129"/>
        <v>1</v>
      </c>
      <c r="EQ73" s="33">
        <f t="shared" si="130"/>
        <v>1</v>
      </c>
      <c r="ER73" s="33">
        <f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6" t="str">
        <f t="shared" si="133"/>
        <v>TT</v>
      </c>
      <c r="D74" s="7" t="s">
        <v>17</v>
      </c>
      <c r="E74" s="7" t="s">
        <v>53</v>
      </c>
      <c r="F74" s="8" t="str">
        <f t="shared" si="134"/>
        <v>Bio Diesel</v>
      </c>
      <c r="G74" s="6" t="s">
        <v>55</v>
      </c>
      <c r="H74" s="9">
        <f ca="1">OFFSET(TIAM15_assumptions!$G74,0,MATCH(VLOOKUP(Assumptions!H$2,TIAM15_assumptions!$Y$3:$Z$87,2,FALSE),TIAM15_assumptions!$H$2:$V$2,0))</f>
        <v>0.7</v>
      </c>
      <c r="I74" s="9">
        <f ca="1">OFFSET(TIAM15_assumptions!$G74,0,MATCH(VLOOKUP(Assumptions!I$2,TIAM15_assumptions!$Y$3:$Z$87,2,FALSE),TIAM15_assumptions!$H$2:$V$2,0))</f>
        <v>0.7</v>
      </c>
      <c r="J74" s="9">
        <f ca="1">OFFSET(TIAM15_assumptions!$G74,0,MATCH(VLOOKUP(Assumptions!J$2,TIAM15_assumptions!$Y$3:$Z$87,2,FALSE),TIAM15_assumptions!$H$2:$V$2,0))</f>
        <v>0.7</v>
      </c>
      <c r="K74" s="9">
        <f ca="1">OFFSET(TIAM15_assumptions!$G74,0,MATCH(VLOOKUP(Assumptions!K$2,TIAM15_assumptions!$Y$3:$Z$87,2,FALSE),TIAM15_assumptions!$H$2:$V$2,0))</f>
        <v>0.9</v>
      </c>
      <c r="L74" s="9">
        <f ca="1">OFFSET(TIAM15_assumptions!$G74,0,MATCH(VLOOKUP(Assumptions!L$2,TIAM15_assumptions!$Y$3:$Z$87,2,FALSE),TIAM15_assumptions!$H$2:$V$2,0))</f>
        <v>0.9</v>
      </c>
      <c r="M74" s="9">
        <f ca="1">OFFSET(TIAM15_assumptions!$G74,0,MATCH(VLOOKUP(Assumptions!M$2,TIAM15_assumptions!$Y$3:$Z$87,2,FALSE),TIAM15_assumptions!$H$2:$V$2,0))</f>
        <v>0.9</v>
      </c>
      <c r="N74" s="9">
        <f ca="1">OFFSET(TIAM15_assumptions!$G74,0,MATCH(VLOOKUP(Assumptions!N$2,TIAM15_assumptions!$Y$3:$Z$87,2,FALSE),TIAM15_assumptions!$H$2:$V$2,0))</f>
        <v>0.8</v>
      </c>
      <c r="O74" s="9">
        <f ca="1">OFFSET(TIAM15_assumptions!$G74,0,MATCH(VLOOKUP(Assumptions!O$2,TIAM15_assumptions!$Y$3:$Z$87,2,FALSE),TIAM15_assumptions!$H$2:$V$2,0))</f>
        <v>0.6</v>
      </c>
      <c r="P74" s="9">
        <f ca="1">OFFSET(TIAM15_assumptions!$G74,0,MATCH(VLOOKUP(Assumptions!P$2,TIAM15_assumptions!$Y$3:$Z$87,2,FALSE),TIAM15_assumptions!$H$2:$V$2,0))</f>
        <v>0.9</v>
      </c>
      <c r="Q74" s="9">
        <f ca="1">OFFSET(TIAM15_assumptions!$G74,0,MATCH(VLOOKUP(Assumptions!Q$2,TIAM15_assumptions!$Y$3:$Z$87,2,FALSE),TIAM15_assumptions!$H$2:$V$2,0))</f>
        <v>0.9</v>
      </c>
      <c r="R74" s="9">
        <f ca="1">OFFSET(TIAM15_assumptions!$G74,0,MATCH(VLOOKUP(Assumptions!R$2,TIAM15_assumptions!$Y$3:$Z$87,2,FALSE),TIAM15_assumptions!$H$2:$V$2,0))</f>
        <v>0.9</v>
      </c>
      <c r="S74" s="9">
        <f ca="1">OFFSET(TIAM15_assumptions!$G74,0,MATCH(VLOOKUP(Assumptions!S$2,TIAM15_assumptions!$Y$3:$Z$87,2,FALSE),TIAM15_assumptions!$H$2:$V$2,0))</f>
        <v>0.9</v>
      </c>
      <c r="T74" s="9">
        <f ca="1">OFFSET(TIAM15_assumptions!$G74,0,MATCH(VLOOKUP(Assumptions!T$2,TIAM15_assumptions!$Y$3:$Z$87,2,FALSE),TIAM15_assumptions!$H$2:$V$2,0))</f>
        <v>0.9</v>
      </c>
      <c r="U74" s="9">
        <f ca="1">OFFSET(TIAM15_assumptions!$G74,0,MATCH(VLOOKUP(Assumptions!U$2,TIAM15_assumptions!$Y$3:$Z$87,2,FALSE),TIAM15_assumptions!$H$2:$V$2,0))</f>
        <v>0.9</v>
      </c>
      <c r="V74" s="9">
        <f ca="1">OFFSET(TIAM15_assumptions!$G74,0,MATCH(VLOOKUP(Assumptions!V$2,TIAM15_assumptions!$Y$3:$Z$87,2,FALSE),TIAM15_assumptions!$H$2:$V$2,0))</f>
        <v>0.9</v>
      </c>
      <c r="W74" s="9">
        <f ca="1">OFFSET(TIAM15_assumptions!$G74,0,MATCH(VLOOKUP(Assumptions!W$2,TIAM15_assumptions!$Y$3:$Z$87,2,FALSE),TIAM15_assumptions!$H$2:$V$2,0))</f>
        <v>0.5</v>
      </c>
      <c r="X74" s="9">
        <f ca="1">OFFSET(TIAM15_assumptions!$G74,0,MATCH(VLOOKUP(Assumptions!X$2,TIAM15_assumptions!$Y$3:$Z$87,2,FALSE),TIAM15_assumptions!$H$2:$V$2,0))</f>
        <v>0.9</v>
      </c>
      <c r="Y74" s="9">
        <f ca="1">OFFSET(TIAM15_assumptions!$G74,0,MATCH(VLOOKUP(Assumptions!Y$2,TIAM15_assumptions!$Y$3:$Z$87,2,FALSE),TIAM15_assumptions!$H$2:$V$2,0))</f>
        <v>0.9</v>
      </c>
      <c r="Z74" s="9">
        <f ca="1">OFFSET(TIAM15_assumptions!$G74,0,MATCH(VLOOKUP(Assumptions!Z$2,TIAM15_assumptions!$Y$3:$Z$87,2,FALSE),TIAM15_assumptions!$H$2:$V$2,0))</f>
        <v>0.3</v>
      </c>
      <c r="AA74" s="9">
        <f ca="1">OFFSET(TIAM15_assumptions!$G74,0,MATCH(VLOOKUP(Assumptions!AA$2,TIAM15_assumptions!$Y$3:$Z$87,2,FALSE),TIAM15_assumptions!$H$2:$V$2,0))</f>
        <v>0.8</v>
      </c>
      <c r="AB74" s="9">
        <f ca="1">OFFSET(TIAM15_assumptions!$G74,0,MATCH(VLOOKUP(Assumptions!AB$2,TIAM15_assumptions!$Y$3:$Z$87,2,FALSE),TIAM15_assumptions!$H$2:$V$2,0))</f>
        <v>0.7</v>
      </c>
      <c r="AC74" s="9">
        <f ca="1">OFFSET(TIAM15_assumptions!$G74,0,MATCH(VLOOKUP(Assumptions!AC$2,TIAM15_assumptions!$Y$3:$Z$87,2,FALSE),TIAM15_assumptions!$H$2:$V$2,0))</f>
        <v>0.96032123091737276</v>
      </c>
      <c r="AD74" s="9">
        <f ca="1">OFFSET(TIAM15_assumptions!$G74,0,MATCH(VLOOKUP(Assumptions!AD$2,TIAM15_assumptions!$Y$3:$Z$87,2,FALSE),TIAM15_assumptions!$H$2:$V$2,0))</f>
        <v>0.9</v>
      </c>
      <c r="AE74" s="9">
        <f ca="1">OFFSET(TIAM15_assumptions!$G74,0,MATCH(VLOOKUP(Assumptions!AE$2,TIAM15_assumptions!$Y$3:$Z$87,2,FALSE),TIAM15_assumptions!$H$2:$V$2,0))</f>
        <v>0.9</v>
      </c>
      <c r="AF74" s="9">
        <f ca="1">OFFSET(TIAM15_assumptions!$G74,0,MATCH(VLOOKUP(Assumptions!AF$2,TIAM15_assumptions!$Y$3:$Z$87,2,FALSE),TIAM15_assumptions!$H$2:$V$2,0))</f>
        <v>0.8</v>
      </c>
      <c r="AG74" s="9">
        <f ca="1">OFFSET(TIAM15_assumptions!$G74,0,MATCH(VLOOKUP(Assumptions!AG$2,TIAM15_assumptions!$Y$3:$Z$87,2,FALSE),TIAM15_assumptions!$H$2:$V$2,0))</f>
        <v>0.9</v>
      </c>
      <c r="AH74" s="9">
        <f ca="1">OFFSET(TIAM15_assumptions!$G74,0,MATCH(VLOOKUP(Assumptions!AH$2,TIAM15_assumptions!$Y$3:$Z$87,2,FALSE),TIAM15_assumptions!$H$2:$V$2,0))</f>
        <v>0.7</v>
      </c>
      <c r="AI74" s="9">
        <f ca="1">OFFSET(TIAM15_assumptions!$G74,0,MATCH(VLOOKUP(Assumptions!AI$2,TIAM15_assumptions!$Y$3:$Z$87,2,FALSE),TIAM15_assumptions!$H$2:$V$2,0))</f>
        <v>0.7</v>
      </c>
      <c r="AJ74" s="9">
        <f ca="1">OFFSET(TIAM15_assumptions!$G74,0,MATCH(VLOOKUP(Assumptions!AJ$2,TIAM15_assumptions!$Y$3:$Z$87,2,FALSE),TIAM15_assumptions!$H$2:$V$2,0))</f>
        <v>0.9</v>
      </c>
      <c r="AK74" s="9">
        <f ca="1">OFFSET(TIAM15_assumptions!$G74,0,MATCH(VLOOKUP(Assumptions!AK$2,TIAM15_assumptions!$Y$3:$Z$87,2,FALSE),TIAM15_assumptions!$H$2:$V$2,0))</f>
        <v>0.9</v>
      </c>
      <c r="AL74" s="9">
        <f ca="1">OFFSET(TIAM15_assumptions!$G74,0,MATCH(VLOOKUP(Assumptions!AL$2,TIAM15_assumptions!$Y$3:$Z$87,2,FALSE),TIAM15_assumptions!$H$2:$V$2,0))</f>
        <v>0.9</v>
      </c>
      <c r="AM74" s="9">
        <f ca="1">OFFSET(TIAM15_assumptions!$G74,0,MATCH(VLOOKUP(Assumptions!AM$2,TIAM15_assumptions!$Y$3:$Z$87,2,FALSE),TIAM15_assumptions!$H$2:$V$2,0))</f>
        <v>0.7</v>
      </c>
      <c r="AN74" s="9">
        <f ca="1">OFFSET(TIAM15_assumptions!$G74,0,MATCH(VLOOKUP(Assumptions!AN$2,TIAM15_assumptions!$Y$3:$Z$87,2,FALSE),TIAM15_assumptions!$H$2:$V$2,0))</f>
        <v>0.9</v>
      </c>
      <c r="AO74" s="9">
        <f ca="1">OFFSET(TIAM15_assumptions!$G74,0,MATCH(VLOOKUP(Assumptions!AO$2,TIAM15_assumptions!$Y$3:$Z$87,2,FALSE),TIAM15_assumptions!$H$2:$V$2,0))</f>
        <v>0.9</v>
      </c>
      <c r="AP74" s="9">
        <f ca="1">OFFSET(TIAM15_assumptions!$G74,0,MATCH(VLOOKUP(Assumptions!AP$2,TIAM15_assumptions!$Y$3:$Z$87,2,FALSE),TIAM15_assumptions!$H$2:$V$2,0))</f>
        <v>0.9</v>
      </c>
      <c r="AQ74" s="9">
        <f ca="1">OFFSET(TIAM15_assumptions!$G74,0,MATCH(VLOOKUP(Assumptions!AQ$2,TIAM15_assumptions!$Y$3:$Z$87,2,FALSE),TIAM15_assumptions!$H$2:$V$2,0))</f>
        <v>0.96032123091737276</v>
      </c>
      <c r="AR74" s="9">
        <f ca="1">OFFSET(TIAM15_assumptions!$G74,0,MATCH(VLOOKUP(Assumptions!AR$2,TIAM15_assumptions!$Y$3:$Z$87,2,FALSE),TIAM15_assumptions!$H$2:$V$2,0))</f>
        <v>0.96032123091737276</v>
      </c>
      <c r="AS74" s="9">
        <f ca="1">OFFSET(TIAM15_assumptions!$G74,0,MATCH(VLOOKUP(Assumptions!AS$2,TIAM15_assumptions!$Y$3:$Z$87,2,FALSE),TIAM15_assumptions!$H$2:$V$2,0))</f>
        <v>0.96032123091737276</v>
      </c>
      <c r="AT74" s="9">
        <f ca="1">OFFSET(TIAM15_assumptions!$G74,0,MATCH(VLOOKUP(Assumptions!AT$2,TIAM15_assumptions!$Y$3:$Z$87,2,FALSE),TIAM15_assumptions!$H$2:$V$2,0))</f>
        <v>0.96032123091737276</v>
      </c>
      <c r="AU74" s="9">
        <f ca="1">OFFSET(TIAM15_assumptions!$G74,0,MATCH(VLOOKUP(Assumptions!AU$2,TIAM15_assumptions!$Y$3:$Z$87,2,FALSE),TIAM15_assumptions!$H$2:$V$2,0))</f>
        <v>0.96032123091737276</v>
      </c>
      <c r="AV74" s="9">
        <f ca="1">OFFSET(TIAM15_assumptions!$G74,0,MATCH(VLOOKUP(Assumptions!AV$2,TIAM15_assumptions!$Y$3:$Z$87,2,FALSE),TIAM15_assumptions!$H$2:$V$2,0))</f>
        <v>0.96032123091737276</v>
      </c>
      <c r="AW74" s="9">
        <f ca="1">OFFSET(TIAM15_assumptions!$G74,0,MATCH(VLOOKUP(Assumptions!AW$2,TIAM15_assumptions!$Y$3:$Z$87,2,FALSE),TIAM15_assumptions!$H$2:$V$2,0))</f>
        <v>0.96032123091737276</v>
      </c>
      <c r="AX74" s="9">
        <f ca="1">OFFSET(TIAM15_assumptions!$G74,0,MATCH(VLOOKUP(Assumptions!AX$2,TIAM15_assumptions!$Y$3:$Z$87,2,FALSE),TIAM15_assumptions!$H$2:$V$2,0))</f>
        <v>0.96032123091737276</v>
      </c>
      <c r="AY74" s="9">
        <f ca="1">OFFSET(TIAM15_assumptions!$G74,0,MATCH(VLOOKUP(Assumptions!AY$2,TIAM15_assumptions!$Y$3:$Z$87,2,FALSE),TIAM15_assumptions!$H$2:$V$2,0))</f>
        <v>0.96032123091737276</v>
      </c>
      <c r="AZ74" s="9">
        <f ca="1">OFFSET(TIAM15_assumptions!$G74,0,MATCH(VLOOKUP(Assumptions!AZ$2,TIAM15_assumptions!$Y$3:$Z$87,2,FALSE),TIAM15_assumptions!$H$2:$V$2,0))</f>
        <v>0.96032123091737276</v>
      </c>
      <c r="BA74" s="9">
        <f ca="1">OFFSET(TIAM15_assumptions!$G74,0,MATCH(VLOOKUP(Assumptions!BA$2,TIAM15_assumptions!$Y$3:$Z$87,2,FALSE),TIAM15_assumptions!$H$2:$V$2,0))</f>
        <v>0.96032123091737276</v>
      </c>
      <c r="BD74" s="34">
        <f ca="1">IFERROR(SUMIFS('TRA balance'!E$5:E$40,'TRA balance'!$C$5:$C$40,Assumptions!$C74,'TRA balance'!$D$5:$D$40,Assumptions!$B74)*CY74*H74,"")</f>
        <v>0</v>
      </c>
      <c r="BE74" s="34">
        <f ca="1">IFERROR(SUMIFS('TRA balance'!F$5:F$40,'TRA balance'!$C$5:$C$40,Assumptions!$C74,'TRA balance'!$D$5:$D$40,Assumptions!$B74)*CZ74*I74,"")</f>
        <v>0</v>
      </c>
      <c r="BF74" s="34">
        <f ca="1">IFERROR(SUMIFS('TRA balance'!G$5:G$40,'TRA balance'!$C$5:$C$40,Assumptions!$C74,'TRA balance'!$D$5:$D$40,Assumptions!$B74)*DA74*J74,"")</f>
        <v>0</v>
      </c>
      <c r="BG74" s="34">
        <f ca="1">IFERROR(SUMIFS('TRA balance'!H$5:H$40,'TRA balance'!$C$5:$C$40,Assumptions!$C74,'TRA balance'!$D$5:$D$40,Assumptions!$B74)*DB74*K74,"")</f>
        <v>6.9310799280000002E-2</v>
      </c>
      <c r="BH74" s="34">
        <f ca="1">IFERROR(SUMIFS('TRA balance'!I$5:I$40,'TRA balance'!$C$5:$C$40,Assumptions!$C74,'TRA balance'!$D$5:$D$40,Assumptions!$B74)*DC74*L74,"")</f>
        <v>0.11554939979999999</v>
      </c>
      <c r="BI74" s="34">
        <f ca="1">IFERROR(SUMIFS('TRA balance'!J$5:J$40,'TRA balance'!$C$5:$C$40,Assumptions!$C74,'TRA balance'!$D$5:$D$40,Assumptions!$B74)*DD74*M74,"")</f>
        <v>6.2411371559999998E-2</v>
      </c>
      <c r="BJ74" s="34">
        <f ca="1">IFERROR(SUMIFS('TRA balance'!K$5:K$40,'TRA balance'!$C$5:$C$40,Assumptions!$C74,'TRA balance'!$D$5:$D$40,Assumptions!$B74)*DE74*N74,"")</f>
        <v>3.5138271657600004</v>
      </c>
      <c r="BK74" s="34">
        <f ca="1">IFERROR(SUMIFS('TRA balance'!L$5:L$40,'TRA balance'!$C$5:$C$40,Assumptions!$C74,'TRA balance'!$D$5:$D$40,Assumptions!$B74)*DF74*O74,"")</f>
        <v>0</v>
      </c>
      <c r="BL74" s="34">
        <f ca="1">IFERROR(SUMIFS('TRA balance'!M$5:M$40,'TRA balance'!$C$5:$C$40,Assumptions!$C74,'TRA balance'!$D$5:$D$40,Assumptions!$B74)*DG74*P74,"")</f>
        <v>0</v>
      </c>
      <c r="BM74" s="34">
        <f ca="1">IFERROR(SUMIFS('TRA balance'!N$5:N$40,'TRA balance'!$C$5:$C$40,Assumptions!$C74,'TRA balance'!$D$5:$D$40,Assumptions!$B74)*DH74*Q74,"")</f>
        <v>0.16649815032000001</v>
      </c>
      <c r="BN74" s="34">
        <f ca="1">IFERROR(SUMIFS('TRA balance'!O$5:O$40,'TRA balance'!$C$5:$C$40,Assumptions!$C74,'TRA balance'!$D$5:$D$40,Assumptions!$B74)*DI74*R74,"")</f>
        <v>0.30773859228</v>
      </c>
      <c r="BO74" s="34">
        <f ca="1">IFERROR(SUMIFS('TRA balance'!P$5:P$40,'TRA balance'!$C$5:$C$40,Assumptions!$C74,'TRA balance'!$D$5:$D$40,Assumptions!$B74)*DJ74*S74,"")</f>
        <v>0.53435332907999999</v>
      </c>
      <c r="BP74" s="34">
        <f ca="1">IFERROR(SUMIFS('TRA balance'!Q$5:Q$40,'TRA balance'!$C$5:$C$40,Assumptions!$C74,'TRA balance'!$D$5:$D$40,Assumptions!$B74)*DK74*T74,"")</f>
        <v>0</v>
      </c>
      <c r="BQ74" s="34">
        <f ca="1">IFERROR(SUMIFS('TRA balance'!R$5:R$40,'TRA balance'!$C$5:$C$40,Assumptions!$C74,'TRA balance'!$D$5:$D$40,Assumptions!$B74)*DL74*U74,"")</f>
        <v>0</v>
      </c>
      <c r="BR74" s="34">
        <f ca="1">IFERROR(SUMIFS('TRA balance'!S$5:S$40,'TRA balance'!$C$5:$C$40,Assumptions!$C74,'TRA balance'!$D$5:$D$40,Assumptions!$B74)*DM74*V74,"")</f>
        <v>0</v>
      </c>
      <c r="BS74" s="34">
        <f ca="1">IFERROR(SUMIFS('TRA balance'!T$5:T$40,'TRA balance'!$C$5:$C$40,Assumptions!$C74,'TRA balance'!$D$5:$D$40,Assumptions!$B74)*DN74*W74,"")</f>
        <v>0</v>
      </c>
      <c r="BT74" s="34">
        <f ca="1">IFERROR(SUMIFS('TRA balance'!U$5:U$40,'TRA balance'!$C$5:$C$40,Assumptions!$C74,'TRA balance'!$D$5:$D$40,Assumptions!$B74)*DO74*X74,"")</f>
        <v>0</v>
      </c>
      <c r="BU74" s="34">
        <f ca="1">IFERROR(SUMIFS('TRA balance'!V$5:V$40,'TRA balance'!$C$5:$C$40,Assumptions!$C74,'TRA balance'!$D$5:$D$40,Assumptions!$B74)*DP74*Y74,"")</f>
        <v>0</v>
      </c>
      <c r="BV74" s="34">
        <f ca="1">IFERROR(SUMIFS('TRA balance'!W$5:W$40,'TRA balance'!$C$5:$C$40,Assumptions!$C74,'TRA balance'!$D$5:$D$40,Assumptions!$B74)*DQ74*Z74,"")</f>
        <v>0</v>
      </c>
      <c r="BW74" s="34">
        <f ca="1">IFERROR(SUMIFS('TRA balance'!X$5:X$40,'TRA balance'!$C$5:$C$40,Assumptions!$C74,'TRA balance'!$D$5:$D$40,Assumptions!$B74)*DR74*AA74,"")</f>
        <v>0</v>
      </c>
      <c r="BX74" s="34">
        <f ca="1">IFERROR(SUMIFS('TRA balance'!Y$5:Y$40,'TRA balance'!$C$5:$C$40,Assumptions!$C74,'TRA balance'!$D$5:$D$40,Assumptions!$B74)*DS74*AB74,"")</f>
        <v>0</v>
      </c>
      <c r="BY74" s="34">
        <f ca="1">IFERROR(SUMIFS('TRA balance'!Z$5:Z$40,'TRA balance'!$C$5:$C$40,Assumptions!$C74,'TRA balance'!$D$5:$D$40,Assumptions!$B74)*DT74*AC74,"")</f>
        <v>16.526200087265348</v>
      </c>
      <c r="BZ74" s="34">
        <f ca="1">IFERROR(SUMIFS('TRA balance'!AA$5:AA$40,'TRA balance'!$C$5:$C$40,Assumptions!$C74,'TRA balance'!$D$5:$D$40,Assumptions!$B74)*DU74*AD74,"")</f>
        <v>0</v>
      </c>
      <c r="CA74" s="34">
        <f ca="1">IFERROR(SUMIFS('TRA balance'!AB$5:AB$40,'TRA balance'!$C$5:$C$40,Assumptions!$C74,'TRA balance'!$D$5:$D$40,Assumptions!$B74)*DV74*AE74,"")</f>
        <v>0</v>
      </c>
      <c r="CB74" s="34">
        <f ca="1">IFERROR(SUMIFS('TRA balance'!AC$5:AC$40,'TRA balance'!$C$5:$C$40,Assumptions!$C74,'TRA balance'!$D$5:$D$40,Assumptions!$B74)*DW74*AF74,"")</f>
        <v>1.0081814400000001E-3</v>
      </c>
      <c r="CC74" s="34">
        <f ca="1">IFERROR(SUMIFS('TRA balance'!AD$5:AD$40,'TRA balance'!$C$5:$C$40,Assumptions!$C74,'TRA balance'!$D$5:$D$40,Assumptions!$B74)*DX74*AG74,"")</f>
        <v>0</v>
      </c>
      <c r="CD74" s="34">
        <f ca="1">IFERROR(SUMIFS('TRA balance'!AE$5:AE$40,'TRA balance'!$C$5:$C$40,Assumptions!$C74,'TRA balance'!$D$5:$D$40,Assumptions!$B74)*DY74*AH74,"")</f>
        <v>0</v>
      </c>
      <c r="CE74" s="34">
        <f ca="1">IFERROR(SUMIFS('TRA balance'!AF$5:AF$40,'TRA balance'!$C$5:$C$40,Assumptions!$C74,'TRA balance'!$D$5:$D$40,Assumptions!$B74)*DZ74*AI74,"")</f>
        <v>0</v>
      </c>
      <c r="CF74" s="34">
        <f ca="1">IFERROR(SUMIFS('TRA balance'!AG$5:AG$40,'TRA balance'!$C$5:$C$40,Assumptions!$C74,'TRA balance'!$D$5:$D$40,Assumptions!$B74)*EA74*AJ74,"")</f>
        <v>0</v>
      </c>
      <c r="CG74" s="34">
        <f ca="1">IFERROR(SUMIFS('TRA balance'!AH$5:AH$40,'TRA balance'!$C$5:$C$40,Assumptions!$C74,'TRA balance'!$D$5:$D$40,Assumptions!$B74)*EB74*AK74,"")</f>
        <v>0</v>
      </c>
      <c r="CH74" s="34">
        <f ca="1">IFERROR(SUMIFS('TRA balance'!AI$5:AI$40,'TRA balance'!$C$5:$C$40,Assumptions!$C74,'TRA balance'!$D$5:$D$40,Assumptions!$B74)*EC74*AL74,"")</f>
        <v>1.1684940120000001E-2</v>
      </c>
      <c r="CI74" s="34">
        <f ca="1">IFERROR(SUMIFS('TRA balance'!AJ$5:AJ$40,'TRA balance'!$C$5:$C$40,Assumptions!$C74,'TRA balance'!$D$5:$D$40,Assumptions!$B74)*ED74*AM74,"")</f>
        <v>0</v>
      </c>
      <c r="CJ74" s="34">
        <f ca="1">IFERROR(SUMIFS('TRA balance'!AK$5:AK$40,'TRA balance'!$C$5:$C$40,Assumptions!$C74,'TRA balance'!$D$5:$D$40,Assumptions!$B74)*EE74*AN74,"")</f>
        <v>0</v>
      </c>
      <c r="CK74" s="34">
        <f ca="1">IFERROR(SUMIFS('TRA balance'!AL$5:AL$40,'TRA balance'!$C$5:$C$40,Assumptions!$C74,'TRA balance'!$D$5:$D$40,Assumptions!$B74)*EF74*AO74,"")</f>
        <v>0</v>
      </c>
      <c r="CL74" s="34">
        <f ca="1">IFERROR(SUMIFS('TRA balance'!AM$5:AM$40,'TRA balance'!$C$5:$C$40,Assumptions!$C74,'TRA balance'!$D$5:$D$40,Assumptions!$B74)*EG74*AP74,"")</f>
        <v>0</v>
      </c>
      <c r="CM74" s="34">
        <f ca="1">IFERROR(SUMIFS('TRA balance'!AN$5:AN$40,'TRA balance'!$C$5:$C$40,Assumptions!$C74,'TRA balance'!$D$5:$D$40,Assumptions!$B74)*EH74*AQ74,"")</f>
        <v>0</v>
      </c>
      <c r="CN74" s="34">
        <f ca="1">IFERROR(SUMIFS('TRA balance'!AO$5:AO$40,'TRA balance'!$C$5:$C$40,Assumptions!$C74,'TRA balance'!$D$5:$D$40,Assumptions!$B74)*EI74*AR74,"")</f>
        <v>0</v>
      </c>
      <c r="CO74" s="34">
        <f ca="1">IFERROR(SUMIFS('TRA balance'!AP$5:AP$40,'TRA balance'!$C$5:$C$40,Assumptions!$C74,'TRA balance'!$D$5:$D$40,Assumptions!$B74)*EJ74*AS74,"")</f>
        <v>0</v>
      </c>
      <c r="CP74" s="34">
        <f ca="1">IFERROR(SUMIFS('TRA balance'!AQ$5:AQ$40,'TRA balance'!$C$5:$C$40,Assumptions!$C74,'TRA balance'!$D$5:$D$40,Assumptions!$B74)*EK74*AT74,"")</f>
        <v>0</v>
      </c>
      <c r="CQ74" s="34">
        <f ca="1">IFERROR(SUMIFS('TRA balance'!AR$5:AR$40,'TRA balance'!$C$5:$C$40,Assumptions!$C74,'TRA balance'!$D$5:$D$40,Assumptions!$B74)*EL74*AU74,"")</f>
        <v>0</v>
      </c>
      <c r="CR74" s="34">
        <f ca="1">IFERROR(SUMIFS('TRA balance'!AS$5:AS$40,'TRA balance'!$C$5:$C$40,Assumptions!$C74,'TRA balance'!$D$5:$D$40,Assumptions!$B74)*EM74*AV74,"")</f>
        <v>0</v>
      </c>
      <c r="CS74" s="34">
        <f ca="1">IFERROR(SUMIFS('TRA balance'!AT$5:AT$40,'TRA balance'!$C$5:$C$40,Assumptions!$C74,'TRA balance'!$D$5:$D$40,Assumptions!$B74)*EN74*AW74,"")</f>
        <v>0</v>
      </c>
      <c r="CT74" s="34">
        <f ca="1">IFERROR(SUMIFS('TRA balance'!AU$5:AU$40,'TRA balance'!$C$5:$C$40,Assumptions!$C74,'TRA balance'!$D$5:$D$40,Assumptions!$B74)*EO74*AX74,"")</f>
        <v>0</v>
      </c>
      <c r="CU74" s="34">
        <f ca="1">IFERROR(SUMIFS('TRA balance'!AV$5:AV$40,'TRA balance'!$C$5:$C$40,Assumptions!$C74,'TRA balance'!$D$5:$D$40,Assumptions!$B74)*EP74*AY74,"")</f>
        <v>0</v>
      </c>
      <c r="CV74" s="34">
        <f ca="1">IFERROR(SUMIFS('TRA balance'!AW$5:AW$40,'TRA balance'!$C$5:$C$40,Assumptions!$C74,'TRA balance'!$D$5:$D$40,Assumptions!$B74)*EQ74*AZ74,"")</f>
        <v>0</v>
      </c>
      <c r="CW74" s="34">
        <f ca="1">IFERROR(SUMIFS('TRA balance'!AX$5:AX$40,'TRA balance'!$C$5:$C$40,Assumptions!$C74,'TRA balance'!$D$5:$D$40,Assumptions!$B74)*ER74*BA74,"")</f>
        <v>0</v>
      </c>
      <c r="CY74" s="33">
        <f t="shared" si="86"/>
        <v>1</v>
      </c>
      <c r="CZ74" s="33">
        <f t="shared" si="87"/>
        <v>1</v>
      </c>
      <c r="DA74" s="33">
        <f t="shared" si="88"/>
        <v>1</v>
      </c>
      <c r="DB74" s="33">
        <f t="shared" si="89"/>
        <v>1</v>
      </c>
      <c r="DC74" s="33">
        <f t="shared" si="90"/>
        <v>1</v>
      </c>
      <c r="DD74" s="33">
        <f t="shared" si="91"/>
        <v>1</v>
      </c>
      <c r="DE74" s="33">
        <f t="shared" si="92"/>
        <v>1</v>
      </c>
      <c r="DF74" s="33">
        <f t="shared" si="93"/>
        <v>1</v>
      </c>
      <c r="DG74" s="33">
        <f t="shared" si="94"/>
        <v>1</v>
      </c>
      <c r="DH74" s="33">
        <f t="shared" si="95"/>
        <v>1</v>
      </c>
      <c r="DI74" s="33">
        <f t="shared" si="96"/>
        <v>1</v>
      </c>
      <c r="DJ74" s="33">
        <f t="shared" si="97"/>
        <v>1</v>
      </c>
      <c r="DK74" s="33">
        <f t="shared" si="98"/>
        <v>1</v>
      </c>
      <c r="DL74" s="33">
        <f t="shared" si="99"/>
        <v>1</v>
      </c>
      <c r="DM74" s="33">
        <f t="shared" si="100"/>
        <v>1</v>
      </c>
      <c r="DN74" s="33">
        <f t="shared" si="101"/>
        <v>1</v>
      </c>
      <c r="DO74" s="33">
        <f t="shared" si="102"/>
        <v>1</v>
      </c>
      <c r="DP74" s="33">
        <f t="shared" si="103"/>
        <v>1</v>
      </c>
      <c r="DQ74" s="33">
        <f t="shared" si="104"/>
        <v>1</v>
      </c>
      <c r="DR74" s="33">
        <f t="shared" si="105"/>
        <v>1</v>
      </c>
      <c r="DS74" s="33">
        <f t="shared" si="106"/>
        <v>1</v>
      </c>
      <c r="DT74" s="33">
        <f t="shared" si="107"/>
        <v>1</v>
      </c>
      <c r="DU74" s="33">
        <f t="shared" si="108"/>
        <v>1</v>
      </c>
      <c r="DV74" s="33">
        <f t="shared" si="109"/>
        <v>1</v>
      </c>
      <c r="DW74" s="33">
        <f t="shared" si="110"/>
        <v>1</v>
      </c>
      <c r="DX74" s="33">
        <f t="shared" si="111"/>
        <v>1</v>
      </c>
      <c r="DY74" s="33">
        <f t="shared" si="112"/>
        <v>1</v>
      </c>
      <c r="DZ74" s="33">
        <f t="shared" si="113"/>
        <v>1</v>
      </c>
      <c r="EA74" s="33">
        <f t="shared" si="114"/>
        <v>1</v>
      </c>
      <c r="EB74" s="33">
        <f t="shared" si="115"/>
        <v>1</v>
      </c>
      <c r="EC74" s="33">
        <f t="shared" si="116"/>
        <v>1</v>
      </c>
      <c r="ED74" s="33">
        <f t="shared" si="117"/>
        <v>1</v>
      </c>
      <c r="EE74" s="33">
        <f t="shared" si="118"/>
        <v>1</v>
      </c>
      <c r="EF74" s="33">
        <f t="shared" si="119"/>
        <v>1</v>
      </c>
      <c r="EG74" s="33">
        <f t="shared" si="120"/>
        <v>1</v>
      </c>
      <c r="EH74" s="33">
        <f t="shared" si="121"/>
        <v>1</v>
      </c>
      <c r="EI74" s="33">
        <f t="shared" si="122"/>
        <v>1</v>
      </c>
      <c r="EJ74" s="33">
        <f t="shared" si="123"/>
        <v>1</v>
      </c>
      <c r="EK74" s="33">
        <f t="shared" si="124"/>
        <v>1</v>
      </c>
      <c r="EL74" s="33">
        <f t="shared" si="125"/>
        <v>1</v>
      </c>
      <c r="EM74" s="33">
        <f t="shared" si="126"/>
        <v>1</v>
      </c>
      <c r="EN74" s="33">
        <f t="shared" si="127"/>
        <v>1</v>
      </c>
      <c r="EO74" s="33">
        <f t="shared" si="128"/>
        <v>1</v>
      </c>
      <c r="EP74" s="33">
        <f t="shared" si="129"/>
        <v>1</v>
      </c>
      <c r="EQ74" s="33">
        <f t="shared" si="130"/>
        <v>1</v>
      </c>
      <c r="ER74" s="33">
        <f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6" t="str">
        <f t="shared" si="133"/>
        <v>TT</v>
      </c>
      <c r="D75" s="7" t="s">
        <v>17</v>
      </c>
      <c r="E75" s="7" t="s">
        <v>56</v>
      </c>
      <c r="F75" s="8" t="str">
        <f t="shared" si="134"/>
        <v>Bio Diesel</v>
      </c>
      <c r="G75" s="6" t="s">
        <v>57</v>
      </c>
      <c r="H75" s="9">
        <f ca="1">OFFSET(TIAM15_assumptions!$G75,0,MATCH(VLOOKUP(Assumptions!H$2,TIAM15_assumptions!$Y$3:$Z$87,2,FALSE),TIAM15_assumptions!$H$2:$V$2,0))</f>
        <v>0.3</v>
      </c>
      <c r="I75" s="9">
        <f ca="1">OFFSET(TIAM15_assumptions!$G75,0,MATCH(VLOOKUP(Assumptions!I$2,TIAM15_assumptions!$Y$3:$Z$87,2,FALSE),TIAM15_assumptions!$H$2:$V$2,0))</f>
        <v>0.3</v>
      </c>
      <c r="J75" s="9">
        <f ca="1">OFFSET(TIAM15_assumptions!$G75,0,MATCH(VLOOKUP(Assumptions!J$2,TIAM15_assumptions!$Y$3:$Z$87,2,FALSE),TIAM15_assumptions!$H$2:$V$2,0))</f>
        <v>0.3</v>
      </c>
      <c r="K75" s="9">
        <f ca="1">OFFSET(TIAM15_assumptions!$G75,0,MATCH(VLOOKUP(Assumptions!K$2,TIAM15_assumptions!$Y$3:$Z$87,2,FALSE),TIAM15_assumptions!$H$2:$V$2,0))</f>
        <v>0.1</v>
      </c>
      <c r="L75" s="9">
        <f ca="1">OFFSET(TIAM15_assumptions!$G75,0,MATCH(VLOOKUP(Assumptions!L$2,TIAM15_assumptions!$Y$3:$Z$87,2,FALSE),TIAM15_assumptions!$H$2:$V$2,0))</f>
        <v>0.1</v>
      </c>
      <c r="M75" s="9">
        <f ca="1">OFFSET(TIAM15_assumptions!$G75,0,MATCH(VLOOKUP(Assumptions!M$2,TIAM15_assumptions!$Y$3:$Z$87,2,FALSE),TIAM15_assumptions!$H$2:$V$2,0))</f>
        <v>0.1</v>
      </c>
      <c r="N75" s="9">
        <f ca="1">OFFSET(TIAM15_assumptions!$G75,0,MATCH(VLOOKUP(Assumptions!N$2,TIAM15_assumptions!$Y$3:$Z$87,2,FALSE),TIAM15_assumptions!$H$2:$V$2,0))</f>
        <v>0.2</v>
      </c>
      <c r="O75" s="9">
        <f ca="1">OFFSET(TIAM15_assumptions!$G75,0,MATCH(VLOOKUP(Assumptions!O$2,TIAM15_assumptions!$Y$3:$Z$87,2,FALSE),TIAM15_assumptions!$H$2:$V$2,0))</f>
        <v>0.4</v>
      </c>
      <c r="P75" s="9">
        <f ca="1">OFFSET(TIAM15_assumptions!$G75,0,MATCH(VLOOKUP(Assumptions!P$2,TIAM15_assumptions!$Y$3:$Z$87,2,FALSE),TIAM15_assumptions!$H$2:$V$2,0))</f>
        <v>0.1</v>
      </c>
      <c r="Q75" s="9">
        <f ca="1">OFFSET(TIAM15_assumptions!$G75,0,MATCH(VLOOKUP(Assumptions!Q$2,TIAM15_assumptions!$Y$3:$Z$87,2,FALSE),TIAM15_assumptions!$H$2:$V$2,0))</f>
        <v>0.1</v>
      </c>
      <c r="R75" s="9">
        <f ca="1">OFFSET(TIAM15_assumptions!$G75,0,MATCH(VLOOKUP(Assumptions!R$2,TIAM15_assumptions!$Y$3:$Z$87,2,FALSE),TIAM15_assumptions!$H$2:$V$2,0))</f>
        <v>0.1</v>
      </c>
      <c r="S75" s="9">
        <f ca="1">OFFSET(TIAM15_assumptions!$G75,0,MATCH(VLOOKUP(Assumptions!S$2,TIAM15_assumptions!$Y$3:$Z$87,2,FALSE),TIAM15_assumptions!$H$2:$V$2,0))</f>
        <v>0.1</v>
      </c>
      <c r="T75" s="9">
        <f ca="1">OFFSET(TIAM15_assumptions!$G75,0,MATCH(VLOOKUP(Assumptions!T$2,TIAM15_assumptions!$Y$3:$Z$87,2,FALSE),TIAM15_assumptions!$H$2:$V$2,0))</f>
        <v>0.1</v>
      </c>
      <c r="U75" s="9">
        <f ca="1">OFFSET(TIAM15_assumptions!$G75,0,MATCH(VLOOKUP(Assumptions!U$2,TIAM15_assumptions!$Y$3:$Z$87,2,FALSE),TIAM15_assumptions!$H$2:$V$2,0))</f>
        <v>0.1</v>
      </c>
      <c r="V75" s="9">
        <f ca="1">OFFSET(TIAM15_assumptions!$G75,0,MATCH(VLOOKUP(Assumptions!V$2,TIAM15_assumptions!$Y$3:$Z$87,2,FALSE),TIAM15_assumptions!$H$2:$V$2,0))</f>
        <v>0.1</v>
      </c>
      <c r="W75" s="9">
        <f ca="1">OFFSET(TIAM15_assumptions!$G75,0,MATCH(VLOOKUP(Assumptions!W$2,TIAM15_assumptions!$Y$3:$Z$87,2,FALSE),TIAM15_assumptions!$H$2:$V$2,0))</f>
        <v>0.5</v>
      </c>
      <c r="X75" s="9">
        <f ca="1">OFFSET(TIAM15_assumptions!$G75,0,MATCH(VLOOKUP(Assumptions!X$2,TIAM15_assumptions!$Y$3:$Z$87,2,FALSE),TIAM15_assumptions!$H$2:$V$2,0))</f>
        <v>0.1</v>
      </c>
      <c r="Y75" s="9">
        <f ca="1">OFFSET(TIAM15_assumptions!$G75,0,MATCH(VLOOKUP(Assumptions!Y$2,TIAM15_assumptions!$Y$3:$Z$87,2,FALSE),TIAM15_assumptions!$H$2:$V$2,0))</f>
        <v>0.1</v>
      </c>
      <c r="Z75" s="9">
        <f ca="1">OFFSET(TIAM15_assumptions!$G75,0,MATCH(VLOOKUP(Assumptions!Z$2,TIAM15_assumptions!$Y$3:$Z$87,2,FALSE),TIAM15_assumptions!$H$2:$V$2,0))</f>
        <v>0.7</v>
      </c>
      <c r="AA75" s="9">
        <f ca="1">OFFSET(TIAM15_assumptions!$G75,0,MATCH(VLOOKUP(Assumptions!AA$2,TIAM15_assumptions!$Y$3:$Z$87,2,FALSE),TIAM15_assumptions!$H$2:$V$2,0))</f>
        <v>0.2</v>
      </c>
      <c r="AB75" s="9">
        <f ca="1">OFFSET(TIAM15_assumptions!$G75,0,MATCH(VLOOKUP(Assumptions!AB$2,TIAM15_assumptions!$Y$3:$Z$87,2,FALSE),TIAM15_assumptions!$H$2:$V$2,0))</f>
        <v>0.3</v>
      </c>
      <c r="AC75" s="9">
        <f ca="1">OFFSET(TIAM15_assumptions!$G75,0,MATCH(VLOOKUP(Assumptions!AC$2,TIAM15_assumptions!$Y$3:$Z$87,2,FALSE),TIAM15_assumptions!$H$2:$V$2,0))</f>
        <v>3.9678769082627241E-2</v>
      </c>
      <c r="AD75" s="9">
        <f ca="1">OFFSET(TIAM15_assumptions!$G75,0,MATCH(VLOOKUP(Assumptions!AD$2,TIAM15_assumptions!$Y$3:$Z$87,2,FALSE),TIAM15_assumptions!$H$2:$V$2,0))</f>
        <v>0.1</v>
      </c>
      <c r="AE75" s="9">
        <f ca="1">OFFSET(TIAM15_assumptions!$G75,0,MATCH(VLOOKUP(Assumptions!AE$2,TIAM15_assumptions!$Y$3:$Z$87,2,FALSE),TIAM15_assumptions!$H$2:$V$2,0))</f>
        <v>0.1</v>
      </c>
      <c r="AF75" s="9">
        <f ca="1">OFFSET(TIAM15_assumptions!$G75,0,MATCH(VLOOKUP(Assumptions!AF$2,TIAM15_assumptions!$Y$3:$Z$87,2,FALSE),TIAM15_assumptions!$H$2:$V$2,0))</f>
        <v>0.2</v>
      </c>
      <c r="AG75" s="9">
        <f ca="1">OFFSET(TIAM15_assumptions!$G75,0,MATCH(VLOOKUP(Assumptions!AG$2,TIAM15_assumptions!$Y$3:$Z$87,2,FALSE),TIAM15_assumptions!$H$2:$V$2,0))</f>
        <v>0.1</v>
      </c>
      <c r="AH75" s="9">
        <f ca="1">OFFSET(TIAM15_assumptions!$G75,0,MATCH(VLOOKUP(Assumptions!AH$2,TIAM15_assumptions!$Y$3:$Z$87,2,FALSE),TIAM15_assumptions!$H$2:$V$2,0))</f>
        <v>0.3</v>
      </c>
      <c r="AI75" s="9">
        <f ca="1">OFFSET(TIAM15_assumptions!$G75,0,MATCH(VLOOKUP(Assumptions!AI$2,TIAM15_assumptions!$Y$3:$Z$87,2,FALSE),TIAM15_assumptions!$H$2:$V$2,0))</f>
        <v>0.3</v>
      </c>
      <c r="AJ75" s="9">
        <f ca="1">OFFSET(TIAM15_assumptions!$G75,0,MATCH(VLOOKUP(Assumptions!AJ$2,TIAM15_assumptions!$Y$3:$Z$87,2,FALSE),TIAM15_assumptions!$H$2:$V$2,0))</f>
        <v>0.1</v>
      </c>
      <c r="AK75" s="9">
        <f ca="1">OFFSET(TIAM15_assumptions!$G75,0,MATCH(VLOOKUP(Assumptions!AK$2,TIAM15_assumptions!$Y$3:$Z$87,2,FALSE),TIAM15_assumptions!$H$2:$V$2,0))</f>
        <v>0.1</v>
      </c>
      <c r="AL75" s="9">
        <f ca="1">OFFSET(TIAM15_assumptions!$G75,0,MATCH(VLOOKUP(Assumptions!AL$2,TIAM15_assumptions!$Y$3:$Z$87,2,FALSE),TIAM15_assumptions!$H$2:$V$2,0))</f>
        <v>0.1</v>
      </c>
      <c r="AM75" s="9">
        <f ca="1">OFFSET(TIAM15_assumptions!$G75,0,MATCH(VLOOKUP(Assumptions!AM$2,TIAM15_assumptions!$Y$3:$Z$87,2,FALSE),TIAM15_assumptions!$H$2:$V$2,0))</f>
        <v>0.3</v>
      </c>
      <c r="AN75" s="9">
        <f ca="1">OFFSET(TIAM15_assumptions!$G75,0,MATCH(VLOOKUP(Assumptions!AN$2,TIAM15_assumptions!$Y$3:$Z$87,2,FALSE),TIAM15_assumptions!$H$2:$V$2,0))</f>
        <v>0.1</v>
      </c>
      <c r="AO75" s="9">
        <f ca="1">OFFSET(TIAM15_assumptions!$G75,0,MATCH(VLOOKUP(Assumptions!AO$2,TIAM15_assumptions!$Y$3:$Z$87,2,FALSE),TIAM15_assumptions!$H$2:$V$2,0))</f>
        <v>0.1</v>
      </c>
      <c r="AP75" s="9">
        <f ca="1">OFFSET(TIAM15_assumptions!$G75,0,MATCH(VLOOKUP(Assumptions!AP$2,TIAM15_assumptions!$Y$3:$Z$87,2,FALSE),TIAM15_assumptions!$H$2:$V$2,0))</f>
        <v>0.1</v>
      </c>
      <c r="AQ75" s="9">
        <f ca="1">OFFSET(TIAM15_assumptions!$G75,0,MATCH(VLOOKUP(Assumptions!AQ$2,TIAM15_assumptions!$Y$3:$Z$87,2,FALSE),TIAM15_assumptions!$H$2:$V$2,0))</f>
        <v>3.9678769082627241E-2</v>
      </c>
      <c r="AR75" s="9">
        <f ca="1">OFFSET(TIAM15_assumptions!$G75,0,MATCH(VLOOKUP(Assumptions!AR$2,TIAM15_assumptions!$Y$3:$Z$87,2,FALSE),TIAM15_assumptions!$H$2:$V$2,0))</f>
        <v>3.9678769082627241E-2</v>
      </c>
      <c r="AS75" s="9">
        <f ca="1">OFFSET(TIAM15_assumptions!$G75,0,MATCH(VLOOKUP(Assumptions!AS$2,TIAM15_assumptions!$Y$3:$Z$87,2,FALSE),TIAM15_assumptions!$H$2:$V$2,0))</f>
        <v>3.9678769082627241E-2</v>
      </c>
      <c r="AT75" s="9">
        <f ca="1">OFFSET(TIAM15_assumptions!$G75,0,MATCH(VLOOKUP(Assumptions!AT$2,TIAM15_assumptions!$Y$3:$Z$87,2,FALSE),TIAM15_assumptions!$H$2:$V$2,0))</f>
        <v>3.9678769082627241E-2</v>
      </c>
      <c r="AU75" s="9">
        <f ca="1">OFFSET(TIAM15_assumptions!$G75,0,MATCH(VLOOKUP(Assumptions!AU$2,TIAM15_assumptions!$Y$3:$Z$87,2,FALSE),TIAM15_assumptions!$H$2:$V$2,0))</f>
        <v>3.9678769082627241E-2</v>
      </c>
      <c r="AV75" s="9">
        <f ca="1">OFFSET(TIAM15_assumptions!$G75,0,MATCH(VLOOKUP(Assumptions!AV$2,TIAM15_assumptions!$Y$3:$Z$87,2,FALSE),TIAM15_assumptions!$H$2:$V$2,0))</f>
        <v>3.9678769082627241E-2</v>
      </c>
      <c r="AW75" s="9">
        <f ca="1">OFFSET(TIAM15_assumptions!$G75,0,MATCH(VLOOKUP(Assumptions!AW$2,TIAM15_assumptions!$Y$3:$Z$87,2,FALSE),TIAM15_assumptions!$H$2:$V$2,0))</f>
        <v>3.9678769082627241E-2</v>
      </c>
      <c r="AX75" s="9">
        <f ca="1">OFFSET(TIAM15_assumptions!$G75,0,MATCH(VLOOKUP(Assumptions!AX$2,TIAM15_assumptions!$Y$3:$Z$87,2,FALSE),TIAM15_assumptions!$H$2:$V$2,0))</f>
        <v>3.9678769082627241E-2</v>
      </c>
      <c r="AY75" s="9">
        <f ca="1">OFFSET(TIAM15_assumptions!$G75,0,MATCH(VLOOKUP(Assumptions!AY$2,TIAM15_assumptions!$Y$3:$Z$87,2,FALSE),TIAM15_assumptions!$H$2:$V$2,0))</f>
        <v>3.9678769082627241E-2</v>
      </c>
      <c r="AZ75" s="9">
        <f ca="1">OFFSET(TIAM15_assumptions!$G75,0,MATCH(VLOOKUP(Assumptions!AZ$2,TIAM15_assumptions!$Y$3:$Z$87,2,FALSE),TIAM15_assumptions!$H$2:$V$2,0))</f>
        <v>3.9678769082627241E-2</v>
      </c>
      <c r="BA75" s="9">
        <f ca="1">OFFSET(TIAM15_assumptions!$G75,0,MATCH(VLOOKUP(Assumptions!BA$2,TIAM15_assumptions!$Y$3:$Z$87,2,FALSE),TIAM15_assumptions!$H$2:$V$2,0))</f>
        <v>3.9678769082627241E-2</v>
      </c>
      <c r="BD75" s="34">
        <f ca="1">IFERROR(SUMIFS('TRA balance'!E$5:E$40,'TRA balance'!$C$5:$C$40,Assumptions!$C75,'TRA balance'!$D$5:$D$40,Assumptions!$B75)*CY75*H75,"")</f>
        <v>0</v>
      </c>
      <c r="BE75" s="34">
        <f ca="1">IFERROR(SUMIFS('TRA balance'!F$5:F$40,'TRA balance'!$C$5:$C$40,Assumptions!$C75,'TRA balance'!$D$5:$D$40,Assumptions!$B75)*CZ75*I75,"")</f>
        <v>0</v>
      </c>
      <c r="BF75" s="34">
        <f ca="1">IFERROR(SUMIFS('TRA balance'!G$5:G$40,'TRA balance'!$C$5:$C$40,Assumptions!$C75,'TRA balance'!$D$5:$D$40,Assumptions!$B75)*DA75*J75,"")</f>
        <v>0</v>
      </c>
      <c r="BG75" s="34">
        <f ca="1">IFERROR(SUMIFS('TRA balance'!H$5:H$40,'TRA balance'!$C$5:$C$40,Assumptions!$C75,'TRA balance'!$D$5:$D$40,Assumptions!$B75)*DB75*K75,"")</f>
        <v>7.7011999200000004E-3</v>
      </c>
      <c r="BH75" s="34">
        <f ca="1">IFERROR(SUMIFS('TRA balance'!I$5:I$40,'TRA balance'!$C$5:$C$40,Assumptions!$C75,'TRA balance'!$D$5:$D$40,Assumptions!$B75)*DC75*L75,"")</f>
        <v>1.2838822200000001E-2</v>
      </c>
      <c r="BI75" s="34">
        <f ca="1">IFERROR(SUMIFS('TRA balance'!J$5:J$40,'TRA balance'!$C$5:$C$40,Assumptions!$C75,'TRA balance'!$D$5:$D$40,Assumptions!$B75)*DD75*M75,"")</f>
        <v>6.9345968400000004E-3</v>
      </c>
      <c r="BJ75" s="34">
        <f ca="1">IFERROR(SUMIFS('TRA balance'!K$5:K$40,'TRA balance'!$C$5:$C$40,Assumptions!$C75,'TRA balance'!$D$5:$D$40,Assumptions!$B75)*DE75*N75,"")</f>
        <v>0.87845679144000011</v>
      </c>
      <c r="BK75" s="34">
        <f ca="1">IFERROR(SUMIFS('TRA balance'!L$5:L$40,'TRA balance'!$C$5:$C$40,Assumptions!$C75,'TRA balance'!$D$5:$D$40,Assumptions!$B75)*DF75*O75,"")</f>
        <v>0</v>
      </c>
      <c r="BL75" s="34">
        <f ca="1">IFERROR(SUMIFS('TRA balance'!M$5:M$40,'TRA balance'!$C$5:$C$40,Assumptions!$C75,'TRA balance'!$D$5:$D$40,Assumptions!$B75)*DG75*P75,"")</f>
        <v>0</v>
      </c>
      <c r="BM75" s="34">
        <f ca="1">IFERROR(SUMIFS('TRA balance'!N$5:N$40,'TRA balance'!$C$5:$C$40,Assumptions!$C75,'TRA balance'!$D$5:$D$40,Assumptions!$B75)*DH75*Q75,"")</f>
        <v>1.8499794480000002E-2</v>
      </c>
      <c r="BN75" s="34">
        <f ca="1">IFERROR(SUMIFS('TRA balance'!O$5:O$40,'TRA balance'!$C$5:$C$40,Assumptions!$C75,'TRA balance'!$D$5:$D$40,Assumptions!$B75)*DI75*R75,"")</f>
        <v>3.4193176920000005E-2</v>
      </c>
      <c r="BO75" s="34">
        <f ca="1">IFERROR(SUMIFS('TRA balance'!P$5:P$40,'TRA balance'!$C$5:$C$40,Assumptions!$C75,'TRA balance'!$D$5:$D$40,Assumptions!$B75)*DJ75*S75,"")</f>
        <v>5.9372592120000005E-2</v>
      </c>
      <c r="BP75" s="34">
        <f ca="1">IFERROR(SUMIFS('TRA balance'!Q$5:Q$40,'TRA balance'!$C$5:$C$40,Assumptions!$C75,'TRA balance'!$D$5:$D$40,Assumptions!$B75)*DK75*T75,"")</f>
        <v>0</v>
      </c>
      <c r="BQ75" s="34">
        <f ca="1">IFERROR(SUMIFS('TRA balance'!R$5:R$40,'TRA balance'!$C$5:$C$40,Assumptions!$C75,'TRA balance'!$D$5:$D$40,Assumptions!$B75)*DL75*U75,"")</f>
        <v>0</v>
      </c>
      <c r="BR75" s="34">
        <f ca="1">IFERROR(SUMIFS('TRA balance'!S$5:S$40,'TRA balance'!$C$5:$C$40,Assumptions!$C75,'TRA balance'!$D$5:$D$40,Assumptions!$B75)*DM75*V75,"")</f>
        <v>0</v>
      </c>
      <c r="BS75" s="34">
        <f ca="1">IFERROR(SUMIFS('TRA balance'!T$5:T$40,'TRA balance'!$C$5:$C$40,Assumptions!$C75,'TRA balance'!$D$5:$D$40,Assumptions!$B75)*DN75*W75,"")</f>
        <v>0</v>
      </c>
      <c r="BT75" s="34">
        <f ca="1">IFERROR(SUMIFS('TRA balance'!U$5:U$40,'TRA balance'!$C$5:$C$40,Assumptions!$C75,'TRA balance'!$D$5:$D$40,Assumptions!$B75)*DO75*X75,"")</f>
        <v>0</v>
      </c>
      <c r="BU75" s="34">
        <f ca="1">IFERROR(SUMIFS('TRA balance'!V$5:V$40,'TRA balance'!$C$5:$C$40,Assumptions!$C75,'TRA balance'!$D$5:$D$40,Assumptions!$B75)*DP75*Y75,"")</f>
        <v>0</v>
      </c>
      <c r="BV75" s="34">
        <f ca="1">IFERROR(SUMIFS('TRA balance'!W$5:W$40,'TRA balance'!$C$5:$C$40,Assumptions!$C75,'TRA balance'!$D$5:$D$40,Assumptions!$B75)*DQ75*Z75,"")</f>
        <v>0</v>
      </c>
      <c r="BW75" s="34">
        <f ca="1">IFERROR(SUMIFS('TRA balance'!X$5:X$40,'TRA balance'!$C$5:$C$40,Assumptions!$C75,'TRA balance'!$D$5:$D$40,Assumptions!$B75)*DR75*AA75,"")</f>
        <v>0</v>
      </c>
      <c r="BX75" s="34">
        <f ca="1">IFERROR(SUMIFS('TRA balance'!Y$5:Y$40,'TRA balance'!$C$5:$C$40,Assumptions!$C75,'TRA balance'!$D$5:$D$40,Assumptions!$B75)*DS75*AB75,"")</f>
        <v>0</v>
      </c>
      <c r="BY75" s="34">
        <f ca="1">IFERROR(SUMIFS('TRA balance'!Z$5:Z$40,'TRA balance'!$C$5:$C$40,Assumptions!$C75,'TRA balance'!$D$5:$D$40,Assumptions!$B75)*DT75*AC75,"")</f>
        <v>0.68283326033465197</v>
      </c>
      <c r="BZ75" s="34">
        <f ca="1">IFERROR(SUMIFS('TRA balance'!AA$5:AA$40,'TRA balance'!$C$5:$C$40,Assumptions!$C75,'TRA balance'!$D$5:$D$40,Assumptions!$B75)*DU75*AD75,"")</f>
        <v>0</v>
      </c>
      <c r="CA75" s="34">
        <f ca="1">IFERROR(SUMIFS('TRA balance'!AB$5:AB$40,'TRA balance'!$C$5:$C$40,Assumptions!$C75,'TRA balance'!$D$5:$D$40,Assumptions!$B75)*DV75*AE75,"")</f>
        <v>0</v>
      </c>
      <c r="CB75" s="34">
        <f ca="1">IFERROR(SUMIFS('TRA balance'!AC$5:AC$40,'TRA balance'!$C$5:$C$40,Assumptions!$C75,'TRA balance'!$D$5:$D$40,Assumptions!$B75)*DW75*AF75,"")</f>
        <v>2.5204536000000003E-4</v>
      </c>
      <c r="CC75" s="34">
        <f ca="1">IFERROR(SUMIFS('TRA balance'!AD$5:AD$40,'TRA balance'!$C$5:$C$40,Assumptions!$C75,'TRA balance'!$D$5:$D$40,Assumptions!$B75)*DX75*AG75,"")</f>
        <v>0</v>
      </c>
      <c r="CD75" s="34">
        <f ca="1">IFERROR(SUMIFS('TRA balance'!AE$5:AE$40,'TRA balance'!$C$5:$C$40,Assumptions!$C75,'TRA balance'!$D$5:$D$40,Assumptions!$B75)*DY75*AH75,"")</f>
        <v>0</v>
      </c>
      <c r="CE75" s="34">
        <f ca="1">IFERROR(SUMIFS('TRA balance'!AF$5:AF$40,'TRA balance'!$C$5:$C$40,Assumptions!$C75,'TRA balance'!$D$5:$D$40,Assumptions!$B75)*DZ75*AI75,"")</f>
        <v>0</v>
      </c>
      <c r="CF75" s="34">
        <f ca="1">IFERROR(SUMIFS('TRA balance'!AG$5:AG$40,'TRA balance'!$C$5:$C$40,Assumptions!$C75,'TRA balance'!$D$5:$D$40,Assumptions!$B75)*EA75*AJ75,"")</f>
        <v>0</v>
      </c>
      <c r="CG75" s="34">
        <f ca="1">IFERROR(SUMIFS('TRA balance'!AH$5:AH$40,'TRA balance'!$C$5:$C$40,Assumptions!$C75,'TRA balance'!$D$5:$D$40,Assumptions!$B75)*EB75*AK75,"")</f>
        <v>0</v>
      </c>
      <c r="CH75" s="34">
        <f ca="1">IFERROR(SUMIFS('TRA balance'!AI$5:AI$40,'TRA balance'!$C$5:$C$40,Assumptions!$C75,'TRA balance'!$D$5:$D$40,Assumptions!$B75)*EC75*AL75,"")</f>
        <v>1.2983266800000001E-3</v>
      </c>
      <c r="CI75" s="34">
        <f ca="1">IFERROR(SUMIFS('TRA balance'!AJ$5:AJ$40,'TRA balance'!$C$5:$C$40,Assumptions!$C75,'TRA balance'!$D$5:$D$40,Assumptions!$B75)*ED75*AM75,"")</f>
        <v>0</v>
      </c>
      <c r="CJ75" s="34">
        <f ca="1">IFERROR(SUMIFS('TRA balance'!AK$5:AK$40,'TRA balance'!$C$5:$C$40,Assumptions!$C75,'TRA balance'!$D$5:$D$40,Assumptions!$B75)*EE75*AN75,"")</f>
        <v>0</v>
      </c>
      <c r="CK75" s="34">
        <f ca="1">IFERROR(SUMIFS('TRA balance'!AL$5:AL$40,'TRA balance'!$C$5:$C$40,Assumptions!$C75,'TRA balance'!$D$5:$D$40,Assumptions!$B75)*EF75*AO75,"")</f>
        <v>0</v>
      </c>
      <c r="CL75" s="34">
        <f ca="1">IFERROR(SUMIFS('TRA balance'!AM$5:AM$40,'TRA balance'!$C$5:$C$40,Assumptions!$C75,'TRA balance'!$D$5:$D$40,Assumptions!$B75)*EG75*AP75,"")</f>
        <v>0</v>
      </c>
      <c r="CM75" s="34">
        <f ca="1">IFERROR(SUMIFS('TRA balance'!AN$5:AN$40,'TRA balance'!$C$5:$C$40,Assumptions!$C75,'TRA balance'!$D$5:$D$40,Assumptions!$B75)*EH75*AQ75,"")</f>
        <v>0</v>
      </c>
      <c r="CN75" s="34">
        <f ca="1">IFERROR(SUMIFS('TRA balance'!AO$5:AO$40,'TRA balance'!$C$5:$C$40,Assumptions!$C75,'TRA balance'!$D$5:$D$40,Assumptions!$B75)*EI75*AR75,"")</f>
        <v>0</v>
      </c>
      <c r="CO75" s="34">
        <f ca="1">IFERROR(SUMIFS('TRA balance'!AP$5:AP$40,'TRA balance'!$C$5:$C$40,Assumptions!$C75,'TRA balance'!$D$5:$D$40,Assumptions!$B75)*EJ75*AS75,"")</f>
        <v>0</v>
      </c>
      <c r="CP75" s="34">
        <f ca="1">IFERROR(SUMIFS('TRA balance'!AQ$5:AQ$40,'TRA balance'!$C$5:$C$40,Assumptions!$C75,'TRA balance'!$D$5:$D$40,Assumptions!$B75)*EK75*AT75,"")</f>
        <v>0</v>
      </c>
      <c r="CQ75" s="34">
        <f ca="1">IFERROR(SUMIFS('TRA balance'!AR$5:AR$40,'TRA balance'!$C$5:$C$40,Assumptions!$C75,'TRA balance'!$D$5:$D$40,Assumptions!$B75)*EL75*AU75,"")</f>
        <v>0</v>
      </c>
      <c r="CR75" s="34">
        <f ca="1">IFERROR(SUMIFS('TRA balance'!AS$5:AS$40,'TRA balance'!$C$5:$C$40,Assumptions!$C75,'TRA balance'!$D$5:$D$40,Assumptions!$B75)*EM75*AV75,"")</f>
        <v>0</v>
      </c>
      <c r="CS75" s="34">
        <f ca="1">IFERROR(SUMIFS('TRA balance'!AT$5:AT$40,'TRA balance'!$C$5:$C$40,Assumptions!$C75,'TRA balance'!$D$5:$D$40,Assumptions!$B75)*EN75*AW75,"")</f>
        <v>0</v>
      </c>
      <c r="CT75" s="34">
        <f ca="1">IFERROR(SUMIFS('TRA balance'!AU$5:AU$40,'TRA balance'!$C$5:$C$40,Assumptions!$C75,'TRA balance'!$D$5:$D$40,Assumptions!$B75)*EO75*AX75,"")</f>
        <v>0</v>
      </c>
      <c r="CU75" s="34">
        <f ca="1">IFERROR(SUMIFS('TRA balance'!AV$5:AV$40,'TRA balance'!$C$5:$C$40,Assumptions!$C75,'TRA balance'!$D$5:$D$40,Assumptions!$B75)*EP75*AY75,"")</f>
        <v>0</v>
      </c>
      <c r="CV75" s="34">
        <f ca="1">IFERROR(SUMIFS('TRA balance'!AW$5:AW$40,'TRA balance'!$C$5:$C$40,Assumptions!$C75,'TRA balance'!$D$5:$D$40,Assumptions!$B75)*EQ75*AZ75,"")</f>
        <v>0</v>
      </c>
      <c r="CW75" s="34">
        <f ca="1">IFERROR(SUMIFS('TRA balance'!AX$5:AX$40,'TRA balance'!$C$5:$C$40,Assumptions!$C75,'TRA balance'!$D$5:$D$40,Assumptions!$B75)*ER75*BA75,"")</f>
        <v>0</v>
      </c>
      <c r="CY75" s="33">
        <f t="shared" si="86"/>
        <v>1</v>
      </c>
      <c r="CZ75" s="33">
        <f t="shared" si="87"/>
        <v>1</v>
      </c>
      <c r="DA75" s="33">
        <f t="shared" si="88"/>
        <v>1</v>
      </c>
      <c r="DB75" s="33">
        <f t="shared" si="89"/>
        <v>1</v>
      </c>
      <c r="DC75" s="33">
        <f t="shared" si="90"/>
        <v>1</v>
      </c>
      <c r="DD75" s="33">
        <f t="shared" si="91"/>
        <v>1</v>
      </c>
      <c r="DE75" s="33">
        <f t="shared" si="92"/>
        <v>1</v>
      </c>
      <c r="DF75" s="33">
        <f t="shared" si="93"/>
        <v>1</v>
      </c>
      <c r="DG75" s="33">
        <f t="shared" si="94"/>
        <v>1</v>
      </c>
      <c r="DH75" s="33">
        <f t="shared" si="95"/>
        <v>1</v>
      </c>
      <c r="DI75" s="33">
        <f t="shared" si="96"/>
        <v>1</v>
      </c>
      <c r="DJ75" s="33">
        <f t="shared" si="97"/>
        <v>1</v>
      </c>
      <c r="DK75" s="33">
        <f t="shared" si="98"/>
        <v>1</v>
      </c>
      <c r="DL75" s="33">
        <f t="shared" si="99"/>
        <v>1</v>
      </c>
      <c r="DM75" s="33">
        <f t="shared" si="100"/>
        <v>1</v>
      </c>
      <c r="DN75" s="33">
        <f t="shared" si="101"/>
        <v>1</v>
      </c>
      <c r="DO75" s="33">
        <f t="shared" si="102"/>
        <v>1</v>
      </c>
      <c r="DP75" s="33">
        <f t="shared" si="103"/>
        <v>1</v>
      </c>
      <c r="DQ75" s="33">
        <f t="shared" si="104"/>
        <v>1</v>
      </c>
      <c r="DR75" s="33">
        <f t="shared" si="105"/>
        <v>1</v>
      </c>
      <c r="DS75" s="33">
        <f t="shared" si="106"/>
        <v>1</v>
      </c>
      <c r="DT75" s="33">
        <f t="shared" si="107"/>
        <v>1</v>
      </c>
      <c r="DU75" s="33">
        <f t="shared" si="108"/>
        <v>1</v>
      </c>
      <c r="DV75" s="33">
        <f t="shared" si="109"/>
        <v>1</v>
      </c>
      <c r="DW75" s="33">
        <f t="shared" si="110"/>
        <v>1</v>
      </c>
      <c r="DX75" s="33">
        <f t="shared" si="111"/>
        <v>1</v>
      </c>
      <c r="DY75" s="33">
        <f t="shared" si="112"/>
        <v>1</v>
      </c>
      <c r="DZ75" s="33">
        <f t="shared" si="113"/>
        <v>1</v>
      </c>
      <c r="EA75" s="33">
        <f t="shared" si="114"/>
        <v>1</v>
      </c>
      <c r="EB75" s="33">
        <f t="shared" si="115"/>
        <v>1</v>
      </c>
      <c r="EC75" s="33">
        <f t="shared" si="116"/>
        <v>1</v>
      </c>
      <c r="ED75" s="33">
        <f t="shared" si="117"/>
        <v>1</v>
      </c>
      <c r="EE75" s="33">
        <f t="shared" si="118"/>
        <v>1</v>
      </c>
      <c r="EF75" s="33">
        <f t="shared" si="119"/>
        <v>1</v>
      </c>
      <c r="EG75" s="33">
        <f t="shared" si="120"/>
        <v>1</v>
      </c>
      <c r="EH75" s="33">
        <f t="shared" si="121"/>
        <v>1</v>
      </c>
      <c r="EI75" s="33">
        <f t="shared" si="122"/>
        <v>1</v>
      </c>
      <c r="EJ75" s="33">
        <f t="shared" si="123"/>
        <v>1</v>
      </c>
      <c r="EK75" s="33">
        <f t="shared" si="124"/>
        <v>1</v>
      </c>
      <c r="EL75" s="33">
        <f t="shared" si="125"/>
        <v>1</v>
      </c>
      <c r="EM75" s="33">
        <f t="shared" si="126"/>
        <v>1</v>
      </c>
      <c r="EN75" s="33">
        <f t="shared" si="127"/>
        <v>1</v>
      </c>
      <c r="EO75" s="33">
        <f t="shared" si="128"/>
        <v>1</v>
      </c>
      <c r="EP75" s="33">
        <f t="shared" si="129"/>
        <v>1</v>
      </c>
      <c r="EQ75" s="33">
        <f t="shared" si="130"/>
        <v>1</v>
      </c>
      <c r="ER75" s="33">
        <f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11"/>
      <c r="D76" s="11"/>
      <c r="E76" s="12" t="s">
        <v>58</v>
      </c>
      <c r="F76" s="13" t="str">
        <f t="shared" si="134"/>
        <v>Bio Diesel</v>
      </c>
      <c r="G76" s="11"/>
      <c r="H76" s="12" t="str">
        <f t="shared" ref="H76" ca="1" si="136">IF(SUM(H74:H75)=1,"-","&lt;&gt;1!!")</f>
        <v>-</v>
      </c>
      <c r="I76" s="12" t="str">
        <f t="shared" ref="I76:BA76" ca="1" si="137">IF(SUM(I74:I75)=1,"-","&lt;&gt;1!!")</f>
        <v>-</v>
      </c>
      <c r="J76" s="12" t="str">
        <f t="shared" ca="1" si="137"/>
        <v>-</v>
      </c>
      <c r="K76" s="12" t="str">
        <f t="shared" ca="1" si="137"/>
        <v>-</v>
      </c>
      <c r="L76" s="12" t="str">
        <f t="shared" ca="1" si="137"/>
        <v>-</v>
      </c>
      <c r="M76" s="12" t="str">
        <f t="shared" ca="1" si="137"/>
        <v>-</v>
      </c>
      <c r="N76" s="12" t="str">
        <f t="shared" ca="1" si="137"/>
        <v>-</v>
      </c>
      <c r="O76" s="12" t="str">
        <f t="shared" ca="1" si="137"/>
        <v>-</v>
      </c>
      <c r="P76" s="12" t="str">
        <f t="shared" ca="1" si="137"/>
        <v>-</v>
      </c>
      <c r="Q76" s="12" t="str">
        <f t="shared" ca="1" si="137"/>
        <v>-</v>
      </c>
      <c r="R76" s="12" t="str">
        <f t="shared" ca="1" si="137"/>
        <v>-</v>
      </c>
      <c r="S76" s="12" t="str">
        <f t="shared" ca="1" si="137"/>
        <v>-</v>
      </c>
      <c r="T76" s="12" t="str">
        <f t="shared" ca="1" si="137"/>
        <v>-</v>
      </c>
      <c r="U76" s="12" t="str">
        <f t="shared" ca="1" si="137"/>
        <v>-</v>
      </c>
      <c r="V76" s="12" t="str">
        <f t="shared" ca="1" si="137"/>
        <v>-</v>
      </c>
      <c r="W76" s="12" t="str">
        <f t="shared" ca="1" si="137"/>
        <v>-</v>
      </c>
      <c r="X76" s="12" t="str">
        <f t="shared" ca="1" si="137"/>
        <v>-</v>
      </c>
      <c r="Y76" s="12" t="str">
        <f t="shared" ca="1" si="137"/>
        <v>-</v>
      </c>
      <c r="Z76" s="12" t="str">
        <f t="shared" ca="1" si="137"/>
        <v>-</v>
      </c>
      <c r="AA76" s="12" t="str">
        <f t="shared" ca="1" si="137"/>
        <v>-</v>
      </c>
      <c r="AB76" s="12" t="str">
        <f t="shared" ca="1" si="137"/>
        <v>-</v>
      </c>
      <c r="AC76" s="12" t="str">
        <f t="shared" ca="1" si="137"/>
        <v>-</v>
      </c>
      <c r="AD76" s="12" t="str">
        <f t="shared" ca="1" si="137"/>
        <v>-</v>
      </c>
      <c r="AE76" s="12" t="str">
        <f t="shared" ca="1" si="137"/>
        <v>-</v>
      </c>
      <c r="AF76" s="12" t="str">
        <f t="shared" ca="1" si="137"/>
        <v>-</v>
      </c>
      <c r="AG76" s="12" t="str">
        <f t="shared" ca="1" si="137"/>
        <v>-</v>
      </c>
      <c r="AH76" s="12" t="str">
        <f t="shared" ca="1" si="137"/>
        <v>-</v>
      </c>
      <c r="AI76" s="12" t="str">
        <f t="shared" ca="1" si="137"/>
        <v>-</v>
      </c>
      <c r="AJ76" s="12" t="str">
        <f t="shared" ca="1" si="137"/>
        <v>-</v>
      </c>
      <c r="AK76" s="12" t="str">
        <f t="shared" ca="1" si="137"/>
        <v>-</v>
      </c>
      <c r="AL76" s="12" t="str">
        <f t="shared" ca="1" si="137"/>
        <v>-</v>
      </c>
      <c r="AM76" s="12" t="str">
        <f t="shared" ca="1" si="137"/>
        <v>-</v>
      </c>
      <c r="AN76" s="12" t="str">
        <f t="shared" ca="1" si="137"/>
        <v>-</v>
      </c>
      <c r="AO76" s="12" t="str">
        <f t="shared" ca="1" si="137"/>
        <v>-</v>
      </c>
      <c r="AP76" s="12" t="str">
        <f t="shared" ca="1" si="137"/>
        <v>-</v>
      </c>
      <c r="AQ76" s="12" t="str">
        <f t="shared" ca="1" si="137"/>
        <v>-</v>
      </c>
      <c r="AR76" s="12" t="str">
        <f t="shared" ca="1" si="137"/>
        <v>-</v>
      </c>
      <c r="AS76" s="12" t="str">
        <f t="shared" ca="1" si="137"/>
        <v>-</v>
      </c>
      <c r="AT76" s="12" t="str">
        <f t="shared" ca="1" si="137"/>
        <v>-</v>
      </c>
      <c r="AU76" s="12" t="str">
        <f t="shared" ca="1" si="137"/>
        <v>-</v>
      </c>
      <c r="AV76" s="12" t="str">
        <f t="shared" ca="1" si="137"/>
        <v>-</v>
      </c>
      <c r="AW76" s="12" t="str">
        <f t="shared" ca="1" si="137"/>
        <v>-</v>
      </c>
      <c r="AX76" s="12" t="str">
        <f t="shared" ca="1" si="137"/>
        <v>-</v>
      </c>
      <c r="AY76" s="12" t="str">
        <f t="shared" ca="1" si="137"/>
        <v>-</v>
      </c>
      <c r="AZ76" s="12" t="str">
        <f t="shared" ca="1" si="137"/>
        <v>-</v>
      </c>
      <c r="BA76" s="12" t="str">
        <f t="shared" ca="1" si="137"/>
        <v>-</v>
      </c>
      <c r="BD76" s="34" t="str">
        <f ca="1">IFERROR(SUMIFS('TRA balance'!E$5:E$40,'TRA balance'!$C$5:$C$40,Assumptions!$C76,'TRA balance'!$D$5:$D$40,Assumptions!$B76)*CY76*H76,"")</f>
        <v/>
      </c>
      <c r="BE76" s="34" t="str">
        <f ca="1">IFERROR(SUMIFS('TRA balance'!F$5:F$40,'TRA balance'!$C$5:$C$40,Assumptions!$C76,'TRA balance'!$D$5:$D$40,Assumptions!$B76)*CZ76*I76,"")</f>
        <v/>
      </c>
      <c r="BF76" s="34" t="str">
        <f ca="1">IFERROR(SUMIFS('TRA balance'!G$5:G$40,'TRA balance'!$C$5:$C$40,Assumptions!$C76,'TRA balance'!$D$5:$D$40,Assumptions!$B76)*DA76*J76,"")</f>
        <v/>
      </c>
      <c r="BG76" s="34" t="str">
        <f ca="1">IFERROR(SUMIFS('TRA balance'!H$5:H$40,'TRA balance'!$C$5:$C$40,Assumptions!$C76,'TRA balance'!$D$5:$D$40,Assumptions!$B76)*DB76*K76,"")</f>
        <v/>
      </c>
      <c r="BH76" s="34" t="str">
        <f ca="1">IFERROR(SUMIFS('TRA balance'!I$5:I$40,'TRA balance'!$C$5:$C$40,Assumptions!$C76,'TRA balance'!$D$5:$D$40,Assumptions!$B76)*DC76*L76,"")</f>
        <v/>
      </c>
      <c r="BI76" s="34" t="str">
        <f ca="1">IFERROR(SUMIFS('TRA balance'!J$5:J$40,'TRA balance'!$C$5:$C$40,Assumptions!$C76,'TRA balance'!$D$5:$D$40,Assumptions!$B76)*DD76*M76,"")</f>
        <v/>
      </c>
      <c r="BJ76" s="34" t="str">
        <f ca="1">IFERROR(SUMIFS('TRA balance'!K$5:K$40,'TRA balance'!$C$5:$C$40,Assumptions!$C76,'TRA balance'!$D$5:$D$40,Assumptions!$B76)*DE76*N76,"")</f>
        <v/>
      </c>
      <c r="BK76" s="34" t="str">
        <f ca="1">IFERROR(SUMIFS('TRA balance'!L$5:L$40,'TRA balance'!$C$5:$C$40,Assumptions!$C76,'TRA balance'!$D$5:$D$40,Assumptions!$B76)*DF76*O76,"")</f>
        <v/>
      </c>
      <c r="BL76" s="34" t="str">
        <f ca="1">IFERROR(SUMIFS('TRA balance'!M$5:M$40,'TRA balance'!$C$5:$C$40,Assumptions!$C76,'TRA balance'!$D$5:$D$40,Assumptions!$B76)*DG76*P76,"")</f>
        <v/>
      </c>
      <c r="BM76" s="34" t="str">
        <f ca="1">IFERROR(SUMIFS('TRA balance'!N$5:N$40,'TRA balance'!$C$5:$C$40,Assumptions!$C76,'TRA balance'!$D$5:$D$40,Assumptions!$B76)*DH76*Q76,"")</f>
        <v/>
      </c>
      <c r="BN76" s="34" t="str">
        <f ca="1">IFERROR(SUMIFS('TRA balance'!O$5:O$40,'TRA balance'!$C$5:$C$40,Assumptions!$C76,'TRA balance'!$D$5:$D$40,Assumptions!$B76)*DI76*R76,"")</f>
        <v/>
      </c>
      <c r="BO76" s="34" t="str">
        <f ca="1">IFERROR(SUMIFS('TRA balance'!P$5:P$40,'TRA balance'!$C$5:$C$40,Assumptions!$C76,'TRA balance'!$D$5:$D$40,Assumptions!$B76)*DJ76*S76,"")</f>
        <v/>
      </c>
      <c r="BP76" s="34" t="str">
        <f ca="1">IFERROR(SUMIFS('TRA balance'!Q$5:Q$40,'TRA balance'!$C$5:$C$40,Assumptions!$C76,'TRA balance'!$D$5:$D$40,Assumptions!$B76)*DK76*T76,"")</f>
        <v/>
      </c>
      <c r="BQ76" s="34" t="str">
        <f ca="1">IFERROR(SUMIFS('TRA balance'!R$5:R$40,'TRA balance'!$C$5:$C$40,Assumptions!$C76,'TRA balance'!$D$5:$D$40,Assumptions!$B76)*DL76*U76,"")</f>
        <v/>
      </c>
      <c r="BR76" s="34" t="str">
        <f ca="1">IFERROR(SUMIFS('TRA balance'!S$5:S$40,'TRA balance'!$C$5:$C$40,Assumptions!$C76,'TRA balance'!$D$5:$D$40,Assumptions!$B76)*DM76*V76,"")</f>
        <v/>
      </c>
      <c r="BS76" s="34" t="str">
        <f ca="1">IFERROR(SUMIFS('TRA balance'!T$5:T$40,'TRA balance'!$C$5:$C$40,Assumptions!$C76,'TRA balance'!$D$5:$D$40,Assumptions!$B76)*DN76*W76,"")</f>
        <v/>
      </c>
      <c r="BT76" s="34" t="str">
        <f ca="1">IFERROR(SUMIFS('TRA balance'!U$5:U$40,'TRA balance'!$C$5:$C$40,Assumptions!$C76,'TRA balance'!$D$5:$D$40,Assumptions!$B76)*DO76*X76,"")</f>
        <v/>
      </c>
      <c r="BU76" s="34" t="str">
        <f ca="1">IFERROR(SUMIFS('TRA balance'!V$5:V$40,'TRA balance'!$C$5:$C$40,Assumptions!$C76,'TRA balance'!$D$5:$D$40,Assumptions!$B76)*DP76*Y76,"")</f>
        <v/>
      </c>
      <c r="BV76" s="34" t="str">
        <f ca="1">IFERROR(SUMIFS('TRA balance'!W$5:W$40,'TRA balance'!$C$5:$C$40,Assumptions!$C76,'TRA balance'!$D$5:$D$40,Assumptions!$B76)*DQ76*Z76,"")</f>
        <v/>
      </c>
      <c r="BW76" s="34" t="str">
        <f ca="1">IFERROR(SUMIFS('TRA balance'!X$5:X$40,'TRA balance'!$C$5:$C$40,Assumptions!$C76,'TRA balance'!$D$5:$D$40,Assumptions!$B76)*DR76*AA76,"")</f>
        <v/>
      </c>
      <c r="BX76" s="34" t="str">
        <f ca="1">IFERROR(SUMIFS('TRA balance'!Y$5:Y$40,'TRA balance'!$C$5:$C$40,Assumptions!$C76,'TRA balance'!$D$5:$D$40,Assumptions!$B76)*DS76*AB76,"")</f>
        <v/>
      </c>
      <c r="BY76" s="34" t="str">
        <f ca="1">IFERROR(SUMIFS('TRA balance'!Z$5:Z$40,'TRA balance'!$C$5:$C$40,Assumptions!$C76,'TRA balance'!$D$5:$D$40,Assumptions!$B76)*DT76*AC76,"")</f>
        <v/>
      </c>
      <c r="BZ76" s="34" t="str">
        <f ca="1">IFERROR(SUMIFS('TRA balance'!AA$5:AA$40,'TRA balance'!$C$5:$C$40,Assumptions!$C76,'TRA balance'!$D$5:$D$40,Assumptions!$B76)*DU76*AD76,"")</f>
        <v/>
      </c>
      <c r="CA76" s="34" t="str">
        <f ca="1">IFERROR(SUMIFS('TRA balance'!AB$5:AB$40,'TRA balance'!$C$5:$C$40,Assumptions!$C76,'TRA balance'!$D$5:$D$40,Assumptions!$B76)*DV76*AE76,"")</f>
        <v/>
      </c>
      <c r="CB76" s="34" t="str">
        <f ca="1">IFERROR(SUMIFS('TRA balance'!AC$5:AC$40,'TRA balance'!$C$5:$C$40,Assumptions!$C76,'TRA balance'!$D$5:$D$40,Assumptions!$B76)*DW76*AF76,"")</f>
        <v/>
      </c>
      <c r="CC76" s="34" t="str">
        <f ca="1">IFERROR(SUMIFS('TRA balance'!AD$5:AD$40,'TRA balance'!$C$5:$C$40,Assumptions!$C76,'TRA balance'!$D$5:$D$40,Assumptions!$B76)*DX76*AG76,"")</f>
        <v/>
      </c>
      <c r="CD76" s="34" t="str">
        <f ca="1">IFERROR(SUMIFS('TRA balance'!AE$5:AE$40,'TRA balance'!$C$5:$C$40,Assumptions!$C76,'TRA balance'!$D$5:$D$40,Assumptions!$B76)*DY76*AH76,"")</f>
        <v/>
      </c>
      <c r="CE76" s="34" t="str">
        <f ca="1">IFERROR(SUMIFS('TRA balance'!AF$5:AF$40,'TRA balance'!$C$5:$C$40,Assumptions!$C76,'TRA balance'!$D$5:$D$40,Assumptions!$B76)*DZ76*AI76,"")</f>
        <v/>
      </c>
      <c r="CF76" s="34" t="str">
        <f ca="1">IFERROR(SUMIFS('TRA balance'!AG$5:AG$40,'TRA balance'!$C$5:$C$40,Assumptions!$C76,'TRA balance'!$D$5:$D$40,Assumptions!$B76)*EA76*AJ76,"")</f>
        <v/>
      </c>
      <c r="CG76" s="34" t="str">
        <f ca="1">IFERROR(SUMIFS('TRA balance'!AH$5:AH$40,'TRA balance'!$C$5:$C$40,Assumptions!$C76,'TRA balance'!$D$5:$D$40,Assumptions!$B76)*EB76*AK76,"")</f>
        <v/>
      </c>
      <c r="CH76" s="34" t="str">
        <f ca="1">IFERROR(SUMIFS('TRA balance'!AI$5:AI$40,'TRA balance'!$C$5:$C$40,Assumptions!$C76,'TRA balance'!$D$5:$D$40,Assumptions!$B76)*EC76*AL76,"")</f>
        <v/>
      </c>
      <c r="CI76" s="34" t="str">
        <f ca="1">IFERROR(SUMIFS('TRA balance'!AJ$5:AJ$40,'TRA balance'!$C$5:$C$40,Assumptions!$C76,'TRA balance'!$D$5:$D$40,Assumptions!$B76)*ED76*AM76,"")</f>
        <v/>
      </c>
      <c r="CJ76" s="34" t="str">
        <f ca="1">IFERROR(SUMIFS('TRA balance'!AK$5:AK$40,'TRA balance'!$C$5:$C$40,Assumptions!$C76,'TRA balance'!$D$5:$D$40,Assumptions!$B76)*EE76*AN76,"")</f>
        <v/>
      </c>
      <c r="CK76" s="34" t="str">
        <f ca="1">IFERROR(SUMIFS('TRA balance'!AL$5:AL$40,'TRA balance'!$C$5:$C$40,Assumptions!$C76,'TRA balance'!$D$5:$D$40,Assumptions!$B76)*EF76*AO76,"")</f>
        <v/>
      </c>
      <c r="CL76" s="34" t="str">
        <f ca="1">IFERROR(SUMIFS('TRA balance'!AM$5:AM$40,'TRA balance'!$C$5:$C$40,Assumptions!$C76,'TRA balance'!$D$5:$D$40,Assumptions!$B76)*EG76*AP76,"")</f>
        <v/>
      </c>
      <c r="CM76" s="34" t="str">
        <f ca="1">IFERROR(SUMIFS('TRA balance'!AN$5:AN$40,'TRA balance'!$C$5:$C$40,Assumptions!$C76,'TRA balance'!$D$5:$D$40,Assumptions!$B76)*EH76*AQ76,"")</f>
        <v/>
      </c>
      <c r="CN76" s="34" t="str">
        <f ca="1">IFERROR(SUMIFS('TRA balance'!AO$5:AO$40,'TRA balance'!$C$5:$C$40,Assumptions!$C76,'TRA balance'!$D$5:$D$40,Assumptions!$B76)*EI76*AR76,"")</f>
        <v/>
      </c>
      <c r="CO76" s="34" t="str">
        <f ca="1">IFERROR(SUMIFS('TRA balance'!AP$5:AP$40,'TRA balance'!$C$5:$C$40,Assumptions!$C76,'TRA balance'!$D$5:$D$40,Assumptions!$B76)*EJ76*AS76,"")</f>
        <v/>
      </c>
      <c r="CP76" s="34" t="str">
        <f ca="1">IFERROR(SUMIFS('TRA balance'!AQ$5:AQ$40,'TRA balance'!$C$5:$C$40,Assumptions!$C76,'TRA balance'!$D$5:$D$40,Assumptions!$B76)*EK76*AT76,"")</f>
        <v/>
      </c>
      <c r="CQ76" s="34" t="str">
        <f ca="1">IFERROR(SUMIFS('TRA balance'!AR$5:AR$40,'TRA balance'!$C$5:$C$40,Assumptions!$C76,'TRA balance'!$D$5:$D$40,Assumptions!$B76)*EL76*AU76,"")</f>
        <v/>
      </c>
      <c r="CR76" s="34" t="str">
        <f ca="1">IFERROR(SUMIFS('TRA balance'!AS$5:AS$40,'TRA balance'!$C$5:$C$40,Assumptions!$C76,'TRA balance'!$D$5:$D$40,Assumptions!$B76)*EM76*AV76,"")</f>
        <v/>
      </c>
      <c r="CS76" s="34" t="str">
        <f ca="1">IFERROR(SUMIFS('TRA balance'!AT$5:AT$40,'TRA balance'!$C$5:$C$40,Assumptions!$C76,'TRA balance'!$D$5:$D$40,Assumptions!$B76)*EN76*AW76,"")</f>
        <v/>
      </c>
      <c r="CT76" s="34" t="str">
        <f ca="1">IFERROR(SUMIFS('TRA balance'!AU$5:AU$40,'TRA balance'!$C$5:$C$40,Assumptions!$C76,'TRA balance'!$D$5:$D$40,Assumptions!$B76)*EO76*AX76,"")</f>
        <v/>
      </c>
      <c r="CU76" s="34" t="str">
        <f ca="1">IFERROR(SUMIFS('TRA balance'!AV$5:AV$40,'TRA balance'!$C$5:$C$40,Assumptions!$C76,'TRA balance'!$D$5:$D$40,Assumptions!$B76)*EP76*AY76,"")</f>
        <v/>
      </c>
      <c r="CV76" s="34" t="str">
        <f ca="1">IFERROR(SUMIFS('TRA balance'!AW$5:AW$40,'TRA balance'!$C$5:$C$40,Assumptions!$C76,'TRA balance'!$D$5:$D$40,Assumptions!$B76)*EQ76*AZ76,"")</f>
        <v/>
      </c>
      <c r="CW76" s="34" t="str">
        <f ca="1">IFERROR(SUMIFS('TRA balance'!AX$5:AX$40,'TRA balance'!$C$5:$C$40,Assumptions!$C76,'TRA balance'!$D$5:$D$40,Assumptions!$B76)*ER76*BA76,"")</f>
        <v/>
      </c>
      <c r="CY76" s="33">
        <f t="shared" si="86"/>
        <v>1</v>
      </c>
      <c r="CZ76" s="33">
        <f t="shared" si="87"/>
        <v>1</v>
      </c>
      <c r="DA76" s="33">
        <f t="shared" si="88"/>
        <v>1</v>
      </c>
      <c r="DB76" s="33">
        <f t="shared" si="89"/>
        <v>1</v>
      </c>
      <c r="DC76" s="33">
        <f t="shared" si="90"/>
        <v>1</v>
      </c>
      <c r="DD76" s="33">
        <f t="shared" si="91"/>
        <v>1</v>
      </c>
      <c r="DE76" s="33">
        <f t="shared" si="92"/>
        <v>1</v>
      </c>
      <c r="DF76" s="33">
        <f t="shared" si="93"/>
        <v>1</v>
      </c>
      <c r="DG76" s="33">
        <f t="shared" si="94"/>
        <v>1</v>
      </c>
      <c r="DH76" s="33">
        <f t="shared" si="95"/>
        <v>1</v>
      </c>
      <c r="DI76" s="33">
        <f t="shared" si="96"/>
        <v>1</v>
      </c>
      <c r="DJ76" s="33">
        <f t="shared" si="97"/>
        <v>1</v>
      </c>
      <c r="DK76" s="33">
        <f t="shared" si="98"/>
        <v>1</v>
      </c>
      <c r="DL76" s="33">
        <f t="shared" si="99"/>
        <v>1</v>
      </c>
      <c r="DM76" s="33">
        <f t="shared" si="100"/>
        <v>1</v>
      </c>
      <c r="DN76" s="33">
        <f t="shared" si="101"/>
        <v>1</v>
      </c>
      <c r="DO76" s="33">
        <f t="shared" si="102"/>
        <v>1</v>
      </c>
      <c r="DP76" s="33">
        <f t="shared" si="103"/>
        <v>1</v>
      </c>
      <c r="DQ76" s="33">
        <f t="shared" si="104"/>
        <v>1</v>
      </c>
      <c r="DR76" s="33">
        <f t="shared" si="105"/>
        <v>1</v>
      </c>
      <c r="DS76" s="33">
        <f t="shared" si="106"/>
        <v>1</v>
      </c>
      <c r="DT76" s="33">
        <f t="shared" si="107"/>
        <v>1</v>
      </c>
      <c r="DU76" s="33">
        <f t="shared" si="108"/>
        <v>1</v>
      </c>
      <c r="DV76" s="33">
        <f t="shared" si="109"/>
        <v>1</v>
      </c>
      <c r="DW76" s="33">
        <f t="shared" si="110"/>
        <v>1</v>
      </c>
      <c r="DX76" s="33">
        <f t="shared" si="111"/>
        <v>1</v>
      </c>
      <c r="DY76" s="33">
        <f t="shared" si="112"/>
        <v>1</v>
      </c>
      <c r="DZ76" s="33">
        <f t="shared" si="113"/>
        <v>1</v>
      </c>
      <c r="EA76" s="33">
        <f t="shared" si="114"/>
        <v>1</v>
      </c>
      <c r="EB76" s="33">
        <f t="shared" si="115"/>
        <v>1</v>
      </c>
      <c r="EC76" s="33">
        <f t="shared" si="116"/>
        <v>1</v>
      </c>
      <c r="ED76" s="33">
        <f t="shared" si="117"/>
        <v>1</v>
      </c>
      <c r="EE76" s="33">
        <f t="shared" si="118"/>
        <v>1</v>
      </c>
      <c r="EF76" s="33">
        <f t="shared" si="119"/>
        <v>1</v>
      </c>
      <c r="EG76" s="33">
        <f t="shared" si="120"/>
        <v>1</v>
      </c>
      <c r="EH76" s="33">
        <f t="shared" si="121"/>
        <v>1</v>
      </c>
      <c r="EI76" s="33">
        <f t="shared" si="122"/>
        <v>1</v>
      </c>
      <c r="EJ76" s="33">
        <f t="shared" si="123"/>
        <v>1</v>
      </c>
      <c r="EK76" s="33">
        <f t="shared" si="124"/>
        <v>1</v>
      </c>
      <c r="EL76" s="33">
        <f t="shared" si="125"/>
        <v>1</v>
      </c>
      <c r="EM76" s="33">
        <f t="shared" si="126"/>
        <v>1</v>
      </c>
      <c r="EN76" s="33">
        <f t="shared" si="127"/>
        <v>1</v>
      </c>
      <c r="EO76" s="33">
        <f t="shared" si="128"/>
        <v>1</v>
      </c>
      <c r="EP76" s="33">
        <f t="shared" si="129"/>
        <v>1</v>
      </c>
      <c r="EQ76" s="33">
        <f t="shared" si="130"/>
        <v>1</v>
      </c>
      <c r="ER76" s="33">
        <f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14">
        <v>1</v>
      </c>
      <c r="D77" s="15" t="s">
        <v>16</v>
      </c>
      <c r="E77" s="15" t="s">
        <v>59</v>
      </c>
      <c r="F77" s="16" t="s">
        <v>85</v>
      </c>
      <c r="G77" s="14"/>
      <c r="H77" s="9">
        <f ca="1">OFFSET(TIAM15_assumptions!$G77,0,MATCH(VLOOKUP(Assumptions!H$2,TIAM15_assumptions!$Y$3:$Z$87,2,FALSE),TIAM15_assumptions!$H$2:$V$2,0))</f>
        <v>0</v>
      </c>
      <c r="I77" s="9">
        <f ca="1">OFFSET(TIAM15_assumptions!$G77,0,MATCH(VLOOKUP(Assumptions!I$2,TIAM15_assumptions!$Y$3:$Z$87,2,FALSE),TIAM15_assumptions!$H$2:$V$2,0))</f>
        <v>0</v>
      </c>
      <c r="J77" s="9">
        <f ca="1">OFFSET(TIAM15_assumptions!$G77,0,MATCH(VLOOKUP(Assumptions!J$2,TIAM15_assumptions!$Y$3:$Z$87,2,FALSE),TIAM15_assumptions!$H$2:$V$2,0))</f>
        <v>0</v>
      </c>
      <c r="K77" s="9">
        <f ca="1">OFFSET(TIAM15_assumptions!$G77,0,MATCH(VLOOKUP(Assumptions!K$2,TIAM15_assumptions!$Y$3:$Z$87,2,FALSE),TIAM15_assumptions!$H$2:$V$2,0))</f>
        <v>0</v>
      </c>
      <c r="L77" s="9">
        <f ca="1">OFFSET(TIAM15_assumptions!$G77,0,MATCH(VLOOKUP(Assumptions!L$2,TIAM15_assumptions!$Y$3:$Z$87,2,FALSE),TIAM15_assumptions!$H$2:$V$2,0))</f>
        <v>0</v>
      </c>
      <c r="M77" s="9">
        <f ca="1">OFFSET(TIAM15_assumptions!$G77,0,MATCH(VLOOKUP(Assumptions!M$2,TIAM15_assumptions!$Y$3:$Z$87,2,FALSE),TIAM15_assumptions!$H$2:$V$2,0))</f>
        <v>0</v>
      </c>
      <c r="N77" s="9">
        <f ca="1">OFFSET(TIAM15_assumptions!$G77,0,MATCH(VLOOKUP(Assumptions!N$2,TIAM15_assumptions!$Y$3:$Z$87,2,FALSE),TIAM15_assumptions!$H$2:$V$2,0))</f>
        <v>0</v>
      </c>
      <c r="O77" s="9">
        <f ca="1">OFFSET(TIAM15_assumptions!$G77,0,MATCH(VLOOKUP(Assumptions!O$2,TIAM15_assumptions!$Y$3:$Z$87,2,FALSE),TIAM15_assumptions!$H$2:$V$2,0))</f>
        <v>0</v>
      </c>
      <c r="P77" s="9">
        <f ca="1">OFFSET(TIAM15_assumptions!$G77,0,MATCH(VLOOKUP(Assumptions!P$2,TIAM15_assumptions!$Y$3:$Z$87,2,FALSE),TIAM15_assumptions!$H$2:$V$2,0))</f>
        <v>0</v>
      </c>
      <c r="Q77" s="9">
        <f ca="1">OFFSET(TIAM15_assumptions!$G77,0,MATCH(VLOOKUP(Assumptions!Q$2,TIAM15_assumptions!$Y$3:$Z$87,2,FALSE),TIAM15_assumptions!$H$2:$V$2,0))</f>
        <v>0</v>
      </c>
      <c r="R77" s="9">
        <f ca="1">OFFSET(TIAM15_assumptions!$G77,0,MATCH(VLOOKUP(Assumptions!R$2,TIAM15_assumptions!$Y$3:$Z$87,2,FALSE),TIAM15_assumptions!$H$2:$V$2,0))</f>
        <v>0</v>
      </c>
      <c r="S77" s="9">
        <f ca="1">OFFSET(TIAM15_assumptions!$G77,0,MATCH(VLOOKUP(Assumptions!S$2,TIAM15_assumptions!$Y$3:$Z$87,2,FALSE),TIAM15_assumptions!$H$2:$V$2,0))</f>
        <v>0</v>
      </c>
      <c r="T77" s="9">
        <f ca="1">OFFSET(TIAM15_assumptions!$G77,0,MATCH(VLOOKUP(Assumptions!T$2,TIAM15_assumptions!$Y$3:$Z$87,2,FALSE),TIAM15_assumptions!$H$2:$V$2,0))</f>
        <v>0</v>
      </c>
      <c r="U77" s="9">
        <f ca="1">OFFSET(TIAM15_assumptions!$G77,0,MATCH(VLOOKUP(Assumptions!U$2,TIAM15_assumptions!$Y$3:$Z$87,2,FALSE),TIAM15_assumptions!$H$2:$V$2,0))</f>
        <v>0</v>
      </c>
      <c r="V77" s="9">
        <f ca="1">OFFSET(TIAM15_assumptions!$G77,0,MATCH(VLOOKUP(Assumptions!V$2,TIAM15_assumptions!$Y$3:$Z$87,2,FALSE),TIAM15_assumptions!$H$2:$V$2,0))</f>
        <v>0</v>
      </c>
      <c r="W77" s="9">
        <f ca="1">OFFSET(TIAM15_assumptions!$G77,0,MATCH(VLOOKUP(Assumptions!W$2,TIAM15_assumptions!$Y$3:$Z$87,2,FALSE),TIAM15_assumptions!$H$2:$V$2,0))</f>
        <v>0</v>
      </c>
      <c r="X77" s="9">
        <f ca="1">OFFSET(TIAM15_assumptions!$G77,0,MATCH(VLOOKUP(Assumptions!X$2,TIAM15_assumptions!$Y$3:$Z$87,2,FALSE),TIAM15_assumptions!$H$2:$V$2,0))</f>
        <v>0</v>
      </c>
      <c r="Y77" s="9">
        <f ca="1">OFFSET(TIAM15_assumptions!$G77,0,MATCH(VLOOKUP(Assumptions!Y$2,TIAM15_assumptions!$Y$3:$Z$87,2,FALSE),TIAM15_assumptions!$H$2:$V$2,0))</f>
        <v>0</v>
      </c>
      <c r="Z77" s="9">
        <f ca="1">OFFSET(TIAM15_assumptions!$G77,0,MATCH(VLOOKUP(Assumptions!Z$2,TIAM15_assumptions!$Y$3:$Z$87,2,FALSE),TIAM15_assumptions!$H$2:$V$2,0))</f>
        <v>0</v>
      </c>
      <c r="AA77" s="9">
        <f ca="1">OFFSET(TIAM15_assumptions!$G77,0,MATCH(VLOOKUP(Assumptions!AA$2,TIAM15_assumptions!$Y$3:$Z$87,2,FALSE),TIAM15_assumptions!$H$2:$V$2,0))</f>
        <v>0</v>
      </c>
      <c r="AB77" s="9">
        <f ca="1">OFFSET(TIAM15_assumptions!$G77,0,MATCH(VLOOKUP(Assumptions!AB$2,TIAM15_assumptions!$Y$3:$Z$87,2,FALSE),TIAM15_assumptions!$H$2:$V$2,0))</f>
        <v>0</v>
      </c>
      <c r="AC77" s="9">
        <f ca="1">OFFSET(TIAM15_assumptions!$G77,0,MATCH(VLOOKUP(Assumptions!AC$2,TIAM15_assumptions!$Y$3:$Z$87,2,FALSE),TIAM15_assumptions!$H$2:$V$2,0))</f>
        <v>0</v>
      </c>
      <c r="AD77" s="9">
        <f ca="1">OFFSET(TIAM15_assumptions!$G77,0,MATCH(VLOOKUP(Assumptions!AD$2,TIAM15_assumptions!$Y$3:$Z$87,2,FALSE),TIAM15_assumptions!$H$2:$V$2,0))</f>
        <v>0</v>
      </c>
      <c r="AE77" s="9">
        <f ca="1">OFFSET(TIAM15_assumptions!$G77,0,MATCH(VLOOKUP(Assumptions!AE$2,TIAM15_assumptions!$Y$3:$Z$87,2,FALSE),TIAM15_assumptions!$H$2:$V$2,0))</f>
        <v>0</v>
      </c>
      <c r="AF77" s="9">
        <f ca="1">OFFSET(TIAM15_assumptions!$G77,0,MATCH(VLOOKUP(Assumptions!AF$2,TIAM15_assumptions!$Y$3:$Z$87,2,FALSE),TIAM15_assumptions!$H$2:$V$2,0))</f>
        <v>0</v>
      </c>
      <c r="AG77" s="9">
        <f ca="1">OFFSET(TIAM15_assumptions!$G77,0,MATCH(VLOOKUP(Assumptions!AG$2,TIAM15_assumptions!$Y$3:$Z$87,2,FALSE),TIAM15_assumptions!$H$2:$V$2,0))</f>
        <v>0</v>
      </c>
      <c r="AH77" s="9">
        <f ca="1">OFFSET(TIAM15_assumptions!$G77,0,MATCH(VLOOKUP(Assumptions!AH$2,TIAM15_assumptions!$Y$3:$Z$87,2,FALSE),TIAM15_assumptions!$H$2:$V$2,0))</f>
        <v>0</v>
      </c>
      <c r="AI77" s="9">
        <f ca="1">OFFSET(TIAM15_assumptions!$G77,0,MATCH(VLOOKUP(Assumptions!AI$2,TIAM15_assumptions!$Y$3:$Z$87,2,FALSE),TIAM15_assumptions!$H$2:$V$2,0))</f>
        <v>0</v>
      </c>
      <c r="AJ77" s="9">
        <f ca="1">OFFSET(TIAM15_assumptions!$G77,0,MATCH(VLOOKUP(Assumptions!AJ$2,TIAM15_assumptions!$Y$3:$Z$87,2,FALSE),TIAM15_assumptions!$H$2:$V$2,0))</f>
        <v>0</v>
      </c>
      <c r="AK77" s="9">
        <f ca="1">OFFSET(TIAM15_assumptions!$G77,0,MATCH(VLOOKUP(Assumptions!AK$2,TIAM15_assumptions!$Y$3:$Z$87,2,FALSE),TIAM15_assumptions!$H$2:$V$2,0))</f>
        <v>0</v>
      </c>
      <c r="AL77" s="9">
        <f ca="1">OFFSET(TIAM15_assumptions!$G77,0,MATCH(VLOOKUP(Assumptions!AL$2,TIAM15_assumptions!$Y$3:$Z$87,2,FALSE),TIAM15_assumptions!$H$2:$V$2,0))</f>
        <v>0</v>
      </c>
      <c r="AM77" s="9">
        <f ca="1">OFFSET(TIAM15_assumptions!$G77,0,MATCH(VLOOKUP(Assumptions!AM$2,TIAM15_assumptions!$Y$3:$Z$87,2,FALSE),TIAM15_assumptions!$H$2:$V$2,0))</f>
        <v>0</v>
      </c>
      <c r="AN77" s="9">
        <f ca="1">OFFSET(TIAM15_assumptions!$G77,0,MATCH(VLOOKUP(Assumptions!AN$2,TIAM15_assumptions!$Y$3:$Z$87,2,FALSE),TIAM15_assumptions!$H$2:$V$2,0))</f>
        <v>0</v>
      </c>
      <c r="AO77" s="9">
        <f ca="1">OFFSET(TIAM15_assumptions!$G77,0,MATCH(VLOOKUP(Assumptions!AO$2,TIAM15_assumptions!$Y$3:$Z$87,2,FALSE),TIAM15_assumptions!$H$2:$V$2,0))</f>
        <v>0</v>
      </c>
      <c r="AP77" s="9">
        <f ca="1">OFFSET(TIAM15_assumptions!$G77,0,MATCH(VLOOKUP(Assumptions!AP$2,TIAM15_assumptions!$Y$3:$Z$87,2,FALSE),TIAM15_assumptions!$H$2:$V$2,0))</f>
        <v>0</v>
      </c>
      <c r="AQ77" s="9">
        <f ca="1">OFFSET(TIAM15_assumptions!$G77,0,MATCH(VLOOKUP(Assumptions!AQ$2,TIAM15_assumptions!$Y$3:$Z$87,2,FALSE),TIAM15_assumptions!$H$2:$V$2,0))</f>
        <v>0</v>
      </c>
      <c r="AR77" s="9">
        <f ca="1">OFFSET(TIAM15_assumptions!$G77,0,MATCH(VLOOKUP(Assumptions!AR$2,TIAM15_assumptions!$Y$3:$Z$87,2,FALSE),TIAM15_assumptions!$H$2:$V$2,0))</f>
        <v>0</v>
      </c>
      <c r="AS77" s="9">
        <f ca="1">OFFSET(TIAM15_assumptions!$G77,0,MATCH(VLOOKUP(Assumptions!AS$2,TIAM15_assumptions!$Y$3:$Z$87,2,FALSE),TIAM15_assumptions!$H$2:$V$2,0))</f>
        <v>0</v>
      </c>
      <c r="AT77" s="9">
        <f ca="1">OFFSET(TIAM15_assumptions!$G77,0,MATCH(VLOOKUP(Assumptions!AT$2,TIAM15_assumptions!$Y$3:$Z$87,2,FALSE),TIAM15_assumptions!$H$2:$V$2,0))</f>
        <v>0</v>
      </c>
      <c r="AU77" s="9">
        <f ca="1">OFFSET(TIAM15_assumptions!$G77,0,MATCH(VLOOKUP(Assumptions!AU$2,TIAM15_assumptions!$Y$3:$Z$87,2,FALSE),TIAM15_assumptions!$H$2:$V$2,0))</f>
        <v>0</v>
      </c>
      <c r="AV77" s="9">
        <f ca="1">OFFSET(TIAM15_assumptions!$G77,0,MATCH(VLOOKUP(Assumptions!AV$2,TIAM15_assumptions!$Y$3:$Z$87,2,FALSE),TIAM15_assumptions!$H$2:$V$2,0))</f>
        <v>0</v>
      </c>
      <c r="AW77" s="9">
        <f ca="1">OFFSET(TIAM15_assumptions!$G77,0,MATCH(VLOOKUP(Assumptions!AW$2,TIAM15_assumptions!$Y$3:$Z$87,2,FALSE),TIAM15_assumptions!$H$2:$V$2,0))</f>
        <v>0</v>
      </c>
      <c r="AX77" s="9">
        <f ca="1">OFFSET(TIAM15_assumptions!$G77,0,MATCH(VLOOKUP(Assumptions!AX$2,TIAM15_assumptions!$Y$3:$Z$87,2,FALSE),TIAM15_assumptions!$H$2:$V$2,0))</f>
        <v>0</v>
      </c>
      <c r="AY77" s="9">
        <f ca="1">OFFSET(TIAM15_assumptions!$G77,0,MATCH(VLOOKUP(Assumptions!AY$2,TIAM15_assumptions!$Y$3:$Z$87,2,FALSE),TIAM15_assumptions!$H$2:$V$2,0))</f>
        <v>0</v>
      </c>
      <c r="AZ77" s="9">
        <f ca="1">OFFSET(TIAM15_assumptions!$G77,0,MATCH(VLOOKUP(Assumptions!AZ$2,TIAM15_assumptions!$Y$3:$Z$87,2,FALSE),TIAM15_assumptions!$H$2:$V$2,0))</f>
        <v>0</v>
      </c>
      <c r="BA77" s="9">
        <f ca="1">OFFSET(TIAM15_assumptions!$G77,0,MATCH(VLOOKUP(Assumptions!BA$2,TIAM15_assumptions!$Y$3:$Z$87,2,FALSE),TIAM15_assumptions!$H$2:$V$2,0))</f>
        <v>0</v>
      </c>
      <c r="BD77" s="34">
        <f ca="1">IFERROR(SUMIFS('TRA balance'!E$5:E$40,'TRA balance'!$C$5:$C$40,Assumptions!$C77,'TRA balance'!$D$5:$D$40,Assumptions!$B77)*CY77*H77,"")</f>
        <v>0</v>
      </c>
      <c r="BE77" s="34">
        <f ca="1">IFERROR(SUMIFS('TRA balance'!F$5:F$40,'TRA balance'!$C$5:$C$40,Assumptions!$C77,'TRA balance'!$D$5:$D$40,Assumptions!$B77)*CZ77*I77,"")</f>
        <v>0</v>
      </c>
      <c r="BF77" s="34">
        <f ca="1">IFERROR(SUMIFS('TRA balance'!G$5:G$40,'TRA balance'!$C$5:$C$40,Assumptions!$C77,'TRA balance'!$D$5:$D$40,Assumptions!$B77)*DA77*J77,"")</f>
        <v>0</v>
      </c>
      <c r="BG77" s="34">
        <f ca="1">IFERROR(SUMIFS('TRA balance'!H$5:H$40,'TRA balance'!$C$5:$C$40,Assumptions!$C77,'TRA balance'!$D$5:$D$40,Assumptions!$B77)*DB77*K77,"")</f>
        <v>0</v>
      </c>
      <c r="BH77" s="34">
        <f ca="1">IFERROR(SUMIFS('TRA balance'!I$5:I$40,'TRA balance'!$C$5:$C$40,Assumptions!$C77,'TRA balance'!$D$5:$D$40,Assumptions!$B77)*DC77*L77,"")</f>
        <v>0</v>
      </c>
      <c r="BI77" s="34">
        <f ca="1">IFERROR(SUMIFS('TRA balance'!J$5:J$40,'TRA balance'!$C$5:$C$40,Assumptions!$C77,'TRA balance'!$D$5:$D$40,Assumptions!$B77)*DD77*M77,"")</f>
        <v>0</v>
      </c>
      <c r="BJ77" s="34">
        <f ca="1">IFERROR(SUMIFS('TRA balance'!K$5:K$40,'TRA balance'!$C$5:$C$40,Assumptions!$C77,'TRA balance'!$D$5:$D$40,Assumptions!$B77)*DE77*N77,"")</f>
        <v>0</v>
      </c>
      <c r="BK77" s="34">
        <f ca="1">IFERROR(SUMIFS('TRA balance'!L$5:L$40,'TRA balance'!$C$5:$C$40,Assumptions!$C77,'TRA balance'!$D$5:$D$40,Assumptions!$B77)*DF77*O77,"")</f>
        <v>0</v>
      </c>
      <c r="BL77" s="34">
        <f ca="1">IFERROR(SUMIFS('TRA balance'!M$5:M$40,'TRA balance'!$C$5:$C$40,Assumptions!$C77,'TRA balance'!$D$5:$D$40,Assumptions!$B77)*DG77*P77,"")</f>
        <v>0</v>
      </c>
      <c r="BM77" s="34">
        <f ca="1">IFERROR(SUMIFS('TRA balance'!N$5:N$40,'TRA balance'!$C$5:$C$40,Assumptions!$C77,'TRA balance'!$D$5:$D$40,Assumptions!$B77)*DH77*Q77,"")</f>
        <v>0</v>
      </c>
      <c r="BN77" s="34">
        <f ca="1">IFERROR(SUMIFS('TRA balance'!O$5:O$40,'TRA balance'!$C$5:$C$40,Assumptions!$C77,'TRA balance'!$D$5:$D$40,Assumptions!$B77)*DI77*R77,"")</f>
        <v>0</v>
      </c>
      <c r="BO77" s="34">
        <f ca="1">IFERROR(SUMIFS('TRA balance'!P$5:P$40,'TRA balance'!$C$5:$C$40,Assumptions!$C77,'TRA balance'!$D$5:$D$40,Assumptions!$B77)*DJ77*S77,"")</f>
        <v>0</v>
      </c>
      <c r="BP77" s="34">
        <f ca="1">IFERROR(SUMIFS('TRA balance'!Q$5:Q$40,'TRA balance'!$C$5:$C$40,Assumptions!$C77,'TRA balance'!$D$5:$D$40,Assumptions!$B77)*DK77*T77,"")</f>
        <v>0</v>
      </c>
      <c r="BQ77" s="34">
        <f ca="1">IFERROR(SUMIFS('TRA balance'!R$5:R$40,'TRA balance'!$C$5:$C$40,Assumptions!$C77,'TRA balance'!$D$5:$D$40,Assumptions!$B77)*DL77*U77,"")</f>
        <v>0</v>
      </c>
      <c r="BR77" s="34">
        <f ca="1">IFERROR(SUMIFS('TRA balance'!S$5:S$40,'TRA balance'!$C$5:$C$40,Assumptions!$C77,'TRA balance'!$D$5:$D$40,Assumptions!$B77)*DM77*V77,"")</f>
        <v>0</v>
      </c>
      <c r="BS77" s="34">
        <f ca="1">IFERROR(SUMIFS('TRA balance'!T$5:T$40,'TRA balance'!$C$5:$C$40,Assumptions!$C77,'TRA balance'!$D$5:$D$40,Assumptions!$B77)*DN77*W77,"")</f>
        <v>0</v>
      </c>
      <c r="BT77" s="34">
        <f ca="1">IFERROR(SUMIFS('TRA balance'!U$5:U$40,'TRA balance'!$C$5:$C$40,Assumptions!$C77,'TRA balance'!$D$5:$D$40,Assumptions!$B77)*DO77*X77,"")</f>
        <v>0</v>
      </c>
      <c r="BU77" s="34">
        <f ca="1">IFERROR(SUMIFS('TRA balance'!V$5:V$40,'TRA balance'!$C$5:$C$40,Assumptions!$C77,'TRA balance'!$D$5:$D$40,Assumptions!$B77)*DP77*Y77,"")</f>
        <v>0</v>
      </c>
      <c r="BV77" s="34">
        <f ca="1">IFERROR(SUMIFS('TRA balance'!W$5:W$40,'TRA balance'!$C$5:$C$40,Assumptions!$C77,'TRA balance'!$D$5:$D$40,Assumptions!$B77)*DQ77*Z77,"")</f>
        <v>0</v>
      </c>
      <c r="BW77" s="34">
        <f ca="1">IFERROR(SUMIFS('TRA balance'!X$5:X$40,'TRA balance'!$C$5:$C$40,Assumptions!$C77,'TRA balance'!$D$5:$D$40,Assumptions!$B77)*DR77*AA77,"")</f>
        <v>0</v>
      </c>
      <c r="BX77" s="34">
        <f ca="1">IFERROR(SUMIFS('TRA balance'!Y$5:Y$40,'TRA balance'!$C$5:$C$40,Assumptions!$C77,'TRA balance'!$D$5:$D$40,Assumptions!$B77)*DS77*AB77,"")</f>
        <v>0</v>
      </c>
      <c r="BY77" s="34">
        <f ca="1">IFERROR(SUMIFS('TRA balance'!Z$5:Z$40,'TRA balance'!$C$5:$C$40,Assumptions!$C77,'TRA balance'!$D$5:$D$40,Assumptions!$B77)*DT77*AC77,"")</f>
        <v>0</v>
      </c>
      <c r="BZ77" s="34">
        <f ca="1">IFERROR(SUMIFS('TRA balance'!AA$5:AA$40,'TRA balance'!$C$5:$C$40,Assumptions!$C77,'TRA balance'!$D$5:$D$40,Assumptions!$B77)*DU77*AD77,"")</f>
        <v>0</v>
      </c>
      <c r="CA77" s="34">
        <f ca="1">IFERROR(SUMIFS('TRA balance'!AB$5:AB$40,'TRA balance'!$C$5:$C$40,Assumptions!$C77,'TRA balance'!$D$5:$D$40,Assumptions!$B77)*DV77*AE77,"")</f>
        <v>0</v>
      </c>
      <c r="CB77" s="34">
        <f ca="1">IFERROR(SUMIFS('TRA balance'!AC$5:AC$40,'TRA balance'!$C$5:$C$40,Assumptions!$C77,'TRA balance'!$D$5:$D$40,Assumptions!$B77)*DW77*AF77,"")</f>
        <v>0</v>
      </c>
      <c r="CC77" s="34">
        <f ca="1">IFERROR(SUMIFS('TRA balance'!AD$5:AD$40,'TRA balance'!$C$5:$C$40,Assumptions!$C77,'TRA balance'!$D$5:$D$40,Assumptions!$B77)*DX77*AG77,"")</f>
        <v>0</v>
      </c>
      <c r="CD77" s="34">
        <f ca="1">IFERROR(SUMIFS('TRA balance'!AE$5:AE$40,'TRA balance'!$C$5:$C$40,Assumptions!$C77,'TRA balance'!$D$5:$D$40,Assumptions!$B77)*DY77*AH77,"")</f>
        <v>0</v>
      </c>
      <c r="CE77" s="34">
        <f ca="1">IFERROR(SUMIFS('TRA balance'!AF$5:AF$40,'TRA balance'!$C$5:$C$40,Assumptions!$C77,'TRA balance'!$D$5:$D$40,Assumptions!$B77)*DZ77*AI77,"")</f>
        <v>0</v>
      </c>
      <c r="CF77" s="34">
        <f ca="1">IFERROR(SUMIFS('TRA balance'!AG$5:AG$40,'TRA balance'!$C$5:$C$40,Assumptions!$C77,'TRA balance'!$D$5:$D$40,Assumptions!$B77)*EA77*AJ77,"")</f>
        <v>0</v>
      </c>
      <c r="CG77" s="34">
        <f ca="1">IFERROR(SUMIFS('TRA balance'!AH$5:AH$40,'TRA balance'!$C$5:$C$40,Assumptions!$C77,'TRA balance'!$D$5:$D$40,Assumptions!$B77)*EB77*AK77,"")</f>
        <v>0</v>
      </c>
      <c r="CH77" s="34">
        <f ca="1">IFERROR(SUMIFS('TRA balance'!AI$5:AI$40,'TRA balance'!$C$5:$C$40,Assumptions!$C77,'TRA balance'!$D$5:$D$40,Assumptions!$B77)*EC77*AL77,"")</f>
        <v>0</v>
      </c>
      <c r="CI77" s="34">
        <f ca="1">IFERROR(SUMIFS('TRA balance'!AJ$5:AJ$40,'TRA balance'!$C$5:$C$40,Assumptions!$C77,'TRA balance'!$D$5:$D$40,Assumptions!$B77)*ED77*AM77,"")</f>
        <v>0</v>
      </c>
      <c r="CJ77" s="34">
        <f ca="1">IFERROR(SUMIFS('TRA balance'!AK$5:AK$40,'TRA balance'!$C$5:$C$40,Assumptions!$C77,'TRA balance'!$D$5:$D$40,Assumptions!$B77)*EE77*AN77,"")</f>
        <v>0</v>
      </c>
      <c r="CK77" s="34">
        <f ca="1">IFERROR(SUMIFS('TRA balance'!AL$5:AL$40,'TRA balance'!$C$5:$C$40,Assumptions!$C77,'TRA balance'!$D$5:$D$40,Assumptions!$B77)*EF77*AO77,"")</f>
        <v>0</v>
      </c>
      <c r="CL77" s="34">
        <f ca="1">IFERROR(SUMIFS('TRA balance'!AM$5:AM$40,'TRA balance'!$C$5:$C$40,Assumptions!$C77,'TRA balance'!$D$5:$D$40,Assumptions!$B77)*EG77*AP77,"")</f>
        <v>0</v>
      </c>
      <c r="CM77" s="34">
        <f ca="1">IFERROR(SUMIFS('TRA balance'!AN$5:AN$40,'TRA balance'!$C$5:$C$40,Assumptions!$C77,'TRA balance'!$D$5:$D$40,Assumptions!$B77)*EH77*AQ77,"")</f>
        <v>0</v>
      </c>
      <c r="CN77" s="34">
        <f ca="1">IFERROR(SUMIFS('TRA balance'!AO$5:AO$40,'TRA balance'!$C$5:$C$40,Assumptions!$C77,'TRA balance'!$D$5:$D$40,Assumptions!$B77)*EI77*AR77,"")</f>
        <v>0</v>
      </c>
      <c r="CO77" s="34">
        <f ca="1">IFERROR(SUMIFS('TRA balance'!AP$5:AP$40,'TRA balance'!$C$5:$C$40,Assumptions!$C77,'TRA balance'!$D$5:$D$40,Assumptions!$B77)*EJ77*AS77,"")</f>
        <v>0</v>
      </c>
      <c r="CP77" s="34">
        <f ca="1">IFERROR(SUMIFS('TRA balance'!AQ$5:AQ$40,'TRA balance'!$C$5:$C$40,Assumptions!$C77,'TRA balance'!$D$5:$D$40,Assumptions!$B77)*EK77*AT77,"")</f>
        <v>0</v>
      </c>
      <c r="CQ77" s="34">
        <f ca="1">IFERROR(SUMIFS('TRA balance'!AR$5:AR$40,'TRA balance'!$C$5:$C$40,Assumptions!$C77,'TRA balance'!$D$5:$D$40,Assumptions!$B77)*EL77*AU77,"")</f>
        <v>0</v>
      </c>
      <c r="CR77" s="34">
        <f ca="1">IFERROR(SUMIFS('TRA balance'!AS$5:AS$40,'TRA balance'!$C$5:$C$40,Assumptions!$C77,'TRA balance'!$D$5:$D$40,Assumptions!$B77)*EM77*AV77,"")</f>
        <v>0</v>
      </c>
      <c r="CS77" s="34">
        <f ca="1">IFERROR(SUMIFS('TRA balance'!AT$5:AT$40,'TRA balance'!$C$5:$C$40,Assumptions!$C77,'TRA balance'!$D$5:$D$40,Assumptions!$B77)*EN77*AW77,"")</f>
        <v>0</v>
      </c>
      <c r="CT77" s="34">
        <f ca="1">IFERROR(SUMIFS('TRA balance'!AU$5:AU$40,'TRA balance'!$C$5:$C$40,Assumptions!$C77,'TRA balance'!$D$5:$D$40,Assumptions!$B77)*EO77*AX77,"")</f>
        <v>0</v>
      </c>
      <c r="CU77" s="34">
        <f ca="1">IFERROR(SUMIFS('TRA balance'!AV$5:AV$40,'TRA balance'!$C$5:$C$40,Assumptions!$C77,'TRA balance'!$D$5:$D$40,Assumptions!$B77)*EP77*AY77,"")</f>
        <v>0</v>
      </c>
      <c r="CV77" s="34">
        <f ca="1">IFERROR(SUMIFS('TRA balance'!AW$5:AW$40,'TRA balance'!$C$5:$C$40,Assumptions!$C77,'TRA balance'!$D$5:$D$40,Assumptions!$B77)*EQ77*AZ77,"")</f>
        <v>0</v>
      </c>
      <c r="CW77" s="34">
        <f ca="1">IFERROR(SUMIFS('TRA balance'!AX$5:AX$40,'TRA balance'!$C$5:$C$40,Assumptions!$C77,'TRA balance'!$D$5:$D$40,Assumptions!$B77)*ER77*BA77,"")</f>
        <v>0</v>
      </c>
      <c r="CY77" s="33">
        <f t="shared" si="86"/>
        <v>1</v>
      </c>
      <c r="CZ77" s="33">
        <f t="shared" si="87"/>
        <v>1</v>
      </c>
      <c r="DA77" s="33">
        <f t="shared" si="88"/>
        <v>1</v>
      </c>
      <c r="DB77" s="33">
        <f t="shared" si="89"/>
        <v>1</v>
      </c>
      <c r="DC77" s="33">
        <f t="shared" si="90"/>
        <v>1</v>
      </c>
      <c r="DD77" s="33">
        <f t="shared" si="91"/>
        <v>1</v>
      </c>
      <c r="DE77" s="33">
        <f t="shared" si="92"/>
        <v>1</v>
      </c>
      <c r="DF77" s="33">
        <f t="shared" si="93"/>
        <v>1</v>
      </c>
      <c r="DG77" s="33">
        <f t="shared" si="94"/>
        <v>1</v>
      </c>
      <c r="DH77" s="33">
        <f t="shared" si="95"/>
        <v>1</v>
      </c>
      <c r="DI77" s="33">
        <f t="shared" si="96"/>
        <v>1</v>
      </c>
      <c r="DJ77" s="33">
        <f t="shared" si="97"/>
        <v>1</v>
      </c>
      <c r="DK77" s="33">
        <f t="shared" si="98"/>
        <v>1</v>
      </c>
      <c r="DL77" s="33">
        <f t="shared" si="99"/>
        <v>1</v>
      </c>
      <c r="DM77" s="33">
        <f t="shared" si="100"/>
        <v>1</v>
      </c>
      <c r="DN77" s="33">
        <f t="shared" si="101"/>
        <v>1</v>
      </c>
      <c r="DO77" s="33">
        <f t="shared" si="102"/>
        <v>1</v>
      </c>
      <c r="DP77" s="33">
        <f t="shared" si="103"/>
        <v>1</v>
      </c>
      <c r="DQ77" s="33">
        <f t="shared" si="104"/>
        <v>1</v>
      </c>
      <c r="DR77" s="33">
        <f t="shared" si="105"/>
        <v>1</v>
      </c>
      <c r="DS77" s="33">
        <f t="shared" si="106"/>
        <v>1</v>
      </c>
      <c r="DT77" s="33">
        <f t="shared" si="107"/>
        <v>1</v>
      </c>
      <c r="DU77" s="33">
        <f t="shared" si="108"/>
        <v>1</v>
      </c>
      <c r="DV77" s="33">
        <f t="shared" si="109"/>
        <v>1</v>
      </c>
      <c r="DW77" s="33">
        <f t="shared" si="110"/>
        <v>1</v>
      </c>
      <c r="DX77" s="33">
        <f t="shared" si="111"/>
        <v>1</v>
      </c>
      <c r="DY77" s="33">
        <f t="shared" si="112"/>
        <v>1</v>
      </c>
      <c r="DZ77" s="33">
        <f t="shared" si="113"/>
        <v>1</v>
      </c>
      <c r="EA77" s="33">
        <f t="shared" si="114"/>
        <v>1</v>
      </c>
      <c r="EB77" s="33">
        <f t="shared" si="115"/>
        <v>1</v>
      </c>
      <c r="EC77" s="33">
        <f t="shared" si="116"/>
        <v>1</v>
      </c>
      <c r="ED77" s="33">
        <f t="shared" si="117"/>
        <v>1</v>
      </c>
      <c r="EE77" s="33">
        <f t="shared" si="118"/>
        <v>1</v>
      </c>
      <c r="EF77" s="33">
        <f t="shared" si="119"/>
        <v>1</v>
      </c>
      <c r="EG77" s="33">
        <f t="shared" si="120"/>
        <v>1</v>
      </c>
      <c r="EH77" s="33">
        <f t="shared" si="121"/>
        <v>1</v>
      </c>
      <c r="EI77" s="33">
        <f t="shared" si="122"/>
        <v>1</v>
      </c>
      <c r="EJ77" s="33">
        <f t="shared" si="123"/>
        <v>1</v>
      </c>
      <c r="EK77" s="33">
        <f t="shared" si="124"/>
        <v>1</v>
      </c>
      <c r="EL77" s="33">
        <f t="shared" si="125"/>
        <v>1</v>
      </c>
      <c r="EM77" s="33">
        <f t="shared" si="126"/>
        <v>1</v>
      </c>
      <c r="EN77" s="33">
        <f t="shared" si="127"/>
        <v>1</v>
      </c>
      <c r="EO77" s="33">
        <f t="shared" si="128"/>
        <v>1</v>
      </c>
      <c r="EP77" s="33">
        <f t="shared" si="129"/>
        <v>1</v>
      </c>
      <c r="EQ77" s="33">
        <f t="shared" si="130"/>
        <v>1</v>
      </c>
      <c r="ER77" s="33">
        <f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6" t="str">
        <f t="shared" si="133"/>
        <v>TR</v>
      </c>
      <c r="D78" s="7" t="s">
        <v>16</v>
      </c>
      <c r="E78" s="18" t="s">
        <v>61</v>
      </c>
      <c r="F78" s="8" t="str">
        <f>F77</f>
        <v>Bio Gasoline</v>
      </c>
      <c r="G78" s="6" t="s">
        <v>62</v>
      </c>
      <c r="H78" s="9">
        <f ca="1">OFFSET(TIAM15_assumptions!$G78,0,MATCH(VLOOKUP(Assumptions!H$2,TIAM15_assumptions!$Y$3:$Z$87,2,FALSE),TIAM15_assumptions!$H$2:$V$2,0))</f>
        <v>1</v>
      </c>
      <c r="I78" s="9">
        <f ca="1">OFFSET(TIAM15_assumptions!$G78,0,MATCH(VLOOKUP(Assumptions!I$2,TIAM15_assumptions!$Y$3:$Z$87,2,FALSE),TIAM15_assumptions!$H$2:$V$2,0))</f>
        <v>1</v>
      </c>
      <c r="J78" s="9">
        <f ca="1">OFFSET(TIAM15_assumptions!$G78,0,MATCH(VLOOKUP(Assumptions!J$2,TIAM15_assumptions!$Y$3:$Z$87,2,FALSE),TIAM15_assumptions!$H$2:$V$2,0))</f>
        <v>1</v>
      </c>
      <c r="K78" s="9">
        <f ca="1">OFFSET(TIAM15_assumptions!$G78,0,MATCH(VLOOKUP(Assumptions!K$2,TIAM15_assumptions!$Y$3:$Z$87,2,FALSE),TIAM15_assumptions!$H$2:$V$2,0))</f>
        <v>1</v>
      </c>
      <c r="L78" s="9">
        <f ca="1">OFFSET(TIAM15_assumptions!$G78,0,MATCH(VLOOKUP(Assumptions!L$2,TIAM15_assumptions!$Y$3:$Z$87,2,FALSE),TIAM15_assumptions!$H$2:$V$2,0))</f>
        <v>1</v>
      </c>
      <c r="M78" s="9">
        <f ca="1">OFFSET(TIAM15_assumptions!$G78,0,MATCH(VLOOKUP(Assumptions!M$2,TIAM15_assumptions!$Y$3:$Z$87,2,FALSE),TIAM15_assumptions!$H$2:$V$2,0))</f>
        <v>1</v>
      </c>
      <c r="N78" s="9">
        <f ca="1">OFFSET(TIAM15_assumptions!$G78,0,MATCH(VLOOKUP(Assumptions!N$2,TIAM15_assumptions!$Y$3:$Z$87,2,FALSE),TIAM15_assumptions!$H$2:$V$2,0))</f>
        <v>1</v>
      </c>
      <c r="O78" s="9">
        <f ca="1">OFFSET(TIAM15_assumptions!$G78,0,MATCH(VLOOKUP(Assumptions!O$2,TIAM15_assumptions!$Y$3:$Z$87,2,FALSE),TIAM15_assumptions!$H$2:$V$2,0))</f>
        <v>1</v>
      </c>
      <c r="P78" s="9">
        <f ca="1">OFFSET(TIAM15_assumptions!$G78,0,MATCH(VLOOKUP(Assumptions!P$2,TIAM15_assumptions!$Y$3:$Z$87,2,FALSE),TIAM15_assumptions!$H$2:$V$2,0))</f>
        <v>1</v>
      </c>
      <c r="Q78" s="9">
        <f ca="1">OFFSET(TIAM15_assumptions!$G78,0,MATCH(VLOOKUP(Assumptions!Q$2,TIAM15_assumptions!$Y$3:$Z$87,2,FALSE),TIAM15_assumptions!$H$2:$V$2,0))</f>
        <v>1</v>
      </c>
      <c r="R78" s="9">
        <f ca="1">OFFSET(TIAM15_assumptions!$G78,0,MATCH(VLOOKUP(Assumptions!R$2,TIAM15_assumptions!$Y$3:$Z$87,2,FALSE),TIAM15_assumptions!$H$2:$V$2,0))</f>
        <v>1</v>
      </c>
      <c r="S78" s="9">
        <f ca="1">OFFSET(TIAM15_assumptions!$G78,0,MATCH(VLOOKUP(Assumptions!S$2,TIAM15_assumptions!$Y$3:$Z$87,2,FALSE),TIAM15_assumptions!$H$2:$V$2,0))</f>
        <v>1</v>
      </c>
      <c r="T78" s="9">
        <f ca="1">OFFSET(TIAM15_assumptions!$G78,0,MATCH(VLOOKUP(Assumptions!T$2,TIAM15_assumptions!$Y$3:$Z$87,2,FALSE),TIAM15_assumptions!$H$2:$V$2,0))</f>
        <v>1</v>
      </c>
      <c r="U78" s="9">
        <f ca="1">OFFSET(TIAM15_assumptions!$G78,0,MATCH(VLOOKUP(Assumptions!U$2,TIAM15_assumptions!$Y$3:$Z$87,2,FALSE),TIAM15_assumptions!$H$2:$V$2,0))</f>
        <v>1</v>
      </c>
      <c r="V78" s="9">
        <f ca="1">OFFSET(TIAM15_assumptions!$G78,0,MATCH(VLOOKUP(Assumptions!V$2,TIAM15_assumptions!$Y$3:$Z$87,2,FALSE),TIAM15_assumptions!$H$2:$V$2,0))</f>
        <v>1</v>
      </c>
      <c r="W78" s="9">
        <f ca="1">OFFSET(TIAM15_assumptions!$G78,0,MATCH(VLOOKUP(Assumptions!W$2,TIAM15_assumptions!$Y$3:$Z$87,2,FALSE),TIAM15_assumptions!$H$2:$V$2,0))</f>
        <v>1</v>
      </c>
      <c r="X78" s="9">
        <f ca="1">OFFSET(TIAM15_assumptions!$G78,0,MATCH(VLOOKUP(Assumptions!X$2,TIAM15_assumptions!$Y$3:$Z$87,2,FALSE),TIAM15_assumptions!$H$2:$V$2,0))</f>
        <v>1</v>
      </c>
      <c r="Y78" s="9">
        <f ca="1">OFFSET(TIAM15_assumptions!$G78,0,MATCH(VLOOKUP(Assumptions!Y$2,TIAM15_assumptions!$Y$3:$Z$87,2,FALSE),TIAM15_assumptions!$H$2:$V$2,0))</f>
        <v>1</v>
      </c>
      <c r="Z78" s="9">
        <f ca="1">OFFSET(TIAM15_assumptions!$G78,0,MATCH(VLOOKUP(Assumptions!Z$2,TIAM15_assumptions!$Y$3:$Z$87,2,FALSE),TIAM15_assumptions!$H$2:$V$2,0))</f>
        <v>1</v>
      </c>
      <c r="AA78" s="9">
        <f ca="1">OFFSET(TIAM15_assumptions!$G78,0,MATCH(VLOOKUP(Assumptions!AA$2,TIAM15_assumptions!$Y$3:$Z$87,2,FALSE),TIAM15_assumptions!$H$2:$V$2,0))</f>
        <v>1</v>
      </c>
      <c r="AB78" s="9">
        <f ca="1">OFFSET(TIAM15_assumptions!$G78,0,MATCH(VLOOKUP(Assumptions!AB$2,TIAM15_assumptions!$Y$3:$Z$87,2,FALSE),TIAM15_assumptions!$H$2:$V$2,0))</f>
        <v>1</v>
      </c>
      <c r="AC78" s="9">
        <f ca="1">OFFSET(TIAM15_assumptions!$G78,0,MATCH(VLOOKUP(Assumptions!AC$2,TIAM15_assumptions!$Y$3:$Z$87,2,FALSE),TIAM15_assumptions!$H$2:$V$2,0))</f>
        <v>1</v>
      </c>
      <c r="AD78" s="9">
        <f ca="1">OFFSET(TIAM15_assumptions!$G78,0,MATCH(VLOOKUP(Assumptions!AD$2,TIAM15_assumptions!$Y$3:$Z$87,2,FALSE),TIAM15_assumptions!$H$2:$V$2,0))</f>
        <v>1</v>
      </c>
      <c r="AE78" s="9">
        <f ca="1">OFFSET(TIAM15_assumptions!$G78,0,MATCH(VLOOKUP(Assumptions!AE$2,TIAM15_assumptions!$Y$3:$Z$87,2,FALSE),TIAM15_assumptions!$H$2:$V$2,0))</f>
        <v>1</v>
      </c>
      <c r="AF78" s="9">
        <f ca="1">OFFSET(TIAM15_assumptions!$G78,0,MATCH(VLOOKUP(Assumptions!AF$2,TIAM15_assumptions!$Y$3:$Z$87,2,FALSE),TIAM15_assumptions!$H$2:$V$2,0))</f>
        <v>1</v>
      </c>
      <c r="AG78" s="9">
        <f ca="1">OFFSET(TIAM15_assumptions!$G78,0,MATCH(VLOOKUP(Assumptions!AG$2,TIAM15_assumptions!$Y$3:$Z$87,2,FALSE),TIAM15_assumptions!$H$2:$V$2,0))</f>
        <v>1</v>
      </c>
      <c r="AH78" s="9">
        <f ca="1">OFFSET(TIAM15_assumptions!$G78,0,MATCH(VLOOKUP(Assumptions!AH$2,TIAM15_assumptions!$Y$3:$Z$87,2,FALSE),TIAM15_assumptions!$H$2:$V$2,0))</f>
        <v>1</v>
      </c>
      <c r="AI78" s="9">
        <f ca="1">OFFSET(TIAM15_assumptions!$G78,0,MATCH(VLOOKUP(Assumptions!AI$2,TIAM15_assumptions!$Y$3:$Z$87,2,FALSE),TIAM15_assumptions!$H$2:$V$2,0))</f>
        <v>1</v>
      </c>
      <c r="AJ78" s="9">
        <f ca="1">OFFSET(TIAM15_assumptions!$G78,0,MATCH(VLOOKUP(Assumptions!AJ$2,TIAM15_assumptions!$Y$3:$Z$87,2,FALSE),TIAM15_assumptions!$H$2:$V$2,0))</f>
        <v>1</v>
      </c>
      <c r="AK78" s="9">
        <f ca="1">OFFSET(TIAM15_assumptions!$G78,0,MATCH(VLOOKUP(Assumptions!AK$2,TIAM15_assumptions!$Y$3:$Z$87,2,FALSE),TIAM15_assumptions!$H$2:$V$2,0))</f>
        <v>1</v>
      </c>
      <c r="AL78" s="9">
        <f ca="1">OFFSET(TIAM15_assumptions!$G78,0,MATCH(VLOOKUP(Assumptions!AL$2,TIAM15_assumptions!$Y$3:$Z$87,2,FALSE),TIAM15_assumptions!$H$2:$V$2,0))</f>
        <v>1</v>
      </c>
      <c r="AM78" s="9">
        <f ca="1">OFFSET(TIAM15_assumptions!$G78,0,MATCH(VLOOKUP(Assumptions!AM$2,TIAM15_assumptions!$Y$3:$Z$87,2,FALSE),TIAM15_assumptions!$H$2:$V$2,0))</f>
        <v>1</v>
      </c>
      <c r="AN78" s="9">
        <f ca="1">OFFSET(TIAM15_assumptions!$G78,0,MATCH(VLOOKUP(Assumptions!AN$2,TIAM15_assumptions!$Y$3:$Z$87,2,FALSE),TIAM15_assumptions!$H$2:$V$2,0))</f>
        <v>1</v>
      </c>
      <c r="AO78" s="9">
        <f ca="1">OFFSET(TIAM15_assumptions!$G78,0,MATCH(VLOOKUP(Assumptions!AO$2,TIAM15_assumptions!$Y$3:$Z$87,2,FALSE),TIAM15_assumptions!$H$2:$V$2,0))</f>
        <v>1</v>
      </c>
      <c r="AP78" s="9">
        <f ca="1">OFFSET(TIAM15_assumptions!$G78,0,MATCH(VLOOKUP(Assumptions!AP$2,TIAM15_assumptions!$Y$3:$Z$87,2,FALSE),TIAM15_assumptions!$H$2:$V$2,0))</f>
        <v>1</v>
      </c>
      <c r="AQ78" s="9">
        <f ca="1">OFFSET(TIAM15_assumptions!$G78,0,MATCH(VLOOKUP(Assumptions!AQ$2,TIAM15_assumptions!$Y$3:$Z$87,2,FALSE),TIAM15_assumptions!$H$2:$V$2,0))</f>
        <v>1</v>
      </c>
      <c r="AR78" s="9">
        <f ca="1">OFFSET(TIAM15_assumptions!$G78,0,MATCH(VLOOKUP(Assumptions!AR$2,TIAM15_assumptions!$Y$3:$Z$87,2,FALSE),TIAM15_assumptions!$H$2:$V$2,0))</f>
        <v>1</v>
      </c>
      <c r="AS78" s="9">
        <f ca="1">OFFSET(TIAM15_assumptions!$G78,0,MATCH(VLOOKUP(Assumptions!AS$2,TIAM15_assumptions!$Y$3:$Z$87,2,FALSE),TIAM15_assumptions!$H$2:$V$2,0))</f>
        <v>1</v>
      </c>
      <c r="AT78" s="9">
        <f ca="1">OFFSET(TIAM15_assumptions!$G78,0,MATCH(VLOOKUP(Assumptions!AT$2,TIAM15_assumptions!$Y$3:$Z$87,2,FALSE),TIAM15_assumptions!$H$2:$V$2,0))</f>
        <v>1</v>
      </c>
      <c r="AU78" s="9">
        <f ca="1">OFFSET(TIAM15_assumptions!$G78,0,MATCH(VLOOKUP(Assumptions!AU$2,TIAM15_assumptions!$Y$3:$Z$87,2,FALSE),TIAM15_assumptions!$H$2:$V$2,0))</f>
        <v>1</v>
      </c>
      <c r="AV78" s="9">
        <f ca="1">OFFSET(TIAM15_assumptions!$G78,0,MATCH(VLOOKUP(Assumptions!AV$2,TIAM15_assumptions!$Y$3:$Z$87,2,FALSE),TIAM15_assumptions!$H$2:$V$2,0))</f>
        <v>1</v>
      </c>
      <c r="AW78" s="9">
        <f ca="1">OFFSET(TIAM15_assumptions!$G78,0,MATCH(VLOOKUP(Assumptions!AW$2,TIAM15_assumptions!$Y$3:$Z$87,2,FALSE),TIAM15_assumptions!$H$2:$V$2,0))</f>
        <v>1</v>
      </c>
      <c r="AX78" s="9">
        <f ca="1">OFFSET(TIAM15_assumptions!$G78,0,MATCH(VLOOKUP(Assumptions!AX$2,TIAM15_assumptions!$Y$3:$Z$87,2,FALSE),TIAM15_assumptions!$H$2:$V$2,0))</f>
        <v>1</v>
      </c>
      <c r="AY78" s="9">
        <f ca="1">OFFSET(TIAM15_assumptions!$G78,0,MATCH(VLOOKUP(Assumptions!AY$2,TIAM15_assumptions!$Y$3:$Z$87,2,FALSE),TIAM15_assumptions!$H$2:$V$2,0))</f>
        <v>1</v>
      </c>
      <c r="AZ78" s="9">
        <f ca="1">OFFSET(TIAM15_assumptions!$G78,0,MATCH(VLOOKUP(Assumptions!AZ$2,TIAM15_assumptions!$Y$3:$Z$87,2,FALSE),TIAM15_assumptions!$H$2:$V$2,0))</f>
        <v>1</v>
      </c>
      <c r="BA78" s="9">
        <f ca="1">OFFSET(TIAM15_assumptions!$G78,0,MATCH(VLOOKUP(Assumptions!BA$2,TIAM15_assumptions!$Y$3:$Z$87,2,FALSE),TIAM15_assumptions!$H$2:$V$2,0))</f>
        <v>1</v>
      </c>
      <c r="BD78" s="34">
        <f ca="1">IFERROR(SUMIFS('TRA balance'!E$5:E$40,'TRA balance'!$C$5:$C$40,Assumptions!$C78,'TRA balance'!$D$5:$D$40,Assumptions!$B78)*CY78*H78,"")</f>
        <v>0</v>
      </c>
      <c r="BE78" s="34">
        <f ca="1">IFERROR(SUMIFS('TRA balance'!F$5:F$40,'TRA balance'!$C$5:$C$40,Assumptions!$C78,'TRA balance'!$D$5:$D$40,Assumptions!$B78)*CZ78*I78,"")</f>
        <v>0</v>
      </c>
      <c r="BF78" s="34">
        <f ca="1">IFERROR(SUMIFS('TRA balance'!G$5:G$40,'TRA balance'!$C$5:$C$40,Assumptions!$C78,'TRA balance'!$D$5:$D$40,Assumptions!$B78)*DA78*J78,"")</f>
        <v>0</v>
      </c>
      <c r="BG78" s="34">
        <f ca="1">IFERROR(SUMIFS('TRA balance'!H$5:H$40,'TRA balance'!$C$5:$C$40,Assumptions!$C78,'TRA balance'!$D$5:$D$40,Assumptions!$B78)*DB78*K78,"")</f>
        <v>0</v>
      </c>
      <c r="BH78" s="34">
        <f ca="1">IFERROR(SUMIFS('TRA balance'!I$5:I$40,'TRA balance'!$C$5:$C$40,Assumptions!$C78,'TRA balance'!$D$5:$D$40,Assumptions!$B78)*DC78*L78,"")</f>
        <v>0</v>
      </c>
      <c r="BI78" s="34">
        <f ca="1">IFERROR(SUMIFS('TRA balance'!J$5:J$40,'TRA balance'!$C$5:$C$40,Assumptions!$C78,'TRA balance'!$D$5:$D$40,Assumptions!$B78)*DD78*M78,"")</f>
        <v>0</v>
      </c>
      <c r="BJ78" s="34">
        <f ca="1">IFERROR(SUMIFS('TRA balance'!K$5:K$40,'TRA balance'!$C$5:$C$40,Assumptions!$C78,'TRA balance'!$D$5:$D$40,Assumptions!$B78)*DE78*N78,"")</f>
        <v>0</v>
      </c>
      <c r="BK78" s="34">
        <f ca="1">IFERROR(SUMIFS('TRA balance'!L$5:L$40,'TRA balance'!$C$5:$C$40,Assumptions!$C78,'TRA balance'!$D$5:$D$40,Assumptions!$B78)*DF78*O78,"")</f>
        <v>0</v>
      </c>
      <c r="BL78" s="34">
        <f ca="1">IFERROR(SUMIFS('TRA balance'!M$5:M$40,'TRA balance'!$C$5:$C$40,Assumptions!$C78,'TRA balance'!$D$5:$D$40,Assumptions!$B78)*DG78*P78,"")</f>
        <v>0</v>
      </c>
      <c r="BM78" s="34">
        <f ca="1">IFERROR(SUMIFS('TRA balance'!N$5:N$40,'TRA balance'!$C$5:$C$40,Assumptions!$C78,'TRA balance'!$D$5:$D$40,Assumptions!$B78)*DH78*Q78,"")</f>
        <v>0</v>
      </c>
      <c r="BN78" s="34">
        <f ca="1">IFERROR(SUMIFS('TRA balance'!O$5:O$40,'TRA balance'!$C$5:$C$40,Assumptions!$C78,'TRA balance'!$D$5:$D$40,Assumptions!$B78)*DI78*R78,"")</f>
        <v>0</v>
      </c>
      <c r="BO78" s="34">
        <f ca="1">IFERROR(SUMIFS('TRA balance'!P$5:P$40,'TRA balance'!$C$5:$C$40,Assumptions!$C78,'TRA balance'!$D$5:$D$40,Assumptions!$B78)*DJ78*S78,"")</f>
        <v>0</v>
      </c>
      <c r="BP78" s="34">
        <f ca="1">IFERROR(SUMIFS('TRA balance'!Q$5:Q$40,'TRA balance'!$C$5:$C$40,Assumptions!$C78,'TRA balance'!$D$5:$D$40,Assumptions!$B78)*DK78*T78,"")</f>
        <v>0</v>
      </c>
      <c r="BQ78" s="34">
        <f ca="1">IFERROR(SUMIFS('TRA balance'!R$5:R$40,'TRA balance'!$C$5:$C$40,Assumptions!$C78,'TRA balance'!$D$5:$D$40,Assumptions!$B78)*DL78*U78,"")</f>
        <v>0</v>
      </c>
      <c r="BR78" s="34">
        <f ca="1">IFERROR(SUMIFS('TRA balance'!S$5:S$40,'TRA balance'!$C$5:$C$40,Assumptions!$C78,'TRA balance'!$D$5:$D$40,Assumptions!$B78)*DM78*V78,"")</f>
        <v>0</v>
      </c>
      <c r="BS78" s="34">
        <f ca="1">IFERROR(SUMIFS('TRA balance'!T$5:T$40,'TRA balance'!$C$5:$C$40,Assumptions!$C78,'TRA balance'!$D$5:$D$40,Assumptions!$B78)*DN78*W78,"")</f>
        <v>0</v>
      </c>
      <c r="BT78" s="34">
        <f ca="1">IFERROR(SUMIFS('TRA balance'!U$5:U$40,'TRA balance'!$C$5:$C$40,Assumptions!$C78,'TRA balance'!$D$5:$D$40,Assumptions!$B78)*DO78*X78,"")</f>
        <v>0</v>
      </c>
      <c r="BU78" s="34">
        <f ca="1">IFERROR(SUMIFS('TRA balance'!V$5:V$40,'TRA balance'!$C$5:$C$40,Assumptions!$C78,'TRA balance'!$D$5:$D$40,Assumptions!$B78)*DP78*Y78,"")</f>
        <v>0</v>
      </c>
      <c r="BV78" s="34">
        <f ca="1">IFERROR(SUMIFS('TRA balance'!W$5:W$40,'TRA balance'!$C$5:$C$40,Assumptions!$C78,'TRA balance'!$D$5:$D$40,Assumptions!$B78)*DQ78*Z78,"")</f>
        <v>0</v>
      </c>
      <c r="BW78" s="34">
        <f ca="1">IFERROR(SUMIFS('TRA balance'!X$5:X$40,'TRA balance'!$C$5:$C$40,Assumptions!$C78,'TRA balance'!$D$5:$D$40,Assumptions!$B78)*DR78*AA78,"")</f>
        <v>0</v>
      </c>
      <c r="BX78" s="34">
        <f ca="1">IFERROR(SUMIFS('TRA balance'!Y$5:Y$40,'TRA balance'!$C$5:$C$40,Assumptions!$C78,'TRA balance'!$D$5:$D$40,Assumptions!$B78)*DS78*AB78,"")</f>
        <v>0</v>
      </c>
      <c r="BY78" s="34">
        <f ca="1">IFERROR(SUMIFS('TRA balance'!Z$5:Z$40,'TRA balance'!$C$5:$C$40,Assumptions!$C78,'TRA balance'!$D$5:$D$40,Assumptions!$B78)*DT78*AC78,"")</f>
        <v>0</v>
      </c>
      <c r="BZ78" s="34">
        <f ca="1">IFERROR(SUMIFS('TRA balance'!AA$5:AA$40,'TRA balance'!$C$5:$C$40,Assumptions!$C78,'TRA balance'!$D$5:$D$40,Assumptions!$B78)*DU78*AD78,"")</f>
        <v>0</v>
      </c>
      <c r="CA78" s="34">
        <f ca="1">IFERROR(SUMIFS('TRA balance'!AB$5:AB$40,'TRA balance'!$C$5:$C$40,Assumptions!$C78,'TRA balance'!$D$5:$D$40,Assumptions!$B78)*DV78*AE78,"")</f>
        <v>0</v>
      </c>
      <c r="CB78" s="34">
        <f ca="1">IFERROR(SUMIFS('TRA balance'!AC$5:AC$40,'TRA balance'!$C$5:$C$40,Assumptions!$C78,'TRA balance'!$D$5:$D$40,Assumptions!$B78)*DW78*AF78,"")</f>
        <v>0</v>
      </c>
      <c r="CC78" s="34">
        <f ca="1">IFERROR(SUMIFS('TRA balance'!AD$5:AD$40,'TRA balance'!$C$5:$C$40,Assumptions!$C78,'TRA balance'!$D$5:$D$40,Assumptions!$B78)*DX78*AG78,"")</f>
        <v>0</v>
      </c>
      <c r="CD78" s="34">
        <f ca="1">IFERROR(SUMIFS('TRA balance'!AE$5:AE$40,'TRA balance'!$C$5:$C$40,Assumptions!$C78,'TRA balance'!$D$5:$D$40,Assumptions!$B78)*DY78*AH78,"")</f>
        <v>0</v>
      </c>
      <c r="CE78" s="34">
        <f ca="1">IFERROR(SUMIFS('TRA balance'!AF$5:AF$40,'TRA balance'!$C$5:$C$40,Assumptions!$C78,'TRA balance'!$D$5:$D$40,Assumptions!$B78)*DZ78*AI78,"")</f>
        <v>0</v>
      </c>
      <c r="CF78" s="34">
        <f ca="1">IFERROR(SUMIFS('TRA balance'!AG$5:AG$40,'TRA balance'!$C$5:$C$40,Assumptions!$C78,'TRA balance'!$D$5:$D$40,Assumptions!$B78)*EA78*AJ78,"")</f>
        <v>0</v>
      </c>
      <c r="CG78" s="34">
        <f ca="1">IFERROR(SUMIFS('TRA balance'!AH$5:AH$40,'TRA balance'!$C$5:$C$40,Assumptions!$C78,'TRA balance'!$D$5:$D$40,Assumptions!$B78)*EB78*AK78,"")</f>
        <v>0</v>
      </c>
      <c r="CH78" s="34">
        <f ca="1">IFERROR(SUMIFS('TRA balance'!AI$5:AI$40,'TRA balance'!$C$5:$C$40,Assumptions!$C78,'TRA balance'!$D$5:$D$40,Assumptions!$B78)*EC78*AL78,"")</f>
        <v>0</v>
      </c>
      <c r="CI78" s="34">
        <f ca="1">IFERROR(SUMIFS('TRA balance'!AJ$5:AJ$40,'TRA balance'!$C$5:$C$40,Assumptions!$C78,'TRA balance'!$D$5:$D$40,Assumptions!$B78)*ED78*AM78,"")</f>
        <v>0</v>
      </c>
      <c r="CJ78" s="34">
        <f ca="1">IFERROR(SUMIFS('TRA balance'!AK$5:AK$40,'TRA balance'!$C$5:$C$40,Assumptions!$C78,'TRA balance'!$D$5:$D$40,Assumptions!$B78)*EE78*AN78,"")</f>
        <v>0</v>
      </c>
      <c r="CK78" s="34">
        <f ca="1">IFERROR(SUMIFS('TRA balance'!AL$5:AL$40,'TRA balance'!$C$5:$C$40,Assumptions!$C78,'TRA balance'!$D$5:$D$40,Assumptions!$B78)*EF78*AO78,"")</f>
        <v>0</v>
      </c>
      <c r="CL78" s="34">
        <f ca="1">IFERROR(SUMIFS('TRA balance'!AM$5:AM$40,'TRA balance'!$C$5:$C$40,Assumptions!$C78,'TRA balance'!$D$5:$D$40,Assumptions!$B78)*EG78*AP78,"")</f>
        <v>0</v>
      </c>
      <c r="CM78" s="34">
        <f ca="1">IFERROR(SUMIFS('TRA balance'!AN$5:AN$40,'TRA balance'!$C$5:$C$40,Assumptions!$C78,'TRA balance'!$D$5:$D$40,Assumptions!$B78)*EH78*AQ78,"")</f>
        <v>0</v>
      </c>
      <c r="CN78" s="34">
        <f ca="1">IFERROR(SUMIFS('TRA balance'!AO$5:AO$40,'TRA balance'!$C$5:$C$40,Assumptions!$C78,'TRA balance'!$D$5:$D$40,Assumptions!$B78)*EI78*AR78,"")</f>
        <v>0</v>
      </c>
      <c r="CO78" s="34">
        <f ca="1">IFERROR(SUMIFS('TRA balance'!AP$5:AP$40,'TRA balance'!$C$5:$C$40,Assumptions!$C78,'TRA balance'!$D$5:$D$40,Assumptions!$B78)*EJ78*AS78,"")</f>
        <v>0</v>
      </c>
      <c r="CP78" s="34">
        <f ca="1">IFERROR(SUMIFS('TRA balance'!AQ$5:AQ$40,'TRA balance'!$C$5:$C$40,Assumptions!$C78,'TRA balance'!$D$5:$D$40,Assumptions!$B78)*EK78*AT78,"")</f>
        <v>0</v>
      </c>
      <c r="CQ78" s="34">
        <f ca="1">IFERROR(SUMIFS('TRA balance'!AR$5:AR$40,'TRA balance'!$C$5:$C$40,Assumptions!$C78,'TRA balance'!$D$5:$D$40,Assumptions!$B78)*EL78*AU78,"")</f>
        <v>0</v>
      </c>
      <c r="CR78" s="34">
        <f ca="1">IFERROR(SUMIFS('TRA balance'!AS$5:AS$40,'TRA balance'!$C$5:$C$40,Assumptions!$C78,'TRA balance'!$D$5:$D$40,Assumptions!$B78)*EM78*AV78,"")</f>
        <v>0</v>
      </c>
      <c r="CS78" s="34">
        <f ca="1">IFERROR(SUMIFS('TRA balance'!AT$5:AT$40,'TRA balance'!$C$5:$C$40,Assumptions!$C78,'TRA balance'!$D$5:$D$40,Assumptions!$B78)*EN78*AW78,"")</f>
        <v>0</v>
      </c>
      <c r="CT78" s="34">
        <f ca="1">IFERROR(SUMIFS('TRA balance'!AU$5:AU$40,'TRA balance'!$C$5:$C$40,Assumptions!$C78,'TRA balance'!$D$5:$D$40,Assumptions!$B78)*EO78*AX78,"")</f>
        <v>0</v>
      </c>
      <c r="CU78" s="34">
        <f ca="1">IFERROR(SUMIFS('TRA balance'!AV$5:AV$40,'TRA balance'!$C$5:$C$40,Assumptions!$C78,'TRA balance'!$D$5:$D$40,Assumptions!$B78)*EP78*AY78,"")</f>
        <v>0</v>
      </c>
      <c r="CV78" s="34">
        <f ca="1">IFERROR(SUMIFS('TRA balance'!AW$5:AW$40,'TRA balance'!$C$5:$C$40,Assumptions!$C78,'TRA balance'!$D$5:$D$40,Assumptions!$B78)*EQ78*AZ78,"")</f>
        <v>0</v>
      </c>
      <c r="CW78" s="34">
        <f ca="1">IFERROR(SUMIFS('TRA balance'!AX$5:AX$40,'TRA balance'!$C$5:$C$40,Assumptions!$C78,'TRA balance'!$D$5:$D$40,Assumptions!$B78)*ER78*BA78,"")</f>
        <v>0</v>
      </c>
      <c r="CY78" s="33">
        <f t="shared" ca="1" si="86"/>
        <v>0</v>
      </c>
      <c r="CZ78" s="33">
        <f t="shared" ca="1" si="87"/>
        <v>0</v>
      </c>
      <c r="DA78" s="33">
        <f t="shared" ca="1" si="88"/>
        <v>0</v>
      </c>
      <c r="DB78" s="33">
        <f t="shared" ca="1" si="89"/>
        <v>0</v>
      </c>
      <c r="DC78" s="33">
        <f t="shared" ca="1" si="90"/>
        <v>0</v>
      </c>
      <c r="DD78" s="33">
        <f t="shared" ca="1" si="91"/>
        <v>0</v>
      </c>
      <c r="DE78" s="33">
        <f t="shared" ca="1" si="92"/>
        <v>0</v>
      </c>
      <c r="DF78" s="33">
        <f t="shared" ca="1" si="93"/>
        <v>0</v>
      </c>
      <c r="DG78" s="33">
        <f t="shared" ca="1" si="94"/>
        <v>0</v>
      </c>
      <c r="DH78" s="33">
        <f t="shared" ca="1" si="95"/>
        <v>0</v>
      </c>
      <c r="DI78" s="33">
        <f t="shared" ca="1" si="96"/>
        <v>0</v>
      </c>
      <c r="DJ78" s="33">
        <f t="shared" ca="1" si="97"/>
        <v>0</v>
      </c>
      <c r="DK78" s="33">
        <f t="shared" ca="1" si="98"/>
        <v>0</v>
      </c>
      <c r="DL78" s="33">
        <f t="shared" ca="1" si="99"/>
        <v>0</v>
      </c>
      <c r="DM78" s="33">
        <f t="shared" ca="1" si="100"/>
        <v>0</v>
      </c>
      <c r="DN78" s="33">
        <f t="shared" ca="1" si="101"/>
        <v>0</v>
      </c>
      <c r="DO78" s="33">
        <f t="shared" ca="1" si="102"/>
        <v>0</v>
      </c>
      <c r="DP78" s="33">
        <f t="shared" ca="1" si="103"/>
        <v>0</v>
      </c>
      <c r="DQ78" s="33">
        <f t="shared" ca="1" si="104"/>
        <v>0</v>
      </c>
      <c r="DR78" s="33">
        <f t="shared" ca="1" si="105"/>
        <v>0</v>
      </c>
      <c r="DS78" s="33">
        <f t="shared" ca="1" si="106"/>
        <v>0</v>
      </c>
      <c r="DT78" s="33">
        <f t="shared" ca="1" si="107"/>
        <v>0</v>
      </c>
      <c r="DU78" s="33">
        <f t="shared" ca="1" si="108"/>
        <v>0</v>
      </c>
      <c r="DV78" s="33">
        <f t="shared" ca="1" si="109"/>
        <v>0</v>
      </c>
      <c r="DW78" s="33">
        <f t="shared" ca="1" si="110"/>
        <v>0</v>
      </c>
      <c r="DX78" s="33">
        <f t="shared" ca="1" si="111"/>
        <v>0</v>
      </c>
      <c r="DY78" s="33">
        <f t="shared" ca="1" si="112"/>
        <v>0</v>
      </c>
      <c r="DZ78" s="33">
        <f t="shared" ca="1" si="113"/>
        <v>0</v>
      </c>
      <c r="EA78" s="33">
        <f t="shared" ca="1" si="114"/>
        <v>0</v>
      </c>
      <c r="EB78" s="33">
        <f t="shared" ca="1" si="115"/>
        <v>0</v>
      </c>
      <c r="EC78" s="33">
        <f t="shared" ca="1" si="116"/>
        <v>0</v>
      </c>
      <c r="ED78" s="33">
        <f t="shared" ca="1" si="117"/>
        <v>0</v>
      </c>
      <c r="EE78" s="33">
        <f t="shared" ca="1" si="118"/>
        <v>0</v>
      </c>
      <c r="EF78" s="33">
        <f t="shared" ca="1" si="119"/>
        <v>0</v>
      </c>
      <c r="EG78" s="33">
        <f t="shared" ca="1" si="120"/>
        <v>0</v>
      </c>
      <c r="EH78" s="33">
        <f t="shared" ca="1" si="121"/>
        <v>0</v>
      </c>
      <c r="EI78" s="33">
        <f t="shared" ca="1" si="122"/>
        <v>0</v>
      </c>
      <c r="EJ78" s="33">
        <f t="shared" ca="1" si="123"/>
        <v>0</v>
      </c>
      <c r="EK78" s="33">
        <f t="shared" ca="1" si="124"/>
        <v>0</v>
      </c>
      <c r="EL78" s="33">
        <f t="shared" ca="1" si="125"/>
        <v>0</v>
      </c>
      <c r="EM78" s="33">
        <f t="shared" ca="1" si="126"/>
        <v>0</v>
      </c>
      <c r="EN78" s="33">
        <f t="shared" ca="1" si="127"/>
        <v>0</v>
      </c>
      <c r="EO78" s="33">
        <f t="shared" ca="1" si="128"/>
        <v>0</v>
      </c>
      <c r="EP78" s="33">
        <f t="shared" ca="1" si="129"/>
        <v>0</v>
      </c>
      <c r="EQ78" s="33">
        <f t="shared" ca="1" si="130"/>
        <v>0</v>
      </c>
      <c r="ER78" s="33">
        <f t="shared" ca="1" si="131"/>
        <v>0</v>
      </c>
    </row>
    <row r="79" spans="1:148">
      <c r="A79">
        <v>1</v>
      </c>
      <c r="B79" t="str">
        <f>VLOOKUP(F79,'TRA balance'!$BA$5:$BB$14,2,FALSE)</f>
        <v>TRABGS</v>
      </c>
      <c r="C79" s="6" t="str">
        <f t="shared" si="133"/>
        <v>TR</v>
      </c>
      <c r="D79" s="7" t="s">
        <v>16</v>
      </c>
      <c r="E79" s="18" t="s">
        <v>63</v>
      </c>
      <c r="F79" s="8" t="str">
        <f t="shared" ref="F79:F82" si="138">F78</f>
        <v>Bio Gasoline</v>
      </c>
      <c r="G79" s="6" t="s">
        <v>64</v>
      </c>
      <c r="H79" s="9">
        <f ca="1">OFFSET(TIAM15_assumptions!$G79,0,MATCH(VLOOKUP(Assumptions!H$2,TIAM15_assumptions!$Y$3:$Z$87,2,FALSE),TIAM15_assumptions!$H$2:$V$2,0))</f>
        <v>0</v>
      </c>
      <c r="I79" s="9">
        <f ca="1">OFFSET(TIAM15_assumptions!$G79,0,MATCH(VLOOKUP(Assumptions!I$2,TIAM15_assumptions!$Y$3:$Z$87,2,FALSE),TIAM15_assumptions!$H$2:$V$2,0))</f>
        <v>0</v>
      </c>
      <c r="J79" s="9">
        <f ca="1">OFFSET(TIAM15_assumptions!$G79,0,MATCH(VLOOKUP(Assumptions!J$2,TIAM15_assumptions!$Y$3:$Z$87,2,FALSE),TIAM15_assumptions!$H$2:$V$2,0))</f>
        <v>0</v>
      </c>
      <c r="K79" s="9">
        <f ca="1">OFFSET(TIAM15_assumptions!$G79,0,MATCH(VLOOKUP(Assumptions!K$2,TIAM15_assumptions!$Y$3:$Z$87,2,FALSE),TIAM15_assumptions!$H$2:$V$2,0))</f>
        <v>0</v>
      </c>
      <c r="L79" s="9">
        <f ca="1">OFFSET(TIAM15_assumptions!$G79,0,MATCH(VLOOKUP(Assumptions!L$2,TIAM15_assumptions!$Y$3:$Z$87,2,FALSE),TIAM15_assumptions!$H$2:$V$2,0))</f>
        <v>0</v>
      </c>
      <c r="M79" s="9">
        <f ca="1">OFFSET(TIAM15_assumptions!$G79,0,MATCH(VLOOKUP(Assumptions!M$2,TIAM15_assumptions!$Y$3:$Z$87,2,FALSE),TIAM15_assumptions!$H$2:$V$2,0))</f>
        <v>0</v>
      </c>
      <c r="N79" s="9">
        <f ca="1">OFFSET(TIAM15_assumptions!$G79,0,MATCH(VLOOKUP(Assumptions!N$2,TIAM15_assumptions!$Y$3:$Z$87,2,FALSE),TIAM15_assumptions!$H$2:$V$2,0))</f>
        <v>0</v>
      </c>
      <c r="O79" s="9">
        <f ca="1">OFFSET(TIAM15_assumptions!$G79,0,MATCH(VLOOKUP(Assumptions!O$2,TIAM15_assumptions!$Y$3:$Z$87,2,FALSE),TIAM15_assumptions!$H$2:$V$2,0))</f>
        <v>0</v>
      </c>
      <c r="P79" s="9">
        <f ca="1">OFFSET(TIAM15_assumptions!$G79,0,MATCH(VLOOKUP(Assumptions!P$2,TIAM15_assumptions!$Y$3:$Z$87,2,FALSE),TIAM15_assumptions!$H$2:$V$2,0))</f>
        <v>0</v>
      </c>
      <c r="Q79" s="9">
        <f ca="1">OFFSET(TIAM15_assumptions!$G79,0,MATCH(VLOOKUP(Assumptions!Q$2,TIAM15_assumptions!$Y$3:$Z$87,2,FALSE),TIAM15_assumptions!$H$2:$V$2,0))</f>
        <v>0</v>
      </c>
      <c r="R79" s="9">
        <f ca="1">OFFSET(TIAM15_assumptions!$G79,0,MATCH(VLOOKUP(Assumptions!R$2,TIAM15_assumptions!$Y$3:$Z$87,2,FALSE),TIAM15_assumptions!$H$2:$V$2,0))</f>
        <v>0</v>
      </c>
      <c r="S79" s="9">
        <f ca="1">OFFSET(TIAM15_assumptions!$G79,0,MATCH(VLOOKUP(Assumptions!S$2,TIAM15_assumptions!$Y$3:$Z$87,2,FALSE),TIAM15_assumptions!$H$2:$V$2,0))</f>
        <v>0</v>
      </c>
      <c r="T79" s="9">
        <f ca="1">OFFSET(TIAM15_assumptions!$G79,0,MATCH(VLOOKUP(Assumptions!T$2,TIAM15_assumptions!$Y$3:$Z$87,2,FALSE),TIAM15_assumptions!$H$2:$V$2,0))</f>
        <v>0</v>
      </c>
      <c r="U79" s="9">
        <f ca="1">OFFSET(TIAM15_assumptions!$G79,0,MATCH(VLOOKUP(Assumptions!U$2,TIAM15_assumptions!$Y$3:$Z$87,2,FALSE),TIAM15_assumptions!$H$2:$V$2,0))</f>
        <v>0</v>
      </c>
      <c r="V79" s="9">
        <f ca="1">OFFSET(TIAM15_assumptions!$G79,0,MATCH(VLOOKUP(Assumptions!V$2,TIAM15_assumptions!$Y$3:$Z$87,2,FALSE),TIAM15_assumptions!$H$2:$V$2,0))</f>
        <v>0</v>
      </c>
      <c r="W79" s="9">
        <f ca="1">OFFSET(TIAM15_assumptions!$G79,0,MATCH(VLOOKUP(Assumptions!W$2,TIAM15_assumptions!$Y$3:$Z$87,2,FALSE),TIAM15_assumptions!$H$2:$V$2,0))</f>
        <v>0</v>
      </c>
      <c r="X79" s="9">
        <f ca="1">OFFSET(TIAM15_assumptions!$G79,0,MATCH(VLOOKUP(Assumptions!X$2,TIAM15_assumptions!$Y$3:$Z$87,2,FALSE),TIAM15_assumptions!$H$2:$V$2,0))</f>
        <v>0</v>
      </c>
      <c r="Y79" s="9">
        <f ca="1">OFFSET(TIAM15_assumptions!$G79,0,MATCH(VLOOKUP(Assumptions!Y$2,TIAM15_assumptions!$Y$3:$Z$87,2,FALSE),TIAM15_assumptions!$H$2:$V$2,0))</f>
        <v>0</v>
      </c>
      <c r="Z79" s="9">
        <f ca="1">OFFSET(TIAM15_assumptions!$G79,0,MATCH(VLOOKUP(Assumptions!Z$2,TIAM15_assumptions!$Y$3:$Z$87,2,FALSE),TIAM15_assumptions!$H$2:$V$2,0))</f>
        <v>0</v>
      </c>
      <c r="AA79" s="9">
        <f ca="1">OFFSET(TIAM15_assumptions!$G79,0,MATCH(VLOOKUP(Assumptions!AA$2,TIAM15_assumptions!$Y$3:$Z$87,2,FALSE),TIAM15_assumptions!$H$2:$V$2,0))</f>
        <v>0</v>
      </c>
      <c r="AB79" s="9">
        <f ca="1">OFFSET(TIAM15_assumptions!$G79,0,MATCH(VLOOKUP(Assumptions!AB$2,TIAM15_assumptions!$Y$3:$Z$87,2,FALSE),TIAM15_assumptions!$H$2:$V$2,0))</f>
        <v>0</v>
      </c>
      <c r="AC79" s="9">
        <f ca="1">OFFSET(TIAM15_assumptions!$G79,0,MATCH(VLOOKUP(Assumptions!AC$2,TIAM15_assumptions!$Y$3:$Z$87,2,FALSE),TIAM15_assumptions!$H$2:$V$2,0))</f>
        <v>0</v>
      </c>
      <c r="AD79" s="9">
        <f ca="1">OFFSET(TIAM15_assumptions!$G79,0,MATCH(VLOOKUP(Assumptions!AD$2,TIAM15_assumptions!$Y$3:$Z$87,2,FALSE),TIAM15_assumptions!$H$2:$V$2,0))</f>
        <v>0</v>
      </c>
      <c r="AE79" s="9">
        <f ca="1">OFFSET(TIAM15_assumptions!$G79,0,MATCH(VLOOKUP(Assumptions!AE$2,TIAM15_assumptions!$Y$3:$Z$87,2,FALSE),TIAM15_assumptions!$H$2:$V$2,0))</f>
        <v>0</v>
      </c>
      <c r="AF79" s="9">
        <f ca="1">OFFSET(TIAM15_assumptions!$G79,0,MATCH(VLOOKUP(Assumptions!AF$2,TIAM15_assumptions!$Y$3:$Z$87,2,FALSE),TIAM15_assumptions!$H$2:$V$2,0))</f>
        <v>0</v>
      </c>
      <c r="AG79" s="9">
        <f ca="1">OFFSET(TIAM15_assumptions!$G79,0,MATCH(VLOOKUP(Assumptions!AG$2,TIAM15_assumptions!$Y$3:$Z$87,2,FALSE),TIAM15_assumptions!$H$2:$V$2,0))</f>
        <v>0</v>
      </c>
      <c r="AH79" s="9">
        <f ca="1">OFFSET(TIAM15_assumptions!$G79,0,MATCH(VLOOKUP(Assumptions!AH$2,TIAM15_assumptions!$Y$3:$Z$87,2,FALSE),TIAM15_assumptions!$H$2:$V$2,0))</f>
        <v>0</v>
      </c>
      <c r="AI79" s="9">
        <f ca="1">OFFSET(TIAM15_assumptions!$G79,0,MATCH(VLOOKUP(Assumptions!AI$2,TIAM15_assumptions!$Y$3:$Z$87,2,FALSE),TIAM15_assumptions!$H$2:$V$2,0))</f>
        <v>0</v>
      </c>
      <c r="AJ79" s="9">
        <f ca="1">OFFSET(TIAM15_assumptions!$G79,0,MATCH(VLOOKUP(Assumptions!AJ$2,TIAM15_assumptions!$Y$3:$Z$87,2,FALSE),TIAM15_assumptions!$H$2:$V$2,0))</f>
        <v>0</v>
      </c>
      <c r="AK79" s="9">
        <f ca="1">OFFSET(TIAM15_assumptions!$G79,0,MATCH(VLOOKUP(Assumptions!AK$2,TIAM15_assumptions!$Y$3:$Z$87,2,FALSE),TIAM15_assumptions!$H$2:$V$2,0))</f>
        <v>0</v>
      </c>
      <c r="AL79" s="9">
        <f ca="1">OFFSET(TIAM15_assumptions!$G79,0,MATCH(VLOOKUP(Assumptions!AL$2,TIAM15_assumptions!$Y$3:$Z$87,2,FALSE),TIAM15_assumptions!$H$2:$V$2,0))</f>
        <v>0</v>
      </c>
      <c r="AM79" s="9">
        <f ca="1">OFFSET(TIAM15_assumptions!$G79,0,MATCH(VLOOKUP(Assumptions!AM$2,TIAM15_assumptions!$Y$3:$Z$87,2,FALSE),TIAM15_assumptions!$H$2:$V$2,0))</f>
        <v>0</v>
      </c>
      <c r="AN79" s="9">
        <f ca="1">OFFSET(TIAM15_assumptions!$G79,0,MATCH(VLOOKUP(Assumptions!AN$2,TIAM15_assumptions!$Y$3:$Z$87,2,FALSE),TIAM15_assumptions!$H$2:$V$2,0))</f>
        <v>0</v>
      </c>
      <c r="AO79" s="9">
        <f ca="1">OFFSET(TIAM15_assumptions!$G79,0,MATCH(VLOOKUP(Assumptions!AO$2,TIAM15_assumptions!$Y$3:$Z$87,2,FALSE),TIAM15_assumptions!$H$2:$V$2,0))</f>
        <v>0</v>
      </c>
      <c r="AP79" s="9">
        <f ca="1">OFFSET(TIAM15_assumptions!$G79,0,MATCH(VLOOKUP(Assumptions!AP$2,TIAM15_assumptions!$Y$3:$Z$87,2,FALSE),TIAM15_assumptions!$H$2:$V$2,0))</f>
        <v>0</v>
      </c>
      <c r="AQ79" s="9">
        <f ca="1">OFFSET(TIAM15_assumptions!$G79,0,MATCH(VLOOKUP(Assumptions!AQ$2,TIAM15_assumptions!$Y$3:$Z$87,2,FALSE),TIAM15_assumptions!$H$2:$V$2,0))</f>
        <v>0</v>
      </c>
      <c r="AR79" s="9">
        <f ca="1">OFFSET(TIAM15_assumptions!$G79,0,MATCH(VLOOKUP(Assumptions!AR$2,TIAM15_assumptions!$Y$3:$Z$87,2,FALSE),TIAM15_assumptions!$H$2:$V$2,0))</f>
        <v>0</v>
      </c>
      <c r="AS79" s="9">
        <f ca="1">OFFSET(TIAM15_assumptions!$G79,0,MATCH(VLOOKUP(Assumptions!AS$2,TIAM15_assumptions!$Y$3:$Z$87,2,FALSE),TIAM15_assumptions!$H$2:$V$2,0))</f>
        <v>0</v>
      </c>
      <c r="AT79" s="9">
        <f ca="1">OFFSET(TIAM15_assumptions!$G79,0,MATCH(VLOOKUP(Assumptions!AT$2,TIAM15_assumptions!$Y$3:$Z$87,2,FALSE),TIAM15_assumptions!$H$2:$V$2,0))</f>
        <v>0</v>
      </c>
      <c r="AU79" s="9">
        <f ca="1">OFFSET(TIAM15_assumptions!$G79,0,MATCH(VLOOKUP(Assumptions!AU$2,TIAM15_assumptions!$Y$3:$Z$87,2,FALSE),TIAM15_assumptions!$H$2:$V$2,0))</f>
        <v>0</v>
      </c>
      <c r="AV79" s="9">
        <f ca="1">OFFSET(TIAM15_assumptions!$G79,0,MATCH(VLOOKUP(Assumptions!AV$2,TIAM15_assumptions!$Y$3:$Z$87,2,FALSE),TIAM15_assumptions!$H$2:$V$2,0))</f>
        <v>0</v>
      </c>
      <c r="AW79" s="9">
        <f ca="1">OFFSET(TIAM15_assumptions!$G79,0,MATCH(VLOOKUP(Assumptions!AW$2,TIAM15_assumptions!$Y$3:$Z$87,2,FALSE),TIAM15_assumptions!$H$2:$V$2,0))</f>
        <v>0</v>
      </c>
      <c r="AX79" s="9">
        <f ca="1">OFFSET(TIAM15_assumptions!$G79,0,MATCH(VLOOKUP(Assumptions!AX$2,TIAM15_assumptions!$Y$3:$Z$87,2,FALSE),TIAM15_assumptions!$H$2:$V$2,0))</f>
        <v>0</v>
      </c>
      <c r="AY79" s="9">
        <f ca="1">OFFSET(TIAM15_assumptions!$G79,0,MATCH(VLOOKUP(Assumptions!AY$2,TIAM15_assumptions!$Y$3:$Z$87,2,FALSE),TIAM15_assumptions!$H$2:$V$2,0))</f>
        <v>0</v>
      </c>
      <c r="AZ79" s="9">
        <f ca="1">OFFSET(TIAM15_assumptions!$G79,0,MATCH(VLOOKUP(Assumptions!AZ$2,TIAM15_assumptions!$Y$3:$Z$87,2,FALSE),TIAM15_assumptions!$H$2:$V$2,0))</f>
        <v>0</v>
      </c>
      <c r="BA79" s="9">
        <f ca="1">OFFSET(TIAM15_assumptions!$G79,0,MATCH(VLOOKUP(Assumptions!BA$2,TIAM15_assumptions!$Y$3:$Z$87,2,FALSE),TIAM15_assumptions!$H$2:$V$2,0))</f>
        <v>0</v>
      </c>
      <c r="BD79" s="34">
        <f ca="1">IFERROR(SUMIFS('TRA balance'!E$5:E$40,'TRA balance'!$C$5:$C$40,Assumptions!$C79,'TRA balance'!$D$5:$D$40,Assumptions!$B79)*CY79*H79,"")</f>
        <v>0</v>
      </c>
      <c r="BE79" s="34">
        <f ca="1">IFERROR(SUMIFS('TRA balance'!F$5:F$40,'TRA balance'!$C$5:$C$40,Assumptions!$C79,'TRA balance'!$D$5:$D$40,Assumptions!$B79)*CZ79*I79,"")</f>
        <v>0</v>
      </c>
      <c r="BF79" s="34">
        <f ca="1">IFERROR(SUMIFS('TRA balance'!G$5:G$40,'TRA balance'!$C$5:$C$40,Assumptions!$C79,'TRA balance'!$D$5:$D$40,Assumptions!$B79)*DA79*J79,"")</f>
        <v>0</v>
      </c>
      <c r="BG79" s="34">
        <f ca="1">IFERROR(SUMIFS('TRA balance'!H$5:H$40,'TRA balance'!$C$5:$C$40,Assumptions!$C79,'TRA balance'!$D$5:$D$40,Assumptions!$B79)*DB79*K79,"")</f>
        <v>0</v>
      </c>
      <c r="BH79" s="34">
        <f ca="1">IFERROR(SUMIFS('TRA balance'!I$5:I$40,'TRA balance'!$C$5:$C$40,Assumptions!$C79,'TRA balance'!$D$5:$D$40,Assumptions!$B79)*DC79*L79,"")</f>
        <v>0</v>
      </c>
      <c r="BI79" s="34">
        <f ca="1">IFERROR(SUMIFS('TRA balance'!J$5:J$40,'TRA balance'!$C$5:$C$40,Assumptions!$C79,'TRA balance'!$D$5:$D$40,Assumptions!$B79)*DD79*M79,"")</f>
        <v>0</v>
      </c>
      <c r="BJ79" s="34">
        <f ca="1">IFERROR(SUMIFS('TRA balance'!K$5:K$40,'TRA balance'!$C$5:$C$40,Assumptions!$C79,'TRA balance'!$D$5:$D$40,Assumptions!$B79)*DE79*N79,"")</f>
        <v>0</v>
      </c>
      <c r="BK79" s="34">
        <f ca="1">IFERROR(SUMIFS('TRA balance'!L$5:L$40,'TRA balance'!$C$5:$C$40,Assumptions!$C79,'TRA balance'!$D$5:$D$40,Assumptions!$B79)*DF79*O79,"")</f>
        <v>0</v>
      </c>
      <c r="BL79" s="34">
        <f ca="1">IFERROR(SUMIFS('TRA balance'!M$5:M$40,'TRA balance'!$C$5:$C$40,Assumptions!$C79,'TRA balance'!$D$5:$D$40,Assumptions!$B79)*DG79*P79,"")</f>
        <v>0</v>
      </c>
      <c r="BM79" s="34">
        <f ca="1">IFERROR(SUMIFS('TRA balance'!N$5:N$40,'TRA balance'!$C$5:$C$40,Assumptions!$C79,'TRA balance'!$D$5:$D$40,Assumptions!$B79)*DH79*Q79,"")</f>
        <v>0</v>
      </c>
      <c r="BN79" s="34">
        <f ca="1">IFERROR(SUMIFS('TRA balance'!O$5:O$40,'TRA balance'!$C$5:$C$40,Assumptions!$C79,'TRA balance'!$D$5:$D$40,Assumptions!$B79)*DI79*R79,"")</f>
        <v>0</v>
      </c>
      <c r="BO79" s="34">
        <f ca="1">IFERROR(SUMIFS('TRA balance'!P$5:P$40,'TRA balance'!$C$5:$C$40,Assumptions!$C79,'TRA balance'!$D$5:$D$40,Assumptions!$B79)*DJ79*S79,"")</f>
        <v>0</v>
      </c>
      <c r="BP79" s="34">
        <f ca="1">IFERROR(SUMIFS('TRA balance'!Q$5:Q$40,'TRA balance'!$C$5:$C$40,Assumptions!$C79,'TRA balance'!$D$5:$D$40,Assumptions!$B79)*DK79*T79,"")</f>
        <v>0</v>
      </c>
      <c r="BQ79" s="34">
        <f ca="1">IFERROR(SUMIFS('TRA balance'!R$5:R$40,'TRA balance'!$C$5:$C$40,Assumptions!$C79,'TRA balance'!$D$5:$D$40,Assumptions!$B79)*DL79*U79,"")</f>
        <v>0</v>
      </c>
      <c r="BR79" s="34">
        <f ca="1">IFERROR(SUMIFS('TRA balance'!S$5:S$40,'TRA balance'!$C$5:$C$40,Assumptions!$C79,'TRA balance'!$D$5:$D$40,Assumptions!$B79)*DM79*V79,"")</f>
        <v>0</v>
      </c>
      <c r="BS79" s="34">
        <f ca="1">IFERROR(SUMIFS('TRA balance'!T$5:T$40,'TRA balance'!$C$5:$C$40,Assumptions!$C79,'TRA balance'!$D$5:$D$40,Assumptions!$B79)*DN79*W79,"")</f>
        <v>0</v>
      </c>
      <c r="BT79" s="34">
        <f ca="1">IFERROR(SUMIFS('TRA balance'!U$5:U$40,'TRA balance'!$C$5:$C$40,Assumptions!$C79,'TRA balance'!$D$5:$D$40,Assumptions!$B79)*DO79*X79,"")</f>
        <v>0</v>
      </c>
      <c r="BU79" s="34">
        <f ca="1">IFERROR(SUMIFS('TRA balance'!V$5:V$40,'TRA balance'!$C$5:$C$40,Assumptions!$C79,'TRA balance'!$D$5:$D$40,Assumptions!$B79)*DP79*Y79,"")</f>
        <v>0</v>
      </c>
      <c r="BV79" s="34">
        <f ca="1">IFERROR(SUMIFS('TRA balance'!W$5:W$40,'TRA balance'!$C$5:$C$40,Assumptions!$C79,'TRA balance'!$D$5:$D$40,Assumptions!$B79)*DQ79*Z79,"")</f>
        <v>0</v>
      </c>
      <c r="BW79" s="34">
        <f ca="1">IFERROR(SUMIFS('TRA balance'!X$5:X$40,'TRA balance'!$C$5:$C$40,Assumptions!$C79,'TRA balance'!$D$5:$D$40,Assumptions!$B79)*DR79*AA79,"")</f>
        <v>0</v>
      </c>
      <c r="BX79" s="34">
        <f ca="1">IFERROR(SUMIFS('TRA balance'!Y$5:Y$40,'TRA balance'!$C$5:$C$40,Assumptions!$C79,'TRA balance'!$D$5:$D$40,Assumptions!$B79)*DS79*AB79,"")</f>
        <v>0</v>
      </c>
      <c r="BY79" s="34">
        <f ca="1">IFERROR(SUMIFS('TRA balance'!Z$5:Z$40,'TRA balance'!$C$5:$C$40,Assumptions!$C79,'TRA balance'!$D$5:$D$40,Assumptions!$B79)*DT79*AC79,"")</f>
        <v>0</v>
      </c>
      <c r="BZ79" s="34">
        <f ca="1">IFERROR(SUMIFS('TRA balance'!AA$5:AA$40,'TRA balance'!$C$5:$C$40,Assumptions!$C79,'TRA balance'!$D$5:$D$40,Assumptions!$B79)*DU79*AD79,"")</f>
        <v>0</v>
      </c>
      <c r="CA79" s="34">
        <f ca="1">IFERROR(SUMIFS('TRA balance'!AB$5:AB$40,'TRA balance'!$C$5:$C$40,Assumptions!$C79,'TRA balance'!$D$5:$D$40,Assumptions!$B79)*DV79*AE79,"")</f>
        <v>0</v>
      </c>
      <c r="CB79" s="34">
        <f ca="1">IFERROR(SUMIFS('TRA balance'!AC$5:AC$40,'TRA balance'!$C$5:$C$40,Assumptions!$C79,'TRA balance'!$D$5:$D$40,Assumptions!$B79)*DW79*AF79,"")</f>
        <v>0</v>
      </c>
      <c r="CC79" s="34">
        <f ca="1">IFERROR(SUMIFS('TRA balance'!AD$5:AD$40,'TRA balance'!$C$5:$C$40,Assumptions!$C79,'TRA balance'!$D$5:$D$40,Assumptions!$B79)*DX79*AG79,"")</f>
        <v>0</v>
      </c>
      <c r="CD79" s="34">
        <f ca="1">IFERROR(SUMIFS('TRA balance'!AE$5:AE$40,'TRA balance'!$C$5:$C$40,Assumptions!$C79,'TRA balance'!$D$5:$D$40,Assumptions!$B79)*DY79*AH79,"")</f>
        <v>0</v>
      </c>
      <c r="CE79" s="34">
        <f ca="1">IFERROR(SUMIFS('TRA balance'!AF$5:AF$40,'TRA balance'!$C$5:$C$40,Assumptions!$C79,'TRA balance'!$D$5:$D$40,Assumptions!$B79)*DZ79*AI79,"")</f>
        <v>0</v>
      </c>
      <c r="CF79" s="34">
        <f ca="1">IFERROR(SUMIFS('TRA balance'!AG$5:AG$40,'TRA balance'!$C$5:$C$40,Assumptions!$C79,'TRA balance'!$D$5:$D$40,Assumptions!$B79)*EA79*AJ79,"")</f>
        <v>0</v>
      </c>
      <c r="CG79" s="34">
        <f ca="1">IFERROR(SUMIFS('TRA balance'!AH$5:AH$40,'TRA balance'!$C$5:$C$40,Assumptions!$C79,'TRA balance'!$D$5:$D$40,Assumptions!$B79)*EB79*AK79,"")</f>
        <v>0</v>
      </c>
      <c r="CH79" s="34">
        <f ca="1">IFERROR(SUMIFS('TRA balance'!AI$5:AI$40,'TRA balance'!$C$5:$C$40,Assumptions!$C79,'TRA balance'!$D$5:$D$40,Assumptions!$B79)*EC79*AL79,"")</f>
        <v>0</v>
      </c>
      <c r="CI79" s="34">
        <f ca="1">IFERROR(SUMIFS('TRA balance'!AJ$5:AJ$40,'TRA balance'!$C$5:$C$40,Assumptions!$C79,'TRA balance'!$D$5:$D$40,Assumptions!$B79)*ED79*AM79,"")</f>
        <v>0</v>
      </c>
      <c r="CJ79" s="34">
        <f ca="1">IFERROR(SUMIFS('TRA balance'!AK$5:AK$40,'TRA balance'!$C$5:$C$40,Assumptions!$C79,'TRA balance'!$D$5:$D$40,Assumptions!$B79)*EE79*AN79,"")</f>
        <v>0</v>
      </c>
      <c r="CK79" s="34">
        <f ca="1">IFERROR(SUMIFS('TRA balance'!AL$5:AL$40,'TRA balance'!$C$5:$C$40,Assumptions!$C79,'TRA balance'!$D$5:$D$40,Assumptions!$B79)*EF79*AO79,"")</f>
        <v>0</v>
      </c>
      <c r="CL79" s="34">
        <f ca="1">IFERROR(SUMIFS('TRA balance'!AM$5:AM$40,'TRA balance'!$C$5:$C$40,Assumptions!$C79,'TRA balance'!$D$5:$D$40,Assumptions!$B79)*EG79*AP79,"")</f>
        <v>0</v>
      </c>
      <c r="CM79" s="34">
        <f ca="1">IFERROR(SUMIFS('TRA balance'!AN$5:AN$40,'TRA balance'!$C$5:$C$40,Assumptions!$C79,'TRA balance'!$D$5:$D$40,Assumptions!$B79)*EH79*AQ79,"")</f>
        <v>0</v>
      </c>
      <c r="CN79" s="34">
        <f ca="1">IFERROR(SUMIFS('TRA balance'!AO$5:AO$40,'TRA balance'!$C$5:$C$40,Assumptions!$C79,'TRA balance'!$D$5:$D$40,Assumptions!$B79)*EI79*AR79,"")</f>
        <v>0</v>
      </c>
      <c r="CO79" s="34">
        <f ca="1">IFERROR(SUMIFS('TRA balance'!AP$5:AP$40,'TRA balance'!$C$5:$C$40,Assumptions!$C79,'TRA balance'!$D$5:$D$40,Assumptions!$B79)*EJ79*AS79,"")</f>
        <v>0</v>
      </c>
      <c r="CP79" s="34">
        <f ca="1">IFERROR(SUMIFS('TRA balance'!AQ$5:AQ$40,'TRA balance'!$C$5:$C$40,Assumptions!$C79,'TRA balance'!$D$5:$D$40,Assumptions!$B79)*EK79*AT79,"")</f>
        <v>0</v>
      </c>
      <c r="CQ79" s="34">
        <f ca="1">IFERROR(SUMIFS('TRA balance'!AR$5:AR$40,'TRA balance'!$C$5:$C$40,Assumptions!$C79,'TRA balance'!$D$5:$D$40,Assumptions!$B79)*EL79*AU79,"")</f>
        <v>0</v>
      </c>
      <c r="CR79" s="34">
        <f ca="1">IFERROR(SUMIFS('TRA balance'!AS$5:AS$40,'TRA balance'!$C$5:$C$40,Assumptions!$C79,'TRA balance'!$D$5:$D$40,Assumptions!$B79)*EM79*AV79,"")</f>
        <v>0</v>
      </c>
      <c r="CS79" s="34">
        <f ca="1">IFERROR(SUMIFS('TRA balance'!AT$5:AT$40,'TRA balance'!$C$5:$C$40,Assumptions!$C79,'TRA balance'!$D$5:$D$40,Assumptions!$B79)*EN79*AW79,"")</f>
        <v>0</v>
      </c>
      <c r="CT79" s="34">
        <f ca="1">IFERROR(SUMIFS('TRA balance'!AU$5:AU$40,'TRA balance'!$C$5:$C$40,Assumptions!$C79,'TRA balance'!$D$5:$D$40,Assumptions!$B79)*EO79*AX79,"")</f>
        <v>0</v>
      </c>
      <c r="CU79" s="34">
        <f ca="1">IFERROR(SUMIFS('TRA balance'!AV$5:AV$40,'TRA balance'!$C$5:$C$40,Assumptions!$C79,'TRA balance'!$D$5:$D$40,Assumptions!$B79)*EP79*AY79,"")</f>
        <v>0</v>
      </c>
      <c r="CV79" s="34">
        <f ca="1">IFERROR(SUMIFS('TRA balance'!AW$5:AW$40,'TRA balance'!$C$5:$C$40,Assumptions!$C79,'TRA balance'!$D$5:$D$40,Assumptions!$B79)*EQ79*AZ79,"")</f>
        <v>0</v>
      </c>
      <c r="CW79" s="34">
        <f ca="1">IFERROR(SUMIFS('TRA balance'!AX$5:AX$40,'TRA balance'!$C$5:$C$40,Assumptions!$C79,'TRA balance'!$D$5:$D$40,Assumptions!$B79)*ER79*BA79,"")</f>
        <v>0</v>
      </c>
      <c r="CY79" s="33">
        <f t="shared" ca="1" si="86"/>
        <v>0</v>
      </c>
      <c r="CZ79" s="33">
        <f t="shared" ca="1" si="87"/>
        <v>0</v>
      </c>
      <c r="DA79" s="33">
        <f t="shared" ca="1" si="88"/>
        <v>0</v>
      </c>
      <c r="DB79" s="33">
        <f t="shared" ca="1" si="89"/>
        <v>0</v>
      </c>
      <c r="DC79" s="33">
        <f t="shared" ca="1" si="90"/>
        <v>0</v>
      </c>
      <c r="DD79" s="33">
        <f t="shared" ca="1" si="91"/>
        <v>0</v>
      </c>
      <c r="DE79" s="33">
        <f t="shared" ca="1" si="92"/>
        <v>0</v>
      </c>
      <c r="DF79" s="33">
        <f t="shared" ca="1" si="93"/>
        <v>0</v>
      </c>
      <c r="DG79" s="33">
        <f t="shared" ca="1" si="94"/>
        <v>0</v>
      </c>
      <c r="DH79" s="33">
        <f t="shared" ca="1" si="95"/>
        <v>0</v>
      </c>
      <c r="DI79" s="33">
        <f t="shared" ca="1" si="96"/>
        <v>0</v>
      </c>
      <c r="DJ79" s="33">
        <f t="shared" ca="1" si="97"/>
        <v>0</v>
      </c>
      <c r="DK79" s="33">
        <f t="shared" ca="1" si="98"/>
        <v>0</v>
      </c>
      <c r="DL79" s="33">
        <f t="shared" ca="1" si="99"/>
        <v>0</v>
      </c>
      <c r="DM79" s="33">
        <f t="shared" ca="1" si="100"/>
        <v>0</v>
      </c>
      <c r="DN79" s="33">
        <f t="shared" ca="1" si="101"/>
        <v>0</v>
      </c>
      <c r="DO79" s="33">
        <f t="shared" ca="1" si="102"/>
        <v>0</v>
      </c>
      <c r="DP79" s="33">
        <f t="shared" ca="1" si="103"/>
        <v>0</v>
      </c>
      <c r="DQ79" s="33">
        <f t="shared" ca="1" si="104"/>
        <v>0</v>
      </c>
      <c r="DR79" s="33">
        <f t="shared" ca="1" si="105"/>
        <v>0</v>
      </c>
      <c r="DS79" s="33">
        <f t="shared" ca="1" si="106"/>
        <v>0</v>
      </c>
      <c r="DT79" s="33">
        <f t="shared" ca="1" si="107"/>
        <v>0</v>
      </c>
      <c r="DU79" s="33">
        <f t="shared" ca="1" si="108"/>
        <v>0</v>
      </c>
      <c r="DV79" s="33">
        <f t="shared" ca="1" si="109"/>
        <v>0</v>
      </c>
      <c r="DW79" s="33">
        <f t="shared" ca="1" si="110"/>
        <v>0</v>
      </c>
      <c r="DX79" s="33">
        <f t="shared" ca="1" si="111"/>
        <v>0</v>
      </c>
      <c r="DY79" s="33">
        <f t="shared" ca="1" si="112"/>
        <v>0</v>
      </c>
      <c r="DZ79" s="33">
        <f t="shared" ca="1" si="113"/>
        <v>0</v>
      </c>
      <c r="EA79" s="33">
        <f t="shared" ca="1" si="114"/>
        <v>0</v>
      </c>
      <c r="EB79" s="33">
        <f t="shared" ca="1" si="115"/>
        <v>0</v>
      </c>
      <c r="EC79" s="33">
        <f t="shared" ca="1" si="116"/>
        <v>0</v>
      </c>
      <c r="ED79" s="33">
        <f t="shared" ca="1" si="117"/>
        <v>0</v>
      </c>
      <c r="EE79" s="33">
        <f t="shared" ca="1" si="118"/>
        <v>0</v>
      </c>
      <c r="EF79" s="33">
        <f t="shared" ca="1" si="119"/>
        <v>0</v>
      </c>
      <c r="EG79" s="33">
        <f t="shared" ca="1" si="120"/>
        <v>0</v>
      </c>
      <c r="EH79" s="33">
        <f t="shared" ca="1" si="121"/>
        <v>0</v>
      </c>
      <c r="EI79" s="33">
        <f t="shared" ca="1" si="122"/>
        <v>0</v>
      </c>
      <c r="EJ79" s="33">
        <f t="shared" ca="1" si="123"/>
        <v>0</v>
      </c>
      <c r="EK79" s="33">
        <f t="shared" ca="1" si="124"/>
        <v>0</v>
      </c>
      <c r="EL79" s="33">
        <f t="shared" ca="1" si="125"/>
        <v>0</v>
      </c>
      <c r="EM79" s="33">
        <f t="shared" ca="1" si="126"/>
        <v>0</v>
      </c>
      <c r="EN79" s="33">
        <f t="shared" ca="1" si="127"/>
        <v>0</v>
      </c>
      <c r="EO79" s="33">
        <f t="shared" ca="1" si="128"/>
        <v>0</v>
      </c>
      <c r="EP79" s="33">
        <f t="shared" ca="1" si="129"/>
        <v>0</v>
      </c>
      <c r="EQ79" s="33">
        <f t="shared" ca="1" si="130"/>
        <v>0</v>
      </c>
      <c r="ER79" s="33">
        <f t="shared" ca="1" si="131"/>
        <v>0</v>
      </c>
    </row>
    <row r="80" spans="1:148">
      <c r="A80">
        <v>1</v>
      </c>
      <c r="B80" t="str">
        <f>VLOOKUP(F80,'TRA balance'!$BA$5:$BB$14,2,FALSE)</f>
        <v>TRABGS</v>
      </c>
      <c r="C80" s="6" t="str">
        <f t="shared" si="133"/>
        <v>TR</v>
      </c>
      <c r="D80" s="7" t="s">
        <v>16</v>
      </c>
      <c r="E80" s="18" t="s">
        <v>65</v>
      </c>
      <c r="F80" s="8" t="str">
        <f t="shared" si="138"/>
        <v>Bio Gasoline</v>
      </c>
      <c r="G80" s="6" t="s">
        <v>66</v>
      </c>
      <c r="H80" s="9">
        <f ca="1">OFFSET(TIAM15_assumptions!$G80,0,MATCH(VLOOKUP(Assumptions!H$2,TIAM15_assumptions!$Y$3:$Z$87,2,FALSE),TIAM15_assumptions!$H$2:$V$2,0))</f>
        <v>0</v>
      </c>
      <c r="I80" s="9">
        <f ca="1">OFFSET(TIAM15_assumptions!$G80,0,MATCH(VLOOKUP(Assumptions!I$2,TIAM15_assumptions!$Y$3:$Z$87,2,FALSE),TIAM15_assumptions!$H$2:$V$2,0))</f>
        <v>0</v>
      </c>
      <c r="J80" s="9">
        <f ca="1">OFFSET(TIAM15_assumptions!$G80,0,MATCH(VLOOKUP(Assumptions!J$2,TIAM15_assumptions!$Y$3:$Z$87,2,FALSE),TIAM15_assumptions!$H$2:$V$2,0))</f>
        <v>0</v>
      </c>
      <c r="K80" s="9">
        <f ca="1">OFFSET(TIAM15_assumptions!$G80,0,MATCH(VLOOKUP(Assumptions!K$2,TIAM15_assumptions!$Y$3:$Z$87,2,FALSE),TIAM15_assumptions!$H$2:$V$2,0))</f>
        <v>0</v>
      </c>
      <c r="L80" s="9">
        <f ca="1">OFFSET(TIAM15_assumptions!$G80,0,MATCH(VLOOKUP(Assumptions!L$2,TIAM15_assumptions!$Y$3:$Z$87,2,FALSE),TIAM15_assumptions!$H$2:$V$2,0))</f>
        <v>0</v>
      </c>
      <c r="M80" s="9">
        <f ca="1">OFFSET(TIAM15_assumptions!$G80,0,MATCH(VLOOKUP(Assumptions!M$2,TIAM15_assumptions!$Y$3:$Z$87,2,FALSE),TIAM15_assumptions!$H$2:$V$2,0))</f>
        <v>0</v>
      </c>
      <c r="N80" s="9">
        <f ca="1">OFFSET(TIAM15_assumptions!$G80,0,MATCH(VLOOKUP(Assumptions!N$2,TIAM15_assumptions!$Y$3:$Z$87,2,FALSE),TIAM15_assumptions!$H$2:$V$2,0))</f>
        <v>0</v>
      </c>
      <c r="O80" s="9">
        <f ca="1">OFFSET(TIAM15_assumptions!$G80,0,MATCH(VLOOKUP(Assumptions!O$2,TIAM15_assumptions!$Y$3:$Z$87,2,FALSE),TIAM15_assumptions!$H$2:$V$2,0))</f>
        <v>0</v>
      </c>
      <c r="P80" s="9">
        <f ca="1">OFFSET(TIAM15_assumptions!$G80,0,MATCH(VLOOKUP(Assumptions!P$2,TIAM15_assumptions!$Y$3:$Z$87,2,FALSE),TIAM15_assumptions!$H$2:$V$2,0))</f>
        <v>0</v>
      </c>
      <c r="Q80" s="9">
        <f ca="1">OFFSET(TIAM15_assumptions!$G80,0,MATCH(VLOOKUP(Assumptions!Q$2,TIAM15_assumptions!$Y$3:$Z$87,2,FALSE),TIAM15_assumptions!$H$2:$V$2,0))</f>
        <v>0</v>
      </c>
      <c r="R80" s="9">
        <f ca="1">OFFSET(TIAM15_assumptions!$G80,0,MATCH(VLOOKUP(Assumptions!R$2,TIAM15_assumptions!$Y$3:$Z$87,2,FALSE),TIAM15_assumptions!$H$2:$V$2,0))</f>
        <v>0</v>
      </c>
      <c r="S80" s="9">
        <f ca="1">OFFSET(TIAM15_assumptions!$G80,0,MATCH(VLOOKUP(Assumptions!S$2,TIAM15_assumptions!$Y$3:$Z$87,2,FALSE),TIAM15_assumptions!$H$2:$V$2,0))</f>
        <v>0</v>
      </c>
      <c r="T80" s="9">
        <f ca="1">OFFSET(TIAM15_assumptions!$G80,0,MATCH(VLOOKUP(Assumptions!T$2,TIAM15_assumptions!$Y$3:$Z$87,2,FALSE),TIAM15_assumptions!$H$2:$V$2,0))</f>
        <v>0</v>
      </c>
      <c r="U80" s="9">
        <f ca="1">OFFSET(TIAM15_assumptions!$G80,0,MATCH(VLOOKUP(Assumptions!U$2,TIAM15_assumptions!$Y$3:$Z$87,2,FALSE),TIAM15_assumptions!$H$2:$V$2,0))</f>
        <v>0</v>
      </c>
      <c r="V80" s="9">
        <f ca="1">OFFSET(TIAM15_assumptions!$G80,0,MATCH(VLOOKUP(Assumptions!V$2,TIAM15_assumptions!$Y$3:$Z$87,2,FALSE),TIAM15_assumptions!$H$2:$V$2,0))</f>
        <v>0</v>
      </c>
      <c r="W80" s="9">
        <f ca="1">OFFSET(TIAM15_assumptions!$G80,0,MATCH(VLOOKUP(Assumptions!W$2,TIAM15_assumptions!$Y$3:$Z$87,2,FALSE),TIAM15_assumptions!$H$2:$V$2,0))</f>
        <v>0</v>
      </c>
      <c r="X80" s="9">
        <f ca="1">OFFSET(TIAM15_assumptions!$G80,0,MATCH(VLOOKUP(Assumptions!X$2,TIAM15_assumptions!$Y$3:$Z$87,2,FALSE),TIAM15_assumptions!$H$2:$V$2,0))</f>
        <v>0</v>
      </c>
      <c r="Y80" s="9">
        <f ca="1">OFFSET(TIAM15_assumptions!$G80,0,MATCH(VLOOKUP(Assumptions!Y$2,TIAM15_assumptions!$Y$3:$Z$87,2,FALSE),TIAM15_assumptions!$H$2:$V$2,0))</f>
        <v>0</v>
      </c>
      <c r="Z80" s="9">
        <f ca="1">OFFSET(TIAM15_assumptions!$G80,0,MATCH(VLOOKUP(Assumptions!Z$2,TIAM15_assumptions!$Y$3:$Z$87,2,FALSE),TIAM15_assumptions!$H$2:$V$2,0))</f>
        <v>0</v>
      </c>
      <c r="AA80" s="9">
        <f ca="1">OFFSET(TIAM15_assumptions!$G80,0,MATCH(VLOOKUP(Assumptions!AA$2,TIAM15_assumptions!$Y$3:$Z$87,2,FALSE),TIAM15_assumptions!$H$2:$V$2,0))</f>
        <v>0</v>
      </c>
      <c r="AB80" s="9">
        <f ca="1">OFFSET(TIAM15_assumptions!$G80,0,MATCH(VLOOKUP(Assumptions!AB$2,TIAM15_assumptions!$Y$3:$Z$87,2,FALSE),TIAM15_assumptions!$H$2:$V$2,0))</f>
        <v>0</v>
      </c>
      <c r="AC80" s="9">
        <f ca="1">OFFSET(TIAM15_assumptions!$G80,0,MATCH(VLOOKUP(Assumptions!AC$2,TIAM15_assumptions!$Y$3:$Z$87,2,FALSE),TIAM15_assumptions!$H$2:$V$2,0))</f>
        <v>0</v>
      </c>
      <c r="AD80" s="9">
        <f ca="1">OFFSET(TIAM15_assumptions!$G80,0,MATCH(VLOOKUP(Assumptions!AD$2,TIAM15_assumptions!$Y$3:$Z$87,2,FALSE),TIAM15_assumptions!$H$2:$V$2,0))</f>
        <v>0</v>
      </c>
      <c r="AE80" s="9">
        <f ca="1">OFFSET(TIAM15_assumptions!$G80,0,MATCH(VLOOKUP(Assumptions!AE$2,TIAM15_assumptions!$Y$3:$Z$87,2,FALSE),TIAM15_assumptions!$H$2:$V$2,0))</f>
        <v>0</v>
      </c>
      <c r="AF80" s="9">
        <f ca="1">OFFSET(TIAM15_assumptions!$G80,0,MATCH(VLOOKUP(Assumptions!AF$2,TIAM15_assumptions!$Y$3:$Z$87,2,FALSE),TIAM15_assumptions!$H$2:$V$2,0))</f>
        <v>0</v>
      </c>
      <c r="AG80" s="9">
        <f ca="1">OFFSET(TIAM15_assumptions!$G80,0,MATCH(VLOOKUP(Assumptions!AG$2,TIAM15_assumptions!$Y$3:$Z$87,2,FALSE),TIAM15_assumptions!$H$2:$V$2,0))</f>
        <v>0</v>
      </c>
      <c r="AH80" s="9">
        <f ca="1">OFFSET(TIAM15_assumptions!$G80,0,MATCH(VLOOKUP(Assumptions!AH$2,TIAM15_assumptions!$Y$3:$Z$87,2,FALSE),TIAM15_assumptions!$H$2:$V$2,0))</f>
        <v>0</v>
      </c>
      <c r="AI80" s="9">
        <f ca="1">OFFSET(TIAM15_assumptions!$G80,0,MATCH(VLOOKUP(Assumptions!AI$2,TIAM15_assumptions!$Y$3:$Z$87,2,FALSE),TIAM15_assumptions!$H$2:$V$2,0))</f>
        <v>0</v>
      </c>
      <c r="AJ80" s="9">
        <f ca="1">OFFSET(TIAM15_assumptions!$G80,0,MATCH(VLOOKUP(Assumptions!AJ$2,TIAM15_assumptions!$Y$3:$Z$87,2,FALSE),TIAM15_assumptions!$H$2:$V$2,0))</f>
        <v>0</v>
      </c>
      <c r="AK80" s="9">
        <f ca="1">OFFSET(TIAM15_assumptions!$G80,0,MATCH(VLOOKUP(Assumptions!AK$2,TIAM15_assumptions!$Y$3:$Z$87,2,FALSE),TIAM15_assumptions!$H$2:$V$2,0))</f>
        <v>0</v>
      </c>
      <c r="AL80" s="9">
        <f ca="1">OFFSET(TIAM15_assumptions!$G80,0,MATCH(VLOOKUP(Assumptions!AL$2,TIAM15_assumptions!$Y$3:$Z$87,2,FALSE),TIAM15_assumptions!$H$2:$V$2,0))</f>
        <v>0</v>
      </c>
      <c r="AM80" s="9">
        <f ca="1">OFFSET(TIAM15_assumptions!$G80,0,MATCH(VLOOKUP(Assumptions!AM$2,TIAM15_assumptions!$Y$3:$Z$87,2,FALSE),TIAM15_assumptions!$H$2:$V$2,0))</f>
        <v>0</v>
      </c>
      <c r="AN80" s="9">
        <f ca="1">OFFSET(TIAM15_assumptions!$G80,0,MATCH(VLOOKUP(Assumptions!AN$2,TIAM15_assumptions!$Y$3:$Z$87,2,FALSE),TIAM15_assumptions!$H$2:$V$2,0))</f>
        <v>0</v>
      </c>
      <c r="AO80" s="9">
        <f ca="1">OFFSET(TIAM15_assumptions!$G80,0,MATCH(VLOOKUP(Assumptions!AO$2,TIAM15_assumptions!$Y$3:$Z$87,2,FALSE),TIAM15_assumptions!$H$2:$V$2,0))</f>
        <v>0</v>
      </c>
      <c r="AP80" s="9">
        <f ca="1">OFFSET(TIAM15_assumptions!$G80,0,MATCH(VLOOKUP(Assumptions!AP$2,TIAM15_assumptions!$Y$3:$Z$87,2,FALSE),TIAM15_assumptions!$H$2:$V$2,0))</f>
        <v>0</v>
      </c>
      <c r="AQ80" s="9">
        <f ca="1">OFFSET(TIAM15_assumptions!$G80,0,MATCH(VLOOKUP(Assumptions!AQ$2,TIAM15_assumptions!$Y$3:$Z$87,2,FALSE),TIAM15_assumptions!$H$2:$V$2,0))</f>
        <v>0</v>
      </c>
      <c r="AR80" s="9">
        <f ca="1">OFFSET(TIAM15_assumptions!$G80,0,MATCH(VLOOKUP(Assumptions!AR$2,TIAM15_assumptions!$Y$3:$Z$87,2,FALSE),TIAM15_assumptions!$H$2:$V$2,0))</f>
        <v>0</v>
      </c>
      <c r="AS80" s="9">
        <f ca="1">OFFSET(TIAM15_assumptions!$G80,0,MATCH(VLOOKUP(Assumptions!AS$2,TIAM15_assumptions!$Y$3:$Z$87,2,FALSE),TIAM15_assumptions!$H$2:$V$2,0))</f>
        <v>0</v>
      </c>
      <c r="AT80" s="9">
        <f ca="1">OFFSET(TIAM15_assumptions!$G80,0,MATCH(VLOOKUP(Assumptions!AT$2,TIAM15_assumptions!$Y$3:$Z$87,2,FALSE),TIAM15_assumptions!$H$2:$V$2,0))</f>
        <v>0</v>
      </c>
      <c r="AU80" s="9">
        <f ca="1">OFFSET(TIAM15_assumptions!$G80,0,MATCH(VLOOKUP(Assumptions!AU$2,TIAM15_assumptions!$Y$3:$Z$87,2,FALSE),TIAM15_assumptions!$H$2:$V$2,0))</f>
        <v>0</v>
      </c>
      <c r="AV80" s="9">
        <f ca="1">OFFSET(TIAM15_assumptions!$G80,0,MATCH(VLOOKUP(Assumptions!AV$2,TIAM15_assumptions!$Y$3:$Z$87,2,FALSE),TIAM15_assumptions!$H$2:$V$2,0))</f>
        <v>0</v>
      </c>
      <c r="AW80" s="9">
        <f ca="1">OFFSET(TIAM15_assumptions!$G80,0,MATCH(VLOOKUP(Assumptions!AW$2,TIAM15_assumptions!$Y$3:$Z$87,2,FALSE),TIAM15_assumptions!$H$2:$V$2,0))</f>
        <v>0</v>
      </c>
      <c r="AX80" s="9">
        <f ca="1">OFFSET(TIAM15_assumptions!$G80,0,MATCH(VLOOKUP(Assumptions!AX$2,TIAM15_assumptions!$Y$3:$Z$87,2,FALSE),TIAM15_assumptions!$H$2:$V$2,0))</f>
        <v>0</v>
      </c>
      <c r="AY80" s="9">
        <f ca="1">OFFSET(TIAM15_assumptions!$G80,0,MATCH(VLOOKUP(Assumptions!AY$2,TIAM15_assumptions!$Y$3:$Z$87,2,FALSE),TIAM15_assumptions!$H$2:$V$2,0))</f>
        <v>0</v>
      </c>
      <c r="AZ80" s="9">
        <f ca="1">OFFSET(TIAM15_assumptions!$G80,0,MATCH(VLOOKUP(Assumptions!AZ$2,TIAM15_assumptions!$Y$3:$Z$87,2,FALSE),TIAM15_assumptions!$H$2:$V$2,0))</f>
        <v>0</v>
      </c>
      <c r="BA80" s="9">
        <f ca="1">OFFSET(TIAM15_assumptions!$G80,0,MATCH(VLOOKUP(Assumptions!BA$2,TIAM15_assumptions!$Y$3:$Z$87,2,FALSE),TIAM15_assumptions!$H$2:$V$2,0))</f>
        <v>0</v>
      </c>
      <c r="BD80" s="34">
        <f ca="1">IFERROR(SUMIFS('TRA balance'!E$5:E$40,'TRA balance'!$C$5:$C$40,Assumptions!$C80,'TRA balance'!$D$5:$D$40,Assumptions!$B80)*CY80*H80,"")</f>
        <v>0</v>
      </c>
      <c r="BE80" s="34">
        <f ca="1">IFERROR(SUMIFS('TRA balance'!F$5:F$40,'TRA balance'!$C$5:$C$40,Assumptions!$C80,'TRA balance'!$D$5:$D$40,Assumptions!$B80)*CZ80*I80,"")</f>
        <v>0</v>
      </c>
      <c r="BF80" s="34">
        <f ca="1">IFERROR(SUMIFS('TRA balance'!G$5:G$40,'TRA balance'!$C$5:$C$40,Assumptions!$C80,'TRA balance'!$D$5:$D$40,Assumptions!$B80)*DA80*J80,"")</f>
        <v>0</v>
      </c>
      <c r="BG80" s="34">
        <f ca="1">IFERROR(SUMIFS('TRA balance'!H$5:H$40,'TRA balance'!$C$5:$C$40,Assumptions!$C80,'TRA balance'!$D$5:$D$40,Assumptions!$B80)*DB80*K80,"")</f>
        <v>0</v>
      </c>
      <c r="BH80" s="34">
        <f ca="1">IFERROR(SUMIFS('TRA balance'!I$5:I$40,'TRA balance'!$C$5:$C$40,Assumptions!$C80,'TRA balance'!$D$5:$D$40,Assumptions!$B80)*DC80*L80,"")</f>
        <v>0</v>
      </c>
      <c r="BI80" s="34">
        <f ca="1">IFERROR(SUMIFS('TRA balance'!J$5:J$40,'TRA balance'!$C$5:$C$40,Assumptions!$C80,'TRA balance'!$D$5:$D$40,Assumptions!$B80)*DD80*M80,"")</f>
        <v>0</v>
      </c>
      <c r="BJ80" s="34">
        <f ca="1">IFERROR(SUMIFS('TRA balance'!K$5:K$40,'TRA balance'!$C$5:$C$40,Assumptions!$C80,'TRA balance'!$D$5:$D$40,Assumptions!$B80)*DE80*N80,"")</f>
        <v>0</v>
      </c>
      <c r="BK80" s="34">
        <f ca="1">IFERROR(SUMIFS('TRA balance'!L$5:L$40,'TRA balance'!$C$5:$C$40,Assumptions!$C80,'TRA balance'!$D$5:$D$40,Assumptions!$B80)*DF80*O80,"")</f>
        <v>0</v>
      </c>
      <c r="BL80" s="34">
        <f ca="1">IFERROR(SUMIFS('TRA balance'!M$5:M$40,'TRA balance'!$C$5:$C$40,Assumptions!$C80,'TRA balance'!$D$5:$D$40,Assumptions!$B80)*DG80*P80,"")</f>
        <v>0</v>
      </c>
      <c r="BM80" s="34">
        <f ca="1">IFERROR(SUMIFS('TRA balance'!N$5:N$40,'TRA balance'!$C$5:$C$40,Assumptions!$C80,'TRA balance'!$D$5:$D$40,Assumptions!$B80)*DH80*Q80,"")</f>
        <v>0</v>
      </c>
      <c r="BN80" s="34">
        <f ca="1">IFERROR(SUMIFS('TRA balance'!O$5:O$40,'TRA balance'!$C$5:$C$40,Assumptions!$C80,'TRA balance'!$D$5:$D$40,Assumptions!$B80)*DI80*R80,"")</f>
        <v>0</v>
      </c>
      <c r="BO80" s="34">
        <f ca="1">IFERROR(SUMIFS('TRA balance'!P$5:P$40,'TRA balance'!$C$5:$C$40,Assumptions!$C80,'TRA balance'!$D$5:$D$40,Assumptions!$B80)*DJ80*S80,"")</f>
        <v>0</v>
      </c>
      <c r="BP80" s="34">
        <f ca="1">IFERROR(SUMIFS('TRA balance'!Q$5:Q$40,'TRA balance'!$C$5:$C$40,Assumptions!$C80,'TRA balance'!$D$5:$D$40,Assumptions!$B80)*DK80*T80,"")</f>
        <v>0</v>
      </c>
      <c r="BQ80" s="34">
        <f ca="1">IFERROR(SUMIFS('TRA balance'!R$5:R$40,'TRA balance'!$C$5:$C$40,Assumptions!$C80,'TRA balance'!$D$5:$D$40,Assumptions!$B80)*DL80*U80,"")</f>
        <v>0</v>
      </c>
      <c r="BR80" s="34">
        <f ca="1">IFERROR(SUMIFS('TRA balance'!S$5:S$40,'TRA balance'!$C$5:$C$40,Assumptions!$C80,'TRA balance'!$D$5:$D$40,Assumptions!$B80)*DM80*V80,"")</f>
        <v>0</v>
      </c>
      <c r="BS80" s="34">
        <f ca="1">IFERROR(SUMIFS('TRA balance'!T$5:T$40,'TRA balance'!$C$5:$C$40,Assumptions!$C80,'TRA balance'!$D$5:$D$40,Assumptions!$B80)*DN80*W80,"")</f>
        <v>0</v>
      </c>
      <c r="BT80" s="34">
        <f ca="1">IFERROR(SUMIFS('TRA balance'!U$5:U$40,'TRA balance'!$C$5:$C$40,Assumptions!$C80,'TRA balance'!$D$5:$D$40,Assumptions!$B80)*DO80*X80,"")</f>
        <v>0</v>
      </c>
      <c r="BU80" s="34">
        <f ca="1">IFERROR(SUMIFS('TRA balance'!V$5:V$40,'TRA balance'!$C$5:$C$40,Assumptions!$C80,'TRA balance'!$D$5:$D$40,Assumptions!$B80)*DP80*Y80,"")</f>
        <v>0</v>
      </c>
      <c r="BV80" s="34">
        <f ca="1">IFERROR(SUMIFS('TRA balance'!W$5:W$40,'TRA balance'!$C$5:$C$40,Assumptions!$C80,'TRA balance'!$D$5:$D$40,Assumptions!$B80)*DQ80*Z80,"")</f>
        <v>0</v>
      </c>
      <c r="BW80" s="34">
        <f ca="1">IFERROR(SUMIFS('TRA balance'!X$5:X$40,'TRA balance'!$C$5:$C$40,Assumptions!$C80,'TRA balance'!$D$5:$D$40,Assumptions!$B80)*DR80*AA80,"")</f>
        <v>0</v>
      </c>
      <c r="BX80" s="34">
        <f ca="1">IFERROR(SUMIFS('TRA balance'!Y$5:Y$40,'TRA balance'!$C$5:$C$40,Assumptions!$C80,'TRA balance'!$D$5:$D$40,Assumptions!$B80)*DS80*AB80,"")</f>
        <v>0</v>
      </c>
      <c r="BY80" s="34">
        <f ca="1">IFERROR(SUMIFS('TRA balance'!Z$5:Z$40,'TRA balance'!$C$5:$C$40,Assumptions!$C80,'TRA balance'!$D$5:$D$40,Assumptions!$B80)*DT80*AC80,"")</f>
        <v>0</v>
      </c>
      <c r="BZ80" s="34">
        <f ca="1">IFERROR(SUMIFS('TRA balance'!AA$5:AA$40,'TRA balance'!$C$5:$C$40,Assumptions!$C80,'TRA balance'!$D$5:$D$40,Assumptions!$B80)*DU80*AD80,"")</f>
        <v>0</v>
      </c>
      <c r="CA80" s="34">
        <f ca="1">IFERROR(SUMIFS('TRA balance'!AB$5:AB$40,'TRA balance'!$C$5:$C$40,Assumptions!$C80,'TRA balance'!$D$5:$D$40,Assumptions!$B80)*DV80*AE80,"")</f>
        <v>0</v>
      </c>
      <c r="CB80" s="34">
        <f ca="1">IFERROR(SUMIFS('TRA balance'!AC$5:AC$40,'TRA balance'!$C$5:$C$40,Assumptions!$C80,'TRA balance'!$D$5:$D$40,Assumptions!$B80)*DW80*AF80,"")</f>
        <v>0</v>
      </c>
      <c r="CC80" s="34">
        <f ca="1">IFERROR(SUMIFS('TRA balance'!AD$5:AD$40,'TRA balance'!$C$5:$C$40,Assumptions!$C80,'TRA balance'!$D$5:$D$40,Assumptions!$B80)*DX80*AG80,"")</f>
        <v>0</v>
      </c>
      <c r="CD80" s="34">
        <f ca="1">IFERROR(SUMIFS('TRA balance'!AE$5:AE$40,'TRA balance'!$C$5:$C$40,Assumptions!$C80,'TRA balance'!$D$5:$D$40,Assumptions!$B80)*DY80*AH80,"")</f>
        <v>0</v>
      </c>
      <c r="CE80" s="34">
        <f ca="1">IFERROR(SUMIFS('TRA balance'!AF$5:AF$40,'TRA balance'!$C$5:$C$40,Assumptions!$C80,'TRA balance'!$D$5:$D$40,Assumptions!$B80)*DZ80*AI80,"")</f>
        <v>0</v>
      </c>
      <c r="CF80" s="34">
        <f ca="1">IFERROR(SUMIFS('TRA balance'!AG$5:AG$40,'TRA balance'!$C$5:$C$40,Assumptions!$C80,'TRA balance'!$D$5:$D$40,Assumptions!$B80)*EA80*AJ80,"")</f>
        <v>0</v>
      </c>
      <c r="CG80" s="34">
        <f ca="1">IFERROR(SUMIFS('TRA balance'!AH$5:AH$40,'TRA balance'!$C$5:$C$40,Assumptions!$C80,'TRA balance'!$D$5:$D$40,Assumptions!$B80)*EB80*AK80,"")</f>
        <v>0</v>
      </c>
      <c r="CH80" s="34">
        <f ca="1">IFERROR(SUMIFS('TRA balance'!AI$5:AI$40,'TRA balance'!$C$5:$C$40,Assumptions!$C80,'TRA balance'!$D$5:$D$40,Assumptions!$B80)*EC80*AL80,"")</f>
        <v>0</v>
      </c>
      <c r="CI80" s="34">
        <f ca="1">IFERROR(SUMIFS('TRA balance'!AJ$5:AJ$40,'TRA balance'!$C$5:$C$40,Assumptions!$C80,'TRA balance'!$D$5:$D$40,Assumptions!$B80)*ED80*AM80,"")</f>
        <v>0</v>
      </c>
      <c r="CJ80" s="34">
        <f ca="1">IFERROR(SUMIFS('TRA balance'!AK$5:AK$40,'TRA balance'!$C$5:$C$40,Assumptions!$C80,'TRA balance'!$D$5:$D$40,Assumptions!$B80)*EE80*AN80,"")</f>
        <v>0</v>
      </c>
      <c r="CK80" s="34">
        <f ca="1">IFERROR(SUMIFS('TRA balance'!AL$5:AL$40,'TRA balance'!$C$5:$C$40,Assumptions!$C80,'TRA balance'!$D$5:$D$40,Assumptions!$B80)*EF80*AO80,"")</f>
        <v>0</v>
      </c>
      <c r="CL80" s="34">
        <f ca="1">IFERROR(SUMIFS('TRA balance'!AM$5:AM$40,'TRA balance'!$C$5:$C$40,Assumptions!$C80,'TRA balance'!$D$5:$D$40,Assumptions!$B80)*EG80*AP80,"")</f>
        <v>0</v>
      </c>
      <c r="CM80" s="34">
        <f ca="1">IFERROR(SUMIFS('TRA balance'!AN$5:AN$40,'TRA balance'!$C$5:$C$40,Assumptions!$C80,'TRA balance'!$D$5:$D$40,Assumptions!$B80)*EH80*AQ80,"")</f>
        <v>0</v>
      </c>
      <c r="CN80" s="34">
        <f ca="1">IFERROR(SUMIFS('TRA balance'!AO$5:AO$40,'TRA balance'!$C$5:$C$40,Assumptions!$C80,'TRA balance'!$D$5:$D$40,Assumptions!$B80)*EI80*AR80,"")</f>
        <v>0</v>
      </c>
      <c r="CO80" s="34">
        <f ca="1">IFERROR(SUMIFS('TRA balance'!AP$5:AP$40,'TRA balance'!$C$5:$C$40,Assumptions!$C80,'TRA balance'!$D$5:$D$40,Assumptions!$B80)*EJ80*AS80,"")</f>
        <v>0</v>
      </c>
      <c r="CP80" s="34">
        <f ca="1">IFERROR(SUMIFS('TRA balance'!AQ$5:AQ$40,'TRA balance'!$C$5:$C$40,Assumptions!$C80,'TRA balance'!$D$5:$D$40,Assumptions!$B80)*EK80*AT80,"")</f>
        <v>0</v>
      </c>
      <c r="CQ80" s="34">
        <f ca="1">IFERROR(SUMIFS('TRA balance'!AR$5:AR$40,'TRA balance'!$C$5:$C$40,Assumptions!$C80,'TRA balance'!$D$5:$D$40,Assumptions!$B80)*EL80*AU80,"")</f>
        <v>0</v>
      </c>
      <c r="CR80" s="34">
        <f ca="1">IFERROR(SUMIFS('TRA balance'!AS$5:AS$40,'TRA balance'!$C$5:$C$40,Assumptions!$C80,'TRA balance'!$D$5:$D$40,Assumptions!$B80)*EM80*AV80,"")</f>
        <v>0</v>
      </c>
      <c r="CS80" s="34">
        <f ca="1">IFERROR(SUMIFS('TRA balance'!AT$5:AT$40,'TRA balance'!$C$5:$C$40,Assumptions!$C80,'TRA balance'!$D$5:$D$40,Assumptions!$B80)*EN80*AW80,"")</f>
        <v>0</v>
      </c>
      <c r="CT80" s="34">
        <f ca="1">IFERROR(SUMIFS('TRA balance'!AU$5:AU$40,'TRA balance'!$C$5:$C$40,Assumptions!$C80,'TRA balance'!$D$5:$D$40,Assumptions!$B80)*EO80*AX80,"")</f>
        <v>0</v>
      </c>
      <c r="CU80" s="34">
        <f ca="1">IFERROR(SUMIFS('TRA balance'!AV$5:AV$40,'TRA balance'!$C$5:$C$40,Assumptions!$C80,'TRA balance'!$D$5:$D$40,Assumptions!$B80)*EP80*AY80,"")</f>
        <v>0</v>
      </c>
      <c r="CV80" s="34">
        <f ca="1">IFERROR(SUMIFS('TRA balance'!AW$5:AW$40,'TRA balance'!$C$5:$C$40,Assumptions!$C80,'TRA balance'!$D$5:$D$40,Assumptions!$B80)*EQ80*AZ80,"")</f>
        <v>0</v>
      </c>
      <c r="CW80" s="34">
        <f ca="1">IFERROR(SUMIFS('TRA balance'!AX$5:AX$40,'TRA balance'!$C$5:$C$40,Assumptions!$C80,'TRA balance'!$D$5:$D$40,Assumptions!$B80)*ER80*BA80,"")</f>
        <v>0</v>
      </c>
      <c r="CY80" s="33">
        <f t="shared" ca="1" si="86"/>
        <v>0</v>
      </c>
      <c r="CZ80" s="33">
        <f t="shared" ca="1" si="87"/>
        <v>0</v>
      </c>
      <c r="DA80" s="33">
        <f t="shared" ca="1" si="88"/>
        <v>0</v>
      </c>
      <c r="DB80" s="33">
        <f t="shared" ca="1" si="89"/>
        <v>0</v>
      </c>
      <c r="DC80" s="33">
        <f t="shared" ca="1" si="90"/>
        <v>0</v>
      </c>
      <c r="DD80" s="33">
        <f t="shared" ca="1" si="91"/>
        <v>0</v>
      </c>
      <c r="DE80" s="33">
        <f t="shared" ca="1" si="92"/>
        <v>0</v>
      </c>
      <c r="DF80" s="33">
        <f t="shared" ca="1" si="93"/>
        <v>0</v>
      </c>
      <c r="DG80" s="33">
        <f t="shared" ca="1" si="94"/>
        <v>0</v>
      </c>
      <c r="DH80" s="33">
        <f t="shared" ca="1" si="95"/>
        <v>0</v>
      </c>
      <c r="DI80" s="33">
        <f t="shared" ca="1" si="96"/>
        <v>0</v>
      </c>
      <c r="DJ80" s="33">
        <f t="shared" ca="1" si="97"/>
        <v>0</v>
      </c>
      <c r="DK80" s="33">
        <f t="shared" ca="1" si="98"/>
        <v>0</v>
      </c>
      <c r="DL80" s="33">
        <f t="shared" ca="1" si="99"/>
        <v>0</v>
      </c>
      <c r="DM80" s="33">
        <f t="shared" ca="1" si="100"/>
        <v>0</v>
      </c>
      <c r="DN80" s="33">
        <f t="shared" ca="1" si="101"/>
        <v>0</v>
      </c>
      <c r="DO80" s="33">
        <f t="shared" ca="1" si="102"/>
        <v>0</v>
      </c>
      <c r="DP80" s="33">
        <f t="shared" ca="1" si="103"/>
        <v>0</v>
      </c>
      <c r="DQ80" s="33">
        <f t="shared" ca="1" si="104"/>
        <v>0</v>
      </c>
      <c r="DR80" s="33">
        <f t="shared" ca="1" si="105"/>
        <v>0</v>
      </c>
      <c r="DS80" s="33">
        <f t="shared" ca="1" si="106"/>
        <v>0</v>
      </c>
      <c r="DT80" s="33">
        <f t="shared" ca="1" si="107"/>
        <v>0</v>
      </c>
      <c r="DU80" s="33">
        <f t="shared" ca="1" si="108"/>
        <v>0</v>
      </c>
      <c r="DV80" s="33">
        <f t="shared" ca="1" si="109"/>
        <v>0</v>
      </c>
      <c r="DW80" s="33">
        <f t="shared" ca="1" si="110"/>
        <v>0</v>
      </c>
      <c r="DX80" s="33">
        <f t="shared" ca="1" si="111"/>
        <v>0</v>
      </c>
      <c r="DY80" s="33">
        <f t="shared" ca="1" si="112"/>
        <v>0</v>
      </c>
      <c r="DZ80" s="33">
        <f t="shared" ca="1" si="113"/>
        <v>0</v>
      </c>
      <c r="EA80" s="33">
        <f t="shared" ca="1" si="114"/>
        <v>0</v>
      </c>
      <c r="EB80" s="33">
        <f t="shared" ca="1" si="115"/>
        <v>0</v>
      </c>
      <c r="EC80" s="33">
        <f t="shared" ca="1" si="116"/>
        <v>0</v>
      </c>
      <c r="ED80" s="33">
        <f t="shared" ca="1" si="117"/>
        <v>0</v>
      </c>
      <c r="EE80" s="33">
        <f t="shared" ca="1" si="118"/>
        <v>0</v>
      </c>
      <c r="EF80" s="33">
        <f t="shared" ca="1" si="119"/>
        <v>0</v>
      </c>
      <c r="EG80" s="33">
        <f t="shared" ca="1" si="120"/>
        <v>0</v>
      </c>
      <c r="EH80" s="33">
        <f t="shared" ca="1" si="121"/>
        <v>0</v>
      </c>
      <c r="EI80" s="33">
        <f t="shared" ca="1" si="122"/>
        <v>0</v>
      </c>
      <c r="EJ80" s="33">
        <f t="shared" ca="1" si="123"/>
        <v>0</v>
      </c>
      <c r="EK80" s="33">
        <f t="shared" ca="1" si="124"/>
        <v>0</v>
      </c>
      <c r="EL80" s="33">
        <f t="shared" ca="1" si="125"/>
        <v>0</v>
      </c>
      <c r="EM80" s="33">
        <f t="shared" ca="1" si="126"/>
        <v>0</v>
      </c>
      <c r="EN80" s="33">
        <f t="shared" ca="1" si="127"/>
        <v>0</v>
      </c>
      <c r="EO80" s="33">
        <f t="shared" ca="1" si="128"/>
        <v>0</v>
      </c>
      <c r="EP80" s="33">
        <f t="shared" ca="1" si="129"/>
        <v>0</v>
      </c>
      <c r="EQ80" s="33">
        <f t="shared" ca="1" si="130"/>
        <v>0</v>
      </c>
      <c r="ER80" s="33">
        <f t="shared" ca="1" si="131"/>
        <v>0</v>
      </c>
    </row>
    <row r="81" spans="1:148">
      <c r="A81">
        <v>1</v>
      </c>
      <c r="B81" t="str">
        <f>VLOOKUP(F81,'TRA balance'!$BA$5:$BB$14,2,FALSE)</f>
        <v>TRABGS</v>
      </c>
      <c r="C81" s="6" t="str">
        <f t="shared" si="133"/>
        <v>TR</v>
      </c>
      <c r="D81" s="7" t="s">
        <v>16</v>
      </c>
      <c r="E81" s="18" t="s">
        <v>67</v>
      </c>
      <c r="F81" s="8" t="str">
        <f t="shared" si="138"/>
        <v>Bio Gasoline</v>
      </c>
      <c r="G81" s="6" t="s">
        <v>68</v>
      </c>
      <c r="H81" s="9">
        <f ca="1">OFFSET(TIAM15_assumptions!$G81,0,MATCH(VLOOKUP(Assumptions!H$2,TIAM15_assumptions!$Y$3:$Z$87,2,FALSE),TIAM15_assumptions!$H$2:$V$2,0))</f>
        <v>0</v>
      </c>
      <c r="I81" s="9">
        <f ca="1">OFFSET(TIAM15_assumptions!$G81,0,MATCH(VLOOKUP(Assumptions!I$2,TIAM15_assumptions!$Y$3:$Z$87,2,FALSE),TIAM15_assumptions!$H$2:$V$2,0))</f>
        <v>0</v>
      </c>
      <c r="J81" s="9">
        <f ca="1">OFFSET(TIAM15_assumptions!$G81,0,MATCH(VLOOKUP(Assumptions!J$2,TIAM15_assumptions!$Y$3:$Z$87,2,FALSE),TIAM15_assumptions!$H$2:$V$2,0))</f>
        <v>0</v>
      </c>
      <c r="K81" s="9">
        <f ca="1">OFFSET(TIAM15_assumptions!$G81,0,MATCH(VLOOKUP(Assumptions!K$2,TIAM15_assumptions!$Y$3:$Z$87,2,FALSE),TIAM15_assumptions!$H$2:$V$2,0))</f>
        <v>0</v>
      </c>
      <c r="L81" s="9">
        <f ca="1">OFFSET(TIAM15_assumptions!$G81,0,MATCH(VLOOKUP(Assumptions!L$2,TIAM15_assumptions!$Y$3:$Z$87,2,FALSE),TIAM15_assumptions!$H$2:$V$2,0))</f>
        <v>0</v>
      </c>
      <c r="M81" s="9">
        <f ca="1">OFFSET(TIAM15_assumptions!$G81,0,MATCH(VLOOKUP(Assumptions!M$2,TIAM15_assumptions!$Y$3:$Z$87,2,FALSE),TIAM15_assumptions!$H$2:$V$2,0))</f>
        <v>0</v>
      </c>
      <c r="N81" s="9">
        <f ca="1">OFFSET(TIAM15_assumptions!$G81,0,MATCH(VLOOKUP(Assumptions!N$2,TIAM15_assumptions!$Y$3:$Z$87,2,FALSE),TIAM15_assumptions!$H$2:$V$2,0))</f>
        <v>0</v>
      </c>
      <c r="O81" s="9">
        <f ca="1">OFFSET(TIAM15_assumptions!$G81,0,MATCH(VLOOKUP(Assumptions!O$2,TIAM15_assumptions!$Y$3:$Z$87,2,FALSE),TIAM15_assumptions!$H$2:$V$2,0))</f>
        <v>0</v>
      </c>
      <c r="P81" s="9">
        <f ca="1">OFFSET(TIAM15_assumptions!$G81,0,MATCH(VLOOKUP(Assumptions!P$2,TIAM15_assumptions!$Y$3:$Z$87,2,FALSE),TIAM15_assumptions!$H$2:$V$2,0))</f>
        <v>0</v>
      </c>
      <c r="Q81" s="9">
        <f ca="1">OFFSET(TIAM15_assumptions!$G81,0,MATCH(VLOOKUP(Assumptions!Q$2,TIAM15_assumptions!$Y$3:$Z$87,2,FALSE),TIAM15_assumptions!$H$2:$V$2,0))</f>
        <v>0</v>
      </c>
      <c r="R81" s="9">
        <f ca="1">OFFSET(TIAM15_assumptions!$G81,0,MATCH(VLOOKUP(Assumptions!R$2,TIAM15_assumptions!$Y$3:$Z$87,2,FALSE),TIAM15_assumptions!$H$2:$V$2,0))</f>
        <v>0</v>
      </c>
      <c r="S81" s="9">
        <f ca="1">OFFSET(TIAM15_assumptions!$G81,0,MATCH(VLOOKUP(Assumptions!S$2,TIAM15_assumptions!$Y$3:$Z$87,2,FALSE),TIAM15_assumptions!$H$2:$V$2,0))</f>
        <v>0</v>
      </c>
      <c r="T81" s="9">
        <f ca="1">OFFSET(TIAM15_assumptions!$G81,0,MATCH(VLOOKUP(Assumptions!T$2,TIAM15_assumptions!$Y$3:$Z$87,2,FALSE),TIAM15_assumptions!$H$2:$V$2,0))</f>
        <v>0</v>
      </c>
      <c r="U81" s="9">
        <f ca="1">OFFSET(TIAM15_assumptions!$G81,0,MATCH(VLOOKUP(Assumptions!U$2,TIAM15_assumptions!$Y$3:$Z$87,2,FALSE),TIAM15_assumptions!$H$2:$V$2,0))</f>
        <v>0</v>
      </c>
      <c r="V81" s="9">
        <f ca="1">OFFSET(TIAM15_assumptions!$G81,0,MATCH(VLOOKUP(Assumptions!V$2,TIAM15_assumptions!$Y$3:$Z$87,2,FALSE),TIAM15_assumptions!$H$2:$V$2,0))</f>
        <v>0</v>
      </c>
      <c r="W81" s="9">
        <f ca="1">OFFSET(TIAM15_assumptions!$G81,0,MATCH(VLOOKUP(Assumptions!W$2,TIAM15_assumptions!$Y$3:$Z$87,2,FALSE),TIAM15_assumptions!$H$2:$V$2,0))</f>
        <v>0</v>
      </c>
      <c r="X81" s="9">
        <f ca="1">OFFSET(TIAM15_assumptions!$G81,0,MATCH(VLOOKUP(Assumptions!X$2,TIAM15_assumptions!$Y$3:$Z$87,2,FALSE),TIAM15_assumptions!$H$2:$V$2,0))</f>
        <v>0</v>
      </c>
      <c r="Y81" s="9">
        <f ca="1">OFFSET(TIAM15_assumptions!$G81,0,MATCH(VLOOKUP(Assumptions!Y$2,TIAM15_assumptions!$Y$3:$Z$87,2,FALSE),TIAM15_assumptions!$H$2:$V$2,0))</f>
        <v>0</v>
      </c>
      <c r="Z81" s="9">
        <f ca="1">OFFSET(TIAM15_assumptions!$G81,0,MATCH(VLOOKUP(Assumptions!Z$2,TIAM15_assumptions!$Y$3:$Z$87,2,FALSE),TIAM15_assumptions!$H$2:$V$2,0))</f>
        <v>0</v>
      </c>
      <c r="AA81" s="9">
        <f ca="1">OFFSET(TIAM15_assumptions!$G81,0,MATCH(VLOOKUP(Assumptions!AA$2,TIAM15_assumptions!$Y$3:$Z$87,2,FALSE),TIAM15_assumptions!$H$2:$V$2,0))</f>
        <v>0</v>
      </c>
      <c r="AB81" s="9">
        <f ca="1">OFFSET(TIAM15_assumptions!$G81,0,MATCH(VLOOKUP(Assumptions!AB$2,TIAM15_assumptions!$Y$3:$Z$87,2,FALSE),TIAM15_assumptions!$H$2:$V$2,0))</f>
        <v>0</v>
      </c>
      <c r="AC81" s="9">
        <f ca="1">OFFSET(TIAM15_assumptions!$G81,0,MATCH(VLOOKUP(Assumptions!AC$2,TIAM15_assumptions!$Y$3:$Z$87,2,FALSE),TIAM15_assumptions!$H$2:$V$2,0))</f>
        <v>0</v>
      </c>
      <c r="AD81" s="9">
        <f ca="1">OFFSET(TIAM15_assumptions!$G81,0,MATCH(VLOOKUP(Assumptions!AD$2,TIAM15_assumptions!$Y$3:$Z$87,2,FALSE),TIAM15_assumptions!$H$2:$V$2,0))</f>
        <v>0</v>
      </c>
      <c r="AE81" s="9">
        <f ca="1">OFFSET(TIAM15_assumptions!$G81,0,MATCH(VLOOKUP(Assumptions!AE$2,TIAM15_assumptions!$Y$3:$Z$87,2,FALSE),TIAM15_assumptions!$H$2:$V$2,0))</f>
        <v>0</v>
      </c>
      <c r="AF81" s="9">
        <f ca="1">OFFSET(TIAM15_assumptions!$G81,0,MATCH(VLOOKUP(Assumptions!AF$2,TIAM15_assumptions!$Y$3:$Z$87,2,FALSE),TIAM15_assumptions!$H$2:$V$2,0))</f>
        <v>0</v>
      </c>
      <c r="AG81" s="9">
        <f ca="1">OFFSET(TIAM15_assumptions!$G81,0,MATCH(VLOOKUP(Assumptions!AG$2,TIAM15_assumptions!$Y$3:$Z$87,2,FALSE),TIAM15_assumptions!$H$2:$V$2,0))</f>
        <v>0</v>
      </c>
      <c r="AH81" s="9">
        <f ca="1">OFFSET(TIAM15_assumptions!$G81,0,MATCH(VLOOKUP(Assumptions!AH$2,TIAM15_assumptions!$Y$3:$Z$87,2,FALSE),TIAM15_assumptions!$H$2:$V$2,0))</f>
        <v>0</v>
      </c>
      <c r="AI81" s="9">
        <f ca="1">OFFSET(TIAM15_assumptions!$G81,0,MATCH(VLOOKUP(Assumptions!AI$2,TIAM15_assumptions!$Y$3:$Z$87,2,FALSE),TIAM15_assumptions!$H$2:$V$2,0))</f>
        <v>0</v>
      </c>
      <c r="AJ81" s="9">
        <f ca="1">OFFSET(TIAM15_assumptions!$G81,0,MATCH(VLOOKUP(Assumptions!AJ$2,TIAM15_assumptions!$Y$3:$Z$87,2,FALSE),TIAM15_assumptions!$H$2:$V$2,0))</f>
        <v>0</v>
      </c>
      <c r="AK81" s="9">
        <f ca="1">OFFSET(TIAM15_assumptions!$G81,0,MATCH(VLOOKUP(Assumptions!AK$2,TIAM15_assumptions!$Y$3:$Z$87,2,FALSE),TIAM15_assumptions!$H$2:$V$2,0))</f>
        <v>0</v>
      </c>
      <c r="AL81" s="9">
        <f ca="1">OFFSET(TIAM15_assumptions!$G81,0,MATCH(VLOOKUP(Assumptions!AL$2,TIAM15_assumptions!$Y$3:$Z$87,2,FALSE),TIAM15_assumptions!$H$2:$V$2,0))</f>
        <v>0</v>
      </c>
      <c r="AM81" s="9">
        <f ca="1">OFFSET(TIAM15_assumptions!$G81,0,MATCH(VLOOKUP(Assumptions!AM$2,TIAM15_assumptions!$Y$3:$Z$87,2,FALSE),TIAM15_assumptions!$H$2:$V$2,0))</f>
        <v>0</v>
      </c>
      <c r="AN81" s="9">
        <f ca="1">OFFSET(TIAM15_assumptions!$G81,0,MATCH(VLOOKUP(Assumptions!AN$2,TIAM15_assumptions!$Y$3:$Z$87,2,FALSE),TIAM15_assumptions!$H$2:$V$2,0))</f>
        <v>0</v>
      </c>
      <c r="AO81" s="9">
        <f ca="1">OFFSET(TIAM15_assumptions!$G81,0,MATCH(VLOOKUP(Assumptions!AO$2,TIAM15_assumptions!$Y$3:$Z$87,2,FALSE),TIAM15_assumptions!$H$2:$V$2,0))</f>
        <v>0</v>
      </c>
      <c r="AP81" s="9">
        <f ca="1">OFFSET(TIAM15_assumptions!$G81,0,MATCH(VLOOKUP(Assumptions!AP$2,TIAM15_assumptions!$Y$3:$Z$87,2,FALSE),TIAM15_assumptions!$H$2:$V$2,0))</f>
        <v>0</v>
      </c>
      <c r="AQ81" s="9">
        <f ca="1">OFFSET(TIAM15_assumptions!$G81,0,MATCH(VLOOKUP(Assumptions!AQ$2,TIAM15_assumptions!$Y$3:$Z$87,2,FALSE),TIAM15_assumptions!$H$2:$V$2,0))</f>
        <v>0</v>
      </c>
      <c r="AR81" s="9">
        <f ca="1">OFFSET(TIAM15_assumptions!$G81,0,MATCH(VLOOKUP(Assumptions!AR$2,TIAM15_assumptions!$Y$3:$Z$87,2,FALSE),TIAM15_assumptions!$H$2:$V$2,0))</f>
        <v>0</v>
      </c>
      <c r="AS81" s="9">
        <f ca="1">OFFSET(TIAM15_assumptions!$G81,0,MATCH(VLOOKUP(Assumptions!AS$2,TIAM15_assumptions!$Y$3:$Z$87,2,FALSE),TIAM15_assumptions!$H$2:$V$2,0))</f>
        <v>0</v>
      </c>
      <c r="AT81" s="9">
        <f ca="1">OFFSET(TIAM15_assumptions!$G81,0,MATCH(VLOOKUP(Assumptions!AT$2,TIAM15_assumptions!$Y$3:$Z$87,2,FALSE),TIAM15_assumptions!$H$2:$V$2,0))</f>
        <v>0</v>
      </c>
      <c r="AU81" s="9">
        <f ca="1">OFFSET(TIAM15_assumptions!$G81,0,MATCH(VLOOKUP(Assumptions!AU$2,TIAM15_assumptions!$Y$3:$Z$87,2,FALSE),TIAM15_assumptions!$H$2:$V$2,0))</f>
        <v>0</v>
      </c>
      <c r="AV81" s="9">
        <f ca="1">OFFSET(TIAM15_assumptions!$G81,0,MATCH(VLOOKUP(Assumptions!AV$2,TIAM15_assumptions!$Y$3:$Z$87,2,FALSE),TIAM15_assumptions!$H$2:$V$2,0))</f>
        <v>0</v>
      </c>
      <c r="AW81" s="9">
        <f ca="1">OFFSET(TIAM15_assumptions!$G81,0,MATCH(VLOOKUP(Assumptions!AW$2,TIAM15_assumptions!$Y$3:$Z$87,2,FALSE),TIAM15_assumptions!$H$2:$V$2,0))</f>
        <v>0</v>
      </c>
      <c r="AX81" s="9">
        <f ca="1">OFFSET(TIAM15_assumptions!$G81,0,MATCH(VLOOKUP(Assumptions!AX$2,TIAM15_assumptions!$Y$3:$Z$87,2,FALSE),TIAM15_assumptions!$H$2:$V$2,0))</f>
        <v>0</v>
      </c>
      <c r="AY81" s="9">
        <f ca="1">OFFSET(TIAM15_assumptions!$G81,0,MATCH(VLOOKUP(Assumptions!AY$2,TIAM15_assumptions!$Y$3:$Z$87,2,FALSE),TIAM15_assumptions!$H$2:$V$2,0))</f>
        <v>0</v>
      </c>
      <c r="AZ81" s="9">
        <f ca="1">OFFSET(TIAM15_assumptions!$G81,0,MATCH(VLOOKUP(Assumptions!AZ$2,TIAM15_assumptions!$Y$3:$Z$87,2,FALSE),TIAM15_assumptions!$H$2:$V$2,0))</f>
        <v>0</v>
      </c>
      <c r="BA81" s="9">
        <f ca="1">OFFSET(TIAM15_assumptions!$G81,0,MATCH(VLOOKUP(Assumptions!BA$2,TIAM15_assumptions!$Y$3:$Z$87,2,FALSE),TIAM15_assumptions!$H$2:$V$2,0))</f>
        <v>0</v>
      </c>
      <c r="BD81" s="34">
        <f ca="1">IFERROR(SUMIFS('TRA balance'!E$5:E$40,'TRA balance'!$C$5:$C$40,Assumptions!$C81,'TRA balance'!$D$5:$D$40,Assumptions!$B81)*CY81*H81,"")</f>
        <v>0</v>
      </c>
      <c r="BE81" s="34">
        <f ca="1">IFERROR(SUMIFS('TRA balance'!F$5:F$40,'TRA balance'!$C$5:$C$40,Assumptions!$C81,'TRA balance'!$D$5:$D$40,Assumptions!$B81)*CZ81*I81,"")</f>
        <v>0</v>
      </c>
      <c r="BF81" s="34">
        <f ca="1">IFERROR(SUMIFS('TRA balance'!G$5:G$40,'TRA balance'!$C$5:$C$40,Assumptions!$C81,'TRA balance'!$D$5:$D$40,Assumptions!$B81)*DA81*J81,"")</f>
        <v>0</v>
      </c>
      <c r="BG81" s="34">
        <f ca="1">IFERROR(SUMIFS('TRA balance'!H$5:H$40,'TRA balance'!$C$5:$C$40,Assumptions!$C81,'TRA balance'!$D$5:$D$40,Assumptions!$B81)*DB81*K81,"")</f>
        <v>0</v>
      </c>
      <c r="BH81" s="34">
        <f ca="1">IFERROR(SUMIFS('TRA balance'!I$5:I$40,'TRA balance'!$C$5:$C$40,Assumptions!$C81,'TRA balance'!$D$5:$D$40,Assumptions!$B81)*DC81*L81,"")</f>
        <v>0</v>
      </c>
      <c r="BI81" s="34">
        <f ca="1">IFERROR(SUMIFS('TRA balance'!J$5:J$40,'TRA balance'!$C$5:$C$40,Assumptions!$C81,'TRA balance'!$D$5:$D$40,Assumptions!$B81)*DD81*M81,"")</f>
        <v>0</v>
      </c>
      <c r="BJ81" s="34">
        <f ca="1">IFERROR(SUMIFS('TRA balance'!K$5:K$40,'TRA balance'!$C$5:$C$40,Assumptions!$C81,'TRA balance'!$D$5:$D$40,Assumptions!$B81)*DE81*N81,"")</f>
        <v>0</v>
      </c>
      <c r="BK81" s="34">
        <f ca="1">IFERROR(SUMIFS('TRA balance'!L$5:L$40,'TRA balance'!$C$5:$C$40,Assumptions!$C81,'TRA balance'!$D$5:$D$40,Assumptions!$B81)*DF81*O81,"")</f>
        <v>0</v>
      </c>
      <c r="BL81" s="34">
        <f ca="1">IFERROR(SUMIFS('TRA balance'!M$5:M$40,'TRA balance'!$C$5:$C$40,Assumptions!$C81,'TRA balance'!$D$5:$D$40,Assumptions!$B81)*DG81*P81,"")</f>
        <v>0</v>
      </c>
      <c r="BM81" s="34">
        <f ca="1">IFERROR(SUMIFS('TRA balance'!N$5:N$40,'TRA balance'!$C$5:$C$40,Assumptions!$C81,'TRA balance'!$D$5:$D$40,Assumptions!$B81)*DH81*Q81,"")</f>
        <v>0</v>
      </c>
      <c r="BN81" s="34">
        <f ca="1">IFERROR(SUMIFS('TRA balance'!O$5:O$40,'TRA balance'!$C$5:$C$40,Assumptions!$C81,'TRA balance'!$D$5:$D$40,Assumptions!$B81)*DI81*R81,"")</f>
        <v>0</v>
      </c>
      <c r="BO81" s="34">
        <f ca="1">IFERROR(SUMIFS('TRA balance'!P$5:P$40,'TRA balance'!$C$5:$C$40,Assumptions!$C81,'TRA balance'!$D$5:$D$40,Assumptions!$B81)*DJ81*S81,"")</f>
        <v>0</v>
      </c>
      <c r="BP81" s="34">
        <f ca="1">IFERROR(SUMIFS('TRA balance'!Q$5:Q$40,'TRA balance'!$C$5:$C$40,Assumptions!$C81,'TRA balance'!$D$5:$D$40,Assumptions!$B81)*DK81*T81,"")</f>
        <v>0</v>
      </c>
      <c r="BQ81" s="34">
        <f ca="1">IFERROR(SUMIFS('TRA balance'!R$5:R$40,'TRA balance'!$C$5:$C$40,Assumptions!$C81,'TRA balance'!$D$5:$D$40,Assumptions!$B81)*DL81*U81,"")</f>
        <v>0</v>
      </c>
      <c r="BR81" s="34">
        <f ca="1">IFERROR(SUMIFS('TRA balance'!S$5:S$40,'TRA balance'!$C$5:$C$40,Assumptions!$C81,'TRA balance'!$D$5:$D$40,Assumptions!$B81)*DM81*V81,"")</f>
        <v>0</v>
      </c>
      <c r="BS81" s="34">
        <f ca="1">IFERROR(SUMIFS('TRA balance'!T$5:T$40,'TRA balance'!$C$5:$C$40,Assumptions!$C81,'TRA balance'!$D$5:$D$40,Assumptions!$B81)*DN81*W81,"")</f>
        <v>0</v>
      </c>
      <c r="BT81" s="34">
        <f ca="1">IFERROR(SUMIFS('TRA balance'!U$5:U$40,'TRA balance'!$C$5:$C$40,Assumptions!$C81,'TRA balance'!$D$5:$D$40,Assumptions!$B81)*DO81*X81,"")</f>
        <v>0</v>
      </c>
      <c r="BU81" s="34">
        <f ca="1">IFERROR(SUMIFS('TRA balance'!V$5:V$40,'TRA balance'!$C$5:$C$40,Assumptions!$C81,'TRA balance'!$D$5:$D$40,Assumptions!$B81)*DP81*Y81,"")</f>
        <v>0</v>
      </c>
      <c r="BV81" s="34">
        <f ca="1">IFERROR(SUMIFS('TRA balance'!W$5:W$40,'TRA balance'!$C$5:$C$40,Assumptions!$C81,'TRA balance'!$D$5:$D$40,Assumptions!$B81)*DQ81*Z81,"")</f>
        <v>0</v>
      </c>
      <c r="BW81" s="34">
        <f ca="1">IFERROR(SUMIFS('TRA balance'!X$5:X$40,'TRA balance'!$C$5:$C$40,Assumptions!$C81,'TRA balance'!$D$5:$D$40,Assumptions!$B81)*DR81*AA81,"")</f>
        <v>0</v>
      </c>
      <c r="BX81" s="34">
        <f ca="1">IFERROR(SUMIFS('TRA balance'!Y$5:Y$40,'TRA balance'!$C$5:$C$40,Assumptions!$C81,'TRA balance'!$D$5:$D$40,Assumptions!$B81)*DS81*AB81,"")</f>
        <v>0</v>
      </c>
      <c r="BY81" s="34">
        <f ca="1">IFERROR(SUMIFS('TRA balance'!Z$5:Z$40,'TRA balance'!$C$5:$C$40,Assumptions!$C81,'TRA balance'!$D$5:$D$40,Assumptions!$B81)*DT81*AC81,"")</f>
        <v>0</v>
      </c>
      <c r="BZ81" s="34">
        <f ca="1">IFERROR(SUMIFS('TRA balance'!AA$5:AA$40,'TRA balance'!$C$5:$C$40,Assumptions!$C81,'TRA balance'!$D$5:$D$40,Assumptions!$B81)*DU81*AD81,"")</f>
        <v>0</v>
      </c>
      <c r="CA81" s="34">
        <f ca="1">IFERROR(SUMIFS('TRA balance'!AB$5:AB$40,'TRA balance'!$C$5:$C$40,Assumptions!$C81,'TRA balance'!$D$5:$D$40,Assumptions!$B81)*DV81*AE81,"")</f>
        <v>0</v>
      </c>
      <c r="CB81" s="34">
        <f ca="1">IFERROR(SUMIFS('TRA balance'!AC$5:AC$40,'TRA balance'!$C$5:$C$40,Assumptions!$C81,'TRA balance'!$D$5:$D$40,Assumptions!$B81)*DW81*AF81,"")</f>
        <v>0</v>
      </c>
      <c r="CC81" s="34">
        <f ca="1">IFERROR(SUMIFS('TRA balance'!AD$5:AD$40,'TRA balance'!$C$5:$C$40,Assumptions!$C81,'TRA balance'!$D$5:$D$40,Assumptions!$B81)*DX81*AG81,"")</f>
        <v>0</v>
      </c>
      <c r="CD81" s="34">
        <f ca="1">IFERROR(SUMIFS('TRA balance'!AE$5:AE$40,'TRA balance'!$C$5:$C$40,Assumptions!$C81,'TRA balance'!$D$5:$D$40,Assumptions!$B81)*DY81*AH81,"")</f>
        <v>0</v>
      </c>
      <c r="CE81" s="34">
        <f ca="1">IFERROR(SUMIFS('TRA balance'!AF$5:AF$40,'TRA balance'!$C$5:$C$40,Assumptions!$C81,'TRA balance'!$D$5:$D$40,Assumptions!$B81)*DZ81*AI81,"")</f>
        <v>0</v>
      </c>
      <c r="CF81" s="34">
        <f ca="1">IFERROR(SUMIFS('TRA balance'!AG$5:AG$40,'TRA balance'!$C$5:$C$40,Assumptions!$C81,'TRA balance'!$D$5:$D$40,Assumptions!$B81)*EA81*AJ81,"")</f>
        <v>0</v>
      </c>
      <c r="CG81" s="34">
        <f ca="1">IFERROR(SUMIFS('TRA balance'!AH$5:AH$40,'TRA balance'!$C$5:$C$40,Assumptions!$C81,'TRA balance'!$D$5:$D$40,Assumptions!$B81)*EB81*AK81,"")</f>
        <v>0</v>
      </c>
      <c r="CH81" s="34">
        <f ca="1">IFERROR(SUMIFS('TRA balance'!AI$5:AI$40,'TRA balance'!$C$5:$C$40,Assumptions!$C81,'TRA balance'!$D$5:$D$40,Assumptions!$B81)*EC81*AL81,"")</f>
        <v>0</v>
      </c>
      <c r="CI81" s="34">
        <f ca="1">IFERROR(SUMIFS('TRA balance'!AJ$5:AJ$40,'TRA balance'!$C$5:$C$40,Assumptions!$C81,'TRA balance'!$D$5:$D$40,Assumptions!$B81)*ED81*AM81,"")</f>
        <v>0</v>
      </c>
      <c r="CJ81" s="34">
        <f ca="1">IFERROR(SUMIFS('TRA balance'!AK$5:AK$40,'TRA balance'!$C$5:$C$40,Assumptions!$C81,'TRA balance'!$D$5:$D$40,Assumptions!$B81)*EE81*AN81,"")</f>
        <v>0</v>
      </c>
      <c r="CK81" s="34">
        <f ca="1">IFERROR(SUMIFS('TRA balance'!AL$5:AL$40,'TRA balance'!$C$5:$C$40,Assumptions!$C81,'TRA balance'!$D$5:$D$40,Assumptions!$B81)*EF81*AO81,"")</f>
        <v>0</v>
      </c>
      <c r="CL81" s="34">
        <f ca="1">IFERROR(SUMIFS('TRA balance'!AM$5:AM$40,'TRA balance'!$C$5:$C$40,Assumptions!$C81,'TRA balance'!$D$5:$D$40,Assumptions!$B81)*EG81*AP81,"")</f>
        <v>0</v>
      </c>
      <c r="CM81" s="34">
        <f ca="1">IFERROR(SUMIFS('TRA balance'!AN$5:AN$40,'TRA balance'!$C$5:$C$40,Assumptions!$C81,'TRA balance'!$D$5:$D$40,Assumptions!$B81)*EH81*AQ81,"")</f>
        <v>0</v>
      </c>
      <c r="CN81" s="34">
        <f ca="1">IFERROR(SUMIFS('TRA balance'!AO$5:AO$40,'TRA balance'!$C$5:$C$40,Assumptions!$C81,'TRA balance'!$D$5:$D$40,Assumptions!$B81)*EI81*AR81,"")</f>
        <v>0</v>
      </c>
      <c r="CO81" s="34">
        <f ca="1">IFERROR(SUMIFS('TRA balance'!AP$5:AP$40,'TRA balance'!$C$5:$C$40,Assumptions!$C81,'TRA balance'!$D$5:$D$40,Assumptions!$B81)*EJ81*AS81,"")</f>
        <v>0</v>
      </c>
      <c r="CP81" s="34">
        <f ca="1">IFERROR(SUMIFS('TRA balance'!AQ$5:AQ$40,'TRA balance'!$C$5:$C$40,Assumptions!$C81,'TRA balance'!$D$5:$D$40,Assumptions!$B81)*EK81*AT81,"")</f>
        <v>0</v>
      </c>
      <c r="CQ81" s="34">
        <f ca="1">IFERROR(SUMIFS('TRA balance'!AR$5:AR$40,'TRA balance'!$C$5:$C$40,Assumptions!$C81,'TRA balance'!$D$5:$D$40,Assumptions!$B81)*EL81*AU81,"")</f>
        <v>0</v>
      </c>
      <c r="CR81" s="34">
        <f ca="1">IFERROR(SUMIFS('TRA balance'!AS$5:AS$40,'TRA balance'!$C$5:$C$40,Assumptions!$C81,'TRA balance'!$D$5:$D$40,Assumptions!$B81)*EM81*AV81,"")</f>
        <v>0</v>
      </c>
      <c r="CS81" s="34">
        <f ca="1">IFERROR(SUMIFS('TRA balance'!AT$5:AT$40,'TRA balance'!$C$5:$C$40,Assumptions!$C81,'TRA balance'!$D$5:$D$40,Assumptions!$B81)*EN81*AW81,"")</f>
        <v>0</v>
      </c>
      <c r="CT81" s="34">
        <f ca="1">IFERROR(SUMIFS('TRA balance'!AU$5:AU$40,'TRA balance'!$C$5:$C$40,Assumptions!$C81,'TRA balance'!$D$5:$D$40,Assumptions!$B81)*EO81*AX81,"")</f>
        <v>0</v>
      </c>
      <c r="CU81" s="34">
        <f ca="1">IFERROR(SUMIFS('TRA balance'!AV$5:AV$40,'TRA balance'!$C$5:$C$40,Assumptions!$C81,'TRA balance'!$D$5:$D$40,Assumptions!$B81)*EP81*AY81,"")</f>
        <v>0</v>
      </c>
      <c r="CV81" s="34">
        <f ca="1">IFERROR(SUMIFS('TRA balance'!AW$5:AW$40,'TRA balance'!$C$5:$C$40,Assumptions!$C81,'TRA balance'!$D$5:$D$40,Assumptions!$B81)*EQ81*AZ81,"")</f>
        <v>0</v>
      </c>
      <c r="CW81" s="34">
        <f ca="1">IFERROR(SUMIFS('TRA balance'!AX$5:AX$40,'TRA balance'!$C$5:$C$40,Assumptions!$C81,'TRA balance'!$D$5:$D$40,Assumptions!$B81)*ER81*BA81,"")</f>
        <v>0</v>
      </c>
      <c r="CY81" s="33">
        <f t="shared" ca="1" si="86"/>
        <v>0</v>
      </c>
      <c r="CZ81" s="33">
        <f t="shared" ca="1" si="87"/>
        <v>0</v>
      </c>
      <c r="DA81" s="33">
        <f t="shared" ca="1" si="88"/>
        <v>0</v>
      </c>
      <c r="DB81" s="33">
        <f t="shared" ca="1" si="89"/>
        <v>0</v>
      </c>
      <c r="DC81" s="33">
        <f t="shared" ca="1" si="90"/>
        <v>0</v>
      </c>
      <c r="DD81" s="33">
        <f t="shared" ca="1" si="91"/>
        <v>0</v>
      </c>
      <c r="DE81" s="33">
        <f t="shared" ca="1" si="92"/>
        <v>0</v>
      </c>
      <c r="DF81" s="33">
        <f t="shared" ca="1" si="93"/>
        <v>0</v>
      </c>
      <c r="DG81" s="33">
        <f t="shared" ca="1" si="94"/>
        <v>0</v>
      </c>
      <c r="DH81" s="33">
        <f t="shared" ca="1" si="95"/>
        <v>0</v>
      </c>
      <c r="DI81" s="33">
        <f t="shared" ca="1" si="96"/>
        <v>0</v>
      </c>
      <c r="DJ81" s="33">
        <f t="shared" ca="1" si="97"/>
        <v>0</v>
      </c>
      <c r="DK81" s="33">
        <f t="shared" ca="1" si="98"/>
        <v>0</v>
      </c>
      <c r="DL81" s="33">
        <f t="shared" ca="1" si="99"/>
        <v>0</v>
      </c>
      <c r="DM81" s="33">
        <f t="shared" ca="1" si="100"/>
        <v>0</v>
      </c>
      <c r="DN81" s="33">
        <f t="shared" ca="1" si="101"/>
        <v>0</v>
      </c>
      <c r="DO81" s="33">
        <f t="shared" ca="1" si="102"/>
        <v>0</v>
      </c>
      <c r="DP81" s="33">
        <f t="shared" ca="1" si="103"/>
        <v>0</v>
      </c>
      <c r="DQ81" s="33">
        <f t="shared" ca="1" si="104"/>
        <v>0</v>
      </c>
      <c r="DR81" s="33">
        <f t="shared" ca="1" si="105"/>
        <v>0</v>
      </c>
      <c r="DS81" s="33">
        <f t="shared" ca="1" si="106"/>
        <v>0</v>
      </c>
      <c r="DT81" s="33">
        <f t="shared" ca="1" si="107"/>
        <v>0</v>
      </c>
      <c r="DU81" s="33">
        <f t="shared" ca="1" si="108"/>
        <v>0</v>
      </c>
      <c r="DV81" s="33">
        <f t="shared" ca="1" si="109"/>
        <v>0</v>
      </c>
      <c r="DW81" s="33">
        <f t="shared" ca="1" si="110"/>
        <v>0</v>
      </c>
      <c r="DX81" s="33">
        <f t="shared" ca="1" si="111"/>
        <v>0</v>
      </c>
      <c r="DY81" s="33">
        <f t="shared" ca="1" si="112"/>
        <v>0</v>
      </c>
      <c r="DZ81" s="33">
        <f t="shared" ca="1" si="113"/>
        <v>0</v>
      </c>
      <c r="EA81" s="33">
        <f t="shared" ca="1" si="114"/>
        <v>0</v>
      </c>
      <c r="EB81" s="33">
        <f t="shared" ca="1" si="115"/>
        <v>0</v>
      </c>
      <c r="EC81" s="33">
        <f t="shared" ca="1" si="116"/>
        <v>0</v>
      </c>
      <c r="ED81" s="33">
        <f t="shared" ca="1" si="117"/>
        <v>0</v>
      </c>
      <c r="EE81" s="33">
        <f t="shared" ca="1" si="118"/>
        <v>0</v>
      </c>
      <c r="EF81" s="33">
        <f t="shared" ca="1" si="119"/>
        <v>0</v>
      </c>
      <c r="EG81" s="33">
        <f t="shared" ca="1" si="120"/>
        <v>0</v>
      </c>
      <c r="EH81" s="33">
        <f t="shared" ca="1" si="121"/>
        <v>0</v>
      </c>
      <c r="EI81" s="33">
        <f t="shared" ca="1" si="122"/>
        <v>0</v>
      </c>
      <c r="EJ81" s="33">
        <f t="shared" ca="1" si="123"/>
        <v>0</v>
      </c>
      <c r="EK81" s="33">
        <f t="shared" ca="1" si="124"/>
        <v>0</v>
      </c>
      <c r="EL81" s="33">
        <f t="shared" ca="1" si="125"/>
        <v>0</v>
      </c>
      <c r="EM81" s="33">
        <f t="shared" ca="1" si="126"/>
        <v>0</v>
      </c>
      <c r="EN81" s="33">
        <f t="shared" ca="1" si="127"/>
        <v>0</v>
      </c>
      <c r="EO81" s="33">
        <f t="shared" ca="1" si="128"/>
        <v>0</v>
      </c>
      <c r="EP81" s="33">
        <f t="shared" ca="1" si="129"/>
        <v>0</v>
      </c>
      <c r="EQ81" s="33">
        <f t="shared" ca="1" si="130"/>
        <v>0</v>
      </c>
      <c r="ER81" s="33">
        <f t="shared" ca="1" si="131"/>
        <v>0</v>
      </c>
    </row>
    <row r="82" spans="1:148">
      <c r="A82">
        <v>1</v>
      </c>
      <c r="B82" t="str">
        <f>VLOOKUP(F82,'TRA balance'!$BA$5:$BB$14,2,FALSE)</f>
        <v>TRABGS</v>
      </c>
      <c r="C82" s="6" t="str">
        <f t="shared" si="133"/>
        <v/>
      </c>
      <c r="D82" s="7"/>
      <c r="E82" s="19" t="s">
        <v>69</v>
      </c>
      <c r="F82" s="8" t="str">
        <f t="shared" si="138"/>
        <v>Bio Gasoline</v>
      </c>
      <c r="G82" s="6"/>
      <c r="H82" s="20" t="str">
        <f ca="1">IF(SUM(H78:H81)=1,"-","&lt;&gt;1!!")</f>
        <v>-</v>
      </c>
      <c r="I82" s="20" t="str">
        <f t="shared" ref="I82:BA82" ca="1" si="139">IF(SUM(I78:I81)=1,"-","&lt;&gt;1!!")</f>
        <v>-</v>
      </c>
      <c r="J82" s="20" t="str">
        <f t="shared" ca="1" si="139"/>
        <v>-</v>
      </c>
      <c r="K82" s="20" t="str">
        <f t="shared" ca="1" si="139"/>
        <v>-</v>
      </c>
      <c r="L82" s="20" t="str">
        <f t="shared" ca="1" si="139"/>
        <v>-</v>
      </c>
      <c r="M82" s="20" t="str">
        <f t="shared" ca="1" si="139"/>
        <v>-</v>
      </c>
      <c r="N82" s="20" t="str">
        <f t="shared" ca="1" si="139"/>
        <v>-</v>
      </c>
      <c r="O82" s="20" t="str">
        <f t="shared" ca="1" si="139"/>
        <v>-</v>
      </c>
      <c r="P82" s="20" t="str">
        <f t="shared" ca="1" si="139"/>
        <v>-</v>
      </c>
      <c r="Q82" s="20" t="str">
        <f t="shared" ca="1" si="139"/>
        <v>-</v>
      </c>
      <c r="R82" s="20" t="str">
        <f t="shared" ca="1" si="139"/>
        <v>-</v>
      </c>
      <c r="S82" s="20" t="str">
        <f t="shared" ca="1" si="139"/>
        <v>-</v>
      </c>
      <c r="T82" s="20" t="str">
        <f t="shared" ca="1" si="139"/>
        <v>-</v>
      </c>
      <c r="U82" s="20" t="str">
        <f t="shared" ca="1" si="139"/>
        <v>-</v>
      </c>
      <c r="V82" s="20" t="str">
        <f t="shared" ca="1" si="139"/>
        <v>-</v>
      </c>
      <c r="W82" s="20" t="str">
        <f t="shared" ca="1" si="139"/>
        <v>-</v>
      </c>
      <c r="X82" s="20" t="str">
        <f t="shared" ca="1" si="139"/>
        <v>-</v>
      </c>
      <c r="Y82" s="20" t="str">
        <f t="shared" ca="1" si="139"/>
        <v>-</v>
      </c>
      <c r="Z82" s="20" t="str">
        <f t="shared" ca="1" si="139"/>
        <v>-</v>
      </c>
      <c r="AA82" s="20" t="str">
        <f t="shared" ca="1" si="139"/>
        <v>-</v>
      </c>
      <c r="AB82" s="20" t="str">
        <f t="shared" ca="1" si="139"/>
        <v>-</v>
      </c>
      <c r="AC82" s="20" t="str">
        <f t="shared" ca="1" si="139"/>
        <v>-</v>
      </c>
      <c r="AD82" s="20" t="str">
        <f t="shared" ca="1" si="139"/>
        <v>-</v>
      </c>
      <c r="AE82" s="20" t="str">
        <f t="shared" ca="1" si="139"/>
        <v>-</v>
      </c>
      <c r="AF82" s="20" t="str">
        <f t="shared" ca="1" si="139"/>
        <v>-</v>
      </c>
      <c r="AG82" s="20" t="str">
        <f t="shared" ca="1" si="139"/>
        <v>-</v>
      </c>
      <c r="AH82" s="20" t="str">
        <f t="shared" ca="1" si="139"/>
        <v>-</v>
      </c>
      <c r="AI82" s="20" t="str">
        <f t="shared" ca="1" si="139"/>
        <v>-</v>
      </c>
      <c r="AJ82" s="20" t="str">
        <f t="shared" ca="1" si="139"/>
        <v>-</v>
      </c>
      <c r="AK82" s="20" t="str">
        <f t="shared" ca="1" si="139"/>
        <v>-</v>
      </c>
      <c r="AL82" s="20" t="str">
        <f t="shared" ca="1" si="139"/>
        <v>-</v>
      </c>
      <c r="AM82" s="20" t="str">
        <f t="shared" ca="1" si="139"/>
        <v>-</v>
      </c>
      <c r="AN82" s="20" t="str">
        <f t="shared" ca="1" si="139"/>
        <v>-</v>
      </c>
      <c r="AO82" s="20" t="str">
        <f t="shared" ca="1" si="139"/>
        <v>-</v>
      </c>
      <c r="AP82" s="20" t="str">
        <f t="shared" ca="1" si="139"/>
        <v>-</v>
      </c>
      <c r="AQ82" s="20" t="str">
        <f t="shared" ca="1" si="139"/>
        <v>-</v>
      </c>
      <c r="AR82" s="20" t="str">
        <f t="shared" ca="1" si="139"/>
        <v>-</v>
      </c>
      <c r="AS82" s="20" t="str">
        <f t="shared" ca="1" si="139"/>
        <v>-</v>
      </c>
      <c r="AT82" s="20" t="str">
        <f t="shared" ca="1" si="139"/>
        <v>-</v>
      </c>
      <c r="AU82" s="20" t="str">
        <f t="shared" ca="1" si="139"/>
        <v>-</v>
      </c>
      <c r="AV82" s="20" t="str">
        <f t="shared" ca="1" si="139"/>
        <v>-</v>
      </c>
      <c r="AW82" s="20" t="str">
        <f t="shared" ca="1" si="139"/>
        <v>-</v>
      </c>
      <c r="AX82" s="20" t="str">
        <f t="shared" ca="1" si="139"/>
        <v>-</v>
      </c>
      <c r="AY82" s="20" t="str">
        <f t="shared" ca="1" si="139"/>
        <v>-</v>
      </c>
      <c r="AZ82" s="20" t="str">
        <f t="shared" ca="1" si="139"/>
        <v>-</v>
      </c>
      <c r="BA82" s="20" t="str">
        <f t="shared" ca="1" si="139"/>
        <v>-</v>
      </c>
      <c r="BD82" s="34" t="str">
        <f ca="1">IFERROR(SUMIFS('TRA balance'!E$5:E$40,'TRA balance'!$C$5:$C$40,Assumptions!$C82,'TRA balance'!$D$5:$D$40,Assumptions!$B82)*CY82*H82,"")</f>
        <v/>
      </c>
      <c r="BE82" s="34" t="str">
        <f ca="1">IFERROR(SUMIFS('TRA balance'!F$5:F$40,'TRA balance'!$C$5:$C$40,Assumptions!$C82,'TRA balance'!$D$5:$D$40,Assumptions!$B82)*CZ82*I82,"")</f>
        <v/>
      </c>
      <c r="BF82" s="34" t="str">
        <f ca="1">IFERROR(SUMIFS('TRA balance'!G$5:G$40,'TRA balance'!$C$5:$C$40,Assumptions!$C82,'TRA balance'!$D$5:$D$40,Assumptions!$B82)*DA82*J82,"")</f>
        <v/>
      </c>
      <c r="BG82" s="34" t="str">
        <f ca="1">IFERROR(SUMIFS('TRA balance'!H$5:H$40,'TRA balance'!$C$5:$C$40,Assumptions!$C82,'TRA balance'!$D$5:$D$40,Assumptions!$B82)*DB82*K82,"")</f>
        <v/>
      </c>
      <c r="BH82" s="34" t="str">
        <f ca="1">IFERROR(SUMIFS('TRA balance'!I$5:I$40,'TRA balance'!$C$5:$C$40,Assumptions!$C82,'TRA balance'!$D$5:$D$40,Assumptions!$B82)*DC82*L82,"")</f>
        <v/>
      </c>
      <c r="BI82" s="34" t="str">
        <f ca="1">IFERROR(SUMIFS('TRA balance'!J$5:J$40,'TRA balance'!$C$5:$C$40,Assumptions!$C82,'TRA balance'!$D$5:$D$40,Assumptions!$B82)*DD82*M82,"")</f>
        <v/>
      </c>
      <c r="BJ82" s="34" t="str">
        <f ca="1">IFERROR(SUMIFS('TRA balance'!K$5:K$40,'TRA balance'!$C$5:$C$40,Assumptions!$C82,'TRA balance'!$D$5:$D$40,Assumptions!$B82)*DE82*N82,"")</f>
        <v/>
      </c>
      <c r="BK82" s="34" t="str">
        <f ca="1">IFERROR(SUMIFS('TRA balance'!L$5:L$40,'TRA balance'!$C$5:$C$40,Assumptions!$C82,'TRA balance'!$D$5:$D$40,Assumptions!$B82)*DF82*O82,"")</f>
        <v/>
      </c>
      <c r="BL82" s="34" t="str">
        <f ca="1">IFERROR(SUMIFS('TRA balance'!M$5:M$40,'TRA balance'!$C$5:$C$40,Assumptions!$C82,'TRA balance'!$D$5:$D$40,Assumptions!$B82)*DG82*P82,"")</f>
        <v/>
      </c>
      <c r="BM82" s="34" t="str">
        <f ca="1">IFERROR(SUMIFS('TRA balance'!N$5:N$40,'TRA balance'!$C$5:$C$40,Assumptions!$C82,'TRA balance'!$D$5:$D$40,Assumptions!$B82)*DH82*Q82,"")</f>
        <v/>
      </c>
      <c r="BN82" s="34" t="str">
        <f ca="1">IFERROR(SUMIFS('TRA balance'!O$5:O$40,'TRA balance'!$C$5:$C$40,Assumptions!$C82,'TRA balance'!$D$5:$D$40,Assumptions!$B82)*DI82*R82,"")</f>
        <v/>
      </c>
      <c r="BO82" s="34" t="str">
        <f ca="1">IFERROR(SUMIFS('TRA balance'!P$5:P$40,'TRA balance'!$C$5:$C$40,Assumptions!$C82,'TRA balance'!$D$5:$D$40,Assumptions!$B82)*DJ82*S82,"")</f>
        <v/>
      </c>
      <c r="BP82" s="34" t="str">
        <f ca="1">IFERROR(SUMIFS('TRA balance'!Q$5:Q$40,'TRA balance'!$C$5:$C$40,Assumptions!$C82,'TRA balance'!$D$5:$D$40,Assumptions!$B82)*DK82*T82,"")</f>
        <v/>
      </c>
      <c r="BQ82" s="34" t="str">
        <f ca="1">IFERROR(SUMIFS('TRA balance'!R$5:R$40,'TRA balance'!$C$5:$C$40,Assumptions!$C82,'TRA balance'!$D$5:$D$40,Assumptions!$B82)*DL82*U82,"")</f>
        <v/>
      </c>
      <c r="BR82" s="34" t="str">
        <f ca="1">IFERROR(SUMIFS('TRA balance'!S$5:S$40,'TRA balance'!$C$5:$C$40,Assumptions!$C82,'TRA balance'!$D$5:$D$40,Assumptions!$B82)*DM82*V82,"")</f>
        <v/>
      </c>
      <c r="BS82" s="34" t="str">
        <f ca="1">IFERROR(SUMIFS('TRA balance'!T$5:T$40,'TRA balance'!$C$5:$C$40,Assumptions!$C82,'TRA balance'!$D$5:$D$40,Assumptions!$B82)*DN82*W82,"")</f>
        <v/>
      </c>
      <c r="BT82" s="34" t="str">
        <f ca="1">IFERROR(SUMIFS('TRA balance'!U$5:U$40,'TRA balance'!$C$5:$C$40,Assumptions!$C82,'TRA balance'!$D$5:$D$40,Assumptions!$B82)*DO82*X82,"")</f>
        <v/>
      </c>
      <c r="BU82" s="34" t="str">
        <f ca="1">IFERROR(SUMIFS('TRA balance'!V$5:V$40,'TRA balance'!$C$5:$C$40,Assumptions!$C82,'TRA balance'!$D$5:$D$40,Assumptions!$B82)*DP82*Y82,"")</f>
        <v/>
      </c>
      <c r="BV82" s="34" t="str">
        <f ca="1">IFERROR(SUMIFS('TRA balance'!W$5:W$40,'TRA balance'!$C$5:$C$40,Assumptions!$C82,'TRA balance'!$D$5:$D$40,Assumptions!$B82)*DQ82*Z82,"")</f>
        <v/>
      </c>
      <c r="BW82" s="34" t="str">
        <f ca="1">IFERROR(SUMIFS('TRA balance'!X$5:X$40,'TRA balance'!$C$5:$C$40,Assumptions!$C82,'TRA balance'!$D$5:$D$40,Assumptions!$B82)*DR82*AA82,"")</f>
        <v/>
      </c>
      <c r="BX82" s="34" t="str">
        <f ca="1">IFERROR(SUMIFS('TRA balance'!Y$5:Y$40,'TRA balance'!$C$5:$C$40,Assumptions!$C82,'TRA balance'!$D$5:$D$40,Assumptions!$B82)*DS82*AB82,"")</f>
        <v/>
      </c>
      <c r="BY82" s="34" t="str">
        <f ca="1">IFERROR(SUMIFS('TRA balance'!Z$5:Z$40,'TRA balance'!$C$5:$C$40,Assumptions!$C82,'TRA balance'!$D$5:$D$40,Assumptions!$B82)*DT82*AC82,"")</f>
        <v/>
      </c>
      <c r="BZ82" s="34" t="str">
        <f ca="1">IFERROR(SUMIFS('TRA balance'!AA$5:AA$40,'TRA balance'!$C$5:$C$40,Assumptions!$C82,'TRA balance'!$D$5:$D$40,Assumptions!$B82)*DU82*AD82,"")</f>
        <v/>
      </c>
      <c r="CA82" s="34" t="str">
        <f ca="1">IFERROR(SUMIFS('TRA balance'!AB$5:AB$40,'TRA balance'!$C$5:$C$40,Assumptions!$C82,'TRA balance'!$D$5:$D$40,Assumptions!$B82)*DV82*AE82,"")</f>
        <v/>
      </c>
      <c r="CB82" s="34" t="str">
        <f ca="1">IFERROR(SUMIFS('TRA balance'!AC$5:AC$40,'TRA balance'!$C$5:$C$40,Assumptions!$C82,'TRA balance'!$D$5:$D$40,Assumptions!$B82)*DW82*AF82,"")</f>
        <v/>
      </c>
      <c r="CC82" s="34" t="str">
        <f ca="1">IFERROR(SUMIFS('TRA balance'!AD$5:AD$40,'TRA balance'!$C$5:$C$40,Assumptions!$C82,'TRA balance'!$D$5:$D$40,Assumptions!$B82)*DX82*AG82,"")</f>
        <v/>
      </c>
      <c r="CD82" s="34" t="str">
        <f ca="1">IFERROR(SUMIFS('TRA balance'!AE$5:AE$40,'TRA balance'!$C$5:$C$40,Assumptions!$C82,'TRA balance'!$D$5:$D$40,Assumptions!$B82)*DY82*AH82,"")</f>
        <v/>
      </c>
      <c r="CE82" s="34" t="str">
        <f ca="1">IFERROR(SUMIFS('TRA balance'!AF$5:AF$40,'TRA balance'!$C$5:$C$40,Assumptions!$C82,'TRA balance'!$D$5:$D$40,Assumptions!$B82)*DZ82*AI82,"")</f>
        <v/>
      </c>
      <c r="CF82" s="34" t="str">
        <f ca="1">IFERROR(SUMIFS('TRA balance'!AG$5:AG$40,'TRA balance'!$C$5:$C$40,Assumptions!$C82,'TRA balance'!$D$5:$D$40,Assumptions!$B82)*EA82*AJ82,"")</f>
        <v/>
      </c>
      <c r="CG82" s="34" t="str">
        <f ca="1">IFERROR(SUMIFS('TRA balance'!AH$5:AH$40,'TRA balance'!$C$5:$C$40,Assumptions!$C82,'TRA balance'!$D$5:$D$40,Assumptions!$B82)*EB82*AK82,"")</f>
        <v/>
      </c>
      <c r="CH82" s="34" t="str">
        <f ca="1">IFERROR(SUMIFS('TRA balance'!AI$5:AI$40,'TRA balance'!$C$5:$C$40,Assumptions!$C82,'TRA balance'!$D$5:$D$40,Assumptions!$B82)*EC82*AL82,"")</f>
        <v/>
      </c>
      <c r="CI82" s="34" t="str">
        <f ca="1">IFERROR(SUMIFS('TRA balance'!AJ$5:AJ$40,'TRA balance'!$C$5:$C$40,Assumptions!$C82,'TRA balance'!$D$5:$D$40,Assumptions!$B82)*ED82*AM82,"")</f>
        <v/>
      </c>
      <c r="CJ82" s="34" t="str">
        <f ca="1">IFERROR(SUMIFS('TRA balance'!AK$5:AK$40,'TRA balance'!$C$5:$C$40,Assumptions!$C82,'TRA balance'!$D$5:$D$40,Assumptions!$B82)*EE82*AN82,"")</f>
        <v/>
      </c>
      <c r="CK82" s="34" t="str">
        <f ca="1">IFERROR(SUMIFS('TRA balance'!AL$5:AL$40,'TRA balance'!$C$5:$C$40,Assumptions!$C82,'TRA balance'!$D$5:$D$40,Assumptions!$B82)*EF82*AO82,"")</f>
        <v/>
      </c>
      <c r="CL82" s="34" t="str">
        <f ca="1">IFERROR(SUMIFS('TRA balance'!AM$5:AM$40,'TRA balance'!$C$5:$C$40,Assumptions!$C82,'TRA balance'!$D$5:$D$40,Assumptions!$B82)*EG82*AP82,"")</f>
        <v/>
      </c>
      <c r="CM82" s="34" t="str">
        <f ca="1">IFERROR(SUMIFS('TRA balance'!AN$5:AN$40,'TRA balance'!$C$5:$C$40,Assumptions!$C82,'TRA balance'!$D$5:$D$40,Assumptions!$B82)*EH82*AQ82,"")</f>
        <v/>
      </c>
      <c r="CN82" s="34" t="str">
        <f ca="1">IFERROR(SUMIFS('TRA balance'!AO$5:AO$40,'TRA balance'!$C$5:$C$40,Assumptions!$C82,'TRA balance'!$D$5:$D$40,Assumptions!$B82)*EI82*AR82,"")</f>
        <v/>
      </c>
      <c r="CO82" s="34" t="str">
        <f ca="1">IFERROR(SUMIFS('TRA balance'!AP$5:AP$40,'TRA balance'!$C$5:$C$40,Assumptions!$C82,'TRA balance'!$D$5:$D$40,Assumptions!$B82)*EJ82*AS82,"")</f>
        <v/>
      </c>
      <c r="CP82" s="34" t="str">
        <f ca="1">IFERROR(SUMIFS('TRA balance'!AQ$5:AQ$40,'TRA balance'!$C$5:$C$40,Assumptions!$C82,'TRA balance'!$D$5:$D$40,Assumptions!$B82)*EK82*AT82,"")</f>
        <v/>
      </c>
      <c r="CQ82" s="34" t="str">
        <f ca="1">IFERROR(SUMIFS('TRA balance'!AR$5:AR$40,'TRA balance'!$C$5:$C$40,Assumptions!$C82,'TRA balance'!$D$5:$D$40,Assumptions!$B82)*EL82*AU82,"")</f>
        <v/>
      </c>
      <c r="CR82" s="34" t="str">
        <f ca="1">IFERROR(SUMIFS('TRA balance'!AS$5:AS$40,'TRA balance'!$C$5:$C$40,Assumptions!$C82,'TRA balance'!$D$5:$D$40,Assumptions!$B82)*EM82*AV82,"")</f>
        <v/>
      </c>
      <c r="CS82" s="34" t="str">
        <f ca="1">IFERROR(SUMIFS('TRA balance'!AT$5:AT$40,'TRA balance'!$C$5:$C$40,Assumptions!$C82,'TRA balance'!$D$5:$D$40,Assumptions!$B82)*EN82*AW82,"")</f>
        <v/>
      </c>
      <c r="CT82" s="34" t="str">
        <f ca="1">IFERROR(SUMIFS('TRA balance'!AU$5:AU$40,'TRA balance'!$C$5:$C$40,Assumptions!$C82,'TRA balance'!$D$5:$D$40,Assumptions!$B82)*EO82*AX82,"")</f>
        <v/>
      </c>
      <c r="CU82" s="34" t="str">
        <f ca="1">IFERROR(SUMIFS('TRA balance'!AV$5:AV$40,'TRA balance'!$C$5:$C$40,Assumptions!$C82,'TRA balance'!$D$5:$D$40,Assumptions!$B82)*EP82*AY82,"")</f>
        <v/>
      </c>
      <c r="CV82" s="34" t="str">
        <f ca="1">IFERROR(SUMIFS('TRA balance'!AW$5:AW$40,'TRA balance'!$C$5:$C$40,Assumptions!$C82,'TRA balance'!$D$5:$D$40,Assumptions!$B82)*EQ82*AZ82,"")</f>
        <v/>
      </c>
      <c r="CW82" s="34" t="str">
        <f ca="1">IFERROR(SUMIFS('TRA balance'!AX$5:AX$40,'TRA balance'!$C$5:$C$40,Assumptions!$C82,'TRA balance'!$D$5:$D$40,Assumptions!$B82)*ER82*BA82,"")</f>
        <v/>
      </c>
      <c r="CY82" s="33">
        <f t="shared" si="86"/>
        <v>1</v>
      </c>
      <c r="CZ82" s="33">
        <f t="shared" si="87"/>
        <v>1</v>
      </c>
      <c r="DA82" s="33">
        <f t="shared" si="88"/>
        <v>1</v>
      </c>
      <c r="DB82" s="33">
        <f t="shared" si="89"/>
        <v>1</v>
      </c>
      <c r="DC82" s="33">
        <f t="shared" si="90"/>
        <v>1</v>
      </c>
      <c r="DD82" s="33">
        <f t="shared" si="91"/>
        <v>1</v>
      </c>
      <c r="DE82" s="33">
        <f t="shared" si="92"/>
        <v>1</v>
      </c>
      <c r="DF82" s="33">
        <f t="shared" si="93"/>
        <v>1</v>
      </c>
      <c r="DG82" s="33">
        <f t="shared" si="94"/>
        <v>1</v>
      </c>
      <c r="DH82" s="33">
        <f t="shared" si="95"/>
        <v>1</v>
      </c>
      <c r="DI82" s="33">
        <f t="shared" si="96"/>
        <v>1</v>
      </c>
      <c r="DJ82" s="33">
        <f t="shared" si="97"/>
        <v>1</v>
      </c>
      <c r="DK82" s="33">
        <f t="shared" si="98"/>
        <v>1</v>
      </c>
      <c r="DL82" s="33">
        <f t="shared" si="99"/>
        <v>1</v>
      </c>
      <c r="DM82" s="33">
        <f t="shared" si="100"/>
        <v>1</v>
      </c>
      <c r="DN82" s="33">
        <f t="shared" si="101"/>
        <v>1</v>
      </c>
      <c r="DO82" s="33">
        <f t="shared" si="102"/>
        <v>1</v>
      </c>
      <c r="DP82" s="33">
        <f t="shared" si="103"/>
        <v>1</v>
      </c>
      <c r="DQ82" s="33">
        <f t="shared" si="104"/>
        <v>1</v>
      </c>
      <c r="DR82" s="33">
        <f t="shared" si="105"/>
        <v>1</v>
      </c>
      <c r="DS82" s="33">
        <f t="shared" si="106"/>
        <v>1</v>
      </c>
      <c r="DT82" s="33">
        <f t="shared" si="107"/>
        <v>1</v>
      </c>
      <c r="DU82" s="33">
        <f t="shared" si="108"/>
        <v>1</v>
      </c>
      <c r="DV82" s="33">
        <f t="shared" si="109"/>
        <v>1</v>
      </c>
      <c r="DW82" s="33">
        <f t="shared" si="110"/>
        <v>1</v>
      </c>
      <c r="DX82" s="33">
        <f t="shared" si="111"/>
        <v>1</v>
      </c>
      <c r="DY82" s="33">
        <f t="shared" si="112"/>
        <v>1</v>
      </c>
      <c r="DZ82" s="33">
        <f t="shared" si="113"/>
        <v>1</v>
      </c>
      <c r="EA82" s="33">
        <f t="shared" si="114"/>
        <v>1</v>
      </c>
      <c r="EB82" s="33">
        <f t="shared" si="115"/>
        <v>1</v>
      </c>
      <c r="EC82" s="33">
        <f t="shared" si="116"/>
        <v>1</v>
      </c>
      <c r="ED82" s="33">
        <f t="shared" si="117"/>
        <v>1</v>
      </c>
      <c r="EE82" s="33">
        <f t="shared" si="118"/>
        <v>1</v>
      </c>
      <c r="EF82" s="33">
        <f t="shared" si="119"/>
        <v>1</v>
      </c>
      <c r="EG82" s="33">
        <f t="shared" si="120"/>
        <v>1</v>
      </c>
      <c r="EH82" s="33">
        <f t="shared" si="121"/>
        <v>1</v>
      </c>
      <c r="EI82" s="33">
        <f t="shared" si="122"/>
        <v>1</v>
      </c>
      <c r="EJ82" s="33">
        <f t="shared" si="123"/>
        <v>1</v>
      </c>
      <c r="EK82" s="33">
        <f t="shared" si="124"/>
        <v>1</v>
      </c>
      <c r="EL82" s="33">
        <f t="shared" si="125"/>
        <v>1</v>
      </c>
      <c r="EM82" s="33">
        <f t="shared" si="126"/>
        <v>1</v>
      </c>
      <c r="EN82" s="33">
        <f t="shared" si="127"/>
        <v>1</v>
      </c>
      <c r="EO82" s="33">
        <f t="shared" si="128"/>
        <v>1</v>
      </c>
      <c r="EP82" s="33">
        <f t="shared" si="129"/>
        <v>1</v>
      </c>
      <c r="EQ82" s="33">
        <f t="shared" si="130"/>
        <v>1</v>
      </c>
      <c r="ER82" s="33">
        <f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14">
        <v>2</v>
      </c>
      <c r="D83" s="15" t="s">
        <v>16</v>
      </c>
      <c r="E83" s="15" t="s">
        <v>70</v>
      </c>
      <c r="F83" s="16" t="str">
        <f>F82</f>
        <v>Bio Gasoline</v>
      </c>
      <c r="G83" s="14"/>
      <c r="H83" s="21">
        <f ca="1">1-H77</f>
        <v>1</v>
      </c>
      <c r="I83" s="21">
        <f t="shared" ref="I83:BA83" ca="1" si="140">1-I77</f>
        <v>1</v>
      </c>
      <c r="J83" s="21">
        <f t="shared" ca="1" si="140"/>
        <v>1</v>
      </c>
      <c r="K83" s="21">
        <f t="shared" ca="1" si="140"/>
        <v>1</v>
      </c>
      <c r="L83" s="21">
        <f t="shared" ca="1" si="140"/>
        <v>1</v>
      </c>
      <c r="M83" s="21">
        <f t="shared" ca="1" si="140"/>
        <v>1</v>
      </c>
      <c r="N83" s="21">
        <f t="shared" ca="1" si="140"/>
        <v>1</v>
      </c>
      <c r="O83" s="21">
        <f t="shared" ca="1" si="140"/>
        <v>1</v>
      </c>
      <c r="P83" s="21">
        <f t="shared" ca="1" si="140"/>
        <v>1</v>
      </c>
      <c r="Q83" s="21">
        <f t="shared" ca="1" si="140"/>
        <v>1</v>
      </c>
      <c r="R83" s="21">
        <f t="shared" ca="1" si="140"/>
        <v>1</v>
      </c>
      <c r="S83" s="21">
        <f t="shared" ca="1" si="140"/>
        <v>1</v>
      </c>
      <c r="T83" s="21">
        <f t="shared" ca="1" si="140"/>
        <v>1</v>
      </c>
      <c r="U83" s="21">
        <f t="shared" ca="1" si="140"/>
        <v>1</v>
      </c>
      <c r="V83" s="21">
        <f t="shared" ca="1" si="140"/>
        <v>1</v>
      </c>
      <c r="W83" s="21">
        <f t="shared" ca="1" si="140"/>
        <v>1</v>
      </c>
      <c r="X83" s="21">
        <f t="shared" ca="1" si="140"/>
        <v>1</v>
      </c>
      <c r="Y83" s="21">
        <f t="shared" ca="1" si="140"/>
        <v>1</v>
      </c>
      <c r="Z83" s="21">
        <f t="shared" ca="1" si="140"/>
        <v>1</v>
      </c>
      <c r="AA83" s="21">
        <f t="shared" ca="1" si="140"/>
        <v>1</v>
      </c>
      <c r="AB83" s="21">
        <f t="shared" ca="1" si="140"/>
        <v>1</v>
      </c>
      <c r="AC83" s="21">
        <f t="shared" ca="1" si="140"/>
        <v>1</v>
      </c>
      <c r="AD83" s="21">
        <f t="shared" ca="1" si="140"/>
        <v>1</v>
      </c>
      <c r="AE83" s="21">
        <f t="shared" ca="1" si="140"/>
        <v>1</v>
      </c>
      <c r="AF83" s="21">
        <f t="shared" ca="1" si="140"/>
        <v>1</v>
      </c>
      <c r="AG83" s="21">
        <f t="shared" ca="1" si="140"/>
        <v>1</v>
      </c>
      <c r="AH83" s="21">
        <f t="shared" ca="1" si="140"/>
        <v>1</v>
      </c>
      <c r="AI83" s="21">
        <f t="shared" ca="1" si="140"/>
        <v>1</v>
      </c>
      <c r="AJ83" s="21">
        <f t="shared" ca="1" si="140"/>
        <v>1</v>
      </c>
      <c r="AK83" s="21">
        <f t="shared" ca="1" si="140"/>
        <v>1</v>
      </c>
      <c r="AL83" s="21">
        <f t="shared" ca="1" si="140"/>
        <v>1</v>
      </c>
      <c r="AM83" s="21">
        <f t="shared" ca="1" si="140"/>
        <v>1</v>
      </c>
      <c r="AN83" s="21">
        <f t="shared" ca="1" si="140"/>
        <v>1</v>
      </c>
      <c r="AO83" s="21">
        <f t="shared" ca="1" si="140"/>
        <v>1</v>
      </c>
      <c r="AP83" s="21">
        <f t="shared" ca="1" si="140"/>
        <v>1</v>
      </c>
      <c r="AQ83" s="21">
        <f t="shared" ca="1" si="140"/>
        <v>1</v>
      </c>
      <c r="AR83" s="21">
        <f t="shared" ca="1" si="140"/>
        <v>1</v>
      </c>
      <c r="AS83" s="21">
        <f t="shared" ca="1" si="140"/>
        <v>1</v>
      </c>
      <c r="AT83" s="21">
        <f t="shared" ca="1" si="140"/>
        <v>1</v>
      </c>
      <c r="AU83" s="21">
        <f t="shared" ca="1" si="140"/>
        <v>1</v>
      </c>
      <c r="AV83" s="21">
        <f t="shared" ca="1" si="140"/>
        <v>1</v>
      </c>
      <c r="AW83" s="21">
        <f t="shared" ca="1" si="140"/>
        <v>1</v>
      </c>
      <c r="AX83" s="21">
        <f t="shared" ca="1" si="140"/>
        <v>1</v>
      </c>
      <c r="AY83" s="21">
        <f t="shared" ca="1" si="140"/>
        <v>1</v>
      </c>
      <c r="AZ83" s="21">
        <f t="shared" ca="1" si="140"/>
        <v>1</v>
      </c>
      <c r="BA83" s="21">
        <f t="shared" ca="1" si="140"/>
        <v>1</v>
      </c>
      <c r="BD83" s="34">
        <f ca="1">IFERROR(SUMIFS('TRA balance'!E$5:E$40,'TRA balance'!$C$5:$C$40,Assumptions!$C83,'TRA balance'!$D$5:$D$40,Assumptions!$B83)*CY83*H83,"")</f>
        <v>0</v>
      </c>
      <c r="BE83" s="34">
        <f ca="1">IFERROR(SUMIFS('TRA balance'!F$5:F$40,'TRA balance'!$C$5:$C$40,Assumptions!$C83,'TRA balance'!$D$5:$D$40,Assumptions!$B83)*CZ83*I83,"")</f>
        <v>0</v>
      </c>
      <c r="BF83" s="34">
        <f ca="1">IFERROR(SUMIFS('TRA balance'!G$5:G$40,'TRA balance'!$C$5:$C$40,Assumptions!$C83,'TRA balance'!$D$5:$D$40,Assumptions!$B83)*DA83*J83,"")</f>
        <v>0</v>
      </c>
      <c r="BG83" s="34">
        <f ca="1">IFERROR(SUMIFS('TRA balance'!H$5:H$40,'TRA balance'!$C$5:$C$40,Assumptions!$C83,'TRA balance'!$D$5:$D$40,Assumptions!$B83)*DB83*K83,"")</f>
        <v>0</v>
      </c>
      <c r="BH83" s="34">
        <f ca="1">IFERROR(SUMIFS('TRA balance'!I$5:I$40,'TRA balance'!$C$5:$C$40,Assumptions!$C83,'TRA balance'!$D$5:$D$40,Assumptions!$B83)*DC83*L83,"")</f>
        <v>0</v>
      </c>
      <c r="BI83" s="34">
        <f ca="1">IFERROR(SUMIFS('TRA balance'!J$5:J$40,'TRA balance'!$C$5:$C$40,Assumptions!$C83,'TRA balance'!$D$5:$D$40,Assumptions!$B83)*DD83*M83,"")</f>
        <v>0</v>
      </c>
      <c r="BJ83" s="34">
        <f ca="1">IFERROR(SUMIFS('TRA balance'!K$5:K$40,'TRA balance'!$C$5:$C$40,Assumptions!$C83,'TRA balance'!$D$5:$D$40,Assumptions!$B83)*DE83*N83,"")</f>
        <v>0</v>
      </c>
      <c r="BK83" s="34">
        <f ca="1">IFERROR(SUMIFS('TRA balance'!L$5:L$40,'TRA balance'!$C$5:$C$40,Assumptions!$C83,'TRA balance'!$D$5:$D$40,Assumptions!$B83)*DF83*O83,"")</f>
        <v>0</v>
      </c>
      <c r="BL83" s="34">
        <f ca="1">IFERROR(SUMIFS('TRA balance'!M$5:M$40,'TRA balance'!$C$5:$C$40,Assumptions!$C83,'TRA balance'!$D$5:$D$40,Assumptions!$B83)*DG83*P83,"")</f>
        <v>0</v>
      </c>
      <c r="BM83" s="34">
        <f ca="1">IFERROR(SUMIFS('TRA balance'!N$5:N$40,'TRA balance'!$C$5:$C$40,Assumptions!$C83,'TRA balance'!$D$5:$D$40,Assumptions!$B83)*DH83*Q83,"")</f>
        <v>0</v>
      </c>
      <c r="BN83" s="34">
        <f ca="1">IFERROR(SUMIFS('TRA balance'!O$5:O$40,'TRA balance'!$C$5:$C$40,Assumptions!$C83,'TRA balance'!$D$5:$D$40,Assumptions!$B83)*DI83*R83,"")</f>
        <v>0</v>
      </c>
      <c r="BO83" s="34">
        <f ca="1">IFERROR(SUMIFS('TRA balance'!P$5:P$40,'TRA balance'!$C$5:$C$40,Assumptions!$C83,'TRA balance'!$D$5:$D$40,Assumptions!$B83)*DJ83*S83,"")</f>
        <v>0</v>
      </c>
      <c r="BP83" s="34">
        <f ca="1">IFERROR(SUMIFS('TRA balance'!Q$5:Q$40,'TRA balance'!$C$5:$C$40,Assumptions!$C83,'TRA balance'!$D$5:$D$40,Assumptions!$B83)*DK83*T83,"")</f>
        <v>0</v>
      </c>
      <c r="BQ83" s="34">
        <f ca="1">IFERROR(SUMIFS('TRA balance'!R$5:R$40,'TRA balance'!$C$5:$C$40,Assumptions!$C83,'TRA balance'!$D$5:$D$40,Assumptions!$B83)*DL83*U83,"")</f>
        <v>0</v>
      </c>
      <c r="BR83" s="34">
        <f ca="1">IFERROR(SUMIFS('TRA balance'!S$5:S$40,'TRA balance'!$C$5:$C$40,Assumptions!$C83,'TRA balance'!$D$5:$D$40,Assumptions!$B83)*DM83*V83,"")</f>
        <v>0</v>
      </c>
      <c r="BS83" s="34">
        <f ca="1">IFERROR(SUMIFS('TRA balance'!T$5:T$40,'TRA balance'!$C$5:$C$40,Assumptions!$C83,'TRA balance'!$D$5:$D$40,Assumptions!$B83)*DN83*W83,"")</f>
        <v>0</v>
      </c>
      <c r="BT83" s="34">
        <f ca="1">IFERROR(SUMIFS('TRA balance'!U$5:U$40,'TRA balance'!$C$5:$C$40,Assumptions!$C83,'TRA balance'!$D$5:$D$40,Assumptions!$B83)*DO83*X83,"")</f>
        <v>0</v>
      </c>
      <c r="BU83" s="34">
        <f ca="1">IFERROR(SUMIFS('TRA balance'!V$5:V$40,'TRA balance'!$C$5:$C$40,Assumptions!$C83,'TRA balance'!$D$5:$D$40,Assumptions!$B83)*DP83*Y83,"")</f>
        <v>0</v>
      </c>
      <c r="BV83" s="34">
        <f ca="1">IFERROR(SUMIFS('TRA balance'!W$5:W$40,'TRA balance'!$C$5:$C$40,Assumptions!$C83,'TRA balance'!$D$5:$D$40,Assumptions!$B83)*DQ83*Z83,"")</f>
        <v>0</v>
      </c>
      <c r="BW83" s="34">
        <f ca="1">IFERROR(SUMIFS('TRA balance'!X$5:X$40,'TRA balance'!$C$5:$C$40,Assumptions!$C83,'TRA balance'!$D$5:$D$40,Assumptions!$B83)*DR83*AA83,"")</f>
        <v>0</v>
      </c>
      <c r="BX83" s="34">
        <f ca="1">IFERROR(SUMIFS('TRA balance'!Y$5:Y$40,'TRA balance'!$C$5:$C$40,Assumptions!$C83,'TRA balance'!$D$5:$D$40,Assumptions!$B83)*DS83*AB83,"")</f>
        <v>0</v>
      </c>
      <c r="BY83" s="34">
        <f ca="1">IFERROR(SUMIFS('TRA balance'!Z$5:Z$40,'TRA balance'!$C$5:$C$40,Assumptions!$C83,'TRA balance'!$D$5:$D$40,Assumptions!$B83)*DT83*AC83,"")</f>
        <v>0</v>
      </c>
      <c r="BZ83" s="34">
        <f ca="1">IFERROR(SUMIFS('TRA balance'!AA$5:AA$40,'TRA balance'!$C$5:$C$40,Assumptions!$C83,'TRA balance'!$D$5:$D$40,Assumptions!$B83)*DU83*AD83,"")</f>
        <v>0</v>
      </c>
      <c r="CA83" s="34">
        <f ca="1">IFERROR(SUMIFS('TRA balance'!AB$5:AB$40,'TRA balance'!$C$5:$C$40,Assumptions!$C83,'TRA balance'!$D$5:$D$40,Assumptions!$B83)*DV83*AE83,"")</f>
        <v>0</v>
      </c>
      <c r="CB83" s="34">
        <f ca="1">IFERROR(SUMIFS('TRA balance'!AC$5:AC$40,'TRA balance'!$C$5:$C$40,Assumptions!$C83,'TRA balance'!$D$5:$D$40,Assumptions!$B83)*DW83*AF83,"")</f>
        <v>0</v>
      </c>
      <c r="CC83" s="34">
        <f ca="1">IFERROR(SUMIFS('TRA balance'!AD$5:AD$40,'TRA balance'!$C$5:$C$40,Assumptions!$C83,'TRA balance'!$D$5:$D$40,Assumptions!$B83)*DX83*AG83,"")</f>
        <v>0</v>
      </c>
      <c r="CD83" s="34">
        <f ca="1">IFERROR(SUMIFS('TRA balance'!AE$5:AE$40,'TRA balance'!$C$5:$C$40,Assumptions!$C83,'TRA balance'!$D$5:$D$40,Assumptions!$B83)*DY83*AH83,"")</f>
        <v>0</v>
      </c>
      <c r="CE83" s="34">
        <f ca="1">IFERROR(SUMIFS('TRA balance'!AF$5:AF$40,'TRA balance'!$C$5:$C$40,Assumptions!$C83,'TRA balance'!$D$5:$D$40,Assumptions!$B83)*DZ83*AI83,"")</f>
        <v>0</v>
      </c>
      <c r="CF83" s="34">
        <f ca="1">IFERROR(SUMIFS('TRA balance'!AG$5:AG$40,'TRA balance'!$C$5:$C$40,Assumptions!$C83,'TRA balance'!$D$5:$D$40,Assumptions!$B83)*EA83*AJ83,"")</f>
        <v>0</v>
      </c>
      <c r="CG83" s="34">
        <f ca="1">IFERROR(SUMIFS('TRA balance'!AH$5:AH$40,'TRA balance'!$C$5:$C$40,Assumptions!$C83,'TRA balance'!$D$5:$D$40,Assumptions!$B83)*EB83*AK83,"")</f>
        <v>0</v>
      </c>
      <c r="CH83" s="34">
        <f ca="1">IFERROR(SUMIFS('TRA balance'!AI$5:AI$40,'TRA balance'!$C$5:$C$40,Assumptions!$C83,'TRA balance'!$D$5:$D$40,Assumptions!$B83)*EC83*AL83,"")</f>
        <v>0</v>
      </c>
      <c r="CI83" s="34">
        <f ca="1">IFERROR(SUMIFS('TRA balance'!AJ$5:AJ$40,'TRA balance'!$C$5:$C$40,Assumptions!$C83,'TRA balance'!$D$5:$D$40,Assumptions!$B83)*ED83*AM83,"")</f>
        <v>0</v>
      </c>
      <c r="CJ83" s="34">
        <f ca="1">IFERROR(SUMIFS('TRA balance'!AK$5:AK$40,'TRA balance'!$C$5:$C$40,Assumptions!$C83,'TRA balance'!$D$5:$D$40,Assumptions!$B83)*EE83*AN83,"")</f>
        <v>0</v>
      </c>
      <c r="CK83" s="34">
        <f ca="1">IFERROR(SUMIFS('TRA balance'!AL$5:AL$40,'TRA balance'!$C$5:$C$40,Assumptions!$C83,'TRA balance'!$D$5:$D$40,Assumptions!$B83)*EF83*AO83,"")</f>
        <v>0</v>
      </c>
      <c r="CL83" s="34">
        <f ca="1">IFERROR(SUMIFS('TRA balance'!AM$5:AM$40,'TRA balance'!$C$5:$C$40,Assumptions!$C83,'TRA balance'!$D$5:$D$40,Assumptions!$B83)*EG83*AP83,"")</f>
        <v>0</v>
      </c>
      <c r="CM83" s="34">
        <f ca="1">IFERROR(SUMIFS('TRA balance'!AN$5:AN$40,'TRA balance'!$C$5:$C$40,Assumptions!$C83,'TRA balance'!$D$5:$D$40,Assumptions!$B83)*EH83*AQ83,"")</f>
        <v>0</v>
      </c>
      <c r="CN83" s="34">
        <f ca="1">IFERROR(SUMIFS('TRA balance'!AO$5:AO$40,'TRA balance'!$C$5:$C$40,Assumptions!$C83,'TRA balance'!$D$5:$D$40,Assumptions!$B83)*EI83*AR83,"")</f>
        <v>0</v>
      </c>
      <c r="CO83" s="34">
        <f ca="1">IFERROR(SUMIFS('TRA balance'!AP$5:AP$40,'TRA balance'!$C$5:$C$40,Assumptions!$C83,'TRA balance'!$D$5:$D$40,Assumptions!$B83)*EJ83*AS83,"")</f>
        <v>0</v>
      </c>
      <c r="CP83" s="34">
        <f ca="1">IFERROR(SUMIFS('TRA balance'!AQ$5:AQ$40,'TRA balance'!$C$5:$C$40,Assumptions!$C83,'TRA balance'!$D$5:$D$40,Assumptions!$B83)*EK83*AT83,"")</f>
        <v>0</v>
      </c>
      <c r="CQ83" s="34">
        <f ca="1">IFERROR(SUMIFS('TRA balance'!AR$5:AR$40,'TRA balance'!$C$5:$C$40,Assumptions!$C83,'TRA balance'!$D$5:$D$40,Assumptions!$B83)*EL83*AU83,"")</f>
        <v>0</v>
      </c>
      <c r="CR83" s="34">
        <f ca="1">IFERROR(SUMIFS('TRA balance'!AS$5:AS$40,'TRA balance'!$C$5:$C$40,Assumptions!$C83,'TRA balance'!$D$5:$D$40,Assumptions!$B83)*EM83*AV83,"")</f>
        <v>0</v>
      </c>
      <c r="CS83" s="34">
        <f ca="1">IFERROR(SUMIFS('TRA balance'!AT$5:AT$40,'TRA balance'!$C$5:$C$40,Assumptions!$C83,'TRA balance'!$D$5:$D$40,Assumptions!$B83)*EN83*AW83,"")</f>
        <v>0</v>
      </c>
      <c r="CT83" s="34">
        <f ca="1">IFERROR(SUMIFS('TRA balance'!AU$5:AU$40,'TRA balance'!$C$5:$C$40,Assumptions!$C83,'TRA balance'!$D$5:$D$40,Assumptions!$B83)*EO83*AX83,"")</f>
        <v>0</v>
      </c>
      <c r="CU83" s="34">
        <f ca="1">IFERROR(SUMIFS('TRA balance'!AV$5:AV$40,'TRA balance'!$C$5:$C$40,Assumptions!$C83,'TRA balance'!$D$5:$D$40,Assumptions!$B83)*EP83*AY83,"")</f>
        <v>0</v>
      </c>
      <c r="CV83" s="34">
        <f ca="1">IFERROR(SUMIFS('TRA balance'!AW$5:AW$40,'TRA balance'!$C$5:$C$40,Assumptions!$C83,'TRA balance'!$D$5:$D$40,Assumptions!$B83)*EQ83*AZ83,"")</f>
        <v>0</v>
      </c>
      <c r="CW83" s="34">
        <f ca="1">IFERROR(SUMIFS('TRA balance'!AX$5:AX$40,'TRA balance'!$C$5:$C$40,Assumptions!$C83,'TRA balance'!$D$5:$D$40,Assumptions!$B83)*ER83*BA83,"")</f>
        <v>0</v>
      </c>
      <c r="CY83" s="33">
        <f t="shared" si="86"/>
        <v>1</v>
      </c>
      <c r="CZ83" s="33">
        <f t="shared" si="87"/>
        <v>1</v>
      </c>
      <c r="DA83" s="33">
        <f t="shared" si="88"/>
        <v>1</v>
      </c>
      <c r="DB83" s="33">
        <f t="shared" si="89"/>
        <v>1</v>
      </c>
      <c r="DC83" s="33">
        <f t="shared" si="90"/>
        <v>1</v>
      </c>
      <c r="DD83" s="33">
        <f t="shared" si="91"/>
        <v>1</v>
      </c>
      <c r="DE83" s="33">
        <f t="shared" si="92"/>
        <v>1</v>
      </c>
      <c r="DF83" s="33">
        <f t="shared" si="93"/>
        <v>1</v>
      </c>
      <c r="DG83" s="33">
        <f t="shared" si="94"/>
        <v>1</v>
      </c>
      <c r="DH83" s="33">
        <f t="shared" si="95"/>
        <v>1</v>
      </c>
      <c r="DI83" s="33">
        <f t="shared" si="96"/>
        <v>1</v>
      </c>
      <c r="DJ83" s="33">
        <f t="shared" si="97"/>
        <v>1</v>
      </c>
      <c r="DK83" s="33">
        <f t="shared" si="98"/>
        <v>1</v>
      </c>
      <c r="DL83" s="33">
        <f t="shared" si="99"/>
        <v>1</v>
      </c>
      <c r="DM83" s="33">
        <f t="shared" si="100"/>
        <v>1</v>
      </c>
      <c r="DN83" s="33">
        <f t="shared" si="101"/>
        <v>1</v>
      </c>
      <c r="DO83" s="33">
        <f t="shared" si="102"/>
        <v>1</v>
      </c>
      <c r="DP83" s="33">
        <f t="shared" si="103"/>
        <v>1</v>
      </c>
      <c r="DQ83" s="33">
        <f t="shared" si="104"/>
        <v>1</v>
      </c>
      <c r="DR83" s="33">
        <f t="shared" si="105"/>
        <v>1</v>
      </c>
      <c r="DS83" s="33">
        <f t="shared" si="106"/>
        <v>1</v>
      </c>
      <c r="DT83" s="33">
        <f t="shared" si="107"/>
        <v>1</v>
      </c>
      <c r="DU83" s="33">
        <f t="shared" si="108"/>
        <v>1</v>
      </c>
      <c r="DV83" s="33">
        <f t="shared" si="109"/>
        <v>1</v>
      </c>
      <c r="DW83" s="33">
        <f t="shared" si="110"/>
        <v>1</v>
      </c>
      <c r="DX83" s="33">
        <f t="shared" si="111"/>
        <v>1</v>
      </c>
      <c r="DY83" s="33">
        <f t="shared" si="112"/>
        <v>1</v>
      </c>
      <c r="DZ83" s="33">
        <f t="shared" si="113"/>
        <v>1</v>
      </c>
      <c r="EA83" s="33">
        <f t="shared" si="114"/>
        <v>1</v>
      </c>
      <c r="EB83" s="33">
        <f t="shared" si="115"/>
        <v>1</v>
      </c>
      <c r="EC83" s="33">
        <f t="shared" si="116"/>
        <v>1</v>
      </c>
      <c r="ED83" s="33">
        <f t="shared" si="117"/>
        <v>1</v>
      </c>
      <c r="EE83" s="33">
        <f t="shared" si="118"/>
        <v>1</v>
      </c>
      <c r="EF83" s="33">
        <f t="shared" si="119"/>
        <v>1</v>
      </c>
      <c r="EG83" s="33">
        <f t="shared" si="120"/>
        <v>1</v>
      </c>
      <c r="EH83" s="33">
        <f t="shared" si="121"/>
        <v>1</v>
      </c>
      <c r="EI83" s="33">
        <f t="shared" si="122"/>
        <v>1</v>
      </c>
      <c r="EJ83" s="33">
        <f t="shared" si="123"/>
        <v>1</v>
      </c>
      <c r="EK83" s="33">
        <f t="shared" si="124"/>
        <v>1</v>
      </c>
      <c r="EL83" s="33">
        <f t="shared" si="125"/>
        <v>1</v>
      </c>
      <c r="EM83" s="33">
        <f t="shared" si="126"/>
        <v>1</v>
      </c>
      <c r="EN83" s="33">
        <f t="shared" si="127"/>
        <v>1</v>
      </c>
      <c r="EO83" s="33">
        <f t="shared" si="128"/>
        <v>1</v>
      </c>
      <c r="EP83" s="33">
        <f t="shared" si="129"/>
        <v>1</v>
      </c>
      <c r="EQ83" s="33">
        <f t="shared" si="130"/>
        <v>1</v>
      </c>
      <c r="ER83" s="33">
        <f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6" t="str">
        <f t="shared" si="133"/>
        <v>TR</v>
      </c>
      <c r="D84" s="7" t="s">
        <v>16</v>
      </c>
      <c r="E84" s="18" t="s">
        <v>71</v>
      </c>
      <c r="F84" s="8" t="str">
        <f>F83</f>
        <v>Bio Gasoline</v>
      </c>
      <c r="G84" s="6" t="s">
        <v>72</v>
      </c>
      <c r="H84" s="9">
        <f ca="1">OFFSET(TIAM15_assumptions!$G84,0,MATCH(VLOOKUP(Assumptions!H$2,TIAM15_assumptions!$Y$3:$Z$87,2,FALSE),TIAM15_assumptions!$H$2:$V$2,0))</f>
        <v>0</v>
      </c>
      <c r="I84" s="9">
        <f ca="1">OFFSET(TIAM15_assumptions!$G84,0,MATCH(VLOOKUP(Assumptions!I$2,TIAM15_assumptions!$Y$3:$Z$87,2,FALSE),TIAM15_assumptions!$H$2:$V$2,0))</f>
        <v>0</v>
      </c>
      <c r="J84" s="9">
        <f ca="1">OFFSET(TIAM15_assumptions!$G84,0,MATCH(VLOOKUP(Assumptions!J$2,TIAM15_assumptions!$Y$3:$Z$87,2,FALSE),TIAM15_assumptions!$H$2:$V$2,0))</f>
        <v>0</v>
      </c>
      <c r="K84" s="9">
        <f ca="1">OFFSET(TIAM15_assumptions!$G84,0,MATCH(VLOOKUP(Assumptions!K$2,TIAM15_assumptions!$Y$3:$Z$87,2,FALSE),TIAM15_assumptions!$H$2:$V$2,0))</f>
        <v>0</v>
      </c>
      <c r="L84" s="9">
        <f ca="1">OFFSET(TIAM15_assumptions!$G84,0,MATCH(VLOOKUP(Assumptions!L$2,TIAM15_assumptions!$Y$3:$Z$87,2,FALSE),TIAM15_assumptions!$H$2:$V$2,0))</f>
        <v>0</v>
      </c>
      <c r="M84" s="9">
        <f ca="1">OFFSET(TIAM15_assumptions!$G84,0,MATCH(VLOOKUP(Assumptions!M$2,TIAM15_assumptions!$Y$3:$Z$87,2,FALSE),TIAM15_assumptions!$H$2:$V$2,0))</f>
        <v>0</v>
      </c>
      <c r="N84" s="9">
        <f ca="1">OFFSET(TIAM15_assumptions!$G84,0,MATCH(VLOOKUP(Assumptions!N$2,TIAM15_assumptions!$Y$3:$Z$87,2,FALSE),TIAM15_assumptions!$H$2:$V$2,0))</f>
        <v>0</v>
      </c>
      <c r="O84" s="9">
        <f ca="1">OFFSET(TIAM15_assumptions!$G84,0,MATCH(VLOOKUP(Assumptions!O$2,TIAM15_assumptions!$Y$3:$Z$87,2,FALSE),TIAM15_assumptions!$H$2:$V$2,0))</f>
        <v>0</v>
      </c>
      <c r="P84" s="9">
        <f ca="1">OFFSET(TIAM15_assumptions!$G84,0,MATCH(VLOOKUP(Assumptions!P$2,TIAM15_assumptions!$Y$3:$Z$87,2,FALSE),TIAM15_assumptions!$H$2:$V$2,0))</f>
        <v>0</v>
      </c>
      <c r="Q84" s="9">
        <f ca="1">OFFSET(TIAM15_assumptions!$G84,0,MATCH(VLOOKUP(Assumptions!Q$2,TIAM15_assumptions!$Y$3:$Z$87,2,FALSE),TIAM15_assumptions!$H$2:$V$2,0))</f>
        <v>0</v>
      </c>
      <c r="R84" s="9">
        <f ca="1">OFFSET(TIAM15_assumptions!$G84,0,MATCH(VLOOKUP(Assumptions!R$2,TIAM15_assumptions!$Y$3:$Z$87,2,FALSE),TIAM15_assumptions!$H$2:$V$2,0))</f>
        <v>0</v>
      </c>
      <c r="S84" s="9">
        <f ca="1">OFFSET(TIAM15_assumptions!$G84,0,MATCH(VLOOKUP(Assumptions!S$2,TIAM15_assumptions!$Y$3:$Z$87,2,FALSE),TIAM15_assumptions!$H$2:$V$2,0))</f>
        <v>0</v>
      </c>
      <c r="T84" s="9">
        <f ca="1">OFFSET(TIAM15_assumptions!$G84,0,MATCH(VLOOKUP(Assumptions!T$2,TIAM15_assumptions!$Y$3:$Z$87,2,FALSE),TIAM15_assumptions!$H$2:$V$2,0))</f>
        <v>0</v>
      </c>
      <c r="U84" s="9">
        <f ca="1">OFFSET(TIAM15_assumptions!$G84,0,MATCH(VLOOKUP(Assumptions!U$2,TIAM15_assumptions!$Y$3:$Z$87,2,FALSE),TIAM15_assumptions!$H$2:$V$2,0))</f>
        <v>0</v>
      </c>
      <c r="V84" s="9">
        <f ca="1">OFFSET(TIAM15_assumptions!$G84,0,MATCH(VLOOKUP(Assumptions!V$2,TIAM15_assumptions!$Y$3:$Z$87,2,FALSE),TIAM15_assumptions!$H$2:$V$2,0))</f>
        <v>0</v>
      </c>
      <c r="W84" s="9">
        <f ca="1">OFFSET(TIAM15_assumptions!$G84,0,MATCH(VLOOKUP(Assumptions!W$2,TIAM15_assumptions!$Y$3:$Z$87,2,FALSE),TIAM15_assumptions!$H$2:$V$2,0))</f>
        <v>0</v>
      </c>
      <c r="X84" s="9">
        <f ca="1">OFFSET(TIAM15_assumptions!$G84,0,MATCH(VLOOKUP(Assumptions!X$2,TIAM15_assumptions!$Y$3:$Z$87,2,FALSE),TIAM15_assumptions!$H$2:$V$2,0))</f>
        <v>0</v>
      </c>
      <c r="Y84" s="9">
        <f ca="1">OFFSET(TIAM15_assumptions!$G84,0,MATCH(VLOOKUP(Assumptions!Y$2,TIAM15_assumptions!$Y$3:$Z$87,2,FALSE),TIAM15_assumptions!$H$2:$V$2,0))</f>
        <v>0</v>
      </c>
      <c r="Z84" s="9">
        <f ca="1">OFFSET(TIAM15_assumptions!$G84,0,MATCH(VLOOKUP(Assumptions!Z$2,TIAM15_assumptions!$Y$3:$Z$87,2,FALSE),TIAM15_assumptions!$H$2:$V$2,0))</f>
        <v>0</v>
      </c>
      <c r="AA84" s="9">
        <f ca="1">OFFSET(TIAM15_assumptions!$G84,0,MATCH(VLOOKUP(Assumptions!AA$2,TIAM15_assumptions!$Y$3:$Z$87,2,FALSE),TIAM15_assumptions!$H$2:$V$2,0))</f>
        <v>0</v>
      </c>
      <c r="AB84" s="9">
        <f ca="1">OFFSET(TIAM15_assumptions!$G84,0,MATCH(VLOOKUP(Assumptions!AB$2,TIAM15_assumptions!$Y$3:$Z$87,2,FALSE),TIAM15_assumptions!$H$2:$V$2,0))</f>
        <v>0</v>
      </c>
      <c r="AC84" s="9">
        <f ca="1">OFFSET(TIAM15_assumptions!$G84,0,MATCH(VLOOKUP(Assumptions!AC$2,TIAM15_assumptions!$Y$3:$Z$87,2,FALSE),TIAM15_assumptions!$H$2:$V$2,0))</f>
        <v>0</v>
      </c>
      <c r="AD84" s="9">
        <f ca="1">OFFSET(TIAM15_assumptions!$G84,0,MATCH(VLOOKUP(Assumptions!AD$2,TIAM15_assumptions!$Y$3:$Z$87,2,FALSE),TIAM15_assumptions!$H$2:$V$2,0))</f>
        <v>0</v>
      </c>
      <c r="AE84" s="9">
        <f ca="1">OFFSET(TIAM15_assumptions!$G84,0,MATCH(VLOOKUP(Assumptions!AE$2,TIAM15_assumptions!$Y$3:$Z$87,2,FALSE),TIAM15_assumptions!$H$2:$V$2,0))</f>
        <v>0</v>
      </c>
      <c r="AF84" s="9">
        <f ca="1">OFFSET(TIAM15_assumptions!$G84,0,MATCH(VLOOKUP(Assumptions!AF$2,TIAM15_assumptions!$Y$3:$Z$87,2,FALSE),TIAM15_assumptions!$H$2:$V$2,0))</f>
        <v>0</v>
      </c>
      <c r="AG84" s="9">
        <f ca="1">OFFSET(TIAM15_assumptions!$G84,0,MATCH(VLOOKUP(Assumptions!AG$2,TIAM15_assumptions!$Y$3:$Z$87,2,FALSE),TIAM15_assumptions!$H$2:$V$2,0))</f>
        <v>0</v>
      </c>
      <c r="AH84" s="9">
        <f ca="1">OFFSET(TIAM15_assumptions!$G84,0,MATCH(VLOOKUP(Assumptions!AH$2,TIAM15_assumptions!$Y$3:$Z$87,2,FALSE),TIAM15_assumptions!$H$2:$V$2,0))</f>
        <v>0</v>
      </c>
      <c r="AI84" s="9">
        <f ca="1">OFFSET(TIAM15_assumptions!$G84,0,MATCH(VLOOKUP(Assumptions!AI$2,TIAM15_assumptions!$Y$3:$Z$87,2,FALSE),TIAM15_assumptions!$H$2:$V$2,0))</f>
        <v>0</v>
      </c>
      <c r="AJ84" s="9">
        <f ca="1">OFFSET(TIAM15_assumptions!$G84,0,MATCH(VLOOKUP(Assumptions!AJ$2,TIAM15_assumptions!$Y$3:$Z$87,2,FALSE),TIAM15_assumptions!$H$2:$V$2,0))</f>
        <v>0</v>
      </c>
      <c r="AK84" s="9">
        <f ca="1">OFFSET(TIAM15_assumptions!$G84,0,MATCH(VLOOKUP(Assumptions!AK$2,TIAM15_assumptions!$Y$3:$Z$87,2,FALSE),TIAM15_assumptions!$H$2:$V$2,0))</f>
        <v>0</v>
      </c>
      <c r="AL84" s="9">
        <f ca="1">OFFSET(TIAM15_assumptions!$G84,0,MATCH(VLOOKUP(Assumptions!AL$2,TIAM15_assumptions!$Y$3:$Z$87,2,FALSE),TIAM15_assumptions!$H$2:$V$2,0))</f>
        <v>0</v>
      </c>
      <c r="AM84" s="9">
        <f ca="1">OFFSET(TIAM15_assumptions!$G84,0,MATCH(VLOOKUP(Assumptions!AM$2,TIAM15_assumptions!$Y$3:$Z$87,2,FALSE),TIAM15_assumptions!$H$2:$V$2,0))</f>
        <v>0</v>
      </c>
      <c r="AN84" s="9">
        <f ca="1">OFFSET(TIAM15_assumptions!$G84,0,MATCH(VLOOKUP(Assumptions!AN$2,TIAM15_assumptions!$Y$3:$Z$87,2,FALSE),TIAM15_assumptions!$H$2:$V$2,0))</f>
        <v>0</v>
      </c>
      <c r="AO84" s="9">
        <f ca="1">OFFSET(TIAM15_assumptions!$G84,0,MATCH(VLOOKUP(Assumptions!AO$2,TIAM15_assumptions!$Y$3:$Z$87,2,FALSE),TIAM15_assumptions!$H$2:$V$2,0))</f>
        <v>0</v>
      </c>
      <c r="AP84" s="9">
        <f ca="1">OFFSET(TIAM15_assumptions!$G84,0,MATCH(VLOOKUP(Assumptions!AP$2,TIAM15_assumptions!$Y$3:$Z$87,2,FALSE),TIAM15_assumptions!$H$2:$V$2,0))</f>
        <v>0</v>
      </c>
      <c r="AQ84" s="9">
        <f ca="1">OFFSET(TIAM15_assumptions!$G84,0,MATCH(VLOOKUP(Assumptions!AQ$2,TIAM15_assumptions!$Y$3:$Z$87,2,FALSE),TIAM15_assumptions!$H$2:$V$2,0))</f>
        <v>0</v>
      </c>
      <c r="AR84" s="9">
        <f ca="1">OFFSET(TIAM15_assumptions!$G84,0,MATCH(VLOOKUP(Assumptions!AR$2,TIAM15_assumptions!$Y$3:$Z$87,2,FALSE),TIAM15_assumptions!$H$2:$V$2,0))</f>
        <v>0</v>
      </c>
      <c r="AS84" s="9">
        <f ca="1">OFFSET(TIAM15_assumptions!$G84,0,MATCH(VLOOKUP(Assumptions!AS$2,TIAM15_assumptions!$Y$3:$Z$87,2,FALSE),TIAM15_assumptions!$H$2:$V$2,0))</f>
        <v>0</v>
      </c>
      <c r="AT84" s="9">
        <f ca="1">OFFSET(TIAM15_assumptions!$G84,0,MATCH(VLOOKUP(Assumptions!AT$2,TIAM15_assumptions!$Y$3:$Z$87,2,FALSE),TIAM15_assumptions!$H$2:$V$2,0))</f>
        <v>0</v>
      </c>
      <c r="AU84" s="9">
        <f ca="1">OFFSET(TIAM15_assumptions!$G84,0,MATCH(VLOOKUP(Assumptions!AU$2,TIAM15_assumptions!$Y$3:$Z$87,2,FALSE),TIAM15_assumptions!$H$2:$V$2,0))</f>
        <v>0</v>
      </c>
      <c r="AV84" s="9">
        <f ca="1">OFFSET(TIAM15_assumptions!$G84,0,MATCH(VLOOKUP(Assumptions!AV$2,TIAM15_assumptions!$Y$3:$Z$87,2,FALSE),TIAM15_assumptions!$H$2:$V$2,0))</f>
        <v>0</v>
      </c>
      <c r="AW84" s="9">
        <f ca="1">OFFSET(TIAM15_assumptions!$G84,0,MATCH(VLOOKUP(Assumptions!AW$2,TIAM15_assumptions!$Y$3:$Z$87,2,FALSE),TIAM15_assumptions!$H$2:$V$2,0))</f>
        <v>0</v>
      </c>
      <c r="AX84" s="9">
        <f ca="1">OFFSET(TIAM15_assumptions!$G84,0,MATCH(VLOOKUP(Assumptions!AX$2,TIAM15_assumptions!$Y$3:$Z$87,2,FALSE),TIAM15_assumptions!$H$2:$V$2,0))</f>
        <v>0</v>
      </c>
      <c r="AY84" s="9">
        <f ca="1">OFFSET(TIAM15_assumptions!$G84,0,MATCH(VLOOKUP(Assumptions!AY$2,TIAM15_assumptions!$Y$3:$Z$87,2,FALSE),TIAM15_assumptions!$H$2:$V$2,0))</f>
        <v>0</v>
      </c>
      <c r="AZ84" s="9">
        <f ca="1">OFFSET(TIAM15_assumptions!$G84,0,MATCH(VLOOKUP(Assumptions!AZ$2,TIAM15_assumptions!$Y$3:$Z$87,2,FALSE),TIAM15_assumptions!$H$2:$V$2,0))</f>
        <v>0</v>
      </c>
      <c r="BA84" s="9">
        <f ca="1">OFFSET(TIAM15_assumptions!$G84,0,MATCH(VLOOKUP(Assumptions!BA$2,TIAM15_assumptions!$Y$3:$Z$87,2,FALSE),TIAM15_assumptions!$H$2:$V$2,0))</f>
        <v>0</v>
      </c>
      <c r="BD84" s="34">
        <f ca="1">IFERROR(SUMIFS('TRA balance'!E$5:E$40,'TRA balance'!$C$5:$C$40,Assumptions!$C84,'TRA balance'!$D$5:$D$40,Assumptions!$B84)*CY84*H84,"")</f>
        <v>0</v>
      </c>
      <c r="BE84" s="34">
        <f ca="1">IFERROR(SUMIFS('TRA balance'!F$5:F$40,'TRA balance'!$C$5:$C$40,Assumptions!$C84,'TRA balance'!$D$5:$D$40,Assumptions!$B84)*CZ84*I84,"")</f>
        <v>0</v>
      </c>
      <c r="BF84" s="34">
        <f ca="1">IFERROR(SUMIFS('TRA balance'!G$5:G$40,'TRA balance'!$C$5:$C$40,Assumptions!$C84,'TRA balance'!$D$5:$D$40,Assumptions!$B84)*DA84*J84,"")</f>
        <v>0</v>
      </c>
      <c r="BG84" s="34">
        <f ca="1">IFERROR(SUMIFS('TRA balance'!H$5:H$40,'TRA balance'!$C$5:$C$40,Assumptions!$C84,'TRA balance'!$D$5:$D$40,Assumptions!$B84)*DB84*K84,"")</f>
        <v>0</v>
      </c>
      <c r="BH84" s="34">
        <f ca="1">IFERROR(SUMIFS('TRA balance'!I$5:I$40,'TRA balance'!$C$5:$C$40,Assumptions!$C84,'TRA balance'!$D$5:$D$40,Assumptions!$B84)*DC84*L84,"")</f>
        <v>0</v>
      </c>
      <c r="BI84" s="34">
        <f ca="1">IFERROR(SUMIFS('TRA balance'!J$5:J$40,'TRA balance'!$C$5:$C$40,Assumptions!$C84,'TRA balance'!$D$5:$D$40,Assumptions!$B84)*DD84*M84,"")</f>
        <v>0</v>
      </c>
      <c r="BJ84" s="34">
        <f ca="1">IFERROR(SUMIFS('TRA balance'!K$5:K$40,'TRA balance'!$C$5:$C$40,Assumptions!$C84,'TRA balance'!$D$5:$D$40,Assumptions!$B84)*DE84*N84,"")</f>
        <v>0</v>
      </c>
      <c r="BK84" s="34">
        <f ca="1">IFERROR(SUMIFS('TRA balance'!L$5:L$40,'TRA balance'!$C$5:$C$40,Assumptions!$C84,'TRA balance'!$D$5:$D$40,Assumptions!$B84)*DF84*O84,"")</f>
        <v>0</v>
      </c>
      <c r="BL84" s="34">
        <f ca="1">IFERROR(SUMIFS('TRA balance'!M$5:M$40,'TRA balance'!$C$5:$C$40,Assumptions!$C84,'TRA balance'!$D$5:$D$40,Assumptions!$B84)*DG84*P84,"")</f>
        <v>0</v>
      </c>
      <c r="BM84" s="34">
        <f ca="1">IFERROR(SUMIFS('TRA balance'!N$5:N$40,'TRA balance'!$C$5:$C$40,Assumptions!$C84,'TRA balance'!$D$5:$D$40,Assumptions!$B84)*DH84*Q84,"")</f>
        <v>0</v>
      </c>
      <c r="BN84" s="34">
        <f ca="1">IFERROR(SUMIFS('TRA balance'!O$5:O$40,'TRA balance'!$C$5:$C$40,Assumptions!$C84,'TRA balance'!$D$5:$D$40,Assumptions!$B84)*DI84*R84,"")</f>
        <v>0</v>
      </c>
      <c r="BO84" s="34">
        <f ca="1">IFERROR(SUMIFS('TRA balance'!P$5:P$40,'TRA balance'!$C$5:$C$40,Assumptions!$C84,'TRA balance'!$D$5:$D$40,Assumptions!$B84)*DJ84*S84,"")</f>
        <v>0</v>
      </c>
      <c r="BP84" s="34">
        <f ca="1">IFERROR(SUMIFS('TRA balance'!Q$5:Q$40,'TRA balance'!$C$5:$C$40,Assumptions!$C84,'TRA balance'!$D$5:$D$40,Assumptions!$B84)*DK84*T84,"")</f>
        <v>0</v>
      </c>
      <c r="BQ84" s="34">
        <f ca="1">IFERROR(SUMIFS('TRA balance'!R$5:R$40,'TRA balance'!$C$5:$C$40,Assumptions!$C84,'TRA balance'!$D$5:$D$40,Assumptions!$B84)*DL84*U84,"")</f>
        <v>0</v>
      </c>
      <c r="BR84" s="34">
        <f ca="1">IFERROR(SUMIFS('TRA balance'!S$5:S$40,'TRA balance'!$C$5:$C$40,Assumptions!$C84,'TRA balance'!$D$5:$D$40,Assumptions!$B84)*DM84*V84,"")</f>
        <v>0</v>
      </c>
      <c r="BS84" s="34">
        <f ca="1">IFERROR(SUMIFS('TRA balance'!T$5:T$40,'TRA balance'!$C$5:$C$40,Assumptions!$C84,'TRA balance'!$D$5:$D$40,Assumptions!$B84)*DN84*W84,"")</f>
        <v>0</v>
      </c>
      <c r="BT84" s="34">
        <f ca="1">IFERROR(SUMIFS('TRA balance'!U$5:U$40,'TRA balance'!$C$5:$C$40,Assumptions!$C84,'TRA balance'!$D$5:$D$40,Assumptions!$B84)*DO84*X84,"")</f>
        <v>0</v>
      </c>
      <c r="BU84" s="34">
        <f ca="1">IFERROR(SUMIFS('TRA balance'!V$5:V$40,'TRA balance'!$C$5:$C$40,Assumptions!$C84,'TRA balance'!$D$5:$D$40,Assumptions!$B84)*DP84*Y84,"")</f>
        <v>0</v>
      </c>
      <c r="BV84" s="34">
        <f ca="1">IFERROR(SUMIFS('TRA balance'!W$5:W$40,'TRA balance'!$C$5:$C$40,Assumptions!$C84,'TRA balance'!$D$5:$D$40,Assumptions!$B84)*DQ84*Z84,"")</f>
        <v>0</v>
      </c>
      <c r="BW84" s="34">
        <f ca="1">IFERROR(SUMIFS('TRA balance'!X$5:X$40,'TRA balance'!$C$5:$C$40,Assumptions!$C84,'TRA balance'!$D$5:$D$40,Assumptions!$B84)*DR84*AA84,"")</f>
        <v>0</v>
      </c>
      <c r="BX84" s="34">
        <f ca="1">IFERROR(SUMIFS('TRA balance'!Y$5:Y$40,'TRA balance'!$C$5:$C$40,Assumptions!$C84,'TRA balance'!$D$5:$D$40,Assumptions!$B84)*DS84*AB84,"")</f>
        <v>0</v>
      </c>
      <c r="BY84" s="34">
        <f ca="1">IFERROR(SUMIFS('TRA balance'!Z$5:Z$40,'TRA balance'!$C$5:$C$40,Assumptions!$C84,'TRA balance'!$D$5:$D$40,Assumptions!$B84)*DT84*AC84,"")</f>
        <v>0</v>
      </c>
      <c r="BZ84" s="34">
        <f ca="1">IFERROR(SUMIFS('TRA balance'!AA$5:AA$40,'TRA balance'!$C$5:$C$40,Assumptions!$C84,'TRA balance'!$D$5:$D$40,Assumptions!$B84)*DU84*AD84,"")</f>
        <v>0</v>
      </c>
      <c r="CA84" s="34">
        <f ca="1">IFERROR(SUMIFS('TRA balance'!AB$5:AB$40,'TRA balance'!$C$5:$C$40,Assumptions!$C84,'TRA balance'!$D$5:$D$40,Assumptions!$B84)*DV84*AE84,"")</f>
        <v>0</v>
      </c>
      <c r="CB84" s="34">
        <f ca="1">IFERROR(SUMIFS('TRA balance'!AC$5:AC$40,'TRA balance'!$C$5:$C$40,Assumptions!$C84,'TRA balance'!$D$5:$D$40,Assumptions!$B84)*DW84*AF84,"")</f>
        <v>0</v>
      </c>
      <c r="CC84" s="34">
        <f ca="1">IFERROR(SUMIFS('TRA balance'!AD$5:AD$40,'TRA balance'!$C$5:$C$40,Assumptions!$C84,'TRA balance'!$D$5:$D$40,Assumptions!$B84)*DX84*AG84,"")</f>
        <v>0</v>
      </c>
      <c r="CD84" s="34">
        <f ca="1">IFERROR(SUMIFS('TRA balance'!AE$5:AE$40,'TRA balance'!$C$5:$C$40,Assumptions!$C84,'TRA balance'!$D$5:$D$40,Assumptions!$B84)*DY84*AH84,"")</f>
        <v>0</v>
      </c>
      <c r="CE84" s="34">
        <f ca="1">IFERROR(SUMIFS('TRA balance'!AF$5:AF$40,'TRA balance'!$C$5:$C$40,Assumptions!$C84,'TRA balance'!$D$5:$D$40,Assumptions!$B84)*DZ84*AI84,"")</f>
        <v>0</v>
      </c>
      <c r="CF84" s="34">
        <f ca="1">IFERROR(SUMIFS('TRA balance'!AG$5:AG$40,'TRA balance'!$C$5:$C$40,Assumptions!$C84,'TRA balance'!$D$5:$D$40,Assumptions!$B84)*EA84*AJ84,"")</f>
        <v>0</v>
      </c>
      <c r="CG84" s="34">
        <f ca="1">IFERROR(SUMIFS('TRA balance'!AH$5:AH$40,'TRA balance'!$C$5:$C$40,Assumptions!$C84,'TRA balance'!$D$5:$D$40,Assumptions!$B84)*EB84*AK84,"")</f>
        <v>0</v>
      </c>
      <c r="CH84" s="34">
        <f ca="1">IFERROR(SUMIFS('TRA balance'!AI$5:AI$40,'TRA balance'!$C$5:$C$40,Assumptions!$C84,'TRA balance'!$D$5:$D$40,Assumptions!$B84)*EC84*AL84,"")</f>
        <v>0</v>
      </c>
      <c r="CI84" s="34">
        <f ca="1">IFERROR(SUMIFS('TRA balance'!AJ$5:AJ$40,'TRA balance'!$C$5:$C$40,Assumptions!$C84,'TRA balance'!$D$5:$D$40,Assumptions!$B84)*ED84*AM84,"")</f>
        <v>0</v>
      </c>
      <c r="CJ84" s="34">
        <f ca="1">IFERROR(SUMIFS('TRA balance'!AK$5:AK$40,'TRA balance'!$C$5:$C$40,Assumptions!$C84,'TRA balance'!$D$5:$D$40,Assumptions!$B84)*EE84*AN84,"")</f>
        <v>0</v>
      </c>
      <c r="CK84" s="34">
        <f ca="1">IFERROR(SUMIFS('TRA balance'!AL$5:AL$40,'TRA balance'!$C$5:$C$40,Assumptions!$C84,'TRA balance'!$D$5:$D$40,Assumptions!$B84)*EF84*AO84,"")</f>
        <v>0</v>
      </c>
      <c r="CL84" s="34">
        <f ca="1">IFERROR(SUMIFS('TRA balance'!AM$5:AM$40,'TRA balance'!$C$5:$C$40,Assumptions!$C84,'TRA balance'!$D$5:$D$40,Assumptions!$B84)*EG84*AP84,"")</f>
        <v>0</v>
      </c>
      <c r="CM84" s="34">
        <f ca="1">IFERROR(SUMIFS('TRA balance'!AN$5:AN$40,'TRA balance'!$C$5:$C$40,Assumptions!$C84,'TRA balance'!$D$5:$D$40,Assumptions!$B84)*EH84*AQ84,"")</f>
        <v>0</v>
      </c>
      <c r="CN84" s="34">
        <f ca="1">IFERROR(SUMIFS('TRA balance'!AO$5:AO$40,'TRA balance'!$C$5:$C$40,Assumptions!$C84,'TRA balance'!$D$5:$D$40,Assumptions!$B84)*EI84*AR84,"")</f>
        <v>0</v>
      </c>
      <c r="CO84" s="34">
        <f ca="1">IFERROR(SUMIFS('TRA balance'!AP$5:AP$40,'TRA balance'!$C$5:$C$40,Assumptions!$C84,'TRA balance'!$D$5:$D$40,Assumptions!$B84)*EJ84*AS84,"")</f>
        <v>0</v>
      </c>
      <c r="CP84" s="34">
        <f ca="1">IFERROR(SUMIFS('TRA balance'!AQ$5:AQ$40,'TRA balance'!$C$5:$C$40,Assumptions!$C84,'TRA balance'!$D$5:$D$40,Assumptions!$B84)*EK84*AT84,"")</f>
        <v>0</v>
      </c>
      <c r="CQ84" s="34">
        <f ca="1">IFERROR(SUMIFS('TRA balance'!AR$5:AR$40,'TRA balance'!$C$5:$C$40,Assumptions!$C84,'TRA balance'!$D$5:$D$40,Assumptions!$B84)*EL84*AU84,"")</f>
        <v>0</v>
      </c>
      <c r="CR84" s="34">
        <f ca="1">IFERROR(SUMIFS('TRA balance'!AS$5:AS$40,'TRA balance'!$C$5:$C$40,Assumptions!$C84,'TRA balance'!$D$5:$D$40,Assumptions!$B84)*EM84*AV84,"")</f>
        <v>0</v>
      </c>
      <c r="CS84" s="34">
        <f ca="1">IFERROR(SUMIFS('TRA balance'!AT$5:AT$40,'TRA balance'!$C$5:$C$40,Assumptions!$C84,'TRA balance'!$D$5:$D$40,Assumptions!$B84)*EN84*AW84,"")</f>
        <v>0</v>
      </c>
      <c r="CT84" s="34">
        <f ca="1">IFERROR(SUMIFS('TRA balance'!AU$5:AU$40,'TRA balance'!$C$5:$C$40,Assumptions!$C84,'TRA balance'!$D$5:$D$40,Assumptions!$B84)*EO84*AX84,"")</f>
        <v>0</v>
      </c>
      <c r="CU84" s="34">
        <f ca="1">IFERROR(SUMIFS('TRA balance'!AV$5:AV$40,'TRA balance'!$C$5:$C$40,Assumptions!$C84,'TRA balance'!$D$5:$D$40,Assumptions!$B84)*EP84*AY84,"")</f>
        <v>0</v>
      </c>
      <c r="CV84" s="34">
        <f ca="1">IFERROR(SUMIFS('TRA balance'!AW$5:AW$40,'TRA balance'!$C$5:$C$40,Assumptions!$C84,'TRA balance'!$D$5:$D$40,Assumptions!$B84)*EQ84*AZ84,"")</f>
        <v>0</v>
      </c>
      <c r="CW84" s="34">
        <f ca="1">IFERROR(SUMIFS('TRA balance'!AX$5:AX$40,'TRA balance'!$C$5:$C$40,Assumptions!$C84,'TRA balance'!$D$5:$D$40,Assumptions!$B84)*ER84*BA84,"")</f>
        <v>0</v>
      </c>
      <c r="CY84" s="33">
        <f t="shared" ca="1" si="86"/>
        <v>1</v>
      </c>
      <c r="CZ84" s="33">
        <f t="shared" ca="1" si="87"/>
        <v>1</v>
      </c>
      <c r="DA84" s="33">
        <f t="shared" ca="1" si="88"/>
        <v>1</v>
      </c>
      <c r="DB84" s="33">
        <f t="shared" ca="1" si="89"/>
        <v>1</v>
      </c>
      <c r="DC84" s="33">
        <f t="shared" ca="1" si="90"/>
        <v>1</v>
      </c>
      <c r="DD84" s="33">
        <f t="shared" ca="1" si="91"/>
        <v>1</v>
      </c>
      <c r="DE84" s="33">
        <f t="shared" ca="1" si="92"/>
        <v>1</v>
      </c>
      <c r="DF84" s="33">
        <f t="shared" ca="1" si="93"/>
        <v>1</v>
      </c>
      <c r="DG84" s="33">
        <f t="shared" ca="1" si="94"/>
        <v>1</v>
      </c>
      <c r="DH84" s="33">
        <f t="shared" ca="1" si="95"/>
        <v>1</v>
      </c>
      <c r="DI84" s="33">
        <f t="shared" ca="1" si="96"/>
        <v>1</v>
      </c>
      <c r="DJ84" s="33">
        <f t="shared" ca="1" si="97"/>
        <v>1</v>
      </c>
      <c r="DK84" s="33">
        <f t="shared" ca="1" si="98"/>
        <v>1</v>
      </c>
      <c r="DL84" s="33">
        <f t="shared" ca="1" si="99"/>
        <v>1</v>
      </c>
      <c r="DM84" s="33">
        <f t="shared" ca="1" si="100"/>
        <v>1</v>
      </c>
      <c r="DN84" s="33">
        <f t="shared" ca="1" si="101"/>
        <v>1</v>
      </c>
      <c r="DO84" s="33">
        <f t="shared" ca="1" si="102"/>
        <v>1</v>
      </c>
      <c r="DP84" s="33">
        <f t="shared" ca="1" si="103"/>
        <v>1</v>
      </c>
      <c r="DQ84" s="33">
        <f t="shared" ca="1" si="104"/>
        <v>1</v>
      </c>
      <c r="DR84" s="33">
        <f t="shared" ca="1" si="105"/>
        <v>1</v>
      </c>
      <c r="DS84" s="33">
        <f t="shared" ca="1" si="106"/>
        <v>1</v>
      </c>
      <c r="DT84" s="33">
        <f t="shared" ca="1" si="107"/>
        <v>1</v>
      </c>
      <c r="DU84" s="33">
        <f t="shared" ca="1" si="108"/>
        <v>1</v>
      </c>
      <c r="DV84" s="33">
        <f t="shared" ca="1" si="109"/>
        <v>1</v>
      </c>
      <c r="DW84" s="33">
        <f t="shared" ca="1" si="110"/>
        <v>1</v>
      </c>
      <c r="DX84" s="33">
        <f t="shared" ca="1" si="111"/>
        <v>1</v>
      </c>
      <c r="DY84" s="33">
        <f t="shared" ca="1" si="112"/>
        <v>1</v>
      </c>
      <c r="DZ84" s="33">
        <f t="shared" ca="1" si="113"/>
        <v>1</v>
      </c>
      <c r="EA84" s="33">
        <f t="shared" ca="1" si="114"/>
        <v>1</v>
      </c>
      <c r="EB84" s="33">
        <f t="shared" ca="1" si="115"/>
        <v>1</v>
      </c>
      <c r="EC84" s="33">
        <f t="shared" ca="1" si="116"/>
        <v>1</v>
      </c>
      <c r="ED84" s="33">
        <f t="shared" ca="1" si="117"/>
        <v>1</v>
      </c>
      <c r="EE84" s="33">
        <f t="shared" ca="1" si="118"/>
        <v>1</v>
      </c>
      <c r="EF84" s="33">
        <f t="shared" ca="1" si="119"/>
        <v>1</v>
      </c>
      <c r="EG84" s="33">
        <f t="shared" ca="1" si="120"/>
        <v>1</v>
      </c>
      <c r="EH84" s="33">
        <f t="shared" ca="1" si="121"/>
        <v>1</v>
      </c>
      <c r="EI84" s="33">
        <f t="shared" ca="1" si="122"/>
        <v>1</v>
      </c>
      <c r="EJ84" s="33">
        <f t="shared" ca="1" si="123"/>
        <v>1</v>
      </c>
      <c r="EK84" s="33">
        <f t="shared" ca="1" si="124"/>
        <v>1</v>
      </c>
      <c r="EL84" s="33">
        <f t="shared" ca="1" si="125"/>
        <v>1</v>
      </c>
      <c r="EM84" s="33">
        <f t="shared" ca="1" si="126"/>
        <v>1</v>
      </c>
      <c r="EN84" s="33">
        <f t="shared" ca="1" si="127"/>
        <v>1</v>
      </c>
      <c r="EO84" s="33">
        <f t="shared" ca="1" si="128"/>
        <v>1</v>
      </c>
      <c r="EP84" s="33">
        <f t="shared" ca="1" si="129"/>
        <v>1</v>
      </c>
      <c r="EQ84" s="33">
        <f t="shared" ca="1" si="130"/>
        <v>1</v>
      </c>
      <c r="ER84" s="33">
        <f t="shared" ca="1" si="131"/>
        <v>1</v>
      </c>
    </row>
    <row r="85" spans="1:148">
      <c r="A85">
        <v>2</v>
      </c>
      <c r="B85" t="str">
        <f>VLOOKUP(F85,'TRA balance'!$BA$5:$BB$14,2,FALSE)</f>
        <v>TRABGS</v>
      </c>
      <c r="C85" s="6" t="str">
        <f t="shared" si="133"/>
        <v>TR</v>
      </c>
      <c r="D85" s="7" t="s">
        <v>16</v>
      </c>
      <c r="E85" s="18" t="s">
        <v>73</v>
      </c>
      <c r="F85" s="8" t="str">
        <f t="shared" ref="F85:F88" si="141">F84</f>
        <v>Bio Gasoline</v>
      </c>
      <c r="G85" s="6" t="s">
        <v>74</v>
      </c>
      <c r="H85" s="9">
        <f ca="1">OFFSET(TIAM15_assumptions!$G85,0,MATCH(VLOOKUP(Assumptions!H$2,TIAM15_assumptions!$Y$3:$Z$87,2,FALSE),TIAM15_assumptions!$H$2:$V$2,0))</f>
        <v>0</v>
      </c>
      <c r="I85" s="9">
        <f ca="1">OFFSET(TIAM15_assumptions!$G85,0,MATCH(VLOOKUP(Assumptions!I$2,TIAM15_assumptions!$Y$3:$Z$87,2,FALSE),TIAM15_assumptions!$H$2:$V$2,0))</f>
        <v>0</v>
      </c>
      <c r="J85" s="9">
        <f ca="1">OFFSET(TIAM15_assumptions!$G85,0,MATCH(VLOOKUP(Assumptions!J$2,TIAM15_assumptions!$Y$3:$Z$87,2,FALSE),TIAM15_assumptions!$H$2:$V$2,0))</f>
        <v>0</v>
      </c>
      <c r="K85" s="9">
        <f ca="1">OFFSET(TIAM15_assumptions!$G85,0,MATCH(VLOOKUP(Assumptions!K$2,TIAM15_assumptions!$Y$3:$Z$87,2,FALSE),TIAM15_assumptions!$H$2:$V$2,0))</f>
        <v>0</v>
      </c>
      <c r="L85" s="9">
        <f ca="1">OFFSET(TIAM15_assumptions!$G85,0,MATCH(VLOOKUP(Assumptions!L$2,TIAM15_assumptions!$Y$3:$Z$87,2,FALSE),TIAM15_assumptions!$H$2:$V$2,0))</f>
        <v>0</v>
      </c>
      <c r="M85" s="9">
        <f ca="1">OFFSET(TIAM15_assumptions!$G85,0,MATCH(VLOOKUP(Assumptions!M$2,TIAM15_assumptions!$Y$3:$Z$87,2,FALSE),TIAM15_assumptions!$H$2:$V$2,0))</f>
        <v>0</v>
      </c>
      <c r="N85" s="9">
        <f ca="1">OFFSET(TIAM15_assumptions!$G85,0,MATCH(VLOOKUP(Assumptions!N$2,TIAM15_assumptions!$Y$3:$Z$87,2,FALSE),TIAM15_assumptions!$H$2:$V$2,0))</f>
        <v>0</v>
      </c>
      <c r="O85" s="9">
        <f ca="1">OFFSET(TIAM15_assumptions!$G85,0,MATCH(VLOOKUP(Assumptions!O$2,TIAM15_assumptions!$Y$3:$Z$87,2,FALSE),TIAM15_assumptions!$H$2:$V$2,0))</f>
        <v>0</v>
      </c>
      <c r="P85" s="9">
        <f ca="1">OFFSET(TIAM15_assumptions!$G85,0,MATCH(VLOOKUP(Assumptions!P$2,TIAM15_assumptions!$Y$3:$Z$87,2,FALSE),TIAM15_assumptions!$H$2:$V$2,0))</f>
        <v>0</v>
      </c>
      <c r="Q85" s="9">
        <f ca="1">OFFSET(TIAM15_assumptions!$G85,0,MATCH(VLOOKUP(Assumptions!Q$2,TIAM15_assumptions!$Y$3:$Z$87,2,FALSE),TIAM15_assumptions!$H$2:$V$2,0))</f>
        <v>0</v>
      </c>
      <c r="R85" s="9">
        <f ca="1">OFFSET(TIAM15_assumptions!$G85,0,MATCH(VLOOKUP(Assumptions!R$2,TIAM15_assumptions!$Y$3:$Z$87,2,FALSE),TIAM15_assumptions!$H$2:$V$2,0))</f>
        <v>0</v>
      </c>
      <c r="S85" s="9">
        <f ca="1">OFFSET(TIAM15_assumptions!$G85,0,MATCH(VLOOKUP(Assumptions!S$2,TIAM15_assumptions!$Y$3:$Z$87,2,FALSE),TIAM15_assumptions!$H$2:$V$2,0))</f>
        <v>0</v>
      </c>
      <c r="T85" s="9">
        <f ca="1">OFFSET(TIAM15_assumptions!$G85,0,MATCH(VLOOKUP(Assumptions!T$2,TIAM15_assumptions!$Y$3:$Z$87,2,FALSE),TIAM15_assumptions!$H$2:$V$2,0))</f>
        <v>0</v>
      </c>
      <c r="U85" s="9">
        <f ca="1">OFFSET(TIAM15_assumptions!$G85,0,MATCH(VLOOKUP(Assumptions!U$2,TIAM15_assumptions!$Y$3:$Z$87,2,FALSE),TIAM15_assumptions!$H$2:$V$2,0))</f>
        <v>0</v>
      </c>
      <c r="V85" s="9">
        <f ca="1">OFFSET(TIAM15_assumptions!$G85,0,MATCH(VLOOKUP(Assumptions!V$2,TIAM15_assumptions!$Y$3:$Z$87,2,FALSE),TIAM15_assumptions!$H$2:$V$2,0))</f>
        <v>0</v>
      </c>
      <c r="W85" s="9">
        <f ca="1">OFFSET(TIAM15_assumptions!$G85,0,MATCH(VLOOKUP(Assumptions!W$2,TIAM15_assumptions!$Y$3:$Z$87,2,FALSE),TIAM15_assumptions!$H$2:$V$2,0))</f>
        <v>0</v>
      </c>
      <c r="X85" s="9">
        <f ca="1">OFFSET(TIAM15_assumptions!$G85,0,MATCH(VLOOKUP(Assumptions!X$2,TIAM15_assumptions!$Y$3:$Z$87,2,FALSE),TIAM15_assumptions!$H$2:$V$2,0))</f>
        <v>0</v>
      </c>
      <c r="Y85" s="9">
        <f ca="1">OFFSET(TIAM15_assumptions!$G85,0,MATCH(VLOOKUP(Assumptions!Y$2,TIAM15_assumptions!$Y$3:$Z$87,2,FALSE),TIAM15_assumptions!$H$2:$V$2,0))</f>
        <v>0</v>
      </c>
      <c r="Z85" s="9">
        <f ca="1">OFFSET(TIAM15_assumptions!$G85,0,MATCH(VLOOKUP(Assumptions!Z$2,TIAM15_assumptions!$Y$3:$Z$87,2,FALSE),TIAM15_assumptions!$H$2:$V$2,0))</f>
        <v>0</v>
      </c>
      <c r="AA85" s="9">
        <f ca="1">OFFSET(TIAM15_assumptions!$G85,0,MATCH(VLOOKUP(Assumptions!AA$2,TIAM15_assumptions!$Y$3:$Z$87,2,FALSE),TIAM15_assumptions!$H$2:$V$2,0))</f>
        <v>0</v>
      </c>
      <c r="AB85" s="9">
        <f ca="1">OFFSET(TIAM15_assumptions!$G85,0,MATCH(VLOOKUP(Assumptions!AB$2,TIAM15_assumptions!$Y$3:$Z$87,2,FALSE),TIAM15_assumptions!$H$2:$V$2,0))</f>
        <v>0</v>
      </c>
      <c r="AC85" s="9">
        <f ca="1">OFFSET(TIAM15_assumptions!$G85,0,MATCH(VLOOKUP(Assumptions!AC$2,TIAM15_assumptions!$Y$3:$Z$87,2,FALSE),TIAM15_assumptions!$H$2:$V$2,0))</f>
        <v>0</v>
      </c>
      <c r="AD85" s="9">
        <f ca="1">OFFSET(TIAM15_assumptions!$G85,0,MATCH(VLOOKUP(Assumptions!AD$2,TIAM15_assumptions!$Y$3:$Z$87,2,FALSE),TIAM15_assumptions!$H$2:$V$2,0))</f>
        <v>0</v>
      </c>
      <c r="AE85" s="9">
        <f ca="1">OFFSET(TIAM15_assumptions!$G85,0,MATCH(VLOOKUP(Assumptions!AE$2,TIAM15_assumptions!$Y$3:$Z$87,2,FALSE),TIAM15_assumptions!$H$2:$V$2,0))</f>
        <v>0</v>
      </c>
      <c r="AF85" s="9">
        <f ca="1">OFFSET(TIAM15_assumptions!$G85,0,MATCH(VLOOKUP(Assumptions!AF$2,TIAM15_assumptions!$Y$3:$Z$87,2,FALSE),TIAM15_assumptions!$H$2:$V$2,0))</f>
        <v>0</v>
      </c>
      <c r="AG85" s="9">
        <f ca="1">OFFSET(TIAM15_assumptions!$G85,0,MATCH(VLOOKUP(Assumptions!AG$2,TIAM15_assumptions!$Y$3:$Z$87,2,FALSE),TIAM15_assumptions!$H$2:$V$2,0))</f>
        <v>0</v>
      </c>
      <c r="AH85" s="9">
        <f ca="1">OFFSET(TIAM15_assumptions!$G85,0,MATCH(VLOOKUP(Assumptions!AH$2,TIAM15_assumptions!$Y$3:$Z$87,2,FALSE),TIAM15_assumptions!$H$2:$V$2,0))</f>
        <v>0</v>
      </c>
      <c r="AI85" s="9">
        <f ca="1">OFFSET(TIAM15_assumptions!$G85,0,MATCH(VLOOKUP(Assumptions!AI$2,TIAM15_assumptions!$Y$3:$Z$87,2,FALSE),TIAM15_assumptions!$H$2:$V$2,0))</f>
        <v>0</v>
      </c>
      <c r="AJ85" s="9">
        <f ca="1">OFFSET(TIAM15_assumptions!$G85,0,MATCH(VLOOKUP(Assumptions!AJ$2,TIAM15_assumptions!$Y$3:$Z$87,2,FALSE),TIAM15_assumptions!$H$2:$V$2,0))</f>
        <v>0</v>
      </c>
      <c r="AK85" s="9">
        <f ca="1">OFFSET(TIAM15_assumptions!$G85,0,MATCH(VLOOKUP(Assumptions!AK$2,TIAM15_assumptions!$Y$3:$Z$87,2,FALSE),TIAM15_assumptions!$H$2:$V$2,0))</f>
        <v>0</v>
      </c>
      <c r="AL85" s="9">
        <f ca="1">OFFSET(TIAM15_assumptions!$G85,0,MATCH(VLOOKUP(Assumptions!AL$2,TIAM15_assumptions!$Y$3:$Z$87,2,FALSE),TIAM15_assumptions!$H$2:$V$2,0))</f>
        <v>0</v>
      </c>
      <c r="AM85" s="9">
        <f ca="1">OFFSET(TIAM15_assumptions!$G85,0,MATCH(VLOOKUP(Assumptions!AM$2,TIAM15_assumptions!$Y$3:$Z$87,2,FALSE),TIAM15_assumptions!$H$2:$V$2,0))</f>
        <v>0</v>
      </c>
      <c r="AN85" s="9">
        <f ca="1">OFFSET(TIAM15_assumptions!$G85,0,MATCH(VLOOKUP(Assumptions!AN$2,TIAM15_assumptions!$Y$3:$Z$87,2,FALSE),TIAM15_assumptions!$H$2:$V$2,0))</f>
        <v>0</v>
      </c>
      <c r="AO85" s="9">
        <f ca="1">OFFSET(TIAM15_assumptions!$G85,0,MATCH(VLOOKUP(Assumptions!AO$2,TIAM15_assumptions!$Y$3:$Z$87,2,FALSE),TIAM15_assumptions!$H$2:$V$2,0))</f>
        <v>0</v>
      </c>
      <c r="AP85" s="9">
        <f ca="1">OFFSET(TIAM15_assumptions!$G85,0,MATCH(VLOOKUP(Assumptions!AP$2,TIAM15_assumptions!$Y$3:$Z$87,2,FALSE),TIAM15_assumptions!$H$2:$V$2,0))</f>
        <v>0</v>
      </c>
      <c r="AQ85" s="9">
        <f ca="1">OFFSET(TIAM15_assumptions!$G85,0,MATCH(VLOOKUP(Assumptions!AQ$2,TIAM15_assumptions!$Y$3:$Z$87,2,FALSE),TIAM15_assumptions!$H$2:$V$2,0))</f>
        <v>0</v>
      </c>
      <c r="AR85" s="9">
        <f ca="1">OFFSET(TIAM15_assumptions!$G85,0,MATCH(VLOOKUP(Assumptions!AR$2,TIAM15_assumptions!$Y$3:$Z$87,2,FALSE),TIAM15_assumptions!$H$2:$V$2,0))</f>
        <v>0</v>
      </c>
      <c r="AS85" s="9">
        <f ca="1">OFFSET(TIAM15_assumptions!$G85,0,MATCH(VLOOKUP(Assumptions!AS$2,TIAM15_assumptions!$Y$3:$Z$87,2,FALSE),TIAM15_assumptions!$H$2:$V$2,0))</f>
        <v>0</v>
      </c>
      <c r="AT85" s="9">
        <f ca="1">OFFSET(TIAM15_assumptions!$G85,0,MATCH(VLOOKUP(Assumptions!AT$2,TIAM15_assumptions!$Y$3:$Z$87,2,FALSE),TIAM15_assumptions!$H$2:$V$2,0))</f>
        <v>0</v>
      </c>
      <c r="AU85" s="9">
        <f ca="1">OFFSET(TIAM15_assumptions!$G85,0,MATCH(VLOOKUP(Assumptions!AU$2,TIAM15_assumptions!$Y$3:$Z$87,2,FALSE),TIAM15_assumptions!$H$2:$V$2,0))</f>
        <v>0</v>
      </c>
      <c r="AV85" s="9">
        <f ca="1">OFFSET(TIAM15_assumptions!$G85,0,MATCH(VLOOKUP(Assumptions!AV$2,TIAM15_assumptions!$Y$3:$Z$87,2,FALSE),TIAM15_assumptions!$H$2:$V$2,0))</f>
        <v>0</v>
      </c>
      <c r="AW85" s="9">
        <f ca="1">OFFSET(TIAM15_assumptions!$G85,0,MATCH(VLOOKUP(Assumptions!AW$2,TIAM15_assumptions!$Y$3:$Z$87,2,FALSE),TIAM15_assumptions!$H$2:$V$2,0))</f>
        <v>0</v>
      </c>
      <c r="AX85" s="9">
        <f ca="1">OFFSET(TIAM15_assumptions!$G85,0,MATCH(VLOOKUP(Assumptions!AX$2,TIAM15_assumptions!$Y$3:$Z$87,2,FALSE),TIAM15_assumptions!$H$2:$V$2,0))</f>
        <v>0</v>
      </c>
      <c r="AY85" s="9">
        <f ca="1">OFFSET(TIAM15_assumptions!$G85,0,MATCH(VLOOKUP(Assumptions!AY$2,TIAM15_assumptions!$Y$3:$Z$87,2,FALSE),TIAM15_assumptions!$H$2:$V$2,0))</f>
        <v>0</v>
      </c>
      <c r="AZ85" s="9">
        <f ca="1">OFFSET(TIAM15_assumptions!$G85,0,MATCH(VLOOKUP(Assumptions!AZ$2,TIAM15_assumptions!$Y$3:$Z$87,2,FALSE),TIAM15_assumptions!$H$2:$V$2,0))</f>
        <v>0</v>
      </c>
      <c r="BA85" s="9">
        <f ca="1">OFFSET(TIAM15_assumptions!$G85,0,MATCH(VLOOKUP(Assumptions!BA$2,TIAM15_assumptions!$Y$3:$Z$87,2,FALSE),TIAM15_assumptions!$H$2:$V$2,0))</f>
        <v>0</v>
      </c>
      <c r="BD85" s="34">
        <f ca="1">IFERROR(SUMIFS('TRA balance'!E$5:E$40,'TRA balance'!$C$5:$C$40,Assumptions!$C85,'TRA balance'!$D$5:$D$40,Assumptions!$B85)*CY85*H85,"")</f>
        <v>0</v>
      </c>
      <c r="BE85" s="34">
        <f ca="1">IFERROR(SUMIFS('TRA balance'!F$5:F$40,'TRA balance'!$C$5:$C$40,Assumptions!$C85,'TRA balance'!$D$5:$D$40,Assumptions!$B85)*CZ85*I85,"")</f>
        <v>0</v>
      </c>
      <c r="BF85" s="34">
        <f ca="1">IFERROR(SUMIFS('TRA balance'!G$5:G$40,'TRA balance'!$C$5:$C$40,Assumptions!$C85,'TRA balance'!$D$5:$D$40,Assumptions!$B85)*DA85*J85,"")</f>
        <v>0</v>
      </c>
      <c r="BG85" s="34">
        <f ca="1">IFERROR(SUMIFS('TRA balance'!H$5:H$40,'TRA balance'!$C$5:$C$40,Assumptions!$C85,'TRA balance'!$D$5:$D$40,Assumptions!$B85)*DB85*K85,"")</f>
        <v>0</v>
      </c>
      <c r="BH85" s="34">
        <f ca="1">IFERROR(SUMIFS('TRA balance'!I$5:I$40,'TRA balance'!$C$5:$C$40,Assumptions!$C85,'TRA balance'!$D$5:$D$40,Assumptions!$B85)*DC85*L85,"")</f>
        <v>0</v>
      </c>
      <c r="BI85" s="34">
        <f ca="1">IFERROR(SUMIFS('TRA balance'!J$5:J$40,'TRA balance'!$C$5:$C$40,Assumptions!$C85,'TRA balance'!$D$5:$D$40,Assumptions!$B85)*DD85*M85,"")</f>
        <v>0</v>
      </c>
      <c r="BJ85" s="34">
        <f ca="1">IFERROR(SUMIFS('TRA balance'!K$5:K$40,'TRA balance'!$C$5:$C$40,Assumptions!$C85,'TRA balance'!$D$5:$D$40,Assumptions!$B85)*DE85*N85,"")</f>
        <v>0</v>
      </c>
      <c r="BK85" s="34">
        <f ca="1">IFERROR(SUMIFS('TRA balance'!L$5:L$40,'TRA balance'!$C$5:$C$40,Assumptions!$C85,'TRA balance'!$D$5:$D$40,Assumptions!$B85)*DF85*O85,"")</f>
        <v>0</v>
      </c>
      <c r="BL85" s="34">
        <f ca="1">IFERROR(SUMIFS('TRA balance'!M$5:M$40,'TRA balance'!$C$5:$C$40,Assumptions!$C85,'TRA balance'!$D$5:$D$40,Assumptions!$B85)*DG85*P85,"")</f>
        <v>0</v>
      </c>
      <c r="BM85" s="34">
        <f ca="1">IFERROR(SUMIFS('TRA balance'!N$5:N$40,'TRA balance'!$C$5:$C$40,Assumptions!$C85,'TRA balance'!$D$5:$D$40,Assumptions!$B85)*DH85*Q85,"")</f>
        <v>0</v>
      </c>
      <c r="BN85" s="34">
        <f ca="1">IFERROR(SUMIFS('TRA balance'!O$5:O$40,'TRA balance'!$C$5:$C$40,Assumptions!$C85,'TRA balance'!$D$5:$D$40,Assumptions!$B85)*DI85*R85,"")</f>
        <v>0</v>
      </c>
      <c r="BO85" s="34">
        <f ca="1">IFERROR(SUMIFS('TRA balance'!P$5:P$40,'TRA balance'!$C$5:$C$40,Assumptions!$C85,'TRA balance'!$D$5:$D$40,Assumptions!$B85)*DJ85*S85,"")</f>
        <v>0</v>
      </c>
      <c r="BP85" s="34">
        <f ca="1">IFERROR(SUMIFS('TRA balance'!Q$5:Q$40,'TRA balance'!$C$5:$C$40,Assumptions!$C85,'TRA balance'!$D$5:$D$40,Assumptions!$B85)*DK85*T85,"")</f>
        <v>0</v>
      </c>
      <c r="BQ85" s="34">
        <f ca="1">IFERROR(SUMIFS('TRA balance'!R$5:R$40,'TRA balance'!$C$5:$C$40,Assumptions!$C85,'TRA balance'!$D$5:$D$40,Assumptions!$B85)*DL85*U85,"")</f>
        <v>0</v>
      </c>
      <c r="BR85" s="34">
        <f ca="1">IFERROR(SUMIFS('TRA balance'!S$5:S$40,'TRA balance'!$C$5:$C$40,Assumptions!$C85,'TRA balance'!$D$5:$D$40,Assumptions!$B85)*DM85*V85,"")</f>
        <v>0</v>
      </c>
      <c r="BS85" s="34">
        <f ca="1">IFERROR(SUMIFS('TRA balance'!T$5:T$40,'TRA balance'!$C$5:$C$40,Assumptions!$C85,'TRA balance'!$D$5:$D$40,Assumptions!$B85)*DN85*W85,"")</f>
        <v>0</v>
      </c>
      <c r="BT85" s="34">
        <f ca="1">IFERROR(SUMIFS('TRA balance'!U$5:U$40,'TRA balance'!$C$5:$C$40,Assumptions!$C85,'TRA balance'!$D$5:$D$40,Assumptions!$B85)*DO85*X85,"")</f>
        <v>0</v>
      </c>
      <c r="BU85" s="34">
        <f ca="1">IFERROR(SUMIFS('TRA balance'!V$5:V$40,'TRA balance'!$C$5:$C$40,Assumptions!$C85,'TRA balance'!$D$5:$D$40,Assumptions!$B85)*DP85*Y85,"")</f>
        <v>0</v>
      </c>
      <c r="BV85" s="34">
        <f ca="1">IFERROR(SUMIFS('TRA balance'!W$5:W$40,'TRA balance'!$C$5:$C$40,Assumptions!$C85,'TRA balance'!$D$5:$D$40,Assumptions!$B85)*DQ85*Z85,"")</f>
        <v>0</v>
      </c>
      <c r="BW85" s="34">
        <f ca="1">IFERROR(SUMIFS('TRA balance'!X$5:X$40,'TRA balance'!$C$5:$C$40,Assumptions!$C85,'TRA balance'!$D$5:$D$40,Assumptions!$B85)*DR85*AA85,"")</f>
        <v>0</v>
      </c>
      <c r="BX85" s="34">
        <f ca="1">IFERROR(SUMIFS('TRA balance'!Y$5:Y$40,'TRA balance'!$C$5:$C$40,Assumptions!$C85,'TRA balance'!$D$5:$D$40,Assumptions!$B85)*DS85*AB85,"")</f>
        <v>0</v>
      </c>
      <c r="BY85" s="34">
        <f ca="1">IFERROR(SUMIFS('TRA balance'!Z$5:Z$40,'TRA balance'!$C$5:$C$40,Assumptions!$C85,'TRA balance'!$D$5:$D$40,Assumptions!$B85)*DT85*AC85,"")</f>
        <v>0</v>
      </c>
      <c r="BZ85" s="34">
        <f ca="1">IFERROR(SUMIFS('TRA balance'!AA$5:AA$40,'TRA balance'!$C$5:$C$40,Assumptions!$C85,'TRA balance'!$D$5:$D$40,Assumptions!$B85)*DU85*AD85,"")</f>
        <v>0</v>
      </c>
      <c r="CA85" s="34">
        <f ca="1">IFERROR(SUMIFS('TRA balance'!AB$5:AB$40,'TRA balance'!$C$5:$C$40,Assumptions!$C85,'TRA balance'!$D$5:$D$40,Assumptions!$B85)*DV85*AE85,"")</f>
        <v>0</v>
      </c>
      <c r="CB85" s="34">
        <f ca="1">IFERROR(SUMIFS('TRA balance'!AC$5:AC$40,'TRA balance'!$C$5:$C$40,Assumptions!$C85,'TRA balance'!$D$5:$D$40,Assumptions!$B85)*DW85*AF85,"")</f>
        <v>0</v>
      </c>
      <c r="CC85" s="34">
        <f ca="1">IFERROR(SUMIFS('TRA balance'!AD$5:AD$40,'TRA balance'!$C$5:$C$40,Assumptions!$C85,'TRA balance'!$D$5:$D$40,Assumptions!$B85)*DX85*AG85,"")</f>
        <v>0</v>
      </c>
      <c r="CD85" s="34">
        <f ca="1">IFERROR(SUMIFS('TRA balance'!AE$5:AE$40,'TRA balance'!$C$5:$C$40,Assumptions!$C85,'TRA balance'!$D$5:$D$40,Assumptions!$B85)*DY85*AH85,"")</f>
        <v>0</v>
      </c>
      <c r="CE85" s="34">
        <f ca="1">IFERROR(SUMIFS('TRA balance'!AF$5:AF$40,'TRA balance'!$C$5:$C$40,Assumptions!$C85,'TRA balance'!$D$5:$D$40,Assumptions!$B85)*DZ85*AI85,"")</f>
        <v>0</v>
      </c>
      <c r="CF85" s="34">
        <f ca="1">IFERROR(SUMIFS('TRA balance'!AG$5:AG$40,'TRA balance'!$C$5:$C$40,Assumptions!$C85,'TRA balance'!$D$5:$D$40,Assumptions!$B85)*EA85*AJ85,"")</f>
        <v>0</v>
      </c>
      <c r="CG85" s="34">
        <f ca="1">IFERROR(SUMIFS('TRA balance'!AH$5:AH$40,'TRA balance'!$C$5:$C$40,Assumptions!$C85,'TRA balance'!$D$5:$D$40,Assumptions!$B85)*EB85*AK85,"")</f>
        <v>0</v>
      </c>
      <c r="CH85" s="34">
        <f ca="1">IFERROR(SUMIFS('TRA balance'!AI$5:AI$40,'TRA balance'!$C$5:$C$40,Assumptions!$C85,'TRA balance'!$D$5:$D$40,Assumptions!$B85)*EC85*AL85,"")</f>
        <v>0</v>
      </c>
      <c r="CI85" s="34">
        <f ca="1">IFERROR(SUMIFS('TRA balance'!AJ$5:AJ$40,'TRA balance'!$C$5:$C$40,Assumptions!$C85,'TRA balance'!$D$5:$D$40,Assumptions!$B85)*ED85*AM85,"")</f>
        <v>0</v>
      </c>
      <c r="CJ85" s="34">
        <f ca="1">IFERROR(SUMIFS('TRA balance'!AK$5:AK$40,'TRA balance'!$C$5:$C$40,Assumptions!$C85,'TRA balance'!$D$5:$D$40,Assumptions!$B85)*EE85*AN85,"")</f>
        <v>0</v>
      </c>
      <c r="CK85" s="34">
        <f ca="1">IFERROR(SUMIFS('TRA balance'!AL$5:AL$40,'TRA balance'!$C$5:$C$40,Assumptions!$C85,'TRA balance'!$D$5:$D$40,Assumptions!$B85)*EF85*AO85,"")</f>
        <v>0</v>
      </c>
      <c r="CL85" s="34">
        <f ca="1">IFERROR(SUMIFS('TRA balance'!AM$5:AM$40,'TRA balance'!$C$5:$C$40,Assumptions!$C85,'TRA balance'!$D$5:$D$40,Assumptions!$B85)*EG85*AP85,"")</f>
        <v>0</v>
      </c>
      <c r="CM85" s="34">
        <f ca="1">IFERROR(SUMIFS('TRA balance'!AN$5:AN$40,'TRA balance'!$C$5:$C$40,Assumptions!$C85,'TRA balance'!$D$5:$D$40,Assumptions!$B85)*EH85*AQ85,"")</f>
        <v>0</v>
      </c>
      <c r="CN85" s="34">
        <f ca="1">IFERROR(SUMIFS('TRA balance'!AO$5:AO$40,'TRA balance'!$C$5:$C$40,Assumptions!$C85,'TRA balance'!$D$5:$D$40,Assumptions!$B85)*EI85*AR85,"")</f>
        <v>0</v>
      </c>
      <c r="CO85" s="34">
        <f ca="1">IFERROR(SUMIFS('TRA balance'!AP$5:AP$40,'TRA balance'!$C$5:$C$40,Assumptions!$C85,'TRA balance'!$D$5:$D$40,Assumptions!$B85)*EJ85*AS85,"")</f>
        <v>0</v>
      </c>
      <c r="CP85" s="34">
        <f ca="1">IFERROR(SUMIFS('TRA balance'!AQ$5:AQ$40,'TRA balance'!$C$5:$C$40,Assumptions!$C85,'TRA balance'!$D$5:$D$40,Assumptions!$B85)*EK85*AT85,"")</f>
        <v>0</v>
      </c>
      <c r="CQ85" s="34">
        <f ca="1">IFERROR(SUMIFS('TRA balance'!AR$5:AR$40,'TRA balance'!$C$5:$C$40,Assumptions!$C85,'TRA balance'!$D$5:$D$40,Assumptions!$B85)*EL85*AU85,"")</f>
        <v>0</v>
      </c>
      <c r="CR85" s="34">
        <f ca="1">IFERROR(SUMIFS('TRA balance'!AS$5:AS$40,'TRA balance'!$C$5:$C$40,Assumptions!$C85,'TRA balance'!$D$5:$D$40,Assumptions!$B85)*EM85*AV85,"")</f>
        <v>0</v>
      </c>
      <c r="CS85" s="34">
        <f ca="1">IFERROR(SUMIFS('TRA balance'!AT$5:AT$40,'TRA balance'!$C$5:$C$40,Assumptions!$C85,'TRA balance'!$D$5:$D$40,Assumptions!$B85)*EN85*AW85,"")</f>
        <v>0</v>
      </c>
      <c r="CT85" s="34">
        <f ca="1">IFERROR(SUMIFS('TRA balance'!AU$5:AU$40,'TRA balance'!$C$5:$C$40,Assumptions!$C85,'TRA balance'!$D$5:$D$40,Assumptions!$B85)*EO85*AX85,"")</f>
        <v>0</v>
      </c>
      <c r="CU85" s="34">
        <f ca="1">IFERROR(SUMIFS('TRA balance'!AV$5:AV$40,'TRA balance'!$C$5:$C$40,Assumptions!$C85,'TRA balance'!$D$5:$D$40,Assumptions!$B85)*EP85*AY85,"")</f>
        <v>0</v>
      </c>
      <c r="CV85" s="34">
        <f ca="1">IFERROR(SUMIFS('TRA balance'!AW$5:AW$40,'TRA balance'!$C$5:$C$40,Assumptions!$C85,'TRA balance'!$D$5:$D$40,Assumptions!$B85)*EQ85*AZ85,"")</f>
        <v>0</v>
      </c>
      <c r="CW85" s="34">
        <f ca="1">IFERROR(SUMIFS('TRA balance'!AX$5:AX$40,'TRA balance'!$C$5:$C$40,Assumptions!$C85,'TRA balance'!$D$5:$D$40,Assumptions!$B85)*ER85*BA85,"")</f>
        <v>0</v>
      </c>
      <c r="CY85" s="33">
        <f t="shared" ca="1" si="86"/>
        <v>1</v>
      </c>
      <c r="CZ85" s="33">
        <f t="shared" ca="1" si="87"/>
        <v>1</v>
      </c>
      <c r="DA85" s="33">
        <f t="shared" ca="1" si="88"/>
        <v>1</v>
      </c>
      <c r="DB85" s="33">
        <f t="shared" ca="1" si="89"/>
        <v>1</v>
      </c>
      <c r="DC85" s="33">
        <f t="shared" ca="1" si="90"/>
        <v>1</v>
      </c>
      <c r="DD85" s="33">
        <f t="shared" ca="1" si="91"/>
        <v>1</v>
      </c>
      <c r="DE85" s="33">
        <f t="shared" ca="1" si="92"/>
        <v>1</v>
      </c>
      <c r="DF85" s="33">
        <f t="shared" ca="1" si="93"/>
        <v>1</v>
      </c>
      <c r="DG85" s="33">
        <f t="shared" ca="1" si="94"/>
        <v>1</v>
      </c>
      <c r="DH85" s="33">
        <f t="shared" ca="1" si="95"/>
        <v>1</v>
      </c>
      <c r="DI85" s="33">
        <f t="shared" ca="1" si="96"/>
        <v>1</v>
      </c>
      <c r="DJ85" s="33">
        <f t="shared" ca="1" si="97"/>
        <v>1</v>
      </c>
      <c r="DK85" s="33">
        <f t="shared" ca="1" si="98"/>
        <v>1</v>
      </c>
      <c r="DL85" s="33">
        <f t="shared" ca="1" si="99"/>
        <v>1</v>
      </c>
      <c r="DM85" s="33">
        <f t="shared" ca="1" si="100"/>
        <v>1</v>
      </c>
      <c r="DN85" s="33">
        <f t="shared" ca="1" si="101"/>
        <v>1</v>
      </c>
      <c r="DO85" s="33">
        <f t="shared" ca="1" si="102"/>
        <v>1</v>
      </c>
      <c r="DP85" s="33">
        <f t="shared" ca="1" si="103"/>
        <v>1</v>
      </c>
      <c r="DQ85" s="33">
        <f t="shared" ca="1" si="104"/>
        <v>1</v>
      </c>
      <c r="DR85" s="33">
        <f t="shared" ca="1" si="105"/>
        <v>1</v>
      </c>
      <c r="DS85" s="33">
        <f t="shared" ca="1" si="106"/>
        <v>1</v>
      </c>
      <c r="DT85" s="33">
        <f t="shared" ca="1" si="107"/>
        <v>1</v>
      </c>
      <c r="DU85" s="33">
        <f t="shared" ca="1" si="108"/>
        <v>1</v>
      </c>
      <c r="DV85" s="33">
        <f t="shared" ca="1" si="109"/>
        <v>1</v>
      </c>
      <c r="DW85" s="33">
        <f t="shared" ca="1" si="110"/>
        <v>1</v>
      </c>
      <c r="DX85" s="33">
        <f t="shared" ca="1" si="111"/>
        <v>1</v>
      </c>
      <c r="DY85" s="33">
        <f t="shared" ca="1" si="112"/>
        <v>1</v>
      </c>
      <c r="DZ85" s="33">
        <f t="shared" ca="1" si="113"/>
        <v>1</v>
      </c>
      <c r="EA85" s="33">
        <f t="shared" ca="1" si="114"/>
        <v>1</v>
      </c>
      <c r="EB85" s="33">
        <f t="shared" ca="1" si="115"/>
        <v>1</v>
      </c>
      <c r="EC85" s="33">
        <f t="shared" ca="1" si="116"/>
        <v>1</v>
      </c>
      <c r="ED85" s="33">
        <f t="shared" ca="1" si="117"/>
        <v>1</v>
      </c>
      <c r="EE85" s="33">
        <f t="shared" ca="1" si="118"/>
        <v>1</v>
      </c>
      <c r="EF85" s="33">
        <f t="shared" ca="1" si="119"/>
        <v>1</v>
      </c>
      <c r="EG85" s="33">
        <f t="shared" ca="1" si="120"/>
        <v>1</v>
      </c>
      <c r="EH85" s="33">
        <f t="shared" ca="1" si="121"/>
        <v>1</v>
      </c>
      <c r="EI85" s="33">
        <f t="shared" ca="1" si="122"/>
        <v>1</v>
      </c>
      <c r="EJ85" s="33">
        <f t="shared" ca="1" si="123"/>
        <v>1</v>
      </c>
      <c r="EK85" s="33">
        <f t="shared" ca="1" si="124"/>
        <v>1</v>
      </c>
      <c r="EL85" s="33">
        <f t="shared" ca="1" si="125"/>
        <v>1</v>
      </c>
      <c r="EM85" s="33">
        <f t="shared" ca="1" si="126"/>
        <v>1</v>
      </c>
      <c r="EN85" s="33">
        <f t="shared" ca="1" si="127"/>
        <v>1</v>
      </c>
      <c r="EO85" s="33">
        <f t="shared" ca="1" si="128"/>
        <v>1</v>
      </c>
      <c r="EP85" s="33">
        <f t="shared" ca="1" si="129"/>
        <v>1</v>
      </c>
      <c r="EQ85" s="33">
        <f t="shared" ca="1" si="130"/>
        <v>1</v>
      </c>
      <c r="ER85" s="33">
        <f t="shared" ca="1" si="131"/>
        <v>1</v>
      </c>
    </row>
    <row r="86" spans="1:148">
      <c r="A86">
        <v>2</v>
      </c>
      <c r="B86" t="str">
        <f>VLOOKUP(F86,'TRA balance'!$BA$5:$BB$14,2,FALSE)</f>
        <v>TRABGS</v>
      </c>
      <c r="C86" s="6" t="str">
        <f t="shared" si="133"/>
        <v>TR</v>
      </c>
      <c r="D86" s="7" t="s">
        <v>16</v>
      </c>
      <c r="E86" s="18" t="s">
        <v>75</v>
      </c>
      <c r="F86" s="8" t="str">
        <f t="shared" si="141"/>
        <v>Bio Gasoline</v>
      </c>
      <c r="G86" s="6" t="s">
        <v>76</v>
      </c>
      <c r="H86" s="9">
        <f ca="1">OFFSET(TIAM15_assumptions!$G86,0,MATCH(VLOOKUP(Assumptions!H$2,TIAM15_assumptions!$Y$3:$Z$87,2,FALSE),TIAM15_assumptions!$H$2:$V$2,0))</f>
        <v>0</v>
      </c>
      <c r="I86" s="9">
        <f ca="1">OFFSET(TIAM15_assumptions!$G86,0,MATCH(VLOOKUP(Assumptions!I$2,TIAM15_assumptions!$Y$3:$Z$87,2,FALSE),TIAM15_assumptions!$H$2:$V$2,0))</f>
        <v>0</v>
      </c>
      <c r="J86" s="9">
        <f ca="1">OFFSET(TIAM15_assumptions!$G86,0,MATCH(VLOOKUP(Assumptions!J$2,TIAM15_assumptions!$Y$3:$Z$87,2,FALSE),TIAM15_assumptions!$H$2:$V$2,0))</f>
        <v>0</v>
      </c>
      <c r="K86" s="9">
        <f ca="1">OFFSET(TIAM15_assumptions!$G86,0,MATCH(VLOOKUP(Assumptions!K$2,TIAM15_assumptions!$Y$3:$Z$87,2,FALSE),TIAM15_assumptions!$H$2:$V$2,0))</f>
        <v>0</v>
      </c>
      <c r="L86" s="9">
        <f ca="1">OFFSET(TIAM15_assumptions!$G86,0,MATCH(VLOOKUP(Assumptions!L$2,TIAM15_assumptions!$Y$3:$Z$87,2,FALSE),TIAM15_assumptions!$H$2:$V$2,0))</f>
        <v>0</v>
      </c>
      <c r="M86" s="9">
        <f ca="1">OFFSET(TIAM15_assumptions!$G86,0,MATCH(VLOOKUP(Assumptions!M$2,TIAM15_assumptions!$Y$3:$Z$87,2,FALSE),TIAM15_assumptions!$H$2:$V$2,0))</f>
        <v>0</v>
      </c>
      <c r="N86" s="9">
        <f ca="1">OFFSET(TIAM15_assumptions!$G86,0,MATCH(VLOOKUP(Assumptions!N$2,TIAM15_assumptions!$Y$3:$Z$87,2,FALSE),TIAM15_assumptions!$H$2:$V$2,0))</f>
        <v>0</v>
      </c>
      <c r="O86" s="9">
        <f ca="1">OFFSET(TIAM15_assumptions!$G86,0,MATCH(VLOOKUP(Assumptions!O$2,TIAM15_assumptions!$Y$3:$Z$87,2,FALSE),TIAM15_assumptions!$H$2:$V$2,0))</f>
        <v>0</v>
      </c>
      <c r="P86" s="9">
        <f ca="1">OFFSET(TIAM15_assumptions!$G86,0,MATCH(VLOOKUP(Assumptions!P$2,TIAM15_assumptions!$Y$3:$Z$87,2,FALSE),TIAM15_assumptions!$H$2:$V$2,0))</f>
        <v>0</v>
      </c>
      <c r="Q86" s="9">
        <f ca="1">OFFSET(TIAM15_assumptions!$G86,0,MATCH(VLOOKUP(Assumptions!Q$2,TIAM15_assumptions!$Y$3:$Z$87,2,FALSE),TIAM15_assumptions!$H$2:$V$2,0))</f>
        <v>0</v>
      </c>
      <c r="R86" s="9">
        <f ca="1">OFFSET(TIAM15_assumptions!$G86,0,MATCH(VLOOKUP(Assumptions!R$2,TIAM15_assumptions!$Y$3:$Z$87,2,FALSE),TIAM15_assumptions!$H$2:$V$2,0))</f>
        <v>0</v>
      </c>
      <c r="S86" s="9">
        <f ca="1">OFFSET(TIAM15_assumptions!$G86,0,MATCH(VLOOKUP(Assumptions!S$2,TIAM15_assumptions!$Y$3:$Z$87,2,FALSE),TIAM15_assumptions!$H$2:$V$2,0))</f>
        <v>0</v>
      </c>
      <c r="T86" s="9">
        <f ca="1">OFFSET(TIAM15_assumptions!$G86,0,MATCH(VLOOKUP(Assumptions!T$2,TIAM15_assumptions!$Y$3:$Z$87,2,FALSE),TIAM15_assumptions!$H$2:$V$2,0))</f>
        <v>0</v>
      </c>
      <c r="U86" s="9">
        <f ca="1">OFFSET(TIAM15_assumptions!$G86,0,MATCH(VLOOKUP(Assumptions!U$2,TIAM15_assumptions!$Y$3:$Z$87,2,FALSE),TIAM15_assumptions!$H$2:$V$2,0))</f>
        <v>0</v>
      </c>
      <c r="V86" s="9">
        <f ca="1">OFFSET(TIAM15_assumptions!$G86,0,MATCH(VLOOKUP(Assumptions!V$2,TIAM15_assumptions!$Y$3:$Z$87,2,FALSE),TIAM15_assumptions!$H$2:$V$2,0))</f>
        <v>0</v>
      </c>
      <c r="W86" s="9">
        <f ca="1">OFFSET(TIAM15_assumptions!$G86,0,MATCH(VLOOKUP(Assumptions!W$2,TIAM15_assumptions!$Y$3:$Z$87,2,FALSE),TIAM15_assumptions!$H$2:$V$2,0))</f>
        <v>0</v>
      </c>
      <c r="X86" s="9">
        <f ca="1">OFFSET(TIAM15_assumptions!$G86,0,MATCH(VLOOKUP(Assumptions!X$2,TIAM15_assumptions!$Y$3:$Z$87,2,FALSE),TIAM15_assumptions!$H$2:$V$2,0))</f>
        <v>0</v>
      </c>
      <c r="Y86" s="9">
        <f ca="1">OFFSET(TIAM15_assumptions!$G86,0,MATCH(VLOOKUP(Assumptions!Y$2,TIAM15_assumptions!$Y$3:$Z$87,2,FALSE),TIAM15_assumptions!$H$2:$V$2,0))</f>
        <v>0</v>
      </c>
      <c r="Z86" s="9">
        <f ca="1">OFFSET(TIAM15_assumptions!$G86,0,MATCH(VLOOKUP(Assumptions!Z$2,TIAM15_assumptions!$Y$3:$Z$87,2,FALSE),TIAM15_assumptions!$H$2:$V$2,0))</f>
        <v>0</v>
      </c>
      <c r="AA86" s="9">
        <f ca="1">OFFSET(TIAM15_assumptions!$G86,0,MATCH(VLOOKUP(Assumptions!AA$2,TIAM15_assumptions!$Y$3:$Z$87,2,FALSE),TIAM15_assumptions!$H$2:$V$2,0))</f>
        <v>0</v>
      </c>
      <c r="AB86" s="9">
        <f ca="1">OFFSET(TIAM15_assumptions!$G86,0,MATCH(VLOOKUP(Assumptions!AB$2,TIAM15_assumptions!$Y$3:$Z$87,2,FALSE),TIAM15_assumptions!$H$2:$V$2,0))</f>
        <v>0</v>
      </c>
      <c r="AC86" s="9">
        <f ca="1">OFFSET(TIAM15_assumptions!$G86,0,MATCH(VLOOKUP(Assumptions!AC$2,TIAM15_assumptions!$Y$3:$Z$87,2,FALSE),TIAM15_assumptions!$H$2:$V$2,0))</f>
        <v>0</v>
      </c>
      <c r="AD86" s="9">
        <f ca="1">OFFSET(TIAM15_assumptions!$G86,0,MATCH(VLOOKUP(Assumptions!AD$2,TIAM15_assumptions!$Y$3:$Z$87,2,FALSE),TIAM15_assumptions!$H$2:$V$2,0))</f>
        <v>0</v>
      </c>
      <c r="AE86" s="9">
        <f ca="1">OFFSET(TIAM15_assumptions!$G86,0,MATCH(VLOOKUP(Assumptions!AE$2,TIAM15_assumptions!$Y$3:$Z$87,2,FALSE),TIAM15_assumptions!$H$2:$V$2,0))</f>
        <v>0</v>
      </c>
      <c r="AF86" s="9">
        <f ca="1">OFFSET(TIAM15_assumptions!$G86,0,MATCH(VLOOKUP(Assumptions!AF$2,TIAM15_assumptions!$Y$3:$Z$87,2,FALSE),TIAM15_assumptions!$H$2:$V$2,0))</f>
        <v>0</v>
      </c>
      <c r="AG86" s="9">
        <f ca="1">OFFSET(TIAM15_assumptions!$G86,0,MATCH(VLOOKUP(Assumptions!AG$2,TIAM15_assumptions!$Y$3:$Z$87,2,FALSE),TIAM15_assumptions!$H$2:$V$2,0))</f>
        <v>0</v>
      </c>
      <c r="AH86" s="9">
        <f ca="1">OFFSET(TIAM15_assumptions!$G86,0,MATCH(VLOOKUP(Assumptions!AH$2,TIAM15_assumptions!$Y$3:$Z$87,2,FALSE),TIAM15_assumptions!$H$2:$V$2,0))</f>
        <v>0</v>
      </c>
      <c r="AI86" s="9">
        <f ca="1">OFFSET(TIAM15_assumptions!$G86,0,MATCH(VLOOKUP(Assumptions!AI$2,TIAM15_assumptions!$Y$3:$Z$87,2,FALSE),TIAM15_assumptions!$H$2:$V$2,0))</f>
        <v>0</v>
      </c>
      <c r="AJ86" s="9">
        <f ca="1">OFFSET(TIAM15_assumptions!$G86,0,MATCH(VLOOKUP(Assumptions!AJ$2,TIAM15_assumptions!$Y$3:$Z$87,2,FALSE),TIAM15_assumptions!$H$2:$V$2,0))</f>
        <v>0</v>
      </c>
      <c r="AK86" s="9">
        <f ca="1">OFFSET(TIAM15_assumptions!$G86,0,MATCH(VLOOKUP(Assumptions!AK$2,TIAM15_assumptions!$Y$3:$Z$87,2,FALSE),TIAM15_assumptions!$H$2:$V$2,0))</f>
        <v>0</v>
      </c>
      <c r="AL86" s="9">
        <f ca="1">OFFSET(TIAM15_assumptions!$G86,0,MATCH(VLOOKUP(Assumptions!AL$2,TIAM15_assumptions!$Y$3:$Z$87,2,FALSE),TIAM15_assumptions!$H$2:$V$2,0))</f>
        <v>0</v>
      </c>
      <c r="AM86" s="9">
        <f ca="1">OFFSET(TIAM15_assumptions!$G86,0,MATCH(VLOOKUP(Assumptions!AM$2,TIAM15_assumptions!$Y$3:$Z$87,2,FALSE),TIAM15_assumptions!$H$2:$V$2,0))</f>
        <v>0</v>
      </c>
      <c r="AN86" s="9">
        <f ca="1">OFFSET(TIAM15_assumptions!$G86,0,MATCH(VLOOKUP(Assumptions!AN$2,TIAM15_assumptions!$Y$3:$Z$87,2,FALSE),TIAM15_assumptions!$H$2:$V$2,0))</f>
        <v>0</v>
      </c>
      <c r="AO86" s="9">
        <f ca="1">OFFSET(TIAM15_assumptions!$G86,0,MATCH(VLOOKUP(Assumptions!AO$2,TIAM15_assumptions!$Y$3:$Z$87,2,FALSE),TIAM15_assumptions!$H$2:$V$2,0))</f>
        <v>0</v>
      </c>
      <c r="AP86" s="9">
        <f ca="1">OFFSET(TIAM15_assumptions!$G86,0,MATCH(VLOOKUP(Assumptions!AP$2,TIAM15_assumptions!$Y$3:$Z$87,2,FALSE),TIAM15_assumptions!$H$2:$V$2,0))</f>
        <v>0</v>
      </c>
      <c r="AQ86" s="9">
        <f ca="1">OFFSET(TIAM15_assumptions!$G86,0,MATCH(VLOOKUP(Assumptions!AQ$2,TIAM15_assumptions!$Y$3:$Z$87,2,FALSE),TIAM15_assumptions!$H$2:$V$2,0))</f>
        <v>0</v>
      </c>
      <c r="AR86" s="9">
        <f ca="1">OFFSET(TIAM15_assumptions!$G86,0,MATCH(VLOOKUP(Assumptions!AR$2,TIAM15_assumptions!$Y$3:$Z$87,2,FALSE),TIAM15_assumptions!$H$2:$V$2,0))</f>
        <v>0</v>
      </c>
      <c r="AS86" s="9">
        <f ca="1">OFFSET(TIAM15_assumptions!$G86,0,MATCH(VLOOKUP(Assumptions!AS$2,TIAM15_assumptions!$Y$3:$Z$87,2,FALSE),TIAM15_assumptions!$H$2:$V$2,0))</f>
        <v>0</v>
      </c>
      <c r="AT86" s="9">
        <f ca="1">OFFSET(TIAM15_assumptions!$G86,0,MATCH(VLOOKUP(Assumptions!AT$2,TIAM15_assumptions!$Y$3:$Z$87,2,FALSE),TIAM15_assumptions!$H$2:$V$2,0))</f>
        <v>0</v>
      </c>
      <c r="AU86" s="9">
        <f ca="1">OFFSET(TIAM15_assumptions!$G86,0,MATCH(VLOOKUP(Assumptions!AU$2,TIAM15_assumptions!$Y$3:$Z$87,2,FALSE),TIAM15_assumptions!$H$2:$V$2,0))</f>
        <v>0</v>
      </c>
      <c r="AV86" s="9">
        <f ca="1">OFFSET(TIAM15_assumptions!$G86,0,MATCH(VLOOKUP(Assumptions!AV$2,TIAM15_assumptions!$Y$3:$Z$87,2,FALSE),TIAM15_assumptions!$H$2:$V$2,0))</f>
        <v>0</v>
      </c>
      <c r="AW86" s="9">
        <f ca="1">OFFSET(TIAM15_assumptions!$G86,0,MATCH(VLOOKUP(Assumptions!AW$2,TIAM15_assumptions!$Y$3:$Z$87,2,FALSE),TIAM15_assumptions!$H$2:$V$2,0))</f>
        <v>0</v>
      </c>
      <c r="AX86" s="9">
        <f ca="1">OFFSET(TIAM15_assumptions!$G86,0,MATCH(VLOOKUP(Assumptions!AX$2,TIAM15_assumptions!$Y$3:$Z$87,2,FALSE),TIAM15_assumptions!$H$2:$V$2,0))</f>
        <v>0</v>
      </c>
      <c r="AY86" s="9">
        <f ca="1">OFFSET(TIAM15_assumptions!$G86,0,MATCH(VLOOKUP(Assumptions!AY$2,TIAM15_assumptions!$Y$3:$Z$87,2,FALSE),TIAM15_assumptions!$H$2:$V$2,0))</f>
        <v>0</v>
      </c>
      <c r="AZ86" s="9">
        <f ca="1">OFFSET(TIAM15_assumptions!$G86,0,MATCH(VLOOKUP(Assumptions!AZ$2,TIAM15_assumptions!$Y$3:$Z$87,2,FALSE),TIAM15_assumptions!$H$2:$V$2,0))</f>
        <v>0</v>
      </c>
      <c r="BA86" s="9">
        <f ca="1">OFFSET(TIAM15_assumptions!$G86,0,MATCH(VLOOKUP(Assumptions!BA$2,TIAM15_assumptions!$Y$3:$Z$87,2,FALSE),TIAM15_assumptions!$H$2:$V$2,0))</f>
        <v>0</v>
      </c>
      <c r="BD86" s="34">
        <f ca="1">IFERROR(SUMIFS('TRA balance'!E$5:E$40,'TRA balance'!$C$5:$C$40,Assumptions!$C86,'TRA balance'!$D$5:$D$40,Assumptions!$B86)*CY86*H86,"")</f>
        <v>0</v>
      </c>
      <c r="BE86" s="34">
        <f ca="1">IFERROR(SUMIFS('TRA balance'!F$5:F$40,'TRA balance'!$C$5:$C$40,Assumptions!$C86,'TRA balance'!$D$5:$D$40,Assumptions!$B86)*CZ86*I86,"")</f>
        <v>0</v>
      </c>
      <c r="BF86" s="34">
        <f ca="1">IFERROR(SUMIFS('TRA balance'!G$5:G$40,'TRA balance'!$C$5:$C$40,Assumptions!$C86,'TRA balance'!$D$5:$D$40,Assumptions!$B86)*DA86*J86,"")</f>
        <v>0</v>
      </c>
      <c r="BG86" s="34">
        <f ca="1">IFERROR(SUMIFS('TRA balance'!H$5:H$40,'TRA balance'!$C$5:$C$40,Assumptions!$C86,'TRA balance'!$D$5:$D$40,Assumptions!$B86)*DB86*K86,"")</f>
        <v>0</v>
      </c>
      <c r="BH86" s="34">
        <f ca="1">IFERROR(SUMIFS('TRA balance'!I$5:I$40,'TRA balance'!$C$5:$C$40,Assumptions!$C86,'TRA balance'!$D$5:$D$40,Assumptions!$B86)*DC86*L86,"")</f>
        <v>0</v>
      </c>
      <c r="BI86" s="34">
        <f ca="1">IFERROR(SUMIFS('TRA balance'!J$5:J$40,'TRA balance'!$C$5:$C$40,Assumptions!$C86,'TRA balance'!$D$5:$D$40,Assumptions!$B86)*DD86*M86,"")</f>
        <v>0</v>
      </c>
      <c r="BJ86" s="34">
        <f ca="1">IFERROR(SUMIFS('TRA balance'!K$5:K$40,'TRA balance'!$C$5:$C$40,Assumptions!$C86,'TRA balance'!$D$5:$D$40,Assumptions!$B86)*DE86*N86,"")</f>
        <v>0</v>
      </c>
      <c r="BK86" s="34">
        <f ca="1">IFERROR(SUMIFS('TRA balance'!L$5:L$40,'TRA balance'!$C$5:$C$40,Assumptions!$C86,'TRA balance'!$D$5:$D$40,Assumptions!$B86)*DF86*O86,"")</f>
        <v>0</v>
      </c>
      <c r="BL86" s="34">
        <f ca="1">IFERROR(SUMIFS('TRA balance'!M$5:M$40,'TRA balance'!$C$5:$C$40,Assumptions!$C86,'TRA balance'!$D$5:$D$40,Assumptions!$B86)*DG86*P86,"")</f>
        <v>0</v>
      </c>
      <c r="BM86" s="34">
        <f ca="1">IFERROR(SUMIFS('TRA balance'!N$5:N$40,'TRA balance'!$C$5:$C$40,Assumptions!$C86,'TRA balance'!$D$5:$D$40,Assumptions!$B86)*DH86*Q86,"")</f>
        <v>0</v>
      </c>
      <c r="BN86" s="34">
        <f ca="1">IFERROR(SUMIFS('TRA balance'!O$5:O$40,'TRA balance'!$C$5:$C$40,Assumptions!$C86,'TRA balance'!$D$5:$D$40,Assumptions!$B86)*DI86*R86,"")</f>
        <v>0</v>
      </c>
      <c r="BO86" s="34">
        <f ca="1">IFERROR(SUMIFS('TRA balance'!P$5:P$40,'TRA balance'!$C$5:$C$40,Assumptions!$C86,'TRA balance'!$D$5:$D$40,Assumptions!$B86)*DJ86*S86,"")</f>
        <v>0</v>
      </c>
      <c r="BP86" s="34">
        <f ca="1">IFERROR(SUMIFS('TRA balance'!Q$5:Q$40,'TRA balance'!$C$5:$C$40,Assumptions!$C86,'TRA balance'!$D$5:$D$40,Assumptions!$B86)*DK86*T86,"")</f>
        <v>0</v>
      </c>
      <c r="BQ86" s="34">
        <f ca="1">IFERROR(SUMIFS('TRA balance'!R$5:R$40,'TRA balance'!$C$5:$C$40,Assumptions!$C86,'TRA balance'!$D$5:$D$40,Assumptions!$B86)*DL86*U86,"")</f>
        <v>0</v>
      </c>
      <c r="BR86" s="34">
        <f ca="1">IFERROR(SUMIFS('TRA balance'!S$5:S$40,'TRA balance'!$C$5:$C$40,Assumptions!$C86,'TRA balance'!$D$5:$D$40,Assumptions!$B86)*DM86*V86,"")</f>
        <v>0</v>
      </c>
      <c r="BS86" s="34">
        <f ca="1">IFERROR(SUMIFS('TRA balance'!T$5:T$40,'TRA balance'!$C$5:$C$40,Assumptions!$C86,'TRA balance'!$D$5:$D$40,Assumptions!$B86)*DN86*W86,"")</f>
        <v>0</v>
      </c>
      <c r="BT86" s="34">
        <f ca="1">IFERROR(SUMIFS('TRA balance'!U$5:U$40,'TRA balance'!$C$5:$C$40,Assumptions!$C86,'TRA balance'!$D$5:$D$40,Assumptions!$B86)*DO86*X86,"")</f>
        <v>0</v>
      </c>
      <c r="BU86" s="34">
        <f ca="1">IFERROR(SUMIFS('TRA balance'!V$5:V$40,'TRA balance'!$C$5:$C$40,Assumptions!$C86,'TRA balance'!$D$5:$D$40,Assumptions!$B86)*DP86*Y86,"")</f>
        <v>0</v>
      </c>
      <c r="BV86" s="34">
        <f ca="1">IFERROR(SUMIFS('TRA balance'!W$5:W$40,'TRA balance'!$C$5:$C$40,Assumptions!$C86,'TRA balance'!$D$5:$D$40,Assumptions!$B86)*DQ86*Z86,"")</f>
        <v>0</v>
      </c>
      <c r="BW86" s="34">
        <f ca="1">IFERROR(SUMIFS('TRA balance'!X$5:X$40,'TRA balance'!$C$5:$C$40,Assumptions!$C86,'TRA balance'!$D$5:$D$40,Assumptions!$B86)*DR86*AA86,"")</f>
        <v>0</v>
      </c>
      <c r="BX86" s="34">
        <f ca="1">IFERROR(SUMIFS('TRA balance'!Y$5:Y$40,'TRA balance'!$C$5:$C$40,Assumptions!$C86,'TRA balance'!$D$5:$D$40,Assumptions!$B86)*DS86*AB86,"")</f>
        <v>0</v>
      </c>
      <c r="BY86" s="34">
        <f ca="1">IFERROR(SUMIFS('TRA balance'!Z$5:Z$40,'TRA balance'!$C$5:$C$40,Assumptions!$C86,'TRA balance'!$D$5:$D$40,Assumptions!$B86)*DT86*AC86,"")</f>
        <v>0</v>
      </c>
      <c r="BZ86" s="34">
        <f ca="1">IFERROR(SUMIFS('TRA balance'!AA$5:AA$40,'TRA balance'!$C$5:$C$40,Assumptions!$C86,'TRA balance'!$D$5:$D$40,Assumptions!$B86)*DU86*AD86,"")</f>
        <v>0</v>
      </c>
      <c r="CA86" s="34">
        <f ca="1">IFERROR(SUMIFS('TRA balance'!AB$5:AB$40,'TRA balance'!$C$5:$C$40,Assumptions!$C86,'TRA balance'!$D$5:$D$40,Assumptions!$B86)*DV86*AE86,"")</f>
        <v>0</v>
      </c>
      <c r="CB86" s="34">
        <f ca="1">IFERROR(SUMIFS('TRA balance'!AC$5:AC$40,'TRA balance'!$C$5:$C$40,Assumptions!$C86,'TRA balance'!$D$5:$D$40,Assumptions!$B86)*DW86*AF86,"")</f>
        <v>0</v>
      </c>
      <c r="CC86" s="34">
        <f ca="1">IFERROR(SUMIFS('TRA balance'!AD$5:AD$40,'TRA balance'!$C$5:$C$40,Assumptions!$C86,'TRA balance'!$D$5:$D$40,Assumptions!$B86)*DX86*AG86,"")</f>
        <v>0</v>
      </c>
      <c r="CD86" s="34">
        <f ca="1">IFERROR(SUMIFS('TRA balance'!AE$5:AE$40,'TRA balance'!$C$5:$C$40,Assumptions!$C86,'TRA balance'!$D$5:$D$40,Assumptions!$B86)*DY86*AH86,"")</f>
        <v>0</v>
      </c>
      <c r="CE86" s="34">
        <f ca="1">IFERROR(SUMIFS('TRA balance'!AF$5:AF$40,'TRA balance'!$C$5:$C$40,Assumptions!$C86,'TRA balance'!$D$5:$D$40,Assumptions!$B86)*DZ86*AI86,"")</f>
        <v>0</v>
      </c>
      <c r="CF86" s="34">
        <f ca="1">IFERROR(SUMIFS('TRA balance'!AG$5:AG$40,'TRA balance'!$C$5:$C$40,Assumptions!$C86,'TRA balance'!$D$5:$D$40,Assumptions!$B86)*EA86*AJ86,"")</f>
        <v>0</v>
      </c>
      <c r="CG86" s="34">
        <f ca="1">IFERROR(SUMIFS('TRA balance'!AH$5:AH$40,'TRA balance'!$C$5:$C$40,Assumptions!$C86,'TRA balance'!$D$5:$D$40,Assumptions!$B86)*EB86*AK86,"")</f>
        <v>0</v>
      </c>
      <c r="CH86" s="34">
        <f ca="1">IFERROR(SUMIFS('TRA balance'!AI$5:AI$40,'TRA balance'!$C$5:$C$40,Assumptions!$C86,'TRA balance'!$D$5:$D$40,Assumptions!$B86)*EC86*AL86,"")</f>
        <v>0</v>
      </c>
      <c r="CI86" s="34">
        <f ca="1">IFERROR(SUMIFS('TRA balance'!AJ$5:AJ$40,'TRA balance'!$C$5:$C$40,Assumptions!$C86,'TRA balance'!$D$5:$D$40,Assumptions!$B86)*ED86*AM86,"")</f>
        <v>0</v>
      </c>
      <c r="CJ86" s="34">
        <f ca="1">IFERROR(SUMIFS('TRA balance'!AK$5:AK$40,'TRA balance'!$C$5:$C$40,Assumptions!$C86,'TRA balance'!$D$5:$D$40,Assumptions!$B86)*EE86*AN86,"")</f>
        <v>0</v>
      </c>
      <c r="CK86" s="34">
        <f ca="1">IFERROR(SUMIFS('TRA balance'!AL$5:AL$40,'TRA balance'!$C$5:$C$40,Assumptions!$C86,'TRA balance'!$D$5:$D$40,Assumptions!$B86)*EF86*AO86,"")</f>
        <v>0</v>
      </c>
      <c r="CL86" s="34">
        <f ca="1">IFERROR(SUMIFS('TRA balance'!AM$5:AM$40,'TRA balance'!$C$5:$C$40,Assumptions!$C86,'TRA balance'!$D$5:$D$40,Assumptions!$B86)*EG86*AP86,"")</f>
        <v>0</v>
      </c>
      <c r="CM86" s="34">
        <f ca="1">IFERROR(SUMIFS('TRA balance'!AN$5:AN$40,'TRA balance'!$C$5:$C$40,Assumptions!$C86,'TRA balance'!$D$5:$D$40,Assumptions!$B86)*EH86*AQ86,"")</f>
        <v>0</v>
      </c>
      <c r="CN86" s="34">
        <f ca="1">IFERROR(SUMIFS('TRA balance'!AO$5:AO$40,'TRA balance'!$C$5:$C$40,Assumptions!$C86,'TRA balance'!$D$5:$D$40,Assumptions!$B86)*EI86*AR86,"")</f>
        <v>0</v>
      </c>
      <c r="CO86" s="34">
        <f ca="1">IFERROR(SUMIFS('TRA balance'!AP$5:AP$40,'TRA balance'!$C$5:$C$40,Assumptions!$C86,'TRA balance'!$D$5:$D$40,Assumptions!$B86)*EJ86*AS86,"")</f>
        <v>0</v>
      </c>
      <c r="CP86" s="34">
        <f ca="1">IFERROR(SUMIFS('TRA balance'!AQ$5:AQ$40,'TRA balance'!$C$5:$C$40,Assumptions!$C86,'TRA balance'!$D$5:$D$40,Assumptions!$B86)*EK86*AT86,"")</f>
        <v>0</v>
      </c>
      <c r="CQ86" s="34">
        <f ca="1">IFERROR(SUMIFS('TRA balance'!AR$5:AR$40,'TRA balance'!$C$5:$C$40,Assumptions!$C86,'TRA balance'!$D$5:$D$40,Assumptions!$B86)*EL86*AU86,"")</f>
        <v>0</v>
      </c>
      <c r="CR86" s="34">
        <f ca="1">IFERROR(SUMIFS('TRA balance'!AS$5:AS$40,'TRA balance'!$C$5:$C$40,Assumptions!$C86,'TRA balance'!$D$5:$D$40,Assumptions!$B86)*EM86*AV86,"")</f>
        <v>0</v>
      </c>
      <c r="CS86" s="34">
        <f ca="1">IFERROR(SUMIFS('TRA balance'!AT$5:AT$40,'TRA balance'!$C$5:$C$40,Assumptions!$C86,'TRA balance'!$D$5:$D$40,Assumptions!$B86)*EN86*AW86,"")</f>
        <v>0</v>
      </c>
      <c r="CT86" s="34">
        <f ca="1">IFERROR(SUMIFS('TRA balance'!AU$5:AU$40,'TRA balance'!$C$5:$C$40,Assumptions!$C86,'TRA balance'!$D$5:$D$40,Assumptions!$B86)*EO86*AX86,"")</f>
        <v>0</v>
      </c>
      <c r="CU86" s="34">
        <f ca="1">IFERROR(SUMIFS('TRA balance'!AV$5:AV$40,'TRA balance'!$C$5:$C$40,Assumptions!$C86,'TRA balance'!$D$5:$D$40,Assumptions!$B86)*EP86*AY86,"")</f>
        <v>0</v>
      </c>
      <c r="CV86" s="34">
        <f ca="1">IFERROR(SUMIFS('TRA balance'!AW$5:AW$40,'TRA balance'!$C$5:$C$40,Assumptions!$C86,'TRA balance'!$D$5:$D$40,Assumptions!$B86)*EQ86*AZ86,"")</f>
        <v>0</v>
      </c>
      <c r="CW86" s="34">
        <f ca="1">IFERROR(SUMIFS('TRA balance'!AX$5:AX$40,'TRA balance'!$C$5:$C$40,Assumptions!$C86,'TRA balance'!$D$5:$D$40,Assumptions!$B86)*ER86*BA86,"")</f>
        <v>0</v>
      </c>
      <c r="CY86" s="33">
        <f t="shared" ca="1" si="86"/>
        <v>1</v>
      </c>
      <c r="CZ86" s="33">
        <f t="shared" ca="1" si="87"/>
        <v>1</v>
      </c>
      <c r="DA86" s="33">
        <f t="shared" ca="1" si="88"/>
        <v>1</v>
      </c>
      <c r="DB86" s="33">
        <f t="shared" ca="1" si="89"/>
        <v>1</v>
      </c>
      <c r="DC86" s="33">
        <f t="shared" ca="1" si="90"/>
        <v>1</v>
      </c>
      <c r="DD86" s="33">
        <f t="shared" ca="1" si="91"/>
        <v>1</v>
      </c>
      <c r="DE86" s="33">
        <f t="shared" ca="1" si="92"/>
        <v>1</v>
      </c>
      <c r="DF86" s="33">
        <f t="shared" ca="1" si="93"/>
        <v>1</v>
      </c>
      <c r="DG86" s="33">
        <f t="shared" ca="1" si="94"/>
        <v>1</v>
      </c>
      <c r="DH86" s="33">
        <f t="shared" ca="1" si="95"/>
        <v>1</v>
      </c>
      <c r="DI86" s="33">
        <f t="shared" ca="1" si="96"/>
        <v>1</v>
      </c>
      <c r="DJ86" s="33">
        <f t="shared" ca="1" si="97"/>
        <v>1</v>
      </c>
      <c r="DK86" s="33">
        <f t="shared" ca="1" si="98"/>
        <v>1</v>
      </c>
      <c r="DL86" s="33">
        <f t="shared" ca="1" si="99"/>
        <v>1</v>
      </c>
      <c r="DM86" s="33">
        <f t="shared" ca="1" si="100"/>
        <v>1</v>
      </c>
      <c r="DN86" s="33">
        <f t="shared" ca="1" si="101"/>
        <v>1</v>
      </c>
      <c r="DO86" s="33">
        <f t="shared" ca="1" si="102"/>
        <v>1</v>
      </c>
      <c r="DP86" s="33">
        <f t="shared" ca="1" si="103"/>
        <v>1</v>
      </c>
      <c r="DQ86" s="33">
        <f t="shared" ca="1" si="104"/>
        <v>1</v>
      </c>
      <c r="DR86" s="33">
        <f t="shared" ca="1" si="105"/>
        <v>1</v>
      </c>
      <c r="DS86" s="33">
        <f t="shared" ca="1" si="106"/>
        <v>1</v>
      </c>
      <c r="DT86" s="33">
        <f t="shared" ca="1" si="107"/>
        <v>1</v>
      </c>
      <c r="DU86" s="33">
        <f t="shared" ca="1" si="108"/>
        <v>1</v>
      </c>
      <c r="DV86" s="33">
        <f t="shared" ca="1" si="109"/>
        <v>1</v>
      </c>
      <c r="DW86" s="33">
        <f t="shared" ca="1" si="110"/>
        <v>1</v>
      </c>
      <c r="DX86" s="33">
        <f t="shared" ca="1" si="111"/>
        <v>1</v>
      </c>
      <c r="DY86" s="33">
        <f t="shared" ca="1" si="112"/>
        <v>1</v>
      </c>
      <c r="DZ86" s="33">
        <f t="shared" ca="1" si="113"/>
        <v>1</v>
      </c>
      <c r="EA86" s="33">
        <f t="shared" ca="1" si="114"/>
        <v>1</v>
      </c>
      <c r="EB86" s="33">
        <f t="shared" ca="1" si="115"/>
        <v>1</v>
      </c>
      <c r="EC86" s="33">
        <f t="shared" ca="1" si="116"/>
        <v>1</v>
      </c>
      <c r="ED86" s="33">
        <f t="shared" ca="1" si="117"/>
        <v>1</v>
      </c>
      <c r="EE86" s="33">
        <f t="shared" ca="1" si="118"/>
        <v>1</v>
      </c>
      <c r="EF86" s="33">
        <f t="shared" ca="1" si="119"/>
        <v>1</v>
      </c>
      <c r="EG86" s="33">
        <f t="shared" ca="1" si="120"/>
        <v>1</v>
      </c>
      <c r="EH86" s="33">
        <f t="shared" ca="1" si="121"/>
        <v>1</v>
      </c>
      <c r="EI86" s="33">
        <f t="shared" ca="1" si="122"/>
        <v>1</v>
      </c>
      <c r="EJ86" s="33">
        <f t="shared" ca="1" si="123"/>
        <v>1</v>
      </c>
      <c r="EK86" s="33">
        <f t="shared" ca="1" si="124"/>
        <v>1</v>
      </c>
      <c r="EL86" s="33">
        <f t="shared" ca="1" si="125"/>
        <v>1</v>
      </c>
      <c r="EM86" s="33">
        <f t="shared" ca="1" si="126"/>
        <v>1</v>
      </c>
      <c r="EN86" s="33">
        <f t="shared" ca="1" si="127"/>
        <v>1</v>
      </c>
      <c r="EO86" s="33">
        <f t="shared" ca="1" si="128"/>
        <v>1</v>
      </c>
      <c r="EP86" s="33">
        <f t="shared" ca="1" si="129"/>
        <v>1</v>
      </c>
      <c r="EQ86" s="33">
        <f t="shared" ca="1" si="130"/>
        <v>1</v>
      </c>
      <c r="ER86" s="33">
        <f t="shared" ca="1" si="131"/>
        <v>1</v>
      </c>
    </row>
    <row r="87" spans="1:148">
      <c r="A87">
        <v>2</v>
      </c>
      <c r="B87" t="str">
        <f>VLOOKUP(F87,'TRA balance'!$BA$5:$BB$14,2,FALSE)</f>
        <v>TRABGS</v>
      </c>
      <c r="C87" s="6" t="str">
        <f t="shared" si="133"/>
        <v>TR</v>
      </c>
      <c r="D87" s="7" t="s">
        <v>16</v>
      </c>
      <c r="E87" s="18" t="s">
        <v>77</v>
      </c>
      <c r="F87" s="8" t="str">
        <f t="shared" si="141"/>
        <v>Bio Gasoline</v>
      </c>
      <c r="G87" s="6" t="s">
        <v>78</v>
      </c>
      <c r="H87" s="9">
        <f ca="1">OFFSET(TIAM15_assumptions!$G87,0,MATCH(VLOOKUP(Assumptions!H$2,TIAM15_assumptions!$Y$3:$Z$87,2,FALSE),TIAM15_assumptions!$H$2:$V$2,0))</f>
        <v>0</v>
      </c>
      <c r="I87" s="9">
        <f ca="1">OFFSET(TIAM15_assumptions!$G87,0,MATCH(VLOOKUP(Assumptions!I$2,TIAM15_assumptions!$Y$3:$Z$87,2,FALSE),TIAM15_assumptions!$H$2:$V$2,0))</f>
        <v>0</v>
      </c>
      <c r="J87" s="9">
        <f ca="1">OFFSET(TIAM15_assumptions!$G87,0,MATCH(VLOOKUP(Assumptions!J$2,TIAM15_assumptions!$Y$3:$Z$87,2,FALSE),TIAM15_assumptions!$H$2:$V$2,0))</f>
        <v>0</v>
      </c>
      <c r="K87" s="9">
        <f ca="1">OFFSET(TIAM15_assumptions!$G87,0,MATCH(VLOOKUP(Assumptions!K$2,TIAM15_assumptions!$Y$3:$Z$87,2,FALSE),TIAM15_assumptions!$H$2:$V$2,0))</f>
        <v>0</v>
      </c>
      <c r="L87" s="9">
        <f ca="1">OFFSET(TIAM15_assumptions!$G87,0,MATCH(VLOOKUP(Assumptions!L$2,TIAM15_assumptions!$Y$3:$Z$87,2,FALSE),TIAM15_assumptions!$H$2:$V$2,0))</f>
        <v>0</v>
      </c>
      <c r="M87" s="9">
        <f ca="1">OFFSET(TIAM15_assumptions!$G87,0,MATCH(VLOOKUP(Assumptions!M$2,TIAM15_assumptions!$Y$3:$Z$87,2,FALSE),TIAM15_assumptions!$H$2:$V$2,0))</f>
        <v>0</v>
      </c>
      <c r="N87" s="9">
        <f ca="1">OFFSET(TIAM15_assumptions!$G87,0,MATCH(VLOOKUP(Assumptions!N$2,TIAM15_assumptions!$Y$3:$Z$87,2,FALSE),TIAM15_assumptions!$H$2:$V$2,0))</f>
        <v>0</v>
      </c>
      <c r="O87" s="9">
        <f ca="1">OFFSET(TIAM15_assumptions!$G87,0,MATCH(VLOOKUP(Assumptions!O$2,TIAM15_assumptions!$Y$3:$Z$87,2,FALSE),TIAM15_assumptions!$H$2:$V$2,0))</f>
        <v>0</v>
      </c>
      <c r="P87" s="9">
        <f ca="1">OFFSET(TIAM15_assumptions!$G87,0,MATCH(VLOOKUP(Assumptions!P$2,TIAM15_assumptions!$Y$3:$Z$87,2,FALSE),TIAM15_assumptions!$H$2:$V$2,0))</f>
        <v>0</v>
      </c>
      <c r="Q87" s="9">
        <f ca="1">OFFSET(TIAM15_assumptions!$G87,0,MATCH(VLOOKUP(Assumptions!Q$2,TIAM15_assumptions!$Y$3:$Z$87,2,FALSE),TIAM15_assumptions!$H$2:$V$2,0))</f>
        <v>0</v>
      </c>
      <c r="R87" s="9">
        <f ca="1">OFFSET(TIAM15_assumptions!$G87,0,MATCH(VLOOKUP(Assumptions!R$2,TIAM15_assumptions!$Y$3:$Z$87,2,FALSE),TIAM15_assumptions!$H$2:$V$2,0))</f>
        <v>0</v>
      </c>
      <c r="S87" s="9">
        <f ca="1">OFFSET(TIAM15_assumptions!$G87,0,MATCH(VLOOKUP(Assumptions!S$2,TIAM15_assumptions!$Y$3:$Z$87,2,FALSE),TIAM15_assumptions!$H$2:$V$2,0))</f>
        <v>0</v>
      </c>
      <c r="T87" s="9">
        <f ca="1">OFFSET(TIAM15_assumptions!$G87,0,MATCH(VLOOKUP(Assumptions!T$2,TIAM15_assumptions!$Y$3:$Z$87,2,FALSE),TIAM15_assumptions!$H$2:$V$2,0))</f>
        <v>0</v>
      </c>
      <c r="U87" s="9">
        <f ca="1">OFFSET(TIAM15_assumptions!$G87,0,MATCH(VLOOKUP(Assumptions!U$2,TIAM15_assumptions!$Y$3:$Z$87,2,FALSE),TIAM15_assumptions!$H$2:$V$2,0))</f>
        <v>0</v>
      </c>
      <c r="V87" s="9">
        <f ca="1">OFFSET(TIAM15_assumptions!$G87,0,MATCH(VLOOKUP(Assumptions!V$2,TIAM15_assumptions!$Y$3:$Z$87,2,FALSE),TIAM15_assumptions!$H$2:$V$2,0))</f>
        <v>0</v>
      </c>
      <c r="W87" s="9">
        <f ca="1">OFFSET(TIAM15_assumptions!$G87,0,MATCH(VLOOKUP(Assumptions!W$2,TIAM15_assumptions!$Y$3:$Z$87,2,FALSE),TIAM15_assumptions!$H$2:$V$2,0))</f>
        <v>0</v>
      </c>
      <c r="X87" s="9">
        <f ca="1">OFFSET(TIAM15_assumptions!$G87,0,MATCH(VLOOKUP(Assumptions!X$2,TIAM15_assumptions!$Y$3:$Z$87,2,FALSE),TIAM15_assumptions!$H$2:$V$2,0))</f>
        <v>0</v>
      </c>
      <c r="Y87" s="9">
        <f ca="1">OFFSET(TIAM15_assumptions!$G87,0,MATCH(VLOOKUP(Assumptions!Y$2,TIAM15_assumptions!$Y$3:$Z$87,2,FALSE),TIAM15_assumptions!$H$2:$V$2,0))</f>
        <v>0</v>
      </c>
      <c r="Z87" s="9">
        <f ca="1">OFFSET(TIAM15_assumptions!$G87,0,MATCH(VLOOKUP(Assumptions!Z$2,TIAM15_assumptions!$Y$3:$Z$87,2,FALSE),TIAM15_assumptions!$H$2:$V$2,0))</f>
        <v>0</v>
      </c>
      <c r="AA87" s="9">
        <f ca="1">OFFSET(TIAM15_assumptions!$G87,0,MATCH(VLOOKUP(Assumptions!AA$2,TIAM15_assumptions!$Y$3:$Z$87,2,FALSE),TIAM15_assumptions!$H$2:$V$2,0))</f>
        <v>0</v>
      </c>
      <c r="AB87" s="9">
        <f ca="1">OFFSET(TIAM15_assumptions!$G87,0,MATCH(VLOOKUP(Assumptions!AB$2,TIAM15_assumptions!$Y$3:$Z$87,2,FALSE),TIAM15_assumptions!$H$2:$V$2,0))</f>
        <v>0</v>
      </c>
      <c r="AC87" s="9">
        <f ca="1">OFFSET(TIAM15_assumptions!$G87,0,MATCH(VLOOKUP(Assumptions!AC$2,TIAM15_assumptions!$Y$3:$Z$87,2,FALSE),TIAM15_assumptions!$H$2:$V$2,0))</f>
        <v>0</v>
      </c>
      <c r="AD87" s="9">
        <f ca="1">OFFSET(TIAM15_assumptions!$G87,0,MATCH(VLOOKUP(Assumptions!AD$2,TIAM15_assumptions!$Y$3:$Z$87,2,FALSE),TIAM15_assumptions!$H$2:$V$2,0))</f>
        <v>0</v>
      </c>
      <c r="AE87" s="9">
        <f ca="1">OFFSET(TIAM15_assumptions!$G87,0,MATCH(VLOOKUP(Assumptions!AE$2,TIAM15_assumptions!$Y$3:$Z$87,2,FALSE),TIAM15_assumptions!$H$2:$V$2,0))</f>
        <v>0</v>
      </c>
      <c r="AF87" s="9">
        <f ca="1">OFFSET(TIAM15_assumptions!$G87,0,MATCH(VLOOKUP(Assumptions!AF$2,TIAM15_assumptions!$Y$3:$Z$87,2,FALSE),TIAM15_assumptions!$H$2:$V$2,0))</f>
        <v>0</v>
      </c>
      <c r="AG87" s="9">
        <f ca="1">OFFSET(TIAM15_assumptions!$G87,0,MATCH(VLOOKUP(Assumptions!AG$2,TIAM15_assumptions!$Y$3:$Z$87,2,FALSE),TIAM15_assumptions!$H$2:$V$2,0))</f>
        <v>0</v>
      </c>
      <c r="AH87" s="9">
        <f ca="1">OFFSET(TIAM15_assumptions!$G87,0,MATCH(VLOOKUP(Assumptions!AH$2,TIAM15_assumptions!$Y$3:$Z$87,2,FALSE),TIAM15_assumptions!$H$2:$V$2,0))</f>
        <v>0</v>
      </c>
      <c r="AI87" s="9">
        <f ca="1">OFFSET(TIAM15_assumptions!$G87,0,MATCH(VLOOKUP(Assumptions!AI$2,TIAM15_assumptions!$Y$3:$Z$87,2,FALSE),TIAM15_assumptions!$H$2:$V$2,0))</f>
        <v>0</v>
      </c>
      <c r="AJ87" s="9">
        <f ca="1">OFFSET(TIAM15_assumptions!$G87,0,MATCH(VLOOKUP(Assumptions!AJ$2,TIAM15_assumptions!$Y$3:$Z$87,2,FALSE),TIAM15_assumptions!$H$2:$V$2,0))</f>
        <v>0</v>
      </c>
      <c r="AK87" s="9">
        <f ca="1">OFFSET(TIAM15_assumptions!$G87,0,MATCH(VLOOKUP(Assumptions!AK$2,TIAM15_assumptions!$Y$3:$Z$87,2,FALSE),TIAM15_assumptions!$H$2:$V$2,0))</f>
        <v>0</v>
      </c>
      <c r="AL87" s="9">
        <f ca="1">OFFSET(TIAM15_assumptions!$G87,0,MATCH(VLOOKUP(Assumptions!AL$2,TIAM15_assumptions!$Y$3:$Z$87,2,FALSE),TIAM15_assumptions!$H$2:$V$2,0))</f>
        <v>0</v>
      </c>
      <c r="AM87" s="9">
        <f ca="1">OFFSET(TIAM15_assumptions!$G87,0,MATCH(VLOOKUP(Assumptions!AM$2,TIAM15_assumptions!$Y$3:$Z$87,2,FALSE),TIAM15_assumptions!$H$2:$V$2,0))</f>
        <v>0</v>
      </c>
      <c r="AN87" s="9">
        <f ca="1">OFFSET(TIAM15_assumptions!$G87,0,MATCH(VLOOKUP(Assumptions!AN$2,TIAM15_assumptions!$Y$3:$Z$87,2,FALSE),TIAM15_assumptions!$H$2:$V$2,0))</f>
        <v>0</v>
      </c>
      <c r="AO87" s="9">
        <f ca="1">OFFSET(TIAM15_assumptions!$G87,0,MATCH(VLOOKUP(Assumptions!AO$2,TIAM15_assumptions!$Y$3:$Z$87,2,FALSE),TIAM15_assumptions!$H$2:$V$2,0))</f>
        <v>0</v>
      </c>
      <c r="AP87" s="9">
        <f ca="1">OFFSET(TIAM15_assumptions!$G87,0,MATCH(VLOOKUP(Assumptions!AP$2,TIAM15_assumptions!$Y$3:$Z$87,2,FALSE),TIAM15_assumptions!$H$2:$V$2,0))</f>
        <v>0</v>
      </c>
      <c r="AQ87" s="9">
        <f ca="1">OFFSET(TIAM15_assumptions!$G87,0,MATCH(VLOOKUP(Assumptions!AQ$2,TIAM15_assumptions!$Y$3:$Z$87,2,FALSE),TIAM15_assumptions!$H$2:$V$2,0))</f>
        <v>0</v>
      </c>
      <c r="AR87" s="9">
        <f ca="1">OFFSET(TIAM15_assumptions!$G87,0,MATCH(VLOOKUP(Assumptions!AR$2,TIAM15_assumptions!$Y$3:$Z$87,2,FALSE),TIAM15_assumptions!$H$2:$V$2,0))</f>
        <v>0</v>
      </c>
      <c r="AS87" s="9">
        <f ca="1">OFFSET(TIAM15_assumptions!$G87,0,MATCH(VLOOKUP(Assumptions!AS$2,TIAM15_assumptions!$Y$3:$Z$87,2,FALSE),TIAM15_assumptions!$H$2:$V$2,0))</f>
        <v>0</v>
      </c>
      <c r="AT87" s="9">
        <f ca="1">OFFSET(TIAM15_assumptions!$G87,0,MATCH(VLOOKUP(Assumptions!AT$2,TIAM15_assumptions!$Y$3:$Z$87,2,FALSE),TIAM15_assumptions!$H$2:$V$2,0))</f>
        <v>0</v>
      </c>
      <c r="AU87" s="9">
        <f ca="1">OFFSET(TIAM15_assumptions!$G87,0,MATCH(VLOOKUP(Assumptions!AU$2,TIAM15_assumptions!$Y$3:$Z$87,2,FALSE),TIAM15_assumptions!$H$2:$V$2,0))</f>
        <v>0</v>
      </c>
      <c r="AV87" s="9">
        <f ca="1">OFFSET(TIAM15_assumptions!$G87,0,MATCH(VLOOKUP(Assumptions!AV$2,TIAM15_assumptions!$Y$3:$Z$87,2,FALSE),TIAM15_assumptions!$H$2:$V$2,0))</f>
        <v>0</v>
      </c>
      <c r="AW87" s="9">
        <f ca="1">OFFSET(TIAM15_assumptions!$G87,0,MATCH(VLOOKUP(Assumptions!AW$2,TIAM15_assumptions!$Y$3:$Z$87,2,FALSE),TIAM15_assumptions!$H$2:$V$2,0))</f>
        <v>0</v>
      </c>
      <c r="AX87" s="9">
        <f ca="1">OFFSET(TIAM15_assumptions!$G87,0,MATCH(VLOOKUP(Assumptions!AX$2,TIAM15_assumptions!$Y$3:$Z$87,2,FALSE),TIAM15_assumptions!$H$2:$V$2,0))</f>
        <v>0</v>
      </c>
      <c r="AY87" s="9">
        <f ca="1">OFFSET(TIAM15_assumptions!$G87,0,MATCH(VLOOKUP(Assumptions!AY$2,TIAM15_assumptions!$Y$3:$Z$87,2,FALSE),TIAM15_assumptions!$H$2:$V$2,0))</f>
        <v>0</v>
      </c>
      <c r="AZ87" s="9">
        <f ca="1">OFFSET(TIAM15_assumptions!$G87,0,MATCH(VLOOKUP(Assumptions!AZ$2,TIAM15_assumptions!$Y$3:$Z$87,2,FALSE),TIAM15_assumptions!$H$2:$V$2,0))</f>
        <v>0</v>
      </c>
      <c r="BA87" s="9">
        <f ca="1">OFFSET(TIAM15_assumptions!$G87,0,MATCH(VLOOKUP(Assumptions!BA$2,TIAM15_assumptions!$Y$3:$Z$87,2,FALSE),TIAM15_assumptions!$H$2:$V$2,0))</f>
        <v>0</v>
      </c>
      <c r="BD87" s="34">
        <f ca="1">IFERROR(SUMIFS('TRA balance'!E$5:E$40,'TRA balance'!$C$5:$C$40,Assumptions!$C87,'TRA balance'!$D$5:$D$40,Assumptions!$B87)*CY87*H87,"")</f>
        <v>0</v>
      </c>
      <c r="BE87" s="34">
        <f ca="1">IFERROR(SUMIFS('TRA balance'!F$5:F$40,'TRA balance'!$C$5:$C$40,Assumptions!$C87,'TRA balance'!$D$5:$D$40,Assumptions!$B87)*CZ87*I87,"")</f>
        <v>0</v>
      </c>
      <c r="BF87" s="34">
        <f ca="1">IFERROR(SUMIFS('TRA balance'!G$5:G$40,'TRA balance'!$C$5:$C$40,Assumptions!$C87,'TRA balance'!$D$5:$D$40,Assumptions!$B87)*DA87*J87,"")</f>
        <v>0</v>
      </c>
      <c r="BG87" s="34">
        <f ca="1">IFERROR(SUMIFS('TRA balance'!H$5:H$40,'TRA balance'!$C$5:$C$40,Assumptions!$C87,'TRA balance'!$D$5:$D$40,Assumptions!$B87)*DB87*K87,"")</f>
        <v>0</v>
      </c>
      <c r="BH87" s="34">
        <f ca="1">IFERROR(SUMIFS('TRA balance'!I$5:I$40,'TRA balance'!$C$5:$C$40,Assumptions!$C87,'TRA balance'!$D$5:$D$40,Assumptions!$B87)*DC87*L87,"")</f>
        <v>0</v>
      </c>
      <c r="BI87" s="34">
        <f ca="1">IFERROR(SUMIFS('TRA balance'!J$5:J$40,'TRA balance'!$C$5:$C$40,Assumptions!$C87,'TRA balance'!$D$5:$D$40,Assumptions!$B87)*DD87*M87,"")</f>
        <v>0</v>
      </c>
      <c r="BJ87" s="34">
        <f ca="1">IFERROR(SUMIFS('TRA balance'!K$5:K$40,'TRA balance'!$C$5:$C$40,Assumptions!$C87,'TRA balance'!$D$5:$D$40,Assumptions!$B87)*DE87*N87,"")</f>
        <v>0</v>
      </c>
      <c r="BK87" s="34">
        <f ca="1">IFERROR(SUMIFS('TRA balance'!L$5:L$40,'TRA balance'!$C$5:$C$40,Assumptions!$C87,'TRA balance'!$D$5:$D$40,Assumptions!$B87)*DF87*O87,"")</f>
        <v>0</v>
      </c>
      <c r="BL87" s="34">
        <f ca="1">IFERROR(SUMIFS('TRA balance'!M$5:M$40,'TRA balance'!$C$5:$C$40,Assumptions!$C87,'TRA balance'!$D$5:$D$40,Assumptions!$B87)*DG87*P87,"")</f>
        <v>0</v>
      </c>
      <c r="BM87" s="34">
        <f ca="1">IFERROR(SUMIFS('TRA balance'!N$5:N$40,'TRA balance'!$C$5:$C$40,Assumptions!$C87,'TRA balance'!$D$5:$D$40,Assumptions!$B87)*DH87*Q87,"")</f>
        <v>0</v>
      </c>
      <c r="BN87" s="34">
        <f ca="1">IFERROR(SUMIFS('TRA balance'!O$5:O$40,'TRA balance'!$C$5:$C$40,Assumptions!$C87,'TRA balance'!$D$5:$D$40,Assumptions!$B87)*DI87*R87,"")</f>
        <v>0</v>
      </c>
      <c r="BO87" s="34">
        <f ca="1">IFERROR(SUMIFS('TRA balance'!P$5:P$40,'TRA balance'!$C$5:$C$40,Assumptions!$C87,'TRA balance'!$D$5:$D$40,Assumptions!$B87)*DJ87*S87,"")</f>
        <v>0</v>
      </c>
      <c r="BP87" s="34">
        <f ca="1">IFERROR(SUMIFS('TRA balance'!Q$5:Q$40,'TRA balance'!$C$5:$C$40,Assumptions!$C87,'TRA balance'!$D$5:$D$40,Assumptions!$B87)*DK87*T87,"")</f>
        <v>0</v>
      </c>
      <c r="BQ87" s="34">
        <f ca="1">IFERROR(SUMIFS('TRA balance'!R$5:R$40,'TRA balance'!$C$5:$C$40,Assumptions!$C87,'TRA balance'!$D$5:$D$40,Assumptions!$B87)*DL87*U87,"")</f>
        <v>0</v>
      </c>
      <c r="BR87" s="34">
        <f ca="1">IFERROR(SUMIFS('TRA balance'!S$5:S$40,'TRA balance'!$C$5:$C$40,Assumptions!$C87,'TRA balance'!$D$5:$D$40,Assumptions!$B87)*DM87*V87,"")</f>
        <v>0</v>
      </c>
      <c r="BS87" s="34">
        <f ca="1">IFERROR(SUMIFS('TRA balance'!T$5:T$40,'TRA balance'!$C$5:$C$40,Assumptions!$C87,'TRA balance'!$D$5:$D$40,Assumptions!$B87)*DN87*W87,"")</f>
        <v>0</v>
      </c>
      <c r="BT87" s="34">
        <f ca="1">IFERROR(SUMIFS('TRA balance'!U$5:U$40,'TRA balance'!$C$5:$C$40,Assumptions!$C87,'TRA balance'!$D$5:$D$40,Assumptions!$B87)*DO87*X87,"")</f>
        <v>0</v>
      </c>
      <c r="BU87" s="34">
        <f ca="1">IFERROR(SUMIFS('TRA balance'!V$5:V$40,'TRA balance'!$C$5:$C$40,Assumptions!$C87,'TRA balance'!$D$5:$D$40,Assumptions!$B87)*DP87*Y87,"")</f>
        <v>0</v>
      </c>
      <c r="BV87" s="34">
        <f ca="1">IFERROR(SUMIFS('TRA balance'!W$5:W$40,'TRA balance'!$C$5:$C$40,Assumptions!$C87,'TRA balance'!$D$5:$D$40,Assumptions!$B87)*DQ87*Z87,"")</f>
        <v>0</v>
      </c>
      <c r="BW87" s="34">
        <f ca="1">IFERROR(SUMIFS('TRA balance'!X$5:X$40,'TRA balance'!$C$5:$C$40,Assumptions!$C87,'TRA balance'!$D$5:$D$40,Assumptions!$B87)*DR87*AA87,"")</f>
        <v>0</v>
      </c>
      <c r="BX87" s="34">
        <f ca="1">IFERROR(SUMIFS('TRA balance'!Y$5:Y$40,'TRA balance'!$C$5:$C$40,Assumptions!$C87,'TRA balance'!$D$5:$D$40,Assumptions!$B87)*DS87*AB87,"")</f>
        <v>0</v>
      </c>
      <c r="BY87" s="34">
        <f ca="1">IFERROR(SUMIFS('TRA balance'!Z$5:Z$40,'TRA balance'!$C$5:$C$40,Assumptions!$C87,'TRA balance'!$D$5:$D$40,Assumptions!$B87)*DT87*AC87,"")</f>
        <v>0</v>
      </c>
      <c r="BZ87" s="34">
        <f ca="1">IFERROR(SUMIFS('TRA balance'!AA$5:AA$40,'TRA balance'!$C$5:$C$40,Assumptions!$C87,'TRA balance'!$D$5:$D$40,Assumptions!$B87)*DU87*AD87,"")</f>
        <v>0</v>
      </c>
      <c r="CA87" s="34">
        <f ca="1">IFERROR(SUMIFS('TRA balance'!AB$5:AB$40,'TRA balance'!$C$5:$C$40,Assumptions!$C87,'TRA balance'!$D$5:$D$40,Assumptions!$B87)*DV87*AE87,"")</f>
        <v>0</v>
      </c>
      <c r="CB87" s="34">
        <f ca="1">IFERROR(SUMIFS('TRA balance'!AC$5:AC$40,'TRA balance'!$C$5:$C$40,Assumptions!$C87,'TRA balance'!$D$5:$D$40,Assumptions!$B87)*DW87*AF87,"")</f>
        <v>0</v>
      </c>
      <c r="CC87" s="34">
        <f ca="1">IFERROR(SUMIFS('TRA balance'!AD$5:AD$40,'TRA balance'!$C$5:$C$40,Assumptions!$C87,'TRA balance'!$D$5:$D$40,Assumptions!$B87)*DX87*AG87,"")</f>
        <v>0</v>
      </c>
      <c r="CD87" s="34">
        <f ca="1">IFERROR(SUMIFS('TRA balance'!AE$5:AE$40,'TRA balance'!$C$5:$C$40,Assumptions!$C87,'TRA balance'!$D$5:$D$40,Assumptions!$B87)*DY87*AH87,"")</f>
        <v>0</v>
      </c>
      <c r="CE87" s="34">
        <f ca="1">IFERROR(SUMIFS('TRA balance'!AF$5:AF$40,'TRA balance'!$C$5:$C$40,Assumptions!$C87,'TRA balance'!$D$5:$D$40,Assumptions!$B87)*DZ87*AI87,"")</f>
        <v>0</v>
      </c>
      <c r="CF87" s="34">
        <f ca="1">IFERROR(SUMIFS('TRA balance'!AG$5:AG$40,'TRA balance'!$C$5:$C$40,Assumptions!$C87,'TRA balance'!$D$5:$D$40,Assumptions!$B87)*EA87*AJ87,"")</f>
        <v>0</v>
      </c>
      <c r="CG87" s="34">
        <f ca="1">IFERROR(SUMIFS('TRA balance'!AH$5:AH$40,'TRA balance'!$C$5:$C$40,Assumptions!$C87,'TRA balance'!$D$5:$D$40,Assumptions!$B87)*EB87*AK87,"")</f>
        <v>0</v>
      </c>
      <c r="CH87" s="34">
        <f ca="1">IFERROR(SUMIFS('TRA balance'!AI$5:AI$40,'TRA balance'!$C$5:$C$40,Assumptions!$C87,'TRA balance'!$D$5:$D$40,Assumptions!$B87)*EC87*AL87,"")</f>
        <v>0</v>
      </c>
      <c r="CI87" s="34">
        <f ca="1">IFERROR(SUMIFS('TRA balance'!AJ$5:AJ$40,'TRA balance'!$C$5:$C$40,Assumptions!$C87,'TRA balance'!$D$5:$D$40,Assumptions!$B87)*ED87*AM87,"")</f>
        <v>0</v>
      </c>
      <c r="CJ87" s="34">
        <f ca="1">IFERROR(SUMIFS('TRA balance'!AK$5:AK$40,'TRA balance'!$C$5:$C$40,Assumptions!$C87,'TRA balance'!$D$5:$D$40,Assumptions!$B87)*EE87*AN87,"")</f>
        <v>0</v>
      </c>
      <c r="CK87" s="34">
        <f ca="1">IFERROR(SUMIFS('TRA balance'!AL$5:AL$40,'TRA balance'!$C$5:$C$40,Assumptions!$C87,'TRA balance'!$D$5:$D$40,Assumptions!$B87)*EF87*AO87,"")</f>
        <v>0</v>
      </c>
      <c r="CL87" s="34">
        <f ca="1">IFERROR(SUMIFS('TRA balance'!AM$5:AM$40,'TRA balance'!$C$5:$C$40,Assumptions!$C87,'TRA balance'!$D$5:$D$40,Assumptions!$B87)*EG87*AP87,"")</f>
        <v>0</v>
      </c>
      <c r="CM87" s="34">
        <f ca="1">IFERROR(SUMIFS('TRA balance'!AN$5:AN$40,'TRA balance'!$C$5:$C$40,Assumptions!$C87,'TRA balance'!$D$5:$D$40,Assumptions!$B87)*EH87*AQ87,"")</f>
        <v>0</v>
      </c>
      <c r="CN87" s="34">
        <f ca="1">IFERROR(SUMIFS('TRA balance'!AO$5:AO$40,'TRA balance'!$C$5:$C$40,Assumptions!$C87,'TRA balance'!$D$5:$D$40,Assumptions!$B87)*EI87*AR87,"")</f>
        <v>0</v>
      </c>
      <c r="CO87" s="34">
        <f ca="1">IFERROR(SUMIFS('TRA balance'!AP$5:AP$40,'TRA balance'!$C$5:$C$40,Assumptions!$C87,'TRA balance'!$D$5:$D$40,Assumptions!$B87)*EJ87*AS87,"")</f>
        <v>0</v>
      </c>
      <c r="CP87" s="34">
        <f ca="1">IFERROR(SUMIFS('TRA balance'!AQ$5:AQ$40,'TRA balance'!$C$5:$C$40,Assumptions!$C87,'TRA balance'!$D$5:$D$40,Assumptions!$B87)*EK87*AT87,"")</f>
        <v>0</v>
      </c>
      <c r="CQ87" s="34">
        <f ca="1">IFERROR(SUMIFS('TRA balance'!AR$5:AR$40,'TRA balance'!$C$5:$C$40,Assumptions!$C87,'TRA balance'!$D$5:$D$40,Assumptions!$B87)*EL87*AU87,"")</f>
        <v>0</v>
      </c>
      <c r="CR87" s="34">
        <f ca="1">IFERROR(SUMIFS('TRA balance'!AS$5:AS$40,'TRA balance'!$C$5:$C$40,Assumptions!$C87,'TRA balance'!$D$5:$D$40,Assumptions!$B87)*EM87*AV87,"")</f>
        <v>0</v>
      </c>
      <c r="CS87" s="34">
        <f ca="1">IFERROR(SUMIFS('TRA balance'!AT$5:AT$40,'TRA balance'!$C$5:$C$40,Assumptions!$C87,'TRA balance'!$D$5:$D$40,Assumptions!$B87)*EN87*AW87,"")</f>
        <v>0</v>
      </c>
      <c r="CT87" s="34">
        <f ca="1">IFERROR(SUMIFS('TRA balance'!AU$5:AU$40,'TRA balance'!$C$5:$C$40,Assumptions!$C87,'TRA balance'!$D$5:$D$40,Assumptions!$B87)*EO87*AX87,"")</f>
        <v>0</v>
      </c>
      <c r="CU87" s="34">
        <f ca="1">IFERROR(SUMIFS('TRA balance'!AV$5:AV$40,'TRA balance'!$C$5:$C$40,Assumptions!$C87,'TRA balance'!$D$5:$D$40,Assumptions!$B87)*EP87*AY87,"")</f>
        <v>0</v>
      </c>
      <c r="CV87" s="34">
        <f ca="1">IFERROR(SUMIFS('TRA balance'!AW$5:AW$40,'TRA balance'!$C$5:$C$40,Assumptions!$C87,'TRA balance'!$D$5:$D$40,Assumptions!$B87)*EQ87*AZ87,"")</f>
        <v>0</v>
      </c>
      <c r="CW87" s="34">
        <f ca="1">IFERROR(SUMIFS('TRA balance'!AX$5:AX$40,'TRA balance'!$C$5:$C$40,Assumptions!$C87,'TRA balance'!$D$5:$D$40,Assumptions!$B87)*ER87*BA87,"")</f>
        <v>0</v>
      </c>
      <c r="CY87" s="33">
        <f t="shared" ca="1" si="86"/>
        <v>1</v>
      </c>
      <c r="CZ87" s="33">
        <f t="shared" ca="1" si="87"/>
        <v>1</v>
      </c>
      <c r="DA87" s="33">
        <f t="shared" ca="1" si="88"/>
        <v>1</v>
      </c>
      <c r="DB87" s="33">
        <f t="shared" ca="1" si="89"/>
        <v>1</v>
      </c>
      <c r="DC87" s="33">
        <f t="shared" ca="1" si="90"/>
        <v>1</v>
      </c>
      <c r="DD87" s="33">
        <f t="shared" ca="1" si="91"/>
        <v>1</v>
      </c>
      <c r="DE87" s="33">
        <f t="shared" ca="1" si="92"/>
        <v>1</v>
      </c>
      <c r="DF87" s="33">
        <f t="shared" ca="1" si="93"/>
        <v>1</v>
      </c>
      <c r="DG87" s="33">
        <f t="shared" ca="1" si="94"/>
        <v>1</v>
      </c>
      <c r="DH87" s="33">
        <f t="shared" ca="1" si="95"/>
        <v>1</v>
      </c>
      <c r="DI87" s="33">
        <f t="shared" ca="1" si="96"/>
        <v>1</v>
      </c>
      <c r="DJ87" s="33">
        <f t="shared" ca="1" si="97"/>
        <v>1</v>
      </c>
      <c r="DK87" s="33">
        <f t="shared" ca="1" si="98"/>
        <v>1</v>
      </c>
      <c r="DL87" s="33">
        <f t="shared" ca="1" si="99"/>
        <v>1</v>
      </c>
      <c r="DM87" s="33">
        <f t="shared" ca="1" si="100"/>
        <v>1</v>
      </c>
      <c r="DN87" s="33">
        <f t="shared" ca="1" si="101"/>
        <v>1</v>
      </c>
      <c r="DO87" s="33">
        <f t="shared" ca="1" si="102"/>
        <v>1</v>
      </c>
      <c r="DP87" s="33">
        <f t="shared" ca="1" si="103"/>
        <v>1</v>
      </c>
      <c r="DQ87" s="33">
        <f t="shared" ca="1" si="104"/>
        <v>1</v>
      </c>
      <c r="DR87" s="33">
        <f t="shared" ca="1" si="105"/>
        <v>1</v>
      </c>
      <c r="DS87" s="33">
        <f t="shared" ca="1" si="106"/>
        <v>1</v>
      </c>
      <c r="DT87" s="33">
        <f t="shared" ca="1" si="107"/>
        <v>1</v>
      </c>
      <c r="DU87" s="33">
        <f t="shared" ca="1" si="108"/>
        <v>1</v>
      </c>
      <c r="DV87" s="33">
        <f t="shared" ca="1" si="109"/>
        <v>1</v>
      </c>
      <c r="DW87" s="33">
        <f t="shared" ca="1" si="110"/>
        <v>1</v>
      </c>
      <c r="DX87" s="33">
        <f t="shared" ca="1" si="111"/>
        <v>1</v>
      </c>
      <c r="DY87" s="33">
        <f t="shared" ca="1" si="112"/>
        <v>1</v>
      </c>
      <c r="DZ87" s="33">
        <f t="shared" ca="1" si="113"/>
        <v>1</v>
      </c>
      <c r="EA87" s="33">
        <f t="shared" ca="1" si="114"/>
        <v>1</v>
      </c>
      <c r="EB87" s="33">
        <f t="shared" ca="1" si="115"/>
        <v>1</v>
      </c>
      <c r="EC87" s="33">
        <f t="shared" ca="1" si="116"/>
        <v>1</v>
      </c>
      <c r="ED87" s="33">
        <f t="shared" ca="1" si="117"/>
        <v>1</v>
      </c>
      <c r="EE87" s="33">
        <f t="shared" ca="1" si="118"/>
        <v>1</v>
      </c>
      <c r="EF87" s="33">
        <f t="shared" ca="1" si="119"/>
        <v>1</v>
      </c>
      <c r="EG87" s="33">
        <f t="shared" ca="1" si="120"/>
        <v>1</v>
      </c>
      <c r="EH87" s="33">
        <f t="shared" ca="1" si="121"/>
        <v>1</v>
      </c>
      <c r="EI87" s="33">
        <f t="shared" ca="1" si="122"/>
        <v>1</v>
      </c>
      <c r="EJ87" s="33">
        <f t="shared" ca="1" si="123"/>
        <v>1</v>
      </c>
      <c r="EK87" s="33">
        <f t="shared" ca="1" si="124"/>
        <v>1</v>
      </c>
      <c r="EL87" s="33">
        <f t="shared" ca="1" si="125"/>
        <v>1</v>
      </c>
      <c r="EM87" s="33">
        <f t="shared" ca="1" si="126"/>
        <v>1</v>
      </c>
      <c r="EN87" s="33">
        <f t="shared" ca="1" si="127"/>
        <v>1</v>
      </c>
      <c r="EO87" s="33">
        <f t="shared" ca="1" si="128"/>
        <v>1</v>
      </c>
      <c r="EP87" s="33">
        <f t="shared" ca="1" si="129"/>
        <v>1</v>
      </c>
      <c r="EQ87" s="33">
        <f t="shared" ca="1" si="130"/>
        <v>1</v>
      </c>
      <c r="ER87" s="33">
        <f t="shared" ca="1" si="131"/>
        <v>1</v>
      </c>
    </row>
    <row r="88" spans="1:148">
      <c r="A88">
        <v>1</v>
      </c>
      <c r="B88" t="str">
        <f>VLOOKUP(F88,'TRA balance'!$BA$5:$BB$14,2,FALSE)</f>
        <v>TRABGS</v>
      </c>
      <c r="C88" s="11" t="str">
        <f t="shared" si="133"/>
        <v/>
      </c>
      <c r="D88" s="25"/>
      <c r="E88" s="12" t="s">
        <v>79</v>
      </c>
      <c r="F88" s="13" t="str">
        <f t="shared" si="141"/>
        <v>Bio Gasoline</v>
      </c>
      <c r="G88" s="11"/>
      <c r="H88" s="26" t="str">
        <f ca="1">IF(SUM(H84:H87)=1,"-","&lt;&gt;1!!")</f>
        <v>&lt;&gt;1!!</v>
      </c>
      <c r="I88" s="26" t="str">
        <f t="shared" ref="I88:BA88" ca="1" si="142">IF(SUM(I84:I87)=1,"-","&lt;&gt;1!!")</f>
        <v>&lt;&gt;1!!</v>
      </c>
      <c r="J88" s="26" t="str">
        <f t="shared" ca="1" si="142"/>
        <v>&lt;&gt;1!!</v>
      </c>
      <c r="K88" s="26" t="str">
        <f t="shared" ca="1" si="142"/>
        <v>&lt;&gt;1!!</v>
      </c>
      <c r="L88" s="26" t="str">
        <f t="shared" ca="1" si="142"/>
        <v>&lt;&gt;1!!</v>
      </c>
      <c r="M88" s="26" t="str">
        <f t="shared" ca="1" si="142"/>
        <v>&lt;&gt;1!!</v>
      </c>
      <c r="N88" s="26" t="str">
        <f t="shared" ca="1" si="142"/>
        <v>&lt;&gt;1!!</v>
      </c>
      <c r="O88" s="26" t="str">
        <f t="shared" ca="1" si="142"/>
        <v>&lt;&gt;1!!</v>
      </c>
      <c r="P88" s="26" t="str">
        <f t="shared" ca="1" si="142"/>
        <v>&lt;&gt;1!!</v>
      </c>
      <c r="Q88" s="26" t="str">
        <f t="shared" ca="1" si="142"/>
        <v>&lt;&gt;1!!</v>
      </c>
      <c r="R88" s="26" t="str">
        <f t="shared" ca="1" si="142"/>
        <v>&lt;&gt;1!!</v>
      </c>
      <c r="S88" s="26" t="str">
        <f t="shared" ca="1" si="142"/>
        <v>&lt;&gt;1!!</v>
      </c>
      <c r="T88" s="26" t="str">
        <f t="shared" ca="1" si="142"/>
        <v>&lt;&gt;1!!</v>
      </c>
      <c r="U88" s="26" t="str">
        <f t="shared" ca="1" si="142"/>
        <v>&lt;&gt;1!!</v>
      </c>
      <c r="V88" s="26" t="str">
        <f t="shared" ca="1" si="142"/>
        <v>&lt;&gt;1!!</v>
      </c>
      <c r="W88" s="26" t="str">
        <f t="shared" ca="1" si="142"/>
        <v>&lt;&gt;1!!</v>
      </c>
      <c r="X88" s="26" t="str">
        <f t="shared" ca="1" si="142"/>
        <v>&lt;&gt;1!!</v>
      </c>
      <c r="Y88" s="26" t="str">
        <f t="shared" ca="1" si="142"/>
        <v>&lt;&gt;1!!</v>
      </c>
      <c r="Z88" s="26" t="str">
        <f t="shared" ca="1" si="142"/>
        <v>&lt;&gt;1!!</v>
      </c>
      <c r="AA88" s="26" t="str">
        <f t="shared" ca="1" si="142"/>
        <v>&lt;&gt;1!!</v>
      </c>
      <c r="AB88" s="26" t="str">
        <f t="shared" ca="1" si="142"/>
        <v>&lt;&gt;1!!</v>
      </c>
      <c r="AC88" s="26" t="str">
        <f t="shared" ca="1" si="142"/>
        <v>&lt;&gt;1!!</v>
      </c>
      <c r="AD88" s="26" t="str">
        <f t="shared" ca="1" si="142"/>
        <v>&lt;&gt;1!!</v>
      </c>
      <c r="AE88" s="26" t="str">
        <f t="shared" ca="1" si="142"/>
        <v>&lt;&gt;1!!</v>
      </c>
      <c r="AF88" s="26" t="str">
        <f t="shared" ca="1" si="142"/>
        <v>&lt;&gt;1!!</v>
      </c>
      <c r="AG88" s="26" t="str">
        <f t="shared" ca="1" si="142"/>
        <v>&lt;&gt;1!!</v>
      </c>
      <c r="AH88" s="26" t="str">
        <f t="shared" ca="1" si="142"/>
        <v>&lt;&gt;1!!</v>
      </c>
      <c r="AI88" s="26" t="str">
        <f t="shared" ca="1" si="142"/>
        <v>&lt;&gt;1!!</v>
      </c>
      <c r="AJ88" s="26" t="str">
        <f t="shared" ca="1" si="142"/>
        <v>&lt;&gt;1!!</v>
      </c>
      <c r="AK88" s="26" t="str">
        <f t="shared" ca="1" si="142"/>
        <v>&lt;&gt;1!!</v>
      </c>
      <c r="AL88" s="26" t="str">
        <f t="shared" ca="1" si="142"/>
        <v>&lt;&gt;1!!</v>
      </c>
      <c r="AM88" s="26" t="str">
        <f t="shared" ca="1" si="142"/>
        <v>&lt;&gt;1!!</v>
      </c>
      <c r="AN88" s="26" t="str">
        <f t="shared" ca="1" si="142"/>
        <v>&lt;&gt;1!!</v>
      </c>
      <c r="AO88" s="26" t="str">
        <f t="shared" ca="1" si="142"/>
        <v>&lt;&gt;1!!</v>
      </c>
      <c r="AP88" s="26" t="str">
        <f t="shared" ca="1" si="142"/>
        <v>&lt;&gt;1!!</v>
      </c>
      <c r="AQ88" s="26" t="str">
        <f t="shared" ca="1" si="142"/>
        <v>&lt;&gt;1!!</v>
      </c>
      <c r="AR88" s="26" t="str">
        <f t="shared" ca="1" si="142"/>
        <v>&lt;&gt;1!!</v>
      </c>
      <c r="AS88" s="26" t="str">
        <f t="shared" ca="1" si="142"/>
        <v>&lt;&gt;1!!</v>
      </c>
      <c r="AT88" s="26" t="str">
        <f t="shared" ca="1" si="142"/>
        <v>&lt;&gt;1!!</v>
      </c>
      <c r="AU88" s="26" t="str">
        <f t="shared" ca="1" si="142"/>
        <v>&lt;&gt;1!!</v>
      </c>
      <c r="AV88" s="26" t="str">
        <f t="shared" ca="1" si="142"/>
        <v>&lt;&gt;1!!</v>
      </c>
      <c r="AW88" s="26" t="str">
        <f t="shared" ca="1" si="142"/>
        <v>&lt;&gt;1!!</v>
      </c>
      <c r="AX88" s="26" t="str">
        <f t="shared" ca="1" si="142"/>
        <v>&lt;&gt;1!!</v>
      </c>
      <c r="AY88" s="26" t="str">
        <f t="shared" ca="1" si="142"/>
        <v>&lt;&gt;1!!</v>
      </c>
      <c r="AZ88" s="26" t="str">
        <f t="shared" ca="1" si="142"/>
        <v>&lt;&gt;1!!</v>
      </c>
      <c r="BA88" s="26" t="str">
        <f t="shared" ca="1" si="142"/>
        <v>&lt;&gt;1!!</v>
      </c>
      <c r="BD88" s="34" t="str">
        <f ca="1">IFERROR(SUMIFS('TRA balance'!E$5:E$40,'TRA balance'!$C$5:$C$40,Assumptions!$C88,'TRA balance'!$D$5:$D$40,Assumptions!$B88)*CY88*H88,"")</f>
        <v/>
      </c>
      <c r="BE88" s="34" t="str">
        <f ca="1">IFERROR(SUMIFS('TRA balance'!F$5:F$40,'TRA balance'!$C$5:$C$40,Assumptions!$C88,'TRA balance'!$D$5:$D$40,Assumptions!$B88)*CZ88*I88,"")</f>
        <v/>
      </c>
      <c r="BF88" s="34" t="str">
        <f ca="1">IFERROR(SUMIFS('TRA balance'!G$5:G$40,'TRA balance'!$C$5:$C$40,Assumptions!$C88,'TRA balance'!$D$5:$D$40,Assumptions!$B88)*DA88*J88,"")</f>
        <v/>
      </c>
      <c r="BG88" s="34" t="str">
        <f ca="1">IFERROR(SUMIFS('TRA balance'!H$5:H$40,'TRA balance'!$C$5:$C$40,Assumptions!$C88,'TRA balance'!$D$5:$D$40,Assumptions!$B88)*DB88*K88,"")</f>
        <v/>
      </c>
      <c r="BH88" s="34" t="str">
        <f ca="1">IFERROR(SUMIFS('TRA balance'!I$5:I$40,'TRA balance'!$C$5:$C$40,Assumptions!$C88,'TRA balance'!$D$5:$D$40,Assumptions!$B88)*DC88*L88,"")</f>
        <v/>
      </c>
      <c r="BI88" s="34" t="str">
        <f ca="1">IFERROR(SUMIFS('TRA balance'!J$5:J$40,'TRA balance'!$C$5:$C$40,Assumptions!$C88,'TRA balance'!$D$5:$D$40,Assumptions!$B88)*DD88*M88,"")</f>
        <v/>
      </c>
      <c r="BJ88" s="34" t="str">
        <f ca="1">IFERROR(SUMIFS('TRA balance'!K$5:K$40,'TRA balance'!$C$5:$C$40,Assumptions!$C88,'TRA balance'!$D$5:$D$40,Assumptions!$B88)*DE88*N88,"")</f>
        <v/>
      </c>
      <c r="BK88" s="34" t="str">
        <f ca="1">IFERROR(SUMIFS('TRA balance'!L$5:L$40,'TRA balance'!$C$5:$C$40,Assumptions!$C88,'TRA balance'!$D$5:$D$40,Assumptions!$B88)*DF88*O88,"")</f>
        <v/>
      </c>
      <c r="BL88" s="34" t="str">
        <f ca="1">IFERROR(SUMIFS('TRA balance'!M$5:M$40,'TRA balance'!$C$5:$C$40,Assumptions!$C88,'TRA balance'!$D$5:$D$40,Assumptions!$B88)*DG88*P88,"")</f>
        <v/>
      </c>
      <c r="BM88" s="34" t="str">
        <f ca="1">IFERROR(SUMIFS('TRA balance'!N$5:N$40,'TRA balance'!$C$5:$C$40,Assumptions!$C88,'TRA balance'!$D$5:$D$40,Assumptions!$B88)*DH88*Q88,"")</f>
        <v/>
      </c>
      <c r="BN88" s="34" t="str">
        <f ca="1">IFERROR(SUMIFS('TRA balance'!O$5:O$40,'TRA balance'!$C$5:$C$40,Assumptions!$C88,'TRA balance'!$D$5:$D$40,Assumptions!$B88)*DI88*R88,"")</f>
        <v/>
      </c>
      <c r="BO88" s="34" t="str">
        <f ca="1">IFERROR(SUMIFS('TRA balance'!P$5:P$40,'TRA balance'!$C$5:$C$40,Assumptions!$C88,'TRA balance'!$D$5:$D$40,Assumptions!$B88)*DJ88*S88,"")</f>
        <v/>
      </c>
      <c r="BP88" s="34" t="str">
        <f ca="1">IFERROR(SUMIFS('TRA balance'!Q$5:Q$40,'TRA balance'!$C$5:$C$40,Assumptions!$C88,'TRA balance'!$D$5:$D$40,Assumptions!$B88)*DK88*T88,"")</f>
        <v/>
      </c>
      <c r="BQ88" s="34" t="str">
        <f ca="1">IFERROR(SUMIFS('TRA balance'!R$5:R$40,'TRA balance'!$C$5:$C$40,Assumptions!$C88,'TRA balance'!$D$5:$D$40,Assumptions!$B88)*DL88*U88,"")</f>
        <v/>
      </c>
      <c r="BR88" s="34" t="str">
        <f ca="1">IFERROR(SUMIFS('TRA balance'!S$5:S$40,'TRA balance'!$C$5:$C$40,Assumptions!$C88,'TRA balance'!$D$5:$D$40,Assumptions!$B88)*DM88*V88,"")</f>
        <v/>
      </c>
      <c r="BS88" s="34" t="str">
        <f ca="1">IFERROR(SUMIFS('TRA balance'!T$5:T$40,'TRA balance'!$C$5:$C$40,Assumptions!$C88,'TRA balance'!$D$5:$D$40,Assumptions!$B88)*DN88*W88,"")</f>
        <v/>
      </c>
      <c r="BT88" s="34" t="str">
        <f ca="1">IFERROR(SUMIFS('TRA balance'!U$5:U$40,'TRA balance'!$C$5:$C$40,Assumptions!$C88,'TRA balance'!$D$5:$D$40,Assumptions!$B88)*DO88*X88,"")</f>
        <v/>
      </c>
      <c r="BU88" s="34" t="str">
        <f ca="1">IFERROR(SUMIFS('TRA balance'!V$5:V$40,'TRA balance'!$C$5:$C$40,Assumptions!$C88,'TRA balance'!$D$5:$D$40,Assumptions!$B88)*DP88*Y88,"")</f>
        <v/>
      </c>
      <c r="BV88" s="34" t="str">
        <f ca="1">IFERROR(SUMIFS('TRA balance'!W$5:W$40,'TRA balance'!$C$5:$C$40,Assumptions!$C88,'TRA balance'!$D$5:$D$40,Assumptions!$B88)*DQ88*Z88,"")</f>
        <v/>
      </c>
      <c r="BW88" s="34" t="str">
        <f ca="1">IFERROR(SUMIFS('TRA balance'!X$5:X$40,'TRA balance'!$C$5:$C$40,Assumptions!$C88,'TRA balance'!$D$5:$D$40,Assumptions!$B88)*DR88*AA88,"")</f>
        <v/>
      </c>
      <c r="BX88" s="34" t="str">
        <f ca="1">IFERROR(SUMIFS('TRA balance'!Y$5:Y$40,'TRA balance'!$C$5:$C$40,Assumptions!$C88,'TRA balance'!$D$5:$D$40,Assumptions!$B88)*DS88*AB88,"")</f>
        <v/>
      </c>
      <c r="BY88" s="34" t="str">
        <f ca="1">IFERROR(SUMIFS('TRA balance'!Z$5:Z$40,'TRA balance'!$C$5:$C$40,Assumptions!$C88,'TRA balance'!$D$5:$D$40,Assumptions!$B88)*DT88*AC88,"")</f>
        <v/>
      </c>
      <c r="BZ88" s="34" t="str">
        <f ca="1">IFERROR(SUMIFS('TRA balance'!AA$5:AA$40,'TRA balance'!$C$5:$C$40,Assumptions!$C88,'TRA balance'!$D$5:$D$40,Assumptions!$B88)*DU88*AD88,"")</f>
        <v/>
      </c>
      <c r="CA88" s="34" t="str">
        <f ca="1">IFERROR(SUMIFS('TRA balance'!AB$5:AB$40,'TRA balance'!$C$5:$C$40,Assumptions!$C88,'TRA balance'!$D$5:$D$40,Assumptions!$B88)*DV88*AE88,"")</f>
        <v/>
      </c>
      <c r="CB88" s="34" t="str">
        <f ca="1">IFERROR(SUMIFS('TRA balance'!AC$5:AC$40,'TRA balance'!$C$5:$C$40,Assumptions!$C88,'TRA balance'!$D$5:$D$40,Assumptions!$B88)*DW88*AF88,"")</f>
        <v/>
      </c>
      <c r="CC88" s="34" t="str">
        <f ca="1">IFERROR(SUMIFS('TRA balance'!AD$5:AD$40,'TRA balance'!$C$5:$C$40,Assumptions!$C88,'TRA balance'!$D$5:$D$40,Assumptions!$B88)*DX88*AG88,"")</f>
        <v/>
      </c>
      <c r="CD88" s="34" t="str">
        <f ca="1">IFERROR(SUMIFS('TRA balance'!AE$5:AE$40,'TRA balance'!$C$5:$C$40,Assumptions!$C88,'TRA balance'!$D$5:$D$40,Assumptions!$B88)*DY88*AH88,"")</f>
        <v/>
      </c>
      <c r="CE88" s="34" t="str">
        <f ca="1">IFERROR(SUMIFS('TRA balance'!AF$5:AF$40,'TRA balance'!$C$5:$C$40,Assumptions!$C88,'TRA balance'!$D$5:$D$40,Assumptions!$B88)*DZ88*AI88,"")</f>
        <v/>
      </c>
      <c r="CF88" s="34" t="str">
        <f ca="1">IFERROR(SUMIFS('TRA balance'!AG$5:AG$40,'TRA balance'!$C$5:$C$40,Assumptions!$C88,'TRA balance'!$D$5:$D$40,Assumptions!$B88)*EA88*AJ88,"")</f>
        <v/>
      </c>
      <c r="CG88" s="34" t="str">
        <f ca="1">IFERROR(SUMIFS('TRA balance'!AH$5:AH$40,'TRA balance'!$C$5:$C$40,Assumptions!$C88,'TRA balance'!$D$5:$D$40,Assumptions!$B88)*EB88*AK88,"")</f>
        <v/>
      </c>
      <c r="CH88" s="34" t="str">
        <f ca="1">IFERROR(SUMIFS('TRA balance'!AI$5:AI$40,'TRA balance'!$C$5:$C$40,Assumptions!$C88,'TRA balance'!$D$5:$D$40,Assumptions!$B88)*EC88*AL88,"")</f>
        <v/>
      </c>
      <c r="CI88" s="34" t="str">
        <f ca="1">IFERROR(SUMIFS('TRA balance'!AJ$5:AJ$40,'TRA balance'!$C$5:$C$40,Assumptions!$C88,'TRA balance'!$D$5:$D$40,Assumptions!$B88)*ED88*AM88,"")</f>
        <v/>
      </c>
      <c r="CJ88" s="34" t="str">
        <f ca="1">IFERROR(SUMIFS('TRA balance'!AK$5:AK$40,'TRA balance'!$C$5:$C$40,Assumptions!$C88,'TRA balance'!$D$5:$D$40,Assumptions!$B88)*EE88*AN88,"")</f>
        <v/>
      </c>
      <c r="CK88" s="34" t="str">
        <f ca="1">IFERROR(SUMIFS('TRA balance'!AL$5:AL$40,'TRA balance'!$C$5:$C$40,Assumptions!$C88,'TRA balance'!$D$5:$D$40,Assumptions!$B88)*EF88*AO88,"")</f>
        <v/>
      </c>
      <c r="CL88" s="34" t="str">
        <f ca="1">IFERROR(SUMIFS('TRA balance'!AM$5:AM$40,'TRA balance'!$C$5:$C$40,Assumptions!$C88,'TRA balance'!$D$5:$D$40,Assumptions!$B88)*EG88*AP88,"")</f>
        <v/>
      </c>
      <c r="CM88" s="34" t="str">
        <f ca="1">IFERROR(SUMIFS('TRA balance'!AN$5:AN$40,'TRA balance'!$C$5:$C$40,Assumptions!$C88,'TRA balance'!$D$5:$D$40,Assumptions!$B88)*EH88*AQ88,"")</f>
        <v/>
      </c>
      <c r="CN88" s="34" t="str">
        <f ca="1">IFERROR(SUMIFS('TRA balance'!AO$5:AO$40,'TRA balance'!$C$5:$C$40,Assumptions!$C88,'TRA balance'!$D$5:$D$40,Assumptions!$B88)*EI88*AR88,"")</f>
        <v/>
      </c>
      <c r="CO88" s="34" t="str">
        <f ca="1">IFERROR(SUMIFS('TRA balance'!AP$5:AP$40,'TRA balance'!$C$5:$C$40,Assumptions!$C88,'TRA balance'!$D$5:$D$40,Assumptions!$B88)*EJ88*AS88,"")</f>
        <v/>
      </c>
      <c r="CP88" s="34" t="str">
        <f ca="1">IFERROR(SUMIFS('TRA balance'!AQ$5:AQ$40,'TRA balance'!$C$5:$C$40,Assumptions!$C88,'TRA balance'!$D$5:$D$40,Assumptions!$B88)*EK88*AT88,"")</f>
        <v/>
      </c>
      <c r="CQ88" s="34" t="str">
        <f ca="1">IFERROR(SUMIFS('TRA balance'!AR$5:AR$40,'TRA balance'!$C$5:$C$40,Assumptions!$C88,'TRA balance'!$D$5:$D$40,Assumptions!$B88)*EL88*AU88,"")</f>
        <v/>
      </c>
      <c r="CR88" s="34" t="str">
        <f ca="1">IFERROR(SUMIFS('TRA balance'!AS$5:AS$40,'TRA balance'!$C$5:$C$40,Assumptions!$C88,'TRA balance'!$D$5:$D$40,Assumptions!$B88)*EM88*AV88,"")</f>
        <v/>
      </c>
      <c r="CS88" s="34" t="str">
        <f ca="1">IFERROR(SUMIFS('TRA balance'!AT$5:AT$40,'TRA balance'!$C$5:$C$40,Assumptions!$C88,'TRA balance'!$D$5:$D$40,Assumptions!$B88)*EN88*AW88,"")</f>
        <v/>
      </c>
      <c r="CT88" s="34" t="str">
        <f ca="1">IFERROR(SUMIFS('TRA balance'!AU$5:AU$40,'TRA balance'!$C$5:$C$40,Assumptions!$C88,'TRA balance'!$D$5:$D$40,Assumptions!$B88)*EO88*AX88,"")</f>
        <v/>
      </c>
      <c r="CU88" s="34" t="str">
        <f ca="1">IFERROR(SUMIFS('TRA balance'!AV$5:AV$40,'TRA balance'!$C$5:$C$40,Assumptions!$C88,'TRA balance'!$D$5:$D$40,Assumptions!$B88)*EP88*AY88,"")</f>
        <v/>
      </c>
      <c r="CV88" s="34" t="str">
        <f ca="1">IFERROR(SUMIFS('TRA balance'!AW$5:AW$40,'TRA balance'!$C$5:$C$40,Assumptions!$C88,'TRA balance'!$D$5:$D$40,Assumptions!$B88)*EQ88*AZ88,"")</f>
        <v/>
      </c>
      <c r="CW88" s="34" t="str">
        <f ca="1">IFERROR(SUMIFS('TRA balance'!AX$5:AX$40,'TRA balance'!$C$5:$C$40,Assumptions!$C88,'TRA balance'!$D$5:$D$40,Assumptions!$B88)*ER88*BA88,"")</f>
        <v/>
      </c>
      <c r="CY88" s="33">
        <f t="shared" si="86"/>
        <v>1</v>
      </c>
      <c r="CZ88" s="33">
        <f t="shared" si="87"/>
        <v>1</v>
      </c>
      <c r="DA88" s="33">
        <f t="shared" si="88"/>
        <v>1</v>
      </c>
      <c r="DB88" s="33">
        <f t="shared" si="89"/>
        <v>1</v>
      </c>
      <c r="DC88" s="33">
        <f t="shared" si="90"/>
        <v>1</v>
      </c>
      <c r="DD88" s="33">
        <f t="shared" si="91"/>
        <v>1</v>
      </c>
      <c r="DE88" s="33">
        <f t="shared" si="92"/>
        <v>1</v>
      </c>
      <c r="DF88" s="33">
        <f t="shared" si="93"/>
        <v>1</v>
      </c>
      <c r="DG88" s="33">
        <f t="shared" si="94"/>
        <v>1</v>
      </c>
      <c r="DH88" s="33">
        <f t="shared" si="95"/>
        <v>1</v>
      </c>
      <c r="DI88" s="33">
        <f t="shared" si="96"/>
        <v>1</v>
      </c>
      <c r="DJ88" s="33">
        <f t="shared" si="97"/>
        <v>1</v>
      </c>
      <c r="DK88" s="33">
        <f t="shared" si="98"/>
        <v>1</v>
      </c>
      <c r="DL88" s="33">
        <f t="shared" si="99"/>
        <v>1</v>
      </c>
      <c r="DM88" s="33">
        <f t="shared" si="100"/>
        <v>1</v>
      </c>
      <c r="DN88" s="33">
        <f t="shared" si="101"/>
        <v>1</v>
      </c>
      <c r="DO88" s="33">
        <f t="shared" si="102"/>
        <v>1</v>
      </c>
      <c r="DP88" s="33">
        <f t="shared" si="103"/>
        <v>1</v>
      </c>
      <c r="DQ88" s="33">
        <f t="shared" si="104"/>
        <v>1</v>
      </c>
      <c r="DR88" s="33">
        <f t="shared" si="105"/>
        <v>1</v>
      </c>
      <c r="DS88" s="33">
        <f t="shared" si="106"/>
        <v>1</v>
      </c>
      <c r="DT88" s="33">
        <f t="shared" si="107"/>
        <v>1</v>
      </c>
      <c r="DU88" s="33">
        <f t="shared" si="108"/>
        <v>1</v>
      </c>
      <c r="DV88" s="33">
        <f t="shared" si="109"/>
        <v>1</v>
      </c>
      <c r="DW88" s="33">
        <f t="shared" si="110"/>
        <v>1</v>
      </c>
      <c r="DX88" s="33">
        <f t="shared" si="111"/>
        <v>1</v>
      </c>
      <c r="DY88" s="33">
        <f t="shared" si="112"/>
        <v>1</v>
      </c>
      <c r="DZ88" s="33">
        <f t="shared" si="113"/>
        <v>1</v>
      </c>
      <c r="EA88" s="33">
        <f t="shared" si="114"/>
        <v>1</v>
      </c>
      <c r="EB88" s="33">
        <f t="shared" si="115"/>
        <v>1</v>
      </c>
      <c r="EC88" s="33">
        <f t="shared" si="116"/>
        <v>1</v>
      </c>
      <c r="ED88" s="33">
        <f t="shared" si="117"/>
        <v>1</v>
      </c>
      <c r="EE88" s="33">
        <f t="shared" si="118"/>
        <v>1</v>
      </c>
      <c r="EF88" s="33">
        <f t="shared" si="119"/>
        <v>1</v>
      </c>
      <c r="EG88" s="33">
        <f t="shared" si="120"/>
        <v>1</v>
      </c>
      <c r="EH88" s="33">
        <f t="shared" si="121"/>
        <v>1</v>
      </c>
      <c r="EI88" s="33">
        <f t="shared" si="122"/>
        <v>1</v>
      </c>
      <c r="EJ88" s="33">
        <f t="shared" si="123"/>
        <v>1</v>
      </c>
      <c r="EK88" s="33">
        <f t="shared" si="124"/>
        <v>1</v>
      </c>
      <c r="EL88" s="33">
        <f t="shared" si="125"/>
        <v>1</v>
      </c>
      <c r="EM88" s="33">
        <f t="shared" si="126"/>
        <v>1</v>
      </c>
      <c r="EN88" s="33">
        <f t="shared" si="127"/>
        <v>1</v>
      </c>
      <c r="EO88" s="33">
        <f t="shared" si="128"/>
        <v>1</v>
      </c>
      <c r="EP88" s="33">
        <f t="shared" si="129"/>
        <v>1</v>
      </c>
      <c r="EQ88" s="33">
        <f t="shared" si="130"/>
        <v>1</v>
      </c>
      <c r="ER88" s="33">
        <f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14">
        <v>1</v>
      </c>
      <c r="D89" s="15" t="s">
        <v>16</v>
      </c>
      <c r="E89" s="15" t="s">
        <v>59</v>
      </c>
      <c r="F89" s="16" t="s">
        <v>86</v>
      </c>
      <c r="G89" s="14"/>
      <c r="H89" s="9">
        <f ca="1">OFFSET(TIAM15_assumptions!$G89,0,MATCH(VLOOKUP(Assumptions!H$2,TIAM15_assumptions!$Y$3:$Z$87,2,FALSE),TIAM15_assumptions!$H$2:$V$2,0))</f>
        <v>0</v>
      </c>
      <c r="I89" s="9">
        <f ca="1">OFFSET(TIAM15_assumptions!$G89,0,MATCH(VLOOKUP(Assumptions!I$2,TIAM15_assumptions!$Y$3:$Z$87,2,FALSE),TIAM15_assumptions!$H$2:$V$2,0))</f>
        <v>0</v>
      </c>
      <c r="J89" s="9">
        <f ca="1">OFFSET(TIAM15_assumptions!$G89,0,MATCH(VLOOKUP(Assumptions!J$2,TIAM15_assumptions!$Y$3:$Z$87,2,FALSE),TIAM15_assumptions!$H$2:$V$2,0))</f>
        <v>1</v>
      </c>
      <c r="K89" s="9">
        <f ca="1">OFFSET(TIAM15_assumptions!$G89,0,MATCH(VLOOKUP(Assumptions!K$2,TIAM15_assumptions!$Y$3:$Z$87,2,FALSE),TIAM15_assumptions!$H$2:$V$2,0))</f>
        <v>1</v>
      </c>
      <c r="L89" s="9">
        <f ca="1">OFFSET(TIAM15_assumptions!$G89,0,MATCH(VLOOKUP(Assumptions!L$2,TIAM15_assumptions!$Y$3:$Z$87,2,FALSE),TIAM15_assumptions!$H$2:$V$2,0))</f>
        <v>0</v>
      </c>
      <c r="M89" s="9">
        <f ca="1">OFFSET(TIAM15_assumptions!$G89,0,MATCH(VLOOKUP(Assumptions!M$2,TIAM15_assumptions!$Y$3:$Z$87,2,FALSE),TIAM15_assumptions!$H$2:$V$2,0))</f>
        <v>1</v>
      </c>
      <c r="N89" s="9">
        <f ca="1">OFFSET(TIAM15_assumptions!$G89,0,MATCH(VLOOKUP(Assumptions!N$2,TIAM15_assumptions!$Y$3:$Z$87,2,FALSE),TIAM15_assumptions!$H$2:$V$2,0))</f>
        <v>0.5</v>
      </c>
      <c r="O89" s="9">
        <f ca="1">OFFSET(TIAM15_assumptions!$G89,0,MATCH(VLOOKUP(Assumptions!O$2,TIAM15_assumptions!$Y$3:$Z$87,2,FALSE),TIAM15_assumptions!$H$2:$V$2,0))</f>
        <v>0.8</v>
      </c>
      <c r="P89" s="9">
        <f ca="1">OFFSET(TIAM15_assumptions!$G89,0,MATCH(VLOOKUP(Assumptions!P$2,TIAM15_assumptions!$Y$3:$Z$87,2,FALSE),TIAM15_assumptions!$H$2:$V$2,0))</f>
        <v>0</v>
      </c>
      <c r="Q89" s="9">
        <f ca="1">OFFSET(TIAM15_assumptions!$G89,0,MATCH(VLOOKUP(Assumptions!Q$2,TIAM15_assumptions!$Y$3:$Z$87,2,FALSE),TIAM15_assumptions!$H$2:$V$2,0))</f>
        <v>0</v>
      </c>
      <c r="R89" s="9">
        <f ca="1">OFFSET(TIAM15_assumptions!$G89,0,MATCH(VLOOKUP(Assumptions!R$2,TIAM15_assumptions!$Y$3:$Z$87,2,FALSE),TIAM15_assumptions!$H$2:$V$2,0))</f>
        <v>1</v>
      </c>
      <c r="S89" s="9">
        <f ca="1">OFFSET(TIAM15_assumptions!$G89,0,MATCH(VLOOKUP(Assumptions!S$2,TIAM15_assumptions!$Y$3:$Z$87,2,FALSE),TIAM15_assumptions!$H$2:$V$2,0))</f>
        <v>1</v>
      </c>
      <c r="T89" s="9">
        <f ca="1">OFFSET(TIAM15_assumptions!$G89,0,MATCH(VLOOKUP(Assumptions!T$2,TIAM15_assumptions!$Y$3:$Z$87,2,FALSE),TIAM15_assumptions!$H$2:$V$2,0))</f>
        <v>1</v>
      </c>
      <c r="U89" s="9">
        <f ca="1">OFFSET(TIAM15_assumptions!$G89,0,MATCH(VLOOKUP(Assumptions!U$2,TIAM15_assumptions!$Y$3:$Z$87,2,FALSE),TIAM15_assumptions!$H$2:$V$2,0))</f>
        <v>0</v>
      </c>
      <c r="V89" s="9">
        <f ca="1">OFFSET(TIAM15_assumptions!$G89,0,MATCH(VLOOKUP(Assumptions!V$2,TIAM15_assumptions!$Y$3:$Z$87,2,FALSE),TIAM15_assumptions!$H$2:$V$2,0))</f>
        <v>1</v>
      </c>
      <c r="W89" s="9">
        <f ca="1">OFFSET(TIAM15_assumptions!$G89,0,MATCH(VLOOKUP(Assumptions!W$2,TIAM15_assumptions!$Y$3:$Z$87,2,FALSE),TIAM15_assumptions!$H$2:$V$2,0))</f>
        <v>0</v>
      </c>
      <c r="X89" s="9">
        <f ca="1">OFFSET(TIAM15_assumptions!$G89,0,MATCH(VLOOKUP(Assumptions!X$2,TIAM15_assumptions!$Y$3:$Z$87,2,FALSE),TIAM15_assumptions!$H$2:$V$2,0))</f>
        <v>1</v>
      </c>
      <c r="Y89" s="9">
        <f ca="1">OFFSET(TIAM15_assumptions!$G89,0,MATCH(VLOOKUP(Assumptions!Y$2,TIAM15_assumptions!$Y$3:$Z$87,2,FALSE),TIAM15_assumptions!$H$2:$V$2,0))</f>
        <v>1</v>
      </c>
      <c r="Z89" s="9">
        <f ca="1">OFFSET(TIAM15_assumptions!$G89,0,MATCH(VLOOKUP(Assumptions!Z$2,TIAM15_assumptions!$Y$3:$Z$87,2,FALSE),TIAM15_assumptions!$H$2:$V$2,0))</f>
        <v>1</v>
      </c>
      <c r="AA89" s="9">
        <f ca="1">OFFSET(TIAM15_assumptions!$G89,0,MATCH(VLOOKUP(Assumptions!AA$2,TIAM15_assumptions!$Y$3:$Z$87,2,FALSE),TIAM15_assumptions!$H$2:$V$2,0))</f>
        <v>0.5</v>
      </c>
      <c r="AB89" s="9">
        <f ca="1">OFFSET(TIAM15_assumptions!$G89,0,MATCH(VLOOKUP(Assumptions!AB$2,TIAM15_assumptions!$Y$3:$Z$87,2,FALSE),TIAM15_assumptions!$H$2:$V$2,0))</f>
        <v>0</v>
      </c>
      <c r="AC89" s="9">
        <f ca="1">OFFSET(TIAM15_assumptions!$G89,0,MATCH(VLOOKUP(Assumptions!AC$2,TIAM15_assumptions!$Y$3:$Z$87,2,FALSE),TIAM15_assumptions!$H$2:$V$2,0))</f>
        <v>1</v>
      </c>
      <c r="AD89" s="9">
        <f ca="1">OFFSET(TIAM15_assumptions!$G89,0,MATCH(VLOOKUP(Assumptions!AD$2,TIAM15_assumptions!$Y$3:$Z$87,2,FALSE),TIAM15_assumptions!$H$2:$V$2,0))</f>
        <v>1</v>
      </c>
      <c r="AE89" s="9">
        <f ca="1">OFFSET(TIAM15_assumptions!$G89,0,MATCH(VLOOKUP(Assumptions!AE$2,TIAM15_assumptions!$Y$3:$Z$87,2,FALSE),TIAM15_assumptions!$H$2:$V$2,0))</f>
        <v>0</v>
      </c>
      <c r="AF89" s="9">
        <f ca="1">OFFSET(TIAM15_assumptions!$G89,0,MATCH(VLOOKUP(Assumptions!AF$2,TIAM15_assumptions!$Y$3:$Z$87,2,FALSE),TIAM15_assumptions!$H$2:$V$2,0))</f>
        <v>1</v>
      </c>
      <c r="AG89" s="9">
        <f ca="1">OFFSET(TIAM15_assumptions!$G89,0,MATCH(VLOOKUP(Assumptions!AG$2,TIAM15_assumptions!$Y$3:$Z$87,2,FALSE),TIAM15_assumptions!$H$2:$V$2,0))</f>
        <v>0</v>
      </c>
      <c r="AH89" s="9">
        <f ca="1">OFFSET(TIAM15_assumptions!$G89,0,MATCH(VLOOKUP(Assumptions!AH$2,TIAM15_assumptions!$Y$3:$Z$87,2,FALSE),TIAM15_assumptions!$H$2:$V$2,0))</f>
        <v>0</v>
      </c>
      <c r="AI89" s="9">
        <f ca="1">OFFSET(TIAM15_assumptions!$G89,0,MATCH(VLOOKUP(Assumptions!AI$2,TIAM15_assumptions!$Y$3:$Z$87,2,FALSE),TIAM15_assumptions!$H$2:$V$2,0))</f>
        <v>0</v>
      </c>
      <c r="AJ89" s="9">
        <f ca="1">OFFSET(TIAM15_assumptions!$G89,0,MATCH(VLOOKUP(Assumptions!AJ$2,TIAM15_assumptions!$Y$3:$Z$87,2,FALSE),TIAM15_assumptions!$H$2:$V$2,0))</f>
        <v>1</v>
      </c>
      <c r="AK89" s="9">
        <f ca="1">OFFSET(TIAM15_assumptions!$G89,0,MATCH(VLOOKUP(Assumptions!AK$2,TIAM15_assumptions!$Y$3:$Z$87,2,FALSE),TIAM15_assumptions!$H$2:$V$2,0))</f>
        <v>1</v>
      </c>
      <c r="AL89" s="9">
        <f ca="1">OFFSET(TIAM15_assumptions!$G89,0,MATCH(VLOOKUP(Assumptions!AL$2,TIAM15_assumptions!$Y$3:$Z$87,2,FALSE),TIAM15_assumptions!$H$2:$V$2,0))</f>
        <v>1</v>
      </c>
      <c r="AM89" s="9">
        <f ca="1">OFFSET(TIAM15_assumptions!$G89,0,MATCH(VLOOKUP(Assumptions!AM$2,TIAM15_assumptions!$Y$3:$Z$87,2,FALSE),TIAM15_assumptions!$H$2:$V$2,0))</f>
        <v>0</v>
      </c>
      <c r="AN89" s="9">
        <f ca="1">OFFSET(TIAM15_assumptions!$G89,0,MATCH(VLOOKUP(Assumptions!AN$2,TIAM15_assumptions!$Y$3:$Z$87,2,FALSE),TIAM15_assumptions!$H$2:$V$2,0))</f>
        <v>1</v>
      </c>
      <c r="AO89" s="9">
        <f ca="1">OFFSET(TIAM15_assumptions!$G89,0,MATCH(VLOOKUP(Assumptions!AO$2,TIAM15_assumptions!$Y$3:$Z$87,2,FALSE),TIAM15_assumptions!$H$2:$V$2,0))</f>
        <v>0</v>
      </c>
      <c r="AP89" s="9">
        <f ca="1">OFFSET(TIAM15_assumptions!$G89,0,MATCH(VLOOKUP(Assumptions!AP$2,TIAM15_assumptions!$Y$3:$Z$87,2,FALSE),TIAM15_assumptions!$H$2:$V$2,0))</f>
        <v>0</v>
      </c>
      <c r="AQ89" s="9">
        <f ca="1">OFFSET(TIAM15_assumptions!$G89,0,MATCH(VLOOKUP(Assumptions!AQ$2,TIAM15_assumptions!$Y$3:$Z$87,2,FALSE),TIAM15_assumptions!$H$2:$V$2,0))</f>
        <v>1</v>
      </c>
      <c r="AR89" s="9">
        <f ca="1">OFFSET(TIAM15_assumptions!$G89,0,MATCH(VLOOKUP(Assumptions!AR$2,TIAM15_assumptions!$Y$3:$Z$87,2,FALSE),TIAM15_assumptions!$H$2:$V$2,0))</f>
        <v>1</v>
      </c>
      <c r="AS89" s="9">
        <f ca="1">OFFSET(TIAM15_assumptions!$G89,0,MATCH(VLOOKUP(Assumptions!AS$2,TIAM15_assumptions!$Y$3:$Z$87,2,FALSE),TIAM15_assumptions!$H$2:$V$2,0))</f>
        <v>1</v>
      </c>
      <c r="AT89" s="9">
        <f ca="1">OFFSET(TIAM15_assumptions!$G89,0,MATCH(VLOOKUP(Assumptions!AT$2,TIAM15_assumptions!$Y$3:$Z$87,2,FALSE),TIAM15_assumptions!$H$2:$V$2,0))</f>
        <v>1</v>
      </c>
      <c r="AU89" s="9">
        <f ca="1">OFFSET(TIAM15_assumptions!$G89,0,MATCH(VLOOKUP(Assumptions!AU$2,TIAM15_assumptions!$Y$3:$Z$87,2,FALSE),TIAM15_assumptions!$H$2:$V$2,0))</f>
        <v>1</v>
      </c>
      <c r="AV89" s="9">
        <f ca="1">OFFSET(TIAM15_assumptions!$G89,0,MATCH(VLOOKUP(Assumptions!AV$2,TIAM15_assumptions!$Y$3:$Z$87,2,FALSE),TIAM15_assumptions!$H$2:$V$2,0))</f>
        <v>1</v>
      </c>
      <c r="AW89" s="9">
        <f ca="1">OFFSET(TIAM15_assumptions!$G89,0,MATCH(VLOOKUP(Assumptions!AW$2,TIAM15_assumptions!$Y$3:$Z$87,2,FALSE),TIAM15_assumptions!$H$2:$V$2,0))</f>
        <v>1</v>
      </c>
      <c r="AX89" s="9">
        <f ca="1">OFFSET(TIAM15_assumptions!$G89,0,MATCH(VLOOKUP(Assumptions!AX$2,TIAM15_assumptions!$Y$3:$Z$87,2,FALSE),TIAM15_assumptions!$H$2:$V$2,0))</f>
        <v>1</v>
      </c>
      <c r="AY89" s="9">
        <f ca="1">OFFSET(TIAM15_assumptions!$G89,0,MATCH(VLOOKUP(Assumptions!AY$2,TIAM15_assumptions!$Y$3:$Z$87,2,FALSE),TIAM15_assumptions!$H$2:$V$2,0))</f>
        <v>1</v>
      </c>
      <c r="AZ89" s="9">
        <f ca="1">OFFSET(TIAM15_assumptions!$G89,0,MATCH(VLOOKUP(Assumptions!AZ$2,TIAM15_assumptions!$Y$3:$Z$87,2,FALSE),TIAM15_assumptions!$H$2:$V$2,0))</f>
        <v>1</v>
      </c>
      <c r="BA89" s="9">
        <f ca="1">OFFSET(TIAM15_assumptions!$G89,0,MATCH(VLOOKUP(Assumptions!BA$2,TIAM15_assumptions!$Y$3:$Z$87,2,FALSE),TIAM15_assumptions!$H$2:$V$2,0))</f>
        <v>1</v>
      </c>
      <c r="BD89" s="34">
        <f ca="1">IFERROR(SUMIFS('TRA balance'!E$5:E$40,'TRA balance'!$C$5:$C$40,Assumptions!$C89,'TRA balance'!$D$5:$D$40,Assumptions!$B89)*CY89*H89,"")</f>
        <v>0</v>
      </c>
      <c r="BE89" s="34">
        <f ca="1">IFERROR(SUMIFS('TRA balance'!F$5:F$40,'TRA balance'!$C$5:$C$40,Assumptions!$C89,'TRA balance'!$D$5:$D$40,Assumptions!$B89)*CZ89*I89,"")</f>
        <v>0</v>
      </c>
      <c r="BF89" s="34">
        <f ca="1">IFERROR(SUMIFS('TRA balance'!G$5:G$40,'TRA balance'!$C$5:$C$40,Assumptions!$C89,'TRA balance'!$D$5:$D$40,Assumptions!$B89)*DA89*J89,"")</f>
        <v>0</v>
      </c>
      <c r="BG89" s="34">
        <f ca="1">IFERROR(SUMIFS('TRA balance'!H$5:H$40,'TRA balance'!$C$5:$C$40,Assumptions!$C89,'TRA balance'!$D$5:$D$40,Assumptions!$B89)*DB89*K89,"")</f>
        <v>0</v>
      </c>
      <c r="BH89" s="34">
        <f ca="1">IFERROR(SUMIFS('TRA balance'!I$5:I$40,'TRA balance'!$C$5:$C$40,Assumptions!$C89,'TRA balance'!$D$5:$D$40,Assumptions!$B89)*DC89*L89,"")</f>
        <v>0</v>
      </c>
      <c r="BI89" s="34">
        <f ca="1">IFERROR(SUMIFS('TRA balance'!J$5:J$40,'TRA balance'!$C$5:$C$40,Assumptions!$C89,'TRA balance'!$D$5:$D$40,Assumptions!$B89)*DD89*M89,"")</f>
        <v>0</v>
      </c>
      <c r="BJ89" s="34">
        <f ca="1">IFERROR(SUMIFS('TRA balance'!K$5:K$40,'TRA balance'!$C$5:$C$40,Assumptions!$C89,'TRA balance'!$D$5:$D$40,Assumptions!$B89)*DE89*N89,"")</f>
        <v>0</v>
      </c>
      <c r="BK89" s="34">
        <f ca="1">IFERROR(SUMIFS('TRA balance'!L$5:L$40,'TRA balance'!$C$5:$C$40,Assumptions!$C89,'TRA balance'!$D$5:$D$40,Assumptions!$B89)*DF89*O89,"")</f>
        <v>0</v>
      </c>
      <c r="BL89" s="34">
        <f ca="1">IFERROR(SUMIFS('TRA balance'!M$5:M$40,'TRA balance'!$C$5:$C$40,Assumptions!$C89,'TRA balance'!$D$5:$D$40,Assumptions!$B89)*DG89*P89,"")</f>
        <v>0</v>
      </c>
      <c r="BM89" s="34">
        <f ca="1">IFERROR(SUMIFS('TRA balance'!N$5:N$40,'TRA balance'!$C$5:$C$40,Assumptions!$C89,'TRA balance'!$D$5:$D$40,Assumptions!$B89)*DH89*Q89,"")</f>
        <v>0</v>
      </c>
      <c r="BN89" s="34">
        <f ca="1">IFERROR(SUMIFS('TRA balance'!O$5:O$40,'TRA balance'!$C$5:$C$40,Assumptions!$C89,'TRA balance'!$D$5:$D$40,Assumptions!$B89)*DI89*R89,"")</f>
        <v>0</v>
      </c>
      <c r="BO89" s="34">
        <f ca="1">IFERROR(SUMIFS('TRA balance'!P$5:P$40,'TRA balance'!$C$5:$C$40,Assumptions!$C89,'TRA balance'!$D$5:$D$40,Assumptions!$B89)*DJ89*S89,"")</f>
        <v>0</v>
      </c>
      <c r="BP89" s="34">
        <f ca="1">IFERROR(SUMIFS('TRA balance'!Q$5:Q$40,'TRA balance'!$C$5:$C$40,Assumptions!$C89,'TRA balance'!$D$5:$D$40,Assumptions!$B89)*DK89*T89,"")</f>
        <v>0</v>
      </c>
      <c r="BQ89" s="34">
        <f ca="1">IFERROR(SUMIFS('TRA balance'!R$5:R$40,'TRA balance'!$C$5:$C$40,Assumptions!$C89,'TRA balance'!$D$5:$D$40,Assumptions!$B89)*DL89*U89,"")</f>
        <v>0</v>
      </c>
      <c r="BR89" s="34">
        <f ca="1">IFERROR(SUMIFS('TRA balance'!S$5:S$40,'TRA balance'!$C$5:$C$40,Assumptions!$C89,'TRA balance'!$D$5:$D$40,Assumptions!$B89)*DM89*V89,"")</f>
        <v>0</v>
      </c>
      <c r="BS89" s="34">
        <f ca="1">IFERROR(SUMIFS('TRA balance'!T$5:T$40,'TRA balance'!$C$5:$C$40,Assumptions!$C89,'TRA balance'!$D$5:$D$40,Assumptions!$B89)*DN89*W89,"")</f>
        <v>0</v>
      </c>
      <c r="BT89" s="34">
        <f ca="1">IFERROR(SUMIFS('TRA balance'!U$5:U$40,'TRA balance'!$C$5:$C$40,Assumptions!$C89,'TRA balance'!$D$5:$D$40,Assumptions!$B89)*DO89*X89,"")</f>
        <v>0</v>
      </c>
      <c r="BU89" s="34">
        <f ca="1">IFERROR(SUMIFS('TRA balance'!V$5:V$40,'TRA balance'!$C$5:$C$40,Assumptions!$C89,'TRA balance'!$D$5:$D$40,Assumptions!$B89)*DP89*Y89,"")</f>
        <v>0</v>
      </c>
      <c r="BV89" s="34">
        <f ca="1">IFERROR(SUMIFS('TRA balance'!W$5:W$40,'TRA balance'!$C$5:$C$40,Assumptions!$C89,'TRA balance'!$D$5:$D$40,Assumptions!$B89)*DQ89*Z89,"")</f>
        <v>0</v>
      </c>
      <c r="BW89" s="34">
        <f ca="1">IFERROR(SUMIFS('TRA balance'!X$5:X$40,'TRA balance'!$C$5:$C$40,Assumptions!$C89,'TRA balance'!$D$5:$D$40,Assumptions!$B89)*DR89*AA89,"")</f>
        <v>0</v>
      </c>
      <c r="BX89" s="34">
        <f ca="1">IFERROR(SUMIFS('TRA balance'!Y$5:Y$40,'TRA balance'!$C$5:$C$40,Assumptions!$C89,'TRA balance'!$D$5:$D$40,Assumptions!$B89)*DS89*AB89,"")</f>
        <v>0</v>
      </c>
      <c r="BY89" s="34">
        <f ca="1">IFERROR(SUMIFS('TRA balance'!Z$5:Z$40,'TRA balance'!$C$5:$C$40,Assumptions!$C89,'TRA balance'!$D$5:$D$40,Assumptions!$B89)*DT89*AC89,"")</f>
        <v>0</v>
      </c>
      <c r="BZ89" s="34">
        <f ca="1">IFERROR(SUMIFS('TRA balance'!AA$5:AA$40,'TRA balance'!$C$5:$C$40,Assumptions!$C89,'TRA balance'!$D$5:$D$40,Assumptions!$B89)*DU89*AD89,"")</f>
        <v>0</v>
      </c>
      <c r="CA89" s="34">
        <f ca="1">IFERROR(SUMIFS('TRA balance'!AB$5:AB$40,'TRA balance'!$C$5:$C$40,Assumptions!$C89,'TRA balance'!$D$5:$D$40,Assumptions!$B89)*DV89*AE89,"")</f>
        <v>0</v>
      </c>
      <c r="CB89" s="34">
        <f ca="1">IFERROR(SUMIFS('TRA balance'!AC$5:AC$40,'TRA balance'!$C$5:$C$40,Assumptions!$C89,'TRA balance'!$D$5:$D$40,Assumptions!$B89)*DW89*AF89,"")</f>
        <v>0</v>
      </c>
      <c r="CC89" s="34">
        <f ca="1">IFERROR(SUMIFS('TRA balance'!AD$5:AD$40,'TRA balance'!$C$5:$C$40,Assumptions!$C89,'TRA balance'!$D$5:$D$40,Assumptions!$B89)*DX89*AG89,"")</f>
        <v>0</v>
      </c>
      <c r="CD89" s="34">
        <f ca="1">IFERROR(SUMIFS('TRA balance'!AE$5:AE$40,'TRA balance'!$C$5:$C$40,Assumptions!$C89,'TRA balance'!$D$5:$D$40,Assumptions!$B89)*DY89*AH89,"")</f>
        <v>0</v>
      </c>
      <c r="CE89" s="34">
        <f ca="1">IFERROR(SUMIFS('TRA balance'!AF$5:AF$40,'TRA balance'!$C$5:$C$40,Assumptions!$C89,'TRA balance'!$D$5:$D$40,Assumptions!$B89)*DZ89*AI89,"")</f>
        <v>0</v>
      </c>
      <c r="CF89" s="34">
        <f ca="1">IFERROR(SUMIFS('TRA balance'!AG$5:AG$40,'TRA balance'!$C$5:$C$40,Assumptions!$C89,'TRA balance'!$D$5:$D$40,Assumptions!$B89)*EA89*AJ89,"")</f>
        <v>0</v>
      </c>
      <c r="CG89" s="34">
        <f ca="1">IFERROR(SUMIFS('TRA balance'!AH$5:AH$40,'TRA balance'!$C$5:$C$40,Assumptions!$C89,'TRA balance'!$D$5:$D$40,Assumptions!$B89)*EB89*AK89,"")</f>
        <v>0</v>
      </c>
      <c r="CH89" s="34">
        <f ca="1">IFERROR(SUMIFS('TRA balance'!AI$5:AI$40,'TRA balance'!$C$5:$C$40,Assumptions!$C89,'TRA balance'!$D$5:$D$40,Assumptions!$B89)*EC89*AL89,"")</f>
        <v>0</v>
      </c>
      <c r="CI89" s="34">
        <f ca="1">IFERROR(SUMIFS('TRA balance'!AJ$5:AJ$40,'TRA balance'!$C$5:$C$40,Assumptions!$C89,'TRA balance'!$D$5:$D$40,Assumptions!$B89)*ED89*AM89,"")</f>
        <v>0</v>
      </c>
      <c r="CJ89" s="34">
        <f ca="1">IFERROR(SUMIFS('TRA balance'!AK$5:AK$40,'TRA balance'!$C$5:$C$40,Assumptions!$C89,'TRA balance'!$D$5:$D$40,Assumptions!$B89)*EE89*AN89,"")</f>
        <v>0</v>
      </c>
      <c r="CK89" s="34">
        <f ca="1">IFERROR(SUMIFS('TRA balance'!AL$5:AL$40,'TRA balance'!$C$5:$C$40,Assumptions!$C89,'TRA balance'!$D$5:$D$40,Assumptions!$B89)*EF89*AO89,"")</f>
        <v>0</v>
      </c>
      <c r="CL89" s="34">
        <f ca="1">IFERROR(SUMIFS('TRA balance'!AM$5:AM$40,'TRA balance'!$C$5:$C$40,Assumptions!$C89,'TRA balance'!$D$5:$D$40,Assumptions!$B89)*EG89*AP89,"")</f>
        <v>0</v>
      </c>
      <c r="CM89" s="34">
        <f ca="1">IFERROR(SUMIFS('TRA balance'!AN$5:AN$40,'TRA balance'!$C$5:$C$40,Assumptions!$C89,'TRA balance'!$D$5:$D$40,Assumptions!$B89)*EH89*AQ89,"")</f>
        <v>0</v>
      </c>
      <c r="CN89" s="34">
        <f ca="1">IFERROR(SUMIFS('TRA balance'!AO$5:AO$40,'TRA balance'!$C$5:$C$40,Assumptions!$C89,'TRA balance'!$D$5:$D$40,Assumptions!$B89)*EI89*AR89,"")</f>
        <v>0</v>
      </c>
      <c r="CO89" s="34">
        <f ca="1">IFERROR(SUMIFS('TRA balance'!AP$5:AP$40,'TRA balance'!$C$5:$C$40,Assumptions!$C89,'TRA balance'!$D$5:$D$40,Assumptions!$B89)*EJ89*AS89,"")</f>
        <v>0</v>
      </c>
      <c r="CP89" s="34">
        <f ca="1">IFERROR(SUMIFS('TRA balance'!AQ$5:AQ$40,'TRA balance'!$C$5:$C$40,Assumptions!$C89,'TRA balance'!$D$5:$D$40,Assumptions!$B89)*EK89*AT89,"")</f>
        <v>0</v>
      </c>
      <c r="CQ89" s="34">
        <f ca="1">IFERROR(SUMIFS('TRA balance'!AR$5:AR$40,'TRA balance'!$C$5:$C$40,Assumptions!$C89,'TRA balance'!$D$5:$D$40,Assumptions!$B89)*EL89*AU89,"")</f>
        <v>0</v>
      </c>
      <c r="CR89" s="34">
        <f ca="1">IFERROR(SUMIFS('TRA balance'!AS$5:AS$40,'TRA balance'!$C$5:$C$40,Assumptions!$C89,'TRA balance'!$D$5:$D$40,Assumptions!$B89)*EM89*AV89,"")</f>
        <v>0</v>
      </c>
      <c r="CS89" s="34">
        <f ca="1">IFERROR(SUMIFS('TRA balance'!AT$5:AT$40,'TRA balance'!$C$5:$C$40,Assumptions!$C89,'TRA balance'!$D$5:$D$40,Assumptions!$B89)*EN89*AW89,"")</f>
        <v>0</v>
      </c>
      <c r="CT89" s="34">
        <f ca="1">IFERROR(SUMIFS('TRA balance'!AU$5:AU$40,'TRA balance'!$C$5:$C$40,Assumptions!$C89,'TRA balance'!$D$5:$D$40,Assumptions!$B89)*EO89*AX89,"")</f>
        <v>0</v>
      </c>
      <c r="CU89" s="34">
        <f ca="1">IFERROR(SUMIFS('TRA balance'!AV$5:AV$40,'TRA balance'!$C$5:$C$40,Assumptions!$C89,'TRA balance'!$D$5:$D$40,Assumptions!$B89)*EP89*AY89,"")</f>
        <v>0</v>
      </c>
      <c r="CV89" s="34">
        <f ca="1">IFERROR(SUMIFS('TRA balance'!AW$5:AW$40,'TRA balance'!$C$5:$C$40,Assumptions!$C89,'TRA balance'!$D$5:$D$40,Assumptions!$B89)*EQ89*AZ89,"")</f>
        <v>0</v>
      </c>
      <c r="CW89" s="34">
        <f ca="1">IFERROR(SUMIFS('TRA balance'!AX$5:AX$40,'TRA balance'!$C$5:$C$40,Assumptions!$C89,'TRA balance'!$D$5:$D$40,Assumptions!$B89)*ER89*BA89,"")</f>
        <v>0</v>
      </c>
      <c r="CY89" s="33">
        <f t="shared" si="86"/>
        <v>1</v>
      </c>
      <c r="CZ89" s="33">
        <f t="shared" si="87"/>
        <v>1</v>
      </c>
      <c r="DA89" s="33">
        <f t="shared" si="88"/>
        <v>1</v>
      </c>
      <c r="DB89" s="33">
        <f t="shared" si="89"/>
        <v>1</v>
      </c>
      <c r="DC89" s="33">
        <f t="shared" si="90"/>
        <v>1</v>
      </c>
      <c r="DD89" s="33">
        <f t="shared" si="91"/>
        <v>1</v>
      </c>
      <c r="DE89" s="33">
        <f t="shared" si="92"/>
        <v>1</v>
      </c>
      <c r="DF89" s="33">
        <f t="shared" si="93"/>
        <v>1</v>
      </c>
      <c r="DG89" s="33">
        <f t="shared" si="94"/>
        <v>1</v>
      </c>
      <c r="DH89" s="33">
        <f t="shared" si="95"/>
        <v>1</v>
      </c>
      <c r="DI89" s="33">
        <f t="shared" si="96"/>
        <v>1</v>
      </c>
      <c r="DJ89" s="33">
        <f t="shared" si="97"/>
        <v>1</v>
      </c>
      <c r="DK89" s="33">
        <f t="shared" si="98"/>
        <v>1</v>
      </c>
      <c r="DL89" s="33">
        <f t="shared" si="99"/>
        <v>1</v>
      </c>
      <c r="DM89" s="33">
        <f t="shared" si="100"/>
        <v>1</v>
      </c>
      <c r="DN89" s="33">
        <f t="shared" si="101"/>
        <v>1</v>
      </c>
      <c r="DO89" s="33">
        <f t="shared" si="102"/>
        <v>1</v>
      </c>
      <c r="DP89" s="33">
        <f t="shared" si="103"/>
        <v>1</v>
      </c>
      <c r="DQ89" s="33">
        <f t="shared" si="104"/>
        <v>1</v>
      </c>
      <c r="DR89" s="33">
        <f t="shared" si="105"/>
        <v>1</v>
      </c>
      <c r="DS89" s="33">
        <f t="shared" si="106"/>
        <v>1</v>
      </c>
      <c r="DT89" s="33">
        <f t="shared" si="107"/>
        <v>1</v>
      </c>
      <c r="DU89" s="33">
        <f t="shared" si="108"/>
        <v>1</v>
      </c>
      <c r="DV89" s="33">
        <f t="shared" si="109"/>
        <v>1</v>
      </c>
      <c r="DW89" s="33">
        <f t="shared" si="110"/>
        <v>1</v>
      </c>
      <c r="DX89" s="33">
        <f t="shared" si="111"/>
        <v>1</v>
      </c>
      <c r="DY89" s="33">
        <f t="shared" si="112"/>
        <v>1</v>
      </c>
      <c r="DZ89" s="33">
        <f t="shared" si="113"/>
        <v>1</v>
      </c>
      <c r="EA89" s="33">
        <f t="shared" si="114"/>
        <v>1</v>
      </c>
      <c r="EB89" s="33">
        <f t="shared" si="115"/>
        <v>1</v>
      </c>
      <c r="EC89" s="33">
        <f t="shared" si="116"/>
        <v>1</v>
      </c>
      <c r="ED89" s="33">
        <f t="shared" si="117"/>
        <v>1</v>
      </c>
      <c r="EE89" s="33">
        <f t="shared" si="118"/>
        <v>1</v>
      </c>
      <c r="EF89" s="33">
        <f t="shared" si="119"/>
        <v>1</v>
      </c>
      <c r="EG89" s="33">
        <f t="shared" si="120"/>
        <v>1</v>
      </c>
      <c r="EH89" s="33">
        <f t="shared" si="121"/>
        <v>1</v>
      </c>
      <c r="EI89" s="33">
        <f t="shared" si="122"/>
        <v>1</v>
      </c>
      <c r="EJ89" s="33">
        <f t="shared" si="123"/>
        <v>1</v>
      </c>
      <c r="EK89" s="33">
        <f t="shared" si="124"/>
        <v>1</v>
      </c>
      <c r="EL89" s="33">
        <f t="shared" si="125"/>
        <v>1</v>
      </c>
      <c r="EM89" s="33">
        <f t="shared" si="126"/>
        <v>1</v>
      </c>
      <c r="EN89" s="33">
        <f t="shared" si="127"/>
        <v>1</v>
      </c>
      <c r="EO89" s="33">
        <f t="shared" si="128"/>
        <v>1</v>
      </c>
      <c r="EP89" s="33">
        <f t="shared" si="129"/>
        <v>1</v>
      </c>
      <c r="EQ89" s="33">
        <f t="shared" si="130"/>
        <v>1</v>
      </c>
      <c r="ER89" s="33">
        <f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6" t="str">
        <f t="shared" si="133"/>
        <v>TR</v>
      </c>
      <c r="D90" s="7" t="s">
        <v>16</v>
      </c>
      <c r="E90" s="18" t="s">
        <v>61</v>
      </c>
      <c r="F90" s="8" t="str">
        <f>F89</f>
        <v>Electricity</v>
      </c>
      <c r="G90" s="6" t="s">
        <v>62</v>
      </c>
      <c r="H90" s="9">
        <f ca="1">OFFSET(TIAM15_assumptions!$G90,0,MATCH(VLOOKUP(Assumptions!H$2,TIAM15_assumptions!$Y$3:$Z$87,2,FALSE),TIAM15_assumptions!$H$2:$V$2,0))</f>
        <v>0.7</v>
      </c>
      <c r="I90" s="9">
        <f ca="1">OFFSET(TIAM15_assumptions!$G90,0,MATCH(VLOOKUP(Assumptions!I$2,TIAM15_assumptions!$Y$3:$Z$87,2,FALSE),TIAM15_assumptions!$H$2:$V$2,0))</f>
        <v>0.7</v>
      </c>
      <c r="J90" s="9">
        <f ca="1">OFFSET(TIAM15_assumptions!$G90,0,MATCH(VLOOKUP(Assumptions!J$2,TIAM15_assumptions!$Y$3:$Z$87,2,FALSE),TIAM15_assumptions!$H$2:$V$2,0))</f>
        <v>0.66005447497292435</v>
      </c>
      <c r="K90" s="9">
        <f ca="1">OFFSET(TIAM15_assumptions!$G90,0,MATCH(VLOOKUP(Assumptions!K$2,TIAM15_assumptions!$Y$3:$Z$87,2,FALSE),TIAM15_assumptions!$H$2:$V$2,0))</f>
        <v>0.66</v>
      </c>
      <c r="L90" s="9">
        <f ca="1">OFFSET(TIAM15_assumptions!$G90,0,MATCH(VLOOKUP(Assumptions!L$2,TIAM15_assumptions!$Y$3:$Z$87,2,FALSE),TIAM15_assumptions!$H$2:$V$2,0))</f>
        <v>0.66</v>
      </c>
      <c r="M90" s="9">
        <f ca="1">OFFSET(TIAM15_assumptions!$G90,0,MATCH(VLOOKUP(Assumptions!M$2,TIAM15_assumptions!$Y$3:$Z$87,2,FALSE),TIAM15_assumptions!$H$2:$V$2,0))</f>
        <v>0.66</v>
      </c>
      <c r="N90" s="9">
        <f ca="1">OFFSET(TIAM15_assumptions!$G90,0,MATCH(VLOOKUP(Assumptions!N$2,TIAM15_assumptions!$Y$3:$Z$87,2,FALSE),TIAM15_assumptions!$H$2:$V$2,0))</f>
        <v>0.7</v>
      </c>
      <c r="O90" s="9">
        <f ca="1">OFFSET(TIAM15_assumptions!$G90,0,MATCH(VLOOKUP(Assumptions!O$2,TIAM15_assumptions!$Y$3:$Z$87,2,FALSE),TIAM15_assumptions!$H$2:$V$2,0))</f>
        <v>0.9</v>
      </c>
      <c r="P90" s="9">
        <f ca="1">OFFSET(TIAM15_assumptions!$G90,0,MATCH(VLOOKUP(Assumptions!P$2,TIAM15_assumptions!$Y$3:$Z$87,2,FALSE),TIAM15_assumptions!$H$2:$V$2,0))</f>
        <v>0.66</v>
      </c>
      <c r="Q90" s="9">
        <f ca="1">OFFSET(TIAM15_assumptions!$G90,0,MATCH(VLOOKUP(Assumptions!Q$2,TIAM15_assumptions!$Y$3:$Z$87,2,FALSE),TIAM15_assumptions!$H$2:$V$2,0))</f>
        <v>0.66</v>
      </c>
      <c r="R90" s="9">
        <f ca="1">OFFSET(TIAM15_assumptions!$G90,0,MATCH(VLOOKUP(Assumptions!R$2,TIAM15_assumptions!$Y$3:$Z$87,2,FALSE),TIAM15_assumptions!$H$2:$V$2,0))</f>
        <v>0.66</v>
      </c>
      <c r="S90" s="9">
        <f ca="1">OFFSET(TIAM15_assumptions!$G90,0,MATCH(VLOOKUP(Assumptions!S$2,TIAM15_assumptions!$Y$3:$Z$87,2,FALSE),TIAM15_assumptions!$H$2:$V$2,0))</f>
        <v>0.66</v>
      </c>
      <c r="T90" s="9">
        <f ca="1">OFFSET(TIAM15_assumptions!$G90,0,MATCH(VLOOKUP(Assumptions!T$2,TIAM15_assumptions!$Y$3:$Z$87,2,FALSE),TIAM15_assumptions!$H$2:$V$2,0))</f>
        <v>0.66</v>
      </c>
      <c r="U90" s="9">
        <f ca="1">OFFSET(TIAM15_assumptions!$G90,0,MATCH(VLOOKUP(Assumptions!U$2,TIAM15_assumptions!$Y$3:$Z$87,2,FALSE),TIAM15_assumptions!$H$2:$V$2,0))</f>
        <v>0.66</v>
      </c>
      <c r="V90" s="9">
        <f ca="1">OFFSET(TIAM15_assumptions!$G90,0,MATCH(VLOOKUP(Assumptions!V$2,TIAM15_assumptions!$Y$3:$Z$87,2,FALSE),TIAM15_assumptions!$H$2:$V$2,0))</f>
        <v>0.66</v>
      </c>
      <c r="W90" s="9">
        <f ca="1">OFFSET(TIAM15_assumptions!$G90,0,MATCH(VLOOKUP(Assumptions!W$2,TIAM15_assumptions!$Y$3:$Z$87,2,FALSE),TIAM15_assumptions!$H$2:$V$2,0))</f>
        <v>0.9</v>
      </c>
      <c r="X90" s="9">
        <f ca="1">OFFSET(TIAM15_assumptions!$G90,0,MATCH(VLOOKUP(Assumptions!X$2,TIAM15_assumptions!$Y$3:$Z$87,2,FALSE),TIAM15_assumptions!$H$2:$V$2,0))</f>
        <v>0.66</v>
      </c>
      <c r="Y90" s="9">
        <f ca="1">OFFSET(TIAM15_assumptions!$G90,0,MATCH(VLOOKUP(Assumptions!Y$2,TIAM15_assumptions!$Y$3:$Z$87,2,FALSE),TIAM15_assumptions!$H$2:$V$2,0))</f>
        <v>0.66</v>
      </c>
      <c r="Z90" s="9">
        <f ca="1">OFFSET(TIAM15_assumptions!$G90,0,MATCH(VLOOKUP(Assumptions!Z$2,TIAM15_assumptions!$Y$3:$Z$87,2,FALSE),TIAM15_assumptions!$H$2:$V$2,0))</f>
        <v>0.9</v>
      </c>
      <c r="AA90" s="9">
        <f ca="1">OFFSET(TIAM15_assumptions!$G90,0,MATCH(VLOOKUP(Assumptions!AA$2,TIAM15_assumptions!$Y$3:$Z$87,2,FALSE),TIAM15_assumptions!$H$2:$V$2,0))</f>
        <v>0.7</v>
      </c>
      <c r="AB90" s="9">
        <f ca="1">OFFSET(TIAM15_assumptions!$G90,0,MATCH(VLOOKUP(Assumptions!AB$2,TIAM15_assumptions!$Y$3:$Z$87,2,FALSE),TIAM15_assumptions!$H$2:$V$2,0))</f>
        <v>0.9</v>
      </c>
      <c r="AC90" s="9">
        <f ca="1">OFFSET(TIAM15_assumptions!$G90,0,MATCH(VLOOKUP(Assumptions!AC$2,TIAM15_assumptions!$Y$3:$Z$87,2,FALSE),TIAM15_assumptions!$H$2:$V$2,0))</f>
        <v>0.66005447497292435</v>
      </c>
      <c r="AD90" s="9">
        <f ca="1">OFFSET(TIAM15_assumptions!$G90,0,MATCH(VLOOKUP(Assumptions!AD$2,TIAM15_assumptions!$Y$3:$Z$87,2,FALSE),TIAM15_assumptions!$H$2:$V$2,0))</f>
        <v>0.66</v>
      </c>
      <c r="AE90" s="9">
        <f ca="1">OFFSET(TIAM15_assumptions!$G90,0,MATCH(VLOOKUP(Assumptions!AE$2,TIAM15_assumptions!$Y$3:$Z$87,2,FALSE),TIAM15_assumptions!$H$2:$V$2,0))</f>
        <v>0.66</v>
      </c>
      <c r="AF90" s="9">
        <f ca="1">OFFSET(TIAM15_assumptions!$G90,0,MATCH(VLOOKUP(Assumptions!AF$2,TIAM15_assumptions!$Y$3:$Z$87,2,FALSE),TIAM15_assumptions!$H$2:$V$2,0))</f>
        <v>0.9</v>
      </c>
      <c r="AG90" s="9">
        <f ca="1">OFFSET(TIAM15_assumptions!$G90,0,MATCH(VLOOKUP(Assumptions!AG$2,TIAM15_assumptions!$Y$3:$Z$87,2,FALSE),TIAM15_assumptions!$H$2:$V$2,0))</f>
        <v>0.66</v>
      </c>
      <c r="AH90" s="9">
        <f ca="1">OFFSET(TIAM15_assumptions!$G90,0,MATCH(VLOOKUP(Assumptions!AH$2,TIAM15_assumptions!$Y$3:$Z$87,2,FALSE),TIAM15_assumptions!$H$2:$V$2,0))</f>
        <v>0.9</v>
      </c>
      <c r="AI90" s="9">
        <f ca="1">OFFSET(TIAM15_assumptions!$G90,0,MATCH(VLOOKUP(Assumptions!AI$2,TIAM15_assumptions!$Y$3:$Z$87,2,FALSE),TIAM15_assumptions!$H$2:$V$2,0))</f>
        <v>0.7</v>
      </c>
      <c r="AJ90" s="9">
        <f ca="1">OFFSET(TIAM15_assumptions!$G90,0,MATCH(VLOOKUP(Assumptions!AJ$2,TIAM15_assumptions!$Y$3:$Z$87,2,FALSE),TIAM15_assumptions!$H$2:$V$2,0))</f>
        <v>0.66</v>
      </c>
      <c r="AK90" s="9">
        <f ca="1">OFFSET(TIAM15_assumptions!$G90,0,MATCH(VLOOKUP(Assumptions!AK$2,TIAM15_assumptions!$Y$3:$Z$87,2,FALSE),TIAM15_assumptions!$H$2:$V$2,0))</f>
        <v>0.66</v>
      </c>
      <c r="AL90" s="9">
        <f ca="1">OFFSET(TIAM15_assumptions!$G90,0,MATCH(VLOOKUP(Assumptions!AL$2,TIAM15_assumptions!$Y$3:$Z$87,2,FALSE),TIAM15_assumptions!$H$2:$V$2,0))</f>
        <v>0.66</v>
      </c>
      <c r="AM90" s="9">
        <f ca="1">OFFSET(TIAM15_assumptions!$G90,0,MATCH(VLOOKUP(Assumptions!AM$2,TIAM15_assumptions!$Y$3:$Z$87,2,FALSE),TIAM15_assumptions!$H$2:$V$2,0))</f>
        <v>0.9</v>
      </c>
      <c r="AN90" s="9">
        <f ca="1">OFFSET(TIAM15_assumptions!$G90,0,MATCH(VLOOKUP(Assumptions!AN$2,TIAM15_assumptions!$Y$3:$Z$87,2,FALSE),TIAM15_assumptions!$H$2:$V$2,0))</f>
        <v>0.66</v>
      </c>
      <c r="AO90" s="9">
        <f ca="1">OFFSET(TIAM15_assumptions!$G90,0,MATCH(VLOOKUP(Assumptions!AO$2,TIAM15_assumptions!$Y$3:$Z$87,2,FALSE),TIAM15_assumptions!$H$2:$V$2,0))</f>
        <v>0.66</v>
      </c>
      <c r="AP90" s="9">
        <f ca="1">OFFSET(TIAM15_assumptions!$G90,0,MATCH(VLOOKUP(Assumptions!AP$2,TIAM15_assumptions!$Y$3:$Z$87,2,FALSE),TIAM15_assumptions!$H$2:$V$2,0))</f>
        <v>0.66</v>
      </c>
      <c r="AQ90" s="9">
        <f ca="1">OFFSET(TIAM15_assumptions!$G90,0,MATCH(VLOOKUP(Assumptions!AQ$2,TIAM15_assumptions!$Y$3:$Z$87,2,FALSE),TIAM15_assumptions!$H$2:$V$2,0))</f>
        <v>0.66005447497292435</v>
      </c>
      <c r="AR90" s="9">
        <f ca="1">OFFSET(TIAM15_assumptions!$G90,0,MATCH(VLOOKUP(Assumptions!AR$2,TIAM15_assumptions!$Y$3:$Z$87,2,FALSE),TIAM15_assumptions!$H$2:$V$2,0))</f>
        <v>0.66005447497292435</v>
      </c>
      <c r="AS90" s="9">
        <f ca="1">OFFSET(TIAM15_assumptions!$G90,0,MATCH(VLOOKUP(Assumptions!AS$2,TIAM15_assumptions!$Y$3:$Z$87,2,FALSE),TIAM15_assumptions!$H$2:$V$2,0))</f>
        <v>0.66005447497292435</v>
      </c>
      <c r="AT90" s="9">
        <f ca="1">OFFSET(TIAM15_assumptions!$G90,0,MATCH(VLOOKUP(Assumptions!AT$2,TIAM15_assumptions!$Y$3:$Z$87,2,FALSE),TIAM15_assumptions!$H$2:$V$2,0))</f>
        <v>0.66005447497292435</v>
      </c>
      <c r="AU90" s="9">
        <f ca="1">OFFSET(TIAM15_assumptions!$G90,0,MATCH(VLOOKUP(Assumptions!AU$2,TIAM15_assumptions!$Y$3:$Z$87,2,FALSE),TIAM15_assumptions!$H$2:$V$2,0))</f>
        <v>0.66005447497292435</v>
      </c>
      <c r="AV90" s="9">
        <f ca="1">OFFSET(TIAM15_assumptions!$G90,0,MATCH(VLOOKUP(Assumptions!AV$2,TIAM15_assumptions!$Y$3:$Z$87,2,FALSE),TIAM15_assumptions!$H$2:$V$2,0))</f>
        <v>0.66005447497292435</v>
      </c>
      <c r="AW90" s="9">
        <f ca="1">OFFSET(TIAM15_assumptions!$G90,0,MATCH(VLOOKUP(Assumptions!AW$2,TIAM15_assumptions!$Y$3:$Z$87,2,FALSE),TIAM15_assumptions!$H$2:$V$2,0))</f>
        <v>0.66005447497292435</v>
      </c>
      <c r="AX90" s="9">
        <f ca="1">OFFSET(TIAM15_assumptions!$G90,0,MATCH(VLOOKUP(Assumptions!AX$2,TIAM15_assumptions!$Y$3:$Z$87,2,FALSE),TIAM15_assumptions!$H$2:$V$2,0))</f>
        <v>0.66005447497292435</v>
      </c>
      <c r="AY90" s="9">
        <f ca="1">OFFSET(TIAM15_assumptions!$G90,0,MATCH(VLOOKUP(Assumptions!AY$2,TIAM15_assumptions!$Y$3:$Z$87,2,FALSE),TIAM15_assumptions!$H$2:$V$2,0))</f>
        <v>0.66005447497292435</v>
      </c>
      <c r="AZ90" s="9">
        <f ca="1">OFFSET(TIAM15_assumptions!$G90,0,MATCH(VLOOKUP(Assumptions!AZ$2,TIAM15_assumptions!$Y$3:$Z$87,2,FALSE),TIAM15_assumptions!$H$2:$V$2,0))</f>
        <v>0.66005447497292435</v>
      </c>
      <c r="BA90" s="9">
        <f ca="1">OFFSET(TIAM15_assumptions!$G90,0,MATCH(VLOOKUP(Assumptions!BA$2,TIAM15_assumptions!$Y$3:$Z$87,2,FALSE),TIAM15_assumptions!$H$2:$V$2,0))</f>
        <v>0.66005447497292435</v>
      </c>
      <c r="BD90" s="34">
        <f ca="1">IFERROR(SUMIFS('TRA balance'!E$5:E$40,'TRA balance'!$C$5:$C$40,Assumptions!$C90,'TRA balance'!$D$5:$D$40,Assumptions!$B90)*CY90*H90,"")</f>
        <v>0</v>
      </c>
      <c r="BE90" s="34">
        <f ca="1">IFERROR(SUMIFS('TRA balance'!F$5:F$40,'TRA balance'!$C$5:$C$40,Assumptions!$C90,'TRA balance'!$D$5:$D$40,Assumptions!$B90)*CZ90*I90,"")</f>
        <v>0</v>
      </c>
      <c r="BF90" s="34">
        <f ca="1">IFERROR(SUMIFS('TRA balance'!G$5:G$40,'TRA balance'!$C$5:$C$40,Assumptions!$C90,'TRA balance'!$D$5:$D$40,Assumptions!$B90)*DA90*J90,"")</f>
        <v>5.7027917740552179E-2</v>
      </c>
      <c r="BG90" s="34">
        <f ca="1">IFERROR(SUMIFS('TRA balance'!H$5:H$40,'TRA balance'!$C$5:$C$40,Assumptions!$C90,'TRA balance'!$D$5:$D$40,Assumptions!$B90)*DB90*K90,"")</f>
        <v>3.3894490608000004E-2</v>
      </c>
      <c r="BH90" s="34">
        <f ca="1">IFERROR(SUMIFS('TRA balance'!I$5:I$40,'TRA balance'!$C$5:$C$40,Assumptions!$C90,'TRA balance'!$D$5:$D$40,Assumptions!$B90)*DC90*L90,"")</f>
        <v>0</v>
      </c>
      <c r="BI90" s="34">
        <f ca="1">IFERROR(SUMIFS('TRA balance'!J$5:J$40,'TRA balance'!$C$5:$C$40,Assumptions!$C90,'TRA balance'!$D$5:$D$40,Assumptions!$B90)*DD90*M90,"")</f>
        <v>1.5305575903199999</v>
      </c>
      <c r="BJ90" s="34">
        <f ca="1">IFERROR(SUMIFS('TRA balance'!K$5:K$40,'TRA balance'!$C$5:$C$40,Assumptions!$C90,'TRA balance'!$D$5:$D$40,Assumptions!$B90)*DE90*N90,"")</f>
        <v>0</v>
      </c>
      <c r="BK90" s="34">
        <f ca="1">IFERROR(SUMIFS('TRA balance'!L$5:L$40,'TRA balance'!$C$5:$C$40,Assumptions!$C90,'TRA balance'!$D$5:$D$40,Assumptions!$B90)*DF90*O90,"")</f>
        <v>176.66136984470401</v>
      </c>
      <c r="BL90" s="34">
        <f ca="1">IFERROR(SUMIFS('TRA balance'!M$5:M$40,'TRA balance'!$C$5:$C$40,Assumptions!$C90,'TRA balance'!$D$5:$D$40,Assumptions!$B90)*DG90*P90,"")</f>
        <v>0</v>
      </c>
      <c r="BM90" s="34">
        <f ca="1">IFERROR(SUMIFS('TRA balance'!N$5:N$40,'TRA balance'!$C$5:$C$40,Assumptions!$C90,'TRA balance'!$D$5:$D$40,Assumptions!$B90)*DH90*Q90,"")</f>
        <v>0</v>
      </c>
      <c r="BN90" s="34">
        <f ca="1">IFERROR(SUMIFS('TRA balance'!O$5:O$40,'TRA balance'!$C$5:$C$40,Assumptions!$C90,'TRA balance'!$D$5:$D$40,Assumptions!$B90)*DI90*R90,"")</f>
        <v>0.778177823544</v>
      </c>
      <c r="BO90" s="34">
        <f ca="1">IFERROR(SUMIFS('TRA balance'!P$5:P$40,'TRA balance'!$C$5:$C$40,Assumptions!$C90,'TRA balance'!$D$5:$D$40,Assumptions!$B90)*DJ90*S90,"")</f>
        <v>0.79833600950400008</v>
      </c>
      <c r="BP90" s="34">
        <f ca="1">IFERROR(SUMIFS('TRA balance'!Q$5:Q$40,'TRA balance'!$C$5:$C$40,Assumptions!$C90,'TRA balance'!$D$5:$D$40,Assumptions!$B90)*DK90*T90,"")</f>
        <v>4.8747163608000001E-2</v>
      </c>
      <c r="BQ90" s="34">
        <f ca="1">IFERROR(SUMIFS('TRA balance'!R$5:R$40,'TRA balance'!$C$5:$C$40,Assumptions!$C90,'TRA balance'!$D$5:$D$40,Assumptions!$B90)*DL90*U90,"")</f>
        <v>0</v>
      </c>
      <c r="BR90" s="34">
        <f ca="1">IFERROR(SUMIFS('TRA balance'!S$5:S$40,'TRA balance'!$C$5:$C$40,Assumptions!$C90,'TRA balance'!$D$5:$D$40,Assumptions!$B90)*DM90*V90,"")</f>
        <v>5.3591207472000003E-2</v>
      </c>
      <c r="BS90" s="34">
        <f ca="1">IFERROR(SUMIFS('TRA balance'!T$5:T$40,'TRA balance'!$C$5:$C$40,Assumptions!$C90,'TRA balance'!$D$5:$D$40,Assumptions!$B90)*DN90*W90,"")</f>
        <v>0</v>
      </c>
      <c r="BT90" s="34">
        <f ca="1">IFERROR(SUMIFS('TRA balance'!U$5:U$40,'TRA balance'!$C$5:$C$40,Assumptions!$C90,'TRA balance'!$D$5:$D$40,Assumptions!$B90)*DO90*X90,"")</f>
        <v>6.4409479992000002E-2</v>
      </c>
      <c r="BU90" s="34">
        <f ca="1">IFERROR(SUMIFS('TRA balance'!V$5:V$40,'TRA balance'!$C$5:$C$40,Assumptions!$C90,'TRA balance'!$D$5:$D$40,Assumptions!$B90)*DP90*Y90,"")</f>
        <v>0.328314537144</v>
      </c>
      <c r="BV90" s="34">
        <f ca="1">IFERROR(SUMIFS('TRA balance'!W$5:W$40,'TRA balance'!$C$5:$C$40,Assumptions!$C90,'TRA balance'!$D$5:$D$40,Assumptions!$B90)*DQ90*Z90,"")</f>
        <v>0</v>
      </c>
      <c r="BW90" s="34">
        <f ca="1">IFERROR(SUMIFS('TRA balance'!X$5:X$40,'TRA balance'!$C$5:$C$40,Assumptions!$C90,'TRA balance'!$D$5:$D$40,Assumptions!$B90)*DR90*AA90,"")</f>
        <v>1.02938841936</v>
      </c>
      <c r="BX90" s="34">
        <f ca="1">IFERROR(SUMIFS('TRA balance'!Y$5:Y$40,'TRA balance'!$C$5:$C$40,Assumptions!$C90,'TRA balance'!$D$5:$D$40,Assumptions!$B90)*DS90*AB90,"")</f>
        <v>0</v>
      </c>
      <c r="BY90" s="34">
        <f ca="1">IFERROR(SUMIFS('TRA balance'!Z$5:Z$40,'TRA balance'!$C$5:$C$40,Assumptions!$C90,'TRA balance'!$D$5:$D$40,Assumptions!$B90)*DT90*AC90,"")</f>
        <v>18.510906710415885</v>
      </c>
      <c r="BZ90" s="34">
        <f ca="1">IFERROR(SUMIFS('TRA balance'!AA$5:AA$40,'TRA balance'!$C$5:$C$40,Assumptions!$C90,'TRA balance'!$D$5:$D$40,Assumptions!$B90)*DU90*AD90,"")</f>
        <v>2.0409838598159999</v>
      </c>
      <c r="CA90" s="34">
        <f ca="1">IFERROR(SUMIFS('TRA balance'!AB$5:AB$40,'TRA balance'!$C$5:$C$40,Assumptions!$C90,'TRA balance'!$D$5:$D$40,Assumptions!$B90)*DV90*AE90,"")</f>
        <v>0</v>
      </c>
      <c r="CB90" s="34">
        <f ca="1">IFERROR(SUMIFS('TRA balance'!AC$5:AC$40,'TRA balance'!$C$5:$C$40,Assumptions!$C90,'TRA balance'!$D$5:$D$40,Assumptions!$B90)*DW90*AF90,"")</f>
        <v>1.5905385244799999</v>
      </c>
      <c r="CC90" s="34">
        <f ca="1">IFERROR(SUMIFS('TRA balance'!AD$5:AD$40,'TRA balance'!$C$5:$C$40,Assumptions!$C90,'TRA balance'!$D$5:$D$40,Assumptions!$B90)*DX90*AG90,"")</f>
        <v>0</v>
      </c>
      <c r="CD90" s="34">
        <f ca="1">IFERROR(SUMIFS('TRA balance'!AE$5:AE$40,'TRA balance'!$C$5:$C$40,Assumptions!$C90,'TRA balance'!$D$5:$D$40,Assumptions!$B90)*DY90*AH90,"")</f>
        <v>0</v>
      </c>
      <c r="CE90" s="34">
        <f ca="1">IFERROR(SUMIFS('TRA balance'!AF$5:AF$40,'TRA balance'!$C$5:$C$40,Assumptions!$C90,'TRA balance'!$D$5:$D$40,Assumptions!$B90)*DZ90*AI90,"")</f>
        <v>0</v>
      </c>
      <c r="CF90" s="34">
        <f ca="1">IFERROR(SUMIFS('TRA balance'!AG$5:AG$40,'TRA balance'!$C$5:$C$40,Assumptions!$C90,'TRA balance'!$D$5:$D$40,Assumptions!$B90)*EA90*AJ90,"")</f>
        <v>0.39627760550400004</v>
      </c>
      <c r="CG90" s="34">
        <f ca="1">IFERROR(SUMIFS('TRA balance'!AH$5:AH$40,'TRA balance'!$C$5:$C$40,Assumptions!$C90,'TRA balance'!$D$5:$D$40,Assumptions!$B90)*EB90*AK90,"")</f>
        <v>0.89656813461600016</v>
      </c>
      <c r="CH90" s="34">
        <f ca="1">IFERROR(SUMIFS('TRA balance'!AI$5:AI$40,'TRA balance'!$C$5:$C$40,Assumptions!$C90,'TRA balance'!$D$5:$D$40,Assumptions!$B90)*EC90*AL90,"")</f>
        <v>0</v>
      </c>
      <c r="CI90" s="34">
        <f ca="1">IFERROR(SUMIFS('TRA balance'!AJ$5:AJ$40,'TRA balance'!$C$5:$C$40,Assumptions!$C90,'TRA balance'!$D$5:$D$40,Assumptions!$B90)*ED90*AM90,"")</f>
        <v>0</v>
      </c>
      <c r="CJ90" s="34">
        <f ca="1">IFERROR(SUMIFS('TRA balance'!AK$5:AK$40,'TRA balance'!$C$5:$C$40,Assumptions!$C90,'TRA balance'!$D$5:$D$40,Assumptions!$B90)*EE90*AN90,"")</f>
        <v>0.87078113099999999</v>
      </c>
      <c r="CK90" s="34">
        <f ca="1">IFERROR(SUMIFS('TRA balance'!AL$5:AL$40,'TRA balance'!$C$5:$C$40,Assumptions!$C90,'TRA balance'!$D$5:$D$40,Assumptions!$B90)*EF90*AO90,"")</f>
        <v>0</v>
      </c>
      <c r="CL90" s="34">
        <f ca="1">IFERROR(SUMIFS('TRA balance'!AM$5:AM$40,'TRA balance'!$C$5:$C$40,Assumptions!$C90,'TRA balance'!$D$5:$D$40,Assumptions!$B90)*EG90*AP90,"")</f>
        <v>0</v>
      </c>
      <c r="CM90" s="34">
        <f ca="1">IFERROR(SUMIFS('TRA balance'!AN$5:AN$40,'TRA balance'!$C$5:$C$40,Assumptions!$C90,'TRA balance'!$D$5:$D$40,Assumptions!$B90)*EH90*AQ90,"")</f>
        <v>0</v>
      </c>
      <c r="CN90" s="34">
        <f ca="1">IFERROR(SUMIFS('TRA balance'!AO$5:AO$40,'TRA balance'!$C$5:$C$40,Assumptions!$C90,'TRA balance'!$D$5:$D$40,Assumptions!$B90)*EI90*AR90,"")</f>
        <v>0</v>
      </c>
      <c r="CO90" s="34">
        <f ca="1">IFERROR(SUMIFS('TRA balance'!AP$5:AP$40,'TRA balance'!$C$5:$C$40,Assumptions!$C90,'TRA balance'!$D$5:$D$40,Assumptions!$B90)*EJ90*AS90,"")</f>
        <v>0</v>
      </c>
      <c r="CP90" s="34">
        <f ca="1">IFERROR(SUMIFS('TRA balance'!AQ$5:AQ$40,'TRA balance'!$C$5:$C$40,Assumptions!$C90,'TRA balance'!$D$5:$D$40,Assumptions!$B90)*EK90*AT90,"")</f>
        <v>0</v>
      </c>
      <c r="CQ90" s="34">
        <f ca="1">IFERROR(SUMIFS('TRA balance'!AR$5:AR$40,'TRA balance'!$C$5:$C$40,Assumptions!$C90,'TRA balance'!$D$5:$D$40,Assumptions!$B90)*EL90*AU90,"")</f>
        <v>0</v>
      </c>
      <c r="CR90" s="34">
        <f ca="1">IFERROR(SUMIFS('TRA balance'!AS$5:AS$40,'TRA balance'!$C$5:$C$40,Assumptions!$C90,'TRA balance'!$D$5:$D$40,Assumptions!$B90)*EM90*AV90,"")</f>
        <v>0</v>
      </c>
      <c r="CS90" s="34">
        <f ca="1">IFERROR(SUMIFS('TRA balance'!AT$5:AT$40,'TRA balance'!$C$5:$C$40,Assumptions!$C90,'TRA balance'!$D$5:$D$40,Assumptions!$B90)*EN90*AW90,"")</f>
        <v>0</v>
      </c>
      <c r="CT90" s="34">
        <f ca="1">IFERROR(SUMIFS('TRA balance'!AU$5:AU$40,'TRA balance'!$C$5:$C$40,Assumptions!$C90,'TRA balance'!$D$5:$D$40,Assumptions!$B90)*EO90*AX90,"")</f>
        <v>0</v>
      </c>
      <c r="CU90" s="34">
        <f ca="1">IFERROR(SUMIFS('TRA balance'!AV$5:AV$40,'TRA balance'!$C$5:$C$40,Assumptions!$C90,'TRA balance'!$D$5:$D$40,Assumptions!$B90)*EP90*AY90,"")</f>
        <v>0</v>
      </c>
      <c r="CV90" s="34">
        <f ca="1">IFERROR(SUMIFS('TRA balance'!AW$5:AW$40,'TRA balance'!$C$5:$C$40,Assumptions!$C90,'TRA balance'!$D$5:$D$40,Assumptions!$B90)*EQ90*AZ90,"")</f>
        <v>0</v>
      </c>
      <c r="CW90" s="34">
        <f ca="1">IFERROR(SUMIFS('TRA balance'!AX$5:AX$40,'TRA balance'!$C$5:$C$40,Assumptions!$C90,'TRA balance'!$D$5:$D$40,Assumptions!$B90)*ER90*BA90,"")</f>
        <v>0</v>
      </c>
      <c r="CY90" s="33">
        <f t="shared" ca="1" si="86"/>
        <v>0</v>
      </c>
      <c r="CZ90" s="33">
        <f t="shared" ca="1" si="87"/>
        <v>0</v>
      </c>
      <c r="DA90" s="33">
        <f t="shared" ca="1" si="88"/>
        <v>1</v>
      </c>
      <c r="DB90" s="33">
        <f t="shared" ca="1" si="89"/>
        <v>1</v>
      </c>
      <c r="DC90" s="33">
        <f t="shared" ca="1" si="90"/>
        <v>0</v>
      </c>
      <c r="DD90" s="33">
        <f t="shared" ca="1" si="91"/>
        <v>1</v>
      </c>
      <c r="DE90" s="33">
        <f t="shared" ca="1" si="92"/>
        <v>0.5</v>
      </c>
      <c r="DF90" s="33">
        <f t="shared" ca="1" si="93"/>
        <v>0.8</v>
      </c>
      <c r="DG90" s="33">
        <f t="shared" ca="1" si="94"/>
        <v>0</v>
      </c>
      <c r="DH90" s="33">
        <f t="shared" ca="1" si="95"/>
        <v>0</v>
      </c>
      <c r="DI90" s="33">
        <f t="shared" ca="1" si="96"/>
        <v>1</v>
      </c>
      <c r="DJ90" s="33">
        <f t="shared" ca="1" si="97"/>
        <v>1</v>
      </c>
      <c r="DK90" s="33">
        <f t="shared" ca="1" si="98"/>
        <v>1</v>
      </c>
      <c r="DL90" s="33">
        <f t="shared" ca="1" si="99"/>
        <v>0</v>
      </c>
      <c r="DM90" s="33">
        <f t="shared" ca="1" si="100"/>
        <v>1</v>
      </c>
      <c r="DN90" s="33">
        <f t="shared" ca="1" si="101"/>
        <v>0</v>
      </c>
      <c r="DO90" s="33">
        <f t="shared" ca="1" si="102"/>
        <v>1</v>
      </c>
      <c r="DP90" s="33">
        <f t="shared" ca="1" si="103"/>
        <v>1</v>
      </c>
      <c r="DQ90" s="33">
        <f t="shared" ca="1" si="104"/>
        <v>1</v>
      </c>
      <c r="DR90" s="33">
        <f t="shared" ca="1" si="105"/>
        <v>0.5</v>
      </c>
      <c r="DS90" s="33">
        <f t="shared" ca="1" si="106"/>
        <v>0</v>
      </c>
      <c r="DT90" s="33">
        <f t="shared" ca="1" si="107"/>
        <v>1</v>
      </c>
      <c r="DU90" s="33">
        <f t="shared" ca="1" si="108"/>
        <v>1</v>
      </c>
      <c r="DV90" s="33">
        <f t="shared" ca="1" si="109"/>
        <v>0</v>
      </c>
      <c r="DW90" s="33">
        <f t="shared" ca="1" si="110"/>
        <v>1</v>
      </c>
      <c r="DX90" s="33">
        <f t="shared" ca="1" si="111"/>
        <v>0</v>
      </c>
      <c r="DY90" s="33">
        <f t="shared" ca="1" si="112"/>
        <v>0</v>
      </c>
      <c r="DZ90" s="33">
        <f t="shared" ca="1" si="113"/>
        <v>0</v>
      </c>
      <c r="EA90" s="33">
        <f t="shared" ca="1" si="114"/>
        <v>1</v>
      </c>
      <c r="EB90" s="33">
        <f t="shared" ca="1" si="115"/>
        <v>1</v>
      </c>
      <c r="EC90" s="33">
        <f t="shared" ca="1" si="116"/>
        <v>1</v>
      </c>
      <c r="ED90" s="33">
        <f t="shared" ca="1" si="117"/>
        <v>0</v>
      </c>
      <c r="EE90" s="33">
        <f t="shared" ca="1" si="118"/>
        <v>1</v>
      </c>
      <c r="EF90" s="33">
        <f t="shared" ca="1" si="119"/>
        <v>0</v>
      </c>
      <c r="EG90" s="33">
        <f t="shared" ca="1" si="120"/>
        <v>0</v>
      </c>
      <c r="EH90" s="33">
        <f t="shared" ca="1" si="121"/>
        <v>1</v>
      </c>
      <c r="EI90" s="33">
        <f t="shared" ca="1" si="122"/>
        <v>1</v>
      </c>
      <c r="EJ90" s="33">
        <f t="shared" ca="1" si="123"/>
        <v>1</v>
      </c>
      <c r="EK90" s="33">
        <f t="shared" ca="1" si="124"/>
        <v>1</v>
      </c>
      <c r="EL90" s="33">
        <f t="shared" ca="1" si="125"/>
        <v>1</v>
      </c>
      <c r="EM90" s="33">
        <f t="shared" ca="1" si="126"/>
        <v>1</v>
      </c>
      <c r="EN90" s="33">
        <f t="shared" ca="1" si="127"/>
        <v>1</v>
      </c>
      <c r="EO90" s="33">
        <f t="shared" ca="1" si="128"/>
        <v>1</v>
      </c>
      <c r="EP90" s="33">
        <f t="shared" ca="1" si="129"/>
        <v>1</v>
      </c>
      <c r="EQ90" s="33">
        <f t="shared" ca="1" si="130"/>
        <v>1</v>
      </c>
      <c r="ER90" s="33">
        <f t="shared" ca="1" si="131"/>
        <v>1</v>
      </c>
    </row>
    <row r="91" spans="1:148">
      <c r="A91">
        <v>1</v>
      </c>
      <c r="B91" t="str">
        <f>VLOOKUP(F91,'TRA balance'!$BA$5:$BB$14,2,FALSE)</f>
        <v>TRAELC</v>
      </c>
      <c r="C91" s="6" t="str">
        <f t="shared" si="133"/>
        <v>TR</v>
      </c>
      <c r="D91" s="7" t="s">
        <v>16</v>
      </c>
      <c r="E91" s="18" t="s">
        <v>63</v>
      </c>
      <c r="F91" s="8" t="str">
        <f t="shared" ref="F91:F94" si="143">F90</f>
        <v>Electricity</v>
      </c>
      <c r="G91" s="6" t="s">
        <v>64</v>
      </c>
      <c r="H91" s="9">
        <f ca="1">OFFSET(TIAM15_assumptions!$G91,0,MATCH(VLOOKUP(Assumptions!H$2,TIAM15_assumptions!$Y$3:$Z$87,2,FALSE),TIAM15_assumptions!$H$2:$V$2,0))</f>
        <v>0.3</v>
      </c>
      <c r="I91" s="9">
        <f ca="1">OFFSET(TIAM15_assumptions!$G91,0,MATCH(VLOOKUP(Assumptions!I$2,TIAM15_assumptions!$Y$3:$Z$87,2,FALSE),TIAM15_assumptions!$H$2:$V$2,0))</f>
        <v>0.3</v>
      </c>
      <c r="J91" s="9">
        <f ca="1">OFFSET(TIAM15_assumptions!$G91,0,MATCH(VLOOKUP(Assumptions!J$2,TIAM15_assumptions!$Y$3:$Z$87,2,FALSE),TIAM15_assumptions!$H$2:$V$2,0))</f>
        <v>0.33994552502707565</v>
      </c>
      <c r="K91" s="9">
        <f ca="1">OFFSET(TIAM15_assumptions!$G91,0,MATCH(VLOOKUP(Assumptions!K$2,TIAM15_assumptions!$Y$3:$Z$87,2,FALSE),TIAM15_assumptions!$H$2:$V$2,0))</f>
        <v>0.34</v>
      </c>
      <c r="L91" s="9">
        <f ca="1">OFFSET(TIAM15_assumptions!$G91,0,MATCH(VLOOKUP(Assumptions!L$2,TIAM15_assumptions!$Y$3:$Z$87,2,FALSE),TIAM15_assumptions!$H$2:$V$2,0))</f>
        <v>0.34</v>
      </c>
      <c r="M91" s="9">
        <f ca="1">OFFSET(TIAM15_assumptions!$G91,0,MATCH(VLOOKUP(Assumptions!M$2,TIAM15_assumptions!$Y$3:$Z$87,2,FALSE),TIAM15_assumptions!$H$2:$V$2,0))</f>
        <v>0.34</v>
      </c>
      <c r="N91" s="9">
        <f ca="1">OFFSET(TIAM15_assumptions!$G91,0,MATCH(VLOOKUP(Assumptions!N$2,TIAM15_assumptions!$Y$3:$Z$87,2,FALSE),TIAM15_assumptions!$H$2:$V$2,0))</f>
        <v>0.3</v>
      </c>
      <c r="O91" s="9">
        <f ca="1">OFFSET(TIAM15_assumptions!$G91,0,MATCH(VLOOKUP(Assumptions!O$2,TIAM15_assumptions!$Y$3:$Z$87,2,FALSE),TIAM15_assumptions!$H$2:$V$2,0))</f>
        <v>0.1</v>
      </c>
      <c r="P91" s="9">
        <f ca="1">OFFSET(TIAM15_assumptions!$G91,0,MATCH(VLOOKUP(Assumptions!P$2,TIAM15_assumptions!$Y$3:$Z$87,2,FALSE),TIAM15_assumptions!$H$2:$V$2,0))</f>
        <v>0.34</v>
      </c>
      <c r="Q91" s="9">
        <f ca="1">OFFSET(TIAM15_assumptions!$G91,0,MATCH(VLOOKUP(Assumptions!Q$2,TIAM15_assumptions!$Y$3:$Z$87,2,FALSE),TIAM15_assumptions!$H$2:$V$2,0))</f>
        <v>0.34</v>
      </c>
      <c r="R91" s="9">
        <f ca="1">OFFSET(TIAM15_assumptions!$G91,0,MATCH(VLOOKUP(Assumptions!R$2,TIAM15_assumptions!$Y$3:$Z$87,2,FALSE),TIAM15_assumptions!$H$2:$V$2,0))</f>
        <v>0.34</v>
      </c>
      <c r="S91" s="9">
        <f ca="1">OFFSET(TIAM15_assumptions!$G91,0,MATCH(VLOOKUP(Assumptions!S$2,TIAM15_assumptions!$Y$3:$Z$87,2,FALSE),TIAM15_assumptions!$H$2:$V$2,0))</f>
        <v>0.34</v>
      </c>
      <c r="T91" s="9">
        <f ca="1">OFFSET(TIAM15_assumptions!$G91,0,MATCH(VLOOKUP(Assumptions!T$2,TIAM15_assumptions!$Y$3:$Z$87,2,FALSE),TIAM15_assumptions!$H$2:$V$2,0))</f>
        <v>0.34</v>
      </c>
      <c r="U91" s="9">
        <f ca="1">OFFSET(TIAM15_assumptions!$G91,0,MATCH(VLOOKUP(Assumptions!U$2,TIAM15_assumptions!$Y$3:$Z$87,2,FALSE),TIAM15_assumptions!$H$2:$V$2,0))</f>
        <v>0.34</v>
      </c>
      <c r="V91" s="9">
        <f ca="1">OFFSET(TIAM15_assumptions!$G91,0,MATCH(VLOOKUP(Assumptions!V$2,TIAM15_assumptions!$Y$3:$Z$87,2,FALSE),TIAM15_assumptions!$H$2:$V$2,0))</f>
        <v>0.34</v>
      </c>
      <c r="W91" s="9">
        <f ca="1">OFFSET(TIAM15_assumptions!$G91,0,MATCH(VLOOKUP(Assumptions!W$2,TIAM15_assumptions!$Y$3:$Z$87,2,FALSE),TIAM15_assumptions!$H$2:$V$2,0))</f>
        <v>0.1</v>
      </c>
      <c r="X91" s="9">
        <f ca="1">OFFSET(TIAM15_assumptions!$G91,0,MATCH(VLOOKUP(Assumptions!X$2,TIAM15_assumptions!$Y$3:$Z$87,2,FALSE),TIAM15_assumptions!$H$2:$V$2,0))</f>
        <v>0.34</v>
      </c>
      <c r="Y91" s="9">
        <f ca="1">OFFSET(TIAM15_assumptions!$G91,0,MATCH(VLOOKUP(Assumptions!Y$2,TIAM15_assumptions!$Y$3:$Z$87,2,FALSE),TIAM15_assumptions!$H$2:$V$2,0))</f>
        <v>0.34</v>
      </c>
      <c r="Z91" s="9">
        <f ca="1">OFFSET(TIAM15_assumptions!$G91,0,MATCH(VLOOKUP(Assumptions!Z$2,TIAM15_assumptions!$Y$3:$Z$87,2,FALSE),TIAM15_assumptions!$H$2:$V$2,0))</f>
        <v>0.1</v>
      </c>
      <c r="AA91" s="9">
        <f ca="1">OFFSET(TIAM15_assumptions!$G91,0,MATCH(VLOOKUP(Assumptions!AA$2,TIAM15_assumptions!$Y$3:$Z$87,2,FALSE),TIAM15_assumptions!$H$2:$V$2,0))</f>
        <v>0.3</v>
      </c>
      <c r="AB91" s="9">
        <f ca="1">OFFSET(TIAM15_assumptions!$G91,0,MATCH(VLOOKUP(Assumptions!AB$2,TIAM15_assumptions!$Y$3:$Z$87,2,FALSE),TIAM15_assumptions!$H$2:$V$2,0))</f>
        <v>0.1</v>
      </c>
      <c r="AC91" s="9">
        <f ca="1">OFFSET(TIAM15_assumptions!$G91,0,MATCH(VLOOKUP(Assumptions!AC$2,TIAM15_assumptions!$Y$3:$Z$87,2,FALSE),TIAM15_assumptions!$H$2:$V$2,0))</f>
        <v>0.33994552502707565</v>
      </c>
      <c r="AD91" s="9">
        <f ca="1">OFFSET(TIAM15_assumptions!$G91,0,MATCH(VLOOKUP(Assumptions!AD$2,TIAM15_assumptions!$Y$3:$Z$87,2,FALSE),TIAM15_assumptions!$H$2:$V$2,0))</f>
        <v>0.34</v>
      </c>
      <c r="AE91" s="9">
        <f ca="1">OFFSET(TIAM15_assumptions!$G91,0,MATCH(VLOOKUP(Assumptions!AE$2,TIAM15_assumptions!$Y$3:$Z$87,2,FALSE),TIAM15_assumptions!$H$2:$V$2,0))</f>
        <v>0.34</v>
      </c>
      <c r="AF91" s="9">
        <f ca="1">OFFSET(TIAM15_assumptions!$G91,0,MATCH(VLOOKUP(Assumptions!AF$2,TIAM15_assumptions!$Y$3:$Z$87,2,FALSE),TIAM15_assumptions!$H$2:$V$2,0))</f>
        <v>0.1</v>
      </c>
      <c r="AG91" s="9">
        <f ca="1">OFFSET(TIAM15_assumptions!$G91,0,MATCH(VLOOKUP(Assumptions!AG$2,TIAM15_assumptions!$Y$3:$Z$87,2,FALSE),TIAM15_assumptions!$H$2:$V$2,0))</f>
        <v>0.34</v>
      </c>
      <c r="AH91" s="9">
        <f ca="1">OFFSET(TIAM15_assumptions!$G91,0,MATCH(VLOOKUP(Assumptions!AH$2,TIAM15_assumptions!$Y$3:$Z$87,2,FALSE),TIAM15_assumptions!$H$2:$V$2,0))</f>
        <v>0.1</v>
      </c>
      <c r="AI91" s="9">
        <f ca="1">OFFSET(TIAM15_assumptions!$G91,0,MATCH(VLOOKUP(Assumptions!AI$2,TIAM15_assumptions!$Y$3:$Z$87,2,FALSE),TIAM15_assumptions!$H$2:$V$2,0))</f>
        <v>0.3</v>
      </c>
      <c r="AJ91" s="9">
        <f ca="1">OFFSET(TIAM15_assumptions!$G91,0,MATCH(VLOOKUP(Assumptions!AJ$2,TIAM15_assumptions!$Y$3:$Z$87,2,FALSE),TIAM15_assumptions!$H$2:$V$2,0))</f>
        <v>0.34</v>
      </c>
      <c r="AK91" s="9">
        <f ca="1">OFFSET(TIAM15_assumptions!$G91,0,MATCH(VLOOKUP(Assumptions!AK$2,TIAM15_assumptions!$Y$3:$Z$87,2,FALSE),TIAM15_assumptions!$H$2:$V$2,0))</f>
        <v>0.34</v>
      </c>
      <c r="AL91" s="9">
        <f ca="1">OFFSET(TIAM15_assumptions!$G91,0,MATCH(VLOOKUP(Assumptions!AL$2,TIAM15_assumptions!$Y$3:$Z$87,2,FALSE),TIAM15_assumptions!$H$2:$V$2,0))</f>
        <v>0.34</v>
      </c>
      <c r="AM91" s="9">
        <f ca="1">OFFSET(TIAM15_assumptions!$G91,0,MATCH(VLOOKUP(Assumptions!AM$2,TIAM15_assumptions!$Y$3:$Z$87,2,FALSE),TIAM15_assumptions!$H$2:$V$2,0))</f>
        <v>0.1</v>
      </c>
      <c r="AN91" s="9">
        <f ca="1">OFFSET(TIAM15_assumptions!$G91,0,MATCH(VLOOKUP(Assumptions!AN$2,TIAM15_assumptions!$Y$3:$Z$87,2,FALSE),TIAM15_assumptions!$H$2:$V$2,0))</f>
        <v>0.34</v>
      </c>
      <c r="AO91" s="9">
        <f ca="1">OFFSET(TIAM15_assumptions!$G91,0,MATCH(VLOOKUP(Assumptions!AO$2,TIAM15_assumptions!$Y$3:$Z$87,2,FALSE),TIAM15_assumptions!$H$2:$V$2,0))</f>
        <v>0.34</v>
      </c>
      <c r="AP91" s="9">
        <f ca="1">OFFSET(TIAM15_assumptions!$G91,0,MATCH(VLOOKUP(Assumptions!AP$2,TIAM15_assumptions!$Y$3:$Z$87,2,FALSE),TIAM15_assumptions!$H$2:$V$2,0))</f>
        <v>0.34</v>
      </c>
      <c r="AQ91" s="9">
        <f ca="1">OFFSET(TIAM15_assumptions!$G91,0,MATCH(VLOOKUP(Assumptions!AQ$2,TIAM15_assumptions!$Y$3:$Z$87,2,FALSE),TIAM15_assumptions!$H$2:$V$2,0))</f>
        <v>0.33994552502707565</v>
      </c>
      <c r="AR91" s="9">
        <f ca="1">OFFSET(TIAM15_assumptions!$G91,0,MATCH(VLOOKUP(Assumptions!AR$2,TIAM15_assumptions!$Y$3:$Z$87,2,FALSE),TIAM15_assumptions!$H$2:$V$2,0))</f>
        <v>0.33994552502707565</v>
      </c>
      <c r="AS91" s="9">
        <f ca="1">OFFSET(TIAM15_assumptions!$G91,0,MATCH(VLOOKUP(Assumptions!AS$2,TIAM15_assumptions!$Y$3:$Z$87,2,FALSE),TIAM15_assumptions!$H$2:$V$2,0))</f>
        <v>0.33994552502707565</v>
      </c>
      <c r="AT91" s="9">
        <f ca="1">OFFSET(TIAM15_assumptions!$G91,0,MATCH(VLOOKUP(Assumptions!AT$2,TIAM15_assumptions!$Y$3:$Z$87,2,FALSE),TIAM15_assumptions!$H$2:$V$2,0))</f>
        <v>0.33994552502707565</v>
      </c>
      <c r="AU91" s="9">
        <f ca="1">OFFSET(TIAM15_assumptions!$G91,0,MATCH(VLOOKUP(Assumptions!AU$2,TIAM15_assumptions!$Y$3:$Z$87,2,FALSE),TIAM15_assumptions!$H$2:$V$2,0))</f>
        <v>0.33994552502707565</v>
      </c>
      <c r="AV91" s="9">
        <f ca="1">OFFSET(TIAM15_assumptions!$G91,0,MATCH(VLOOKUP(Assumptions!AV$2,TIAM15_assumptions!$Y$3:$Z$87,2,FALSE),TIAM15_assumptions!$H$2:$V$2,0))</f>
        <v>0.33994552502707565</v>
      </c>
      <c r="AW91" s="9">
        <f ca="1">OFFSET(TIAM15_assumptions!$G91,0,MATCH(VLOOKUP(Assumptions!AW$2,TIAM15_assumptions!$Y$3:$Z$87,2,FALSE),TIAM15_assumptions!$H$2:$V$2,0))</f>
        <v>0.33994552502707565</v>
      </c>
      <c r="AX91" s="9">
        <f ca="1">OFFSET(TIAM15_assumptions!$G91,0,MATCH(VLOOKUP(Assumptions!AX$2,TIAM15_assumptions!$Y$3:$Z$87,2,FALSE),TIAM15_assumptions!$H$2:$V$2,0))</f>
        <v>0.33994552502707565</v>
      </c>
      <c r="AY91" s="9">
        <f ca="1">OFFSET(TIAM15_assumptions!$G91,0,MATCH(VLOOKUP(Assumptions!AY$2,TIAM15_assumptions!$Y$3:$Z$87,2,FALSE),TIAM15_assumptions!$H$2:$V$2,0))</f>
        <v>0.33994552502707565</v>
      </c>
      <c r="AZ91" s="9">
        <f ca="1">OFFSET(TIAM15_assumptions!$G91,0,MATCH(VLOOKUP(Assumptions!AZ$2,TIAM15_assumptions!$Y$3:$Z$87,2,FALSE),TIAM15_assumptions!$H$2:$V$2,0))</f>
        <v>0.33994552502707565</v>
      </c>
      <c r="BA91" s="9">
        <f ca="1">OFFSET(TIAM15_assumptions!$G91,0,MATCH(VLOOKUP(Assumptions!BA$2,TIAM15_assumptions!$Y$3:$Z$87,2,FALSE),TIAM15_assumptions!$H$2:$V$2,0))</f>
        <v>0.33994552502707565</v>
      </c>
      <c r="BD91" s="34">
        <f ca="1">IFERROR(SUMIFS('TRA balance'!E$5:E$40,'TRA balance'!$C$5:$C$40,Assumptions!$C91,'TRA balance'!$D$5:$D$40,Assumptions!$B91)*CY91*H91,"")</f>
        <v>0</v>
      </c>
      <c r="BE91" s="34">
        <f ca="1">IFERROR(SUMIFS('TRA balance'!F$5:F$40,'TRA balance'!$C$5:$C$40,Assumptions!$C91,'TRA balance'!$D$5:$D$40,Assumptions!$B91)*CZ91*I91,"")</f>
        <v>0</v>
      </c>
      <c r="BF91" s="34">
        <f ca="1">IFERROR(SUMIFS('TRA balance'!G$5:G$40,'TRA balance'!$C$5:$C$40,Assumptions!$C91,'TRA balance'!$D$5:$D$40,Assumptions!$B91)*DA91*J91,"")</f>
        <v>2.9370887059447827E-2</v>
      </c>
      <c r="BG91" s="34">
        <f ca="1">IFERROR(SUMIFS('TRA balance'!H$5:H$40,'TRA balance'!$C$5:$C$40,Assumptions!$C91,'TRA balance'!$D$5:$D$40,Assumptions!$B91)*DB91*K91,"")</f>
        <v>1.7460798192000002E-2</v>
      </c>
      <c r="BH91" s="34">
        <f ca="1">IFERROR(SUMIFS('TRA balance'!I$5:I$40,'TRA balance'!$C$5:$C$40,Assumptions!$C91,'TRA balance'!$D$5:$D$40,Assumptions!$B91)*DC91*L91,"")</f>
        <v>0</v>
      </c>
      <c r="BI91" s="34">
        <f ca="1">IFERROR(SUMIFS('TRA balance'!J$5:J$40,'TRA balance'!$C$5:$C$40,Assumptions!$C91,'TRA balance'!$D$5:$D$40,Assumptions!$B91)*DD91*M91,"")</f>
        <v>0.78846906167999997</v>
      </c>
      <c r="BJ91" s="34">
        <f ca="1">IFERROR(SUMIFS('TRA balance'!K$5:K$40,'TRA balance'!$C$5:$C$40,Assumptions!$C91,'TRA balance'!$D$5:$D$40,Assumptions!$B91)*DE91*N91,"")</f>
        <v>0</v>
      </c>
      <c r="BK91" s="34">
        <f ca="1">IFERROR(SUMIFS('TRA balance'!L$5:L$40,'TRA balance'!$C$5:$C$40,Assumptions!$C91,'TRA balance'!$D$5:$D$40,Assumptions!$B91)*DF91*O91,"")</f>
        <v>19.629041093856003</v>
      </c>
      <c r="BL91" s="34">
        <f ca="1">IFERROR(SUMIFS('TRA balance'!M$5:M$40,'TRA balance'!$C$5:$C$40,Assumptions!$C91,'TRA balance'!$D$5:$D$40,Assumptions!$B91)*DG91*P91,"")</f>
        <v>0</v>
      </c>
      <c r="BM91" s="34">
        <f ca="1">IFERROR(SUMIFS('TRA balance'!N$5:N$40,'TRA balance'!$C$5:$C$40,Assumptions!$C91,'TRA balance'!$D$5:$D$40,Assumptions!$B91)*DH91*Q91,"")</f>
        <v>0</v>
      </c>
      <c r="BN91" s="34">
        <f ca="1">IFERROR(SUMIFS('TRA balance'!O$5:O$40,'TRA balance'!$C$5:$C$40,Assumptions!$C91,'TRA balance'!$D$5:$D$40,Assumptions!$B91)*DI91*R91,"")</f>
        <v>0.40087948485600006</v>
      </c>
      <c r="BO91" s="34">
        <f ca="1">IFERROR(SUMIFS('TRA balance'!P$5:P$40,'TRA balance'!$C$5:$C$40,Assumptions!$C91,'TRA balance'!$D$5:$D$40,Assumptions!$B91)*DJ91*S91,"")</f>
        <v>0.41126400489600007</v>
      </c>
      <c r="BP91" s="34">
        <f ca="1">IFERROR(SUMIFS('TRA balance'!Q$5:Q$40,'TRA balance'!$C$5:$C$40,Assumptions!$C91,'TRA balance'!$D$5:$D$40,Assumptions!$B91)*DK91*T91,"")</f>
        <v>2.5112175192E-2</v>
      </c>
      <c r="BQ91" s="34">
        <f ca="1">IFERROR(SUMIFS('TRA balance'!R$5:R$40,'TRA balance'!$C$5:$C$40,Assumptions!$C91,'TRA balance'!$D$5:$D$40,Assumptions!$B91)*DL91*U91,"")</f>
        <v>0</v>
      </c>
      <c r="BR91" s="34">
        <f ca="1">IFERROR(SUMIFS('TRA balance'!S$5:S$40,'TRA balance'!$C$5:$C$40,Assumptions!$C91,'TRA balance'!$D$5:$D$40,Assumptions!$B91)*DM91*V91,"")</f>
        <v>2.7607591728000005E-2</v>
      </c>
      <c r="BS91" s="34">
        <f ca="1">IFERROR(SUMIFS('TRA balance'!T$5:T$40,'TRA balance'!$C$5:$C$40,Assumptions!$C91,'TRA balance'!$D$5:$D$40,Assumptions!$B91)*DN91*W91,"")</f>
        <v>0</v>
      </c>
      <c r="BT91" s="34">
        <f ca="1">IFERROR(SUMIFS('TRA balance'!U$5:U$40,'TRA balance'!$C$5:$C$40,Assumptions!$C91,'TRA balance'!$D$5:$D$40,Assumptions!$B91)*DO91*X91,"")</f>
        <v>3.3180641208000003E-2</v>
      </c>
      <c r="BU91" s="34">
        <f ca="1">IFERROR(SUMIFS('TRA balance'!V$5:V$40,'TRA balance'!$C$5:$C$40,Assumptions!$C91,'TRA balance'!$D$5:$D$40,Assumptions!$B91)*DP91*Y91,"")</f>
        <v>0.16913173125600001</v>
      </c>
      <c r="BV91" s="34">
        <f ca="1">IFERROR(SUMIFS('TRA balance'!W$5:W$40,'TRA balance'!$C$5:$C$40,Assumptions!$C91,'TRA balance'!$D$5:$D$40,Assumptions!$B91)*DQ91*Z91,"")</f>
        <v>0</v>
      </c>
      <c r="BW91" s="34">
        <f ca="1">IFERROR(SUMIFS('TRA balance'!X$5:X$40,'TRA balance'!$C$5:$C$40,Assumptions!$C91,'TRA balance'!$D$5:$D$40,Assumptions!$B91)*DR91*AA91,"")</f>
        <v>0.44116646543999999</v>
      </c>
      <c r="BX91" s="34">
        <f ca="1">IFERROR(SUMIFS('TRA balance'!Y$5:Y$40,'TRA balance'!$C$5:$C$40,Assumptions!$C91,'TRA balance'!$D$5:$D$40,Assumptions!$B91)*DS91*AB91,"")</f>
        <v>0</v>
      </c>
      <c r="BY91" s="34">
        <f ca="1">IFERROR(SUMIFS('TRA balance'!Z$5:Z$40,'TRA balance'!$C$5:$C$40,Assumptions!$C91,'TRA balance'!$D$5:$D$40,Assumptions!$B91)*DT91*AC91,"")</f>
        <v>9.5336069051841132</v>
      </c>
      <c r="BZ91" s="34">
        <f ca="1">IFERROR(SUMIFS('TRA balance'!AA$5:AA$40,'TRA balance'!$C$5:$C$40,Assumptions!$C91,'TRA balance'!$D$5:$D$40,Assumptions!$B91)*DU91*AD91,"")</f>
        <v>1.0514159277840001</v>
      </c>
      <c r="CA91" s="34">
        <f ca="1">IFERROR(SUMIFS('TRA balance'!AB$5:AB$40,'TRA balance'!$C$5:$C$40,Assumptions!$C91,'TRA balance'!$D$5:$D$40,Assumptions!$B91)*DV91*AE91,"")</f>
        <v>0</v>
      </c>
      <c r="CB91" s="34">
        <f ca="1">IFERROR(SUMIFS('TRA balance'!AC$5:AC$40,'TRA balance'!$C$5:$C$40,Assumptions!$C91,'TRA balance'!$D$5:$D$40,Assumptions!$B91)*DW91*AF91,"")</f>
        <v>0.17672650272000001</v>
      </c>
      <c r="CC91" s="34">
        <f ca="1">IFERROR(SUMIFS('TRA balance'!AD$5:AD$40,'TRA balance'!$C$5:$C$40,Assumptions!$C91,'TRA balance'!$D$5:$D$40,Assumptions!$B91)*DX91*AG91,"")</f>
        <v>0</v>
      </c>
      <c r="CD91" s="34">
        <f ca="1">IFERROR(SUMIFS('TRA balance'!AE$5:AE$40,'TRA balance'!$C$5:$C$40,Assumptions!$C91,'TRA balance'!$D$5:$D$40,Assumptions!$B91)*DY91*AH91,"")</f>
        <v>0</v>
      </c>
      <c r="CE91" s="34">
        <f ca="1">IFERROR(SUMIFS('TRA balance'!AF$5:AF$40,'TRA balance'!$C$5:$C$40,Assumptions!$C91,'TRA balance'!$D$5:$D$40,Assumptions!$B91)*DZ91*AI91,"")</f>
        <v>0</v>
      </c>
      <c r="CF91" s="34">
        <f ca="1">IFERROR(SUMIFS('TRA balance'!AG$5:AG$40,'TRA balance'!$C$5:$C$40,Assumptions!$C91,'TRA balance'!$D$5:$D$40,Assumptions!$B91)*EA91*AJ91,"")</f>
        <v>0.20414300889600004</v>
      </c>
      <c r="CG91" s="34">
        <f ca="1">IFERROR(SUMIFS('TRA balance'!AH$5:AH$40,'TRA balance'!$C$5:$C$40,Assumptions!$C91,'TRA balance'!$D$5:$D$40,Assumptions!$B91)*EB91*AK91,"")</f>
        <v>0.46186843298400004</v>
      </c>
      <c r="CH91" s="34">
        <f ca="1">IFERROR(SUMIFS('TRA balance'!AI$5:AI$40,'TRA balance'!$C$5:$C$40,Assumptions!$C91,'TRA balance'!$D$5:$D$40,Assumptions!$B91)*EC91*AL91,"")</f>
        <v>0</v>
      </c>
      <c r="CI91" s="34">
        <f ca="1">IFERROR(SUMIFS('TRA balance'!AJ$5:AJ$40,'TRA balance'!$C$5:$C$40,Assumptions!$C91,'TRA balance'!$D$5:$D$40,Assumptions!$B91)*ED91*AM91,"")</f>
        <v>0</v>
      </c>
      <c r="CJ91" s="34">
        <f ca="1">IFERROR(SUMIFS('TRA balance'!AK$5:AK$40,'TRA balance'!$C$5:$C$40,Assumptions!$C91,'TRA balance'!$D$5:$D$40,Assumptions!$B91)*EE91*AN91,"")</f>
        <v>0.44858421900000001</v>
      </c>
      <c r="CK91" s="34">
        <f ca="1">IFERROR(SUMIFS('TRA balance'!AL$5:AL$40,'TRA balance'!$C$5:$C$40,Assumptions!$C91,'TRA balance'!$D$5:$D$40,Assumptions!$B91)*EF91*AO91,"")</f>
        <v>0</v>
      </c>
      <c r="CL91" s="34">
        <f ca="1">IFERROR(SUMIFS('TRA balance'!AM$5:AM$40,'TRA balance'!$C$5:$C$40,Assumptions!$C91,'TRA balance'!$D$5:$D$40,Assumptions!$B91)*EG91*AP91,"")</f>
        <v>0</v>
      </c>
      <c r="CM91" s="34">
        <f ca="1">IFERROR(SUMIFS('TRA balance'!AN$5:AN$40,'TRA balance'!$C$5:$C$40,Assumptions!$C91,'TRA balance'!$D$5:$D$40,Assumptions!$B91)*EH91*AQ91,"")</f>
        <v>0</v>
      </c>
      <c r="CN91" s="34">
        <f ca="1">IFERROR(SUMIFS('TRA balance'!AO$5:AO$40,'TRA balance'!$C$5:$C$40,Assumptions!$C91,'TRA balance'!$D$5:$D$40,Assumptions!$B91)*EI91*AR91,"")</f>
        <v>0</v>
      </c>
      <c r="CO91" s="34">
        <f ca="1">IFERROR(SUMIFS('TRA balance'!AP$5:AP$40,'TRA balance'!$C$5:$C$40,Assumptions!$C91,'TRA balance'!$D$5:$D$40,Assumptions!$B91)*EJ91*AS91,"")</f>
        <v>0</v>
      </c>
      <c r="CP91" s="34">
        <f ca="1">IFERROR(SUMIFS('TRA balance'!AQ$5:AQ$40,'TRA balance'!$C$5:$C$40,Assumptions!$C91,'TRA balance'!$D$5:$D$40,Assumptions!$B91)*EK91*AT91,"")</f>
        <v>0</v>
      </c>
      <c r="CQ91" s="34">
        <f ca="1">IFERROR(SUMIFS('TRA balance'!AR$5:AR$40,'TRA balance'!$C$5:$C$40,Assumptions!$C91,'TRA balance'!$D$5:$D$40,Assumptions!$B91)*EL91*AU91,"")</f>
        <v>0</v>
      </c>
      <c r="CR91" s="34">
        <f ca="1">IFERROR(SUMIFS('TRA balance'!AS$5:AS$40,'TRA balance'!$C$5:$C$40,Assumptions!$C91,'TRA balance'!$D$5:$D$40,Assumptions!$B91)*EM91*AV91,"")</f>
        <v>0</v>
      </c>
      <c r="CS91" s="34">
        <f ca="1">IFERROR(SUMIFS('TRA balance'!AT$5:AT$40,'TRA balance'!$C$5:$C$40,Assumptions!$C91,'TRA balance'!$D$5:$D$40,Assumptions!$B91)*EN91*AW91,"")</f>
        <v>0</v>
      </c>
      <c r="CT91" s="34">
        <f ca="1">IFERROR(SUMIFS('TRA balance'!AU$5:AU$40,'TRA balance'!$C$5:$C$40,Assumptions!$C91,'TRA balance'!$D$5:$D$40,Assumptions!$B91)*EO91*AX91,"")</f>
        <v>0</v>
      </c>
      <c r="CU91" s="34">
        <f ca="1">IFERROR(SUMIFS('TRA balance'!AV$5:AV$40,'TRA balance'!$C$5:$C$40,Assumptions!$C91,'TRA balance'!$D$5:$D$40,Assumptions!$B91)*EP91*AY91,"")</f>
        <v>0</v>
      </c>
      <c r="CV91" s="34">
        <f ca="1">IFERROR(SUMIFS('TRA balance'!AW$5:AW$40,'TRA balance'!$C$5:$C$40,Assumptions!$C91,'TRA balance'!$D$5:$D$40,Assumptions!$B91)*EQ91*AZ91,"")</f>
        <v>0</v>
      </c>
      <c r="CW91" s="34">
        <f ca="1">IFERROR(SUMIFS('TRA balance'!AX$5:AX$40,'TRA balance'!$C$5:$C$40,Assumptions!$C91,'TRA balance'!$D$5:$D$40,Assumptions!$B91)*ER91*BA91,"")</f>
        <v>0</v>
      </c>
      <c r="CY91" s="33">
        <f t="shared" ca="1" si="86"/>
        <v>0</v>
      </c>
      <c r="CZ91" s="33">
        <f t="shared" ca="1" si="87"/>
        <v>0</v>
      </c>
      <c r="DA91" s="33">
        <f t="shared" ca="1" si="88"/>
        <v>1</v>
      </c>
      <c r="DB91" s="33">
        <f t="shared" ca="1" si="89"/>
        <v>1</v>
      </c>
      <c r="DC91" s="33">
        <f t="shared" ca="1" si="90"/>
        <v>0</v>
      </c>
      <c r="DD91" s="33">
        <f t="shared" ca="1" si="91"/>
        <v>1</v>
      </c>
      <c r="DE91" s="33">
        <f t="shared" ca="1" si="92"/>
        <v>0.5</v>
      </c>
      <c r="DF91" s="33">
        <f t="shared" ca="1" si="93"/>
        <v>0.8</v>
      </c>
      <c r="DG91" s="33">
        <f t="shared" ca="1" si="94"/>
        <v>0</v>
      </c>
      <c r="DH91" s="33">
        <f t="shared" ca="1" si="95"/>
        <v>0</v>
      </c>
      <c r="DI91" s="33">
        <f t="shared" ca="1" si="96"/>
        <v>1</v>
      </c>
      <c r="DJ91" s="33">
        <f t="shared" ca="1" si="97"/>
        <v>1</v>
      </c>
      <c r="DK91" s="33">
        <f t="shared" ca="1" si="98"/>
        <v>1</v>
      </c>
      <c r="DL91" s="33">
        <f t="shared" ca="1" si="99"/>
        <v>0</v>
      </c>
      <c r="DM91" s="33">
        <f t="shared" ca="1" si="100"/>
        <v>1</v>
      </c>
      <c r="DN91" s="33">
        <f t="shared" ca="1" si="101"/>
        <v>0</v>
      </c>
      <c r="DO91" s="33">
        <f t="shared" ca="1" si="102"/>
        <v>1</v>
      </c>
      <c r="DP91" s="33">
        <f t="shared" ca="1" si="103"/>
        <v>1</v>
      </c>
      <c r="DQ91" s="33">
        <f t="shared" ca="1" si="104"/>
        <v>1</v>
      </c>
      <c r="DR91" s="33">
        <f t="shared" ca="1" si="105"/>
        <v>0.5</v>
      </c>
      <c r="DS91" s="33">
        <f t="shared" ca="1" si="106"/>
        <v>0</v>
      </c>
      <c r="DT91" s="33">
        <f t="shared" ca="1" si="107"/>
        <v>1</v>
      </c>
      <c r="DU91" s="33">
        <f t="shared" ca="1" si="108"/>
        <v>1</v>
      </c>
      <c r="DV91" s="33">
        <f t="shared" ca="1" si="109"/>
        <v>0</v>
      </c>
      <c r="DW91" s="33">
        <f t="shared" ca="1" si="110"/>
        <v>1</v>
      </c>
      <c r="DX91" s="33">
        <f t="shared" ca="1" si="111"/>
        <v>0</v>
      </c>
      <c r="DY91" s="33">
        <f t="shared" ca="1" si="112"/>
        <v>0</v>
      </c>
      <c r="DZ91" s="33">
        <f t="shared" ca="1" si="113"/>
        <v>0</v>
      </c>
      <c r="EA91" s="33">
        <f t="shared" ca="1" si="114"/>
        <v>1</v>
      </c>
      <c r="EB91" s="33">
        <f t="shared" ca="1" si="115"/>
        <v>1</v>
      </c>
      <c r="EC91" s="33">
        <f t="shared" ca="1" si="116"/>
        <v>1</v>
      </c>
      <c r="ED91" s="33">
        <f t="shared" ca="1" si="117"/>
        <v>0</v>
      </c>
      <c r="EE91" s="33">
        <f t="shared" ca="1" si="118"/>
        <v>1</v>
      </c>
      <c r="EF91" s="33">
        <f t="shared" ca="1" si="119"/>
        <v>0</v>
      </c>
      <c r="EG91" s="33">
        <f t="shared" ca="1" si="120"/>
        <v>0</v>
      </c>
      <c r="EH91" s="33">
        <f t="shared" ca="1" si="121"/>
        <v>1</v>
      </c>
      <c r="EI91" s="33">
        <f t="shared" ca="1" si="122"/>
        <v>1</v>
      </c>
      <c r="EJ91" s="33">
        <f t="shared" ca="1" si="123"/>
        <v>1</v>
      </c>
      <c r="EK91" s="33">
        <f t="shared" ca="1" si="124"/>
        <v>1</v>
      </c>
      <c r="EL91" s="33">
        <f t="shared" ca="1" si="125"/>
        <v>1</v>
      </c>
      <c r="EM91" s="33">
        <f t="shared" ca="1" si="126"/>
        <v>1</v>
      </c>
      <c r="EN91" s="33">
        <f t="shared" ca="1" si="127"/>
        <v>1</v>
      </c>
      <c r="EO91" s="33">
        <f t="shared" ca="1" si="128"/>
        <v>1</v>
      </c>
      <c r="EP91" s="33">
        <f t="shared" ca="1" si="129"/>
        <v>1</v>
      </c>
      <c r="EQ91" s="33">
        <f t="shared" ca="1" si="130"/>
        <v>1</v>
      </c>
      <c r="ER91" s="33">
        <f t="shared" ca="1" si="131"/>
        <v>1</v>
      </c>
    </row>
    <row r="92" spans="1:148">
      <c r="A92">
        <v>1</v>
      </c>
      <c r="B92" t="str">
        <f>VLOOKUP(F92,'TRA balance'!$BA$5:$BB$14,2,FALSE)</f>
        <v>TRAELC</v>
      </c>
      <c r="C92" s="6" t="str">
        <f t="shared" si="133"/>
        <v>TR</v>
      </c>
      <c r="D92" s="7" t="s">
        <v>16</v>
      </c>
      <c r="E92" s="18" t="s">
        <v>65</v>
      </c>
      <c r="F92" s="8" t="str">
        <f t="shared" si="143"/>
        <v>Electricity</v>
      </c>
      <c r="G92" s="6" t="s">
        <v>66</v>
      </c>
      <c r="H92" s="9">
        <f ca="1">OFFSET(TIAM15_assumptions!$G92,0,MATCH(VLOOKUP(Assumptions!H$2,TIAM15_assumptions!$Y$3:$Z$87,2,FALSE),TIAM15_assumptions!$H$2:$V$2,0))</f>
        <v>0</v>
      </c>
      <c r="I92" s="9">
        <f ca="1">OFFSET(TIAM15_assumptions!$G92,0,MATCH(VLOOKUP(Assumptions!I$2,TIAM15_assumptions!$Y$3:$Z$87,2,FALSE),TIAM15_assumptions!$H$2:$V$2,0))</f>
        <v>0</v>
      </c>
      <c r="J92" s="9">
        <f ca="1">OFFSET(TIAM15_assumptions!$G92,0,MATCH(VLOOKUP(Assumptions!J$2,TIAM15_assumptions!$Y$3:$Z$87,2,FALSE),TIAM15_assumptions!$H$2:$V$2,0))</f>
        <v>0</v>
      </c>
      <c r="K92" s="9">
        <f ca="1">OFFSET(TIAM15_assumptions!$G92,0,MATCH(VLOOKUP(Assumptions!K$2,TIAM15_assumptions!$Y$3:$Z$87,2,FALSE),TIAM15_assumptions!$H$2:$V$2,0))</f>
        <v>0</v>
      </c>
      <c r="L92" s="9">
        <f ca="1">OFFSET(TIAM15_assumptions!$G92,0,MATCH(VLOOKUP(Assumptions!L$2,TIAM15_assumptions!$Y$3:$Z$87,2,FALSE),TIAM15_assumptions!$H$2:$V$2,0))</f>
        <v>0</v>
      </c>
      <c r="M92" s="9">
        <f ca="1">OFFSET(TIAM15_assumptions!$G92,0,MATCH(VLOOKUP(Assumptions!M$2,TIAM15_assumptions!$Y$3:$Z$87,2,FALSE),TIAM15_assumptions!$H$2:$V$2,0))</f>
        <v>0</v>
      </c>
      <c r="N92" s="9">
        <f ca="1">OFFSET(TIAM15_assumptions!$G92,0,MATCH(VLOOKUP(Assumptions!N$2,TIAM15_assumptions!$Y$3:$Z$87,2,FALSE),TIAM15_assumptions!$H$2:$V$2,0))</f>
        <v>0</v>
      </c>
      <c r="O92" s="9">
        <f ca="1">OFFSET(TIAM15_assumptions!$G92,0,MATCH(VLOOKUP(Assumptions!O$2,TIAM15_assumptions!$Y$3:$Z$87,2,FALSE),TIAM15_assumptions!$H$2:$V$2,0))</f>
        <v>0</v>
      </c>
      <c r="P92" s="9">
        <f ca="1">OFFSET(TIAM15_assumptions!$G92,0,MATCH(VLOOKUP(Assumptions!P$2,TIAM15_assumptions!$Y$3:$Z$87,2,FALSE),TIAM15_assumptions!$H$2:$V$2,0))</f>
        <v>0</v>
      </c>
      <c r="Q92" s="9">
        <f ca="1">OFFSET(TIAM15_assumptions!$G92,0,MATCH(VLOOKUP(Assumptions!Q$2,TIAM15_assumptions!$Y$3:$Z$87,2,FALSE),TIAM15_assumptions!$H$2:$V$2,0))</f>
        <v>0</v>
      </c>
      <c r="R92" s="9">
        <f ca="1">OFFSET(TIAM15_assumptions!$G92,0,MATCH(VLOOKUP(Assumptions!R$2,TIAM15_assumptions!$Y$3:$Z$87,2,FALSE),TIAM15_assumptions!$H$2:$V$2,0))</f>
        <v>0</v>
      </c>
      <c r="S92" s="9">
        <f ca="1">OFFSET(TIAM15_assumptions!$G92,0,MATCH(VLOOKUP(Assumptions!S$2,TIAM15_assumptions!$Y$3:$Z$87,2,FALSE),TIAM15_assumptions!$H$2:$V$2,0))</f>
        <v>0</v>
      </c>
      <c r="T92" s="9">
        <f ca="1">OFFSET(TIAM15_assumptions!$G92,0,MATCH(VLOOKUP(Assumptions!T$2,TIAM15_assumptions!$Y$3:$Z$87,2,FALSE),TIAM15_assumptions!$H$2:$V$2,0))</f>
        <v>0</v>
      </c>
      <c r="U92" s="9">
        <f ca="1">OFFSET(TIAM15_assumptions!$G92,0,MATCH(VLOOKUP(Assumptions!U$2,TIAM15_assumptions!$Y$3:$Z$87,2,FALSE),TIAM15_assumptions!$H$2:$V$2,0))</f>
        <v>0</v>
      </c>
      <c r="V92" s="9">
        <f ca="1">OFFSET(TIAM15_assumptions!$G92,0,MATCH(VLOOKUP(Assumptions!V$2,TIAM15_assumptions!$Y$3:$Z$87,2,FALSE),TIAM15_assumptions!$H$2:$V$2,0))</f>
        <v>0</v>
      </c>
      <c r="W92" s="9">
        <f ca="1">OFFSET(TIAM15_assumptions!$G92,0,MATCH(VLOOKUP(Assumptions!W$2,TIAM15_assumptions!$Y$3:$Z$87,2,FALSE),TIAM15_assumptions!$H$2:$V$2,0))</f>
        <v>0</v>
      </c>
      <c r="X92" s="9">
        <f ca="1">OFFSET(TIAM15_assumptions!$G92,0,MATCH(VLOOKUP(Assumptions!X$2,TIAM15_assumptions!$Y$3:$Z$87,2,FALSE),TIAM15_assumptions!$H$2:$V$2,0))</f>
        <v>0</v>
      </c>
      <c r="Y92" s="9">
        <f ca="1">OFFSET(TIAM15_assumptions!$G92,0,MATCH(VLOOKUP(Assumptions!Y$2,TIAM15_assumptions!$Y$3:$Z$87,2,FALSE),TIAM15_assumptions!$H$2:$V$2,0))</f>
        <v>0</v>
      </c>
      <c r="Z92" s="9">
        <f ca="1">OFFSET(TIAM15_assumptions!$G92,0,MATCH(VLOOKUP(Assumptions!Z$2,TIAM15_assumptions!$Y$3:$Z$87,2,FALSE),TIAM15_assumptions!$H$2:$V$2,0))</f>
        <v>0</v>
      </c>
      <c r="AA92" s="9">
        <f ca="1">OFFSET(TIAM15_assumptions!$G92,0,MATCH(VLOOKUP(Assumptions!AA$2,TIAM15_assumptions!$Y$3:$Z$87,2,FALSE),TIAM15_assumptions!$H$2:$V$2,0))</f>
        <v>0</v>
      </c>
      <c r="AB92" s="9">
        <f ca="1">OFFSET(TIAM15_assumptions!$G92,0,MATCH(VLOOKUP(Assumptions!AB$2,TIAM15_assumptions!$Y$3:$Z$87,2,FALSE),TIAM15_assumptions!$H$2:$V$2,0))</f>
        <v>0</v>
      </c>
      <c r="AC92" s="9">
        <f ca="1">OFFSET(TIAM15_assumptions!$G92,0,MATCH(VLOOKUP(Assumptions!AC$2,TIAM15_assumptions!$Y$3:$Z$87,2,FALSE),TIAM15_assumptions!$H$2:$V$2,0))</f>
        <v>0</v>
      </c>
      <c r="AD92" s="9">
        <f ca="1">OFFSET(TIAM15_assumptions!$G92,0,MATCH(VLOOKUP(Assumptions!AD$2,TIAM15_assumptions!$Y$3:$Z$87,2,FALSE),TIAM15_assumptions!$H$2:$V$2,0))</f>
        <v>0</v>
      </c>
      <c r="AE92" s="9">
        <f ca="1">OFFSET(TIAM15_assumptions!$G92,0,MATCH(VLOOKUP(Assumptions!AE$2,TIAM15_assumptions!$Y$3:$Z$87,2,FALSE),TIAM15_assumptions!$H$2:$V$2,0))</f>
        <v>0</v>
      </c>
      <c r="AF92" s="9">
        <f ca="1">OFFSET(TIAM15_assumptions!$G92,0,MATCH(VLOOKUP(Assumptions!AF$2,TIAM15_assumptions!$Y$3:$Z$87,2,FALSE),TIAM15_assumptions!$H$2:$V$2,0))</f>
        <v>0</v>
      </c>
      <c r="AG92" s="9">
        <f ca="1">OFFSET(TIAM15_assumptions!$G92,0,MATCH(VLOOKUP(Assumptions!AG$2,TIAM15_assumptions!$Y$3:$Z$87,2,FALSE),TIAM15_assumptions!$H$2:$V$2,0))</f>
        <v>0</v>
      </c>
      <c r="AH92" s="9">
        <f ca="1">OFFSET(TIAM15_assumptions!$G92,0,MATCH(VLOOKUP(Assumptions!AH$2,TIAM15_assumptions!$Y$3:$Z$87,2,FALSE),TIAM15_assumptions!$H$2:$V$2,0))</f>
        <v>0</v>
      </c>
      <c r="AI92" s="9">
        <f ca="1">OFFSET(TIAM15_assumptions!$G92,0,MATCH(VLOOKUP(Assumptions!AI$2,TIAM15_assumptions!$Y$3:$Z$87,2,FALSE),TIAM15_assumptions!$H$2:$V$2,0))</f>
        <v>0</v>
      </c>
      <c r="AJ92" s="9">
        <f ca="1">OFFSET(TIAM15_assumptions!$G92,0,MATCH(VLOOKUP(Assumptions!AJ$2,TIAM15_assumptions!$Y$3:$Z$87,2,FALSE),TIAM15_assumptions!$H$2:$V$2,0))</f>
        <v>0</v>
      </c>
      <c r="AK92" s="9">
        <f ca="1">OFFSET(TIAM15_assumptions!$G92,0,MATCH(VLOOKUP(Assumptions!AK$2,TIAM15_assumptions!$Y$3:$Z$87,2,FALSE),TIAM15_assumptions!$H$2:$V$2,0))</f>
        <v>0</v>
      </c>
      <c r="AL92" s="9">
        <f ca="1">OFFSET(TIAM15_assumptions!$G92,0,MATCH(VLOOKUP(Assumptions!AL$2,TIAM15_assumptions!$Y$3:$Z$87,2,FALSE),TIAM15_assumptions!$H$2:$V$2,0))</f>
        <v>0</v>
      </c>
      <c r="AM92" s="9">
        <f ca="1">OFFSET(TIAM15_assumptions!$G92,0,MATCH(VLOOKUP(Assumptions!AM$2,TIAM15_assumptions!$Y$3:$Z$87,2,FALSE),TIAM15_assumptions!$H$2:$V$2,0))</f>
        <v>0</v>
      </c>
      <c r="AN92" s="9">
        <f ca="1">OFFSET(TIAM15_assumptions!$G92,0,MATCH(VLOOKUP(Assumptions!AN$2,TIAM15_assumptions!$Y$3:$Z$87,2,FALSE),TIAM15_assumptions!$H$2:$V$2,0))</f>
        <v>0</v>
      </c>
      <c r="AO92" s="9">
        <f ca="1">OFFSET(TIAM15_assumptions!$G92,0,MATCH(VLOOKUP(Assumptions!AO$2,TIAM15_assumptions!$Y$3:$Z$87,2,FALSE),TIAM15_assumptions!$H$2:$V$2,0))</f>
        <v>0</v>
      </c>
      <c r="AP92" s="9">
        <f ca="1">OFFSET(TIAM15_assumptions!$G92,0,MATCH(VLOOKUP(Assumptions!AP$2,TIAM15_assumptions!$Y$3:$Z$87,2,FALSE),TIAM15_assumptions!$H$2:$V$2,0))</f>
        <v>0</v>
      </c>
      <c r="AQ92" s="9">
        <f ca="1">OFFSET(TIAM15_assumptions!$G92,0,MATCH(VLOOKUP(Assumptions!AQ$2,TIAM15_assumptions!$Y$3:$Z$87,2,FALSE),TIAM15_assumptions!$H$2:$V$2,0))</f>
        <v>0</v>
      </c>
      <c r="AR92" s="9">
        <f ca="1">OFFSET(TIAM15_assumptions!$G92,0,MATCH(VLOOKUP(Assumptions!AR$2,TIAM15_assumptions!$Y$3:$Z$87,2,FALSE),TIAM15_assumptions!$H$2:$V$2,0))</f>
        <v>0</v>
      </c>
      <c r="AS92" s="9">
        <f ca="1">OFFSET(TIAM15_assumptions!$G92,0,MATCH(VLOOKUP(Assumptions!AS$2,TIAM15_assumptions!$Y$3:$Z$87,2,FALSE),TIAM15_assumptions!$H$2:$V$2,0))</f>
        <v>0</v>
      </c>
      <c r="AT92" s="9">
        <f ca="1">OFFSET(TIAM15_assumptions!$G92,0,MATCH(VLOOKUP(Assumptions!AT$2,TIAM15_assumptions!$Y$3:$Z$87,2,FALSE),TIAM15_assumptions!$H$2:$V$2,0))</f>
        <v>0</v>
      </c>
      <c r="AU92" s="9">
        <f ca="1">OFFSET(TIAM15_assumptions!$G92,0,MATCH(VLOOKUP(Assumptions!AU$2,TIAM15_assumptions!$Y$3:$Z$87,2,FALSE),TIAM15_assumptions!$H$2:$V$2,0))</f>
        <v>0</v>
      </c>
      <c r="AV92" s="9">
        <f ca="1">OFFSET(TIAM15_assumptions!$G92,0,MATCH(VLOOKUP(Assumptions!AV$2,TIAM15_assumptions!$Y$3:$Z$87,2,FALSE),TIAM15_assumptions!$H$2:$V$2,0))</f>
        <v>0</v>
      </c>
      <c r="AW92" s="9">
        <f ca="1">OFFSET(TIAM15_assumptions!$G92,0,MATCH(VLOOKUP(Assumptions!AW$2,TIAM15_assumptions!$Y$3:$Z$87,2,FALSE),TIAM15_assumptions!$H$2:$V$2,0))</f>
        <v>0</v>
      </c>
      <c r="AX92" s="9">
        <f ca="1">OFFSET(TIAM15_assumptions!$G92,0,MATCH(VLOOKUP(Assumptions!AX$2,TIAM15_assumptions!$Y$3:$Z$87,2,FALSE),TIAM15_assumptions!$H$2:$V$2,0))</f>
        <v>0</v>
      </c>
      <c r="AY92" s="9">
        <f ca="1">OFFSET(TIAM15_assumptions!$G92,0,MATCH(VLOOKUP(Assumptions!AY$2,TIAM15_assumptions!$Y$3:$Z$87,2,FALSE),TIAM15_assumptions!$H$2:$V$2,0))</f>
        <v>0</v>
      </c>
      <c r="AZ92" s="9">
        <f ca="1">OFFSET(TIAM15_assumptions!$G92,0,MATCH(VLOOKUP(Assumptions!AZ$2,TIAM15_assumptions!$Y$3:$Z$87,2,FALSE),TIAM15_assumptions!$H$2:$V$2,0))</f>
        <v>0</v>
      </c>
      <c r="BA92" s="9">
        <f ca="1">OFFSET(TIAM15_assumptions!$G92,0,MATCH(VLOOKUP(Assumptions!BA$2,TIAM15_assumptions!$Y$3:$Z$87,2,FALSE),TIAM15_assumptions!$H$2:$V$2,0))</f>
        <v>0</v>
      </c>
      <c r="BD92" s="34">
        <f ca="1">IFERROR(SUMIFS('TRA balance'!E$5:E$40,'TRA balance'!$C$5:$C$40,Assumptions!$C92,'TRA balance'!$D$5:$D$40,Assumptions!$B92)*CY92*H92,"")</f>
        <v>0</v>
      </c>
      <c r="BE92" s="34">
        <f ca="1">IFERROR(SUMIFS('TRA balance'!F$5:F$40,'TRA balance'!$C$5:$C$40,Assumptions!$C92,'TRA balance'!$D$5:$D$40,Assumptions!$B92)*CZ92*I92,"")</f>
        <v>0</v>
      </c>
      <c r="BF92" s="34">
        <f ca="1">IFERROR(SUMIFS('TRA balance'!G$5:G$40,'TRA balance'!$C$5:$C$40,Assumptions!$C92,'TRA balance'!$D$5:$D$40,Assumptions!$B92)*DA92*J92,"")</f>
        <v>0</v>
      </c>
      <c r="BG92" s="34">
        <f ca="1">IFERROR(SUMIFS('TRA balance'!H$5:H$40,'TRA balance'!$C$5:$C$40,Assumptions!$C92,'TRA balance'!$D$5:$D$40,Assumptions!$B92)*DB92*K92,"")</f>
        <v>0</v>
      </c>
      <c r="BH92" s="34">
        <f ca="1">IFERROR(SUMIFS('TRA balance'!I$5:I$40,'TRA balance'!$C$5:$C$40,Assumptions!$C92,'TRA balance'!$D$5:$D$40,Assumptions!$B92)*DC92*L92,"")</f>
        <v>0</v>
      </c>
      <c r="BI92" s="34">
        <f ca="1">IFERROR(SUMIFS('TRA balance'!J$5:J$40,'TRA balance'!$C$5:$C$40,Assumptions!$C92,'TRA balance'!$D$5:$D$40,Assumptions!$B92)*DD92*M92,"")</f>
        <v>0</v>
      </c>
      <c r="BJ92" s="34">
        <f ca="1">IFERROR(SUMIFS('TRA balance'!K$5:K$40,'TRA balance'!$C$5:$C$40,Assumptions!$C92,'TRA balance'!$D$5:$D$40,Assumptions!$B92)*DE92*N92,"")</f>
        <v>0</v>
      </c>
      <c r="BK92" s="34">
        <f ca="1">IFERROR(SUMIFS('TRA balance'!L$5:L$40,'TRA balance'!$C$5:$C$40,Assumptions!$C92,'TRA balance'!$D$5:$D$40,Assumptions!$B92)*DF92*O92,"")</f>
        <v>0</v>
      </c>
      <c r="BL92" s="34">
        <f ca="1">IFERROR(SUMIFS('TRA balance'!M$5:M$40,'TRA balance'!$C$5:$C$40,Assumptions!$C92,'TRA balance'!$D$5:$D$40,Assumptions!$B92)*DG92*P92,"")</f>
        <v>0</v>
      </c>
      <c r="BM92" s="34">
        <f ca="1">IFERROR(SUMIFS('TRA balance'!N$5:N$40,'TRA balance'!$C$5:$C$40,Assumptions!$C92,'TRA balance'!$D$5:$D$40,Assumptions!$B92)*DH92*Q92,"")</f>
        <v>0</v>
      </c>
      <c r="BN92" s="34">
        <f ca="1">IFERROR(SUMIFS('TRA balance'!O$5:O$40,'TRA balance'!$C$5:$C$40,Assumptions!$C92,'TRA balance'!$D$5:$D$40,Assumptions!$B92)*DI92*R92,"")</f>
        <v>0</v>
      </c>
      <c r="BO92" s="34">
        <f ca="1">IFERROR(SUMIFS('TRA balance'!P$5:P$40,'TRA balance'!$C$5:$C$40,Assumptions!$C92,'TRA balance'!$D$5:$D$40,Assumptions!$B92)*DJ92*S92,"")</f>
        <v>0</v>
      </c>
      <c r="BP92" s="34">
        <f ca="1">IFERROR(SUMIFS('TRA balance'!Q$5:Q$40,'TRA balance'!$C$5:$C$40,Assumptions!$C92,'TRA balance'!$D$5:$D$40,Assumptions!$B92)*DK92*T92,"")</f>
        <v>0</v>
      </c>
      <c r="BQ92" s="34">
        <f ca="1">IFERROR(SUMIFS('TRA balance'!R$5:R$40,'TRA balance'!$C$5:$C$40,Assumptions!$C92,'TRA balance'!$D$5:$D$40,Assumptions!$B92)*DL92*U92,"")</f>
        <v>0</v>
      </c>
      <c r="BR92" s="34">
        <f ca="1">IFERROR(SUMIFS('TRA balance'!S$5:S$40,'TRA balance'!$C$5:$C$40,Assumptions!$C92,'TRA balance'!$D$5:$D$40,Assumptions!$B92)*DM92*V92,"")</f>
        <v>0</v>
      </c>
      <c r="BS92" s="34">
        <f ca="1">IFERROR(SUMIFS('TRA balance'!T$5:T$40,'TRA balance'!$C$5:$C$40,Assumptions!$C92,'TRA balance'!$D$5:$D$40,Assumptions!$B92)*DN92*W92,"")</f>
        <v>0</v>
      </c>
      <c r="BT92" s="34">
        <f ca="1">IFERROR(SUMIFS('TRA balance'!U$5:U$40,'TRA balance'!$C$5:$C$40,Assumptions!$C92,'TRA balance'!$D$5:$D$40,Assumptions!$B92)*DO92*X92,"")</f>
        <v>0</v>
      </c>
      <c r="BU92" s="34">
        <f ca="1">IFERROR(SUMIFS('TRA balance'!V$5:V$40,'TRA balance'!$C$5:$C$40,Assumptions!$C92,'TRA balance'!$D$5:$D$40,Assumptions!$B92)*DP92*Y92,"")</f>
        <v>0</v>
      </c>
      <c r="BV92" s="34">
        <f ca="1">IFERROR(SUMIFS('TRA balance'!W$5:W$40,'TRA balance'!$C$5:$C$40,Assumptions!$C92,'TRA balance'!$D$5:$D$40,Assumptions!$B92)*DQ92*Z92,"")</f>
        <v>0</v>
      </c>
      <c r="BW92" s="34">
        <f ca="1">IFERROR(SUMIFS('TRA balance'!X$5:X$40,'TRA balance'!$C$5:$C$40,Assumptions!$C92,'TRA balance'!$D$5:$D$40,Assumptions!$B92)*DR92*AA92,"")</f>
        <v>0</v>
      </c>
      <c r="BX92" s="34">
        <f ca="1">IFERROR(SUMIFS('TRA balance'!Y$5:Y$40,'TRA balance'!$C$5:$C$40,Assumptions!$C92,'TRA balance'!$D$5:$D$40,Assumptions!$B92)*DS92*AB92,"")</f>
        <v>0</v>
      </c>
      <c r="BY92" s="34">
        <f ca="1">IFERROR(SUMIFS('TRA balance'!Z$5:Z$40,'TRA balance'!$C$5:$C$40,Assumptions!$C92,'TRA balance'!$D$5:$D$40,Assumptions!$B92)*DT92*AC92,"")</f>
        <v>0</v>
      </c>
      <c r="BZ92" s="34">
        <f ca="1">IFERROR(SUMIFS('TRA balance'!AA$5:AA$40,'TRA balance'!$C$5:$C$40,Assumptions!$C92,'TRA balance'!$D$5:$D$40,Assumptions!$B92)*DU92*AD92,"")</f>
        <v>0</v>
      </c>
      <c r="CA92" s="34">
        <f ca="1">IFERROR(SUMIFS('TRA balance'!AB$5:AB$40,'TRA balance'!$C$5:$C$40,Assumptions!$C92,'TRA balance'!$D$5:$D$40,Assumptions!$B92)*DV92*AE92,"")</f>
        <v>0</v>
      </c>
      <c r="CB92" s="34">
        <f ca="1">IFERROR(SUMIFS('TRA balance'!AC$5:AC$40,'TRA balance'!$C$5:$C$40,Assumptions!$C92,'TRA balance'!$D$5:$D$40,Assumptions!$B92)*DW92*AF92,"")</f>
        <v>0</v>
      </c>
      <c r="CC92" s="34">
        <f ca="1">IFERROR(SUMIFS('TRA balance'!AD$5:AD$40,'TRA balance'!$C$5:$C$40,Assumptions!$C92,'TRA balance'!$D$5:$D$40,Assumptions!$B92)*DX92*AG92,"")</f>
        <v>0</v>
      </c>
      <c r="CD92" s="34">
        <f ca="1">IFERROR(SUMIFS('TRA balance'!AE$5:AE$40,'TRA balance'!$C$5:$C$40,Assumptions!$C92,'TRA balance'!$D$5:$D$40,Assumptions!$B92)*DY92*AH92,"")</f>
        <v>0</v>
      </c>
      <c r="CE92" s="34">
        <f ca="1">IFERROR(SUMIFS('TRA balance'!AF$5:AF$40,'TRA balance'!$C$5:$C$40,Assumptions!$C92,'TRA balance'!$D$5:$D$40,Assumptions!$B92)*DZ92*AI92,"")</f>
        <v>0</v>
      </c>
      <c r="CF92" s="34">
        <f ca="1">IFERROR(SUMIFS('TRA balance'!AG$5:AG$40,'TRA balance'!$C$5:$C$40,Assumptions!$C92,'TRA balance'!$D$5:$D$40,Assumptions!$B92)*EA92*AJ92,"")</f>
        <v>0</v>
      </c>
      <c r="CG92" s="34">
        <f ca="1">IFERROR(SUMIFS('TRA balance'!AH$5:AH$40,'TRA balance'!$C$5:$C$40,Assumptions!$C92,'TRA balance'!$D$5:$D$40,Assumptions!$B92)*EB92*AK92,"")</f>
        <v>0</v>
      </c>
      <c r="CH92" s="34">
        <f ca="1">IFERROR(SUMIFS('TRA balance'!AI$5:AI$40,'TRA balance'!$C$5:$C$40,Assumptions!$C92,'TRA balance'!$D$5:$D$40,Assumptions!$B92)*EC92*AL92,"")</f>
        <v>0</v>
      </c>
      <c r="CI92" s="34">
        <f ca="1">IFERROR(SUMIFS('TRA balance'!AJ$5:AJ$40,'TRA balance'!$C$5:$C$40,Assumptions!$C92,'TRA balance'!$D$5:$D$40,Assumptions!$B92)*ED92*AM92,"")</f>
        <v>0</v>
      </c>
      <c r="CJ92" s="34">
        <f ca="1">IFERROR(SUMIFS('TRA balance'!AK$5:AK$40,'TRA balance'!$C$5:$C$40,Assumptions!$C92,'TRA balance'!$D$5:$D$40,Assumptions!$B92)*EE92*AN92,"")</f>
        <v>0</v>
      </c>
      <c r="CK92" s="34">
        <f ca="1">IFERROR(SUMIFS('TRA balance'!AL$5:AL$40,'TRA balance'!$C$5:$C$40,Assumptions!$C92,'TRA balance'!$D$5:$D$40,Assumptions!$B92)*EF92*AO92,"")</f>
        <v>0</v>
      </c>
      <c r="CL92" s="34">
        <f ca="1">IFERROR(SUMIFS('TRA balance'!AM$5:AM$40,'TRA balance'!$C$5:$C$40,Assumptions!$C92,'TRA balance'!$D$5:$D$40,Assumptions!$B92)*EG92*AP92,"")</f>
        <v>0</v>
      </c>
      <c r="CM92" s="34">
        <f ca="1">IFERROR(SUMIFS('TRA balance'!AN$5:AN$40,'TRA balance'!$C$5:$C$40,Assumptions!$C92,'TRA balance'!$D$5:$D$40,Assumptions!$B92)*EH92*AQ92,"")</f>
        <v>0</v>
      </c>
      <c r="CN92" s="34">
        <f ca="1">IFERROR(SUMIFS('TRA balance'!AO$5:AO$40,'TRA balance'!$C$5:$C$40,Assumptions!$C92,'TRA balance'!$D$5:$D$40,Assumptions!$B92)*EI92*AR92,"")</f>
        <v>0</v>
      </c>
      <c r="CO92" s="34">
        <f ca="1">IFERROR(SUMIFS('TRA balance'!AP$5:AP$40,'TRA balance'!$C$5:$C$40,Assumptions!$C92,'TRA balance'!$D$5:$D$40,Assumptions!$B92)*EJ92*AS92,"")</f>
        <v>0</v>
      </c>
      <c r="CP92" s="34">
        <f ca="1">IFERROR(SUMIFS('TRA balance'!AQ$5:AQ$40,'TRA balance'!$C$5:$C$40,Assumptions!$C92,'TRA balance'!$D$5:$D$40,Assumptions!$B92)*EK92*AT92,"")</f>
        <v>0</v>
      </c>
      <c r="CQ92" s="34">
        <f ca="1">IFERROR(SUMIFS('TRA balance'!AR$5:AR$40,'TRA balance'!$C$5:$C$40,Assumptions!$C92,'TRA balance'!$D$5:$D$40,Assumptions!$B92)*EL92*AU92,"")</f>
        <v>0</v>
      </c>
      <c r="CR92" s="34">
        <f ca="1">IFERROR(SUMIFS('TRA balance'!AS$5:AS$40,'TRA balance'!$C$5:$C$40,Assumptions!$C92,'TRA balance'!$D$5:$D$40,Assumptions!$B92)*EM92*AV92,"")</f>
        <v>0</v>
      </c>
      <c r="CS92" s="34">
        <f ca="1">IFERROR(SUMIFS('TRA balance'!AT$5:AT$40,'TRA balance'!$C$5:$C$40,Assumptions!$C92,'TRA balance'!$D$5:$D$40,Assumptions!$B92)*EN92*AW92,"")</f>
        <v>0</v>
      </c>
      <c r="CT92" s="34">
        <f ca="1">IFERROR(SUMIFS('TRA balance'!AU$5:AU$40,'TRA balance'!$C$5:$C$40,Assumptions!$C92,'TRA balance'!$D$5:$D$40,Assumptions!$B92)*EO92*AX92,"")</f>
        <v>0</v>
      </c>
      <c r="CU92" s="34">
        <f ca="1">IFERROR(SUMIFS('TRA balance'!AV$5:AV$40,'TRA balance'!$C$5:$C$40,Assumptions!$C92,'TRA balance'!$D$5:$D$40,Assumptions!$B92)*EP92*AY92,"")</f>
        <v>0</v>
      </c>
      <c r="CV92" s="34">
        <f ca="1">IFERROR(SUMIFS('TRA balance'!AW$5:AW$40,'TRA balance'!$C$5:$C$40,Assumptions!$C92,'TRA balance'!$D$5:$D$40,Assumptions!$B92)*EQ92*AZ92,"")</f>
        <v>0</v>
      </c>
      <c r="CW92" s="34">
        <f ca="1">IFERROR(SUMIFS('TRA balance'!AX$5:AX$40,'TRA balance'!$C$5:$C$40,Assumptions!$C92,'TRA balance'!$D$5:$D$40,Assumptions!$B92)*ER92*BA92,"")</f>
        <v>0</v>
      </c>
      <c r="CY92" s="33">
        <f t="shared" ca="1" si="86"/>
        <v>0</v>
      </c>
      <c r="CZ92" s="33">
        <f t="shared" ca="1" si="87"/>
        <v>0</v>
      </c>
      <c r="DA92" s="33">
        <f t="shared" ca="1" si="88"/>
        <v>1</v>
      </c>
      <c r="DB92" s="33">
        <f t="shared" ca="1" si="89"/>
        <v>1</v>
      </c>
      <c r="DC92" s="33">
        <f t="shared" ca="1" si="90"/>
        <v>0</v>
      </c>
      <c r="DD92" s="33">
        <f t="shared" ca="1" si="91"/>
        <v>1</v>
      </c>
      <c r="DE92" s="33">
        <f t="shared" ca="1" si="92"/>
        <v>0.5</v>
      </c>
      <c r="DF92" s="33">
        <f t="shared" ca="1" si="93"/>
        <v>0.8</v>
      </c>
      <c r="DG92" s="33">
        <f t="shared" ca="1" si="94"/>
        <v>0</v>
      </c>
      <c r="DH92" s="33">
        <f t="shared" ca="1" si="95"/>
        <v>0</v>
      </c>
      <c r="DI92" s="33">
        <f t="shared" ca="1" si="96"/>
        <v>1</v>
      </c>
      <c r="DJ92" s="33">
        <f t="shared" ca="1" si="97"/>
        <v>1</v>
      </c>
      <c r="DK92" s="33">
        <f t="shared" ca="1" si="98"/>
        <v>1</v>
      </c>
      <c r="DL92" s="33">
        <f t="shared" ca="1" si="99"/>
        <v>0</v>
      </c>
      <c r="DM92" s="33">
        <f t="shared" ca="1" si="100"/>
        <v>1</v>
      </c>
      <c r="DN92" s="33">
        <f t="shared" ca="1" si="101"/>
        <v>0</v>
      </c>
      <c r="DO92" s="33">
        <f t="shared" ca="1" si="102"/>
        <v>1</v>
      </c>
      <c r="DP92" s="33">
        <f t="shared" ca="1" si="103"/>
        <v>1</v>
      </c>
      <c r="DQ92" s="33">
        <f t="shared" ca="1" si="104"/>
        <v>1</v>
      </c>
      <c r="DR92" s="33">
        <f t="shared" ca="1" si="105"/>
        <v>0.5</v>
      </c>
      <c r="DS92" s="33">
        <f t="shared" ca="1" si="106"/>
        <v>0</v>
      </c>
      <c r="DT92" s="33">
        <f t="shared" ca="1" si="107"/>
        <v>1</v>
      </c>
      <c r="DU92" s="33">
        <f t="shared" ca="1" si="108"/>
        <v>1</v>
      </c>
      <c r="DV92" s="33">
        <f t="shared" ca="1" si="109"/>
        <v>0</v>
      </c>
      <c r="DW92" s="33">
        <f t="shared" ca="1" si="110"/>
        <v>1</v>
      </c>
      <c r="DX92" s="33">
        <f t="shared" ca="1" si="111"/>
        <v>0</v>
      </c>
      <c r="DY92" s="33">
        <f t="shared" ca="1" si="112"/>
        <v>0</v>
      </c>
      <c r="DZ92" s="33">
        <f t="shared" ca="1" si="113"/>
        <v>0</v>
      </c>
      <c r="EA92" s="33">
        <f t="shared" ca="1" si="114"/>
        <v>1</v>
      </c>
      <c r="EB92" s="33">
        <f t="shared" ca="1" si="115"/>
        <v>1</v>
      </c>
      <c r="EC92" s="33">
        <f t="shared" ca="1" si="116"/>
        <v>1</v>
      </c>
      <c r="ED92" s="33">
        <f t="shared" ca="1" si="117"/>
        <v>0</v>
      </c>
      <c r="EE92" s="33">
        <f t="shared" ca="1" si="118"/>
        <v>1</v>
      </c>
      <c r="EF92" s="33">
        <f t="shared" ca="1" si="119"/>
        <v>0</v>
      </c>
      <c r="EG92" s="33">
        <f t="shared" ca="1" si="120"/>
        <v>0</v>
      </c>
      <c r="EH92" s="33">
        <f t="shared" ca="1" si="121"/>
        <v>1</v>
      </c>
      <c r="EI92" s="33">
        <f t="shared" ca="1" si="122"/>
        <v>1</v>
      </c>
      <c r="EJ92" s="33">
        <f t="shared" ca="1" si="123"/>
        <v>1</v>
      </c>
      <c r="EK92" s="33">
        <f t="shared" ca="1" si="124"/>
        <v>1</v>
      </c>
      <c r="EL92" s="33">
        <f t="shared" ca="1" si="125"/>
        <v>1</v>
      </c>
      <c r="EM92" s="33">
        <f t="shared" ca="1" si="126"/>
        <v>1</v>
      </c>
      <c r="EN92" s="33">
        <f t="shared" ca="1" si="127"/>
        <v>1</v>
      </c>
      <c r="EO92" s="33">
        <f t="shared" ca="1" si="128"/>
        <v>1</v>
      </c>
      <c r="EP92" s="33">
        <f t="shared" ca="1" si="129"/>
        <v>1</v>
      </c>
      <c r="EQ92" s="33">
        <f t="shared" ca="1" si="130"/>
        <v>1</v>
      </c>
      <c r="ER92" s="33">
        <f t="shared" ca="1" si="131"/>
        <v>1</v>
      </c>
    </row>
    <row r="93" spans="1:148">
      <c r="A93">
        <v>1</v>
      </c>
      <c r="B93" t="str">
        <f>VLOOKUP(F93,'TRA balance'!$BA$5:$BB$14,2,FALSE)</f>
        <v>TRAELC</v>
      </c>
      <c r="C93" s="6" t="str">
        <f t="shared" si="133"/>
        <v>TR</v>
      </c>
      <c r="D93" s="7" t="s">
        <v>16</v>
      </c>
      <c r="E93" s="18" t="s">
        <v>67</v>
      </c>
      <c r="F93" s="8" t="str">
        <f t="shared" si="143"/>
        <v>Electricity</v>
      </c>
      <c r="G93" s="6" t="s">
        <v>68</v>
      </c>
      <c r="H93" s="9">
        <f ca="1">OFFSET(TIAM15_assumptions!$G93,0,MATCH(VLOOKUP(Assumptions!H$2,TIAM15_assumptions!$Y$3:$Z$87,2,FALSE),TIAM15_assumptions!$H$2:$V$2,0))</f>
        <v>0</v>
      </c>
      <c r="I93" s="9">
        <f ca="1">OFFSET(TIAM15_assumptions!$G93,0,MATCH(VLOOKUP(Assumptions!I$2,TIAM15_assumptions!$Y$3:$Z$87,2,FALSE),TIAM15_assumptions!$H$2:$V$2,0))</f>
        <v>0</v>
      </c>
      <c r="J93" s="9">
        <f ca="1">OFFSET(TIAM15_assumptions!$G93,0,MATCH(VLOOKUP(Assumptions!J$2,TIAM15_assumptions!$Y$3:$Z$87,2,FALSE),TIAM15_assumptions!$H$2:$V$2,0))</f>
        <v>0</v>
      </c>
      <c r="K93" s="9">
        <f ca="1">OFFSET(TIAM15_assumptions!$G93,0,MATCH(VLOOKUP(Assumptions!K$2,TIAM15_assumptions!$Y$3:$Z$87,2,FALSE),TIAM15_assumptions!$H$2:$V$2,0))</f>
        <v>0</v>
      </c>
      <c r="L93" s="9">
        <f ca="1">OFFSET(TIAM15_assumptions!$G93,0,MATCH(VLOOKUP(Assumptions!L$2,TIAM15_assumptions!$Y$3:$Z$87,2,FALSE),TIAM15_assumptions!$H$2:$V$2,0))</f>
        <v>0</v>
      </c>
      <c r="M93" s="9">
        <f ca="1">OFFSET(TIAM15_assumptions!$G93,0,MATCH(VLOOKUP(Assumptions!M$2,TIAM15_assumptions!$Y$3:$Z$87,2,FALSE),TIAM15_assumptions!$H$2:$V$2,0))</f>
        <v>0</v>
      </c>
      <c r="N93" s="9">
        <f ca="1">OFFSET(TIAM15_assumptions!$G93,0,MATCH(VLOOKUP(Assumptions!N$2,TIAM15_assumptions!$Y$3:$Z$87,2,FALSE),TIAM15_assumptions!$H$2:$V$2,0))</f>
        <v>0</v>
      </c>
      <c r="O93" s="9">
        <f ca="1">OFFSET(TIAM15_assumptions!$G93,0,MATCH(VLOOKUP(Assumptions!O$2,TIAM15_assumptions!$Y$3:$Z$87,2,FALSE),TIAM15_assumptions!$H$2:$V$2,0))</f>
        <v>0</v>
      </c>
      <c r="P93" s="9">
        <f ca="1">OFFSET(TIAM15_assumptions!$G93,0,MATCH(VLOOKUP(Assumptions!P$2,TIAM15_assumptions!$Y$3:$Z$87,2,FALSE),TIAM15_assumptions!$H$2:$V$2,0))</f>
        <v>0</v>
      </c>
      <c r="Q93" s="9">
        <f ca="1">OFFSET(TIAM15_assumptions!$G93,0,MATCH(VLOOKUP(Assumptions!Q$2,TIAM15_assumptions!$Y$3:$Z$87,2,FALSE),TIAM15_assumptions!$H$2:$V$2,0))</f>
        <v>0</v>
      </c>
      <c r="R93" s="9">
        <f ca="1">OFFSET(TIAM15_assumptions!$G93,0,MATCH(VLOOKUP(Assumptions!R$2,TIAM15_assumptions!$Y$3:$Z$87,2,FALSE),TIAM15_assumptions!$H$2:$V$2,0))</f>
        <v>0</v>
      </c>
      <c r="S93" s="9">
        <f ca="1">OFFSET(TIAM15_assumptions!$G93,0,MATCH(VLOOKUP(Assumptions!S$2,TIAM15_assumptions!$Y$3:$Z$87,2,FALSE),TIAM15_assumptions!$H$2:$V$2,0))</f>
        <v>0</v>
      </c>
      <c r="T93" s="9">
        <f ca="1">OFFSET(TIAM15_assumptions!$G93,0,MATCH(VLOOKUP(Assumptions!T$2,TIAM15_assumptions!$Y$3:$Z$87,2,FALSE),TIAM15_assumptions!$H$2:$V$2,0))</f>
        <v>0</v>
      </c>
      <c r="U93" s="9">
        <f ca="1">OFFSET(TIAM15_assumptions!$G93,0,MATCH(VLOOKUP(Assumptions!U$2,TIAM15_assumptions!$Y$3:$Z$87,2,FALSE),TIAM15_assumptions!$H$2:$V$2,0))</f>
        <v>0</v>
      </c>
      <c r="V93" s="9">
        <f ca="1">OFFSET(TIAM15_assumptions!$G93,0,MATCH(VLOOKUP(Assumptions!V$2,TIAM15_assumptions!$Y$3:$Z$87,2,FALSE),TIAM15_assumptions!$H$2:$V$2,0))</f>
        <v>0</v>
      </c>
      <c r="W93" s="9">
        <f ca="1">OFFSET(TIAM15_assumptions!$G93,0,MATCH(VLOOKUP(Assumptions!W$2,TIAM15_assumptions!$Y$3:$Z$87,2,FALSE),TIAM15_assumptions!$H$2:$V$2,0))</f>
        <v>0</v>
      </c>
      <c r="X93" s="9">
        <f ca="1">OFFSET(TIAM15_assumptions!$G93,0,MATCH(VLOOKUP(Assumptions!X$2,TIAM15_assumptions!$Y$3:$Z$87,2,FALSE),TIAM15_assumptions!$H$2:$V$2,0))</f>
        <v>0</v>
      </c>
      <c r="Y93" s="9">
        <f ca="1">OFFSET(TIAM15_assumptions!$G93,0,MATCH(VLOOKUP(Assumptions!Y$2,TIAM15_assumptions!$Y$3:$Z$87,2,FALSE),TIAM15_assumptions!$H$2:$V$2,0))</f>
        <v>0</v>
      </c>
      <c r="Z93" s="9">
        <f ca="1">OFFSET(TIAM15_assumptions!$G93,0,MATCH(VLOOKUP(Assumptions!Z$2,TIAM15_assumptions!$Y$3:$Z$87,2,FALSE),TIAM15_assumptions!$H$2:$V$2,0))</f>
        <v>0</v>
      </c>
      <c r="AA93" s="9">
        <f ca="1">OFFSET(TIAM15_assumptions!$G93,0,MATCH(VLOOKUP(Assumptions!AA$2,TIAM15_assumptions!$Y$3:$Z$87,2,FALSE),TIAM15_assumptions!$H$2:$V$2,0))</f>
        <v>0</v>
      </c>
      <c r="AB93" s="9">
        <f ca="1">OFFSET(TIAM15_assumptions!$G93,0,MATCH(VLOOKUP(Assumptions!AB$2,TIAM15_assumptions!$Y$3:$Z$87,2,FALSE),TIAM15_assumptions!$H$2:$V$2,0))</f>
        <v>0</v>
      </c>
      <c r="AC93" s="9">
        <f ca="1">OFFSET(TIAM15_assumptions!$G93,0,MATCH(VLOOKUP(Assumptions!AC$2,TIAM15_assumptions!$Y$3:$Z$87,2,FALSE),TIAM15_assumptions!$H$2:$V$2,0))</f>
        <v>0</v>
      </c>
      <c r="AD93" s="9">
        <f ca="1">OFFSET(TIAM15_assumptions!$G93,0,MATCH(VLOOKUP(Assumptions!AD$2,TIAM15_assumptions!$Y$3:$Z$87,2,FALSE),TIAM15_assumptions!$H$2:$V$2,0))</f>
        <v>0</v>
      </c>
      <c r="AE93" s="9">
        <f ca="1">OFFSET(TIAM15_assumptions!$G93,0,MATCH(VLOOKUP(Assumptions!AE$2,TIAM15_assumptions!$Y$3:$Z$87,2,FALSE),TIAM15_assumptions!$H$2:$V$2,0))</f>
        <v>0</v>
      </c>
      <c r="AF93" s="9">
        <f ca="1">OFFSET(TIAM15_assumptions!$G93,0,MATCH(VLOOKUP(Assumptions!AF$2,TIAM15_assumptions!$Y$3:$Z$87,2,FALSE),TIAM15_assumptions!$H$2:$V$2,0))</f>
        <v>0</v>
      </c>
      <c r="AG93" s="9">
        <f ca="1">OFFSET(TIAM15_assumptions!$G93,0,MATCH(VLOOKUP(Assumptions!AG$2,TIAM15_assumptions!$Y$3:$Z$87,2,FALSE),TIAM15_assumptions!$H$2:$V$2,0))</f>
        <v>0</v>
      </c>
      <c r="AH93" s="9">
        <f ca="1">OFFSET(TIAM15_assumptions!$G93,0,MATCH(VLOOKUP(Assumptions!AH$2,TIAM15_assumptions!$Y$3:$Z$87,2,FALSE),TIAM15_assumptions!$H$2:$V$2,0))</f>
        <v>0</v>
      </c>
      <c r="AI93" s="9">
        <f ca="1">OFFSET(TIAM15_assumptions!$G93,0,MATCH(VLOOKUP(Assumptions!AI$2,TIAM15_assumptions!$Y$3:$Z$87,2,FALSE),TIAM15_assumptions!$H$2:$V$2,0))</f>
        <v>0</v>
      </c>
      <c r="AJ93" s="9">
        <f ca="1">OFFSET(TIAM15_assumptions!$G93,0,MATCH(VLOOKUP(Assumptions!AJ$2,TIAM15_assumptions!$Y$3:$Z$87,2,FALSE),TIAM15_assumptions!$H$2:$V$2,0))</f>
        <v>0</v>
      </c>
      <c r="AK93" s="9">
        <f ca="1">OFFSET(TIAM15_assumptions!$G93,0,MATCH(VLOOKUP(Assumptions!AK$2,TIAM15_assumptions!$Y$3:$Z$87,2,FALSE),TIAM15_assumptions!$H$2:$V$2,0))</f>
        <v>0</v>
      </c>
      <c r="AL93" s="9">
        <f ca="1">OFFSET(TIAM15_assumptions!$G93,0,MATCH(VLOOKUP(Assumptions!AL$2,TIAM15_assumptions!$Y$3:$Z$87,2,FALSE),TIAM15_assumptions!$H$2:$V$2,0))</f>
        <v>0</v>
      </c>
      <c r="AM93" s="9">
        <f ca="1">OFFSET(TIAM15_assumptions!$G93,0,MATCH(VLOOKUP(Assumptions!AM$2,TIAM15_assumptions!$Y$3:$Z$87,2,FALSE),TIAM15_assumptions!$H$2:$V$2,0))</f>
        <v>0</v>
      </c>
      <c r="AN93" s="9">
        <f ca="1">OFFSET(TIAM15_assumptions!$G93,0,MATCH(VLOOKUP(Assumptions!AN$2,TIAM15_assumptions!$Y$3:$Z$87,2,FALSE),TIAM15_assumptions!$H$2:$V$2,0))</f>
        <v>0</v>
      </c>
      <c r="AO93" s="9">
        <f ca="1">OFFSET(TIAM15_assumptions!$G93,0,MATCH(VLOOKUP(Assumptions!AO$2,TIAM15_assumptions!$Y$3:$Z$87,2,FALSE),TIAM15_assumptions!$H$2:$V$2,0))</f>
        <v>0</v>
      </c>
      <c r="AP93" s="9">
        <f ca="1">OFFSET(TIAM15_assumptions!$G93,0,MATCH(VLOOKUP(Assumptions!AP$2,TIAM15_assumptions!$Y$3:$Z$87,2,FALSE),TIAM15_assumptions!$H$2:$V$2,0))</f>
        <v>0</v>
      </c>
      <c r="AQ93" s="9">
        <f ca="1">OFFSET(TIAM15_assumptions!$G93,0,MATCH(VLOOKUP(Assumptions!AQ$2,TIAM15_assumptions!$Y$3:$Z$87,2,FALSE),TIAM15_assumptions!$H$2:$V$2,0))</f>
        <v>0</v>
      </c>
      <c r="AR93" s="9">
        <f ca="1">OFFSET(TIAM15_assumptions!$G93,0,MATCH(VLOOKUP(Assumptions!AR$2,TIAM15_assumptions!$Y$3:$Z$87,2,FALSE),TIAM15_assumptions!$H$2:$V$2,0))</f>
        <v>0</v>
      </c>
      <c r="AS93" s="9">
        <f ca="1">OFFSET(TIAM15_assumptions!$G93,0,MATCH(VLOOKUP(Assumptions!AS$2,TIAM15_assumptions!$Y$3:$Z$87,2,FALSE),TIAM15_assumptions!$H$2:$V$2,0))</f>
        <v>0</v>
      </c>
      <c r="AT93" s="9">
        <f ca="1">OFFSET(TIAM15_assumptions!$G93,0,MATCH(VLOOKUP(Assumptions!AT$2,TIAM15_assumptions!$Y$3:$Z$87,2,FALSE),TIAM15_assumptions!$H$2:$V$2,0))</f>
        <v>0</v>
      </c>
      <c r="AU93" s="9">
        <f ca="1">OFFSET(TIAM15_assumptions!$G93,0,MATCH(VLOOKUP(Assumptions!AU$2,TIAM15_assumptions!$Y$3:$Z$87,2,FALSE),TIAM15_assumptions!$H$2:$V$2,0))</f>
        <v>0</v>
      </c>
      <c r="AV93" s="9">
        <f ca="1">OFFSET(TIAM15_assumptions!$G93,0,MATCH(VLOOKUP(Assumptions!AV$2,TIAM15_assumptions!$Y$3:$Z$87,2,FALSE),TIAM15_assumptions!$H$2:$V$2,0))</f>
        <v>0</v>
      </c>
      <c r="AW93" s="9">
        <f ca="1">OFFSET(TIAM15_assumptions!$G93,0,MATCH(VLOOKUP(Assumptions!AW$2,TIAM15_assumptions!$Y$3:$Z$87,2,FALSE),TIAM15_assumptions!$H$2:$V$2,0))</f>
        <v>0</v>
      </c>
      <c r="AX93" s="9">
        <f ca="1">OFFSET(TIAM15_assumptions!$G93,0,MATCH(VLOOKUP(Assumptions!AX$2,TIAM15_assumptions!$Y$3:$Z$87,2,FALSE),TIAM15_assumptions!$H$2:$V$2,0))</f>
        <v>0</v>
      </c>
      <c r="AY93" s="9">
        <f ca="1">OFFSET(TIAM15_assumptions!$G93,0,MATCH(VLOOKUP(Assumptions!AY$2,TIAM15_assumptions!$Y$3:$Z$87,2,FALSE),TIAM15_assumptions!$H$2:$V$2,0))</f>
        <v>0</v>
      </c>
      <c r="AZ93" s="9">
        <f ca="1">OFFSET(TIAM15_assumptions!$G93,0,MATCH(VLOOKUP(Assumptions!AZ$2,TIAM15_assumptions!$Y$3:$Z$87,2,FALSE),TIAM15_assumptions!$H$2:$V$2,0))</f>
        <v>0</v>
      </c>
      <c r="BA93" s="9">
        <f ca="1">OFFSET(TIAM15_assumptions!$G93,0,MATCH(VLOOKUP(Assumptions!BA$2,TIAM15_assumptions!$Y$3:$Z$87,2,FALSE),TIAM15_assumptions!$H$2:$V$2,0))</f>
        <v>0</v>
      </c>
      <c r="BD93" s="34">
        <f ca="1">IFERROR(SUMIFS('TRA balance'!E$5:E$40,'TRA balance'!$C$5:$C$40,Assumptions!$C93,'TRA balance'!$D$5:$D$40,Assumptions!$B93)*CY93*H93,"")</f>
        <v>0</v>
      </c>
      <c r="BE93" s="34">
        <f ca="1">IFERROR(SUMIFS('TRA balance'!F$5:F$40,'TRA balance'!$C$5:$C$40,Assumptions!$C93,'TRA balance'!$D$5:$D$40,Assumptions!$B93)*CZ93*I93,"")</f>
        <v>0</v>
      </c>
      <c r="BF93" s="34">
        <f ca="1">IFERROR(SUMIFS('TRA balance'!G$5:G$40,'TRA balance'!$C$5:$C$40,Assumptions!$C93,'TRA balance'!$D$5:$D$40,Assumptions!$B93)*DA93*J93,"")</f>
        <v>0</v>
      </c>
      <c r="BG93" s="34">
        <f ca="1">IFERROR(SUMIFS('TRA balance'!H$5:H$40,'TRA balance'!$C$5:$C$40,Assumptions!$C93,'TRA balance'!$D$5:$D$40,Assumptions!$B93)*DB93*K93,"")</f>
        <v>0</v>
      </c>
      <c r="BH93" s="34">
        <f ca="1">IFERROR(SUMIFS('TRA balance'!I$5:I$40,'TRA balance'!$C$5:$C$40,Assumptions!$C93,'TRA balance'!$D$5:$D$40,Assumptions!$B93)*DC93*L93,"")</f>
        <v>0</v>
      </c>
      <c r="BI93" s="34">
        <f ca="1">IFERROR(SUMIFS('TRA balance'!J$5:J$40,'TRA balance'!$C$5:$C$40,Assumptions!$C93,'TRA balance'!$D$5:$D$40,Assumptions!$B93)*DD93*M93,"")</f>
        <v>0</v>
      </c>
      <c r="BJ93" s="34">
        <f ca="1">IFERROR(SUMIFS('TRA balance'!K$5:K$40,'TRA balance'!$C$5:$C$40,Assumptions!$C93,'TRA balance'!$D$5:$D$40,Assumptions!$B93)*DE93*N93,"")</f>
        <v>0</v>
      </c>
      <c r="BK93" s="34">
        <f ca="1">IFERROR(SUMIFS('TRA balance'!L$5:L$40,'TRA balance'!$C$5:$C$40,Assumptions!$C93,'TRA balance'!$D$5:$D$40,Assumptions!$B93)*DF93*O93,"")</f>
        <v>0</v>
      </c>
      <c r="BL93" s="34">
        <f ca="1">IFERROR(SUMIFS('TRA balance'!M$5:M$40,'TRA balance'!$C$5:$C$40,Assumptions!$C93,'TRA balance'!$D$5:$D$40,Assumptions!$B93)*DG93*P93,"")</f>
        <v>0</v>
      </c>
      <c r="BM93" s="34">
        <f ca="1">IFERROR(SUMIFS('TRA balance'!N$5:N$40,'TRA balance'!$C$5:$C$40,Assumptions!$C93,'TRA balance'!$D$5:$D$40,Assumptions!$B93)*DH93*Q93,"")</f>
        <v>0</v>
      </c>
      <c r="BN93" s="34">
        <f ca="1">IFERROR(SUMIFS('TRA balance'!O$5:O$40,'TRA balance'!$C$5:$C$40,Assumptions!$C93,'TRA balance'!$D$5:$D$40,Assumptions!$B93)*DI93*R93,"")</f>
        <v>0</v>
      </c>
      <c r="BO93" s="34">
        <f ca="1">IFERROR(SUMIFS('TRA balance'!P$5:P$40,'TRA balance'!$C$5:$C$40,Assumptions!$C93,'TRA balance'!$D$5:$D$40,Assumptions!$B93)*DJ93*S93,"")</f>
        <v>0</v>
      </c>
      <c r="BP93" s="34">
        <f ca="1">IFERROR(SUMIFS('TRA balance'!Q$5:Q$40,'TRA balance'!$C$5:$C$40,Assumptions!$C93,'TRA balance'!$D$5:$D$40,Assumptions!$B93)*DK93*T93,"")</f>
        <v>0</v>
      </c>
      <c r="BQ93" s="34">
        <f ca="1">IFERROR(SUMIFS('TRA balance'!R$5:R$40,'TRA balance'!$C$5:$C$40,Assumptions!$C93,'TRA balance'!$D$5:$D$40,Assumptions!$B93)*DL93*U93,"")</f>
        <v>0</v>
      </c>
      <c r="BR93" s="34">
        <f ca="1">IFERROR(SUMIFS('TRA balance'!S$5:S$40,'TRA balance'!$C$5:$C$40,Assumptions!$C93,'TRA balance'!$D$5:$D$40,Assumptions!$B93)*DM93*V93,"")</f>
        <v>0</v>
      </c>
      <c r="BS93" s="34">
        <f ca="1">IFERROR(SUMIFS('TRA balance'!T$5:T$40,'TRA balance'!$C$5:$C$40,Assumptions!$C93,'TRA balance'!$D$5:$D$40,Assumptions!$B93)*DN93*W93,"")</f>
        <v>0</v>
      </c>
      <c r="BT93" s="34">
        <f ca="1">IFERROR(SUMIFS('TRA balance'!U$5:U$40,'TRA balance'!$C$5:$C$40,Assumptions!$C93,'TRA balance'!$D$5:$D$40,Assumptions!$B93)*DO93*X93,"")</f>
        <v>0</v>
      </c>
      <c r="BU93" s="34">
        <f ca="1">IFERROR(SUMIFS('TRA balance'!V$5:V$40,'TRA balance'!$C$5:$C$40,Assumptions!$C93,'TRA balance'!$D$5:$D$40,Assumptions!$B93)*DP93*Y93,"")</f>
        <v>0</v>
      </c>
      <c r="BV93" s="34">
        <f ca="1">IFERROR(SUMIFS('TRA balance'!W$5:W$40,'TRA balance'!$C$5:$C$40,Assumptions!$C93,'TRA balance'!$D$5:$D$40,Assumptions!$B93)*DQ93*Z93,"")</f>
        <v>0</v>
      </c>
      <c r="BW93" s="34">
        <f ca="1">IFERROR(SUMIFS('TRA balance'!X$5:X$40,'TRA balance'!$C$5:$C$40,Assumptions!$C93,'TRA balance'!$D$5:$D$40,Assumptions!$B93)*DR93*AA93,"")</f>
        <v>0</v>
      </c>
      <c r="BX93" s="34">
        <f ca="1">IFERROR(SUMIFS('TRA balance'!Y$5:Y$40,'TRA balance'!$C$5:$C$40,Assumptions!$C93,'TRA balance'!$D$5:$D$40,Assumptions!$B93)*DS93*AB93,"")</f>
        <v>0</v>
      </c>
      <c r="BY93" s="34">
        <f ca="1">IFERROR(SUMIFS('TRA balance'!Z$5:Z$40,'TRA balance'!$C$5:$C$40,Assumptions!$C93,'TRA balance'!$D$5:$D$40,Assumptions!$B93)*DT93*AC93,"")</f>
        <v>0</v>
      </c>
      <c r="BZ93" s="34">
        <f ca="1">IFERROR(SUMIFS('TRA balance'!AA$5:AA$40,'TRA balance'!$C$5:$C$40,Assumptions!$C93,'TRA balance'!$D$5:$D$40,Assumptions!$B93)*DU93*AD93,"")</f>
        <v>0</v>
      </c>
      <c r="CA93" s="34">
        <f ca="1">IFERROR(SUMIFS('TRA balance'!AB$5:AB$40,'TRA balance'!$C$5:$C$40,Assumptions!$C93,'TRA balance'!$D$5:$D$40,Assumptions!$B93)*DV93*AE93,"")</f>
        <v>0</v>
      </c>
      <c r="CB93" s="34">
        <f ca="1">IFERROR(SUMIFS('TRA balance'!AC$5:AC$40,'TRA balance'!$C$5:$C$40,Assumptions!$C93,'TRA balance'!$D$5:$D$40,Assumptions!$B93)*DW93*AF93,"")</f>
        <v>0</v>
      </c>
      <c r="CC93" s="34">
        <f ca="1">IFERROR(SUMIFS('TRA balance'!AD$5:AD$40,'TRA balance'!$C$5:$C$40,Assumptions!$C93,'TRA balance'!$D$5:$D$40,Assumptions!$B93)*DX93*AG93,"")</f>
        <v>0</v>
      </c>
      <c r="CD93" s="34">
        <f ca="1">IFERROR(SUMIFS('TRA balance'!AE$5:AE$40,'TRA balance'!$C$5:$C$40,Assumptions!$C93,'TRA balance'!$D$5:$D$40,Assumptions!$B93)*DY93*AH93,"")</f>
        <v>0</v>
      </c>
      <c r="CE93" s="34">
        <f ca="1">IFERROR(SUMIFS('TRA balance'!AF$5:AF$40,'TRA balance'!$C$5:$C$40,Assumptions!$C93,'TRA balance'!$D$5:$D$40,Assumptions!$B93)*DZ93*AI93,"")</f>
        <v>0</v>
      </c>
      <c r="CF93" s="34">
        <f ca="1">IFERROR(SUMIFS('TRA balance'!AG$5:AG$40,'TRA balance'!$C$5:$C$40,Assumptions!$C93,'TRA balance'!$D$5:$D$40,Assumptions!$B93)*EA93*AJ93,"")</f>
        <v>0</v>
      </c>
      <c r="CG93" s="34">
        <f ca="1">IFERROR(SUMIFS('TRA balance'!AH$5:AH$40,'TRA balance'!$C$5:$C$40,Assumptions!$C93,'TRA balance'!$D$5:$D$40,Assumptions!$B93)*EB93*AK93,"")</f>
        <v>0</v>
      </c>
      <c r="CH93" s="34">
        <f ca="1">IFERROR(SUMIFS('TRA balance'!AI$5:AI$40,'TRA balance'!$C$5:$C$40,Assumptions!$C93,'TRA balance'!$D$5:$D$40,Assumptions!$B93)*EC93*AL93,"")</f>
        <v>0</v>
      </c>
      <c r="CI93" s="34">
        <f ca="1">IFERROR(SUMIFS('TRA balance'!AJ$5:AJ$40,'TRA balance'!$C$5:$C$40,Assumptions!$C93,'TRA balance'!$D$5:$D$40,Assumptions!$B93)*ED93*AM93,"")</f>
        <v>0</v>
      </c>
      <c r="CJ93" s="34">
        <f ca="1">IFERROR(SUMIFS('TRA balance'!AK$5:AK$40,'TRA balance'!$C$5:$C$40,Assumptions!$C93,'TRA balance'!$D$5:$D$40,Assumptions!$B93)*EE93*AN93,"")</f>
        <v>0</v>
      </c>
      <c r="CK93" s="34">
        <f ca="1">IFERROR(SUMIFS('TRA balance'!AL$5:AL$40,'TRA balance'!$C$5:$C$40,Assumptions!$C93,'TRA balance'!$D$5:$D$40,Assumptions!$B93)*EF93*AO93,"")</f>
        <v>0</v>
      </c>
      <c r="CL93" s="34">
        <f ca="1">IFERROR(SUMIFS('TRA balance'!AM$5:AM$40,'TRA balance'!$C$5:$C$40,Assumptions!$C93,'TRA balance'!$D$5:$D$40,Assumptions!$B93)*EG93*AP93,"")</f>
        <v>0</v>
      </c>
      <c r="CM93" s="34">
        <f ca="1">IFERROR(SUMIFS('TRA balance'!AN$5:AN$40,'TRA balance'!$C$5:$C$40,Assumptions!$C93,'TRA balance'!$D$5:$D$40,Assumptions!$B93)*EH93*AQ93,"")</f>
        <v>0</v>
      </c>
      <c r="CN93" s="34">
        <f ca="1">IFERROR(SUMIFS('TRA balance'!AO$5:AO$40,'TRA balance'!$C$5:$C$40,Assumptions!$C93,'TRA balance'!$D$5:$D$40,Assumptions!$B93)*EI93*AR93,"")</f>
        <v>0</v>
      </c>
      <c r="CO93" s="34">
        <f ca="1">IFERROR(SUMIFS('TRA balance'!AP$5:AP$40,'TRA balance'!$C$5:$C$40,Assumptions!$C93,'TRA balance'!$D$5:$D$40,Assumptions!$B93)*EJ93*AS93,"")</f>
        <v>0</v>
      </c>
      <c r="CP93" s="34">
        <f ca="1">IFERROR(SUMIFS('TRA balance'!AQ$5:AQ$40,'TRA balance'!$C$5:$C$40,Assumptions!$C93,'TRA balance'!$D$5:$D$40,Assumptions!$B93)*EK93*AT93,"")</f>
        <v>0</v>
      </c>
      <c r="CQ93" s="34">
        <f ca="1">IFERROR(SUMIFS('TRA balance'!AR$5:AR$40,'TRA balance'!$C$5:$C$40,Assumptions!$C93,'TRA balance'!$D$5:$D$40,Assumptions!$B93)*EL93*AU93,"")</f>
        <v>0</v>
      </c>
      <c r="CR93" s="34">
        <f ca="1">IFERROR(SUMIFS('TRA balance'!AS$5:AS$40,'TRA balance'!$C$5:$C$40,Assumptions!$C93,'TRA balance'!$D$5:$D$40,Assumptions!$B93)*EM93*AV93,"")</f>
        <v>0</v>
      </c>
      <c r="CS93" s="34">
        <f ca="1">IFERROR(SUMIFS('TRA balance'!AT$5:AT$40,'TRA balance'!$C$5:$C$40,Assumptions!$C93,'TRA balance'!$D$5:$D$40,Assumptions!$B93)*EN93*AW93,"")</f>
        <v>0</v>
      </c>
      <c r="CT93" s="34">
        <f ca="1">IFERROR(SUMIFS('TRA balance'!AU$5:AU$40,'TRA balance'!$C$5:$C$40,Assumptions!$C93,'TRA balance'!$D$5:$D$40,Assumptions!$B93)*EO93*AX93,"")</f>
        <v>0</v>
      </c>
      <c r="CU93" s="34">
        <f ca="1">IFERROR(SUMIFS('TRA balance'!AV$5:AV$40,'TRA balance'!$C$5:$C$40,Assumptions!$C93,'TRA balance'!$D$5:$D$40,Assumptions!$B93)*EP93*AY93,"")</f>
        <v>0</v>
      </c>
      <c r="CV93" s="34">
        <f ca="1">IFERROR(SUMIFS('TRA balance'!AW$5:AW$40,'TRA balance'!$C$5:$C$40,Assumptions!$C93,'TRA balance'!$D$5:$D$40,Assumptions!$B93)*EQ93*AZ93,"")</f>
        <v>0</v>
      </c>
      <c r="CW93" s="34">
        <f ca="1">IFERROR(SUMIFS('TRA balance'!AX$5:AX$40,'TRA balance'!$C$5:$C$40,Assumptions!$C93,'TRA balance'!$D$5:$D$40,Assumptions!$B93)*ER93*BA93,"")</f>
        <v>0</v>
      </c>
      <c r="CY93" s="33">
        <f t="shared" ca="1" si="86"/>
        <v>0</v>
      </c>
      <c r="CZ93" s="33">
        <f t="shared" ca="1" si="87"/>
        <v>0</v>
      </c>
      <c r="DA93" s="33">
        <f t="shared" ca="1" si="88"/>
        <v>1</v>
      </c>
      <c r="DB93" s="33">
        <f t="shared" ca="1" si="89"/>
        <v>1</v>
      </c>
      <c r="DC93" s="33">
        <f t="shared" ca="1" si="90"/>
        <v>0</v>
      </c>
      <c r="DD93" s="33">
        <f t="shared" ca="1" si="91"/>
        <v>1</v>
      </c>
      <c r="DE93" s="33">
        <f t="shared" ca="1" si="92"/>
        <v>0.5</v>
      </c>
      <c r="DF93" s="33">
        <f t="shared" ca="1" si="93"/>
        <v>0.8</v>
      </c>
      <c r="DG93" s="33">
        <f t="shared" ca="1" si="94"/>
        <v>0</v>
      </c>
      <c r="DH93" s="33">
        <f t="shared" ca="1" si="95"/>
        <v>0</v>
      </c>
      <c r="DI93" s="33">
        <f t="shared" ca="1" si="96"/>
        <v>1</v>
      </c>
      <c r="DJ93" s="33">
        <f t="shared" ca="1" si="97"/>
        <v>1</v>
      </c>
      <c r="DK93" s="33">
        <f t="shared" ca="1" si="98"/>
        <v>1</v>
      </c>
      <c r="DL93" s="33">
        <f t="shared" ca="1" si="99"/>
        <v>0</v>
      </c>
      <c r="DM93" s="33">
        <f t="shared" ca="1" si="100"/>
        <v>1</v>
      </c>
      <c r="DN93" s="33">
        <f t="shared" ca="1" si="101"/>
        <v>0</v>
      </c>
      <c r="DO93" s="33">
        <f t="shared" ca="1" si="102"/>
        <v>1</v>
      </c>
      <c r="DP93" s="33">
        <f t="shared" ca="1" si="103"/>
        <v>1</v>
      </c>
      <c r="DQ93" s="33">
        <f t="shared" ca="1" si="104"/>
        <v>1</v>
      </c>
      <c r="DR93" s="33">
        <f t="shared" ca="1" si="105"/>
        <v>0.5</v>
      </c>
      <c r="DS93" s="33">
        <f t="shared" ca="1" si="106"/>
        <v>0</v>
      </c>
      <c r="DT93" s="33">
        <f t="shared" ca="1" si="107"/>
        <v>1</v>
      </c>
      <c r="DU93" s="33">
        <f t="shared" ca="1" si="108"/>
        <v>1</v>
      </c>
      <c r="DV93" s="33">
        <f t="shared" ca="1" si="109"/>
        <v>0</v>
      </c>
      <c r="DW93" s="33">
        <f t="shared" ca="1" si="110"/>
        <v>1</v>
      </c>
      <c r="DX93" s="33">
        <f t="shared" ca="1" si="111"/>
        <v>0</v>
      </c>
      <c r="DY93" s="33">
        <f t="shared" ca="1" si="112"/>
        <v>0</v>
      </c>
      <c r="DZ93" s="33">
        <f t="shared" ca="1" si="113"/>
        <v>0</v>
      </c>
      <c r="EA93" s="33">
        <f t="shared" ca="1" si="114"/>
        <v>1</v>
      </c>
      <c r="EB93" s="33">
        <f t="shared" ca="1" si="115"/>
        <v>1</v>
      </c>
      <c r="EC93" s="33">
        <f t="shared" ca="1" si="116"/>
        <v>1</v>
      </c>
      <c r="ED93" s="33">
        <f t="shared" ca="1" si="117"/>
        <v>0</v>
      </c>
      <c r="EE93" s="33">
        <f t="shared" ca="1" si="118"/>
        <v>1</v>
      </c>
      <c r="EF93" s="33">
        <f t="shared" ca="1" si="119"/>
        <v>0</v>
      </c>
      <c r="EG93" s="33">
        <f t="shared" ca="1" si="120"/>
        <v>0</v>
      </c>
      <c r="EH93" s="33">
        <f t="shared" ca="1" si="121"/>
        <v>1</v>
      </c>
      <c r="EI93" s="33">
        <f t="shared" ca="1" si="122"/>
        <v>1</v>
      </c>
      <c r="EJ93" s="33">
        <f t="shared" ca="1" si="123"/>
        <v>1</v>
      </c>
      <c r="EK93" s="33">
        <f t="shared" ca="1" si="124"/>
        <v>1</v>
      </c>
      <c r="EL93" s="33">
        <f t="shared" ca="1" si="125"/>
        <v>1</v>
      </c>
      <c r="EM93" s="33">
        <f t="shared" ca="1" si="126"/>
        <v>1</v>
      </c>
      <c r="EN93" s="33">
        <f t="shared" ca="1" si="127"/>
        <v>1</v>
      </c>
      <c r="EO93" s="33">
        <f t="shared" ca="1" si="128"/>
        <v>1</v>
      </c>
      <c r="EP93" s="33">
        <f t="shared" ca="1" si="129"/>
        <v>1</v>
      </c>
      <c r="EQ93" s="33">
        <f t="shared" ca="1" si="130"/>
        <v>1</v>
      </c>
      <c r="ER93" s="33">
        <f t="shared" ca="1" si="131"/>
        <v>1</v>
      </c>
    </row>
    <row r="94" spans="1:148">
      <c r="A94">
        <v>1</v>
      </c>
      <c r="B94" t="str">
        <f>VLOOKUP(F94,'TRA balance'!$BA$5:$BB$14,2,FALSE)</f>
        <v>TRAELC</v>
      </c>
      <c r="C94" s="6" t="str">
        <f t="shared" si="133"/>
        <v/>
      </c>
      <c r="D94" s="7"/>
      <c r="E94" s="19" t="s">
        <v>69</v>
      </c>
      <c r="F94" s="8" t="str">
        <f t="shared" si="143"/>
        <v>Electricity</v>
      </c>
      <c r="G94" s="6"/>
      <c r="H94" s="20" t="str">
        <f ca="1">IF(SUM(H90:H93)=1,"-","&lt;&gt;1!!")</f>
        <v>-</v>
      </c>
      <c r="I94" s="20" t="str">
        <f t="shared" ref="I94:BA94" ca="1" si="144">IF(SUM(I90:I93)=1,"-","&lt;&gt;1!!")</f>
        <v>-</v>
      </c>
      <c r="J94" s="20" t="str">
        <f t="shared" ca="1" si="144"/>
        <v>-</v>
      </c>
      <c r="K94" s="20" t="str">
        <f t="shared" ca="1" si="144"/>
        <v>-</v>
      </c>
      <c r="L94" s="20" t="str">
        <f t="shared" ca="1" si="144"/>
        <v>-</v>
      </c>
      <c r="M94" s="20" t="str">
        <f t="shared" ca="1" si="144"/>
        <v>-</v>
      </c>
      <c r="N94" s="20" t="str">
        <f t="shared" ca="1" si="144"/>
        <v>-</v>
      </c>
      <c r="O94" s="20" t="str">
        <f t="shared" ca="1" si="144"/>
        <v>-</v>
      </c>
      <c r="P94" s="20" t="str">
        <f t="shared" ca="1" si="144"/>
        <v>-</v>
      </c>
      <c r="Q94" s="20" t="str">
        <f t="shared" ca="1" si="144"/>
        <v>-</v>
      </c>
      <c r="R94" s="20" t="str">
        <f t="shared" ca="1" si="144"/>
        <v>-</v>
      </c>
      <c r="S94" s="20" t="str">
        <f t="shared" ca="1" si="144"/>
        <v>-</v>
      </c>
      <c r="T94" s="20" t="str">
        <f t="shared" ca="1" si="144"/>
        <v>-</v>
      </c>
      <c r="U94" s="20" t="str">
        <f t="shared" ca="1" si="144"/>
        <v>-</v>
      </c>
      <c r="V94" s="20" t="str">
        <f t="shared" ca="1" si="144"/>
        <v>-</v>
      </c>
      <c r="W94" s="20" t="str">
        <f t="shared" ca="1" si="144"/>
        <v>-</v>
      </c>
      <c r="X94" s="20" t="str">
        <f t="shared" ca="1" si="144"/>
        <v>-</v>
      </c>
      <c r="Y94" s="20" t="str">
        <f t="shared" ca="1" si="144"/>
        <v>-</v>
      </c>
      <c r="Z94" s="20" t="str">
        <f t="shared" ca="1" si="144"/>
        <v>-</v>
      </c>
      <c r="AA94" s="20" t="str">
        <f t="shared" ca="1" si="144"/>
        <v>-</v>
      </c>
      <c r="AB94" s="20" t="str">
        <f t="shared" ca="1" si="144"/>
        <v>-</v>
      </c>
      <c r="AC94" s="20" t="str">
        <f t="shared" ca="1" si="144"/>
        <v>-</v>
      </c>
      <c r="AD94" s="20" t="str">
        <f t="shared" ca="1" si="144"/>
        <v>-</v>
      </c>
      <c r="AE94" s="20" t="str">
        <f t="shared" ca="1" si="144"/>
        <v>-</v>
      </c>
      <c r="AF94" s="20" t="str">
        <f t="shared" ca="1" si="144"/>
        <v>-</v>
      </c>
      <c r="AG94" s="20" t="str">
        <f t="shared" ca="1" si="144"/>
        <v>-</v>
      </c>
      <c r="AH94" s="20" t="str">
        <f t="shared" ca="1" si="144"/>
        <v>-</v>
      </c>
      <c r="AI94" s="20" t="str">
        <f t="shared" ca="1" si="144"/>
        <v>-</v>
      </c>
      <c r="AJ94" s="20" t="str">
        <f t="shared" ca="1" si="144"/>
        <v>-</v>
      </c>
      <c r="AK94" s="20" t="str">
        <f t="shared" ca="1" si="144"/>
        <v>-</v>
      </c>
      <c r="AL94" s="20" t="str">
        <f t="shared" ca="1" si="144"/>
        <v>-</v>
      </c>
      <c r="AM94" s="20" t="str">
        <f t="shared" ca="1" si="144"/>
        <v>-</v>
      </c>
      <c r="AN94" s="20" t="str">
        <f t="shared" ca="1" si="144"/>
        <v>-</v>
      </c>
      <c r="AO94" s="20" t="str">
        <f t="shared" ca="1" si="144"/>
        <v>-</v>
      </c>
      <c r="AP94" s="20" t="str">
        <f t="shared" ca="1" si="144"/>
        <v>-</v>
      </c>
      <c r="AQ94" s="20" t="str">
        <f t="shared" ca="1" si="144"/>
        <v>-</v>
      </c>
      <c r="AR94" s="20" t="str">
        <f t="shared" ca="1" si="144"/>
        <v>-</v>
      </c>
      <c r="AS94" s="20" t="str">
        <f t="shared" ca="1" si="144"/>
        <v>-</v>
      </c>
      <c r="AT94" s="20" t="str">
        <f t="shared" ca="1" si="144"/>
        <v>-</v>
      </c>
      <c r="AU94" s="20" t="str">
        <f t="shared" ca="1" si="144"/>
        <v>-</v>
      </c>
      <c r="AV94" s="20" t="str">
        <f t="shared" ca="1" si="144"/>
        <v>-</v>
      </c>
      <c r="AW94" s="20" t="str">
        <f t="shared" ca="1" si="144"/>
        <v>-</v>
      </c>
      <c r="AX94" s="20" t="str">
        <f t="shared" ca="1" si="144"/>
        <v>-</v>
      </c>
      <c r="AY94" s="20" t="str">
        <f t="shared" ca="1" si="144"/>
        <v>-</v>
      </c>
      <c r="AZ94" s="20" t="str">
        <f t="shared" ca="1" si="144"/>
        <v>-</v>
      </c>
      <c r="BA94" s="20" t="str">
        <f t="shared" ca="1" si="144"/>
        <v>-</v>
      </c>
      <c r="BD94" s="34" t="str">
        <f ca="1">IFERROR(SUMIFS('TRA balance'!E$5:E$40,'TRA balance'!$C$5:$C$40,Assumptions!$C94,'TRA balance'!$D$5:$D$40,Assumptions!$B94)*CY94*H94,"")</f>
        <v/>
      </c>
      <c r="BE94" s="34" t="str">
        <f ca="1">IFERROR(SUMIFS('TRA balance'!F$5:F$40,'TRA balance'!$C$5:$C$40,Assumptions!$C94,'TRA balance'!$D$5:$D$40,Assumptions!$B94)*CZ94*I94,"")</f>
        <v/>
      </c>
      <c r="BF94" s="34" t="str">
        <f ca="1">IFERROR(SUMIFS('TRA balance'!G$5:G$40,'TRA balance'!$C$5:$C$40,Assumptions!$C94,'TRA balance'!$D$5:$D$40,Assumptions!$B94)*DA94*J94,"")</f>
        <v/>
      </c>
      <c r="BG94" s="34" t="str">
        <f ca="1">IFERROR(SUMIFS('TRA balance'!H$5:H$40,'TRA balance'!$C$5:$C$40,Assumptions!$C94,'TRA balance'!$D$5:$D$40,Assumptions!$B94)*DB94*K94,"")</f>
        <v/>
      </c>
      <c r="BH94" s="34" t="str">
        <f ca="1">IFERROR(SUMIFS('TRA balance'!I$5:I$40,'TRA balance'!$C$5:$C$40,Assumptions!$C94,'TRA balance'!$D$5:$D$40,Assumptions!$B94)*DC94*L94,"")</f>
        <v/>
      </c>
      <c r="BI94" s="34" t="str">
        <f ca="1">IFERROR(SUMIFS('TRA balance'!J$5:J$40,'TRA balance'!$C$5:$C$40,Assumptions!$C94,'TRA balance'!$D$5:$D$40,Assumptions!$B94)*DD94*M94,"")</f>
        <v/>
      </c>
      <c r="BJ94" s="34" t="str">
        <f ca="1">IFERROR(SUMIFS('TRA balance'!K$5:K$40,'TRA balance'!$C$5:$C$40,Assumptions!$C94,'TRA balance'!$D$5:$D$40,Assumptions!$B94)*DE94*N94,"")</f>
        <v/>
      </c>
      <c r="BK94" s="34" t="str">
        <f ca="1">IFERROR(SUMIFS('TRA balance'!L$5:L$40,'TRA balance'!$C$5:$C$40,Assumptions!$C94,'TRA balance'!$D$5:$D$40,Assumptions!$B94)*DF94*O94,"")</f>
        <v/>
      </c>
      <c r="BL94" s="34" t="str">
        <f ca="1">IFERROR(SUMIFS('TRA balance'!M$5:M$40,'TRA balance'!$C$5:$C$40,Assumptions!$C94,'TRA balance'!$D$5:$D$40,Assumptions!$B94)*DG94*P94,"")</f>
        <v/>
      </c>
      <c r="BM94" s="34" t="str">
        <f ca="1">IFERROR(SUMIFS('TRA balance'!N$5:N$40,'TRA balance'!$C$5:$C$40,Assumptions!$C94,'TRA balance'!$D$5:$D$40,Assumptions!$B94)*DH94*Q94,"")</f>
        <v/>
      </c>
      <c r="BN94" s="34" t="str">
        <f ca="1">IFERROR(SUMIFS('TRA balance'!O$5:O$40,'TRA balance'!$C$5:$C$40,Assumptions!$C94,'TRA balance'!$D$5:$D$40,Assumptions!$B94)*DI94*R94,"")</f>
        <v/>
      </c>
      <c r="BO94" s="34" t="str">
        <f ca="1">IFERROR(SUMIFS('TRA balance'!P$5:P$40,'TRA balance'!$C$5:$C$40,Assumptions!$C94,'TRA balance'!$D$5:$D$40,Assumptions!$B94)*DJ94*S94,"")</f>
        <v/>
      </c>
      <c r="BP94" s="34" t="str">
        <f ca="1">IFERROR(SUMIFS('TRA balance'!Q$5:Q$40,'TRA balance'!$C$5:$C$40,Assumptions!$C94,'TRA balance'!$D$5:$D$40,Assumptions!$B94)*DK94*T94,"")</f>
        <v/>
      </c>
      <c r="BQ94" s="34" t="str">
        <f ca="1">IFERROR(SUMIFS('TRA balance'!R$5:R$40,'TRA balance'!$C$5:$C$40,Assumptions!$C94,'TRA balance'!$D$5:$D$40,Assumptions!$B94)*DL94*U94,"")</f>
        <v/>
      </c>
      <c r="BR94" s="34" t="str">
        <f ca="1">IFERROR(SUMIFS('TRA balance'!S$5:S$40,'TRA balance'!$C$5:$C$40,Assumptions!$C94,'TRA balance'!$D$5:$D$40,Assumptions!$B94)*DM94*V94,"")</f>
        <v/>
      </c>
      <c r="BS94" s="34" t="str">
        <f ca="1">IFERROR(SUMIFS('TRA balance'!T$5:T$40,'TRA balance'!$C$5:$C$40,Assumptions!$C94,'TRA balance'!$D$5:$D$40,Assumptions!$B94)*DN94*W94,"")</f>
        <v/>
      </c>
      <c r="BT94" s="34" t="str">
        <f ca="1">IFERROR(SUMIFS('TRA balance'!U$5:U$40,'TRA balance'!$C$5:$C$40,Assumptions!$C94,'TRA balance'!$D$5:$D$40,Assumptions!$B94)*DO94*X94,"")</f>
        <v/>
      </c>
      <c r="BU94" s="34" t="str">
        <f ca="1">IFERROR(SUMIFS('TRA balance'!V$5:V$40,'TRA balance'!$C$5:$C$40,Assumptions!$C94,'TRA balance'!$D$5:$D$40,Assumptions!$B94)*DP94*Y94,"")</f>
        <v/>
      </c>
      <c r="BV94" s="34" t="str">
        <f ca="1">IFERROR(SUMIFS('TRA balance'!W$5:W$40,'TRA balance'!$C$5:$C$40,Assumptions!$C94,'TRA balance'!$D$5:$D$40,Assumptions!$B94)*DQ94*Z94,"")</f>
        <v/>
      </c>
      <c r="BW94" s="34" t="str">
        <f ca="1">IFERROR(SUMIFS('TRA balance'!X$5:X$40,'TRA balance'!$C$5:$C$40,Assumptions!$C94,'TRA balance'!$D$5:$D$40,Assumptions!$B94)*DR94*AA94,"")</f>
        <v/>
      </c>
      <c r="BX94" s="34" t="str">
        <f ca="1">IFERROR(SUMIFS('TRA balance'!Y$5:Y$40,'TRA balance'!$C$5:$C$40,Assumptions!$C94,'TRA balance'!$D$5:$D$40,Assumptions!$B94)*DS94*AB94,"")</f>
        <v/>
      </c>
      <c r="BY94" s="34" t="str">
        <f ca="1">IFERROR(SUMIFS('TRA balance'!Z$5:Z$40,'TRA balance'!$C$5:$C$40,Assumptions!$C94,'TRA balance'!$D$5:$D$40,Assumptions!$B94)*DT94*AC94,"")</f>
        <v/>
      </c>
      <c r="BZ94" s="34" t="str">
        <f ca="1">IFERROR(SUMIFS('TRA balance'!AA$5:AA$40,'TRA balance'!$C$5:$C$40,Assumptions!$C94,'TRA balance'!$D$5:$D$40,Assumptions!$B94)*DU94*AD94,"")</f>
        <v/>
      </c>
      <c r="CA94" s="34" t="str">
        <f ca="1">IFERROR(SUMIFS('TRA balance'!AB$5:AB$40,'TRA balance'!$C$5:$C$40,Assumptions!$C94,'TRA balance'!$D$5:$D$40,Assumptions!$B94)*DV94*AE94,"")</f>
        <v/>
      </c>
      <c r="CB94" s="34" t="str">
        <f ca="1">IFERROR(SUMIFS('TRA balance'!AC$5:AC$40,'TRA balance'!$C$5:$C$40,Assumptions!$C94,'TRA balance'!$D$5:$D$40,Assumptions!$B94)*DW94*AF94,"")</f>
        <v/>
      </c>
      <c r="CC94" s="34" t="str">
        <f ca="1">IFERROR(SUMIFS('TRA balance'!AD$5:AD$40,'TRA balance'!$C$5:$C$40,Assumptions!$C94,'TRA balance'!$D$5:$D$40,Assumptions!$B94)*DX94*AG94,"")</f>
        <v/>
      </c>
      <c r="CD94" s="34" t="str">
        <f ca="1">IFERROR(SUMIFS('TRA balance'!AE$5:AE$40,'TRA balance'!$C$5:$C$40,Assumptions!$C94,'TRA balance'!$D$5:$D$40,Assumptions!$B94)*DY94*AH94,"")</f>
        <v/>
      </c>
      <c r="CE94" s="34" t="str">
        <f ca="1">IFERROR(SUMIFS('TRA balance'!AF$5:AF$40,'TRA balance'!$C$5:$C$40,Assumptions!$C94,'TRA balance'!$D$5:$D$40,Assumptions!$B94)*DZ94*AI94,"")</f>
        <v/>
      </c>
      <c r="CF94" s="34" t="str">
        <f ca="1">IFERROR(SUMIFS('TRA balance'!AG$5:AG$40,'TRA balance'!$C$5:$C$40,Assumptions!$C94,'TRA balance'!$D$5:$D$40,Assumptions!$B94)*EA94*AJ94,"")</f>
        <v/>
      </c>
      <c r="CG94" s="34" t="str">
        <f ca="1">IFERROR(SUMIFS('TRA balance'!AH$5:AH$40,'TRA balance'!$C$5:$C$40,Assumptions!$C94,'TRA balance'!$D$5:$D$40,Assumptions!$B94)*EB94*AK94,"")</f>
        <v/>
      </c>
      <c r="CH94" s="34" t="str">
        <f ca="1">IFERROR(SUMIFS('TRA balance'!AI$5:AI$40,'TRA balance'!$C$5:$C$40,Assumptions!$C94,'TRA balance'!$D$5:$D$40,Assumptions!$B94)*EC94*AL94,"")</f>
        <v/>
      </c>
      <c r="CI94" s="34" t="str">
        <f ca="1">IFERROR(SUMIFS('TRA balance'!AJ$5:AJ$40,'TRA balance'!$C$5:$C$40,Assumptions!$C94,'TRA balance'!$D$5:$D$40,Assumptions!$B94)*ED94*AM94,"")</f>
        <v/>
      </c>
      <c r="CJ94" s="34" t="str">
        <f ca="1">IFERROR(SUMIFS('TRA balance'!AK$5:AK$40,'TRA balance'!$C$5:$C$40,Assumptions!$C94,'TRA balance'!$D$5:$D$40,Assumptions!$B94)*EE94*AN94,"")</f>
        <v/>
      </c>
      <c r="CK94" s="34" t="str">
        <f ca="1">IFERROR(SUMIFS('TRA balance'!AL$5:AL$40,'TRA balance'!$C$5:$C$40,Assumptions!$C94,'TRA balance'!$D$5:$D$40,Assumptions!$B94)*EF94*AO94,"")</f>
        <v/>
      </c>
      <c r="CL94" s="34" t="str">
        <f ca="1">IFERROR(SUMIFS('TRA balance'!AM$5:AM$40,'TRA balance'!$C$5:$C$40,Assumptions!$C94,'TRA balance'!$D$5:$D$40,Assumptions!$B94)*EG94*AP94,"")</f>
        <v/>
      </c>
      <c r="CM94" s="34" t="str">
        <f ca="1">IFERROR(SUMIFS('TRA balance'!AN$5:AN$40,'TRA balance'!$C$5:$C$40,Assumptions!$C94,'TRA balance'!$D$5:$D$40,Assumptions!$B94)*EH94*AQ94,"")</f>
        <v/>
      </c>
      <c r="CN94" s="34" t="str">
        <f ca="1">IFERROR(SUMIFS('TRA balance'!AO$5:AO$40,'TRA balance'!$C$5:$C$40,Assumptions!$C94,'TRA balance'!$D$5:$D$40,Assumptions!$B94)*EI94*AR94,"")</f>
        <v/>
      </c>
      <c r="CO94" s="34" t="str">
        <f ca="1">IFERROR(SUMIFS('TRA balance'!AP$5:AP$40,'TRA balance'!$C$5:$C$40,Assumptions!$C94,'TRA balance'!$D$5:$D$40,Assumptions!$B94)*EJ94*AS94,"")</f>
        <v/>
      </c>
      <c r="CP94" s="34" t="str">
        <f ca="1">IFERROR(SUMIFS('TRA balance'!AQ$5:AQ$40,'TRA balance'!$C$5:$C$40,Assumptions!$C94,'TRA balance'!$D$5:$D$40,Assumptions!$B94)*EK94*AT94,"")</f>
        <v/>
      </c>
      <c r="CQ94" s="34" t="str">
        <f ca="1">IFERROR(SUMIFS('TRA balance'!AR$5:AR$40,'TRA balance'!$C$5:$C$40,Assumptions!$C94,'TRA balance'!$D$5:$D$40,Assumptions!$B94)*EL94*AU94,"")</f>
        <v/>
      </c>
      <c r="CR94" s="34" t="str">
        <f ca="1">IFERROR(SUMIFS('TRA balance'!AS$5:AS$40,'TRA balance'!$C$5:$C$40,Assumptions!$C94,'TRA balance'!$D$5:$D$40,Assumptions!$B94)*EM94*AV94,"")</f>
        <v/>
      </c>
      <c r="CS94" s="34" t="str">
        <f ca="1">IFERROR(SUMIFS('TRA balance'!AT$5:AT$40,'TRA balance'!$C$5:$C$40,Assumptions!$C94,'TRA balance'!$D$5:$D$40,Assumptions!$B94)*EN94*AW94,"")</f>
        <v/>
      </c>
      <c r="CT94" s="34" t="str">
        <f ca="1">IFERROR(SUMIFS('TRA balance'!AU$5:AU$40,'TRA balance'!$C$5:$C$40,Assumptions!$C94,'TRA balance'!$D$5:$D$40,Assumptions!$B94)*EO94*AX94,"")</f>
        <v/>
      </c>
      <c r="CU94" s="34" t="str">
        <f ca="1">IFERROR(SUMIFS('TRA balance'!AV$5:AV$40,'TRA balance'!$C$5:$C$40,Assumptions!$C94,'TRA balance'!$D$5:$D$40,Assumptions!$B94)*EP94*AY94,"")</f>
        <v/>
      </c>
      <c r="CV94" s="34" t="str">
        <f ca="1">IFERROR(SUMIFS('TRA balance'!AW$5:AW$40,'TRA balance'!$C$5:$C$40,Assumptions!$C94,'TRA balance'!$D$5:$D$40,Assumptions!$B94)*EQ94*AZ94,"")</f>
        <v/>
      </c>
      <c r="CW94" s="34" t="str">
        <f ca="1">IFERROR(SUMIFS('TRA balance'!AX$5:AX$40,'TRA balance'!$C$5:$C$40,Assumptions!$C94,'TRA balance'!$D$5:$D$40,Assumptions!$B94)*ER94*BA94,"")</f>
        <v/>
      </c>
      <c r="CY94" s="33">
        <f t="shared" si="86"/>
        <v>1</v>
      </c>
      <c r="CZ94" s="33">
        <f t="shared" si="87"/>
        <v>1</v>
      </c>
      <c r="DA94" s="33">
        <f t="shared" si="88"/>
        <v>1</v>
      </c>
      <c r="DB94" s="33">
        <f t="shared" si="89"/>
        <v>1</v>
      </c>
      <c r="DC94" s="33">
        <f t="shared" si="90"/>
        <v>1</v>
      </c>
      <c r="DD94" s="33">
        <f t="shared" si="91"/>
        <v>1</v>
      </c>
      <c r="DE94" s="33">
        <f t="shared" si="92"/>
        <v>1</v>
      </c>
      <c r="DF94" s="33">
        <f t="shared" si="93"/>
        <v>1</v>
      </c>
      <c r="DG94" s="33">
        <f t="shared" si="94"/>
        <v>1</v>
      </c>
      <c r="DH94" s="33">
        <f t="shared" si="95"/>
        <v>1</v>
      </c>
      <c r="DI94" s="33">
        <f t="shared" si="96"/>
        <v>1</v>
      </c>
      <c r="DJ94" s="33">
        <f t="shared" si="97"/>
        <v>1</v>
      </c>
      <c r="DK94" s="33">
        <f t="shared" si="98"/>
        <v>1</v>
      </c>
      <c r="DL94" s="33">
        <f t="shared" si="99"/>
        <v>1</v>
      </c>
      <c r="DM94" s="33">
        <f t="shared" si="100"/>
        <v>1</v>
      </c>
      <c r="DN94" s="33">
        <f t="shared" si="101"/>
        <v>1</v>
      </c>
      <c r="DO94" s="33">
        <f t="shared" si="102"/>
        <v>1</v>
      </c>
      <c r="DP94" s="33">
        <f t="shared" si="103"/>
        <v>1</v>
      </c>
      <c r="DQ94" s="33">
        <f t="shared" si="104"/>
        <v>1</v>
      </c>
      <c r="DR94" s="33">
        <f t="shared" si="105"/>
        <v>1</v>
      </c>
      <c r="DS94" s="33">
        <f t="shared" si="106"/>
        <v>1</v>
      </c>
      <c r="DT94" s="33">
        <f t="shared" si="107"/>
        <v>1</v>
      </c>
      <c r="DU94" s="33">
        <f t="shared" si="108"/>
        <v>1</v>
      </c>
      <c r="DV94" s="33">
        <f t="shared" si="109"/>
        <v>1</v>
      </c>
      <c r="DW94" s="33">
        <f t="shared" si="110"/>
        <v>1</v>
      </c>
      <c r="DX94" s="33">
        <f t="shared" si="111"/>
        <v>1</v>
      </c>
      <c r="DY94" s="33">
        <f t="shared" si="112"/>
        <v>1</v>
      </c>
      <c r="DZ94" s="33">
        <f t="shared" si="113"/>
        <v>1</v>
      </c>
      <c r="EA94" s="33">
        <f t="shared" si="114"/>
        <v>1</v>
      </c>
      <c r="EB94" s="33">
        <f t="shared" si="115"/>
        <v>1</v>
      </c>
      <c r="EC94" s="33">
        <f t="shared" si="116"/>
        <v>1</v>
      </c>
      <c r="ED94" s="33">
        <f t="shared" si="117"/>
        <v>1</v>
      </c>
      <c r="EE94" s="33">
        <f t="shared" si="118"/>
        <v>1</v>
      </c>
      <c r="EF94" s="33">
        <f t="shared" si="119"/>
        <v>1</v>
      </c>
      <c r="EG94" s="33">
        <f t="shared" si="120"/>
        <v>1</v>
      </c>
      <c r="EH94" s="33">
        <f t="shared" si="121"/>
        <v>1</v>
      </c>
      <c r="EI94" s="33">
        <f t="shared" si="122"/>
        <v>1</v>
      </c>
      <c r="EJ94" s="33">
        <f t="shared" si="123"/>
        <v>1</v>
      </c>
      <c r="EK94" s="33">
        <f t="shared" si="124"/>
        <v>1</v>
      </c>
      <c r="EL94" s="33">
        <f t="shared" si="125"/>
        <v>1</v>
      </c>
      <c r="EM94" s="33">
        <f t="shared" si="126"/>
        <v>1</v>
      </c>
      <c r="EN94" s="33">
        <f t="shared" si="127"/>
        <v>1</v>
      </c>
      <c r="EO94" s="33">
        <f t="shared" si="128"/>
        <v>1</v>
      </c>
      <c r="EP94" s="33">
        <f t="shared" si="129"/>
        <v>1</v>
      </c>
      <c r="EQ94" s="33">
        <f t="shared" si="130"/>
        <v>1</v>
      </c>
      <c r="ER94" s="33">
        <f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14">
        <v>2</v>
      </c>
      <c r="D95" s="15" t="s">
        <v>16</v>
      </c>
      <c r="E95" s="15" t="s">
        <v>70</v>
      </c>
      <c r="F95" s="16" t="str">
        <f>F94</f>
        <v>Electricity</v>
      </c>
      <c r="G95" s="14"/>
      <c r="H95" s="21">
        <f ca="1">1-H89</f>
        <v>1</v>
      </c>
      <c r="I95" s="21">
        <f t="shared" ref="I95:BA95" ca="1" si="145">1-I89</f>
        <v>1</v>
      </c>
      <c r="J95" s="21">
        <f t="shared" ca="1" si="145"/>
        <v>0</v>
      </c>
      <c r="K95" s="21">
        <f t="shared" ca="1" si="145"/>
        <v>0</v>
      </c>
      <c r="L95" s="21">
        <f t="shared" ca="1" si="145"/>
        <v>1</v>
      </c>
      <c r="M95" s="21">
        <f t="shared" ca="1" si="145"/>
        <v>0</v>
      </c>
      <c r="N95" s="21">
        <f t="shared" ca="1" si="145"/>
        <v>0.5</v>
      </c>
      <c r="O95" s="21">
        <f t="shared" ca="1" si="145"/>
        <v>0.19999999999999996</v>
      </c>
      <c r="P95" s="21">
        <f t="shared" ca="1" si="145"/>
        <v>1</v>
      </c>
      <c r="Q95" s="21">
        <f t="shared" ca="1" si="145"/>
        <v>1</v>
      </c>
      <c r="R95" s="21">
        <f t="shared" ca="1" si="145"/>
        <v>0</v>
      </c>
      <c r="S95" s="21">
        <f t="shared" ca="1" si="145"/>
        <v>0</v>
      </c>
      <c r="T95" s="21">
        <f t="shared" ca="1" si="145"/>
        <v>0</v>
      </c>
      <c r="U95" s="21">
        <f t="shared" ca="1" si="145"/>
        <v>1</v>
      </c>
      <c r="V95" s="21">
        <f t="shared" ca="1" si="145"/>
        <v>0</v>
      </c>
      <c r="W95" s="21">
        <f t="shared" ca="1" si="145"/>
        <v>1</v>
      </c>
      <c r="X95" s="21">
        <f t="shared" ca="1" si="145"/>
        <v>0</v>
      </c>
      <c r="Y95" s="21">
        <f t="shared" ca="1" si="145"/>
        <v>0</v>
      </c>
      <c r="Z95" s="21">
        <f t="shared" ca="1" si="145"/>
        <v>0</v>
      </c>
      <c r="AA95" s="21">
        <f t="shared" ca="1" si="145"/>
        <v>0.5</v>
      </c>
      <c r="AB95" s="21">
        <f t="shared" ca="1" si="145"/>
        <v>1</v>
      </c>
      <c r="AC95" s="21">
        <f t="shared" ca="1" si="145"/>
        <v>0</v>
      </c>
      <c r="AD95" s="21">
        <f t="shared" ca="1" si="145"/>
        <v>0</v>
      </c>
      <c r="AE95" s="21">
        <f t="shared" ca="1" si="145"/>
        <v>1</v>
      </c>
      <c r="AF95" s="21">
        <f t="shared" ca="1" si="145"/>
        <v>0</v>
      </c>
      <c r="AG95" s="21">
        <f t="shared" ca="1" si="145"/>
        <v>1</v>
      </c>
      <c r="AH95" s="21">
        <f t="shared" ca="1" si="145"/>
        <v>1</v>
      </c>
      <c r="AI95" s="21">
        <f t="shared" ca="1" si="145"/>
        <v>1</v>
      </c>
      <c r="AJ95" s="21">
        <f t="shared" ca="1" si="145"/>
        <v>0</v>
      </c>
      <c r="AK95" s="21">
        <f t="shared" ca="1" si="145"/>
        <v>0</v>
      </c>
      <c r="AL95" s="21">
        <f t="shared" ca="1" si="145"/>
        <v>0</v>
      </c>
      <c r="AM95" s="21">
        <f t="shared" ca="1" si="145"/>
        <v>1</v>
      </c>
      <c r="AN95" s="21">
        <f t="shared" ca="1" si="145"/>
        <v>0</v>
      </c>
      <c r="AO95" s="21">
        <f t="shared" ca="1" si="145"/>
        <v>1</v>
      </c>
      <c r="AP95" s="21">
        <f t="shared" ca="1" si="145"/>
        <v>1</v>
      </c>
      <c r="AQ95" s="21">
        <f t="shared" ca="1" si="145"/>
        <v>0</v>
      </c>
      <c r="AR95" s="21">
        <f t="shared" ca="1" si="145"/>
        <v>0</v>
      </c>
      <c r="AS95" s="21">
        <f t="shared" ca="1" si="145"/>
        <v>0</v>
      </c>
      <c r="AT95" s="21">
        <f t="shared" ca="1" si="145"/>
        <v>0</v>
      </c>
      <c r="AU95" s="21">
        <f t="shared" ca="1" si="145"/>
        <v>0</v>
      </c>
      <c r="AV95" s="21">
        <f t="shared" ca="1" si="145"/>
        <v>0</v>
      </c>
      <c r="AW95" s="21">
        <f t="shared" ca="1" si="145"/>
        <v>0</v>
      </c>
      <c r="AX95" s="21">
        <f t="shared" ca="1" si="145"/>
        <v>0</v>
      </c>
      <c r="AY95" s="21">
        <f t="shared" ca="1" si="145"/>
        <v>0</v>
      </c>
      <c r="AZ95" s="21">
        <f t="shared" ca="1" si="145"/>
        <v>0</v>
      </c>
      <c r="BA95" s="21">
        <f t="shared" ca="1" si="145"/>
        <v>0</v>
      </c>
      <c r="BD95" s="34">
        <f ca="1">IFERROR(SUMIFS('TRA balance'!E$5:E$40,'TRA balance'!$C$5:$C$40,Assumptions!$C95,'TRA balance'!$D$5:$D$40,Assumptions!$B95)*CY95*H95,"")</f>
        <v>0</v>
      </c>
      <c r="BE95" s="34">
        <f ca="1">IFERROR(SUMIFS('TRA balance'!F$5:F$40,'TRA balance'!$C$5:$C$40,Assumptions!$C95,'TRA balance'!$D$5:$D$40,Assumptions!$B95)*CZ95*I95,"")</f>
        <v>0</v>
      </c>
      <c r="BF95" s="34">
        <f ca="1">IFERROR(SUMIFS('TRA balance'!G$5:G$40,'TRA balance'!$C$5:$C$40,Assumptions!$C95,'TRA balance'!$D$5:$D$40,Assumptions!$B95)*DA95*J95,"")</f>
        <v>0</v>
      </c>
      <c r="BG95" s="34">
        <f ca="1">IFERROR(SUMIFS('TRA balance'!H$5:H$40,'TRA balance'!$C$5:$C$40,Assumptions!$C95,'TRA balance'!$D$5:$D$40,Assumptions!$B95)*DB95*K95,"")</f>
        <v>0</v>
      </c>
      <c r="BH95" s="34">
        <f ca="1">IFERROR(SUMIFS('TRA balance'!I$5:I$40,'TRA balance'!$C$5:$C$40,Assumptions!$C95,'TRA balance'!$D$5:$D$40,Assumptions!$B95)*DC95*L95,"")</f>
        <v>0</v>
      </c>
      <c r="BI95" s="34">
        <f ca="1">IFERROR(SUMIFS('TRA balance'!J$5:J$40,'TRA balance'!$C$5:$C$40,Assumptions!$C95,'TRA balance'!$D$5:$D$40,Assumptions!$B95)*DD95*M95,"")</f>
        <v>0</v>
      </c>
      <c r="BJ95" s="34">
        <f ca="1">IFERROR(SUMIFS('TRA balance'!K$5:K$40,'TRA balance'!$C$5:$C$40,Assumptions!$C95,'TRA balance'!$D$5:$D$40,Assumptions!$B95)*DE95*N95,"")</f>
        <v>0</v>
      </c>
      <c r="BK95" s="34">
        <f ca="1">IFERROR(SUMIFS('TRA balance'!L$5:L$40,'TRA balance'!$C$5:$C$40,Assumptions!$C95,'TRA balance'!$D$5:$D$40,Assumptions!$B95)*DF95*O95,"")</f>
        <v>0</v>
      </c>
      <c r="BL95" s="34">
        <f ca="1">IFERROR(SUMIFS('TRA balance'!M$5:M$40,'TRA balance'!$C$5:$C$40,Assumptions!$C95,'TRA balance'!$D$5:$D$40,Assumptions!$B95)*DG95*P95,"")</f>
        <v>0</v>
      </c>
      <c r="BM95" s="34">
        <f ca="1">IFERROR(SUMIFS('TRA balance'!N$5:N$40,'TRA balance'!$C$5:$C$40,Assumptions!$C95,'TRA balance'!$D$5:$D$40,Assumptions!$B95)*DH95*Q95,"")</f>
        <v>0</v>
      </c>
      <c r="BN95" s="34">
        <f ca="1">IFERROR(SUMIFS('TRA balance'!O$5:O$40,'TRA balance'!$C$5:$C$40,Assumptions!$C95,'TRA balance'!$D$5:$D$40,Assumptions!$B95)*DI95*R95,"")</f>
        <v>0</v>
      </c>
      <c r="BO95" s="34">
        <f ca="1">IFERROR(SUMIFS('TRA balance'!P$5:P$40,'TRA balance'!$C$5:$C$40,Assumptions!$C95,'TRA balance'!$D$5:$D$40,Assumptions!$B95)*DJ95*S95,"")</f>
        <v>0</v>
      </c>
      <c r="BP95" s="34">
        <f ca="1">IFERROR(SUMIFS('TRA balance'!Q$5:Q$40,'TRA balance'!$C$5:$C$40,Assumptions!$C95,'TRA balance'!$D$5:$D$40,Assumptions!$B95)*DK95*T95,"")</f>
        <v>0</v>
      </c>
      <c r="BQ95" s="34">
        <f ca="1">IFERROR(SUMIFS('TRA balance'!R$5:R$40,'TRA balance'!$C$5:$C$40,Assumptions!$C95,'TRA balance'!$D$5:$D$40,Assumptions!$B95)*DL95*U95,"")</f>
        <v>0</v>
      </c>
      <c r="BR95" s="34">
        <f ca="1">IFERROR(SUMIFS('TRA balance'!S$5:S$40,'TRA balance'!$C$5:$C$40,Assumptions!$C95,'TRA balance'!$D$5:$D$40,Assumptions!$B95)*DM95*V95,"")</f>
        <v>0</v>
      </c>
      <c r="BS95" s="34">
        <f ca="1">IFERROR(SUMIFS('TRA balance'!T$5:T$40,'TRA balance'!$C$5:$C$40,Assumptions!$C95,'TRA balance'!$D$5:$D$40,Assumptions!$B95)*DN95*W95,"")</f>
        <v>0</v>
      </c>
      <c r="BT95" s="34">
        <f ca="1">IFERROR(SUMIFS('TRA balance'!U$5:U$40,'TRA balance'!$C$5:$C$40,Assumptions!$C95,'TRA balance'!$D$5:$D$40,Assumptions!$B95)*DO95*X95,"")</f>
        <v>0</v>
      </c>
      <c r="BU95" s="34">
        <f ca="1">IFERROR(SUMIFS('TRA balance'!V$5:V$40,'TRA balance'!$C$5:$C$40,Assumptions!$C95,'TRA balance'!$D$5:$D$40,Assumptions!$B95)*DP95*Y95,"")</f>
        <v>0</v>
      </c>
      <c r="BV95" s="34">
        <f ca="1">IFERROR(SUMIFS('TRA balance'!W$5:W$40,'TRA balance'!$C$5:$C$40,Assumptions!$C95,'TRA balance'!$D$5:$D$40,Assumptions!$B95)*DQ95*Z95,"")</f>
        <v>0</v>
      </c>
      <c r="BW95" s="34">
        <f ca="1">IFERROR(SUMIFS('TRA balance'!X$5:X$40,'TRA balance'!$C$5:$C$40,Assumptions!$C95,'TRA balance'!$D$5:$D$40,Assumptions!$B95)*DR95*AA95,"")</f>
        <v>0</v>
      </c>
      <c r="BX95" s="34">
        <f ca="1">IFERROR(SUMIFS('TRA balance'!Y$5:Y$40,'TRA balance'!$C$5:$C$40,Assumptions!$C95,'TRA balance'!$D$5:$D$40,Assumptions!$B95)*DS95*AB95,"")</f>
        <v>0</v>
      </c>
      <c r="BY95" s="34">
        <f ca="1">IFERROR(SUMIFS('TRA balance'!Z$5:Z$40,'TRA balance'!$C$5:$C$40,Assumptions!$C95,'TRA balance'!$D$5:$D$40,Assumptions!$B95)*DT95*AC95,"")</f>
        <v>0</v>
      </c>
      <c r="BZ95" s="34">
        <f ca="1">IFERROR(SUMIFS('TRA balance'!AA$5:AA$40,'TRA balance'!$C$5:$C$40,Assumptions!$C95,'TRA balance'!$D$5:$D$40,Assumptions!$B95)*DU95*AD95,"")</f>
        <v>0</v>
      </c>
      <c r="CA95" s="34">
        <f ca="1">IFERROR(SUMIFS('TRA balance'!AB$5:AB$40,'TRA balance'!$C$5:$C$40,Assumptions!$C95,'TRA balance'!$D$5:$D$40,Assumptions!$B95)*DV95*AE95,"")</f>
        <v>0</v>
      </c>
      <c r="CB95" s="34">
        <f ca="1">IFERROR(SUMIFS('TRA balance'!AC$5:AC$40,'TRA balance'!$C$5:$C$40,Assumptions!$C95,'TRA balance'!$D$5:$D$40,Assumptions!$B95)*DW95*AF95,"")</f>
        <v>0</v>
      </c>
      <c r="CC95" s="34">
        <f ca="1">IFERROR(SUMIFS('TRA balance'!AD$5:AD$40,'TRA balance'!$C$5:$C$40,Assumptions!$C95,'TRA balance'!$D$5:$D$40,Assumptions!$B95)*DX95*AG95,"")</f>
        <v>0</v>
      </c>
      <c r="CD95" s="34">
        <f ca="1">IFERROR(SUMIFS('TRA balance'!AE$5:AE$40,'TRA balance'!$C$5:$C$40,Assumptions!$C95,'TRA balance'!$D$5:$D$40,Assumptions!$B95)*DY95*AH95,"")</f>
        <v>0</v>
      </c>
      <c r="CE95" s="34">
        <f ca="1">IFERROR(SUMIFS('TRA balance'!AF$5:AF$40,'TRA balance'!$C$5:$C$40,Assumptions!$C95,'TRA balance'!$D$5:$D$40,Assumptions!$B95)*DZ95*AI95,"")</f>
        <v>0</v>
      </c>
      <c r="CF95" s="34">
        <f ca="1">IFERROR(SUMIFS('TRA balance'!AG$5:AG$40,'TRA balance'!$C$5:$C$40,Assumptions!$C95,'TRA balance'!$D$5:$D$40,Assumptions!$B95)*EA95*AJ95,"")</f>
        <v>0</v>
      </c>
      <c r="CG95" s="34">
        <f ca="1">IFERROR(SUMIFS('TRA balance'!AH$5:AH$40,'TRA balance'!$C$5:$C$40,Assumptions!$C95,'TRA balance'!$D$5:$D$40,Assumptions!$B95)*EB95*AK95,"")</f>
        <v>0</v>
      </c>
      <c r="CH95" s="34">
        <f ca="1">IFERROR(SUMIFS('TRA balance'!AI$5:AI$40,'TRA balance'!$C$5:$C$40,Assumptions!$C95,'TRA balance'!$D$5:$D$40,Assumptions!$B95)*EC95*AL95,"")</f>
        <v>0</v>
      </c>
      <c r="CI95" s="34">
        <f ca="1">IFERROR(SUMIFS('TRA balance'!AJ$5:AJ$40,'TRA balance'!$C$5:$C$40,Assumptions!$C95,'TRA balance'!$D$5:$D$40,Assumptions!$B95)*ED95*AM95,"")</f>
        <v>0</v>
      </c>
      <c r="CJ95" s="34">
        <f ca="1">IFERROR(SUMIFS('TRA balance'!AK$5:AK$40,'TRA balance'!$C$5:$C$40,Assumptions!$C95,'TRA balance'!$D$5:$D$40,Assumptions!$B95)*EE95*AN95,"")</f>
        <v>0</v>
      </c>
      <c r="CK95" s="34">
        <f ca="1">IFERROR(SUMIFS('TRA balance'!AL$5:AL$40,'TRA balance'!$C$5:$C$40,Assumptions!$C95,'TRA balance'!$D$5:$D$40,Assumptions!$B95)*EF95*AO95,"")</f>
        <v>0</v>
      </c>
      <c r="CL95" s="34">
        <f ca="1">IFERROR(SUMIFS('TRA balance'!AM$5:AM$40,'TRA balance'!$C$5:$C$40,Assumptions!$C95,'TRA balance'!$D$5:$D$40,Assumptions!$B95)*EG95*AP95,"")</f>
        <v>0</v>
      </c>
      <c r="CM95" s="34">
        <f ca="1">IFERROR(SUMIFS('TRA balance'!AN$5:AN$40,'TRA balance'!$C$5:$C$40,Assumptions!$C95,'TRA balance'!$D$5:$D$40,Assumptions!$B95)*EH95*AQ95,"")</f>
        <v>0</v>
      </c>
      <c r="CN95" s="34">
        <f ca="1">IFERROR(SUMIFS('TRA balance'!AO$5:AO$40,'TRA balance'!$C$5:$C$40,Assumptions!$C95,'TRA balance'!$D$5:$D$40,Assumptions!$B95)*EI95*AR95,"")</f>
        <v>0</v>
      </c>
      <c r="CO95" s="34">
        <f ca="1">IFERROR(SUMIFS('TRA balance'!AP$5:AP$40,'TRA balance'!$C$5:$C$40,Assumptions!$C95,'TRA balance'!$D$5:$D$40,Assumptions!$B95)*EJ95*AS95,"")</f>
        <v>0</v>
      </c>
      <c r="CP95" s="34">
        <f ca="1">IFERROR(SUMIFS('TRA balance'!AQ$5:AQ$40,'TRA balance'!$C$5:$C$40,Assumptions!$C95,'TRA balance'!$D$5:$D$40,Assumptions!$B95)*EK95*AT95,"")</f>
        <v>0</v>
      </c>
      <c r="CQ95" s="34">
        <f ca="1">IFERROR(SUMIFS('TRA balance'!AR$5:AR$40,'TRA balance'!$C$5:$C$40,Assumptions!$C95,'TRA balance'!$D$5:$D$40,Assumptions!$B95)*EL95*AU95,"")</f>
        <v>0</v>
      </c>
      <c r="CR95" s="34">
        <f ca="1">IFERROR(SUMIFS('TRA balance'!AS$5:AS$40,'TRA balance'!$C$5:$C$40,Assumptions!$C95,'TRA balance'!$D$5:$D$40,Assumptions!$B95)*EM95*AV95,"")</f>
        <v>0</v>
      </c>
      <c r="CS95" s="34">
        <f ca="1">IFERROR(SUMIFS('TRA balance'!AT$5:AT$40,'TRA balance'!$C$5:$C$40,Assumptions!$C95,'TRA balance'!$D$5:$D$40,Assumptions!$B95)*EN95*AW95,"")</f>
        <v>0</v>
      </c>
      <c r="CT95" s="34">
        <f ca="1">IFERROR(SUMIFS('TRA balance'!AU$5:AU$40,'TRA balance'!$C$5:$C$40,Assumptions!$C95,'TRA balance'!$D$5:$D$40,Assumptions!$B95)*EO95*AX95,"")</f>
        <v>0</v>
      </c>
      <c r="CU95" s="34">
        <f ca="1">IFERROR(SUMIFS('TRA balance'!AV$5:AV$40,'TRA balance'!$C$5:$C$40,Assumptions!$C95,'TRA balance'!$D$5:$D$40,Assumptions!$B95)*EP95*AY95,"")</f>
        <v>0</v>
      </c>
      <c r="CV95" s="34">
        <f ca="1">IFERROR(SUMIFS('TRA balance'!AW$5:AW$40,'TRA balance'!$C$5:$C$40,Assumptions!$C95,'TRA balance'!$D$5:$D$40,Assumptions!$B95)*EQ95*AZ95,"")</f>
        <v>0</v>
      </c>
      <c r="CW95" s="34">
        <f ca="1">IFERROR(SUMIFS('TRA balance'!AX$5:AX$40,'TRA balance'!$C$5:$C$40,Assumptions!$C95,'TRA balance'!$D$5:$D$40,Assumptions!$B95)*ER95*BA95,"")</f>
        <v>0</v>
      </c>
      <c r="CY95" s="33">
        <f t="shared" si="86"/>
        <v>1</v>
      </c>
      <c r="CZ95" s="33">
        <f t="shared" si="87"/>
        <v>1</v>
      </c>
      <c r="DA95" s="33">
        <f t="shared" si="88"/>
        <v>1</v>
      </c>
      <c r="DB95" s="33">
        <f t="shared" si="89"/>
        <v>1</v>
      </c>
      <c r="DC95" s="33">
        <f t="shared" si="90"/>
        <v>1</v>
      </c>
      <c r="DD95" s="33">
        <f t="shared" si="91"/>
        <v>1</v>
      </c>
      <c r="DE95" s="33">
        <f t="shared" si="92"/>
        <v>1</v>
      </c>
      <c r="DF95" s="33">
        <f t="shared" si="93"/>
        <v>1</v>
      </c>
      <c r="DG95" s="33">
        <f t="shared" si="94"/>
        <v>1</v>
      </c>
      <c r="DH95" s="33">
        <f t="shared" si="95"/>
        <v>1</v>
      </c>
      <c r="DI95" s="33">
        <f t="shared" si="96"/>
        <v>1</v>
      </c>
      <c r="DJ95" s="33">
        <f t="shared" si="97"/>
        <v>1</v>
      </c>
      <c r="DK95" s="33">
        <f t="shared" si="98"/>
        <v>1</v>
      </c>
      <c r="DL95" s="33">
        <f t="shared" si="99"/>
        <v>1</v>
      </c>
      <c r="DM95" s="33">
        <f t="shared" si="100"/>
        <v>1</v>
      </c>
      <c r="DN95" s="33">
        <f t="shared" si="101"/>
        <v>1</v>
      </c>
      <c r="DO95" s="33">
        <f t="shared" si="102"/>
        <v>1</v>
      </c>
      <c r="DP95" s="33">
        <f t="shared" si="103"/>
        <v>1</v>
      </c>
      <c r="DQ95" s="33">
        <f t="shared" si="104"/>
        <v>1</v>
      </c>
      <c r="DR95" s="33">
        <f t="shared" si="105"/>
        <v>1</v>
      </c>
      <c r="DS95" s="33">
        <f t="shared" si="106"/>
        <v>1</v>
      </c>
      <c r="DT95" s="33">
        <f t="shared" si="107"/>
        <v>1</v>
      </c>
      <c r="DU95" s="33">
        <f t="shared" si="108"/>
        <v>1</v>
      </c>
      <c r="DV95" s="33">
        <f t="shared" si="109"/>
        <v>1</v>
      </c>
      <c r="DW95" s="33">
        <f t="shared" si="110"/>
        <v>1</v>
      </c>
      <c r="DX95" s="33">
        <f t="shared" si="111"/>
        <v>1</v>
      </c>
      <c r="DY95" s="33">
        <f t="shared" si="112"/>
        <v>1</v>
      </c>
      <c r="DZ95" s="33">
        <f t="shared" si="113"/>
        <v>1</v>
      </c>
      <c r="EA95" s="33">
        <f t="shared" si="114"/>
        <v>1</v>
      </c>
      <c r="EB95" s="33">
        <f t="shared" si="115"/>
        <v>1</v>
      </c>
      <c r="EC95" s="33">
        <f t="shared" si="116"/>
        <v>1</v>
      </c>
      <c r="ED95" s="33">
        <f t="shared" si="117"/>
        <v>1</v>
      </c>
      <c r="EE95" s="33">
        <f t="shared" si="118"/>
        <v>1</v>
      </c>
      <c r="EF95" s="33">
        <f t="shared" si="119"/>
        <v>1</v>
      </c>
      <c r="EG95" s="33">
        <f t="shared" si="120"/>
        <v>1</v>
      </c>
      <c r="EH95" s="33">
        <f t="shared" si="121"/>
        <v>1</v>
      </c>
      <c r="EI95" s="33">
        <f t="shared" si="122"/>
        <v>1</v>
      </c>
      <c r="EJ95" s="33">
        <f t="shared" si="123"/>
        <v>1</v>
      </c>
      <c r="EK95" s="33">
        <f t="shared" si="124"/>
        <v>1</v>
      </c>
      <c r="EL95" s="33">
        <f t="shared" si="125"/>
        <v>1</v>
      </c>
      <c r="EM95" s="33">
        <f t="shared" si="126"/>
        <v>1</v>
      </c>
      <c r="EN95" s="33">
        <f t="shared" si="127"/>
        <v>1</v>
      </c>
      <c r="EO95" s="33">
        <f t="shared" si="128"/>
        <v>1</v>
      </c>
      <c r="EP95" s="33">
        <f t="shared" si="129"/>
        <v>1</v>
      </c>
      <c r="EQ95" s="33">
        <f t="shared" si="130"/>
        <v>1</v>
      </c>
      <c r="ER95" s="33">
        <f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6" t="str">
        <f t="shared" si="133"/>
        <v>TR</v>
      </c>
      <c r="D96" s="7" t="s">
        <v>16</v>
      </c>
      <c r="E96" s="18" t="s">
        <v>71</v>
      </c>
      <c r="F96" s="8" t="str">
        <f>F95</f>
        <v>Electricity</v>
      </c>
      <c r="G96" s="6" t="s">
        <v>72</v>
      </c>
      <c r="H96" s="9">
        <f ca="1">OFFSET(TIAM15_assumptions!$G96,0,MATCH(VLOOKUP(Assumptions!H$2,TIAM15_assumptions!$Y$3:$Z$87,2,FALSE),TIAM15_assumptions!$H$2:$V$2,0))</f>
        <v>1</v>
      </c>
      <c r="I96" s="9">
        <f ca="1">OFFSET(TIAM15_assumptions!$G96,0,MATCH(VLOOKUP(Assumptions!I$2,TIAM15_assumptions!$Y$3:$Z$87,2,FALSE),TIAM15_assumptions!$H$2:$V$2,0))</f>
        <v>1</v>
      </c>
      <c r="J96" s="9">
        <f ca="1">OFFSET(TIAM15_assumptions!$G96,0,MATCH(VLOOKUP(Assumptions!J$2,TIAM15_assumptions!$Y$3:$Z$87,2,FALSE),TIAM15_assumptions!$H$2:$V$2,0))</f>
        <v>1</v>
      </c>
      <c r="K96" s="9">
        <f ca="1">OFFSET(TIAM15_assumptions!$G96,0,MATCH(VLOOKUP(Assumptions!K$2,TIAM15_assumptions!$Y$3:$Z$87,2,FALSE),TIAM15_assumptions!$H$2:$V$2,0))</f>
        <v>1</v>
      </c>
      <c r="L96" s="9">
        <f ca="1">OFFSET(TIAM15_assumptions!$G96,0,MATCH(VLOOKUP(Assumptions!L$2,TIAM15_assumptions!$Y$3:$Z$87,2,FALSE),TIAM15_assumptions!$H$2:$V$2,0))</f>
        <v>1</v>
      </c>
      <c r="M96" s="9">
        <f ca="1">OFFSET(TIAM15_assumptions!$G96,0,MATCH(VLOOKUP(Assumptions!M$2,TIAM15_assumptions!$Y$3:$Z$87,2,FALSE),TIAM15_assumptions!$H$2:$V$2,0))</f>
        <v>1</v>
      </c>
      <c r="N96" s="9">
        <f ca="1">OFFSET(TIAM15_assumptions!$G96,0,MATCH(VLOOKUP(Assumptions!N$2,TIAM15_assumptions!$Y$3:$Z$87,2,FALSE),TIAM15_assumptions!$H$2:$V$2,0))</f>
        <v>1</v>
      </c>
      <c r="O96" s="9">
        <f ca="1">OFFSET(TIAM15_assumptions!$G96,0,MATCH(VLOOKUP(Assumptions!O$2,TIAM15_assumptions!$Y$3:$Z$87,2,FALSE),TIAM15_assumptions!$H$2:$V$2,0))</f>
        <v>0.5</v>
      </c>
      <c r="P96" s="9">
        <f ca="1">OFFSET(TIAM15_assumptions!$G96,0,MATCH(VLOOKUP(Assumptions!P$2,TIAM15_assumptions!$Y$3:$Z$87,2,FALSE),TIAM15_assumptions!$H$2:$V$2,0))</f>
        <v>1</v>
      </c>
      <c r="Q96" s="9">
        <f ca="1">OFFSET(TIAM15_assumptions!$G96,0,MATCH(VLOOKUP(Assumptions!Q$2,TIAM15_assumptions!$Y$3:$Z$87,2,FALSE),TIAM15_assumptions!$H$2:$V$2,0))</f>
        <v>1</v>
      </c>
      <c r="R96" s="9">
        <f ca="1">OFFSET(TIAM15_assumptions!$G96,0,MATCH(VLOOKUP(Assumptions!R$2,TIAM15_assumptions!$Y$3:$Z$87,2,FALSE),TIAM15_assumptions!$H$2:$V$2,0))</f>
        <v>1</v>
      </c>
      <c r="S96" s="9">
        <f ca="1">OFFSET(TIAM15_assumptions!$G96,0,MATCH(VLOOKUP(Assumptions!S$2,TIAM15_assumptions!$Y$3:$Z$87,2,FALSE),TIAM15_assumptions!$H$2:$V$2,0))</f>
        <v>1</v>
      </c>
      <c r="T96" s="9">
        <f ca="1">OFFSET(TIAM15_assumptions!$G96,0,MATCH(VLOOKUP(Assumptions!T$2,TIAM15_assumptions!$Y$3:$Z$87,2,FALSE),TIAM15_assumptions!$H$2:$V$2,0))</f>
        <v>1</v>
      </c>
      <c r="U96" s="9">
        <f ca="1">OFFSET(TIAM15_assumptions!$G96,0,MATCH(VLOOKUP(Assumptions!U$2,TIAM15_assumptions!$Y$3:$Z$87,2,FALSE),TIAM15_assumptions!$H$2:$V$2,0))</f>
        <v>1</v>
      </c>
      <c r="V96" s="9">
        <f ca="1">OFFSET(TIAM15_assumptions!$G96,0,MATCH(VLOOKUP(Assumptions!V$2,TIAM15_assumptions!$Y$3:$Z$87,2,FALSE),TIAM15_assumptions!$H$2:$V$2,0))</f>
        <v>1</v>
      </c>
      <c r="W96" s="9">
        <f ca="1">OFFSET(TIAM15_assumptions!$G96,0,MATCH(VLOOKUP(Assumptions!W$2,TIAM15_assumptions!$Y$3:$Z$87,2,FALSE),TIAM15_assumptions!$H$2:$V$2,0))</f>
        <v>1</v>
      </c>
      <c r="X96" s="9">
        <f ca="1">OFFSET(TIAM15_assumptions!$G96,0,MATCH(VLOOKUP(Assumptions!X$2,TIAM15_assumptions!$Y$3:$Z$87,2,FALSE),TIAM15_assumptions!$H$2:$V$2,0))</f>
        <v>1</v>
      </c>
      <c r="Y96" s="9">
        <f ca="1">OFFSET(TIAM15_assumptions!$G96,0,MATCH(VLOOKUP(Assumptions!Y$2,TIAM15_assumptions!$Y$3:$Z$87,2,FALSE),TIAM15_assumptions!$H$2:$V$2,0))</f>
        <v>1</v>
      </c>
      <c r="Z96" s="9">
        <f ca="1">OFFSET(TIAM15_assumptions!$G96,0,MATCH(VLOOKUP(Assumptions!Z$2,TIAM15_assumptions!$Y$3:$Z$87,2,FALSE),TIAM15_assumptions!$H$2:$V$2,0))</f>
        <v>1</v>
      </c>
      <c r="AA96" s="9">
        <f ca="1">OFFSET(TIAM15_assumptions!$G96,0,MATCH(VLOOKUP(Assumptions!AA$2,TIAM15_assumptions!$Y$3:$Z$87,2,FALSE),TIAM15_assumptions!$H$2:$V$2,0))</f>
        <v>1</v>
      </c>
      <c r="AB96" s="9">
        <f ca="1">OFFSET(TIAM15_assumptions!$G96,0,MATCH(VLOOKUP(Assumptions!AB$2,TIAM15_assumptions!$Y$3:$Z$87,2,FALSE),TIAM15_assumptions!$H$2:$V$2,0))</f>
        <v>1</v>
      </c>
      <c r="AC96" s="9">
        <f ca="1">OFFSET(TIAM15_assumptions!$G96,0,MATCH(VLOOKUP(Assumptions!AC$2,TIAM15_assumptions!$Y$3:$Z$87,2,FALSE),TIAM15_assumptions!$H$2:$V$2,0))</f>
        <v>1</v>
      </c>
      <c r="AD96" s="9">
        <f ca="1">OFFSET(TIAM15_assumptions!$G96,0,MATCH(VLOOKUP(Assumptions!AD$2,TIAM15_assumptions!$Y$3:$Z$87,2,FALSE),TIAM15_assumptions!$H$2:$V$2,0))</f>
        <v>1</v>
      </c>
      <c r="AE96" s="9">
        <f ca="1">OFFSET(TIAM15_assumptions!$G96,0,MATCH(VLOOKUP(Assumptions!AE$2,TIAM15_assumptions!$Y$3:$Z$87,2,FALSE),TIAM15_assumptions!$H$2:$V$2,0))</f>
        <v>1</v>
      </c>
      <c r="AF96" s="9">
        <f ca="1">OFFSET(TIAM15_assumptions!$G96,0,MATCH(VLOOKUP(Assumptions!AF$2,TIAM15_assumptions!$Y$3:$Z$87,2,FALSE),TIAM15_assumptions!$H$2:$V$2,0))</f>
        <v>1</v>
      </c>
      <c r="AG96" s="9">
        <f ca="1">OFFSET(TIAM15_assumptions!$G96,0,MATCH(VLOOKUP(Assumptions!AG$2,TIAM15_assumptions!$Y$3:$Z$87,2,FALSE),TIAM15_assumptions!$H$2:$V$2,0))</f>
        <v>1</v>
      </c>
      <c r="AH96" s="9">
        <f ca="1">OFFSET(TIAM15_assumptions!$G96,0,MATCH(VLOOKUP(Assumptions!AH$2,TIAM15_assumptions!$Y$3:$Z$87,2,FALSE),TIAM15_assumptions!$H$2:$V$2,0))</f>
        <v>1</v>
      </c>
      <c r="AI96" s="9">
        <f ca="1">OFFSET(TIAM15_assumptions!$G96,0,MATCH(VLOOKUP(Assumptions!AI$2,TIAM15_assumptions!$Y$3:$Z$87,2,FALSE),TIAM15_assumptions!$H$2:$V$2,0))</f>
        <v>1</v>
      </c>
      <c r="AJ96" s="9">
        <f ca="1">OFFSET(TIAM15_assumptions!$G96,0,MATCH(VLOOKUP(Assumptions!AJ$2,TIAM15_assumptions!$Y$3:$Z$87,2,FALSE),TIAM15_assumptions!$H$2:$V$2,0))</f>
        <v>1</v>
      </c>
      <c r="AK96" s="9">
        <f ca="1">OFFSET(TIAM15_assumptions!$G96,0,MATCH(VLOOKUP(Assumptions!AK$2,TIAM15_assumptions!$Y$3:$Z$87,2,FALSE),TIAM15_assumptions!$H$2:$V$2,0))</f>
        <v>1</v>
      </c>
      <c r="AL96" s="9">
        <f ca="1">OFFSET(TIAM15_assumptions!$G96,0,MATCH(VLOOKUP(Assumptions!AL$2,TIAM15_assumptions!$Y$3:$Z$87,2,FALSE),TIAM15_assumptions!$H$2:$V$2,0))</f>
        <v>1</v>
      </c>
      <c r="AM96" s="9">
        <f ca="1">OFFSET(TIAM15_assumptions!$G96,0,MATCH(VLOOKUP(Assumptions!AM$2,TIAM15_assumptions!$Y$3:$Z$87,2,FALSE),TIAM15_assumptions!$H$2:$V$2,0))</f>
        <v>1</v>
      </c>
      <c r="AN96" s="9">
        <f ca="1">OFFSET(TIAM15_assumptions!$G96,0,MATCH(VLOOKUP(Assumptions!AN$2,TIAM15_assumptions!$Y$3:$Z$87,2,FALSE),TIAM15_assumptions!$H$2:$V$2,0))</f>
        <v>1</v>
      </c>
      <c r="AO96" s="9">
        <f ca="1">OFFSET(TIAM15_assumptions!$G96,0,MATCH(VLOOKUP(Assumptions!AO$2,TIAM15_assumptions!$Y$3:$Z$87,2,FALSE),TIAM15_assumptions!$H$2:$V$2,0))</f>
        <v>1</v>
      </c>
      <c r="AP96" s="9">
        <f ca="1">OFFSET(TIAM15_assumptions!$G96,0,MATCH(VLOOKUP(Assumptions!AP$2,TIAM15_assumptions!$Y$3:$Z$87,2,FALSE),TIAM15_assumptions!$H$2:$V$2,0))</f>
        <v>1</v>
      </c>
      <c r="AQ96" s="9">
        <f ca="1">OFFSET(TIAM15_assumptions!$G96,0,MATCH(VLOOKUP(Assumptions!AQ$2,TIAM15_assumptions!$Y$3:$Z$87,2,FALSE),TIAM15_assumptions!$H$2:$V$2,0))</f>
        <v>1</v>
      </c>
      <c r="AR96" s="9">
        <f ca="1">OFFSET(TIAM15_assumptions!$G96,0,MATCH(VLOOKUP(Assumptions!AR$2,TIAM15_assumptions!$Y$3:$Z$87,2,FALSE),TIAM15_assumptions!$H$2:$V$2,0))</f>
        <v>1</v>
      </c>
      <c r="AS96" s="9">
        <f ca="1">OFFSET(TIAM15_assumptions!$G96,0,MATCH(VLOOKUP(Assumptions!AS$2,TIAM15_assumptions!$Y$3:$Z$87,2,FALSE),TIAM15_assumptions!$H$2:$V$2,0))</f>
        <v>1</v>
      </c>
      <c r="AT96" s="9">
        <f ca="1">OFFSET(TIAM15_assumptions!$G96,0,MATCH(VLOOKUP(Assumptions!AT$2,TIAM15_assumptions!$Y$3:$Z$87,2,FALSE),TIAM15_assumptions!$H$2:$V$2,0))</f>
        <v>1</v>
      </c>
      <c r="AU96" s="9">
        <f ca="1">OFFSET(TIAM15_assumptions!$G96,0,MATCH(VLOOKUP(Assumptions!AU$2,TIAM15_assumptions!$Y$3:$Z$87,2,FALSE),TIAM15_assumptions!$H$2:$V$2,0))</f>
        <v>1</v>
      </c>
      <c r="AV96" s="9">
        <f ca="1">OFFSET(TIAM15_assumptions!$G96,0,MATCH(VLOOKUP(Assumptions!AV$2,TIAM15_assumptions!$Y$3:$Z$87,2,FALSE),TIAM15_assumptions!$H$2:$V$2,0))</f>
        <v>1</v>
      </c>
      <c r="AW96" s="9">
        <f ca="1">OFFSET(TIAM15_assumptions!$G96,0,MATCH(VLOOKUP(Assumptions!AW$2,TIAM15_assumptions!$Y$3:$Z$87,2,FALSE),TIAM15_assumptions!$H$2:$V$2,0))</f>
        <v>1</v>
      </c>
      <c r="AX96" s="9">
        <f ca="1">OFFSET(TIAM15_assumptions!$G96,0,MATCH(VLOOKUP(Assumptions!AX$2,TIAM15_assumptions!$Y$3:$Z$87,2,FALSE),TIAM15_assumptions!$H$2:$V$2,0))</f>
        <v>1</v>
      </c>
      <c r="AY96" s="9">
        <f ca="1">OFFSET(TIAM15_assumptions!$G96,0,MATCH(VLOOKUP(Assumptions!AY$2,TIAM15_assumptions!$Y$3:$Z$87,2,FALSE),TIAM15_assumptions!$H$2:$V$2,0))</f>
        <v>1</v>
      </c>
      <c r="AZ96" s="9">
        <f ca="1">OFFSET(TIAM15_assumptions!$G96,0,MATCH(VLOOKUP(Assumptions!AZ$2,TIAM15_assumptions!$Y$3:$Z$87,2,FALSE),TIAM15_assumptions!$H$2:$V$2,0))</f>
        <v>1</v>
      </c>
      <c r="BA96" s="9">
        <f ca="1">OFFSET(TIAM15_assumptions!$G96,0,MATCH(VLOOKUP(Assumptions!BA$2,TIAM15_assumptions!$Y$3:$Z$87,2,FALSE),TIAM15_assumptions!$H$2:$V$2,0))</f>
        <v>1</v>
      </c>
      <c r="BD96" s="34">
        <f ca="1">IFERROR(SUMIFS('TRA balance'!E$5:E$40,'TRA balance'!$C$5:$C$40,Assumptions!$C96,'TRA balance'!$D$5:$D$40,Assumptions!$B96)*CY96*H96,"")</f>
        <v>0</v>
      </c>
      <c r="BE96" s="34">
        <f ca="1">IFERROR(SUMIFS('TRA balance'!F$5:F$40,'TRA balance'!$C$5:$C$40,Assumptions!$C96,'TRA balance'!$D$5:$D$40,Assumptions!$B96)*CZ96*I96,"")</f>
        <v>0</v>
      </c>
      <c r="BF96" s="34">
        <f ca="1">IFERROR(SUMIFS('TRA balance'!G$5:G$40,'TRA balance'!$C$5:$C$40,Assumptions!$C96,'TRA balance'!$D$5:$D$40,Assumptions!$B96)*DA96*J96,"")</f>
        <v>0</v>
      </c>
      <c r="BG96" s="34">
        <f ca="1">IFERROR(SUMIFS('TRA balance'!H$5:H$40,'TRA balance'!$C$5:$C$40,Assumptions!$C96,'TRA balance'!$D$5:$D$40,Assumptions!$B96)*DB96*K96,"")</f>
        <v>0</v>
      </c>
      <c r="BH96" s="34">
        <f ca="1">IFERROR(SUMIFS('TRA balance'!I$5:I$40,'TRA balance'!$C$5:$C$40,Assumptions!$C96,'TRA balance'!$D$5:$D$40,Assumptions!$B96)*DC96*L96,"")</f>
        <v>0.29186601480000002</v>
      </c>
      <c r="BI96" s="34">
        <f ca="1">IFERROR(SUMIFS('TRA balance'!J$5:J$40,'TRA balance'!$C$5:$C$40,Assumptions!$C96,'TRA balance'!$D$5:$D$40,Assumptions!$B96)*DD96*M96,"")</f>
        <v>0</v>
      </c>
      <c r="BJ96" s="34">
        <f ca="1">IFERROR(SUMIFS('TRA balance'!K$5:K$40,'TRA balance'!$C$5:$C$40,Assumptions!$C96,'TRA balance'!$D$5:$D$40,Assumptions!$B96)*DE96*N96,"")</f>
        <v>0</v>
      </c>
      <c r="BK96" s="34">
        <f ca="1">IFERROR(SUMIFS('TRA balance'!L$5:L$40,'TRA balance'!$C$5:$C$40,Assumptions!$C96,'TRA balance'!$D$5:$D$40,Assumptions!$B96)*DF96*O96,"")</f>
        <v>24.536301367319993</v>
      </c>
      <c r="BL96" s="34">
        <f ca="1">IFERROR(SUMIFS('TRA balance'!M$5:M$40,'TRA balance'!$C$5:$C$40,Assumptions!$C96,'TRA balance'!$D$5:$D$40,Assumptions!$B96)*DG96*P96,"")</f>
        <v>1.2886970399999999E-2</v>
      </c>
      <c r="BM96" s="34">
        <f ca="1">IFERROR(SUMIFS('TRA balance'!N$5:N$40,'TRA balance'!$C$5:$C$40,Assumptions!$C96,'TRA balance'!$D$5:$D$40,Assumptions!$B96)*DH96*Q96,"")</f>
        <v>0.33488538480000002</v>
      </c>
      <c r="BN96" s="34">
        <f ca="1">IFERROR(SUMIFS('TRA balance'!O$5:O$40,'TRA balance'!$C$5:$C$40,Assumptions!$C96,'TRA balance'!$D$5:$D$40,Assumptions!$B96)*DI96*R96,"")</f>
        <v>0</v>
      </c>
      <c r="BO96" s="34">
        <f ca="1">IFERROR(SUMIFS('TRA balance'!P$5:P$40,'TRA balance'!$C$5:$C$40,Assumptions!$C96,'TRA balance'!$D$5:$D$40,Assumptions!$B96)*DJ96*S96,"")</f>
        <v>0</v>
      </c>
      <c r="BP96" s="34">
        <f ca="1">IFERROR(SUMIFS('TRA balance'!Q$5:Q$40,'TRA balance'!$C$5:$C$40,Assumptions!$C96,'TRA balance'!$D$5:$D$40,Assumptions!$B96)*DK96*T96,"")</f>
        <v>0</v>
      </c>
      <c r="BQ96" s="34">
        <f ca="1">IFERROR(SUMIFS('TRA balance'!R$5:R$40,'TRA balance'!$C$5:$C$40,Assumptions!$C96,'TRA balance'!$D$5:$D$40,Assumptions!$B96)*DL96*U96,"")</f>
        <v>0.42334828200000002</v>
      </c>
      <c r="BR96" s="34">
        <f ca="1">IFERROR(SUMIFS('TRA balance'!S$5:S$40,'TRA balance'!$C$5:$C$40,Assumptions!$C96,'TRA balance'!$D$5:$D$40,Assumptions!$B96)*DM96*V96,"")</f>
        <v>0</v>
      </c>
      <c r="BS96" s="34">
        <f ca="1">IFERROR(SUMIFS('TRA balance'!T$5:T$40,'TRA balance'!$C$5:$C$40,Assumptions!$C96,'TRA balance'!$D$5:$D$40,Assumptions!$B96)*DN96*W96,"")</f>
        <v>0</v>
      </c>
      <c r="BT96" s="34">
        <f ca="1">IFERROR(SUMIFS('TRA balance'!U$5:U$40,'TRA balance'!$C$5:$C$40,Assumptions!$C96,'TRA balance'!$D$5:$D$40,Assumptions!$B96)*DO96*X96,"")</f>
        <v>0</v>
      </c>
      <c r="BU96" s="34">
        <f ca="1">IFERROR(SUMIFS('TRA balance'!V$5:V$40,'TRA balance'!$C$5:$C$40,Assumptions!$C96,'TRA balance'!$D$5:$D$40,Assumptions!$B96)*DP96*Y96,"")</f>
        <v>0</v>
      </c>
      <c r="BV96" s="34">
        <f ca="1">IFERROR(SUMIFS('TRA balance'!W$5:W$40,'TRA balance'!$C$5:$C$40,Assumptions!$C96,'TRA balance'!$D$5:$D$40,Assumptions!$B96)*DQ96*Z96,"")</f>
        <v>0</v>
      </c>
      <c r="BW96" s="34">
        <f ca="1">IFERROR(SUMIFS('TRA balance'!X$5:X$40,'TRA balance'!$C$5:$C$40,Assumptions!$C96,'TRA balance'!$D$5:$D$40,Assumptions!$B96)*DR96*AA96,"")</f>
        <v>1.4705548848000001</v>
      </c>
      <c r="BX96" s="34">
        <f ca="1">IFERROR(SUMIFS('TRA balance'!Y$5:Y$40,'TRA balance'!$C$5:$C$40,Assumptions!$C96,'TRA balance'!$D$5:$D$40,Assumptions!$B96)*DS96*AB96,"")</f>
        <v>0</v>
      </c>
      <c r="BY96" s="34">
        <f ca="1">IFERROR(SUMIFS('TRA balance'!Z$5:Z$40,'TRA balance'!$C$5:$C$40,Assumptions!$C96,'TRA balance'!$D$5:$D$40,Assumptions!$B96)*DT96*AC96,"")</f>
        <v>0</v>
      </c>
      <c r="BZ96" s="34">
        <f ca="1">IFERROR(SUMIFS('TRA balance'!AA$5:AA$40,'TRA balance'!$C$5:$C$40,Assumptions!$C96,'TRA balance'!$D$5:$D$40,Assumptions!$B96)*DU96*AD96,"")</f>
        <v>0</v>
      </c>
      <c r="CA96" s="34">
        <f ca="1">IFERROR(SUMIFS('TRA balance'!AB$5:AB$40,'TRA balance'!$C$5:$C$40,Assumptions!$C96,'TRA balance'!$D$5:$D$40,Assumptions!$B96)*DV96*AE96,"")</f>
        <v>0.11810544119999999</v>
      </c>
      <c r="CB96" s="34">
        <f ca="1">IFERROR(SUMIFS('TRA balance'!AC$5:AC$40,'TRA balance'!$C$5:$C$40,Assumptions!$C96,'TRA balance'!$D$5:$D$40,Assumptions!$B96)*DW96*AF96,"")</f>
        <v>0</v>
      </c>
      <c r="CC96" s="34">
        <f ca="1">IFERROR(SUMIFS('TRA balance'!AD$5:AD$40,'TRA balance'!$C$5:$C$40,Assumptions!$C96,'TRA balance'!$D$5:$D$40,Assumptions!$B96)*DX96*AG96,"")</f>
        <v>0.55079866079999995</v>
      </c>
      <c r="CD96" s="34">
        <f ca="1">IFERROR(SUMIFS('TRA balance'!AE$5:AE$40,'TRA balance'!$C$5:$C$40,Assumptions!$C96,'TRA balance'!$D$5:$D$40,Assumptions!$B96)*DY96*AH96,"")</f>
        <v>0</v>
      </c>
      <c r="CE96" s="34">
        <f ca="1">IFERROR(SUMIFS('TRA balance'!AF$5:AF$40,'TRA balance'!$C$5:$C$40,Assumptions!$C96,'TRA balance'!$D$5:$D$40,Assumptions!$B96)*DZ96*AI96,"")</f>
        <v>0.19335061079999999</v>
      </c>
      <c r="CF96" s="34">
        <f ca="1">IFERROR(SUMIFS('TRA balance'!AG$5:AG$40,'TRA balance'!$C$5:$C$40,Assumptions!$C96,'TRA balance'!$D$5:$D$40,Assumptions!$B96)*EA96*AJ96,"")</f>
        <v>0</v>
      </c>
      <c r="CG96" s="34">
        <f ca="1">IFERROR(SUMIFS('TRA balance'!AH$5:AH$40,'TRA balance'!$C$5:$C$40,Assumptions!$C96,'TRA balance'!$D$5:$D$40,Assumptions!$B96)*EB96*AK96,"")</f>
        <v>0</v>
      </c>
      <c r="CH96" s="34">
        <f ca="1">IFERROR(SUMIFS('TRA balance'!AI$5:AI$40,'TRA balance'!$C$5:$C$40,Assumptions!$C96,'TRA balance'!$D$5:$D$40,Assumptions!$B96)*EC96*AL96,"")</f>
        <v>0</v>
      </c>
      <c r="CI96" s="34">
        <f ca="1">IFERROR(SUMIFS('TRA balance'!AJ$5:AJ$40,'TRA balance'!$C$5:$C$40,Assumptions!$C96,'TRA balance'!$D$5:$D$40,Assumptions!$B96)*ED96*AM96,"")</f>
        <v>0</v>
      </c>
      <c r="CJ96" s="34">
        <f ca="1">IFERROR(SUMIFS('TRA balance'!AK$5:AK$40,'TRA balance'!$C$5:$C$40,Assumptions!$C96,'TRA balance'!$D$5:$D$40,Assumptions!$B96)*EE96*AN96,"")</f>
        <v>0</v>
      </c>
      <c r="CK96" s="34">
        <f ca="1">IFERROR(SUMIFS('TRA balance'!AL$5:AL$40,'TRA balance'!$C$5:$C$40,Assumptions!$C96,'TRA balance'!$D$5:$D$40,Assumptions!$B96)*EF96*AO96,"")</f>
        <v>0</v>
      </c>
      <c r="CL96" s="34">
        <f ca="1">IFERROR(SUMIFS('TRA balance'!AM$5:AM$40,'TRA balance'!$C$5:$C$40,Assumptions!$C96,'TRA balance'!$D$5:$D$40,Assumptions!$B96)*EG96*AP96,"")</f>
        <v>1.31381784E-2</v>
      </c>
      <c r="CM96" s="34">
        <f ca="1">IFERROR(SUMIFS('TRA balance'!AN$5:AN$40,'TRA balance'!$C$5:$C$40,Assumptions!$C96,'TRA balance'!$D$5:$D$40,Assumptions!$B96)*EH96*AQ96,"")</f>
        <v>0</v>
      </c>
      <c r="CN96" s="34">
        <f ca="1">IFERROR(SUMIFS('TRA balance'!AO$5:AO$40,'TRA balance'!$C$5:$C$40,Assumptions!$C96,'TRA balance'!$D$5:$D$40,Assumptions!$B96)*EI96*AR96,"")</f>
        <v>0</v>
      </c>
      <c r="CO96" s="34">
        <f ca="1">IFERROR(SUMIFS('TRA balance'!AP$5:AP$40,'TRA balance'!$C$5:$C$40,Assumptions!$C96,'TRA balance'!$D$5:$D$40,Assumptions!$B96)*EJ96*AS96,"")</f>
        <v>0</v>
      </c>
      <c r="CP96" s="34">
        <f ca="1">IFERROR(SUMIFS('TRA balance'!AQ$5:AQ$40,'TRA balance'!$C$5:$C$40,Assumptions!$C96,'TRA balance'!$D$5:$D$40,Assumptions!$B96)*EK96*AT96,"")</f>
        <v>0</v>
      </c>
      <c r="CQ96" s="34">
        <f ca="1">IFERROR(SUMIFS('TRA balance'!AR$5:AR$40,'TRA balance'!$C$5:$C$40,Assumptions!$C96,'TRA balance'!$D$5:$D$40,Assumptions!$B96)*EL96*AU96,"")</f>
        <v>0</v>
      </c>
      <c r="CR96" s="34">
        <f ca="1">IFERROR(SUMIFS('TRA balance'!AS$5:AS$40,'TRA balance'!$C$5:$C$40,Assumptions!$C96,'TRA balance'!$D$5:$D$40,Assumptions!$B96)*EM96*AV96,"")</f>
        <v>0</v>
      </c>
      <c r="CS96" s="34">
        <f ca="1">IFERROR(SUMIFS('TRA balance'!AT$5:AT$40,'TRA balance'!$C$5:$C$40,Assumptions!$C96,'TRA balance'!$D$5:$D$40,Assumptions!$B96)*EN96*AW96,"")</f>
        <v>0</v>
      </c>
      <c r="CT96" s="34">
        <f ca="1">IFERROR(SUMIFS('TRA balance'!AU$5:AU$40,'TRA balance'!$C$5:$C$40,Assumptions!$C96,'TRA balance'!$D$5:$D$40,Assumptions!$B96)*EO96*AX96,"")</f>
        <v>0</v>
      </c>
      <c r="CU96" s="34">
        <f ca="1">IFERROR(SUMIFS('TRA balance'!AV$5:AV$40,'TRA balance'!$C$5:$C$40,Assumptions!$C96,'TRA balance'!$D$5:$D$40,Assumptions!$B96)*EP96*AY96,"")</f>
        <v>0</v>
      </c>
      <c r="CV96" s="34">
        <f ca="1">IFERROR(SUMIFS('TRA balance'!AW$5:AW$40,'TRA balance'!$C$5:$C$40,Assumptions!$C96,'TRA balance'!$D$5:$D$40,Assumptions!$B96)*EQ96*AZ96,"")</f>
        <v>0</v>
      </c>
      <c r="CW96" s="34">
        <f ca="1">IFERROR(SUMIFS('TRA balance'!AX$5:AX$40,'TRA balance'!$C$5:$C$40,Assumptions!$C96,'TRA balance'!$D$5:$D$40,Assumptions!$B96)*ER96*BA96,"")</f>
        <v>0</v>
      </c>
      <c r="CY96" s="33">
        <f t="shared" ca="1" si="86"/>
        <v>1</v>
      </c>
      <c r="CZ96" s="33">
        <f t="shared" ca="1" si="87"/>
        <v>1</v>
      </c>
      <c r="DA96" s="33">
        <f t="shared" ca="1" si="88"/>
        <v>0</v>
      </c>
      <c r="DB96" s="33">
        <f t="shared" ca="1" si="89"/>
        <v>0</v>
      </c>
      <c r="DC96" s="33">
        <f t="shared" ca="1" si="90"/>
        <v>1</v>
      </c>
      <c r="DD96" s="33">
        <f t="shared" ca="1" si="91"/>
        <v>0</v>
      </c>
      <c r="DE96" s="33">
        <f t="shared" ca="1" si="92"/>
        <v>0.5</v>
      </c>
      <c r="DF96" s="33">
        <f t="shared" ca="1" si="93"/>
        <v>0.19999999999999996</v>
      </c>
      <c r="DG96" s="33">
        <f t="shared" ca="1" si="94"/>
        <v>1</v>
      </c>
      <c r="DH96" s="33">
        <f t="shared" ca="1" si="95"/>
        <v>1</v>
      </c>
      <c r="DI96" s="33">
        <f t="shared" ca="1" si="96"/>
        <v>0</v>
      </c>
      <c r="DJ96" s="33">
        <f t="shared" ca="1" si="97"/>
        <v>0</v>
      </c>
      <c r="DK96" s="33">
        <f t="shared" ca="1" si="98"/>
        <v>0</v>
      </c>
      <c r="DL96" s="33">
        <f t="shared" ca="1" si="99"/>
        <v>1</v>
      </c>
      <c r="DM96" s="33">
        <f t="shared" ca="1" si="100"/>
        <v>0</v>
      </c>
      <c r="DN96" s="33">
        <f t="shared" ca="1" si="101"/>
        <v>1</v>
      </c>
      <c r="DO96" s="33">
        <f t="shared" ca="1" si="102"/>
        <v>0</v>
      </c>
      <c r="DP96" s="33">
        <f t="shared" ca="1" si="103"/>
        <v>0</v>
      </c>
      <c r="DQ96" s="33">
        <f t="shared" ca="1" si="104"/>
        <v>0</v>
      </c>
      <c r="DR96" s="33">
        <f t="shared" ca="1" si="105"/>
        <v>0.5</v>
      </c>
      <c r="DS96" s="33">
        <f t="shared" ca="1" si="106"/>
        <v>1</v>
      </c>
      <c r="DT96" s="33">
        <f t="shared" ca="1" si="107"/>
        <v>0</v>
      </c>
      <c r="DU96" s="33">
        <f t="shared" ca="1" si="108"/>
        <v>0</v>
      </c>
      <c r="DV96" s="33">
        <f t="shared" ca="1" si="109"/>
        <v>1</v>
      </c>
      <c r="DW96" s="33">
        <f t="shared" ca="1" si="110"/>
        <v>0</v>
      </c>
      <c r="DX96" s="33">
        <f t="shared" ca="1" si="111"/>
        <v>1</v>
      </c>
      <c r="DY96" s="33">
        <f t="shared" ca="1" si="112"/>
        <v>1</v>
      </c>
      <c r="DZ96" s="33">
        <f t="shared" ca="1" si="113"/>
        <v>1</v>
      </c>
      <c r="EA96" s="33">
        <f t="shared" ca="1" si="114"/>
        <v>0</v>
      </c>
      <c r="EB96" s="33">
        <f t="shared" ca="1" si="115"/>
        <v>0</v>
      </c>
      <c r="EC96" s="33">
        <f t="shared" ca="1" si="116"/>
        <v>0</v>
      </c>
      <c r="ED96" s="33">
        <f t="shared" ca="1" si="117"/>
        <v>1</v>
      </c>
      <c r="EE96" s="33">
        <f t="shared" ca="1" si="118"/>
        <v>0</v>
      </c>
      <c r="EF96" s="33">
        <f t="shared" ca="1" si="119"/>
        <v>1</v>
      </c>
      <c r="EG96" s="33">
        <f t="shared" ca="1" si="120"/>
        <v>1</v>
      </c>
      <c r="EH96" s="33">
        <f t="shared" ca="1" si="121"/>
        <v>0</v>
      </c>
      <c r="EI96" s="33">
        <f t="shared" ca="1" si="122"/>
        <v>0</v>
      </c>
      <c r="EJ96" s="33">
        <f t="shared" ca="1" si="123"/>
        <v>0</v>
      </c>
      <c r="EK96" s="33">
        <f t="shared" ca="1" si="124"/>
        <v>0</v>
      </c>
      <c r="EL96" s="33">
        <f t="shared" ca="1" si="125"/>
        <v>0</v>
      </c>
      <c r="EM96" s="33">
        <f t="shared" ca="1" si="126"/>
        <v>0</v>
      </c>
      <c r="EN96" s="33">
        <f t="shared" ca="1" si="127"/>
        <v>0</v>
      </c>
      <c r="EO96" s="33">
        <f t="shared" ca="1" si="128"/>
        <v>0</v>
      </c>
      <c r="EP96" s="33">
        <f t="shared" ca="1" si="129"/>
        <v>0</v>
      </c>
      <c r="EQ96" s="33">
        <f t="shared" ca="1" si="130"/>
        <v>0</v>
      </c>
      <c r="ER96" s="33">
        <f t="shared" ca="1" si="131"/>
        <v>0</v>
      </c>
    </row>
    <row r="97" spans="1:148">
      <c r="A97">
        <v>2</v>
      </c>
      <c r="B97" t="str">
        <f>VLOOKUP(F97,'TRA balance'!$BA$5:$BB$14,2,FALSE)</f>
        <v>TRAELC</v>
      </c>
      <c r="C97" s="6" t="str">
        <f t="shared" si="133"/>
        <v>TR</v>
      </c>
      <c r="D97" s="7" t="s">
        <v>16</v>
      </c>
      <c r="E97" s="18" t="s">
        <v>73</v>
      </c>
      <c r="F97" s="8" t="str">
        <f t="shared" ref="F97:F103" si="146">F96</f>
        <v>Electricity</v>
      </c>
      <c r="G97" s="6" t="s">
        <v>74</v>
      </c>
      <c r="H97" s="9">
        <f ca="1">OFFSET(TIAM15_assumptions!$G97,0,MATCH(VLOOKUP(Assumptions!H$2,TIAM15_assumptions!$Y$3:$Z$87,2,FALSE),TIAM15_assumptions!$H$2:$V$2,0))</f>
        <v>0</v>
      </c>
      <c r="I97" s="9">
        <f ca="1">OFFSET(TIAM15_assumptions!$G97,0,MATCH(VLOOKUP(Assumptions!I$2,TIAM15_assumptions!$Y$3:$Z$87,2,FALSE),TIAM15_assumptions!$H$2:$V$2,0))</f>
        <v>0</v>
      </c>
      <c r="J97" s="9">
        <f ca="1">OFFSET(TIAM15_assumptions!$G97,0,MATCH(VLOOKUP(Assumptions!J$2,TIAM15_assumptions!$Y$3:$Z$87,2,FALSE),TIAM15_assumptions!$H$2:$V$2,0))</f>
        <v>0</v>
      </c>
      <c r="K97" s="9">
        <f ca="1">OFFSET(TIAM15_assumptions!$G97,0,MATCH(VLOOKUP(Assumptions!K$2,TIAM15_assumptions!$Y$3:$Z$87,2,FALSE),TIAM15_assumptions!$H$2:$V$2,0))</f>
        <v>0</v>
      </c>
      <c r="L97" s="9">
        <f ca="1">OFFSET(TIAM15_assumptions!$G97,0,MATCH(VLOOKUP(Assumptions!L$2,TIAM15_assumptions!$Y$3:$Z$87,2,FALSE),TIAM15_assumptions!$H$2:$V$2,0))</f>
        <v>0</v>
      </c>
      <c r="M97" s="9">
        <f ca="1">OFFSET(TIAM15_assumptions!$G97,0,MATCH(VLOOKUP(Assumptions!M$2,TIAM15_assumptions!$Y$3:$Z$87,2,FALSE),TIAM15_assumptions!$H$2:$V$2,0))</f>
        <v>0</v>
      </c>
      <c r="N97" s="9">
        <f ca="1">OFFSET(TIAM15_assumptions!$G97,0,MATCH(VLOOKUP(Assumptions!N$2,TIAM15_assumptions!$Y$3:$Z$87,2,FALSE),TIAM15_assumptions!$H$2:$V$2,0))</f>
        <v>0</v>
      </c>
      <c r="O97" s="9">
        <f ca="1">OFFSET(TIAM15_assumptions!$G97,0,MATCH(VLOOKUP(Assumptions!O$2,TIAM15_assumptions!$Y$3:$Z$87,2,FALSE),TIAM15_assumptions!$H$2:$V$2,0))</f>
        <v>0</v>
      </c>
      <c r="P97" s="9">
        <f ca="1">OFFSET(TIAM15_assumptions!$G97,0,MATCH(VLOOKUP(Assumptions!P$2,TIAM15_assumptions!$Y$3:$Z$87,2,FALSE),TIAM15_assumptions!$H$2:$V$2,0))</f>
        <v>0</v>
      </c>
      <c r="Q97" s="9">
        <f ca="1">OFFSET(TIAM15_assumptions!$G97,0,MATCH(VLOOKUP(Assumptions!Q$2,TIAM15_assumptions!$Y$3:$Z$87,2,FALSE),TIAM15_assumptions!$H$2:$V$2,0))</f>
        <v>0</v>
      </c>
      <c r="R97" s="9">
        <f ca="1">OFFSET(TIAM15_assumptions!$G97,0,MATCH(VLOOKUP(Assumptions!R$2,TIAM15_assumptions!$Y$3:$Z$87,2,FALSE),TIAM15_assumptions!$H$2:$V$2,0))</f>
        <v>0</v>
      </c>
      <c r="S97" s="9">
        <f ca="1">OFFSET(TIAM15_assumptions!$G97,0,MATCH(VLOOKUP(Assumptions!S$2,TIAM15_assumptions!$Y$3:$Z$87,2,FALSE),TIAM15_assumptions!$H$2:$V$2,0))</f>
        <v>0</v>
      </c>
      <c r="T97" s="9">
        <f ca="1">OFFSET(TIAM15_assumptions!$G97,0,MATCH(VLOOKUP(Assumptions!T$2,TIAM15_assumptions!$Y$3:$Z$87,2,FALSE),TIAM15_assumptions!$H$2:$V$2,0))</f>
        <v>0</v>
      </c>
      <c r="U97" s="9">
        <f ca="1">OFFSET(TIAM15_assumptions!$G97,0,MATCH(VLOOKUP(Assumptions!U$2,TIAM15_assumptions!$Y$3:$Z$87,2,FALSE),TIAM15_assumptions!$H$2:$V$2,0))</f>
        <v>0</v>
      </c>
      <c r="V97" s="9">
        <f ca="1">OFFSET(TIAM15_assumptions!$G97,0,MATCH(VLOOKUP(Assumptions!V$2,TIAM15_assumptions!$Y$3:$Z$87,2,FALSE),TIAM15_assumptions!$H$2:$V$2,0))</f>
        <v>0</v>
      </c>
      <c r="W97" s="9">
        <f ca="1">OFFSET(TIAM15_assumptions!$G97,0,MATCH(VLOOKUP(Assumptions!W$2,TIAM15_assumptions!$Y$3:$Z$87,2,FALSE),TIAM15_assumptions!$H$2:$V$2,0))</f>
        <v>0</v>
      </c>
      <c r="X97" s="9">
        <f ca="1">OFFSET(TIAM15_assumptions!$G97,0,MATCH(VLOOKUP(Assumptions!X$2,TIAM15_assumptions!$Y$3:$Z$87,2,FALSE),TIAM15_assumptions!$H$2:$V$2,0))</f>
        <v>0</v>
      </c>
      <c r="Y97" s="9">
        <f ca="1">OFFSET(TIAM15_assumptions!$G97,0,MATCH(VLOOKUP(Assumptions!Y$2,TIAM15_assumptions!$Y$3:$Z$87,2,FALSE),TIAM15_assumptions!$H$2:$V$2,0))</f>
        <v>0</v>
      </c>
      <c r="Z97" s="9">
        <f ca="1">OFFSET(TIAM15_assumptions!$G97,0,MATCH(VLOOKUP(Assumptions!Z$2,TIAM15_assumptions!$Y$3:$Z$87,2,FALSE),TIAM15_assumptions!$H$2:$V$2,0))</f>
        <v>0</v>
      </c>
      <c r="AA97" s="9">
        <f ca="1">OFFSET(TIAM15_assumptions!$G97,0,MATCH(VLOOKUP(Assumptions!AA$2,TIAM15_assumptions!$Y$3:$Z$87,2,FALSE),TIAM15_assumptions!$H$2:$V$2,0))</f>
        <v>0</v>
      </c>
      <c r="AB97" s="9">
        <f ca="1">OFFSET(TIAM15_assumptions!$G97,0,MATCH(VLOOKUP(Assumptions!AB$2,TIAM15_assumptions!$Y$3:$Z$87,2,FALSE),TIAM15_assumptions!$H$2:$V$2,0))</f>
        <v>0</v>
      </c>
      <c r="AC97" s="9">
        <f ca="1">OFFSET(TIAM15_assumptions!$G97,0,MATCH(VLOOKUP(Assumptions!AC$2,TIAM15_assumptions!$Y$3:$Z$87,2,FALSE),TIAM15_assumptions!$H$2:$V$2,0))</f>
        <v>0</v>
      </c>
      <c r="AD97" s="9">
        <f ca="1">OFFSET(TIAM15_assumptions!$G97,0,MATCH(VLOOKUP(Assumptions!AD$2,TIAM15_assumptions!$Y$3:$Z$87,2,FALSE),TIAM15_assumptions!$H$2:$V$2,0))</f>
        <v>0</v>
      </c>
      <c r="AE97" s="9">
        <f ca="1">OFFSET(TIAM15_assumptions!$G97,0,MATCH(VLOOKUP(Assumptions!AE$2,TIAM15_assumptions!$Y$3:$Z$87,2,FALSE),TIAM15_assumptions!$H$2:$V$2,0))</f>
        <v>0</v>
      </c>
      <c r="AF97" s="9">
        <f ca="1">OFFSET(TIAM15_assumptions!$G97,0,MATCH(VLOOKUP(Assumptions!AF$2,TIAM15_assumptions!$Y$3:$Z$87,2,FALSE),TIAM15_assumptions!$H$2:$V$2,0))</f>
        <v>0</v>
      </c>
      <c r="AG97" s="9">
        <f ca="1">OFFSET(TIAM15_assumptions!$G97,0,MATCH(VLOOKUP(Assumptions!AG$2,TIAM15_assumptions!$Y$3:$Z$87,2,FALSE),TIAM15_assumptions!$H$2:$V$2,0))</f>
        <v>0</v>
      </c>
      <c r="AH97" s="9">
        <f ca="1">OFFSET(TIAM15_assumptions!$G97,0,MATCH(VLOOKUP(Assumptions!AH$2,TIAM15_assumptions!$Y$3:$Z$87,2,FALSE),TIAM15_assumptions!$H$2:$V$2,0))</f>
        <v>0</v>
      </c>
      <c r="AI97" s="9">
        <f ca="1">OFFSET(TIAM15_assumptions!$G97,0,MATCH(VLOOKUP(Assumptions!AI$2,TIAM15_assumptions!$Y$3:$Z$87,2,FALSE),TIAM15_assumptions!$H$2:$V$2,0))</f>
        <v>0</v>
      </c>
      <c r="AJ97" s="9">
        <f ca="1">OFFSET(TIAM15_assumptions!$G97,0,MATCH(VLOOKUP(Assumptions!AJ$2,TIAM15_assumptions!$Y$3:$Z$87,2,FALSE),TIAM15_assumptions!$H$2:$V$2,0))</f>
        <v>0</v>
      </c>
      <c r="AK97" s="9">
        <f ca="1">OFFSET(TIAM15_assumptions!$G97,0,MATCH(VLOOKUP(Assumptions!AK$2,TIAM15_assumptions!$Y$3:$Z$87,2,FALSE),TIAM15_assumptions!$H$2:$V$2,0))</f>
        <v>0</v>
      </c>
      <c r="AL97" s="9">
        <f ca="1">OFFSET(TIAM15_assumptions!$G97,0,MATCH(VLOOKUP(Assumptions!AL$2,TIAM15_assumptions!$Y$3:$Z$87,2,FALSE),TIAM15_assumptions!$H$2:$V$2,0))</f>
        <v>0</v>
      </c>
      <c r="AM97" s="9">
        <f ca="1">OFFSET(TIAM15_assumptions!$G97,0,MATCH(VLOOKUP(Assumptions!AM$2,TIAM15_assumptions!$Y$3:$Z$87,2,FALSE),TIAM15_assumptions!$H$2:$V$2,0))</f>
        <v>0</v>
      </c>
      <c r="AN97" s="9">
        <f ca="1">OFFSET(TIAM15_assumptions!$G97,0,MATCH(VLOOKUP(Assumptions!AN$2,TIAM15_assumptions!$Y$3:$Z$87,2,FALSE),TIAM15_assumptions!$H$2:$V$2,0))</f>
        <v>0</v>
      </c>
      <c r="AO97" s="9">
        <f ca="1">OFFSET(TIAM15_assumptions!$G97,0,MATCH(VLOOKUP(Assumptions!AO$2,TIAM15_assumptions!$Y$3:$Z$87,2,FALSE),TIAM15_assumptions!$H$2:$V$2,0))</f>
        <v>0</v>
      </c>
      <c r="AP97" s="9">
        <f ca="1">OFFSET(TIAM15_assumptions!$G97,0,MATCH(VLOOKUP(Assumptions!AP$2,TIAM15_assumptions!$Y$3:$Z$87,2,FALSE),TIAM15_assumptions!$H$2:$V$2,0))</f>
        <v>0</v>
      </c>
      <c r="AQ97" s="9">
        <f ca="1">OFFSET(TIAM15_assumptions!$G97,0,MATCH(VLOOKUP(Assumptions!AQ$2,TIAM15_assumptions!$Y$3:$Z$87,2,FALSE),TIAM15_assumptions!$H$2:$V$2,0))</f>
        <v>0</v>
      </c>
      <c r="AR97" s="9">
        <f ca="1">OFFSET(TIAM15_assumptions!$G97,0,MATCH(VLOOKUP(Assumptions!AR$2,TIAM15_assumptions!$Y$3:$Z$87,2,FALSE),TIAM15_assumptions!$H$2:$V$2,0))</f>
        <v>0</v>
      </c>
      <c r="AS97" s="9">
        <f ca="1">OFFSET(TIAM15_assumptions!$G97,0,MATCH(VLOOKUP(Assumptions!AS$2,TIAM15_assumptions!$Y$3:$Z$87,2,FALSE),TIAM15_assumptions!$H$2:$V$2,0))</f>
        <v>0</v>
      </c>
      <c r="AT97" s="9">
        <f ca="1">OFFSET(TIAM15_assumptions!$G97,0,MATCH(VLOOKUP(Assumptions!AT$2,TIAM15_assumptions!$Y$3:$Z$87,2,FALSE),TIAM15_assumptions!$H$2:$V$2,0))</f>
        <v>0</v>
      </c>
      <c r="AU97" s="9">
        <f ca="1">OFFSET(TIAM15_assumptions!$G97,0,MATCH(VLOOKUP(Assumptions!AU$2,TIAM15_assumptions!$Y$3:$Z$87,2,FALSE),TIAM15_assumptions!$H$2:$V$2,0))</f>
        <v>0</v>
      </c>
      <c r="AV97" s="9">
        <f ca="1">OFFSET(TIAM15_assumptions!$G97,0,MATCH(VLOOKUP(Assumptions!AV$2,TIAM15_assumptions!$Y$3:$Z$87,2,FALSE),TIAM15_assumptions!$H$2:$V$2,0))</f>
        <v>0</v>
      </c>
      <c r="AW97" s="9">
        <f ca="1">OFFSET(TIAM15_assumptions!$G97,0,MATCH(VLOOKUP(Assumptions!AW$2,TIAM15_assumptions!$Y$3:$Z$87,2,FALSE),TIAM15_assumptions!$H$2:$V$2,0))</f>
        <v>0</v>
      </c>
      <c r="AX97" s="9">
        <f ca="1">OFFSET(TIAM15_assumptions!$G97,0,MATCH(VLOOKUP(Assumptions!AX$2,TIAM15_assumptions!$Y$3:$Z$87,2,FALSE),TIAM15_assumptions!$H$2:$V$2,0))</f>
        <v>0</v>
      </c>
      <c r="AY97" s="9">
        <f ca="1">OFFSET(TIAM15_assumptions!$G97,0,MATCH(VLOOKUP(Assumptions!AY$2,TIAM15_assumptions!$Y$3:$Z$87,2,FALSE),TIAM15_assumptions!$H$2:$V$2,0))</f>
        <v>0</v>
      </c>
      <c r="AZ97" s="9">
        <f ca="1">OFFSET(TIAM15_assumptions!$G97,0,MATCH(VLOOKUP(Assumptions!AZ$2,TIAM15_assumptions!$Y$3:$Z$87,2,FALSE),TIAM15_assumptions!$H$2:$V$2,0))</f>
        <v>0</v>
      </c>
      <c r="BA97" s="9">
        <f ca="1">OFFSET(TIAM15_assumptions!$G97,0,MATCH(VLOOKUP(Assumptions!BA$2,TIAM15_assumptions!$Y$3:$Z$87,2,FALSE),TIAM15_assumptions!$H$2:$V$2,0))</f>
        <v>0</v>
      </c>
      <c r="BD97" s="34">
        <f ca="1">IFERROR(SUMIFS('TRA balance'!E$5:E$40,'TRA balance'!$C$5:$C$40,Assumptions!$C97,'TRA balance'!$D$5:$D$40,Assumptions!$B97)*CY97*H97,"")</f>
        <v>0</v>
      </c>
      <c r="BE97" s="34">
        <f ca="1">IFERROR(SUMIFS('TRA balance'!F$5:F$40,'TRA balance'!$C$5:$C$40,Assumptions!$C97,'TRA balance'!$D$5:$D$40,Assumptions!$B97)*CZ97*I97,"")</f>
        <v>0</v>
      </c>
      <c r="BF97" s="34">
        <f ca="1">IFERROR(SUMIFS('TRA balance'!G$5:G$40,'TRA balance'!$C$5:$C$40,Assumptions!$C97,'TRA balance'!$D$5:$D$40,Assumptions!$B97)*DA97*J97,"")</f>
        <v>0</v>
      </c>
      <c r="BG97" s="34">
        <f ca="1">IFERROR(SUMIFS('TRA balance'!H$5:H$40,'TRA balance'!$C$5:$C$40,Assumptions!$C97,'TRA balance'!$D$5:$D$40,Assumptions!$B97)*DB97*K97,"")</f>
        <v>0</v>
      </c>
      <c r="BH97" s="34">
        <f ca="1">IFERROR(SUMIFS('TRA balance'!I$5:I$40,'TRA balance'!$C$5:$C$40,Assumptions!$C97,'TRA balance'!$D$5:$D$40,Assumptions!$B97)*DC97*L97,"")</f>
        <v>0</v>
      </c>
      <c r="BI97" s="34">
        <f ca="1">IFERROR(SUMIFS('TRA balance'!J$5:J$40,'TRA balance'!$C$5:$C$40,Assumptions!$C97,'TRA balance'!$D$5:$D$40,Assumptions!$B97)*DD97*M97,"")</f>
        <v>0</v>
      </c>
      <c r="BJ97" s="34">
        <f ca="1">IFERROR(SUMIFS('TRA balance'!K$5:K$40,'TRA balance'!$C$5:$C$40,Assumptions!$C97,'TRA balance'!$D$5:$D$40,Assumptions!$B97)*DE97*N97,"")</f>
        <v>0</v>
      </c>
      <c r="BK97" s="34">
        <f ca="1">IFERROR(SUMIFS('TRA balance'!L$5:L$40,'TRA balance'!$C$5:$C$40,Assumptions!$C97,'TRA balance'!$D$5:$D$40,Assumptions!$B97)*DF97*O97,"")</f>
        <v>0</v>
      </c>
      <c r="BL97" s="34">
        <f ca="1">IFERROR(SUMIFS('TRA balance'!M$5:M$40,'TRA balance'!$C$5:$C$40,Assumptions!$C97,'TRA balance'!$D$5:$D$40,Assumptions!$B97)*DG97*P97,"")</f>
        <v>0</v>
      </c>
      <c r="BM97" s="34">
        <f ca="1">IFERROR(SUMIFS('TRA balance'!N$5:N$40,'TRA balance'!$C$5:$C$40,Assumptions!$C97,'TRA balance'!$D$5:$D$40,Assumptions!$B97)*DH97*Q97,"")</f>
        <v>0</v>
      </c>
      <c r="BN97" s="34">
        <f ca="1">IFERROR(SUMIFS('TRA balance'!O$5:O$40,'TRA balance'!$C$5:$C$40,Assumptions!$C97,'TRA balance'!$D$5:$D$40,Assumptions!$B97)*DI97*R97,"")</f>
        <v>0</v>
      </c>
      <c r="BO97" s="34">
        <f ca="1">IFERROR(SUMIFS('TRA balance'!P$5:P$40,'TRA balance'!$C$5:$C$40,Assumptions!$C97,'TRA balance'!$D$5:$D$40,Assumptions!$B97)*DJ97*S97,"")</f>
        <v>0</v>
      </c>
      <c r="BP97" s="34">
        <f ca="1">IFERROR(SUMIFS('TRA balance'!Q$5:Q$40,'TRA balance'!$C$5:$C$40,Assumptions!$C97,'TRA balance'!$D$5:$D$40,Assumptions!$B97)*DK97*T97,"")</f>
        <v>0</v>
      </c>
      <c r="BQ97" s="34">
        <f ca="1">IFERROR(SUMIFS('TRA balance'!R$5:R$40,'TRA balance'!$C$5:$C$40,Assumptions!$C97,'TRA balance'!$D$5:$D$40,Assumptions!$B97)*DL97*U97,"")</f>
        <v>0</v>
      </c>
      <c r="BR97" s="34">
        <f ca="1">IFERROR(SUMIFS('TRA balance'!S$5:S$40,'TRA balance'!$C$5:$C$40,Assumptions!$C97,'TRA balance'!$D$5:$D$40,Assumptions!$B97)*DM97*V97,"")</f>
        <v>0</v>
      </c>
      <c r="BS97" s="34">
        <f ca="1">IFERROR(SUMIFS('TRA balance'!T$5:T$40,'TRA balance'!$C$5:$C$40,Assumptions!$C97,'TRA balance'!$D$5:$D$40,Assumptions!$B97)*DN97*W97,"")</f>
        <v>0</v>
      </c>
      <c r="BT97" s="34">
        <f ca="1">IFERROR(SUMIFS('TRA balance'!U$5:U$40,'TRA balance'!$C$5:$C$40,Assumptions!$C97,'TRA balance'!$D$5:$D$40,Assumptions!$B97)*DO97*X97,"")</f>
        <v>0</v>
      </c>
      <c r="BU97" s="34">
        <f ca="1">IFERROR(SUMIFS('TRA balance'!V$5:V$40,'TRA balance'!$C$5:$C$40,Assumptions!$C97,'TRA balance'!$D$5:$D$40,Assumptions!$B97)*DP97*Y97,"")</f>
        <v>0</v>
      </c>
      <c r="BV97" s="34">
        <f ca="1">IFERROR(SUMIFS('TRA balance'!W$5:W$40,'TRA balance'!$C$5:$C$40,Assumptions!$C97,'TRA balance'!$D$5:$D$40,Assumptions!$B97)*DQ97*Z97,"")</f>
        <v>0</v>
      </c>
      <c r="BW97" s="34">
        <f ca="1">IFERROR(SUMIFS('TRA balance'!X$5:X$40,'TRA balance'!$C$5:$C$40,Assumptions!$C97,'TRA balance'!$D$5:$D$40,Assumptions!$B97)*DR97*AA97,"")</f>
        <v>0</v>
      </c>
      <c r="BX97" s="34">
        <f ca="1">IFERROR(SUMIFS('TRA balance'!Y$5:Y$40,'TRA balance'!$C$5:$C$40,Assumptions!$C97,'TRA balance'!$D$5:$D$40,Assumptions!$B97)*DS97*AB97,"")</f>
        <v>0</v>
      </c>
      <c r="BY97" s="34">
        <f ca="1">IFERROR(SUMIFS('TRA balance'!Z$5:Z$40,'TRA balance'!$C$5:$C$40,Assumptions!$C97,'TRA balance'!$D$5:$D$40,Assumptions!$B97)*DT97*AC97,"")</f>
        <v>0</v>
      </c>
      <c r="BZ97" s="34">
        <f ca="1">IFERROR(SUMIFS('TRA balance'!AA$5:AA$40,'TRA balance'!$C$5:$C$40,Assumptions!$C97,'TRA balance'!$D$5:$D$40,Assumptions!$B97)*DU97*AD97,"")</f>
        <v>0</v>
      </c>
      <c r="CA97" s="34">
        <f ca="1">IFERROR(SUMIFS('TRA balance'!AB$5:AB$40,'TRA balance'!$C$5:$C$40,Assumptions!$C97,'TRA balance'!$D$5:$D$40,Assumptions!$B97)*DV97*AE97,"")</f>
        <v>0</v>
      </c>
      <c r="CB97" s="34">
        <f ca="1">IFERROR(SUMIFS('TRA balance'!AC$5:AC$40,'TRA balance'!$C$5:$C$40,Assumptions!$C97,'TRA balance'!$D$5:$D$40,Assumptions!$B97)*DW97*AF97,"")</f>
        <v>0</v>
      </c>
      <c r="CC97" s="34">
        <f ca="1">IFERROR(SUMIFS('TRA balance'!AD$5:AD$40,'TRA balance'!$C$5:$C$40,Assumptions!$C97,'TRA balance'!$D$5:$D$40,Assumptions!$B97)*DX97*AG97,"")</f>
        <v>0</v>
      </c>
      <c r="CD97" s="34">
        <f ca="1">IFERROR(SUMIFS('TRA balance'!AE$5:AE$40,'TRA balance'!$C$5:$C$40,Assumptions!$C97,'TRA balance'!$D$5:$D$40,Assumptions!$B97)*DY97*AH97,"")</f>
        <v>0</v>
      </c>
      <c r="CE97" s="34">
        <f ca="1">IFERROR(SUMIFS('TRA balance'!AF$5:AF$40,'TRA balance'!$C$5:$C$40,Assumptions!$C97,'TRA balance'!$D$5:$D$40,Assumptions!$B97)*DZ97*AI97,"")</f>
        <v>0</v>
      </c>
      <c r="CF97" s="34">
        <f ca="1">IFERROR(SUMIFS('TRA balance'!AG$5:AG$40,'TRA balance'!$C$5:$C$40,Assumptions!$C97,'TRA balance'!$D$5:$D$40,Assumptions!$B97)*EA97*AJ97,"")</f>
        <v>0</v>
      </c>
      <c r="CG97" s="34">
        <f ca="1">IFERROR(SUMIFS('TRA balance'!AH$5:AH$40,'TRA balance'!$C$5:$C$40,Assumptions!$C97,'TRA balance'!$D$5:$D$40,Assumptions!$B97)*EB97*AK97,"")</f>
        <v>0</v>
      </c>
      <c r="CH97" s="34">
        <f ca="1">IFERROR(SUMIFS('TRA balance'!AI$5:AI$40,'TRA balance'!$C$5:$C$40,Assumptions!$C97,'TRA balance'!$D$5:$D$40,Assumptions!$B97)*EC97*AL97,"")</f>
        <v>0</v>
      </c>
      <c r="CI97" s="34">
        <f ca="1">IFERROR(SUMIFS('TRA balance'!AJ$5:AJ$40,'TRA balance'!$C$5:$C$40,Assumptions!$C97,'TRA balance'!$D$5:$D$40,Assumptions!$B97)*ED97*AM97,"")</f>
        <v>0</v>
      </c>
      <c r="CJ97" s="34">
        <f ca="1">IFERROR(SUMIFS('TRA balance'!AK$5:AK$40,'TRA balance'!$C$5:$C$40,Assumptions!$C97,'TRA balance'!$D$5:$D$40,Assumptions!$B97)*EE97*AN97,"")</f>
        <v>0</v>
      </c>
      <c r="CK97" s="34">
        <f ca="1">IFERROR(SUMIFS('TRA balance'!AL$5:AL$40,'TRA balance'!$C$5:$C$40,Assumptions!$C97,'TRA balance'!$D$5:$D$40,Assumptions!$B97)*EF97*AO97,"")</f>
        <v>0</v>
      </c>
      <c r="CL97" s="34">
        <f ca="1">IFERROR(SUMIFS('TRA balance'!AM$5:AM$40,'TRA balance'!$C$5:$C$40,Assumptions!$C97,'TRA balance'!$D$5:$D$40,Assumptions!$B97)*EG97*AP97,"")</f>
        <v>0</v>
      </c>
      <c r="CM97" s="34">
        <f ca="1">IFERROR(SUMIFS('TRA balance'!AN$5:AN$40,'TRA balance'!$C$5:$C$40,Assumptions!$C97,'TRA balance'!$D$5:$D$40,Assumptions!$B97)*EH97*AQ97,"")</f>
        <v>0</v>
      </c>
      <c r="CN97" s="34">
        <f ca="1">IFERROR(SUMIFS('TRA balance'!AO$5:AO$40,'TRA balance'!$C$5:$C$40,Assumptions!$C97,'TRA balance'!$D$5:$D$40,Assumptions!$B97)*EI97*AR97,"")</f>
        <v>0</v>
      </c>
      <c r="CO97" s="34">
        <f ca="1">IFERROR(SUMIFS('TRA balance'!AP$5:AP$40,'TRA balance'!$C$5:$C$40,Assumptions!$C97,'TRA balance'!$D$5:$D$40,Assumptions!$B97)*EJ97*AS97,"")</f>
        <v>0</v>
      </c>
      <c r="CP97" s="34">
        <f ca="1">IFERROR(SUMIFS('TRA balance'!AQ$5:AQ$40,'TRA balance'!$C$5:$C$40,Assumptions!$C97,'TRA balance'!$D$5:$D$40,Assumptions!$B97)*EK97*AT97,"")</f>
        <v>0</v>
      </c>
      <c r="CQ97" s="34">
        <f ca="1">IFERROR(SUMIFS('TRA balance'!AR$5:AR$40,'TRA balance'!$C$5:$C$40,Assumptions!$C97,'TRA balance'!$D$5:$D$40,Assumptions!$B97)*EL97*AU97,"")</f>
        <v>0</v>
      </c>
      <c r="CR97" s="34">
        <f ca="1">IFERROR(SUMIFS('TRA balance'!AS$5:AS$40,'TRA balance'!$C$5:$C$40,Assumptions!$C97,'TRA balance'!$D$5:$D$40,Assumptions!$B97)*EM97*AV97,"")</f>
        <v>0</v>
      </c>
      <c r="CS97" s="34">
        <f ca="1">IFERROR(SUMIFS('TRA balance'!AT$5:AT$40,'TRA balance'!$C$5:$C$40,Assumptions!$C97,'TRA balance'!$D$5:$D$40,Assumptions!$B97)*EN97*AW97,"")</f>
        <v>0</v>
      </c>
      <c r="CT97" s="34">
        <f ca="1">IFERROR(SUMIFS('TRA balance'!AU$5:AU$40,'TRA balance'!$C$5:$C$40,Assumptions!$C97,'TRA balance'!$D$5:$D$40,Assumptions!$B97)*EO97*AX97,"")</f>
        <v>0</v>
      </c>
      <c r="CU97" s="34">
        <f ca="1">IFERROR(SUMIFS('TRA balance'!AV$5:AV$40,'TRA balance'!$C$5:$C$40,Assumptions!$C97,'TRA balance'!$D$5:$D$40,Assumptions!$B97)*EP97*AY97,"")</f>
        <v>0</v>
      </c>
      <c r="CV97" s="34">
        <f ca="1">IFERROR(SUMIFS('TRA balance'!AW$5:AW$40,'TRA balance'!$C$5:$C$40,Assumptions!$C97,'TRA balance'!$D$5:$D$40,Assumptions!$B97)*EQ97*AZ97,"")</f>
        <v>0</v>
      </c>
      <c r="CW97" s="34">
        <f ca="1">IFERROR(SUMIFS('TRA balance'!AX$5:AX$40,'TRA balance'!$C$5:$C$40,Assumptions!$C97,'TRA balance'!$D$5:$D$40,Assumptions!$B97)*ER97*BA97,"")</f>
        <v>0</v>
      </c>
      <c r="CY97" s="33">
        <f t="shared" ca="1" si="86"/>
        <v>1</v>
      </c>
      <c r="CZ97" s="33">
        <f t="shared" ca="1" si="87"/>
        <v>1</v>
      </c>
      <c r="DA97" s="33">
        <f t="shared" ca="1" si="88"/>
        <v>0</v>
      </c>
      <c r="DB97" s="33">
        <f t="shared" ca="1" si="89"/>
        <v>0</v>
      </c>
      <c r="DC97" s="33">
        <f t="shared" ca="1" si="90"/>
        <v>1</v>
      </c>
      <c r="DD97" s="33">
        <f t="shared" ca="1" si="91"/>
        <v>0</v>
      </c>
      <c r="DE97" s="33">
        <f t="shared" ca="1" si="92"/>
        <v>0.5</v>
      </c>
      <c r="DF97" s="33">
        <f t="shared" ca="1" si="93"/>
        <v>0.19999999999999996</v>
      </c>
      <c r="DG97" s="33">
        <f t="shared" ca="1" si="94"/>
        <v>1</v>
      </c>
      <c r="DH97" s="33">
        <f t="shared" ca="1" si="95"/>
        <v>1</v>
      </c>
      <c r="DI97" s="33">
        <f t="shared" ca="1" si="96"/>
        <v>0</v>
      </c>
      <c r="DJ97" s="33">
        <f t="shared" ca="1" si="97"/>
        <v>0</v>
      </c>
      <c r="DK97" s="33">
        <f t="shared" ca="1" si="98"/>
        <v>0</v>
      </c>
      <c r="DL97" s="33">
        <f t="shared" ca="1" si="99"/>
        <v>1</v>
      </c>
      <c r="DM97" s="33">
        <f t="shared" ca="1" si="100"/>
        <v>0</v>
      </c>
      <c r="DN97" s="33">
        <f t="shared" ca="1" si="101"/>
        <v>1</v>
      </c>
      <c r="DO97" s="33">
        <f t="shared" ca="1" si="102"/>
        <v>0</v>
      </c>
      <c r="DP97" s="33">
        <f t="shared" ca="1" si="103"/>
        <v>0</v>
      </c>
      <c r="DQ97" s="33">
        <f t="shared" ca="1" si="104"/>
        <v>0</v>
      </c>
      <c r="DR97" s="33">
        <f t="shared" ca="1" si="105"/>
        <v>0.5</v>
      </c>
      <c r="DS97" s="33">
        <f t="shared" ca="1" si="106"/>
        <v>1</v>
      </c>
      <c r="DT97" s="33">
        <f t="shared" ca="1" si="107"/>
        <v>0</v>
      </c>
      <c r="DU97" s="33">
        <f t="shared" ca="1" si="108"/>
        <v>0</v>
      </c>
      <c r="DV97" s="33">
        <f t="shared" ca="1" si="109"/>
        <v>1</v>
      </c>
      <c r="DW97" s="33">
        <f t="shared" ca="1" si="110"/>
        <v>0</v>
      </c>
      <c r="DX97" s="33">
        <f t="shared" ca="1" si="111"/>
        <v>1</v>
      </c>
      <c r="DY97" s="33">
        <f t="shared" ca="1" si="112"/>
        <v>1</v>
      </c>
      <c r="DZ97" s="33">
        <f t="shared" ca="1" si="113"/>
        <v>1</v>
      </c>
      <c r="EA97" s="33">
        <f t="shared" ca="1" si="114"/>
        <v>0</v>
      </c>
      <c r="EB97" s="33">
        <f t="shared" ca="1" si="115"/>
        <v>0</v>
      </c>
      <c r="EC97" s="33">
        <f t="shared" ca="1" si="116"/>
        <v>0</v>
      </c>
      <c r="ED97" s="33">
        <f t="shared" ca="1" si="117"/>
        <v>1</v>
      </c>
      <c r="EE97" s="33">
        <f t="shared" ca="1" si="118"/>
        <v>0</v>
      </c>
      <c r="EF97" s="33">
        <f t="shared" ca="1" si="119"/>
        <v>1</v>
      </c>
      <c r="EG97" s="33">
        <f t="shared" ca="1" si="120"/>
        <v>1</v>
      </c>
      <c r="EH97" s="33">
        <f t="shared" ca="1" si="121"/>
        <v>0</v>
      </c>
      <c r="EI97" s="33">
        <f t="shared" ca="1" si="122"/>
        <v>0</v>
      </c>
      <c r="EJ97" s="33">
        <f t="shared" ca="1" si="123"/>
        <v>0</v>
      </c>
      <c r="EK97" s="33">
        <f t="shared" ca="1" si="124"/>
        <v>0</v>
      </c>
      <c r="EL97" s="33">
        <f t="shared" ca="1" si="125"/>
        <v>0</v>
      </c>
      <c r="EM97" s="33">
        <f t="shared" ca="1" si="126"/>
        <v>0</v>
      </c>
      <c r="EN97" s="33">
        <f t="shared" ca="1" si="127"/>
        <v>0</v>
      </c>
      <c r="EO97" s="33">
        <f t="shared" ca="1" si="128"/>
        <v>0</v>
      </c>
      <c r="EP97" s="33">
        <f t="shared" ca="1" si="129"/>
        <v>0</v>
      </c>
      <c r="EQ97" s="33">
        <f t="shared" ca="1" si="130"/>
        <v>0</v>
      </c>
      <c r="ER97" s="33">
        <f t="shared" ca="1" si="131"/>
        <v>0</v>
      </c>
    </row>
    <row r="98" spans="1:148">
      <c r="A98">
        <v>2</v>
      </c>
      <c r="B98" t="str">
        <f>VLOOKUP(F98,'TRA balance'!$BA$5:$BB$14,2,FALSE)</f>
        <v>TRAELC</v>
      </c>
      <c r="C98" s="6" t="str">
        <f t="shared" si="133"/>
        <v>TR</v>
      </c>
      <c r="D98" s="7" t="s">
        <v>16</v>
      </c>
      <c r="E98" s="18" t="s">
        <v>75</v>
      </c>
      <c r="F98" s="8" t="str">
        <f t="shared" si="146"/>
        <v>Electricity</v>
      </c>
      <c r="G98" s="6" t="s">
        <v>76</v>
      </c>
      <c r="H98" s="9">
        <f ca="1">OFFSET(TIAM15_assumptions!$G98,0,MATCH(VLOOKUP(Assumptions!H$2,TIAM15_assumptions!$Y$3:$Z$87,2,FALSE),TIAM15_assumptions!$H$2:$V$2,0))</f>
        <v>0</v>
      </c>
      <c r="I98" s="9">
        <f ca="1">OFFSET(TIAM15_assumptions!$G98,0,MATCH(VLOOKUP(Assumptions!I$2,TIAM15_assumptions!$Y$3:$Z$87,2,FALSE),TIAM15_assumptions!$H$2:$V$2,0))</f>
        <v>0</v>
      </c>
      <c r="J98" s="9">
        <f ca="1">OFFSET(TIAM15_assumptions!$G98,0,MATCH(VLOOKUP(Assumptions!J$2,TIAM15_assumptions!$Y$3:$Z$87,2,FALSE),TIAM15_assumptions!$H$2:$V$2,0))</f>
        <v>0</v>
      </c>
      <c r="K98" s="9">
        <f ca="1">OFFSET(TIAM15_assumptions!$G98,0,MATCH(VLOOKUP(Assumptions!K$2,TIAM15_assumptions!$Y$3:$Z$87,2,FALSE),TIAM15_assumptions!$H$2:$V$2,0))</f>
        <v>0</v>
      </c>
      <c r="L98" s="9">
        <f ca="1">OFFSET(TIAM15_assumptions!$G98,0,MATCH(VLOOKUP(Assumptions!L$2,TIAM15_assumptions!$Y$3:$Z$87,2,FALSE),TIAM15_assumptions!$H$2:$V$2,0))</f>
        <v>0</v>
      </c>
      <c r="M98" s="9">
        <f ca="1">OFFSET(TIAM15_assumptions!$G98,0,MATCH(VLOOKUP(Assumptions!M$2,TIAM15_assumptions!$Y$3:$Z$87,2,FALSE),TIAM15_assumptions!$H$2:$V$2,0))</f>
        <v>0</v>
      </c>
      <c r="N98" s="9">
        <f ca="1">OFFSET(TIAM15_assumptions!$G98,0,MATCH(VLOOKUP(Assumptions!N$2,TIAM15_assumptions!$Y$3:$Z$87,2,FALSE),TIAM15_assumptions!$H$2:$V$2,0))</f>
        <v>0</v>
      </c>
      <c r="O98" s="9">
        <f ca="1">OFFSET(TIAM15_assumptions!$G98,0,MATCH(VLOOKUP(Assumptions!O$2,TIAM15_assumptions!$Y$3:$Z$87,2,FALSE),TIAM15_assumptions!$H$2:$V$2,0))</f>
        <v>0</v>
      </c>
      <c r="P98" s="9">
        <f ca="1">OFFSET(TIAM15_assumptions!$G98,0,MATCH(VLOOKUP(Assumptions!P$2,TIAM15_assumptions!$Y$3:$Z$87,2,FALSE),TIAM15_assumptions!$H$2:$V$2,0))</f>
        <v>0</v>
      </c>
      <c r="Q98" s="9">
        <f ca="1">OFFSET(TIAM15_assumptions!$G98,0,MATCH(VLOOKUP(Assumptions!Q$2,TIAM15_assumptions!$Y$3:$Z$87,2,FALSE),TIAM15_assumptions!$H$2:$V$2,0))</f>
        <v>0</v>
      </c>
      <c r="R98" s="9">
        <f ca="1">OFFSET(TIAM15_assumptions!$G98,0,MATCH(VLOOKUP(Assumptions!R$2,TIAM15_assumptions!$Y$3:$Z$87,2,FALSE),TIAM15_assumptions!$H$2:$V$2,0))</f>
        <v>0</v>
      </c>
      <c r="S98" s="9">
        <f ca="1">OFFSET(TIAM15_assumptions!$G98,0,MATCH(VLOOKUP(Assumptions!S$2,TIAM15_assumptions!$Y$3:$Z$87,2,FALSE),TIAM15_assumptions!$H$2:$V$2,0))</f>
        <v>0</v>
      </c>
      <c r="T98" s="9">
        <f ca="1">OFFSET(TIAM15_assumptions!$G98,0,MATCH(VLOOKUP(Assumptions!T$2,TIAM15_assumptions!$Y$3:$Z$87,2,FALSE),TIAM15_assumptions!$H$2:$V$2,0))</f>
        <v>0</v>
      </c>
      <c r="U98" s="9">
        <f ca="1">OFFSET(TIAM15_assumptions!$G98,0,MATCH(VLOOKUP(Assumptions!U$2,TIAM15_assumptions!$Y$3:$Z$87,2,FALSE),TIAM15_assumptions!$H$2:$V$2,0))</f>
        <v>0</v>
      </c>
      <c r="V98" s="9">
        <f ca="1">OFFSET(TIAM15_assumptions!$G98,0,MATCH(VLOOKUP(Assumptions!V$2,TIAM15_assumptions!$Y$3:$Z$87,2,FALSE),TIAM15_assumptions!$H$2:$V$2,0))</f>
        <v>0</v>
      </c>
      <c r="W98" s="9">
        <f ca="1">OFFSET(TIAM15_assumptions!$G98,0,MATCH(VLOOKUP(Assumptions!W$2,TIAM15_assumptions!$Y$3:$Z$87,2,FALSE),TIAM15_assumptions!$H$2:$V$2,0))</f>
        <v>0</v>
      </c>
      <c r="X98" s="9">
        <f ca="1">OFFSET(TIAM15_assumptions!$G98,0,MATCH(VLOOKUP(Assumptions!X$2,TIAM15_assumptions!$Y$3:$Z$87,2,FALSE),TIAM15_assumptions!$H$2:$V$2,0))</f>
        <v>0</v>
      </c>
      <c r="Y98" s="9">
        <f ca="1">OFFSET(TIAM15_assumptions!$G98,0,MATCH(VLOOKUP(Assumptions!Y$2,TIAM15_assumptions!$Y$3:$Z$87,2,FALSE),TIAM15_assumptions!$H$2:$V$2,0))</f>
        <v>0</v>
      </c>
      <c r="Z98" s="9">
        <f ca="1">OFFSET(TIAM15_assumptions!$G98,0,MATCH(VLOOKUP(Assumptions!Z$2,TIAM15_assumptions!$Y$3:$Z$87,2,FALSE),TIAM15_assumptions!$H$2:$V$2,0))</f>
        <v>0</v>
      </c>
      <c r="AA98" s="9">
        <f ca="1">OFFSET(TIAM15_assumptions!$G98,0,MATCH(VLOOKUP(Assumptions!AA$2,TIAM15_assumptions!$Y$3:$Z$87,2,FALSE),TIAM15_assumptions!$H$2:$V$2,0))</f>
        <v>0</v>
      </c>
      <c r="AB98" s="9">
        <f ca="1">OFFSET(TIAM15_assumptions!$G98,0,MATCH(VLOOKUP(Assumptions!AB$2,TIAM15_assumptions!$Y$3:$Z$87,2,FALSE),TIAM15_assumptions!$H$2:$V$2,0))</f>
        <v>0</v>
      </c>
      <c r="AC98" s="9">
        <f ca="1">OFFSET(TIAM15_assumptions!$G98,0,MATCH(VLOOKUP(Assumptions!AC$2,TIAM15_assumptions!$Y$3:$Z$87,2,FALSE),TIAM15_assumptions!$H$2:$V$2,0))</f>
        <v>0</v>
      </c>
      <c r="AD98" s="9">
        <f ca="1">OFFSET(TIAM15_assumptions!$G98,0,MATCH(VLOOKUP(Assumptions!AD$2,TIAM15_assumptions!$Y$3:$Z$87,2,FALSE),TIAM15_assumptions!$H$2:$V$2,0))</f>
        <v>0</v>
      </c>
      <c r="AE98" s="9">
        <f ca="1">OFFSET(TIAM15_assumptions!$G98,0,MATCH(VLOOKUP(Assumptions!AE$2,TIAM15_assumptions!$Y$3:$Z$87,2,FALSE),TIAM15_assumptions!$H$2:$V$2,0))</f>
        <v>0</v>
      </c>
      <c r="AF98" s="9">
        <f ca="1">OFFSET(TIAM15_assumptions!$G98,0,MATCH(VLOOKUP(Assumptions!AF$2,TIAM15_assumptions!$Y$3:$Z$87,2,FALSE),TIAM15_assumptions!$H$2:$V$2,0))</f>
        <v>0</v>
      </c>
      <c r="AG98" s="9">
        <f ca="1">OFFSET(TIAM15_assumptions!$G98,0,MATCH(VLOOKUP(Assumptions!AG$2,TIAM15_assumptions!$Y$3:$Z$87,2,FALSE),TIAM15_assumptions!$H$2:$V$2,0))</f>
        <v>0</v>
      </c>
      <c r="AH98" s="9">
        <f ca="1">OFFSET(TIAM15_assumptions!$G98,0,MATCH(VLOOKUP(Assumptions!AH$2,TIAM15_assumptions!$Y$3:$Z$87,2,FALSE),TIAM15_assumptions!$H$2:$V$2,0))</f>
        <v>0</v>
      </c>
      <c r="AI98" s="9">
        <f ca="1">OFFSET(TIAM15_assumptions!$G98,0,MATCH(VLOOKUP(Assumptions!AI$2,TIAM15_assumptions!$Y$3:$Z$87,2,FALSE),TIAM15_assumptions!$H$2:$V$2,0))</f>
        <v>0</v>
      </c>
      <c r="AJ98" s="9">
        <f ca="1">OFFSET(TIAM15_assumptions!$G98,0,MATCH(VLOOKUP(Assumptions!AJ$2,TIAM15_assumptions!$Y$3:$Z$87,2,FALSE),TIAM15_assumptions!$H$2:$V$2,0))</f>
        <v>0</v>
      </c>
      <c r="AK98" s="9">
        <f ca="1">OFFSET(TIAM15_assumptions!$G98,0,MATCH(VLOOKUP(Assumptions!AK$2,TIAM15_assumptions!$Y$3:$Z$87,2,FALSE),TIAM15_assumptions!$H$2:$V$2,0))</f>
        <v>0</v>
      </c>
      <c r="AL98" s="9">
        <f ca="1">OFFSET(TIAM15_assumptions!$G98,0,MATCH(VLOOKUP(Assumptions!AL$2,TIAM15_assumptions!$Y$3:$Z$87,2,FALSE),TIAM15_assumptions!$H$2:$V$2,0))</f>
        <v>0</v>
      </c>
      <c r="AM98" s="9">
        <f ca="1">OFFSET(TIAM15_assumptions!$G98,0,MATCH(VLOOKUP(Assumptions!AM$2,TIAM15_assumptions!$Y$3:$Z$87,2,FALSE),TIAM15_assumptions!$H$2:$V$2,0))</f>
        <v>0</v>
      </c>
      <c r="AN98" s="9">
        <f ca="1">OFFSET(TIAM15_assumptions!$G98,0,MATCH(VLOOKUP(Assumptions!AN$2,TIAM15_assumptions!$Y$3:$Z$87,2,FALSE),TIAM15_assumptions!$H$2:$V$2,0))</f>
        <v>0</v>
      </c>
      <c r="AO98" s="9">
        <f ca="1">OFFSET(TIAM15_assumptions!$G98,0,MATCH(VLOOKUP(Assumptions!AO$2,TIAM15_assumptions!$Y$3:$Z$87,2,FALSE),TIAM15_assumptions!$H$2:$V$2,0))</f>
        <v>0</v>
      </c>
      <c r="AP98" s="9">
        <f ca="1">OFFSET(TIAM15_assumptions!$G98,0,MATCH(VLOOKUP(Assumptions!AP$2,TIAM15_assumptions!$Y$3:$Z$87,2,FALSE),TIAM15_assumptions!$H$2:$V$2,0))</f>
        <v>0</v>
      </c>
      <c r="AQ98" s="9">
        <f ca="1">OFFSET(TIAM15_assumptions!$G98,0,MATCH(VLOOKUP(Assumptions!AQ$2,TIAM15_assumptions!$Y$3:$Z$87,2,FALSE),TIAM15_assumptions!$H$2:$V$2,0))</f>
        <v>0</v>
      </c>
      <c r="AR98" s="9">
        <f ca="1">OFFSET(TIAM15_assumptions!$G98,0,MATCH(VLOOKUP(Assumptions!AR$2,TIAM15_assumptions!$Y$3:$Z$87,2,FALSE),TIAM15_assumptions!$H$2:$V$2,0))</f>
        <v>0</v>
      </c>
      <c r="AS98" s="9">
        <f ca="1">OFFSET(TIAM15_assumptions!$G98,0,MATCH(VLOOKUP(Assumptions!AS$2,TIAM15_assumptions!$Y$3:$Z$87,2,FALSE),TIAM15_assumptions!$H$2:$V$2,0))</f>
        <v>0</v>
      </c>
      <c r="AT98" s="9">
        <f ca="1">OFFSET(TIAM15_assumptions!$G98,0,MATCH(VLOOKUP(Assumptions!AT$2,TIAM15_assumptions!$Y$3:$Z$87,2,FALSE),TIAM15_assumptions!$H$2:$V$2,0))</f>
        <v>0</v>
      </c>
      <c r="AU98" s="9">
        <f ca="1">OFFSET(TIAM15_assumptions!$G98,0,MATCH(VLOOKUP(Assumptions!AU$2,TIAM15_assumptions!$Y$3:$Z$87,2,FALSE),TIAM15_assumptions!$H$2:$V$2,0))</f>
        <v>0</v>
      </c>
      <c r="AV98" s="9">
        <f ca="1">OFFSET(TIAM15_assumptions!$G98,0,MATCH(VLOOKUP(Assumptions!AV$2,TIAM15_assumptions!$Y$3:$Z$87,2,FALSE),TIAM15_assumptions!$H$2:$V$2,0))</f>
        <v>0</v>
      </c>
      <c r="AW98" s="9">
        <f ca="1">OFFSET(TIAM15_assumptions!$G98,0,MATCH(VLOOKUP(Assumptions!AW$2,TIAM15_assumptions!$Y$3:$Z$87,2,FALSE),TIAM15_assumptions!$H$2:$V$2,0))</f>
        <v>0</v>
      </c>
      <c r="AX98" s="9">
        <f ca="1">OFFSET(TIAM15_assumptions!$G98,0,MATCH(VLOOKUP(Assumptions!AX$2,TIAM15_assumptions!$Y$3:$Z$87,2,FALSE),TIAM15_assumptions!$H$2:$V$2,0))</f>
        <v>0</v>
      </c>
      <c r="AY98" s="9">
        <f ca="1">OFFSET(TIAM15_assumptions!$G98,0,MATCH(VLOOKUP(Assumptions!AY$2,TIAM15_assumptions!$Y$3:$Z$87,2,FALSE),TIAM15_assumptions!$H$2:$V$2,0))</f>
        <v>0</v>
      </c>
      <c r="AZ98" s="9">
        <f ca="1">OFFSET(TIAM15_assumptions!$G98,0,MATCH(VLOOKUP(Assumptions!AZ$2,TIAM15_assumptions!$Y$3:$Z$87,2,FALSE),TIAM15_assumptions!$H$2:$V$2,0))</f>
        <v>0</v>
      </c>
      <c r="BA98" s="9">
        <f ca="1">OFFSET(TIAM15_assumptions!$G98,0,MATCH(VLOOKUP(Assumptions!BA$2,TIAM15_assumptions!$Y$3:$Z$87,2,FALSE),TIAM15_assumptions!$H$2:$V$2,0))</f>
        <v>0</v>
      </c>
      <c r="BD98" s="34">
        <f ca="1">IFERROR(SUMIFS('TRA balance'!E$5:E$40,'TRA balance'!$C$5:$C$40,Assumptions!$C98,'TRA balance'!$D$5:$D$40,Assumptions!$B98)*CY98*H98,"")</f>
        <v>0</v>
      </c>
      <c r="BE98" s="34">
        <f ca="1">IFERROR(SUMIFS('TRA balance'!F$5:F$40,'TRA balance'!$C$5:$C$40,Assumptions!$C98,'TRA balance'!$D$5:$D$40,Assumptions!$B98)*CZ98*I98,"")</f>
        <v>0</v>
      </c>
      <c r="BF98" s="34">
        <f ca="1">IFERROR(SUMIFS('TRA balance'!G$5:G$40,'TRA balance'!$C$5:$C$40,Assumptions!$C98,'TRA balance'!$D$5:$D$40,Assumptions!$B98)*DA98*J98,"")</f>
        <v>0</v>
      </c>
      <c r="BG98" s="34">
        <f ca="1">IFERROR(SUMIFS('TRA balance'!H$5:H$40,'TRA balance'!$C$5:$C$40,Assumptions!$C98,'TRA balance'!$D$5:$D$40,Assumptions!$B98)*DB98*K98,"")</f>
        <v>0</v>
      </c>
      <c r="BH98" s="34">
        <f ca="1">IFERROR(SUMIFS('TRA balance'!I$5:I$40,'TRA balance'!$C$5:$C$40,Assumptions!$C98,'TRA balance'!$D$5:$D$40,Assumptions!$B98)*DC98*L98,"")</f>
        <v>0</v>
      </c>
      <c r="BI98" s="34">
        <f ca="1">IFERROR(SUMIFS('TRA balance'!J$5:J$40,'TRA balance'!$C$5:$C$40,Assumptions!$C98,'TRA balance'!$D$5:$D$40,Assumptions!$B98)*DD98*M98,"")</f>
        <v>0</v>
      </c>
      <c r="BJ98" s="34">
        <f ca="1">IFERROR(SUMIFS('TRA balance'!K$5:K$40,'TRA balance'!$C$5:$C$40,Assumptions!$C98,'TRA balance'!$D$5:$D$40,Assumptions!$B98)*DE98*N98,"")</f>
        <v>0</v>
      </c>
      <c r="BK98" s="34">
        <f ca="1">IFERROR(SUMIFS('TRA balance'!L$5:L$40,'TRA balance'!$C$5:$C$40,Assumptions!$C98,'TRA balance'!$D$5:$D$40,Assumptions!$B98)*DF98*O98,"")</f>
        <v>0</v>
      </c>
      <c r="BL98" s="34">
        <f ca="1">IFERROR(SUMIFS('TRA balance'!M$5:M$40,'TRA balance'!$C$5:$C$40,Assumptions!$C98,'TRA balance'!$D$5:$D$40,Assumptions!$B98)*DG98*P98,"")</f>
        <v>0</v>
      </c>
      <c r="BM98" s="34">
        <f ca="1">IFERROR(SUMIFS('TRA balance'!N$5:N$40,'TRA balance'!$C$5:$C$40,Assumptions!$C98,'TRA balance'!$D$5:$D$40,Assumptions!$B98)*DH98*Q98,"")</f>
        <v>0</v>
      </c>
      <c r="BN98" s="34">
        <f ca="1">IFERROR(SUMIFS('TRA balance'!O$5:O$40,'TRA balance'!$C$5:$C$40,Assumptions!$C98,'TRA balance'!$D$5:$D$40,Assumptions!$B98)*DI98*R98,"")</f>
        <v>0</v>
      </c>
      <c r="BO98" s="34">
        <f ca="1">IFERROR(SUMIFS('TRA balance'!P$5:P$40,'TRA balance'!$C$5:$C$40,Assumptions!$C98,'TRA balance'!$D$5:$D$40,Assumptions!$B98)*DJ98*S98,"")</f>
        <v>0</v>
      </c>
      <c r="BP98" s="34">
        <f ca="1">IFERROR(SUMIFS('TRA balance'!Q$5:Q$40,'TRA balance'!$C$5:$C$40,Assumptions!$C98,'TRA balance'!$D$5:$D$40,Assumptions!$B98)*DK98*T98,"")</f>
        <v>0</v>
      </c>
      <c r="BQ98" s="34">
        <f ca="1">IFERROR(SUMIFS('TRA balance'!R$5:R$40,'TRA balance'!$C$5:$C$40,Assumptions!$C98,'TRA balance'!$D$5:$D$40,Assumptions!$B98)*DL98*U98,"")</f>
        <v>0</v>
      </c>
      <c r="BR98" s="34">
        <f ca="1">IFERROR(SUMIFS('TRA balance'!S$5:S$40,'TRA balance'!$C$5:$C$40,Assumptions!$C98,'TRA balance'!$D$5:$D$40,Assumptions!$B98)*DM98*V98,"")</f>
        <v>0</v>
      </c>
      <c r="BS98" s="34">
        <f ca="1">IFERROR(SUMIFS('TRA balance'!T$5:T$40,'TRA balance'!$C$5:$C$40,Assumptions!$C98,'TRA balance'!$D$5:$D$40,Assumptions!$B98)*DN98*W98,"")</f>
        <v>0</v>
      </c>
      <c r="BT98" s="34">
        <f ca="1">IFERROR(SUMIFS('TRA balance'!U$5:U$40,'TRA balance'!$C$5:$C$40,Assumptions!$C98,'TRA balance'!$D$5:$D$40,Assumptions!$B98)*DO98*X98,"")</f>
        <v>0</v>
      </c>
      <c r="BU98" s="34">
        <f ca="1">IFERROR(SUMIFS('TRA balance'!V$5:V$40,'TRA balance'!$C$5:$C$40,Assumptions!$C98,'TRA balance'!$D$5:$D$40,Assumptions!$B98)*DP98*Y98,"")</f>
        <v>0</v>
      </c>
      <c r="BV98" s="34">
        <f ca="1">IFERROR(SUMIFS('TRA balance'!W$5:W$40,'TRA balance'!$C$5:$C$40,Assumptions!$C98,'TRA balance'!$D$5:$D$40,Assumptions!$B98)*DQ98*Z98,"")</f>
        <v>0</v>
      </c>
      <c r="BW98" s="34">
        <f ca="1">IFERROR(SUMIFS('TRA balance'!X$5:X$40,'TRA balance'!$C$5:$C$40,Assumptions!$C98,'TRA balance'!$D$5:$D$40,Assumptions!$B98)*DR98*AA98,"")</f>
        <v>0</v>
      </c>
      <c r="BX98" s="34">
        <f ca="1">IFERROR(SUMIFS('TRA balance'!Y$5:Y$40,'TRA balance'!$C$5:$C$40,Assumptions!$C98,'TRA balance'!$D$5:$D$40,Assumptions!$B98)*DS98*AB98,"")</f>
        <v>0</v>
      </c>
      <c r="BY98" s="34">
        <f ca="1">IFERROR(SUMIFS('TRA balance'!Z$5:Z$40,'TRA balance'!$C$5:$C$40,Assumptions!$C98,'TRA balance'!$D$5:$D$40,Assumptions!$B98)*DT98*AC98,"")</f>
        <v>0</v>
      </c>
      <c r="BZ98" s="34">
        <f ca="1">IFERROR(SUMIFS('TRA balance'!AA$5:AA$40,'TRA balance'!$C$5:$C$40,Assumptions!$C98,'TRA balance'!$D$5:$D$40,Assumptions!$B98)*DU98*AD98,"")</f>
        <v>0</v>
      </c>
      <c r="CA98" s="34">
        <f ca="1">IFERROR(SUMIFS('TRA balance'!AB$5:AB$40,'TRA balance'!$C$5:$C$40,Assumptions!$C98,'TRA balance'!$D$5:$D$40,Assumptions!$B98)*DV98*AE98,"")</f>
        <v>0</v>
      </c>
      <c r="CB98" s="34">
        <f ca="1">IFERROR(SUMIFS('TRA balance'!AC$5:AC$40,'TRA balance'!$C$5:$C$40,Assumptions!$C98,'TRA balance'!$D$5:$D$40,Assumptions!$B98)*DW98*AF98,"")</f>
        <v>0</v>
      </c>
      <c r="CC98" s="34">
        <f ca="1">IFERROR(SUMIFS('TRA balance'!AD$5:AD$40,'TRA balance'!$C$5:$C$40,Assumptions!$C98,'TRA balance'!$D$5:$D$40,Assumptions!$B98)*DX98*AG98,"")</f>
        <v>0</v>
      </c>
      <c r="CD98" s="34">
        <f ca="1">IFERROR(SUMIFS('TRA balance'!AE$5:AE$40,'TRA balance'!$C$5:$C$40,Assumptions!$C98,'TRA balance'!$D$5:$D$40,Assumptions!$B98)*DY98*AH98,"")</f>
        <v>0</v>
      </c>
      <c r="CE98" s="34">
        <f ca="1">IFERROR(SUMIFS('TRA balance'!AF$5:AF$40,'TRA balance'!$C$5:$C$40,Assumptions!$C98,'TRA balance'!$D$5:$D$40,Assumptions!$B98)*DZ98*AI98,"")</f>
        <v>0</v>
      </c>
      <c r="CF98" s="34">
        <f ca="1">IFERROR(SUMIFS('TRA balance'!AG$5:AG$40,'TRA balance'!$C$5:$C$40,Assumptions!$C98,'TRA balance'!$D$5:$D$40,Assumptions!$B98)*EA98*AJ98,"")</f>
        <v>0</v>
      </c>
      <c r="CG98" s="34">
        <f ca="1">IFERROR(SUMIFS('TRA balance'!AH$5:AH$40,'TRA balance'!$C$5:$C$40,Assumptions!$C98,'TRA balance'!$D$5:$D$40,Assumptions!$B98)*EB98*AK98,"")</f>
        <v>0</v>
      </c>
      <c r="CH98" s="34">
        <f ca="1">IFERROR(SUMIFS('TRA balance'!AI$5:AI$40,'TRA balance'!$C$5:$C$40,Assumptions!$C98,'TRA balance'!$D$5:$D$40,Assumptions!$B98)*EC98*AL98,"")</f>
        <v>0</v>
      </c>
      <c r="CI98" s="34">
        <f ca="1">IFERROR(SUMIFS('TRA balance'!AJ$5:AJ$40,'TRA balance'!$C$5:$C$40,Assumptions!$C98,'TRA balance'!$D$5:$D$40,Assumptions!$B98)*ED98*AM98,"")</f>
        <v>0</v>
      </c>
      <c r="CJ98" s="34">
        <f ca="1">IFERROR(SUMIFS('TRA balance'!AK$5:AK$40,'TRA balance'!$C$5:$C$40,Assumptions!$C98,'TRA balance'!$D$5:$D$40,Assumptions!$B98)*EE98*AN98,"")</f>
        <v>0</v>
      </c>
      <c r="CK98" s="34">
        <f ca="1">IFERROR(SUMIFS('TRA balance'!AL$5:AL$40,'TRA balance'!$C$5:$C$40,Assumptions!$C98,'TRA balance'!$D$5:$D$40,Assumptions!$B98)*EF98*AO98,"")</f>
        <v>0</v>
      </c>
      <c r="CL98" s="34">
        <f ca="1">IFERROR(SUMIFS('TRA balance'!AM$5:AM$40,'TRA balance'!$C$5:$C$40,Assumptions!$C98,'TRA balance'!$D$5:$D$40,Assumptions!$B98)*EG98*AP98,"")</f>
        <v>0</v>
      </c>
      <c r="CM98" s="34">
        <f ca="1">IFERROR(SUMIFS('TRA balance'!AN$5:AN$40,'TRA balance'!$C$5:$C$40,Assumptions!$C98,'TRA balance'!$D$5:$D$40,Assumptions!$B98)*EH98*AQ98,"")</f>
        <v>0</v>
      </c>
      <c r="CN98" s="34">
        <f ca="1">IFERROR(SUMIFS('TRA balance'!AO$5:AO$40,'TRA balance'!$C$5:$C$40,Assumptions!$C98,'TRA balance'!$D$5:$D$40,Assumptions!$B98)*EI98*AR98,"")</f>
        <v>0</v>
      </c>
      <c r="CO98" s="34">
        <f ca="1">IFERROR(SUMIFS('TRA balance'!AP$5:AP$40,'TRA balance'!$C$5:$C$40,Assumptions!$C98,'TRA balance'!$D$5:$D$40,Assumptions!$B98)*EJ98*AS98,"")</f>
        <v>0</v>
      </c>
      <c r="CP98" s="34">
        <f ca="1">IFERROR(SUMIFS('TRA balance'!AQ$5:AQ$40,'TRA balance'!$C$5:$C$40,Assumptions!$C98,'TRA balance'!$D$5:$D$40,Assumptions!$B98)*EK98*AT98,"")</f>
        <v>0</v>
      </c>
      <c r="CQ98" s="34">
        <f ca="1">IFERROR(SUMIFS('TRA balance'!AR$5:AR$40,'TRA balance'!$C$5:$C$40,Assumptions!$C98,'TRA balance'!$D$5:$D$40,Assumptions!$B98)*EL98*AU98,"")</f>
        <v>0</v>
      </c>
      <c r="CR98" s="34">
        <f ca="1">IFERROR(SUMIFS('TRA balance'!AS$5:AS$40,'TRA balance'!$C$5:$C$40,Assumptions!$C98,'TRA balance'!$D$5:$D$40,Assumptions!$B98)*EM98*AV98,"")</f>
        <v>0</v>
      </c>
      <c r="CS98" s="34">
        <f ca="1">IFERROR(SUMIFS('TRA balance'!AT$5:AT$40,'TRA balance'!$C$5:$C$40,Assumptions!$C98,'TRA balance'!$D$5:$D$40,Assumptions!$B98)*EN98*AW98,"")</f>
        <v>0</v>
      </c>
      <c r="CT98" s="34">
        <f ca="1">IFERROR(SUMIFS('TRA balance'!AU$5:AU$40,'TRA balance'!$C$5:$C$40,Assumptions!$C98,'TRA balance'!$D$5:$D$40,Assumptions!$B98)*EO98*AX98,"")</f>
        <v>0</v>
      </c>
      <c r="CU98" s="34">
        <f ca="1">IFERROR(SUMIFS('TRA balance'!AV$5:AV$40,'TRA balance'!$C$5:$C$40,Assumptions!$C98,'TRA balance'!$D$5:$D$40,Assumptions!$B98)*EP98*AY98,"")</f>
        <v>0</v>
      </c>
      <c r="CV98" s="34">
        <f ca="1">IFERROR(SUMIFS('TRA balance'!AW$5:AW$40,'TRA balance'!$C$5:$C$40,Assumptions!$C98,'TRA balance'!$D$5:$D$40,Assumptions!$B98)*EQ98*AZ98,"")</f>
        <v>0</v>
      </c>
      <c r="CW98" s="34">
        <f ca="1">IFERROR(SUMIFS('TRA balance'!AX$5:AX$40,'TRA balance'!$C$5:$C$40,Assumptions!$C98,'TRA balance'!$D$5:$D$40,Assumptions!$B98)*ER98*BA98,"")</f>
        <v>0</v>
      </c>
      <c r="CY98" s="33">
        <f t="shared" ca="1" si="86"/>
        <v>1</v>
      </c>
      <c r="CZ98" s="33">
        <f t="shared" ca="1" si="87"/>
        <v>1</v>
      </c>
      <c r="DA98" s="33">
        <f t="shared" ca="1" si="88"/>
        <v>0</v>
      </c>
      <c r="DB98" s="33">
        <f t="shared" ca="1" si="89"/>
        <v>0</v>
      </c>
      <c r="DC98" s="33">
        <f t="shared" ca="1" si="90"/>
        <v>1</v>
      </c>
      <c r="DD98" s="33">
        <f t="shared" ca="1" si="91"/>
        <v>0</v>
      </c>
      <c r="DE98" s="33">
        <f t="shared" ca="1" si="92"/>
        <v>0.5</v>
      </c>
      <c r="DF98" s="33">
        <f t="shared" ca="1" si="93"/>
        <v>0.19999999999999996</v>
      </c>
      <c r="DG98" s="33">
        <f t="shared" ca="1" si="94"/>
        <v>1</v>
      </c>
      <c r="DH98" s="33">
        <f t="shared" ca="1" si="95"/>
        <v>1</v>
      </c>
      <c r="DI98" s="33">
        <f t="shared" ca="1" si="96"/>
        <v>0</v>
      </c>
      <c r="DJ98" s="33">
        <f t="shared" ca="1" si="97"/>
        <v>0</v>
      </c>
      <c r="DK98" s="33">
        <f t="shared" ca="1" si="98"/>
        <v>0</v>
      </c>
      <c r="DL98" s="33">
        <f t="shared" ca="1" si="99"/>
        <v>1</v>
      </c>
      <c r="DM98" s="33">
        <f t="shared" ca="1" si="100"/>
        <v>0</v>
      </c>
      <c r="DN98" s="33">
        <f t="shared" ca="1" si="101"/>
        <v>1</v>
      </c>
      <c r="DO98" s="33">
        <f t="shared" ca="1" si="102"/>
        <v>0</v>
      </c>
      <c r="DP98" s="33">
        <f t="shared" ca="1" si="103"/>
        <v>0</v>
      </c>
      <c r="DQ98" s="33">
        <f t="shared" ca="1" si="104"/>
        <v>0</v>
      </c>
      <c r="DR98" s="33">
        <f t="shared" ca="1" si="105"/>
        <v>0.5</v>
      </c>
      <c r="DS98" s="33">
        <f t="shared" ca="1" si="106"/>
        <v>1</v>
      </c>
      <c r="DT98" s="33">
        <f t="shared" ca="1" si="107"/>
        <v>0</v>
      </c>
      <c r="DU98" s="33">
        <f t="shared" ca="1" si="108"/>
        <v>0</v>
      </c>
      <c r="DV98" s="33">
        <f t="shared" ca="1" si="109"/>
        <v>1</v>
      </c>
      <c r="DW98" s="33">
        <f t="shared" ca="1" si="110"/>
        <v>0</v>
      </c>
      <c r="DX98" s="33">
        <f t="shared" ca="1" si="111"/>
        <v>1</v>
      </c>
      <c r="DY98" s="33">
        <f t="shared" ca="1" si="112"/>
        <v>1</v>
      </c>
      <c r="DZ98" s="33">
        <f t="shared" ca="1" si="113"/>
        <v>1</v>
      </c>
      <c r="EA98" s="33">
        <f t="shared" ca="1" si="114"/>
        <v>0</v>
      </c>
      <c r="EB98" s="33">
        <f t="shared" ca="1" si="115"/>
        <v>0</v>
      </c>
      <c r="EC98" s="33">
        <f t="shared" ca="1" si="116"/>
        <v>0</v>
      </c>
      <c r="ED98" s="33">
        <f t="shared" ca="1" si="117"/>
        <v>1</v>
      </c>
      <c r="EE98" s="33">
        <f t="shared" ca="1" si="118"/>
        <v>0</v>
      </c>
      <c r="EF98" s="33">
        <f t="shared" ca="1" si="119"/>
        <v>1</v>
      </c>
      <c r="EG98" s="33">
        <f t="shared" ca="1" si="120"/>
        <v>1</v>
      </c>
      <c r="EH98" s="33">
        <f t="shared" ca="1" si="121"/>
        <v>0</v>
      </c>
      <c r="EI98" s="33">
        <f t="shared" ca="1" si="122"/>
        <v>0</v>
      </c>
      <c r="EJ98" s="33">
        <f t="shared" ca="1" si="123"/>
        <v>0</v>
      </c>
      <c r="EK98" s="33">
        <f t="shared" ca="1" si="124"/>
        <v>0</v>
      </c>
      <c r="EL98" s="33">
        <f t="shared" ca="1" si="125"/>
        <v>0</v>
      </c>
      <c r="EM98" s="33">
        <f t="shared" ca="1" si="126"/>
        <v>0</v>
      </c>
      <c r="EN98" s="33">
        <f t="shared" ca="1" si="127"/>
        <v>0</v>
      </c>
      <c r="EO98" s="33">
        <f t="shared" ca="1" si="128"/>
        <v>0</v>
      </c>
      <c r="EP98" s="33">
        <f t="shared" ca="1" si="129"/>
        <v>0</v>
      </c>
      <c r="EQ98" s="33">
        <f t="shared" ca="1" si="130"/>
        <v>0</v>
      </c>
      <c r="ER98" s="33">
        <f t="shared" ca="1" si="131"/>
        <v>0</v>
      </c>
    </row>
    <row r="99" spans="1:148">
      <c r="A99">
        <v>2</v>
      </c>
      <c r="B99" t="str">
        <f>VLOOKUP(F99,'TRA balance'!$BA$5:$BB$14,2,FALSE)</f>
        <v>TRAELC</v>
      </c>
      <c r="C99" s="6" t="str">
        <f t="shared" si="133"/>
        <v>TR</v>
      </c>
      <c r="D99" s="7" t="s">
        <v>16</v>
      </c>
      <c r="E99" s="18" t="s">
        <v>77</v>
      </c>
      <c r="F99" s="8" t="str">
        <f t="shared" si="146"/>
        <v>Electricity</v>
      </c>
      <c r="G99" s="6" t="s">
        <v>78</v>
      </c>
      <c r="H99" s="9">
        <f ca="1">OFFSET(TIAM15_assumptions!$G99,0,MATCH(VLOOKUP(Assumptions!H$2,TIAM15_assumptions!$Y$3:$Z$87,2,FALSE),TIAM15_assumptions!$H$2:$V$2,0))</f>
        <v>0</v>
      </c>
      <c r="I99" s="9">
        <f ca="1">OFFSET(TIAM15_assumptions!$G99,0,MATCH(VLOOKUP(Assumptions!I$2,TIAM15_assumptions!$Y$3:$Z$87,2,FALSE),TIAM15_assumptions!$H$2:$V$2,0))</f>
        <v>0</v>
      </c>
      <c r="J99" s="9">
        <f ca="1">OFFSET(TIAM15_assumptions!$G99,0,MATCH(VLOOKUP(Assumptions!J$2,TIAM15_assumptions!$Y$3:$Z$87,2,FALSE),TIAM15_assumptions!$H$2:$V$2,0))</f>
        <v>0</v>
      </c>
      <c r="K99" s="9">
        <f ca="1">OFFSET(TIAM15_assumptions!$G99,0,MATCH(VLOOKUP(Assumptions!K$2,TIAM15_assumptions!$Y$3:$Z$87,2,FALSE),TIAM15_assumptions!$H$2:$V$2,0))</f>
        <v>0</v>
      </c>
      <c r="L99" s="9">
        <f ca="1">OFFSET(TIAM15_assumptions!$G99,0,MATCH(VLOOKUP(Assumptions!L$2,TIAM15_assumptions!$Y$3:$Z$87,2,FALSE),TIAM15_assumptions!$H$2:$V$2,0))</f>
        <v>0</v>
      </c>
      <c r="M99" s="9">
        <f ca="1">OFFSET(TIAM15_assumptions!$G99,0,MATCH(VLOOKUP(Assumptions!M$2,TIAM15_assumptions!$Y$3:$Z$87,2,FALSE),TIAM15_assumptions!$H$2:$V$2,0))</f>
        <v>0</v>
      </c>
      <c r="N99" s="9">
        <f ca="1">OFFSET(TIAM15_assumptions!$G99,0,MATCH(VLOOKUP(Assumptions!N$2,TIAM15_assumptions!$Y$3:$Z$87,2,FALSE),TIAM15_assumptions!$H$2:$V$2,0))</f>
        <v>0</v>
      </c>
      <c r="O99" s="9">
        <f ca="1">OFFSET(TIAM15_assumptions!$G99,0,MATCH(VLOOKUP(Assumptions!O$2,TIAM15_assumptions!$Y$3:$Z$87,2,FALSE),TIAM15_assumptions!$H$2:$V$2,0))</f>
        <v>0.5</v>
      </c>
      <c r="P99" s="9">
        <f ca="1">OFFSET(TIAM15_assumptions!$G99,0,MATCH(VLOOKUP(Assumptions!P$2,TIAM15_assumptions!$Y$3:$Z$87,2,FALSE),TIAM15_assumptions!$H$2:$V$2,0))</f>
        <v>0</v>
      </c>
      <c r="Q99" s="9">
        <f ca="1">OFFSET(TIAM15_assumptions!$G99,0,MATCH(VLOOKUP(Assumptions!Q$2,TIAM15_assumptions!$Y$3:$Z$87,2,FALSE),TIAM15_assumptions!$H$2:$V$2,0))</f>
        <v>0</v>
      </c>
      <c r="R99" s="9">
        <f ca="1">OFFSET(TIAM15_assumptions!$G99,0,MATCH(VLOOKUP(Assumptions!R$2,TIAM15_assumptions!$Y$3:$Z$87,2,FALSE),TIAM15_assumptions!$H$2:$V$2,0))</f>
        <v>0</v>
      </c>
      <c r="S99" s="9">
        <f ca="1">OFFSET(TIAM15_assumptions!$G99,0,MATCH(VLOOKUP(Assumptions!S$2,TIAM15_assumptions!$Y$3:$Z$87,2,FALSE),TIAM15_assumptions!$H$2:$V$2,0))</f>
        <v>0</v>
      </c>
      <c r="T99" s="9">
        <f ca="1">OFFSET(TIAM15_assumptions!$G99,0,MATCH(VLOOKUP(Assumptions!T$2,TIAM15_assumptions!$Y$3:$Z$87,2,FALSE),TIAM15_assumptions!$H$2:$V$2,0))</f>
        <v>0</v>
      </c>
      <c r="U99" s="9">
        <f ca="1">OFFSET(TIAM15_assumptions!$G99,0,MATCH(VLOOKUP(Assumptions!U$2,TIAM15_assumptions!$Y$3:$Z$87,2,FALSE),TIAM15_assumptions!$H$2:$V$2,0))</f>
        <v>0</v>
      </c>
      <c r="V99" s="9">
        <f ca="1">OFFSET(TIAM15_assumptions!$G99,0,MATCH(VLOOKUP(Assumptions!V$2,TIAM15_assumptions!$Y$3:$Z$87,2,FALSE),TIAM15_assumptions!$H$2:$V$2,0))</f>
        <v>0</v>
      </c>
      <c r="W99" s="9">
        <f ca="1">OFFSET(TIAM15_assumptions!$G99,0,MATCH(VLOOKUP(Assumptions!W$2,TIAM15_assumptions!$Y$3:$Z$87,2,FALSE),TIAM15_assumptions!$H$2:$V$2,0))</f>
        <v>0</v>
      </c>
      <c r="X99" s="9">
        <f ca="1">OFFSET(TIAM15_assumptions!$G99,0,MATCH(VLOOKUP(Assumptions!X$2,TIAM15_assumptions!$Y$3:$Z$87,2,FALSE),TIAM15_assumptions!$H$2:$V$2,0))</f>
        <v>0</v>
      </c>
      <c r="Y99" s="9">
        <f ca="1">OFFSET(TIAM15_assumptions!$G99,0,MATCH(VLOOKUP(Assumptions!Y$2,TIAM15_assumptions!$Y$3:$Z$87,2,FALSE),TIAM15_assumptions!$H$2:$V$2,0))</f>
        <v>0</v>
      </c>
      <c r="Z99" s="9">
        <f ca="1">OFFSET(TIAM15_assumptions!$G99,0,MATCH(VLOOKUP(Assumptions!Z$2,TIAM15_assumptions!$Y$3:$Z$87,2,FALSE),TIAM15_assumptions!$H$2:$V$2,0))</f>
        <v>0</v>
      </c>
      <c r="AA99" s="9">
        <f ca="1">OFFSET(TIAM15_assumptions!$G99,0,MATCH(VLOOKUP(Assumptions!AA$2,TIAM15_assumptions!$Y$3:$Z$87,2,FALSE),TIAM15_assumptions!$H$2:$V$2,0))</f>
        <v>0</v>
      </c>
      <c r="AB99" s="9">
        <f ca="1">OFFSET(TIAM15_assumptions!$G99,0,MATCH(VLOOKUP(Assumptions!AB$2,TIAM15_assumptions!$Y$3:$Z$87,2,FALSE),TIAM15_assumptions!$H$2:$V$2,0))</f>
        <v>0</v>
      </c>
      <c r="AC99" s="9">
        <f ca="1">OFFSET(TIAM15_assumptions!$G99,0,MATCH(VLOOKUP(Assumptions!AC$2,TIAM15_assumptions!$Y$3:$Z$87,2,FALSE),TIAM15_assumptions!$H$2:$V$2,0))</f>
        <v>0</v>
      </c>
      <c r="AD99" s="9">
        <f ca="1">OFFSET(TIAM15_assumptions!$G99,0,MATCH(VLOOKUP(Assumptions!AD$2,TIAM15_assumptions!$Y$3:$Z$87,2,FALSE),TIAM15_assumptions!$H$2:$V$2,0))</f>
        <v>0</v>
      </c>
      <c r="AE99" s="9">
        <f ca="1">OFFSET(TIAM15_assumptions!$G99,0,MATCH(VLOOKUP(Assumptions!AE$2,TIAM15_assumptions!$Y$3:$Z$87,2,FALSE),TIAM15_assumptions!$H$2:$V$2,0))</f>
        <v>0</v>
      </c>
      <c r="AF99" s="9">
        <f ca="1">OFFSET(TIAM15_assumptions!$G99,0,MATCH(VLOOKUP(Assumptions!AF$2,TIAM15_assumptions!$Y$3:$Z$87,2,FALSE),TIAM15_assumptions!$H$2:$V$2,0))</f>
        <v>0</v>
      </c>
      <c r="AG99" s="9">
        <f ca="1">OFFSET(TIAM15_assumptions!$G99,0,MATCH(VLOOKUP(Assumptions!AG$2,TIAM15_assumptions!$Y$3:$Z$87,2,FALSE),TIAM15_assumptions!$H$2:$V$2,0))</f>
        <v>0</v>
      </c>
      <c r="AH99" s="9">
        <f ca="1">OFFSET(TIAM15_assumptions!$G99,0,MATCH(VLOOKUP(Assumptions!AH$2,TIAM15_assumptions!$Y$3:$Z$87,2,FALSE),TIAM15_assumptions!$H$2:$V$2,0))</f>
        <v>0</v>
      </c>
      <c r="AI99" s="9">
        <f ca="1">OFFSET(TIAM15_assumptions!$G99,0,MATCH(VLOOKUP(Assumptions!AI$2,TIAM15_assumptions!$Y$3:$Z$87,2,FALSE),TIAM15_assumptions!$H$2:$V$2,0))</f>
        <v>0</v>
      </c>
      <c r="AJ99" s="9">
        <f ca="1">OFFSET(TIAM15_assumptions!$G99,0,MATCH(VLOOKUP(Assumptions!AJ$2,TIAM15_assumptions!$Y$3:$Z$87,2,FALSE),TIAM15_assumptions!$H$2:$V$2,0))</f>
        <v>0</v>
      </c>
      <c r="AK99" s="9">
        <f ca="1">OFFSET(TIAM15_assumptions!$G99,0,MATCH(VLOOKUP(Assumptions!AK$2,TIAM15_assumptions!$Y$3:$Z$87,2,FALSE),TIAM15_assumptions!$H$2:$V$2,0))</f>
        <v>0</v>
      </c>
      <c r="AL99" s="9">
        <f ca="1">OFFSET(TIAM15_assumptions!$G99,0,MATCH(VLOOKUP(Assumptions!AL$2,TIAM15_assumptions!$Y$3:$Z$87,2,FALSE),TIAM15_assumptions!$H$2:$V$2,0))</f>
        <v>0</v>
      </c>
      <c r="AM99" s="9">
        <f ca="1">OFFSET(TIAM15_assumptions!$G99,0,MATCH(VLOOKUP(Assumptions!AM$2,TIAM15_assumptions!$Y$3:$Z$87,2,FALSE),TIAM15_assumptions!$H$2:$V$2,0))</f>
        <v>0</v>
      </c>
      <c r="AN99" s="9">
        <f ca="1">OFFSET(TIAM15_assumptions!$G99,0,MATCH(VLOOKUP(Assumptions!AN$2,TIAM15_assumptions!$Y$3:$Z$87,2,FALSE),TIAM15_assumptions!$H$2:$V$2,0))</f>
        <v>0</v>
      </c>
      <c r="AO99" s="9">
        <f ca="1">OFFSET(TIAM15_assumptions!$G99,0,MATCH(VLOOKUP(Assumptions!AO$2,TIAM15_assumptions!$Y$3:$Z$87,2,FALSE),TIAM15_assumptions!$H$2:$V$2,0))</f>
        <v>0</v>
      </c>
      <c r="AP99" s="9">
        <f ca="1">OFFSET(TIAM15_assumptions!$G99,0,MATCH(VLOOKUP(Assumptions!AP$2,TIAM15_assumptions!$Y$3:$Z$87,2,FALSE),TIAM15_assumptions!$H$2:$V$2,0))</f>
        <v>0</v>
      </c>
      <c r="AQ99" s="9">
        <f ca="1">OFFSET(TIAM15_assumptions!$G99,0,MATCH(VLOOKUP(Assumptions!AQ$2,TIAM15_assumptions!$Y$3:$Z$87,2,FALSE),TIAM15_assumptions!$H$2:$V$2,0))</f>
        <v>0</v>
      </c>
      <c r="AR99" s="9">
        <f ca="1">OFFSET(TIAM15_assumptions!$G99,0,MATCH(VLOOKUP(Assumptions!AR$2,TIAM15_assumptions!$Y$3:$Z$87,2,FALSE),TIAM15_assumptions!$H$2:$V$2,0))</f>
        <v>0</v>
      </c>
      <c r="AS99" s="9">
        <f ca="1">OFFSET(TIAM15_assumptions!$G99,0,MATCH(VLOOKUP(Assumptions!AS$2,TIAM15_assumptions!$Y$3:$Z$87,2,FALSE),TIAM15_assumptions!$H$2:$V$2,0))</f>
        <v>0</v>
      </c>
      <c r="AT99" s="9">
        <f ca="1">OFFSET(TIAM15_assumptions!$G99,0,MATCH(VLOOKUP(Assumptions!AT$2,TIAM15_assumptions!$Y$3:$Z$87,2,FALSE),TIAM15_assumptions!$H$2:$V$2,0))</f>
        <v>0</v>
      </c>
      <c r="AU99" s="9">
        <f ca="1">OFFSET(TIAM15_assumptions!$G99,0,MATCH(VLOOKUP(Assumptions!AU$2,TIAM15_assumptions!$Y$3:$Z$87,2,FALSE),TIAM15_assumptions!$H$2:$V$2,0))</f>
        <v>0</v>
      </c>
      <c r="AV99" s="9">
        <f ca="1">OFFSET(TIAM15_assumptions!$G99,0,MATCH(VLOOKUP(Assumptions!AV$2,TIAM15_assumptions!$Y$3:$Z$87,2,FALSE),TIAM15_assumptions!$H$2:$V$2,0))</f>
        <v>0</v>
      </c>
      <c r="AW99" s="9">
        <f ca="1">OFFSET(TIAM15_assumptions!$G99,0,MATCH(VLOOKUP(Assumptions!AW$2,TIAM15_assumptions!$Y$3:$Z$87,2,FALSE),TIAM15_assumptions!$H$2:$V$2,0))</f>
        <v>0</v>
      </c>
      <c r="AX99" s="9">
        <f ca="1">OFFSET(TIAM15_assumptions!$G99,0,MATCH(VLOOKUP(Assumptions!AX$2,TIAM15_assumptions!$Y$3:$Z$87,2,FALSE),TIAM15_assumptions!$H$2:$V$2,0))</f>
        <v>0</v>
      </c>
      <c r="AY99" s="9">
        <f ca="1">OFFSET(TIAM15_assumptions!$G99,0,MATCH(VLOOKUP(Assumptions!AY$2,TIAM15_assumptions!$Y$3:$Z$87,2,FALSE),TIAM15_assumptions!$H$2:$V$2,0))</f>
        <v>0</v>
      </c>
      <c r="AZ99" s="9">
        <f ca="1">OFFSET(TIAM15_assumptions!$G99,0,MATCH(VLOOKUP(Assumptions!AZ$2,TIAM15_assumptions!$Y$3:$Z$87,2,FALSE),TIAM15_assumptions!$H$2:$V$2,0))</f>
        <v>0</v>
      </c>
      <c r="BA99" s="9">
        <f ca="1">OFFSET(TIAM15_assumptions!$G99,0,MATCH(VLOOKUP(Assumptions!BA$2,TIAM15_assumptions!$Y$3:$Z$87,2,FALSE),TIAM15_assumptions!$H$2:$V$2,0))</f>
        <v>0</v>
      </c>
      <c r="BD99" s="34">
        <f ca="1">IFERROR(SUMIFS('TRA balance'!E$5:E$40,'TRA balance'!$C$5:$C$40,Assumptions!$C99,'TRA balance'!$D$5:$D$40,Assumptions!$B99)*CY99*H99,"")</f>
        <v>0</v>
      </c>
      <c r="BE99" s="34">
        <f ca="1">IFERROR(SUMIFS('TRA balance'!F$5:F$40,'TRA balance'!$C$5:$C$40,Assumptions!$C99,'TRA balance'!$D$5:$D$40,Assumptions!$B99)*CZ99*I99,"")</f>
        <v>0</v>
      </c>
      <c r="BF99" s="34">
        <f ca="1">IFERROR(SUMIFS('TRA balance'!G$5:G$40,'TRA balance'!$C$5:$C$40,Assumptions!$C99,'TRA balance'!$D$5:$D$40,Assumptions!$B99)*DA99*J99,"")</f>
        <v>0</v>
      </c>
      <c r="BG99" s="34">
        <f ca="1">IFERROR(SUMIFS('TRA balance'!H$5:H$40,'TRA balance'!$C$5:$C$40,Assumptions!$C99,'TRA balance'!$D$5:$D$40,Assumptions!$B99)*DB99*K99,"")</f>
        <v>0</v>
      </c>
      <c r="BH99" s="34">
        <f ca="1">IFERROR(SUMIFS('TRA balance'!I$5:I$40,'TRA balance'!$C$5:$C$40,Assumptions!$C99,'TRA balance'!$D$5:$D$40,Assumptions!$B99)*DC99*L99,"")</f>
        <v>0</v>
      </c>
      <c r="BI99" s="34">
        <f ca="1">IFERROR(SUMIFS('TRA balance'!J$5:J$40,'TRA balance'!$C$5:$C$40,Assumptions!$C99,'TRA balance'!$D$5:$D$40,Assumptions!$B99)*DD99*M99,"")</f>
        <v>0</v>
      </c>
      <c r="BJ99" s="34">
        <f ca="1">IFERROR(SUMIFS('TRA balance'!K$5:K$40,'TRA balance'!$C$5:$C$40,Assumptions!$C99,'TRA balance'!$D$5:$D$40,Assumptions!$B99)*DE99*N99,"")</f>
        <v>0</v>
      </c>
      <c r="BK99" s="34">
        <f ca="1">IFERROR(SUMIFS('TRA balance'!L$5:L$40,'TRA balance'!$C$5:$C$40,Assumptions!$C99,'TRA balance'!$D$5:$D$40,Assumptions!$B99)*DF99*O99,"")</f>
        <v>24.536301367319993</v>
      </c>
      <c r="BL99" s="34">
        <f ca="1">IFERROR(SUMIFS('TRA balance'!M$5:M$40,'TRA balance'!$C$5:$C$40,Assumptions!$C99,'TRA balance'!$D$5:$D$40,Assumptions!$B99)*DG99*P99,"")</f>
        <v>0</v>
      </c>
      <c r="BM99" s="34">
        <f ca="1">IFERROR(SUMIFS('TRA balance'!N$5:N$40,'TRA balance'!$C$5:$C$40,Assumptions!$C99,'TRA balance'!$D$5:$D$40,Assumptions!$B99)*DH99*Q99,"")</f>
        <v>0</v>
      </c>
      <c r="BN99" s="34">
        <f ca="1">IFERROR(SUMIFS('TRA balance'!O$5:O$40,'TRA balance'!$C$5:$C$40,Assumptions!$C99,'TRA balance'!$D$5:$D$40,Assumptions!$B99)*DI99*R99,"")</f>
        <v>0</v>
      </c>
      <c r="BO99" s="34">
        <f ca="1">IFERROR(SUMIFS('TRA balance'!P$5:P$40,'TRA balance'!$C$5:$C$40,Assumptions!$C99,'TRA balance'!$D$5:$D$40,Assumptions!$B99)*DJ99*S99,"")</f>
        <v>0</v>
      </c>
      <c r="BP99" s="34">
        <f ca="1">IFERROR(SUMIFS('TRA balance'!Q$5:Q$40,'TRA balance'!$C$5:$C$40,Assumptions!$C99,'TRA balance'!$D$5:$D$40,Assumptions!$B99)*DK99*T99,"")</f>
        <v>0</v>
      </c>
      <c r="BQ99" s="34">
        <f ca="1">IFERROR(SUMIFS('TRA balance'!R$5:R$40,'TRA balance'!$C$5:$C$40,Assumptions!$C99,'TRA balance'!$D$5:$D$40,Assumptions!$B99)*DL99*U99,"")</f>
        <v>0</v>
      </c>
      <c r="BR99" s="34">
        <f ca="1">IFERROR(SUMIFS('TRA balance'!S$5:S$40,'TRA balance'!$C$5:$C$40,Assumptions!$C99,'TRA balance'!$D$5:$D$40,Assumptions!$B99)*DM99*V99,"")</f>
        <v>0</v>
      </c>
      <c r="BS99" s="34">
        <f ca="1">IFERROR(SUMIFS('TRA balance'!T$5:T$40,'TRA balance'!$C$5:$C$40,Assumptions!$C99,'TRA balance'!$D$5:$D$40,Assumptions!$B99)*DN99*W99,"")</f>
        <v>0</v>
      </c>
      <c r="BT99" s="34">
        <f ca="1">IFERROR(SUMIFS('TRA balance'!U$5:U$40,'TRA balance'!$C$5:$C$40,Assumptions!$C99,'TRA balance'!$D$5:$D$40,Assumptions!$B99)*DO99*X99,"")</f>
        <v>0</v>
      </c>
      <c r="BU99" s="34">
        <f ca="1">IFERROR(SUMIFS('TRA balance'!V$5:V$40,'TRA balance'!$C$5:$C$40,Assumptions!$C99,'TRA balance'!$D$5:$D$40,Assumptions!$B99)*DP99*Y99,"")</f>
        <v>0</v>
      </c>
      <c r="BV99" s="34">
        <f ca="1">IFERROR(SUMIFS('TRA balance'!W$5:W$40,'TRA balance'!$C$5:$C$40,Assumptions!$C99,'TRA balance'!$D$5:$D$40,Assumptions!$B99)*DQ99*Z99,"")</f>
        <v>0</v>
      </c>
      <c r="BW99" s="34">
        <f ca="1">IFERROR(SUMIFS('TRA balance'!X$5:X$40,'TRA balance'!$C$5:$C$40,Assumptions!$C99,'TRA balance'!$D$5:$D$40,Assumptions!$B99)*DR99*AA99,"")</f>
        <v>0</v>
      </c>
      <c r="BX99" s="34">
        <f ca="1">IFERROR(SUMIFS('TRA balance'!Y$5:Y$40,'TRA balance'!$C$5:$C$40,Assumptions!$C99,'TRA balance'!$D$5:$D$40,Assumptions!$B99)*DS99*AB99,"")</f>
        <v>0</v>
      </c>
      <c r="BY99" s="34">
        <f ca="1">IFERROR(SUMIFS('TRA balance'!Z$5:Z$40,'TRA balance'!$C$5:$C$40,Assumptions!$C99,'TRA balance'!$D$5:$D$40,Assumptions!$B99)*DT99*AC99,"")</f>
        <v>0</v>
      </c>
      <c r="BZ99" s="34">
        <f ca="1">IFERROR(SUMIFS('TRA balance'!AA$5:AA$40,'TRA balance'!$C$5:$C$40,Assumptions!$C99,'TRA balance'!$D$5:$D$40,Assumptions!$B99)*DU99*AD99,"")</f>
        <v>0</v>
      </c>
      <c r="CA99" s="34">
        <f ca="1">IFERROR(SUMIFS('TRA balance'!AB$5:AB$40,'TRA balance'!$C$5:$C$40,Assumptions!$C99,'TRA balance'!$D$5:$D$40,Assumptions!$B99)*DV99*AE99,"")</f>
        <v>0</v>
      </c>
      <c r="CB99" s="34">
        <f ca="1">IFERROR(SUMIFS('TRA balance'!AC$5:AC$40,'TRA balance'!$C$5:$C$40,Assumptions!$C99,'TRA balance'!$D$5:$D$40,Assumptions!$B99)*DW99*AF99,"")</f>
        <v>0</v>
      </c>
      <c r="CC99" s="34">
        <f ca="1">IFERROR(SUMIFS('TRA balance'!AD$5:AD$40,'TRA balance'!$C$5:$C$40,Assumptions!$C99,'TRA balance'!$D$5:$D$40,Assumptions!$B99)*DX99*AG99,"")</f>
        <v>0</v>
      </c>
      <c r="CD99" s="34">
        <f ca="1">IFERROR(SUMIFS('TRA balance'!AE$5:AE$40,'TRA balance'!$C$5:$C$40,Assumptions!$C99,'TRA balance'!$D$5:$D$40,Assumptions!$B99)*DY99*AH99,"")</f>
        <v>0</v>
      </c>
      <c r="CE99" s="34">
        <f ca="1">IFERROR(SUMIFS('TRA balance'!AF$5:AF$40,'TRA balance'!$C$5:$C$40,Assumptions!$C99,'TRA balance'!$D$5:$D$40,Assumptions!$B99)*DZ99*AI99,"")</f>
        <v>0</v>
      </c>
      <c r="CF99" s="34">
        <f ca="1">IFERROR(SUMIFS('TRA balance'!AG$5:AG$40,'TRA balance'!$C$5:$C$40,Assumptions!$C99,'TRA balance'!$D$5:$D$40,Assumptions!$B99)*EA99*AJ99,"")</f>
        <v>0</v>
      </c>
      <c r="CG99" s="34">
        <f ca="1">IFERROR(SUMIFS('TRA balance'!AH$5:AH$40,'TRA balance'!$C$5:$C$40,Assumptions!$C99,'TRA balance'!$D$5:$D$40,Assumptions!$B99)*EB99*AK99,"")</f>
        <v>0</v>
      </c>
      <c r="CH99" s="34">
        <f ca="1">IFERROR(SUMIFS('TRA balance'!AI$5:AI$40,'TRA balance'!$C$5:$C$40,Assumptions!$C99,'TRA balance'!$D$5:$D$40,Assumptions!$B99)*EC99*AL99,"")</f>
        <v>0</v>
      </c>
      <c r="CI99" s="34">
        <f ca="1">IFERROR(SUMIFS('TRA balance'!AJ$5:AJ$40,'TRA balance'!$C$5:$C$40,Assumptions!$C99,'TRA balance'!$D$5:$D$40,Assumptions!$B99)*ED99*AM99,"")</f>
        <v>0</v>
      </c>
      <c r="CJ99" s="34">
        <f ca="1">IFERROR(SUMIFS('TRA balance'!AK$5:AK$40,'TRA balance'!$C$5:$C$40,Assumptions!$C99,'TRA balance'!$D$5:$D$40,Assumptions!$B99)*EE99*AN99,"")</f>
        <v>0</v>
      </c>
      <c r="CK99" s="34">
        <f ca="1">IFERROR(SUMIFS('TRA balance'!AL$5:AL$40,'TRA balance'!$C$5:$C$40,Assumptions!$C99,'TRA balance'!$D$5:$D$40,Assumptions!$B99)*EF99*AO99,"")</f>
        <v>0</v>
      </c>
      <c r="CL99" s="34">
        <f ca="1">IFERROR(SUMIFS('TRA balance'!AM$5:AM$40,'TRA balance'!$C$5:$C$40,Assumptions!$C99,'TRA balance'!$D$5:$D$40,Assumptions!$B99)*EG99*AP99,"")</f>
        <v>0</v>
      </c>
      <c r="CM99" s="34">
        <f ca="1">IFERROR(SUMIFS('TRA balance'!AN$5:AN$40,'TRA balance'!$C$5:$C$40,Assumptions!$C99,'TRA balance'!$D$5:$D$40,Assumptions!$B99)*EH99*AQ99,"")</f>
        <v>0</v>
      </c>
      <c r="CN99" s="34">
        <f ca="1">IFERROR(SUMIFS('TRA balance'!AO$5:AO$40,'TRA balance'!$C$5:$C$40,Assumptions!$C99,'TRA balance'!$D$5:$D$40,Assumptions!$B99)*EI99*AR99,"")</f>
        <v>0</v>
      </c>
      <c r="CO99" s="34">
        <f ca="1">IFERROR(SUMIFS('TRA balance'!AP$5:AP$40,'TRA balance'!$C$5:$C$40,Assumptions!$C99,'TRA balance'!$D$5:$D$40,Assumptions!$B99)*EJ99*AS99,"")</f>
        <v>0</v>
      </c>
      <c r="CP99" s="34">
        <f ca="1">IFERROR(SUMIFS('TRA balance'!AQ$5:AQ$40,'TRA balance'!$C$5:$C$40,Assumptions!$C99,'TRA balance'!$D$5:$D$40,Assumptions!$B99)*EK99*AT99,"")</f>
        <v>0</v>
      </c>
      <c r="CQ99" s="34">
        <f ca="1">IFERROR(SUMIFS('TRA balance'!AR$5:AR$40,'TRA balance'!$C$5:$C$40,Assumptions!$C99,'TRA balance'!$D$5:$D$40,Assumptions!$B99)*EL99*AU99,"")</f>
        <v>0</v>
      </c>
      <c r="CR99" s="34">
        <f ca="1">IFERROR(SUMIFS('TRA balance'!AS$5:AS$40,'TRA balance'!$C$5:$C$40,Assumptions!$C99,'TRA balance'!$D$5:$D$40,Assumptions!$B99)*EM99*AV99,"")</f>
        <v>0</v>
      </c>
      <c r="CS99" s="34">
        <f ca="1">IFERROR(SUMIFS('TRA balance'!AT$5:AT$40,'TRA balance'!$C$5:$C$40,Assumptions!$C99,'TRA balance'!$D$5:$D$40,Assumptions!$B99)*EN99*AW99,"")</f>
        <v>0</v>
      </c>
      <c r="CT99" s="34">
        <f ca="1">IFERROR(SUMIFS('TRA balance'!AU$5:AU$40,'TRA balance'!$C$5:$C$40,Assumptions!$C99,'TRA balance'!$D$5:$D$40,Assumptions!$B99)*EO99*AX99,"")</f>
        <v>0</v>
      </c>
      <c r="CU99" s="34">
        <f ca="1">IFERROR(SUMIFS('TRA balance'!AV$5:AV$40,'TRA balance'!$C$5:$C$40,Assumptions!$C99,'TRA balance'!$D$5:$D$40,Assumptions!$B99)*EP99*AY99,"")</f>
        <v>0</v>
      </c>
      <c r="CV99" s="34">
        <f ca="1">IFERROR(SUMIFS('TRA balance'!AW$5:AW$40,'TRA balance'!$C$5:$C$40,Assumptions!$C99,'TRA balance'!$D$5:$D$40,Assumptions!$B99)*EQ99*AZ99,"")</f>
        <v>0</v>
      </c>
      <c r="CW99" s="34">
        <f ca="1">IFERROR(SUMIFS('TRA balance'!AX$5:AX$40,'TRA balance'!$C$5:$C$40,Assumptions!$C99,'TRA balance'!$D$5:$D$40,Assumptions!$B99)*ER99*BA99,"")</f>
        <v>0</v>
      </c>
      <c r="CY99" s="33">
        <f t="shared" ca="1" si="86"/>
        <v>1</v>
      </c>
      <c r="CZ99" s="33">
        <f t="shared" ca="1" si="87"/>
        <v>1</v>
      </c>
      <c r="DA99" s="33">
        <f t="shared" ca="1" si="88"/>
        <v>0</v>
      </c>
      <c r="DB99" s="33">
        <f t="shared" ca="1" si="89"/>
        <v>0</v>
      </c>
      <c r="DC99" s="33">
        <f t="shared" ca="1" si="90"/>
        <v>1</v>
      </c>
      <c r="DD99" s="33">
        <f t="shared" ca="1" si="91"/>
        <v>0</v>
      </c>
      <c r="DE99" s="33">
        <f t="shared" ca="1" si="92"/>
        <v>0.5</v>
      </c>
      <c r="DF99" s="33">
        <f t="shared" ca="1" si="93"/>
        <v>0.19999999999999996</v>
      </c>
      <c r="DG99" s="33">
        <f t="shared" ca="1" si="94"/>
        <v>1</v>
      </c>
      <c r="DH99" s="33">
        <f t="shared" ca="1" si="95"/>
        <v>1</v>
      </c>
      <c r="DI99" s="33">
        <f t="shared" ca="1" si="96"/>
        <v>0</v>
      </c>
      <c r="DJ99" s="33">
        <f t="shared" ca="1" si="97"/>
        <v>0</v>
      </c>
      <c r="DK99" s="33">
        <f t="shared" ca="1" si="98"/>
        <v>0</v>
      </c>
      <c r="DL99" s="33">
        <f t="shared" ca="1" si="99"/>
        <v>1</v>
      </c>
      <c r="DM99" s="33">
        <f t="shared" ca="1" si="100"/>
        <v>0</v>
      </c>
      <c r="DN99" s="33">
        <f t="shared" ca="1" si="101"/>
        <v>1</v>
      </c>
      <c r="DO99" s="33">
        <f t="shared" ca="1" si="102"/>
        <v>0</v>
      </c>
      <c r="DP99" s="33">
        <f t="shared" ca="1" si="103"/>
        <v>0</v>
      </c>
      <c r="DQ99" s="33">
        <f t="shared" ca="1" si="104"/>
        <v>0</v>
      </c>
      <c r="DR99" s="33">
        <f t="shared" ca="1" si="105"/>
        <v>0.5</v>
      </c>
      <c r="DS99" s="33">
        <f t="shared" ca="1" si="106"/>
        <v>1</v>
      </c>
      <c r="DT99" s="33">
        <f t="shared" ca="1" si="107"/>
        <v>0</v>
      </c>
      <c r="DU99" s="33">
        <f t="shared" ca="1" si="108"/>
        <v>0</v>
      </c>
      <c r="DV99" s="33">
        <f t="shared" ca="1" si="109"/>
        <v>1</v>
      </c>
      <c r="DW99" s="33">
        <f t="shared" ca="1" si="110"/>
        <v>0</v>
      </c>
      <c r="DX99" s="33">
        <f t="shared" ca="1" si="111"/>
        <v>1</v>
      </c>
      <c r="DY99" s="33">
        <f t="shared" ca="1" si="112"/>
        <v>1</v>
      </c>
      <c r="DZ99" s="33">
        <f t="shared" ca="1" si="113"/>
        <v>1</v>
      </c>
      <c r="EA99" s="33">
        <f t="shared" ca="1" si="114"/>
        <v>0</v>
      </c>
      <c r="EB99" s="33">
        <f t="shared" ca="1" si="115"/>
        <v>0</v>
      </c>
      <c r="EC99" s="33">
        <f t="shared" ca="1" si="116"/>
        <v>0</v>
      </c>
      <c r="ED99" s="33">
        <f t="shared" ca="1" si="117"/>
        <v>1</v>
      </c>
      <c r="EE99" s="33">
        <f t="shared" ca="1" si="118"/>
        <v>0</v>
      </c>
      <c r="EF99" s="33">
        <f t="shared" ca="1" si="119"/>
        <v>1</v>
      </c>
      <c r="EG99" s="33">
        <f t="shared" ca="1" si="120"/>
        <v>1</v>
      </c>
      <c r="EH99" s="33">
        <f t="shared" ca="1" si="121"/>
        <v>0</v>
      </c>
      <c r="EI99" s="33">
        <f t="shared" ca="1" si="122"/>
        <v>0</v>
      </c>
      <c r="EJ99" s="33">
        <f t="shared" ca="1" si="123"/>
        <v>0</v>
      </c>
      <c r="EK99" s="33">
        <f t="shared" ca="1" si="124"/>
        <v>0</v>
      </c>
      <c r="EL99" s="33">
        <f t="shared" ca="1" si="125"/>
        <v>0</v>
      </c>
      <c r="EM99" s="33">
        <f t="shared" ca="1" si="126"/>
        <v>0</v>
      </c>
      <c r="EN99" s="33">
        <f t="shared" ca="1" si="127"/>
        <v>0</v>
      </c>
      <c r="EO99" s="33">
        <f t="shared" ca="1" si="128"/>
        <v>0</v>
      </c>
      <c r="EP99" s="33">
        <f t="shared" ca="1" si="129"/>
        <v>0</v>
      </c>
      <c r="EQ99" s="33">
        <f t="shared" ca="1" si="130"/>
        <v>0</v>
      </c>
      <c r="ER99" s="33">
        <f t="shared" ca="1" si="131"/>
        <v>0</v>
      </c>
    </row>
    <row r="100" spans="1:148">
      <c r="A100">
        <v>1</v>
      </c>
      <c r="B100" t="str">
        <f>VLOOKUP(F100,'TRA balance'!$BA$5:$BB$14,2,FALSE)</f>
        <v>TRAELC</v>
      </c>
      <c r="C100" s="6" t="str">
        <f t="shared" si="133"/>
        <v/>
      </c>
      <c r="D100" s="7"/>
      <c r="E100" s="19" t="s">
        <v>79</v>
      </c>
      <c r="F100" s="8" t="str">
        <f t="shared" si="146"/>
        <v>Electricity</v>
      </c>
      <c r="G100" s="6"/>
      <c r="H100" s="22" t="str">
        <f ca="1">IF(SUM(H96:H99)=1,"-","&lt;&gt;1!!")</f>
        <v>-</v>
      </c>
      <c r="I100" s="22" t="str">
        <f t="shared" ref="I100:BA100" ca="1" si="147">IF(SUM(I96:I99)=1,"-","&lt;&gt;1!!")</f>
        <v>-</v>
      </c>
      <c r="J100" s="22" t="str">
        <f t="shared" ca="1" si="147"/>
        <v>-</v>
      </c>
      <c r="K100" s="22" t="str">
        <f t="shared" ca="1" si="147"/>
        <v>-</v>
      </c>
      <c r="L100" s="22" t="str">
        <f t="shared" ca="1" si="147"/>
        <v>-</v>
      </c>
      <c r="M100" s="22" t="str">
        <f t="shared" ca="1" si="147"/>
        <v>-</v>
      </c>
      <c r="N100" s="22" t="str">
        <f t="shared" ca="1" si="147"/>
        <v>-</v>
      </c>
      <c r="O100" s="22" t="str">
        <f t="shared" ca="1" si="147"/>
        <v>-</v>
      </c>
      <c r="P100" s="22" t="str">
        <f t="shared" ca="1" si="147"/>
        <v>-</v>
      </c>
      <c r="Q100" s="22" t="str">
        <f t="shared" ca="1" si="147"/>
        <v>-</v>
      </c>
      <c r="R100" s="22" t="str">
        <f t="shared" ca="1" si="147"/>
        <v>-</v>
      </c>
      <c r="S100" s="22" t="str">
        <f t="shared" ca="1" si="147"/>
        <v>-</v>
      </c>
      <c r="T100" s="22" t="str">
        <f t="shared" ca="1" si="147"/>
        <v>-</v>
      </c>
      <c r="U100" s="22" t="str">
        <f t="shared" ca="1" si="147"/>
        <v>-</v>
      </c>
      <c r="V100" s="22" t="str">
        <f t="shared" ca="1" si="147"/>
        <v>-</v>
      </c>
      <c r="W100" s="22" t="str">
        <f t="shared" ca="1" si="147"/>
        <v>-</v>
      </c>
      <c r="X100" s="22" t="str">
        <f t="shared" ca="1" si="147"/>
        <v>-</v>
      </c>
      <c r="Y100" s="22" t="str">
        <f t="shared" ca="1" si="147"/>
        <v>-</v>
      </c>
      <c r="Z100" s="22" t="str">
        <f t="shared" ca="1" si="147"/>
        <v>-</v>
      </c>
      <c r="AA100" s="22" t="str">
        <f t="shared" ca="1" si="147"/>
        <v>-</v>
      </c>
      <c r="AB100" s="22" t="str">
        <f t="shared" ca="1" si="147"/>
        <v>-</v>
      </c>
      <c r="AC100" s="22" t="str">
        <f t="shared" ca="1" si="147"/>
        <v>-</v>
      </c>
      <c r="AD100" s="22" t="str">
        <f t="shared" ca="1" si="147"/>
        <v>-</v>
      </c>
      <c r="AE100" s="22" t="str">
        <f t="shared" ca="1" si="147"/>
        <v>-</v>
      </c>
      <c r="AF100" s="22" t="str">
        <f t="shared" ca="1" si="147"/>
        <v>-</v>
      </c>
      <c r="AG100" s="22" t="str">
        <f t="shared" ca="1" si="147"/>
        <v>-</v>
      </c>
      <c r="AH100" s="22" t="str">
        <f t="shared" ca="1" si="147"/>
        <v>-</v>
      </c>
      <c r="AI100" s="22" t="str">
        <f t="shared" ca="1" si="147"/>
        <v>-</v>
      </c>
      <c r="AJ100" s="22" t="str">
        <f t="shared" ca="1" si="147"/>
        <v>-</v>
      </c>
      <c r="AK100" s="22" t="str">
        <f t="shared" ca="1" si="147"/>
        <v>-</v>
      </c>
      <c r="AL100" s="22" t="str">
        <f t="shared" ca="1" si="147"/>
        <v>-</v>
      </c>
      <c r="AM100" s="22" t="str">
        <f t="shared" ca="1" si="147"/>
        <v>-</v>
      </c>
      <c r="AN100" s="22" t="str">
        <f t="shared" ca="1" si="147"/>
        <v>-</v>
      </c>
      <c r="AO100" s="22" t="str">
        <f t="shared" ca="1" si="147"/>
        <v>-</v>
      </c>
      <c r="AP100" s="22" t="str">
        <f t="shared" ca="1" si="147"/>
        <v>-</v>
      </c>
      <c r="AQ100" s="22" t="str">
        <f t="shared" ca="1" si="147"/>
        <v>-</v>
      </c>
      <c r="AR100" s="22" t="str">
        <f t="shared" ca="1" si="147"/>
        <v>-</v>
      </c>
      <c r="AS100" s="22" t="str">
        <f t="shared" ca="1" si="147"/>
        <v>-</v>
      </c>
      <c r="AT100" s="22" t="str">
        <f t="shared" ca="1" si="147"/>
        <v>-</v>
      </c>
      <c r="AU100" s="22" t="str">
        <f t="shared" ca="1" si="147"/>
        <v>-</v>
      </c>
      <c r="AV100" s="22" t="str">
        <f t="shared" ca="1" si="147"/>
        <v>-</v>
      </c>
      <c r="AW100" s="22" t="str">
        <f t="shared" ca="1" si="147"/>
        <v>-</v>
      </c>
      <c r="AX100" s="22" t="str">
        <f t="shared" ca="1" si="147"/>
        <v>-</v>
      </c>
      <c r="AY100" s="22" t="str">
        <f t="shared" ca="1" si="147"/>
        <v>-</v>
      </c>
      <c r="AZ100" s="22" t="str">
        <f t="shared" ca="1" si="147"/>
        <v>-</v>
      </c>
      <c r="BA100" s="22" t="str">
        <f t="shared" ca="1" si="147"/>
        <v>-</v>
      </c>
      <c r="BD100" s="34" t="str">
        <f ca="1">IFERROR(SUMIFS('TRA balance'!E$5:E$40,'TRA balance'!$C$5:$C$40,Assumptions!$C100,'TRA balance'!$D$5:$D$40,Assumptions!$B100)*CY100*H100,"")</f>
        <v/>
      </c>
      <c r="BE100" s="34" t="str">
        <f ca="1">IFERROR(SUMIFS('TRA balance'!F$5:F$40,'TRA balance'!$C$5:$C$40,Assumptions!$C100,'TRA balance'!$D$5:$D$40,Assumptions!$B100)*CZ100*I100,"")</f>
        <v/>
      </c>
      <c r="BF100" s="34" t="str">
        <f ca="1">IFERROR(SUMIFS('TRA balance'!G$5:G$40,'TRA balance'!$C$5:$C$40,Assumptions!$C100,'TRA balance'!$D$5:$D$40,Assumptions!$B100)*DA100*J100,"")</f>
        <v/>
      </c>
      <c r="BG100" s="34" t="str">
        <f ca="1">IFERROR(SUMIFS('TRA balance'!H$5:H$40,'TRA balance'!$C$5:$C$40,Assumptions!$C100,'TRA balance'!$D$5:$D$40,Assumptions!$B100)*DB100*K100,"")</f>
        <v/>
      </c>
      <c r="BH100" s="34" t="str">
        <f ca="1">IFERROR(SUMIFS('TRA balance'!I$5:I$40,'TRA balance'!$C$5:$C$40,Assumptions!$C100,'TRA balance'!$D$5:$D$40,Assumptions!$B100)*DC100*L100,"")</f>
        <v/>
      </c>
      <c r="BI100" s="34" t="str">
        <f ca="1">IFERROR(SUMIFS('TRA balance'!J$5:J$40,'TRA balance'!$C$5:$C$40,Assumptions!$C100,'TRA balance'!$D$5:$D$40,Assumptions!$B100)*DD100*M100,"")</f>
        <v/>
      </c>
      <c r="BJ100" s="34" t="str">
        <f ca="1">IFERROR(SUMIFS('TRA balance'!K$5:K$40,'TRA balance'!$C$5:$C$40,Assumptions!$C100,'TRA balance'!$D$5:$D$40,Assumptions!$B100)*DE100*N100,"")</f>
        <v/>
      </c>
      <c r="BK100" s="34" t="str">
        <f ca="1">IFERROR(SUMIFS('TRA balance'!L$5:L$40,'TRA balance'!$C$5:$C$40,Assumptions!$C100,'TRA balance'!$D$5:$D$40,Assumptions!$B100)*DF100*O100,"")</f>
        <v/>
      </c>
      <c r="BL100" s="34" t="str">
        <f ca="1">IFERROR(SUMIFS('TRA balance'!M$5:M$40,'TRA balance'!$C$5:$C$40,Assumptions!$C100,'TRA balance'!$D$5:$D$40,Assumptions!$B100)*DG100*P100,"")</f>
        <v/>
      </c>
      <c r="BM100" s="34" t="str">
        <f ca="1">IFERROR(SUMIFS('TRA balance'!N$5:N$40,'TRA balance'!$C$5:$C$40,Assumptions!$C100,'TRA balance'!$D$5:$D$40,Assumptions!$B100)*DH100*Q100,"")</f>
        <v/>
      </c>
      <c r="BN100" s="34" t="str">
        <f ca="1">IFERROR(SUMIFS('TRA balance'!O$5:O$40,'TRA balance'!$C$5:$C$40,Assumptions!$C100,'TRA balance'!$D$5:$D$40,Assumptions!$B100)*DI100*R100,"")</f>
        <v/>
      </c>
      <c r="BO100" s="34" t="str">
        <f ca="1">IFERROR(SUMIFS('TRA balance'!P$5:P$40,'TRA balance'!$C$5:$C$40,Assumptions!$C100,'TRA balance'!$D$5:$D$40,Assumptions!$B100)*DJ100*S100,"")</f>
        <v/>
      </c>
      <c r="BP100" s="34" t="str">
        <f ca="1">IFERROR(SUMIFS('TRA balance'!Q$5:Q$40,'TRA balance'!$C$5:$C$40,Assumptions!$C100,'TRA balance'!$D$5:$D$40,Assumptions!$B100)*DK100*T100,"")</f>
        <v/>
      </c>
      <c r="BQ100" s="34" t="str">
        <f ca="1">IFERROR(SUMIFS('TRA balance'!R$5:R$40,'TRA balance'!$C$5:$C$40,Assumptions!$C100,'TRA balance'!$D$5:$D$40,Assumptions!$B100)*DL100*U100,"")</f>
        <v/>
      </c>
      <c r="BR100" s="34" t="str">
        <f ca="1">IFERROR(SUMIFS('TRA balance'!S$5:S$40,'TRA balance'!$C$5:$C$40,Assumptions!$C100,'TRA balance'!$D$5:$D$40,Assumptions!$B100)*DM100*V100,"")</f>
        <v/>
      </c>
      <c r="BS100" s="34" t="str">
        <f ca="1">IFERROR(SUMIFS('TRA balance'!T$5:T$40,'TRA balance'!$C$5:$C$40,Assumptions!$C100,'TRA balance'!$D$5:$D$40,Assumptions!$B100)*DN100*W100,"")</f>
        <v/>
      </c>
      <c r="BT100" s="34" t="str">
        <f ca="1">IFERROR(SUMIFS('TRA balance'!U$5:U$40,'TRA balance'!$C$5:$C$40,Assumptions!$C100,'TRA balance'!$D$5:$D$40,Assumptions!$B100)*DO100*X100,"")</f>
        <v/>
      </c>
      <c r="BU100" s="34" t="str">
        <f ca="1">IFERROR(SUMIFS('TRA balance'!V$5:V$40,'TRA balance'!$C$5:$C$40,Assumptions!$C100,'TRA balance'!$D$5:$D$40,Assumptions!$B100)*DP100*Y100,"")</f>
        <v/>
      </c>
      <c r="BV100" s="34" t="str">
        <f ca="1">IFERROR(SUMIFS('TRA balance'!W$5:W$40,'TRA balance'!$C$5:$C$40,Assumptions!$C100,'TRA balance'!$D$5:$D$40,Assumptions!$B100)*DQ100*Z100,"")</f>
        <v/>
      </c>
      <c r="BW100" s="34" t="str">
        <f ca="1">IFERROR(SUMIFS('TRA balance'!X$5:X$40,'TRA balance'!$C$5:$C$40,Assumptions!$C100,'TRA balance'!$D$5:$D$40,Assumptions!$B100)*DR100*AA100,"")</f>
        <v/>
      </c>
      <c r="BX100" s="34" t="str">
        <f ca="1">IFERROR(SUMIFS('TRA balance'!Y$5:Y$40,'TRA balance'!$C$5:$C$40,Assumptions!$C100,'TRA balance'!$D$5:$D$40,Assumptions!$B100)*DS100*AB100,"")</f>
        <v/>
      </c>
      <c r="BY100" s="34" t="str">
        <f ca="1">IFERROR(SUMIFS('TRA balance'!Z$5:Z$40,'TRA balance'!$C$5:$C$40,Assumptions!$C100,'TRA balance'!$D$5:$D$40,Assumptions!$B100)*DT100*AC100,"")</f>
        <v/>
      </c>
      <c r="BZ100" s="34" t="str">
        <f ca="1">IFERROR(SUMIFS('TRA balance'!AA$5:AA$40,'TRA balance'!$C$5:$C$40,Assumptions!$C100,'TRA balance'!$D$5:$D$40,Assumptions!$B100)*DU100*AD100,"")</f>
        <v/>
      </c>
      <c r="CA100" s="34" t="str">
        <f ca="1">IFERROR(SUMIFS('TRA balance'!AB$5:AB$40,'TRA balance'!$C$5:$C$40,Assumptions!$C100,'TRA balance'!$D$5:$D$40,Assumptions!$B100)*DV100*AE100,"")</f>
        <v/>
      </c>
      <c r="CB100" s="34" t="str">
        <f ca="1">IFERROR(SUMIFS('TRA balance'!AC$5:AC$40,'TRA balance'!$C$5:$C$40,Assumptions!$C100,'TRA balance'!$D$5:$D$40,Assumptions!$B100)*DW100*AF100,"")</f>
        <v/>
      </c>
      <c r="CC100" s="34" t="str">
        <f ca="1">IFERROR(SUMIFS('TRA balance'!AD$5:AD$40,'TRA balance'!$C$5:$C$40,Assumptions!$C100,'TRA balance'!$D$5:$D$40,Assumptions!$B100)*DX100*AG100,"")</f>
        <v/>
      </c>
      <c r="CD100" s="34" t="str">
        <f ca="1">IFERROR(SUMIFS('TRA balance'!AE$5:AE$40,'TRA balance'!$C$5:$C$40,Assumptions!$C100,'TRA balance'!$D$5:$D$40,Assumptions!$B100)*DY100*AH100,"")</f>
        <v/>
      </c>
      <c r="CE100" s="34" t="str">
        <f ca="1">IFERROR(SUMIFS('TRA balance'!AF$5:AF$40,'TRA balance'!$C$5:$C$40,Assumptions!$C100,'TRA balance'!$D$5:$D$40,Assumptions!$B100)*DZ100*AI100,"")</f>
        <v/>
      </c>
      <c r="CF100" s="34" t="str">
        <f ca="1">IFERROR(SUMIFS('TRA balance'!AG$5:AG$40,'TRA balance'!$C$5:$C$40,Assumptions!$C100,'TRA balance'!$D$5:$D$40,Assumptions!$B100)*EA100*AJ100,"")</f>
        <v/>
      </c>
      <c r="CG100" s="34" t="str">
        <f ca="1">IFERROR(SUMIFS('TRA balance'!AH$5:AH$40,'TRA balance'!$C$5:$C$40,Assumptions!$C100,'TRA balance'!$D$5:$D$40,Assumptions!$B100)*EB100*AK100,"")</f>
        <v/>
      </c>
      <c r="CH100" s="34" t="str">
        <f ca="1">IFERROR(SUMIFS('TRA balance'!AI$5:AI$40,'TRA balance'!$C$5:$C$40,Assumptions!$C100,'TRA balance'!$D$5:$D$40,Assumptions!$B100)*EC100*AL100,"")</f>
        <v/>
      </c>
      <c r="CI100" s="34" t="str">
        <f ca="1">IFERROR(SUMIFS('TRA balance'!AJ$5:AJ$40,'TRA balance'!$C$5:$C$40,Assumptions!$C100,'TRA balance'!$D$5:$D$40,Assumptions!$B100)*ED100*AM100,"")</f>
        <v/>
      </c>
      <c r="CJ100" s="34" t="str">
        <f ca="1">IFERROR(SUMIFS('TRA balance'!AK$5:AK$40,'TRA balance'!$C$5:$C$40,Assumptions!$C100,'TRA balance'!$D$5:$D$40,Assumptions!$B100)*EE100*AN100,"")</f>
        <v/>
      </c>
      <c r="CK100" s="34" t="str">
        <f ca="1">IFERROR(SUMIFS('TRA balance'!AL$5:AL$40,'TRA balance'!$C$5:$C$40,Assumptions!$C100,'TRA balance'!$D$5:$D$40,Assumptions!$B100)*EF100*AO100,"")</f>
        <v/>
      </c>
      <c r="CL100" s="34" t="str">
        <f ca="1">IFERROR(SUMIFS('TRA balance'!AM$5:AM$40,'TRA balance'!$C$5:$C$40,Assumptions!$C100,'TRA balance'!$D$5:$D$40,Assumptions!$B100)*EG100*AP100,"")</f>
        <v/>
      </c>
      <c r="CM100" s="34" t="str">
        <f ca="1">IFERROR(SUMIFS('TRA balance'!AN$5:AN$40,'TRA balance'!$C$5:$C$40,Assumptions!$C100,'TRA balance'!$D$5:$D$40,Assumptions!$B100)*EH100*AQ100,"")</f>
        <v/>
      </c>
      <c r="CN100" s="34" t="str">
        <f ca="1">IFERROR(SUMIFS('TRA balance'!AO$5:AO$40,'TRA balance'!$C$5:$C$40,Assumptions!$C100,'TRA balance'!$D$5:$D$40,Assumptions!$B100)*EI100*AR100,"")</f>
        <v/>
      </c>
      <c r="CO100" s="34" t="str">
        <f ca="1">IFERROR(SUMIFS('TRA balance'!AP$5:AP$40,'TRA balance'!$C$5:$C$40,Assumptions!$C100,'TRA balance'!$D$5:$D$40,Assumptions!$B100)*EJ100*AS100,"")</f>
        <v/>
      </c>
      <c r="CP100" s="34" t="str">
        <f ca="1">IFERROR(SUMIFS('TRA balance'!AQ$5:AQ$40,'TRA balance'!$C$5:$C$40,Assumptions!$C100,'TRA balance'!$D$5:$D$40,Assumptions!$B100)*EK100*AT100,"")</f>
        <v/>
      </c>
      <c r="CQ100" s="34" t="str">
        <f ca="1">IFERROR(SUMIFS('TRA balance'!AR$5:AR$40,'TRA balance'!$C$5:$C$40,Assumptions!$C100,'TRA balance'!$D$5:$D$40,Assumptions!$B100)*EL100*AU100,"")</f>
        <v/>
      </c>
      <c r="CR100" s="34" t="str">
        <f ca="1">IFERROR(SUMIFS('TRA balance'!AS$5:AS$40,'TRA balance'!$C$5:$C$40,Assumptions!$C100,'TRA balance'!$D$5:$D$40,Assumptions!$B100)*EM100*AV100,"")</f>
        <v/>
      </c>
      <c r="CS100" s="34" t="str">
        <f ca="1">IFERROR(SUMIFS('TRA balance'!AT$5:AT$40,'TRA balance'!$C$5:$C$40,Assumptions!$C100,'TRA balance'!$D$5:$D$40,Assumptions!$B100)*EN100*AW100,"")</f>
        <v/>
      </c>
      <c r="CT100" s="34" t="str">
        <f ca="1">IFERROR(SUMIFS('TRA balance'!AU$5:AU$40,'TRA balance'!$C$5:$C$40,Assumptions!$C100,'TRA balance'!$D$5:$D$40,Assumptions!$B100)*EO100*AX100,"")</f>
        <v/>
      </c>
      <c r="CU100" s="34" t="str">
        <f ca="1">IFERROR(SUMIFS('TRA balance'!AV$5:AV$40,'TRA balance'!$C$5:$C$40,Assumptions!$C100,'TRA balance'!$D$5:$D$40,Assumptions!$B100)*EP100*AY100,"")</f>
        <v/>
      </c>
      <c r="CV100" s="34" t="str">
        <f ca="1">IFERROR(SUMIFS('TRA balance'!AW$5:AW$40,'TRA balance'!$C$5:$C$40,Assumptions!$C100,'TRA balance'!$D$5:$D$40,Assumptions!$B100)*EQ100*AZ100,"")</f>
        <v/>
      </c>
      <c r="CW100" s="34" t="str">
        <f ca="1">IFERROR(SUMIFS('TRA balance'!AX$5:AX$40,'TRA balance'!$C$5:$C$40,Assumptions!$C100,'TRA balance'!$D$5:$D$40,Assumptions!$B100)*ER100*BA100,"")</f>
        <v/>
      </c>
      <c r="CY100" s="33">
        <f t="shared" si="86"/>
        <v>1</v>
      </c>
      <c r="CZ100" s="33">
        <f t="shared" si="87"/>
        <v>1</v>
      </c>
      <c r="DA100" s="33">
        <f t="shared" si="88"/>
        <v>1</v>
      </c>
      <c r="DB100" s="33">
        <f t="shared" si="89"/>
        <v>1</v>
      </c>
      <c r="DC100" s="33">
        <f t="shared" si="90"/>
        <v>1</v>
      </c>
      <c r="DD100" s="33">
        <f t="shared" si="91"/>
        <v>1</v>
      </c>
      <c r="DE100" s="33">
        <f t="shared" si="92"/>
        <v>1</v>
      </c>
      <c r="DF100" s="33">
        <f t="shared" si="93"/>
        <v>1</v>
      </c>
      <c r="DG100" s="33">
        <f t="shared" si="94"/>
        <v>1</v>
      </c>
      <c r="DH100" s="33">
        <f t="shared" si="95"/>
        <v>1</v>
      </c>
      <c r="DI100" s="33">
        <f t="shared" si="96"/>
        <v>1</v>
      </c>
      <c r="DJ100" s="33">
        <f t="shared" si="97"/>
        <v>1</v>
      </c>
      <c r="DK100" s="33">
        <f t="shared" si="98"/>
        <v>1</v>
      </c>
      <c r="DL100" s="33">
        <f t="shared" si="99"/>
        <v>1</v>
      </c>
      <c r="DM100" s="33">
        <f t="shared" si="100"/>
        <v>1</v>
      </c>
      <c r="DN100" s="33">
        <f t="shared" si="101"/>
        <v>1</v>
      </c>
      <c r="DO100" s="33">
        <f t="shared" si="102"/>
        <v>1</v>
      </c>
      <c r="DP100" s="33">
        <f t="shared" si="103"/>
        <v>1</v>
      </c>
      <c r="DQ100" s="33">
        <f t="shared" si="104"/>
        <v>1</v>
      </c>
      <c r="DR100" s="33">
        <f t="shared" si="105"/>
        <v>1</v>
      </c>
      <c r="DS100" s="33">
        <f t="shared" si="106"/>
        <v>1</v>
      </c>
      <c r="DT100" s="33">
        <f t="shared" si="107"/>
        <v>1</v>
      </c>
      <c r="DU100" s="33">
        <f t="shared" si="108"/>
        <v>1</v>
      </c>
      <c r="DV100" s="33">
        <f t="shared" si="109"/>
        <v>1</v>
      </c>
      <c r="DW100" s="33">
        <f t="shared" si="110"/>
        <v>1</v>
      </c>
      <c r="DX100" s="33">
        <f t="shared" si="111"/>
        <v>1</v>
      </c>
      <c r="DY100" s="33">
        <f t="shared" si="112"/>
        <v>1</v>
      </c>
      <c r="DZ100" s="33">
        <f t="shared" si="113"/>
        <v>1</v>
      </c>
      <c r="EA100" s="33">
        <f t="shared" si="114"/>
        <v>1</v>
      </c>
      <c r="EB100" s="33">
        <f t="shared" si="115"/>
        <v>1</v>
      </c>
      <c r="EC100" s="33">
        <f t="shared" si="116"/>
        <v>1</v>
      </c>
      <c r="ED100" s="33">
        <f t="shared" si="117"/>
        <v>1</v>
      </c>
      <c r="EE100" s="33">
        <f t="shared" si="118"/>
        <v>1</v>
      </c>
      <c r="EF100" s="33">
        <f t="shared" si="119"/>
        <v>1</v>
      </c>
      <c r="EG100" s="33">
        <f t="shared" si="120"/>
        <v>1</v>
      </c>
      <c r="EH100" s="33">
        <f t="shared" si="121"/>
        <v>1</v>
      </c>
      <c r="EI100" s="33">
        <f t="shared" si="122"/>
        <v>1</v>
      </c>
      <c r="EJ100" s="33">
        <f t="shared" si="123"/>
        <v>1</v>
      </c>
      <c r="EK100" s="33">
        <f t="shared" si="124"/>
        <v>1</v>
      </c>
      <c r="EL100" s="33">
        <f t="shared" si="125"/>
        <v>1</v>
      </c>
      <c r="EM100" s="33">
        <f t="shared" si="126"/>
        <v>1</v>
      </c>
      <c r="EN100" s="33">
        <f t="shared" si="127"/>
        <v>1</v>
      </c>
      <c r="EO100" s="33">
        <f t="shared" si="128"/>
        <v>1</v>
      </c>
      <c r="EP100" s="33">
        <f t="shared" si="129"/>
        <v>1</v>
      </c>
      <c r="EQ100" s="33">
        <f t="shared" si="130"/>
        <v>1</v>
      </c>
      <c r="ER100" s="33">
        <f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6" t="str">
        <f t="shared" si="133"/>
        <v>TT</v>
      </c>
      <c r="D101" s="7" t="s">
        <v>17</v>
      </c>
      <c r="E101" s="7" t="s">
        <v>53</v>
      </c>
      <c r="F101" s="8" t="str">
        <f t="shared" si="146"/>
        <v>Electricity</v>
      </c>
      <c r="G101" s="6" t="s">
        <v>55</v>
      </c>
      <c r="H101" s="9">
        <f ca="1">OFFSET(TIAM15_assumptions!$G101,0,MATCH(VLOOKUP(Assumptions!H$2,TIAM15_assumptions!$Y$3:$Z$87,2,FALSE),TIAM15_assumptions!$H$2:$V$2,0))</f>
        <v>0.3</v>
      </c>
      <c r="I101" s="9">
        <f ca="1">OFFSET(TIAM15_assumptions!$G101,0,MATCH(VLOOKUP(Assumptions!I$2,TIAM15_assumptions!$Y$3:$Z$87,2,FALSE),TIAM15_assumptions!$H$2:$V$2,0))</f>
        <v>0.3</v>
      </c>
      <c r="J101" s="9">
        <f ca="1">OFFSET(TIAM15_assumptions!$G101,0,MATCH(VLOOKUP(Assumptions!J$2,TIAM15_assumptions!$Y$3:$Z$87,2,FALSE),TIAM15_assumptions!$H$2:$V$2,0))</f>
        <v>0.3</v>
      </c>
      <c r="K101" s="9">
        <f ca="1">OFFSET(TIAM15_assumptions!$G101,0,MATCH(VLOOKUP(Assumptions!K$2,TIAM15_assumptions!$Y$3:$Z$87,2,FALSE),TIAM15_assumptions!$H$2:$V$2,0))</f>
        <v>0</v>
      </c>
      <c r="L101" s="9">
        <f ca="1">OFFSET(TIAM15_assumptions!$G101,0,MATCH(VLOOKUP(Assumptions!L$2,TIAM15_assumptions!$Y$3:$Z$87,2,FALSE),TIAM15_assumptions!$H$2:$V$2,0))</f>
        <v>0.2</v>
      </c>
      <c r="M101" s="9">
        <f ca="1">OFFSET(TIAM15_assumptions!$G101,0,MATCH(VLOOKUP(Assumptions!M$2,TIAM15_assumptions!$Y$3:$Z$87,2,FALSE),TIAM15_assumptions!$H$2:$V$2,0))</f>
        <v>0</v>
      </c>
      <c r="N101" s="9">
        <f ca="1">OFFSET(TIAM15_assumptions!$G101,0,MATCH(VLOOKUP(Assumptions!N$2,TIAM15_assumptions!$Y$3:$Z$87,2,FALSE),TIAM15_assumptions!$H$2:$V$2,0))</f>
        <v>0.05</v>
      </c>
      <c r="O101" s="9">
        <f ca="1">OFFSET(TIAM15_assumptions!$G101,0,MATCH(VLOOKUP(Assumptions!O$2,TIAM15_assumptions!$Y$3:$Z$87,2,FALSE),TIAM15_assumptions!$H$2:$V$2,0))</f>
        <v>0.2</v>
      </c>
      <c r="P101" s="9">
        <f ca="1">OFFSET(TIAM15_assumptions!$G101,0,MATCH(VLOOKUP(Assumptions!P$2,TIAM15_assumptions!$Y$3:$Z$87,2,FALSE),TIAM15_assumptions!$H$2:$V$2,0))</f>
        <v>0.1</v>
      </c>
      <c r="Q101" s="9">
        <f ca="1">OFFSET(TIAM15_assumptions!$G101,0,MATCH(VLOOKUP(Assumptions!Q$2,TIAM15_assumptions!$Y$3:$Z$87,2,FALSE),TIAM15_assumptions!$H$2:$V$2,0))</f>
        <v>0.1</v>
      </c>
      <c r="R101" s="9">
        <f ca="1">OFFSET(TIAM15_assumptions!$G101,0,MATCH(VLOOKUP(Assumptions!R$2,TIAM15_assumptions!$Y$3:$Z$87,2,FALSE),TIAM15_assumptions!$H$2:$V$2,0))</f>
        <v>0</v>
      </c>
      <c r="S101" s="9">
        <f ca="1">OFFSET(TIAM15_assumptions!$G101,0,MATCH(VLOOKUP(Assumptions!S$2,TIAM15_assumptions!$Y$3:$Z$87,2,FALSE),TIAM15_assumptions!$H$2:$V$2,0))</f>
        <v>0</v>
      </c>
      <c r="T101" s="9">
        <f ca="1">OFFSET(TIAM15_assumptions!$G101,0,MATCH(VLOOKUP(Assumptions!T$2,TIAM15_assumptions!$Y$3:$Z$87,2,FALSE),TIAM15_assumptions!$H$2:$V$2,0))</f>
        <v>0</v>
      </c>
      <c r="U101" s="9">
        <f ca="1">OFFSET(TIAM15_assumptions!$G101,0,MATCH(VLOOKUP(Assumptions!U$2,TIAM15_assumptions!$Y$3:$Z$87,2,FALSE),TIAM15_assumptions!$H$2:$V$2,0))</f>
        <v>0.1</v>
      </c>
      <c r="V101" s="9">
        <f ca="1">OFFSET(TIAM15_assumptions!$G101,0,MATCH(VLOOKUP(Assumptions!V$2,TIAM15_assumptions!$Y$3:$Z$87,2,FALSE),TIAM15_assumptions!$H$2:$V$2,0))</f>
        <v>0</v>
      </c>
      <c r="W101" s="9">
        <f ca="1">OFFSET(TIAM15_assumptions!$G101,0,MATCH(VLOOKUP(Assumptions!W$2,TIAM15_assumptions!$Y$3:$Z$87,2,FALSE),TIAM15_assumptions!$H$2:$V$2,0))</f>
        <v>0.3</v>
      </c>
      <c r="X101" s="9">
        <f ca="1">OFFSET(TIAM15_assumptions!$G101,0,MATCH(VLOOKUP(Assumptions!X$2,TIAM15_assumptions!$Y$3:$Z$87,2,FALSE),TIAM15_assumptions!$H$2:$V$2,0))</f>
        <v>0</v>
      </c>
      <c r="Y101" s="9">
        <f ca="1">OFFSET(TIAM15_assumptions!$G101,0,MATCH(VLOOKUP(Assumptions!Y$2,TIAM15_assumptions!$Y$3:$Z$87,2,FALSE),TIAM15_assumptions!$H$2:$V$2,0))</f>
        <v>0</v>
      </c>
      <c r="Z101" s="9">
        <f ca="1">OFFSET(TIAM15_assumptions!$G101,0,MATCH(VLOOKUP(Assumptions!Z$2,TIAM15_assumptions!$Y$3:$Z$87,2,FALSE),TIAM15_assumptions!$H$2:$V$2,0))</f>
        <v>0</v>
      </c>
      <c r="AA101" s="9">
        <f ca="1">OFFSET(TIAM15_assumptions!$G101,0,MATCH(VLOOKUP(Assumptions!AA$2,TIAM15_assumptions!$Y$3:$Z$87,2,FALSE),TIAM15_assumptions!$H$2:$V$2,0))</f>
        <v>0.05</v>
      </c>
      <c r="AB101" s="9">
        <f ca="1">OFFSET(TIAM15_assumptions!$G101,0,MATCH(VLOOKUP(Assumptions!AB$2,TIAM15_assumptions!$Y$3:$Z$87,2,FALSE),TIAM15_assumptions!$H$2:$V$2,0))</f>
        <v>0.1</v>
      </c>
      <c r="AC101" s="9">
        <f ca="1">OFFSET(TIAM15_assumptions!$G101,0,MATCH(VLOOKUP(Assumptions!AC$2,TIAM15_assumptions!$Y$3:$Z$87,2,FALSE),TIAM15_assumptions!$H$2:$V$2,0))</f>
        <v>0</v>
      </c>
      <c r="AD101" s="9">
        <f ca="1">OFFSET(TIAM15_assumptions!$G101,0,MATCH(VLOOKUP(Assumptions!AD$2,TIAM15_assumptions!$Y$3:$Z$87,2,FALSE),TIAM15_assumptions!$H$2:$V$2,0))</f>
        <v>0</v>
      </c>
      <c r="AE101" s="9">
        <f ca="1">OFFSET(TIAM15_assumptions!$G101,0,MATCH(VLOOKUP(Assumptions!AE$2,TIAM15_assumptions!$Y$3:$Z$87,2,FALSE),TIAM15_assumptions!$H$2:$V$2,0))</f>
        <v>0.1</v>
      </c>
      <c r="AF101" s="9">
        <f ca="1">OFFSET(TIAM15_assumptions!$G101,0,MATCH(VLOOKUP(Assumptions!AF$2,TIAM15_assumptions!$Y$3:$Z$87,2,FALSE),TIAM15_assumptions!$H$2:$V$2,0))</f>
        <v>0.05</v>
      </c>
      <c r="AG101" s="9">
        <f ca="1">OFFSET(TIAM15_assumptions!$G101,0,MATCH(VLOOKUP(Assumptions!AG$2,TIAM15_assumptions!$Y$3:$Z$87,2,FALSE),TIAM15_assumptions!$H$2:$V$2,0))</f>
        <v>0.2</v>
      </c>
      <c r="AH101" s="9">
        <f ca="1">OFFSET(TIAM15_assumptions!$G101,0,MATCH(VLOOKUP(Assumptions!AH$2,TIAM15_assumptions!$Y$3:$Z$87,2,FALSE),TIAM15_assumptions!$H$2:$V$2,0))</f>
        <v>0.1</v>
      </c>
      <c r="AI101" s="9">
        <f ca="1">OFFSET(TIAM15_assumptions!$G101,0,MATCH(VLOOKUP(Assumptions!AI$2,TIAM15_assumptions!$Y$3:$Z$87,2,FALSE),TIAM15_assumptions!$H$2:$V$2,0))</f>
        <v>0.3</v>
      </c>
      <c r="AJ101" s="9">
        <f ca="1">OFFSET(TIAM15_assumptions!$G101,0,MATCH(VLOOKUP(Assumptions!AJ$2,TIAM15_assumptions!$Y$3:$Z$87,2,FALSE),TIAM15_assumptions!$H$2:$V$2,0))</f>
        <v>0</v>
      </c>
      <c r="AK101" s="9">
        <f ca="1">OFFSET(TIAM15_assumptions!$G101,0,MATCH(VLOOKUP(Assumptions!AK$2,TIAM15_assumptions!$Y$3:$Z$87,2,FALSE),TIAM15_assumptions!$H$2:$V$2,0))</f>
        <v>0</v>
      </c>
      <c r="AL101" s="9">
        <f ca="1">OFFSET(TIAM15_assumptions!$G101,0,MATCH(VLOOKUP(Assumptions!AL$2,TIAM15_assumptions!$Y$3:$Z$87,2,FALSE),TIAM15_assumptions!$H$2:$V$2,0))</f>
        <v>0</v>
      </c>
      <c r="AM101" s="9">
        <f ca="1">OFFSET(TIAM15_assumptions!$G101,0,MATCH(VLOOKUP(Assumptions!AM$2,TIAM15_assumptions!$Y$3:$Z$87,2,FALSE),TIAM15_assumptions!$H$2:$V$2,0))</f>
        <v>0.1</v>
      </c>
      <c r="AN101" s="9">
        <f ca="1">OFFSET(TIAM15_assumptions!$G101,0,MATCH(VLOOKUP(Assumptions!AN$2,TIAM15_assumptions!$Y$3:$Z$87,2,FALSE),TIAM15_assumptions!$H$2:$V$2,0))</f>
        <v>0</v>
      </c>
      <c r="AO101" s="9">
        <f ca="1">OFFSET(TIAM15_assumptions!$G101,0,MATCH(VLOOKUP(Assumptions!AO$2,TIAM15_assumptions!$Y$3:$Z$87,2,FALSE),TIAM15_assumptions!$H$2:$V$2,0))</f>
        <v>0.2</v>
      </c>
      <c r="AP101" s="9">
        <f ca="1">OFFSET(TIAM15_assumptions!$G101,0,MATCH(VLOOKUP(Assumptions!AP$2,TIAM15_assumptions!$Y$3:$Z$87,2,FALSE),TIAM15_assumptions!$H$2:$V$2,0))</f>
        <v>0.1</v>
      </c>
      <c r="AQ101" s="9">
        <f ca="1">OFFSET(TIAM15_assumptions!$G101,0,MATCH(VLOOKUP(Assumptions!AQ$2,TIAM15_assumptions!$Y$3:$Z$87,2,FALSE),TIAM15_assumptions!$H$2:$V$2,0))</f>
        <v>0</v>
      </c>
      <c r="AR101" s="9">
        <f ca="1">OFFSET(TIAM15_assumptions!$G101,0,MATCH(VLOOKUP(Assumptions!AR$2,TIAM15_assumptions!$Y$3:$Z$87,2,FALSE),TIAM15_assumptions!$H$2:$V$2,0))</f>
        <v>0</v>
      </c>
      <c r="AS101" s="9">
        <f ca="1">OFFSET(TIAM15_assumptions!$G101,0,MATCH(VLOOKUP(Assumptions!AS$2,TIAM15_assumptions!$Y$3:$Z$87,2,FALSE),TIAM15_assumptions!$H$2:$V$2,0))</f>
        <v>0</v>
      </c>
      <c r="AT101" s="9">
        <f ca="1">OFFSET(TIAM15_assumptions!$G101,0,MATCH(VLOOKUP(Assumptions!AT$2,TIAM15_assumptions!$Y$3:$Z$87,2,FALSE),TIAM15_assumptions!$H$2:$V$2,0))</f>
        <v>0</v>
      </c>
      <c r="AU101" s="9">
        <f ca="1">OFFSET(TIAM15_assumptions!$G101,0,MATCH(VLOOKUP(Assumptions!AU$2,TIAM15_assumptions!$Y$3:$Z$87,2,FALSE),TIAM15_assumptions!$H$2:$V$2,0))</f>
        <v>0</v>
      </c>
      <c r="AV101" s="9">
        <f ca="1">OFFSET(TIAM15_assumptions!$G101,0,MATCH(VLOOKUP(Assumptions!AV$2,TIAM15_assumptions!$Y$3:$Z$87,2,FALSE),TIAM15_assumptions!$H$2:$V$2,0))</f>
        <v>0</v>
      </c>
      <c r="AW101" s="9">
        <f ca="1">OFFSET(TIAM15_assumptions!$G101,0,MATCH(VLOOKUP(Assumptions!AW$2,TIAM15_assumptions!$Y$3:$Z$87,2,FALSE),TIAM15_assumptions!$H$2:$V$2,0))</f>
        <v>0</v>
      </c>
      <c r="AX101" s="9">
        <f ca="1">OFFSET(TIAM15_assumptions!$G101,0,MATCH(VLOOKUP(Assumptions!AX$2,TIAM15_assumptions!$Y$3:$Z$87,2,FALSE),TIAM15_assumptions!$H$2:$V$2,0))</f>
        <v>0</v>
      </c>
      <c r="AY101" s="9">
        <f ca="1">OFFSET(TIAM15_assumptions!$G101,0,MATCH(VLOOKUP(Assumptions!AY$2,TIAM15_assumptions!$Y$3:$Z$87,2,FALSE),TIAM15_assumptions!$H$2:$V$2,0))</f>
        <v>0</v>
      </c>
      <c r="AZ101" s="9">
        <f ca="1">OFFSET(TIAM15_assumptions!$G101,0,MATCH(VLOOKUP(Assumptions!AZ$2,TIAM15_assumptions!$Y$3:$Z$87,2,FALSE),TIAM15_assumptions!$H$2:$V$2,0))</f>
        <v>0</v>
      </c>
      <c r="BA101" s="9">
        <f ca="1">OFFSET(TIAM15_assumptions!$G101,0,MATCH(VLOOKUP(Assumptions!BA$2,TIAM15_assumptions!$Y$3:$Z$87,2,FALSE),TIAM15_assumptions!$H$2:$V$2,0))</f>
        <v>0</v>
      </c>
      <c r="BD101" s="34">
        <f ca="1">IFERROR(SUMIFS('TRA balance'!E$5:E$40,'TRA balance'!$C$5:$C$40,Assumptions!$C101,'TRA balance'!$D$5:$D$40,Assumptions!$B101)*CY101*H101,"")</f>
        <v>2.3358224188799999</v>
      </c>
      <c r="BE101" s="34">
        <f ca="1">IFERROR(SUMIFS('TRA balance'!F$5:F$40,'TRA balance'!$C$5:$C$40,Assumptions!$C101,'TRA balance'!$D$5:$D$40,Assumptions!$B101)*CZ101*I101,"")</f>
        <v>5.4566145720000001E-2</v>
      </c>
      <c r="BF101" s="34">
        <f ca="1">IFERROR(SUMIFS('TRA balance'!G$5:G$40,'TRA balance'!$C$5:$C$40,Assumptions!$C101,'TRA balance'!$D$5:$D$40,Assumptions!$B101)*DA101*J101,"")</f>
        <v>3.4992005799599997</v>
      </c>
      <c r="BG101" s="34">
        <f ca="1">IFERROR(SUMIFS('TRA balance'!H$5:H$40,'TRA balance'!$C$5:$C$40,Assumptions!$C101,'TRA balance'!$D$5:$D$40,Assumptions!$B101)*DB101*K101,"")</f>
        <v>0</v>
      </c>
      <c r="BH101" s="34">
        <f ca="1">IFERROR(SUMIFS('TRA balance'!I$5:I$40,'TRA balance'!$C$5:$C$40,Assumptions!$C101,'TRA balance'!$D$5:$D$40,Assumptions!$B101)*DC101*L101,"")</f>
        <v>6.8143519440000008E-2</v>
      </c>
      <c r="BI101" s="34">
        <f ca="1">IFERROR(SUMIFS('TRA balance'!J$5:J$40,'TRA balance'!$C$5:$C$40,Assumptions!$C101,'TRA balance'!$D$5:$D$40,Assumptions!$B101)*DD101*M101,"")</f>
        <v>0</v>
      </c>
      <c r="BJ101" s="34">
        <f ca="1">IFERROR(SUMIFS('TRA balance'!K$5:K$40,'TRA balance'!$C$5:$C$40,Assumptions!$C101,'TRA balance'!$D$5:$D$40,Assumptions!$B101)*DE101*N101,"")</f>
        <v>0.40510220759999999</v>
      </c>
      <c r="BK101" s="34">
        <f ca="1">IFERROR(SUMIFS('TRA balance'!L$5:L$40,'TRA balance'!$C$5:$C$40,Assumptions!$C101,'TRA balance'!$D$5:$D$40,Assumptions!$B101)*DF101*O101,"")</f>
        <v>70.218464862960005</v>
      </c>
      <c r="BL101" s="34">
        <f ca="1">IFERROR(SUMIFS('TRA balance'!M$5:M$40,'TRA balance'!$C$5:$C$40,Assumptions!$C101,'TRA balance'!$D$5:$D$40,Assumptions!$B101)*DG101*P101,"")</f>
        <v>0.16635579912000001</v>
      </c>
      <c r="BM101" s="34">
        <f ca="1">IFERROR(SUMIFS('TRA balance'!N$5:N$40,'TRA balance'!$C$5:$C$40,Assumptions!$C101,'TRA balance'!$D$5:$D$40,Assumptions!$B101)*DH101*Q101,"")</f>
        <v>0.74760924311999999</v>
      </c>
      <c r="BN101" s="34">
        <f ca="1">IFERROR(SUMIFS('TRA balance'!O$5:O$40,'TRA balance'!$C$5:$C$40,Assumptions!$C101,'TRA balance'!$D$5:$D$40,Assumptions!$B101)*DI101*R101,"")</f>
        <v>0</v>
      </c>
      <c r="BO101" s="34">
        <f ca="1">IFERROR(SUMIFS('TRA balance'!P$5:P$40,'TRA balance'!$C$5:$C$40,Assumptions!$C101,'TRA balance'!$D$5:$D$40,Assumptions!$B101)*DJ101*S101,"")</f>
        <v>0</v>
      </c>
      <c r="BP101" s="34">
        <f ca="1">IFERROR(SUMIFS('TRA balance'!Q$5:Q$40,'TRA balance'!$C$5:$C$40,Assumptions!$C101,'TRA balance'!$D$5:$D$40,Assumptions!$B101)*DK101*T101,"")</f>
        <v>0</v>
      </c>
      <c r="BQ101" s="34">
        <f ca="1">IFERROR(SUMIFS('TRA balance'!R$5:R$40,'TRA balance'!$C$5:$C$40,Assumptions!$C101,'TRA balance'!$D$5:$D$40,Assumptions!$B101)*DL101*U101,"")</f>
        <v>0.88579373976000009</v>
      </c>
      <c r="BR101" s="34">
        <f ca="1">IFERROR(SUMIFS('TRA balance'!S$5:S$40,'TRA balance'!$C$5:$C$40,Assumptions!$C101,'TRA balance'!$D$5:$D$40,Assumptions!$B101)*DM101*V101,"")</f>
        <v>0</v>
      </c>
      <c r="BS101" s="34">
        <f ca="1">IFERROR(SUMIFS('TRA balance'!T$5:T$40,'TRA balance'!$C$5:$C$40,Assumptions!$C101,'TRA balance'!$D$5:$D$40,Assumptions!$B101)*DN101*W101,"")</f>
        <v>20.679839468639997</v>
      </c>
      <c r="BT101" s="34">
        <f ca="1">IFERROR(SUMIFS('TRA balance'!U$5:U$40,'TRA balance'!$C$5:$C$40,Assumptions!$C101,'TRA balance'!$D$5:$D$40,Assumptions!$B101)*DO101*X101,"")</f>
        <v>0</v>
      </c>
      <c r="BU101" s="34">
        <f ca="1">IFERROR(SUMIFS('TRA balance'!V$5:V$40,'TRA balance'!$C$5:$C$40,Assumptions!$C101,'TRA balance'!$D$5:$D$40,Assumptions!$B101)*DP101*Y101,"")</f>
        <v>0</v>
      </c>
      <c r="BV101" s="34">
        <f ca="1">IFERROR(SUMIFS('TRA balance'!W$5:W$40,'TRA balance'!$C$5:$C$40,Assumptions!$C101,'TRA balance'!$D$5:$D$40,Assumptions!$B101)*DQ101*Z101,"")</f>
        <v>0</v>
      </c>
      <c r="BW101" s="34">
        <f ca="1">IFERROR(SUMIFS('TRA balance'!X$5:X$40,'TRA balance'!$C$5:$C$40,Assumptions!$C101,'TRA balance'!$D$5:$D$40,Assumptions!$B101)*DR101*AA101,"")</f>
        <v>0.26022050567999999</v>
      </c>
      <c r="BX101" s="34">
        <f ca="1">IFERROR(SUMIFS('TRA balance'!Y$5:Y$40,'TRA balance'!$C$5:$C$40,Assumptions!$C101,'TRA balance'!$D$5:$D$40,Assumptions!$B101)*DS101*AB101,"")</f>
        <v>0</v>
      </c>
      <c r="BY101" s="34">
        <f ca="1">IFERROR(SUMIFS('TRA balance'!Z$5:Z$40,'TRA balance'!$C$5:$C$40,Assumptions!$C101,'TRA balance'!$D$5:$D$40,Assumptions!$B101)*DT101*AC101,"")</f>
        <v>0</v>
      </c>
      <c r="BZ101" s="34">
        <f ca="1">IFERROR(SUMIFS('TRA balance'!AA$5:AA$40,'TRA balance'!$C$5:$C$40,Assumptions!$C101,'TRA balance'!$D$5:$D$40,Assumptions!$B101)*DU101*AD101,"")</f>
        <v>0</v>
      </c>
      <c r="CA101" s="34">
        <f ca="1">IFERROR(SUMIFS('TRA balance'!AB$5:AB$40,'TRA balance'!$C$5:$C$40,Assumptions!$C101,'TRA balance'!$D$5:$D$40,Assumptions!$B101)*DV101*AE101,"")</f>
        <v>1.13277725856</v>
      </c>
      <c r="CB101" s="34">
        <f ca="1">IFERROR(SUMIFS('TRA balance'!AC$5:AC$40,'TRA balance'!$C$5:$C$40,Assumptions!$C101,'TRA balance'!$D$5:$D$40,Assumptions!$B101)*DW101*AF101,"")</f>
        <v>2.5475233554000001</v>
      </c>
      <c r="CC101" s="34">
        <f ca="1">IFERROR(SUMIFS('TRA balance'!AD$5:AD$40,'TRA balance'!$C$5:$C$40,Assumptions!$C101,'TRA balance'!$D$5:$D$40,Assumptions!$B101)*DX101*AG101,"")</f>
        <v>38.565288037440006</v>
      </c>
      <c r="CD101" s="34">
        <f ca="1">IFERROR(SUMIFS('TRA balance'!AE$5:AE$40,'TRA balance'!$C$5:$C$40,Assumptions!$C101,'TRA balance'!$D$5:$D$40,Assumptions!$B101)*DY101*AH101,"")</f>
        <v>0</v>
      </c>
      <c r="CE101" s="34">
        <f ca="1">IFERROR(SUMIFS('TRA balance'!AF$5:AF$40,'TRA balance'!$C$5:$C$40,Assumptions!$C101,'TRA balance'!$D$5:$D$40,Assumptions!$B101)*DZ101*AI101,"")</f>
        <v>2.80800051192</v>
      </c>
      <c r="CF101" s="34">
        <f ca="1">IFERROR(SUMIFS('TRA balance'!AG$5:AG$40,'TRA balance'!$C$5:$C$40,Assumptions!$C101,'TRA balance'!$D$5:$D$40,Assumptions!$B101)*EA101*AJ101,"")</f>
        <v>0</v>
      </c>
      <c r="CG101" s="34">
        <f ca="1">IFERROR(SUMIFS('TRA balance'!AH$5:AH$40,'TRA balance'!$C$5:$C$40,Assumptions!$C101,'TRA balance'!$D$5:$D$40,Assumptions!$B101)*EB101*AK101,"")</f>
        <v>0</v>
      </c>
      <c r="CH101" s="34">
        <f ca="1">IFERROR(SUMIFS('TRA balance'!AI$5:AI$40,'TRA balance'!$C$5:$C$40,Assumptions!$C101,'TRA balance'!$D$5:$D$40,Assumptions!$B101)*EC101*AL101,"")</f>
        <v>0</v>
      </c>
      <c r="CI101" s="34">
        <f ca="1">IFERROR(SUMIFS('TRA balance'!AJ$5:AJ$40,'TRA balance'!$C$5:$C$40,Assumptions!$C101,'TRA balance'!$D$5:$D$40,Assumptions!$B101)*ED101*AM101,"")</f>
        <v>0.46356207732000004</v>
      </c>
      <c r="CJ101" s="34">
        <f ca="1">IFERROR(SUMIFS('TRA balance'!AK$5:AK$40,'TRA balance'!$C$5:$C$40,Assumptions!$C101,'TRA balance'!$D$5:$D$40,Assumptions!$B101)*EE101*AN101,"")</f>
        <v>0</v>
      </c>
      <c r="CK101" s="34">
        <f ca="1">IFERROR(SUMIFS('TRA balance'!AL$5:AL$40,'TRA balance'!$C$5:$C$40,Assumptions!$C101,'TRA balance'!$D$5:$D$40,Assumptions!$B101)*EF101*AO101,"")</f>
        <v>3.8535114607200001</v>
      </c>
      <c r="CL101" s="34">
        <f ca="1">IFERROR(SUMIFS('TRA balance'!AM$5:AM$40,'TRA balance'!$C$5:$C$40,Assumptions!$C101,'TRA balance'!$D$5:$D$40,Assumptions!$B101)*EG101*AP101,"")</f>
        <v>0.16868575332000002</v>
      </c>
      <c r="CM101" s="34">
        <f ca="1">IFERROR(SUMIFS('TRA balance'!AN$5:AN$40,'TRA balance'!$C$5:$C$40,Assumptions!$C101,'TRA balance'!$D$5:$D$40,Assumptions!$B101)*EH101*AQ101,"")</f>
        <v>0</v>
      </c>
      <c r="CN101" s="34">
        <f ca="1">IFERROR(SUMIFS('TRA balance'!AO$5:AO$40,'TRA balance'!$C$5:$C$40,Assumptions!$C101,'TRA balance'!$D$5:$D$40,Assumptions!$B101)*EI101*AR101,"")</f>
        <v>0</v>
      </c>
      <c r="CO101" s="34">
        <f ca="1">IFERROR(SUMIFS('TRA balance'!AP$5:AP$40,'TRA balance'!$C$5:$C$40,Assumptions!$C101,'TRA balance'!$D$5:$D$40,Assumptions!$B101)*EJ101*AS101,"")</f>
        <v>0</v>
      </c>
      <c r="CP101" s="34">
        <f ca="1">IFERROR(SUMIFS('TRA balance'!AQ$5:AQ$40,'TRA balance'!$C$5:$C$40,Assumptions!$C101,'TRA balance'!$D$5:$D$40,Assumptions!$B101)*EK101*AT101,"")</f>
        <v>0</v>
      </c>
      <c r="CQ101" s="34">
        <f ca="1">IFERROR(SUMIFS('TRA balance'!AR$5:AR$40,'TRA balance'!$C$5:$C$40,Assumptions!$C101,'TRA balance'!$D$5:$D$40,Assumptions!$B101)*EL101*AU101,"")</f>
        <v>0</v>
      </c>
      <c r="CR101" s="34">
        <f ca="1">IFERROR(SUMIFS('TRA balance'!AS$5:AS$40,'TRA balance'!$C$5:$C$40,Assumptions!$C101,'TRA balance'!$D$5:$D$40,Assumptions!$B101)*EM101*AV101,"")</f>
        <v>0</v>
      </c>
      <c r="CS101" s="34">
        <f ca="1">IFERROR(SUMIFS('TRA balance'!AT$5:AT$40,'TRA balance'!$C$5:$C$40,Assumptions!$C101,'TRA balance'!$D$5:$D$40,Assumptions!$B101)*EN101*AW101,"")</f>
        <v>0</v>
      </c>
      <c r="CT101" s="34">
        <f ca="1">IFERROR(SUMIFS('TRA balance'!AU$5:AU$40,'TRA balance'!$C$5:$C$40,Assumptions!$C101,'TRA balance'!$D$5:$D$40,Assumptions!$B101)*EO101*AX101,"")</f>
        <v>0</v>
      </c>
      <c r="CU101" s="34">
        <f ca="1">IFERROR(SUMIFS('TRA balance'!AV$5:AV$40,'TRA balance'!$C$5:$C$40,Assumptions!$C101,'TRA balance'!$D$5:$D$40,Assumptions!$B101)*EP101*AY101,"")</f>
        <v>0</v>
      </c>
      <c r="CV101" s="34">
        <f ca="1">IFERROR(SUMIFS('TRA balance'!AW$5:AW$40,'TRA balance'!$C$5:$C$40,Assumptions!$C101,'TRA balance'!$D$5:$D$40,Assumptions!$B101)*EQ101*AZ101,"")</f>
        <v>0</v>
      </c>
      <c r="CW101" s="34">
        <f ca="1">IFERROR(SUMIFS('TRA balance'!AX$5:AX$40,'TRA balance'!$C$5:$C$40,Assumptions!$C101,'TRA balance'!$D$5:$D$40,Assumptions!$B101)*ER101*BA101,"")</f>
        <v>0</v>
      </c>
      <c r="CY101" s="33">
        <f t="shared" si="86"/>
        <v>1</v>
      </c>
      <c r="CZ101" s="33">
        <f t="shared" si="87"/>
        <v>1</v>
      </c>
      <c r="DA101" s="33">
        <f t="shared" si="88"/>
        <v>1</v>
      </c>
      <c r="DB101" s="33">
        <f t="shared" si="89"/>
        <v>1</v>
      </c>
      <c r="DC101" s="33">
        <f t="shared" si="90"/>
        <v>1</v>
      </c>
      <c r="DD101" s="33">
        <f t="shared" si="91"/>
        <v>1</v>
      </c>
      <c r="DE101" s="33">
        <f t="shared" si="92"/>
        <v>1</v>
      </c>
      <c r="DF101" s="33">
        <f t="shared" si="93"/>
        <v>1</v>
      </c>
      <c r="DG101" s="33">
        <f t="shared" si="94"/>
        <v>1</v>
      </c>
      <c r="DH101" s="33">
        <f t="shared" si="95"/>
        <v>1</v>
      </c>
      <c r="DI101" s="33">
        <f t="shared" si="96"/>
        <v>1</v>
      </c>
      <c r="DJ101" s="33">
        <f t="shared" si="97"/>
        <v>1</v>
      </c>
      <c r="DK101" s="33">
        <f t="shared" si="98"/>
        <v>1</v>
      </c>
      <c r="DL101" s="33">
        <f t="shared" si="99"/>
        <v>1</v>
      </c>
      <c r="DM101" s="33">
        <f t="shared" si="100"/>
        <v>1</v>
      </c>
      <c r="DN101" s="33">
        <f t="shared" si="101"/>
        <v>1</v>
      </c>
      <c r="DO101" s="33">
        <f t="shared" si="102"/>
        <v>1</v>
      </c>
      <c r="DP101" s="33">
        <f t="shared" si="103"/>
        <v>1</v>
      </c>
      <c r="DQ101" s="33">
        <f t="shared" si="104"/>
        <v>1</v>
      </c>
      <c r="DR101" s="33">
        <f t="shared" si="105"/>
        <v>1</v>
      </c>
      <c r="DS101" s="33">
        <f t="shared" si="106"/>
        <v>1</v>
      </c>
      <c r="DT101" s="33">
        <f t="shared" si="107"/>
        <v>1</v>
      </c>
      <c r="DU101" s="33">
        <f t="shared" si="108"/>
        <v>1</v>
      </c>
      <c r="DV101" s="33">
        <f t="shared" si="109"/>
        <v>1</v>
      </c>
      <c r="DW101" s="33">
        <f t="shared" si="110"/>
        <v>1</v>
      </c>
      <c r="DX101" s="33">
        <f t="shared" si="111"/>
        <v>1</v>
      </c>
      <c r="DY101" s="33">
        <f t="shared" si="112"/>
        <v>1</v>
      </c>
      <c r="DZ101" s="33">
        <f t="shared" si="113"/>
        <v>1</v>
      </c>
      <c r="EA101" s="33">
        <f t="shared" si="114"/>
        <v>1</v>
      </c>
      <c r="EB101" s="33">
        <f t="shared" si="115"/>
        <v>1</v>
      </c>
      <c r="EC101" s="33">
        <f t="shared" si="116"/>
        <v>1</v>
      </c>
      <c r="ED101" s="33">
        <f t="shared" si="117"/>
        <v>1</v>
      </c>
      <c r="EE101" s="33">
        <f t="shared" si="118"/>
        <v>1</v>
      </c>
      <c r="EF101" s="33">
        <f t="shared" si="119"/>
        <v>1</v>
      </c>
      <c r="EG101" s="33">
        <f t="shared" si="120"/>
        <v>1</v>
      </c>
      <c r="EH101" s="33">
        <f t="shared" si="121"/>
        <v>1</v>
      </c>
      <c r="EI101" s="33">
        <f t="shared" si="122"/>
        <v>1</v>
      </c>
      <c r="EJ101" s="33">
        <f t="shared" si="123"/>
        <v>1</v>
      </c>
      <c r="EK101" s="33">
        <f t="shared" si="124"/>
        <v>1</v>
      </c>
      <c r="EL101" s="33">
        <f t="shared" si="125"/>
        <v>1</v>
      </c>
      <c r="EM101" s="33">
        <f t="shared" si="126"/>
        <v>1</v>
      </c>
      <c r="EN101" s="33">
        <f t="shared" si="127"/>
        <v>1</v>
      </c>
      <c r="EO101" s="33">
        <f t="shared" si="128"/>
        <v>1</v>
      </c>
      <c r="EP101" s="33">
        <f t="shared" si="129"/>
        <v>1</v>
      </c>
      <c r="EQ101" s="33">
        <f t="shared" si="130"/>
        <v>1</v>
      </c>
      <c r="ER101" s="33">
        <f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6" t="str">
        <f t="shared" si="133"/>
        <v>TT</v>
      </c>
      <c r="D102" s="7" t="s">
        <v>17</v>
      </c>
      <c r="E102" s="7" t="s">
        <v>56</v>
      </c>
      <c r="F102" s="8" t="str">
        <f t="shared" si="146"/>
        <v>Electricity</v>
      </c>
      <c r="G102" s="6" t="s">
        <v>57</v>
      </c>
      <c r="H102" s="9">
        <f ca="1">OFFSET(TIAM15_assumptions!$G102,0,MATCH(VLOOKUP(Assumptions!H$2,TIAM15_assumptions!$Y$3:$Z$87,2,FALSE),TIAM15_assumptions!$H$2:$V$2,0))</f>
        <v>0.7</v>
      </c>
      <c r="I102" s="9">
        <f ca="1">OFFSET(TIAM15_assumptions!$G102,0,MATCH(VLOOKUP(Assumptions!I$2,TIAM15_assumptions!$Y$3:$Z$87,2,FALSE),TIAM15_assumptions!$H$2:$V$2,0))</f>
        <v>0.7</v>
      </c>
      <c r="J102" s="9">
        <f ca="1">OFFSET(TIAM15_assumptions!$G102,0,MATCH(VLOOKUP(Assumptions!J$2,TIAM15_assumptions!$Y$3:$Z$87,2,FALSE),TIAM15_assumptions!$H$2:$V$2,0))</f>
        <v>0.7</v>
      </c>
      <c r="K102" s="9">
        <f ca="1">OFFSET(TIAM15_assumptions!$G102,0,MATCH(VLOOKUP(Assumptions!K$2,TIAM15_assumptions!$Y$3:$Z$87,2,FALSE),TIAM15_assumptions!$H$2:$V$2,0))</f>
        <v>1</v>
      </c>
      <c r="L102" s="9">
        <f ca="1">OFFSET(TIAM15_assumptions!$G102,0,MATCH(VLOOKUP(Assumptions!L$2,TIAM15_assumptions!$Y$3:$Z$87,2,FALSE),TIAM15_assumptions!$H$2:$V$2,0))</f>
        <v>0.8</v>
      </c>
      <c r="M102" s="9">
        <f ca="1">OFFSET(TIAM15_assumptions!$G102,0,MATCH(VLOOKUP(Assumptions!M$2,TIAM15_assumptions!$Y$3:$Z$87,2,FALSE),TIAM15_assumptions!$H$2:$V$2,0))</f>
        <v>1</v>
      </c>
      <c r="N102" s="9">
        <f ca="1">OFFSET(TIAM15_assumptions!$G102,0,MATCH(VLOOKUP(Assumptions!N$2,TIAM15_assumptions!$Y$3:$Z$87,2,FALSE),TIAM15_assumptions!$H$2:$V$2,0))</f>
        <v>0.95</v>
      </c>
      <c r="O102" s="9">
        <f ca="1">OFFSET(TIAM15_assumptions!$G102,0,MATCH(VLOOKUP(Assumptions!O$2,TIAM15_assumptions!$Y$3:$Z$87,2,FALSE),TIAM15_assumptions!$H$2:$V$2,0))</f>
        <v>0.8</v>
      </c>
      <c r="P102" s="9">
        <f ca="1">OFFSET(TIAM15_assumptions!$G102,0,MATCH(VLOOKUP(Assumptions!P$2,TIAM15_assumptions!$Y$3:$Z$87,2,FALSE),TIAM15_assumptions!$H$2:$V$2,0))</f>
        <v>0.9</v>
      </c>
      <c r="Q102" s="9">
        <f ca="1">OFFSET(TIAM15_assumptions!$G102,0,MATCH(VLOOKUP(Assumptions!Q$2,TIAM15_assumptions!$Y$3:$Z$87,2,FALSE),TIAM15_assumptions!$H$2:$V$2,0))</f>
        <v>0.9</v>
      </c>
      <c r="R102" s="9">
        <f ca="1">OFFSET(TIAM15_assumptions!$G102,0,MATCH(VLOOKUP(Assumptions!R$2,TIAM15_assumptions!$Y$3:$Z$87,2,FALSE),TIAM15_assumptions!$H$2:$V$2,0))</f>
        <v>1</v>
      </c>
      <c r="S102" s="9">
        <f ca="1">OFFSET(TIAM15_assumptions!$G102,0,MATCH(VLOOKUP(Assumptions!S$2,TIAM15_assumptions!$Y$3:$Z$87,2,FALSE),TIAM15_assumptions!$H$2:$V$2,0))</f>
        <v>1</v>
      </c>
      <c r="T102" s="9">
        <f ca="1">OFFSET(TIAM15_assumptions!$G102,0,MATCH(VLOOKUP(Assumptions!T$2,TIAM15_assumptions!$Y$3:$Z$87,2,FALSE),TIAM15_assumptions!$H$2:$V$2,0))</f>
        <v>1</v>
      </c>
      <c r="U102" s="9">
        <f ca="1">OFFSET(TIAM15_assumptions!$G102,0,MATCH(VLOOKUP(Assumptions!U$2,TIAM15_assumptions!$Y$3:$Z$87,2,FALSE),TIAM15_assumptions!$H$2:$V$2,0))</f>
        <v>0.9</v>
      </c>
      <c r="V102" s="9">
        <f ca="1">OFFSET(TIAM15_assumptions!$G102,0,MATCH(VLOOKUP(Assumptions!V$2,TIAM15_assumptions!$Y$3:$Z$87,2,FALSE),TIAM15_assumptions!$H$2:$V$2,0))</f>
        <v>1</v>
      </c>
      <c r="W102" s="9">
        <f ca="1">OFFSET(TIAM15_assumptions!$G102,0,MATCH(VLOOKUP(Assumptions!W$2,TIAM15_assumptions!$Y$3:$Z$87,2,FALSE),TIAM15_assumptions!$H$2:$V$2,0))</f>
        <v>0.7</v>
      </c>
      <c r="X102" s="9">
        <f ca="1">OFFSET(TIAM15_assumptions!$G102,0,MATCH(VLOOKUP(Assumptions!X$2,TIAM15_assumptions!$Y$3:$Z$87,2,FALSE),TIAM15_assumptions!$H$2:$V$2,0))</f>
        <v>1</v>
      </c>
      <c r="Y102" s="9">
        <f ca="1">OFFSET(TIAM15_assumptions!$G102,0,MATCH(VLOOKUP(Assumptions!Y$2,TIAM15_assumptions!$Y$3:$Z$87,2,FALSE),TIAM15_assumptions!$H$2:$V$2,0))</f>
        <v>1</v>
      </c>
      <c r="Z102" s="9">
        <f ca="1">OFFSET(TIAM15_assumptions!$G102,0,MATCH(VLOOKUP(Assumptions!Z$2,TIAM15_assumptions!$Y$3:$Z$87,2,FALSE),TIAM15_assumptions!$H$2:$V$2,0))</f>
        <v>1</v>
      </c>
      <c r="AA102" s="9">
        <f ca="1">OFFSET(TIAM15_assumptions!$G102,0,MATCH(VLOOKUP(Assumptions!AA$2,TIAM15_assumptions!$Y$3:$Z$87,2,FALSE),TIAM15_assumptions!$H$2:$V$2,0))</f>
        <v>0.95</v>
      </c>
      <c r="AB102" s="9">
        <f ca="1">OFFSET(TIAM15_assumptions!$G102,0,MATCH(VLOOKUP(Assumptions!AB$2,TIAM15_assumptions!$Y$3:$Z$87,2,FALSE),TIAM15_assumptions!$H$2:$V$2,0))</f>
        <v>0.9</v>
      </c>
      <c r="AC102" s="9">
        <f ca="1">OFFSET(TIAM15_assumptions!$G102,0,MATCH(VLOOKUP(Assumptions!AC$2,TIAM15_assumptions!$Y$3:$Z$87,2,FALSE),TIAM15_assumptions!$H$2:$V$2,0))</f>
        <v>1</v>
      </c>
      <c r="AD102" s="9">
        <f ca="1">OFFSET(TIAM15_assumptions!$G102,0,MATCH(VLOOKUP(Assumptions!AD$2,TIAM15_assumptions!$Y$3:$Z$87,2,FALSE),TIAM15_assumptions!$H$2:$V$2,0))</f>
        <v>1</v>
      </c>
      <c r="AE102" s="9">
        <f ca="1">OFFSET(TIAM15_assumptions!$G102,0,MATCH(VLOOKUP(Assumptions!AE$2,TIAM15_assumptions!$Y$3:$Z$87,2,FALSE),TIAM15_assumptions!$H$2:$V$2,0))</f>
        <v>0.9</v>
      </c>
      <c r="AF102" s="9">
        <f ca="1">OFFSET(TIAM15_assumptions!$G102,0,MATCH(VLOOKUP(Assumptions!AF$2,TIAM15_assumptions!$Y$3:$Z$87,2,FALSE),TIAM15_assumptions!$H$2:$V$2,0))</f>
        <v>0.95</v>
      </c>
      <c r="AG102" s="9">
        <f ca="1">OFFSET(TIAM15_assumptions!$G102,0,MATCH(VLOOKUP(Assumptions!AG$2,TIAM15_assumptions!$Y$3:$Z$87,2,FALSE),TIAM15_assumptions!$H$2:$V$2,0))</f>
        <v>0.8</v>
      </c>
      <c r="AH102" s="9">
        <f ca="1">OFFSET(TIAM15_assumptions!$G102,0,MATCH(VLOOKUP(Assumptions!AH$2,TIAM15_assumptions!$Y$3:$Z$87,2,FALSE),TIAM15_assumptions!$H$2:$V$2,0))</f>
        <v>0.9</v>
      </c>
      <c r="AI102" s="9">
        <f ca="1">OFFSET(TIAM15_assumptions!$G102,0,MATCH(VLOOKUP(Assumptions!AI$2,TIAM15_assumptions!$Y$3:$Z$87,2,FALSE),TIAM15_assumptions!$H$2:$V$2,0))</f>
        <v>0.7</v>
      </c>
      <c r="AJ102" s="9">
        <f ca="1">OFFSET(TIAM15_assumptions!$G102,0,MATCH(VLOOKUP(Assumptions!AJ$2,TIAM15_assumptions!$Y$3:$Z$87,2,FALSE),TIAM15_assumptions!$H$2:$V$2,0))</f>
        <v>1</v>
      </c>
      <c r="AK102" s="9">
        <f ca="1">OFFSET(TIAM15_assumptions!$G102,0,MATCH(VLOOKUP(Assumptions!AK$2,TIAM15_assumptions!$Y$3:$Z$87,2,FALSE),TIAM15_assumptions!$H$2:$V$2,0))</f>
        <v>1</v>
      </c>
      <c r="AL102" s="9">
        <f ca="1">OFFSET(TIAM15_assumptions!$G102,0,MATCH(VLOOKUP(Assumptions!AL$2,TIAM15_assumptions!$Y$3:$Z$87,2,FALSE),TIAM15_assumptions!$H$2:$V$2,0))</f>
        <v>1</v>
      </c>
      <c r="AM102" s="9">
        <f ca="1">OFFSET(TIAM15_assumptions!$G102,0,MATCH(VLOOKUP(Assumptions!AM$2,TIAM15_assumptions!$Y$3:$Z$87,2,FALSE),TIAM15_assumptions!$H$2:$V$2,0))</f>
        <v>0.9</v>
      </c>
      <c r="AN102" s="9">
        <f ca="1">OFFSET(TIAM15_assumptions!$G102,0,MATCH(VLOOKUP(Assumptions!AN$2,TIAM15_assumptions!$Y$3:$Z$87,2,FALSE),TIAM15_assumptions!$H$2:$V$2,0))</f>
        <v>1</v>
      </c>
      <c r="AO102" s="9">
        <f ca="1">OFFSET(TIAM15_assumptions!$G102,0,MATCH(VLOOKUP(Assumptions!AO$2,TIAM15_assumptions!$Y$3:$Z$87,2,FALSE),TIAM15_assumptions!$H$2:$V$2,0))</f>
        <v>0.8</v>
      </c>
      <c r="AP102" s="9">
        <f ca="1">OFFSET(TIAM15_assumptions!$G102,0,MATCH(VLOOKUP(Assumptions!AP$2,TIAM15_assumptions!$Y$3:$Z$87,2,FALSE),TIAM15_assumptions!$H$2:$V$2,0))</f>
        <v>0.9</v>
      </c>
      <c r="AQ102" s="9">
        <f ca="1">OFFSET(TIAM15_assumptions!$G102,0,MATCH(VLOOKUP(Assumptions!AQ$2,TIAM15_assumptions!$Y$3:$Z$87,2,FALSE),TIAM15_assumptions!$H$2:$V$2,0))</f>
        <v>1</v>
      </c>
      <c r="AR102" s="9">
        <f ca="1">OFFSET(TIAM15_assumptions!$G102,0,MATCH(VLOOKUP(Assumptions!AR$2,TIAM15_assumptions!$Y$3:$Z$87,2,FALSE),TIAM15_assumptions!$H$2:$V$2,0))</f>
        <v>1</v>
      </c>
      <c r="AS102" s="9">
        <f ca="1">OFFSET(TIAM15_assumptions!$G102,0,MATCH(VLOOKUP(Assumptions!AS$2,TIAM15_assumptions!$Y$3:$Z$87,2,FALSE),TIAM15_assumptions!$H$2:$V$2,0))</f>
        <v>1</v>
      </c>
      <c r="AT102" s="9">
        <f ca="1">OFFSET(TIAM15_assumptions!$G102,0,MATCH(VLOOKUP(Assumptions!AT$2,TIAM15_assumptions!$Y$3:$Z$87,2,FALSE),TIAM15_assumptions!$H$2:$V$2,0))</f>
        <v>1</v>
      </c>
      <c r="AU102" s="9">
        <f ca="1">OFFSET(TIAM15_assumptions!$G102,0,MATCH(VLOOKUP(Assumptions!AU$2,TIAM15_assumptions!$Y$3:$Z$87,2,FALSE),TIAM15_assumptions!$H$2:$V$2,0))</f>
        <v>1</v>
      </c>
      <c r="AV102" s="9">
        <f ca="1">OFFSET(TIAM15_assumptions!$G102,0,MATCH(VLOOKUP(Assumptions!AV$2,TIAM15_assumptions!$Y$3:$Z$87,2,FALSE),TIAM15_assumptions!$H$2:$V$2,0))</f>
        <v>1</v>
      </c>
      <c r="AW102" s="9">
        <f ca="1">OFFSET(TIAM15_assumptions!$G102,0,MATCH(VLOOKUP(Assumptions!AW$2,TIAM15_assumptions!$Y$3:$Z$87,2,FALSE),TIAM15_assumptions!$H$2:$V$2,0))</f>
        <v>1</v>
      </c>
      <c r="AX102" s="9">
        <f ca="1">OFFSET(TIAM15_assumptions!$G102,0,MATCH(VLOOKUP(Assumptions!AX$2,TIAM15_assumptions!$Y$3:$Z$87,2,FALSE),TIAM15_assumptions!$H$2:$V$2,0))</f>
        <v>1</v>
      </c>
      <c r="AY102" s="9">
        <f ca="1">OFFSET(TIAM15_assumptions!$G102,0,MATCH(VLOOKUP(Assumptions!AY$2,TIAM15_assumptions!$Y$3:$Z$87,2,FALSE),TIAM15_assumptions!$H$2:$V$2,0))</f>
        <v>1</v>
      </c>
      <c r="AZ102" s="9">
        <f ca="1">OFFSET(TIAM15_assumptions!$G102,0,MATCH(VLOOKUP(Assumptions!AZ$2,TIAM15_assumptions!$Y$3:$Z$87,2,FALSE),TIAM15_assumptions!$H$2:$V$2,0))</f>
        <v>1</v>
      </c>
      <c r="BA102" s="9">
        <f ca="1">OFFSET(TIAM15_assumptions!$G102,0,MATCH(VLOOKUP(Assumptions!BA$2,TIAM15_assumptions!$Y$3:$Z$87,2,FALSE),TIAM15_assumptions!$H$2:$V$2,0))</f>
        <v>1</v>
      </c>
      <c r="BD102" s="34">
        <f ca="1">IFERROR(SUMIFS('TRA balance'!E$5:E$40,'TRA balance'!$C$5:$C$40,Assumptions!$C102,'TRA balance'!$D$5:$D$40,Assumptions!$B102)*CY102*H102,"")</f>
        <v>5.4502523107199998</v>
      </c>
      <c r="BE102" s="34">
        <f ca="1">IFERROR(SUMIFS('TRA balance'!F$5:F$40,'TRA balance'!$C$5:$C$40,Assumptions!$C102,'TRA balance'!$D$5:$D$40,Assumptions!$B102)*CZ102*I102,"")</f>
        <v>0.12732100667999999</v>
      </c>
      <c r="BF102" s="34">
        <f ca="1">IFERROR(SUMIFS('TRA balance'!G$5:G$40,'TRA balance'!$C$5:$C$40,Assumptions!$C102,'TRA balance'!$D$5:$D$40,Assumptions!$B102)*DA102*J102,"")</f>
        <v>8.1648013532399997</v>
      </c>
      <c r="BG102" s="34">
        <f ca="1">IFERROR(SUMIFS('TRA balance'!H$5:H$40,'TRA balance'!$C$5:$C$40,Assumptions!$C102,'TRA balance'!$D$5:$D$40,Assumptions!$B102)*DB102*K102,"")</f>
        <v>7.1522057700000001</v>
      </c>
      <c r="BH102" s="34">
        <f ca="1">IFERROR(SUMIFS('TRA balance'!I$5:I$40,'TRA balance'!$C$5:$C$40,Assumptions!$C102,'TRA balance'!$D$5:$D$40,Assumptions!$B102)*DC102*L102,"")</f>
        <v>0.27257407776000003</v>
      </c>
      <c r="BI102" s="34">
        <f ca="1">IFERROR(SUMIFS('TRA balance'!J$5:J$40,'TRA balance'!$C$5:$C$40,Assumptions!$C102,'TRA balance'!$D$5:$D$40,Assumptions!$B102)*DD102*M102,"")</f>
        <v>12.159903272399999</v>
      </c>
      <c r="BJ102" s="34">
        <f ca="1">IFERROR(SUMIFS('TRA balance'!K$5:K$40,'TRA balance'!$C$5:$C$40,Assumptions!$C102,'TRA balance'!$D$5:$D$40,Assumptions!$B102)*DE102*N102,"")</f>
        <v>7.6969419443999989</v>
      </c>
      <c r="BK102" s="34">
        <f ca="1">IFERROR(SUMIFS('TRA balance'!L$5:L$40,'TRA balance'!$C$5:$C$40,Assumptions!$C102,'TRA balance'!$D$5:$D$40,Assumptions!$B102)*DF102*O102,"")</f>
        <v>280.87385945184002</v>
      </c>
      <c r="BL102" s="34">
        <f ca="1">IFERROR(SUMIFS('TRA balance'!M$5:M$40,'TRA balance'!$C$5:$C$40,Assumptions!$C102,'TRA balance'!$D$5:$D$40,Assumptions!$B102)*DG102*P102,"")</f>
        <v>1.49720219208</v>
      </c>
      <c r="BM102" s="34">
        <f ca="1">IFERROR(SUMIFS('TRA balance'!N$5:N$40,'TRA balance'!$C$5:$C$40,Assumptions!$C102,'TRA balance'!$D$5:$D$40,Assumptions!$B102)*DH102*Q102,"")</f>
        <v>6.7284831880800002</v>
      </c>
      <c r="BN102" s="34">
        <f ca="1">IFERROR(SUMIFS('TRA balance'!O$5:O$40,'TRA balance'!$C$5:$C$40,Assumptions!$C102,'TRA balance'!$D$5:$D$40,Assumptions!$B102)*DI102*R102,"")</f>
        <v>30.492908200799999</v>
      </c>
      <c r="BO102" s="34">
        <f ca="1">IFERROR(SUMIFS('TRA balance'!P$5:P$40,'TRA balance'!$C$5:$C$40,Assumptions!$C102,'TRA balance'!$D$5:$D$40,Assumptions!$B102)*DJ102*S102,"")</f>
        <v>40.568400532799998</v>
      </c>
      <c r="BP102" s="34">
        <f ca="1">IFERROR(SUMIFS('TRA balance'!Q$5:Q$40,'TRA balance'!$C$5:$C$40,Assumptions!$C102,'TRA balance'!$D$5:$D$40,Assumptions!$B102)*DK102*T102,"")</f>
        <v>0.65615948280000003</v>
      </c>
      <c r="BQ102" s="34">
        <f ca="1">IFERROR(SUMIFS('TRA balance'!R$5:R$40,'TRA balance'!$C$5:$C$40,Assumptions!$C102,'TRA balance'!$D$5:$D$40,Assumptions!$B102)*DL102*U102,"")</f>
        <v>7.9721436578400011</v>
      </c>
      <c r="BR102" s="34">
        <f ca="1">IFERROR(SUMIFS('TRA balance'!S$5:S$40,'TRA balance'!$C$5:$C$40,Assumptions!$C102,'TRA balance'!$D$5:$D$40,Assumptions!$B102)*DM102*V102,"")</f>
        <v>0</v>
      </c>
      <c r="BS102" s="34">
        <f ca="1">IFERROR(SUMIFS('TRA balance'!T$5:T$40,'TRA balance'!$C$5:$C$40,Assumptions!$C102,'TRA balance'!$D$5:$D$40,Assumptions!$B102)*DN102*W102,"")</f>
        <v>48.252958760159991</v>
      </c>
      <c r="BT102" s="34">
        <f ca="1">IFERROR(SUMIFS('TRA balance'!U$5:U$40,'TRA balance'!$C$5:$C$40,Assumptions!$C102,'TRA balance'!$D$5:$D$40,Assumptions!$B102)*DO102*X102,"")</f>
        <v>0.1866098628</v>
      </c>
      <c r="BU102" s="34">
        <f ca="1">IFERROR(SUMIFS('TRA balance'!V$5:V$40,'TRA balance'!$C$5:$C$40,Assumptions!$C102,'TRA balance'!$D$5:$D$40,Assumptions!$B102)*DP102*Y102,"")</f>
        <v>19.979468215200001</v>
      </c>
      <c r="BV102" s="34">
        <f ca="1">IFERROR(SUMIFS('TRA balance'!W$5:W$40,'TRA balance'!$C$5:$C$40,Assumptions!$C102,'TRA balance'!$D$5:$D$40,Assumptions!$B102)*DQ102*Z102,"")</f>
        <v>62.294203961999997</v>
      </c>
      <c r="BW102" s="34">
        <f ca="1">IFERROR(SUMIFS('TRA balance'!X$5:X$40,'TRA balance'!$C$5:$C$40,Assumptions!$C102,'TRA balance'!$D$5:$D$40,Assumptions!$B102)*DR102*AA102,"")</f>
        <v>4.9441896079199994</v>
      </c>
      <c r="BX102" s="34">
        <f ca="1">IFERROR(SUMIFS('TRA balance'!Y$5:Y$40,'TRA balance'!$C$5:$C$40,Assumptions!$C102,'TRA balance'!$D$5:$D$40,Assumptions!$B102)*DS102*AB102,"")</f>
        <v>0</v>
      </c>
      <c r="BY102" s="34">
        <f ca="1">IFERROR(SUMIFS('TRA balance'!Z$5:Z$40,'TRA balance'!$C$5:$C$40,Assumptions!$C102,'TRA balance'!$D$5:$D$40,Assumptions!$B102)*DT102*AC102,"")</f>
        <v>30.383121931200002</v>
      </c>
      <c r="BZ102" s="34">
        <f ca="1">IFERROR(SUMIFS('TRA balance'!AA$5:AA$40,'TRA balance'!$C$5:$C$40,Assumptions!$C102,'TRA balance'!$D$5:$D$40,Assumptions!$B102)*DU102*AD102,"")</f>
        <v>2.1131993772</v>
      </c>
      <c r="CA102" s="34">
        <f ca="1">IFERROR(SUMIFS('TRA balance'!AB$5:AB$40,'TRA balance'!$C$5:$C$40,Assumptions!$C102,'TRA balance'!$D$5:$D$40,Assumptions!$B102)*DV102*AE102,"")</f>
        <v>10.194995327040001</v>
      </c>
      <c r="CB102" s="34">
        <f ca="1">IFERROR(SUMIFS('TRA balance'!AC$5:AC$40,'TRA balance'!$C$5:$C$40,Assumptions!$C102,'TRA balance'!$D$5:$D$40,Assumptions!$B102)*DW102*AF102,"")</f>
        <v>48.402943752599995</v>
      </c>
      <c r="CC102" s="34">
        <f ca="1">IFERROR(SUMIFS('TRA balance'!AD$5:AD$40,'TRA balance'!$C$5:$C$40,Assumptions!$C102,'TRA balance'!$D$5:$D$40,Assumptions!$B102)*DX102*AG102,"")</f>
        <v>154.26115214976002</v>
      </c>
      <c r="CD102" s="34">
        <f ca="1">IFERROR(SUMIFS('TRA balance'!AE$5:AE$40,'TRA balance'!$C$5:$C$40,Assumptions!$C102,'TRA balance'!$D$5:$D$40,Assumptions!$B102)*DY102*AH102,"")</f>
        <v>0</v>
      </c>
      <c r="CE102" s="34">
        <f ca="1">IFERROR(SUMIFS('TRA balance'!AF$5:AF$40,'TRA balance'!$C$5:$C$40,Assumptions!$C102,'TRA balance'!$D$5:$D$40,Assumptions!$B102)*DZ102*AI102,"")</f>
        <v>6.5520011944799998</v>
      </c>
      <c r="CF102" s="34">
        <f ca="1">IFERROR(SUMIFS('TRA balance'!AG$5:AG$40,'TRA balance'!$C$5:$C$40,Assumptions!$C102,'TRA balance'!$D$5:$D$40,Assumptions!$B102)*EA102*AJ102,"")</f>
        <v>14.2327418976</v>
      </c>
      <c r="CG102" s="34">
        <f ca="1">IFERROR(SUMIFS('TRA balance'!AH$5:AH$40,'TRA balance'!$C$5:$C$40,Assumptions!$C102,'TRA balance'!$D$5:$D$40,Assumptions!$B102)*EB102*AK102,"")</f>
        <v>13.2546426156</v>
      </c>
      <c r="CH102" s="34">
        <f ca="1">IFERROR(SUMIFS('TRA balance'!AI$5:AI$40,'TRA balance'!$C$5:$C$40,Assumptions!$C102,'TRA balance'!$D$5:$D$40,Assumptions!$B102)*EC102*AL102,"")</f>
        <v>10.9500018084</v>
      </c>
      <c r="CI102" s="34">
        <f ca="1">IFERROR(SUMIFS('TRA balance'!AJ$5:AJ$40,'TRA balance'!$C$5:$C$40,Assumptions!$C102,'TRA balance'!$D$5:$D$40,Assumptions!$B102)*ED102*AM102,"")</f>
        <v>4.1720586958800006</v>
      </c>
      <c r="CJ102" s="34">
        <f ca="1">IFERROR(SUMIFS('TRA balance'!AK$5:AK$40,'TRA balance'!$C$5:$C$40,Assumptions!$C102,'TRA balance'!$D$5:$D$40,Assumptions!$B102)*EE102*AN102,"")</f>
        <v>20.356774257600001</v>
      </c>
      <c r="CK102" s="34">
        <f ca="1">IFERROR(SUMIFS('TRA balance'!AL$5:AL$40,'TRA balance'!$C$5:$C$40,Assumptions!$C102,'TRA balance'!$D$5:$D$40,Assumptions!$B102)*EF102*AO102,"")</f>
        <v>15.41404584288</v>
      </c>
      <c r="CL102" s="34">
        <f ca="1">IFERROR(SUMIFS('TRA balance'!AM$5:AM$40,'TRA balance'!$C$5:$C$40,Assumptions!$C102,'TRA balance'!$D$5:$D$40,Assumptions!$B102)*EG102*AP102,"")</f>
        <v>1.5181717798800001</v>
      </c>
      <c r="CM102" s="34">
        <f ca="1">IFERROR(SUMIFS('TRA balance'!AN$5:AN$40,'TRA balance'!$C$5:$C$40,Assumptions!$C102,'TRA balance'!$D$5:$D$40,Assumptions!$B102)*EH102*AQ102,"")</f>
        <v>0</v>
      </c>
      <c r="CN102" s="34">
        <f ca="1">IFERROR(SUMIFS('TRA balance'!AO$5:AO$40,'TRA balance'!$C$5:$C$40,Assumptions!$C102,'TRA balance'!$D$5:$D$40,Assumptions!$B102)*EI102*AR102,"")</f>
        <v>0</v>
      </c>
      <c r="CO102" s="34">
        <f ca="1">IFERROR(SUMIFS('TRA balance'!AP$5:AP$40,'TRA balance'!$C$5:$C$40,Assumptions!$C102,'TRA balance'!$D$5:$D$40,Assumptions!$B102)*EJ102*AS102,"")</f>
        <v>0</v>
      </c>
      <c r="CP102" s="34">
        <f ca="1">IFERROR(SUMIFS('TRA balance'!AQ$5:AQ$40,'TRA balance'!$C$5:$C$40,Assumptions!$C102,'TRA balance'!$D$5:$D$40,Assumptions!$B102)*EK102*AT102,"")</f>
        <v>0</v>
      </c>
      <c r="CQ102" s="34">
        <f ca="1">IFERROR(SUMIFS('TRA balance'!AR$5:AR$40,'TRA balance'!$C$5:$C$40,Assumptions!$C102,'TRA balance'!$D$5:$D$40,Assumptions!$B102)*EL102*AU102,"")</f>
        <v>0</v>
      </c>
      <c r="CR102" s="34">
        <f ca="1">IFERROR(SUMIFS('TRA balance'!AS$5:AS$40,'TRA balance'!$C$5:$C$40,Assumptions!$C102,'TRA balance'!$D$5:$D$40,Assumptions!$B102)*EM102*AV102,"")</f>
        <v>0</v>
      </c>
      <c r="CS102" s="34">
        <f ca="1">IFERROR(SUMIFS('TRA balance'!AT$5:AT$40,'TRA balance'!$C$5:$C$40,Assumptions!$C102,'TRA balance'!$D$5:$D$40,Assumptions!$B102)*EN102*AW102,"")</f>
        <v>0</v>
      </c>
      <c r="CT102" s="34">
        <f ca="1">IFERROR(SUMIFS('TRA balance'!AU$5:AU$40,'TRA balance'!$C$5:$C$40,Assumptions!$C102,'TRA balance'!$D$5:$D$40,Assumptions!$B102)*EO102*AX102,"")</f>
        <v>0</v>
      </c>
      <c r="CU102" s="34">
        <f ca="1">IFERROR(SUMIFS('TRA balance'!AV$5:AV$40,'TRA balance'!$C$5:$C$40,Assumptions!$C102,'TRA balance'!$D$5:$D$40,Assumptions!$B102)*EP102*AY102,"")</f>
        <v>0</v>
      </c>
      <c r="CV102" s="34">
        <f ca="1">IFERROR(SUMIFS('TRA balance'!AW$5:AW$40,'TRA balance'!$C$5:$C$40,Assumptions!$C102,'TRA balance'!$D$5:$D$40,Assumptions!$B102)*EQ102*AZ102,"")</f>
        <v>0</v>
      </c>
      <c r="CW102" s="34">
        <f ca="1">IFERROR(SUMIFS('TRA balance'!AX$5:AX$40,'TRA balance'!$C$5:$C$40,Assumptions!$C102,'TRA balance'!$D$5:$D$40,Assumptions!$B102)*ER102*BA102,"")</f>
        <v>0</v>
      </c>
      <c r="CY102" s="33">
        <f t="shared" si="86"/>
        <v>1</v>
      </c>
      <c r="CZ102" s="33">
        <f t="shared" si="87"/>
        <v>1</v>
      </c>
      <c r="DA102" s="33">
        <f t="shared" si="88"/>
        <v>1</v>
      </c>
      <c r="DB102" s="33">
        <f t="shared" si="89"/>
        <v>1</v>
      </c>
      <c r="DC102" s="33">
        <f t="shared" si="90"/>
        <v>1</v>
      </c>
      <c r="DD102" s="33">
        <f t="shared" si="91"/>
        <v>1</v>
      </c>
      <c r="DE102" s="33">
        <f t="shared" si="92"/>
        <v>1</v>
      </c>
      <c r="DF102" s="33">
        <f t="shared" si="93"/>
        <v>1</v>
      </c>
      <c r="DG102" s="33">
        <f t="shared" si="94"/>
        <v>1</v>
      </c>
      <c r="DH102" s="33">
        <f t="shared" si="95"/>
        <v>1</v>
      </c>
      <c r="DI102" s="33">
        <f t="shared" si="96"/>
        <v>1</v>
      </c>
      <c r="DJ102" s="33">
        <f t="shared" si="97"/>
        <v>1</v>
      </c>
      <c r="DK102" s="33">
        <f t="shared" si="98"/>
        <v>1</v>
      </c>
      <c r="DL102" s="33">
        <f t="shared" si="99"/>
        <v>1</v>
      </c>
      <c r="DM102" s="33">
        <f t="shared" si="100"/>
        <v>1</v>
      </c>
      <c r="DN102" s="33">
        <f t="shared" si="101"/>
        <v>1</v>
      </c>
      <c r="DO102" s="33">
        <f t="shared" si="102"/>
        <v>1</v>
      </c>
      <c r="DP102" s="33">
        <f t="shared" si="103"/>
        <v>1</v>
      </c>
      <c r="DQ102" s="33">
        <f t="shared" si="104"/>
        <v>1</v>
      </c>
      <c r="DR102" s="33">
        <f t="shared" si="105"/>
        <v>1</v>
      </c>
      <c r="DS102" s="33">
        <f t="shared" si="106"/>
        <v>1</v>
      </c>
      <c r="DT102" s="33">
        <f t="shared" si="107"/>
        <v>1</v>
      </c>
      <c r="DU102" s="33">
        <f t="shared" si="108"/>
        <v>1</v>
      </c>
      <c r="DV102" s="33">
        <f t="shared" si="109"/>
        <v>1</v>
      </c>
      <c r="DW102" s="33">
        <f t="shared" si="110"/>
        <v>1</v>
      </c>
      <c r="DX102" s="33">
        <f t="shared" si="111"/>
        <v>1</v>
      </c>
      <c r="DY102" s="33">
        <f t="shared" si="112"/>
        <v>1</v>
      </c>
      <c r="DZ102" s="33">
        <f t="shared" si="113"/>
        <v>1</v>
      </c>
      <c r="EA102" s="33">
        <f t="shared" si="114"/>
        <v>1</v>
      </c>
      <c r="EB102" s="33">
        <f t="shared" si="115"/>
        <v>1</v>
      </c>
      <c r="EC102" s="33">
        <f t="shared" si="116"/>
        <v>1</v>
      </c>
      <c r="ED102" s="33">
        <f t="shared" si="117"/>
        <v>1</v>
      </c>
      <c r="EE102" s="33">
        <f t="shared" si="118"/>
        <v>1</v>
      </c>
      <c r="EF102" s="33">
        <f t="shared" si="119"/>
        <v>1</v>
      </c>
      <c r="EG102" s="33">
        <f t="shared" si="120"/>
        <v>1</v>
      </c>
      <c r="EH102" s="33">
        <f t="shared" si="121"/>
        <v>1</v>
      </c>
      <c r="EI102" s="33">
        <f t="shared" si="122"/>
        <v>1</v>
      </c>
      <c r="EJ102" s="33">
        <f t="shared" si="123"/>
        <v>1</v>
      </c>
      <c r="EK102" s="33">
        <f t="shared" si="124"/>
        <v>1</v>
      </c>
      <c r="EL102" s="33">
        <f t="shared" si="125"/>
        <v>1</v>
      </c>
      <c r="EM102" s="33">
        <f t="shared" si="126"/>
        <v>1</v>
      </c>
      <c r="EN102" s="33">
        <f t="shared" si="127"/>
        <v>1</v>
      </c>
      <c r="EO102" s="33">
        <f t="shared" si="128"/>
        <v>1</v>
      </c>
      <c r="EP102" s="33">
        <f t="shared" si="129"/>
        <v>1</v>
      </c>
      <c r="EQ102" s="33">
        <f t="shared" si="130"/>
        <v>1</v>
      </c>
      <c r="ER102" s="33">
        <f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11"/>
      <c r="D103" s="11"/>
      <c r="E103" s="12" t="s">
        <v>58</v>
      </c>
      <c r="F103" s="13" t="str">
        <f t="shared" si="146"/>
        <v>Electricity</v>
      </c>
      <c r="G103" s="11"/>
      <c r="H103" s="12" t="str">
        <f t="shared" ref="H103" ca="1" si="148">IF(SUM(H101:H102)=1,"-","&lt;&gt;1!!")</f>
        <v>-</v>
      </c>
      <c r="I103" s="12" t="str">
        <f t="shared" ref="I103:BA103" ca="1" si="149">IF(SUM(I101:I102)=1,"-","&lt;&gt;1!!")</f>
        <v>-</v>
      </c>
      <c r="J103" s="12" t="str">
        <f t="shared" ca="1" si="149"/>
        <v>-</v>
      </c>
      <c r="K103" s="12" t="str">
        <f t="shared" ca="1" si="149"/>
        <v>-</v>
      </c>
      <c r="L103" s="12" t="str">
        <f t="shared" ca="1" si="149"/>
        <v>-</v>
      </c>
      <c r="M103" s="12" t="str">
        <f t="shared" ca="1" si="149"/>
        <v>-</v>
      </c>
      <c r="N103" s="12" t="str">
        <f t="shared" ca="1" si="149"/>
        <v>-</v>
      </c>
      <c r="O103" s="12" t="str">
        <f t="shared" ca="1" si="149"/>
        <v>-</v>
      </c>
      <c r="P103" s="12" t="str">
        <f t="shared" ca="1" si="149"/>
        <v>-</v>
      </c>
      <c r="Q103" s="12" t="str">
        <f t="shared" ca="1" si="149"/>
        <v>-</v>
      </c>
      <c r="R103" s="12" t="str">
        <f t="shared" ca="1" si="149"/>
        <v>-</v>
      </c>
      <c r="S103" s="12" t="str">
        <f t="shared" ca="1" si="149"/>
        <v>-</v>
      </c>
      <c r="T103" s="12" t="str">
        <f t="shared" ca="1" si="149"/>
        <v>-</v>
      </c>
      <c r="U103" s="12" t="str">
        <f t="shared" ca="1" si="149"/>
        <v>-</v>
      </c>
      <c r="V103" s="12" t="str">
        <f t="shared" ca="1" si="149"/>
        <v>-</v>
      </c>
      <c r="W103" s="12" t="str">
        <f t="shared" ca="1" si="149"/>
        <v>-</v>
      </c>
      <c r="X103" s="12" t="str">
        <f t="shared" ca="1" si="149"/>
        <v>-</v>
      </c>
      <c r="Y103" s="12" t="str">
        <f t="shared" ca="1" si="149"/>
        <v>-</v>
      </c>
      <c r="Z103" s="12" t="str">
        <f t="shared" ca="1" si="149"/>
        <v>-</v>
      </c>
      <c r="AA103" s="12" t="str">
        <f t="shared" ca="1" si="149"/>
        <v>-</v>
      </c>
      <c r="AB103" s="12" t="str">
        <f t="shared" ca="1" si="149"/>
        <v>-</v>
      </c>
      <c r="AC103" s="12" t="str">
        <f t="shared" ca="1" si="149"/>
        <v>-</v>
      </c>
      <c r="AD103" s="12" t="str">
        <f t="shared" ca="1" si="149"/>
        <v>-</v>
      </c>
      <c r="AE103" s="12" t="str">
        <f t="shared" ca="1" si="149"/>
        <v>-</v>
      </c>
      <c r="AF103" s="12" t="str">
        <f t="shared" ca="1" si="149"/>
        <v>-</v>
      </c>
      <c r="AG103" s="12" t="str">
        <f t="shared" ca="1" si="149"/>
        <v>-</v>
      </c>
      <c r="AH103" s="12" t="str">
        <f t="shared" ca="1" si="149"/>
        <v>-</v>
      </c>
      <c r="AI103" s="12" t="str">
        <f t="shared" ca="1" si="149"/>
        <v>-</v>
      </c>
      <c r="AJ103" s="12" t="str">
        <f t="shared" ca="1" si="149"/>
        <v>-</v>
      </c>
      <c r="AK103" s="12" t="str">
        <f t="shared" ca="1" si="149"/>
        <v>-</v>
      </c>
      <c r="AL103" s="12" t="str">
        <f t="shared" ca="1" si="149"/>
        <v>-</v>
      </c>
      <c r="AM103" s="12" t="str">
        <f t="shared" ca="1" si="149"/>
        <v>-</v>
      </c>
      <c r="AN103" s="12" t="str">
        <f t="shared" ca="1" si="149"/>
        <v>-</v>
      </c>
      <c r="AO103" s="12" t="str">
        <f t="shared" ca="1" si="149"/>
        <v>-</v>
      </c>
      <c r="AP103" s="12" t="str">
        <f t="shared" ca="1" si="149"/>
        <v>-</v>
      </c>
      <c r="AQ103" s="12" t="str">
        <f t="shared" ca="1" si="149"/>
        <v>-</v>
      </c>
      <c r="AR103" s="12" t="str">
        <f t="shared" ca="1" si="149"/>
        <v>-</v>
      </c>
      <c r="AS103" s="12" t="str">
        <f t="shared" ca="1" si="149"/>
        <v>-</v>
      </c>
      <c r="AT103" s="12" t="str">
        <f t="shared" ca="1" si="149"/>
        <v>-</v>
      </c>
      <c r="AU103" s="12" t="str">
        <f t="shared" ca="1" si="149"/>
        <v>-</v>
      </c>
      <c r="AV103" s="12" t="str">
        <f t="shared" ca="1" si="149"/>
        <v>-</v>
      </c>
      <c r="AW103" s="12" t="str">
        <f t="shared" ca="1" si="149"/>
        <v>-</v>
      </c>
      <c r="AX103" s="12" t="str">
        <f t="shared" ca="1" si="149"/>
        <v>-</v>
      </c>
      <c r="AY103" s="12" t="str">
        <f t="shared" ca="1" si="149"/>
        <v>-</v>
      </c>
      <c r="AZ103" s="12" t="str">
        <f t="shared" ca="1" si="149"/>
        <v>-</v>
      </c>
      <c r="BA103" s="12" t="str">
        <f t="shared" ca="1" si="149"/>
        <v>-</v>
      </c>
      <c r="BD103" s="34" t="str">
        <f ca="1">IFERROR(SUMIFS('TRA balance'!E$5:E$40,'TRA balance'!$C$5:$C$40,Assumptions!$C103,'TRA balance'!$D$5:$D$40,Assumptions!$B103)*CY103*H103,"")</f>
        <v/>
      </c>
      <c r="BE103" s="34" t="str">
        <f ca="1">IFERROR(SUMIFS('TRA balance'!F$5:F$40,'TRA balance'!$C$5:$C$40,Assumptions!$C103,'TRA balance'!$D$5:$D$40,Assumptions!$B103)*CZ103*I103,"")</f>
        <v/>
      </c>
      <c r="BF103" s="34" t="str">
        <f ca="1">IFERROR(SUMIFS('TRA balance'!G$5:G$40,'TRA balance'!$C$5:$C$40,Assumptions!$C103,'TRA balance'!$D$5:$D$40,Assumptions!$B103)*DA103*J103,"")</f>
        <v/>
      </c>
      <c r="BG103" s="34" t="str">
        <f ca="1">IFERROR(SUMIFS('TRA balance'!H$5:H$40,'TRA balance'!$C$5:$C$40,Assumptions!$C103,'TRA balance'!$D$5:$D$40,Assumptions!$B103)*DB103*K103,"")</f>
        <v/>
      </c>
      <c r="BH103" s="34" t="str">
        <f ca="1">IFERROR(SUMIFS('TRA balance'!I$5:I$40,'TRA balance'!$C$5:$C$40,Assumptions!$C103,'TRA balance'!$D$5:$D$40,Assumptions!$B103)*DC103*L103,"")</f>
        <v/>
      </c>
      <c r="BI103" s="34" t="str">
        <f ca="1">IFERROR(SUMIFS('TRA balance'!J$5:J$40,'TRA balance'!$C$5:$C$40,Assumptions!$C103,'TRA balance'!$D$5:$D$40,Assumptions!$B103)*DD103*M103,"")</f>
        <v/>
      </c>
      <c r="BJ103" s="34" t="str">
        <f ca="1">IFERROR(SUMIFS('TRA balance'!K$5:K$40,'TRA balance'!$C$5:$C$40,Assumptions!$C103,'TRA balance'!$D$5:$D$40,Assumptions!$B103)*DE103*N103,"")</f>
        <v/>
      </c>
      <c r="BK103" s="34" t="str">
        <f ca="1">IFERROR(SUMIFS('TRA balance'!L$5:L$40,'TRA balance'!$C$5:$C$40,Assumptions!$C103,'TRA balance'!$D$5:$D$40,Assumptions!$B103)*DF103*O103,"")</f>
        <v/>
      </c>
      <c r="BL103" s="34" t="str">
        <f ca="1">IFERROR(SUMIFS('TRA balance'!M$5:M$40,'TRA balance'!$C$5:$C$40,Assumptions!$C103,'TRA balance'!$D$5:$D$40,Assumptions!$B103)*DG103*P103,"")</f>
        <v/>
      </c>
      <c r="BM103" s="34" t="str">
        <f ca="1">IFERROR(SUMIFS('TRA balance'!N$5:N$40,'TRA balance'!$C$5:$C$40,Assumptions!$C103,'TRA balance'!$D$5:$D$40,Assumptions!$B103)*DH103*Q103,"")</f>
        <v/>
      </c>
      <c r="BN103" s="34" t="str">
        <f ca="1">IFERROR(SUMIFS('TRA balance'!O$5:O$40,'TRA balance'!$C$5:$C$40,Assumptions!$C103,'TRA balance'!$D$5:$D$40,Assumptions!$B103)*DI103*R103,"")</f>
        <v/>
      </c>
      <c r="BO103" s="34" t="str">
        <f ca="1">IFERROR(SUMIFS('TRA balance'!P$5:P$40,'TRA balance'!$C$5:$C$40,Assumptions!$C103,'TRA balance'!$D$5:$D$40,Assumptions!$B103)*DJ103*S103,"")</f>
        <v/>
      </c>
      <c r="BP103" s="34" t="str">
        <f ca="1">IFERROR(SUMIFS('TRA balance'!Q$5:Q$40,'TRA balance'!$C$5:$C$40,Assumptions!$C103,'TRA balance'!$D$5:$D$40,Assumptions!$B103)*DK103*T103,"")</f>
        <v/>
      </c>
      <c r="BQ103" s="34" t="str">
        <f ca="1">IFERROR(SUMIFS('TRA balance'!R$5:R$40,'TRA balance'!$C$5:$C$40,Assumptions!$C103,'TRA balance'!$D$5:$D$40,Assumptions!$B103)*DL103*U103,"")</f>
        <v/>
      </c>
      <c r="BR103" s="34" t="str">
        <f ca="1">IFERROR(SUMIFS('TRA balance'!S$5:S$40,'TRA balance'!$C$5:$C$40,Assumptions!$C103,'TRA balance'!$D$5:$D$40,Assumptions!$B103)*DM103*V103,"")</f>
        <v/>
      </c>
      <c r="BS103" s="34" t="str">
        <f ca="1">IFERROR(SUMIFS('TRA balance'!T$5:T$40,'TRA balance'!$C$5:$C$40,Assumptions!$C103,'TRA balance'!$D$5:$D$40,Assumptions!$B103)*DN103*W103,"")</f>
        <v/>
      </c>
      <c r="BT103" s="34" t="str">
        <f ca="1">IFERROR(SUMIFS('TRA balance'!U$5:U$40,'TRA balance'!$C$5:$C$40,Assumptions!$C103,'TRA balance'!$D$5:$D$40,Assumptions!$B103)*DO103*X103,"")</f>
        <v/>
      </c>
      <c r="BU103" s="34" t="str">
        <f ca="1">IFERROR(SUMIFS('TRA balance'!V$5:V$40,'TRA balance'!$C$5:$C$40,Assumptions!$C103,'TRA balance'!$D$5:$D$40,Assumptions!$B103)*DP103*Y103,"")</f>
        <v/>
      </c>
      <c r="BV103" s="34" t="str">
        <f ca="1">IFERROR(SUMIFS('TRA balance'!W$5:W$40,'TRA balance'!$C$5:$C$40,Assumptions!$C103,'TRA balance'!$D$5:$D$40,Assumptions!$B103)*DQ103*Z103,"")</f>
        <v/>
      </c>
      <c r="BW103" s="34" t="str">
        <f ca="1">IFERROR(SUMIFS('TRA balance'!X$5:X$40,'TRA balance'!$C$5:$C$40,Assumptions!$C103,'TRA balance'!$D$5:$D$40,Assumptions!$B103)*DR103*AA103,"")</f>
        <v/>
      </c>
      <c r="BX103" s="34" t="str">
        <f ca="1">IFERROR(SUMIFS('TRA balance'!Y$5:Y$40,'TRA balance'!$C$5:$C$40,Assumptions!$C103,'TRA balance'!$D$5:$D$40,Assumptions!$B103)*DS103*AB103,"")</f>
        <v/>
      </c>
      <c r="BY103" s="34" t="str">
        <f ca="1">IFERROR(SUMIFS('TRA balance'!Z$5:Z$40,'TRA balance'!$C$5:$C$40,Assumptions!$C103,'TRA balance'!$D$5:$D$40,Assumptions!$B103)*DT103*AC103,"")</f>
        <v/>
      </c>
      <c r="BZ103" s="34" t="str">
        <f ca="1">IFERROR(SUMIFS('TRA balance'!AA$5:AA$40,'TRA balance'!$C$5:$C$40,Assumptions!$C103,'TRA balance'!$D$5:$D$40,Assumptions!$B103)*DU103*AD103,"")</f>
        <v/>
      </c>
      <c r="CA103" s="34" t="str">
        <f ca="1">IFERROR(SUMIFS('TRA balance'!AB$5:AB$40,'TRA balance'!$C$5:$C$40,Assumptions!$C103,'TRA balance'!$D$5:$D$40,Assumptions!$B103)*DV103*AE103,"")</f>
        <v/>
      </c>
      <c r="CB103" s="34" t="str">
        <f ca="1">IFERROR(SUMIFS('TRA balance'!AC$5:AC$40,'TRA balance'!$C$5:$C$40,Assumptions!$C103,'TRA balance'!$D$5:$D$40,Assumptions!$B103)*DW103*AF103,"")</f>
        <v/>
      </c>
      <c r="CC103" s="34" t="str">
        <f ca="1">IFERROR(SUMIFS('TRA balance'!AD$5:AD$40,'TRA balance'!$C$5:$C$40,Assumptions!$C103,'TRA balance'!$D$5:$D$40,Assumptions!$B103)*DX103*AG103,"")</f>
        <v/>
      </c>
      <c r="CD103" s="34" t="str">
        <f ca="1">IFERROR(SUMIFS('TRA balance'!AE$5:AE$40,'TRA balance'!$C$5:$C$40,Assumptions!$C103,'TRA balance'!$D$5:$D$40,Assumptions!$B103)*DY103*AH103,"")</f>
        <v/>
      </c>
      <c r="CE103" s="34" t="str">
        <f ca="1">IFERROR(SUMIFS('TRA balance'!AF$5:AF$40,'TRA balance'!$C$5:$C$40,Assumptions!$C103,'TRA balance'!$D$5:$D$40,Assumptions!$B103)*DZ103*AI103,"")</f>
        <v/>
      </c>
      <c r="CF103" s="34" t="str">
        <f ca="1">IFERROR(SUMIFS('TRA balance'!AG$5:AG$40,'TRA balance'!$C$5:$C$40,Assumptions!$C103,'TRA balance'!$D$5:$D$40,Assumptions!$B103)*EA103*AJ103,"")</f>
        <v/>
      </c>
      <c r="CG103" s="34" t="str">
        <f ca="1">IFERROR(SUMIFS('TRA balance'!AH$5:AH$40,'TRA balance'!$C$5:$C$40,Assumptions!$C103,'TRA balance'!$D$5:$D$40,Assumptions!$B103)*EB103*AK103,"")</f>
        <v/>
      </c>
      <c r="CH103" s="34" t="str">
        <f ca="1">IFERROR(SUMIFS('TRA balance'!AI$5:AI$40,'TRA balance'!$C$5:$C$40,Assumptions!$C103,'TRA balance'!$D$5:$D$40,Assumptions!$B103)*EC103*AL103,"")</f>
        <v/>
      </c>
      <c r="CI103" s="34" t="str">
        <f ca="1">IFERROR(SUMIFS('TRA balance'!AJ$5:AJ$40,'TRA balance'!$C$5:$C$40,Assumptions!$C103,'TRA balance'!$D$5:$D$40,Assumptions!$B103)*ED103*AM103,"")</f>
        <v/>
      </c>
      <c r="CJ103" s="34" t="str">
        <f ca="1">IFERROR(SUMIFS('TRA balance'!AK$5:AK$40,'TRA balance'!$C$5:$C$40,Assumptions!$C103,'TRA balance'!$D$5:$D$40,Assumptions!$B103)*EE103*AN103,"")</f>
        <v/>
      </c>
      <c r="CK103" s="34" t="str">
        <f ca="1">IFERROR(SUMIFS('TRA balance'!AL$5:AL$40,'TRA balance'!$C$5:$C$40,Assumptions!$C103,'TRA balance'!$D$5:$D$40,Assumptions!$B103)*EF103*AO103,"")</f>
        <v/>
      </c>
      <c r="CL103" s="34" t="str">
        <f ca="1">IFERROR(SUMIFS('TRA balance'!AM$5:AM$40,'TRA balance'!$C$5:$C$40,Assumptions!$C103,'TRA balance'!$D$5:$D$40,Assumptions!$B103)*EG103*AP103,"")</f>
        <v/>
      </c>
      <c r="CM103" s="34" t="str">
        <f ca="1">IFERROR(SUMIFS('TRA balance'!AN$5:AN$40,'TRA balance'!$C$5:$C$40,Assumptions!$C103,'TRA balance'!$D$5:$D$40,Assumptions!$B103)*EH103*AQ103,"")</f>
        <v/>
      </c>
      <c r="CN103" s="34" t="str">
        <f ca="1">IFERROR(SUMIFS('TRA balance'!AO$5:AO$40,'TRA balance'!$C$5:$C$40,Assumptions!$C103,'TRA balance'!$D$5:$D$40,Assumptions!$B103)*EI103*AR103,"")</f>
        <v/>
      </c>
      <c r="CO103" s="34" t="str">
        <f ca="1">IFERROR(SUMIFS('TRA balance'!AP$5:AP$40,'TRA balance'!$C$5:$C$40,Assumptions!$C103,'TRA balance'!$D$5:$D$40,Assumptions!$B103)*EJ103*AS103,"")</f>
        <v/>
      </c>
      <c r="CP103" s="34" t="str">
        <f ca="1">IFERROR(SUMIFS('TRA balance'!AQ$5:AQ$40,'TRA balance'!$C$5:$C$40,Assumptions!$C103,'TRA balance'!$D$5:$D$40,Assumptions!$B103)*EK103*AT103,"")</f>
        <v/>
      </c>
      <c r="CQ103" s="34" t="str">
        <f ca="1">IFERROR(SUMIFS('TRA balance'!AR$5:AR$40,'TRA balance'!$C$5:$C$40,Assumptions!$C103,'TRA balance'!$D$5:$D$40,Assumptions!$B103)*EL103*AU103,"")</f>
        <v/>
      </c>
      <c r="CR103" s="34" t="str">
        <f ca="1">IFERROR(SUMIFS('TRA balance'!AS$5:AS$40,'TRA balance'!$C$5:$C$40,Assumptions!$C103,'TRA balance'!$D$5:$D$40,Assumptions!$B103)*EM103*AV103,"")</f>
        <v/>
      </c>
      <c r="CS103" s="34" t="str">
        <f ca="1">IFERROR(SUMIFS('TRA balance'!AT$5:AT$40,'TRA balance'!$C$5:$C$40,Assumptions!$C103,'TRA balance'!$D$5:$D$40,Assumptions!$B103)*EN103*AW103,"")</f>
        <v/>
      </c>
      <c r="CT103" s="34" t="str">
        <f ca="1">IFERROR(SUMIFS('TRA balance'!AU$5:AU$40,'TRA balance'!$C$5:$C$40,Assumptions!$C103,'TRA balance'!$D$5:$D$40,Assumptions!$B103)*EO103*AX103,"")</f>
        <v/>
      </c>
      <c r="CU103" s="34" t="str">
        <f ca="1">IFERROR(SUMIFS('TRA balance'!AV$5:AV$40,'TRA balance'!$C$5:$C$40,Assumptions!$C103,'TRA balance'!$D$5:$D$40,Assumptions!$B103)*EP103*AY103,"")</f>
        <v/>
      </c>
      <c r="CV103" s="34" t="str">
        <f ca="1">IFERROR(SUMIFS('TRA balance'!AW$5:AW$40,'TRA balance'!$C$5:$C$40,Assumptions!$C103,'TRA balance'!$D$5:$D$40,Assumptions!$B103)*EQ103*AZ103,"")</f>
        <v/>
      </c>
      <c r="CW103" s="34" t="str">
        <f ca="1">IFERROR(SUMIFS('TRA balance'!AX$5:AX$40,'TRA balance'!$C$5:$C$40,Assumptions!$C103,'TRA balance'!$D$5:$D$40,Assumptions!$B103)*ER103*BA103,"")</f>
        <v/>
      </c>
      <c r="CY103" s="33">
        <f t="shared" si="86"/>
        <v>1</v>
      </c>
      <c r="CZ103" s="33">
        <f t="shared" si="87"/>
        <v>1</v>
      </c>
      <c r="DA103" s="33">
        <f t="shared" si="88"/>
        <v>1</v>
      </c>
      <c r="DB103" s="33">
        <f t="shared" si="89"/>
        <v>1</v>
      </c>
      <c r="DC103" s="33">
        <f t="shared" si="90"/>
        <v>1</v>
      </c>
      <c r="DD103" s="33">
        <f t="shared" si="91"/>
        <v>1</v>
      </c>
      <c r="DE103" s="33">
        <f t="shared" si="92"/>
        <v>1</v>
      </c>
      <c r="DF103" s="33">
        <f t="shared" si="93"/>
        <v>1</v>
      </c>
      <c r="DG103" s="33">
        <f t="shared" si="94"/>
        <v>1</v>
      </c>
      <c r="DH103" s="33">
        <f t="shared" si="95"/>
        <v>1</v>
      </c>
      <c r="DI103" s="33">
        <f t="shared" si="96"/>
        <v>1</v>
      </c>
      <c r="DJ103" s="33">
        <f t="shared" si="97"/>
        <v>1</v>
      </c>
      <c r="DK103" s="33">
        <f t="shared" si="98"/>
        <v>1</v>
      </c>
      <c r="DL103" s="33">
        <f t="shared" si="99"/>
        <v>1</v>
      </c>
      <c r="DM103" s="33">
        <f t="shared" si="100"/>
        <v>1</v>
      </c>
      <c r="DN103" s="33">
        <f t="shared" si="101"/>
        <v>1</v>
      </c>
      <c r="DO103" s="33">
        <f t="shared" si="102"/>
        <v>1</v>
      </c>
      <c r="DP103" s="33">
        <f t="shared" si="103"/>
        <v>1</v>
      </c>
      <c r="DQ103" s="33">
        <f t="shared" si="104"/>
        <v>1</v>
      </c>
      <c r="DR103" s="33">
        <f t="shared" si="105"/>
        <v>1</v>
      </c>
      <c r="DS103" s="33">
        <f t="shared" si="106"/>
        <v>1</v>
      </c>
      <c r="DT103" s="33">
        <f t="shared" si="107"/>
        <v>1</v>
      </c>
      <c r="DU103" s="33">
        <f t="shared" si="108"/>
        <v>1</v>
      </c>
      <c r="DV103" s="33">
        <f t="shared" si="109"/>
        <v>1</v>
      </c>
      <c r="DW103" s="33">
        <f t="shared" si="110"/>
        <v>1</v>
      </c>
      <c r="DX103" s="33">
        <f t="shared" si="111"/>
        <v>1</v>
      </c>
      <c r="DY103" s="33">
        <f t="shared" si="112"/>
        <v>1</v>
      </c>
      <c r="DZ103" s="33">
        <f t="shared" si="113"/>
        <v>1</v>
      </c>
      <c r="EA103" s="33">
        <f t="shared" si="114"/>
        <v>1</v>
      </c>
      <c r="EB103" s="33">
        <f t="shared" si="115"/>
        <v>1</v>
      </c>
      <c r="EC103" s="33">
        <f t="shared" si="116"/>
        <v>1</v>
      </c>
      <c r="ED103" s="33">
        <f t="shared" si="117"/>
        <v>1</v>
      </c>
      <c r="EE103" s="33">
        <f t="shared" si="118"/>
        <v>1</v>
      </c>
      <c r="EF103" s="33">
        <f t="shared" si="119"/>
        <v>1</v>
      </c>
      <c r="EG103" s="33">
        <f t="shared" si="120"/>
        <v>1</v>
      </c>
      <c r="EH103" s="33">
        <f t="shared" si="121"/>
        <v>1</v>
      </c>
      <c r="EI103" s="33">
        <f t="shared" si="122"/>
        <v>1</v>
      </c>
      <c r="EJ103" s="33">
        <f t="shared" si="123"/>
        <v>1</v>
      </c>
      <c r="EK103" s="33">
        <f t="shared" si="124"/>
        <v>1</v>
      </c>
      <c r="EL103" s="33">
        <f t="shared" si="125"/>
        <v>1</v>
      </c>
      <c r="EM103" s="33">
        <f t="shared" si="126"/>
        <v>1</v>
      </c>
      <c r="EN103" s="33">
        <f t="shared" si="127"/>
        <v>1</v>
      </c>
      <c r="EO103" s="33">
        <f t="shared" si="128"/>
        <v>1</v>
      </c>
      <c r="EP103" s="33">
        <f t="shared" si="129"/>
        <v>1</v>
      </c>
      <c r="EQ103" s="33">
        <f t="shared" si="130"/>
        <v>1</v>
      </c>
      <c r="ER103" s="33">
        <f t="shared" si="131"/>
        <v>1</v>
      </c>
    </row>
    <row r="104" spans="1:148">
      <c r="C104" s="27"/>
      <c r="D104" s="27"/>
      <c r="E104" s="28"/>
      <c r="F104" s="29"/>
      <c r="G104" s="27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</row>
    <row r="105" spans="1:148">
      <c r="C105" s="27"/>
      <c r="D105" s="27"/>
      <c r="E105" s="28"/>
      <c r="F105" s="29"/>
      <c r="G105" s="27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7" t="s">
        <v>18</v>
      </c>
      <c r="BC105" s="27" t="s">
        <v>31</v>
      </c>
      <c r="BD105" s="34">
        <f>IFERROR(ABS(SUMIFS('TRA balance'!E$5:E$40,'TRA balance'!$C$5:$C$40,Assumptions!$BB105,'TRA balance'!$D$5:$D$40,Assumptions!$BC105)),"")</f>
        <v>0</v>
      </c>
      <c r="BE105" s="34">
        <f>IFERROR(ABS(SUMIFS('TRA balance'!F$5:F$40,'TRA balance'!$C$5:$C$40,Assumptions!$BB105,'TRA balance'!$D$5:$D$40,Assumptions!$BC105)),"")</f>
        <v>0</v>
      </c>
      <c r="BF105" s="34">
        <f>IFERROR(ABS(SUMIFS('TRA balance'!G$5:G$40,'TRA balance'!$C$5:$C$40,Assumptions!$BB105,'TRA balance'!$D$5:$D$40,Assumptions!$BC105)),"")</f>
        <v>0</v>
      </c>
      <c r="BG105" s="34">
        <f>IFERROR(ABS(SUMIFS('TRA balance'!H$5:H$40,'TRA balance'!$C$5:$C$40,Assumptions!$BB105,'TRA balance'!$D$5:$D$40,Assumptions!$BC105)),"")</f>
        <v>0</v>
      </c>
      <c r="BH105" s="34">
        <f>IFERROR(ABS(SUMIFS('TRA balance'!I$5:I$40,'TRA balance'!$C$5:$C$40,Assumptions!$BB105,'TRA balance'!$D$5:$D$40,Assumptions!$BC105)),"")</f>
        <v>0</v>
      </c>
      <c r="BI105" s="34">
        <f>IFERROR(ABS(SUMIFS('TRA balance'!J$5:J$40,'TRA balance'!$C$5:$C$40,Assumptions!$BB105,'TRA balance'!$D$5:$D$40,Assumptions!$BC105)),"")</f>
        <v>0</v>
      </c>
      <c r="BJ105" s="34">
        <f>IFERROR(ABS(SUMIFS('TRA balance'!K$5:K$40,'TRA balance'!$C$5:$C$40,Assumptions!$BB105,'TRA balance'!$D$5:$D$40,Assumptions!$BC105)),"")</f>
        <v>0</v>
      </c>
      <c r="BK105" s="34">
        <f>IFERROR(ABS(SUMIFS('TRA balance'!L$5:L$40,'TRA balance'!$C$5:$C$40,Assumptions!$BB105,'TRA balance'!$D$5:$D$40,Assumptions!$BC105)),"")</f>
        <v>0</v>
      </c>
      <c r="BL105" s="34">
        <f>IFERROR(ABS(SUMIFS('TRA balance'!M$5:M$40,'TRA balance'!$C$5:$C$40,Assumptions!$BB105,'TRA balance'!$D$5:$D$40,Assumptions!$BC105)),"")</f>
        <v>0</v>
      </c>
      <c r="BM105" s="34">
        <f>IFERROR(ABS(SUMIFS('TRA balance'!N$5:N$40,'TRA balance'!$C$5:$C$40,Assumptions!$BB105,'TRA balance'!$D$5:$D$40,Assumptions!$BC105)),"")</f>
        <v>0</v>
      </c>
      <c r="BN105" s="34">
        <f>IFERROR(ABS(SUMIFS('TRA balance'!O$5:O$40,'TRA balance'!$C$5:$C$40,Assumptions!$BB105,'TRA balance'!$D$5:$D$40,Assumptions!$BC105)),"")</f>
        <v>0</v>
      </c>
      <c r="BO105" s="34">
        <f>IFERROR(ABS(SUMIFS('TRA balance'!P$5:P$40,'TRA balance'!$C$5:$C$40,Assumptions!$BB105,'TRA balance'!$D$5:$D$40,Assumptions!$BC105)),"")</f>
        <v>0</v>
      </c>
      <c r="BP105" s="34">
        <f>IFERROR(ABS(SUMIFS('TRA balance'!Q$5:Q$40,'TRA balance'!$C$5:$C$40,Assumptions!$BB105,'TRA balance'!$D$5:$D$40,Assumptions!$BC105)),"")</f>
        <v>0</v>
      </c>
      <c r="BQ105" s="34">
        <f>IFERROR(ABS(SUMIFS('TRA balance'!R$5:R$40,'TRA balance'!$C$5:$C$40,Assumptions!$BB105,'TRA balance'!$D$5:$D$40,Assumptions!$BC105)),"")</f>
        <v>0</v>
      </c>
      <c r="BR105" s="34">
        <f>IFERROR(ABS(SUMIFS('TRA balance'!S$5:S$40,'TRA balance'!$C$5:$C$40,Assumptions!$BB105,'TRA balance'!$D$5:$D$40,Assumptions!$BC105)),"")</f>
        <v>0</v>
      </c>
      <c r="BS105" s="34">
        <f>IFERROR(ABS(SUMIFS('TRA balance'!T$5:T$40,'TRA balance'!$C$5:$C$40,Assumptions!$BB105,'TRA balance'!$D$5:$D$40,Assumptions!$BC105)),"")</f>
        <v>0</v>
      </c>
      <c r="BT105" s="34">
        <f>IFERROR(ABS(SUMIFS('TRA balance'!U$5:U$40,'TRA balance'!$C$5:$C$40,Assumptions!$BB105,'TRA balance'!$D$5:$D$40,Assumptions!$BC105)),"")</f>
        <v>0</v>
      </c>
      <c r="BU105" s="34">
        <f>IFERROR(ABS(SUMIFS('TRA balance'!V$5:V$40,'TRA balance'!$C$5:$C$40,Assumptions!$BB105,'TRA balance'!$D$5:$D$40,Assumptions!$BC105)),"")</f>
        <v>0</v>
      </c>
      <c r="BV105" s="34">
        <f>IFERROR(ABS(SUMIFS('TRA balance'!W$5:W$40,'TRA balance'!$C$5:$C$40,Assumptions!$BB105,'TRA balance'!$D$5:$D$40,Assumptions!$BC105)),"")</f>
        <v>0</v>
      </c>
      <c r="BW105" s="34">
        <f>IFERROR(ABS(SUMIFS('TRA balance'!X$5:X$40,'TRA balance'!$C$5:$C$40,Assumptions!$BB105,'TRA balance'!$D$5:$D$40,Assumptions!$BC105)),"")</f>
        <v>0</v>
      </c>
      <c r="BX105" s="34">
        <f>IFERROR(ABS(SUMIFS('TRA balance'!Y$5:Y$40,'TRA balance'!$C$5:$C$40,Assumptions!$BB105,'TRA balance'!$D$5:$D$40,Assumptions!$BC105)),"")</f>
        <v>0</v>
      </c>
      <c r="BY105" s="34">
        <f>IFERROR(ABS(SUMIFS('TRA balance'!Z$5:Z$40,'TRA balance'!$C$5:$C$40,Assumptions!$BB105,'TRA balance'!$D$5:$D$40,Assumptions!$BC105)),"")</f>
        <v>0</v>
      </c>
      <c r="BZ105" s="34">
        <f>IFERROR(ABS(SUMIFS('TRA balance'!AA$5:AA$40,'TRA balance'!$C$5:$C$40,Assumptions!$BB105,'TRA balance'!$D$5:$D$40,Assumptions!$BC105)),"")</f>
        <v>0</v>
      </c>
      <c r="CA105" s="34">
        <f>IFERROR(ABS(SUMIFS('TRA balance'!AB$5:AB$40,'TRA balance'!$C$5:$C$40,Assumptions!$BB105,'TRA balance'!$D$5:$D$40,Assumptions!$BC105)),"")</f>
        <v>0</v>
      </c>
      <c r="CB105" s="34">
        <f>IFERROR(ABS(SUMIFS('TRA balance'!AC$5:AC$40,'TRA balance'!$C$5:$C$40,Assumptions!$BB105,'TRA balance'!$D$5:$D$40,Assumptions!$BC105)),"")</f>
        <v>0</v>
      </c>
      <c r="CC105" s="34">
        <f>IFERROR(ABS(SUMIFS('TRA balance'!AD$5:AD$40,'TRA balance'!$C$5:$C$40,Assumptions!$BB105,'TRA balance'!$D$5:$D$40,Assumptions!$BC105)),"")</f>
        <v>0</v>
      </c>
      <c r="CD105" s="34">
        <f>IFERROR(ABS(SUMIFS('TRA balance'!AE$5:AE$40,'TRA balance'!$C$5:$C$40,Assumptions!$BB105,'TRA balance'!$D$5:$D$40,Assumptions!$BC105)),"")</f>
        <v>0</v>
      </c>
      <c r="CE105" s="34">
        <f>IFERROR(ABS(SUMIFS('TRA balance'!AF$5:AF$40,'TRA balance'!$C$5:$C$40,Assumptions!$BB105,'TRA balance'!$D$5:$D$40,Assumptions!$BC105)),"")</f>
        <v>0</v>
      </c>
      <c r="CF105" s="34">
        <f>IFERROR(ABS(SUMIFS('TRA balance'!AG$5:AG$40,'TRA balance'!$C$5:$C$40,Assumptions!$BB105,'TRA balance'!$D$5:$D$40,Assumptions!$BC105)),"")</f>
        <v>0</v>
      </c>
      <c r="CG105" s="34">
        <f>IFERROR(ABS(SUMIFS('TRA balance'!AH$5:AH$40,'TRA balance'!$C$5:$C$40,Assumptions!$BB105,'TRA balance'!$D$5:$D$40,Assumptions!$BC105)),"")</f>
        <v>0</v>
      </c>
      <c r="CH105" s="34">
        <f>IFERROR(ABS(SUMIFS('TRA balance'!AI$5:AI$40,'TRA balance'!$C$5:$C$40,Assumptions!$BB105,'TRA balance'!$D$5:$D$40,Assumptions!$BC105)),"")</f>
        <v>0</v>
      </c>
      <c r="CI105" s="34">
        <f>IFERROR(ABS(SUMIFS('TRA balance'!AJ$5:AJ$40,'TRA balance'!$C$5:$C$40,Assumptions!$BB105,'TRA balance'!$D$5:$D$40,Assumptions!$BC105)),"")</f>
        <v>0</v>
      </c>
      <c r="CJ105" s="34">
        <f>IFERROR(ABS(SUMIFS('TRA balance'!AK$5:AK$40,'TRA balance'!$C$5:$C$40,Assumptions!$BB105,'TRA balance'!$D$5:$D$40,Assumptions!$BC105)),"")</f>
        <v>0</v>
      </c>
      <c r="CK105" s="34">
        <f>IFERROR(ABS(SUMIFS('TRA balance'!AL$5:AL$40,'TRA balance'!$C$5:$C$40,Assumptions!$BB105,'TRA balance'!$D$5:$D$40,Assumptions!$BC105)),"")</f>
        <v>0</v>
      </c>
      <c r="CL105" s="34">
        <f>IFERROR(ABS(SUMIFS('TRA balance'!AM$5:AM$40,'TRA balance'!$C$5:$C$40,Assumptions!$BB105,'TRA balance'!$D$5:$D$40,Assumptions!$BC105)),"")</f>
        <v>0</v>
      </c>
      <c r="CM105" s="34">
        <f>IFERROR(ABS(SUMIFS('TRA balance'!AN$5:AN$40,'TRA balance'!$C$5:$C$40,Assumptions!$BB105,'TRA balance'!$D$5:$D$40,Assumptions!$BC105)),"")</f>
        <v>0</v>
      </c>
      <c r="CN105" s="34">
        <f>IFERROR(ABS(SUMIFS('TRA balance'!AO$5:AO$40,'TRA balance'!$C$5:$C$40,Assumptions!$BB105,'TRA balance'!$D$5:$D$40,Assumptions!$BC105)),"")</f>
        <v>0</v>
      </c>
      <c r="CO105" s="34">
        <f>IFERROR(ABS(SUMIFS('TRA balance'!AP$5:AP$40,'TRA balance'!$C$5:$C$40,Assumptions!$BB105,'TRA balance'!$D$5:$D$40,Assumptions!$BC105)),"")</f>
        <v>0</v>
      </c>
      <c r="CP105" s="34">
        <f>IFERROR(ABS(SUMIFS('TRA balance'!AQ$5:AQ$40,'TRA balance'!$C$5:$C$40,Assumptions!$BB105,'TRA balance'!$D$5:$D$40,Assumptions!$BC105)),"")</f>
        <v>0</v>
      </c>
      <c r="CQ105" s="34">
        <f>IFERROR(ABS(SUMIFS('TRA balance'!AR$5:AR$40,'TRA balance'!$C$5:$C$40,Assumptions!$BB105,'TRA balance'!$D$5:$D$40,Assumptions!$BC105)),"")</f>
        <v>0</v>
      </c>
      <c r="CR105" s="34">
        <f>IFERROR(ABS(SUMIFS('TRA balance'!AS$5:AS$40,'TRA balance'!$C$5:$C$40,Assumptions!$BB105,'TRA balance'!$D$5:$D$40,Assumptions!$BC105)),"")</f>
        <v>0</v>
      </c>
      <c r="CS105" s="34">
        <f>IFERROR(ABS(SUMIFS('TRA balance'!AT$5:AT$40,'TRA balance'!$C$5:$C$40,Assumptions!$BB105,'TRA balance'!$D$5:$D$40,Assumptions!$BC105)),"")</f>
        <v>0</v>
      </c>
      <c r="CT105" s="34">
        <f>IFERROR(ABS(SUMIFS('TRA balance'!AU$5:AU$40,'TRA balance'!$C$5:$C$40,Assumptions!$BB105,'TRA balance'!$D$5:$D$40,Assumptions!$BC105)),"")</f>
        <v>0</v>
      </c>
      <c r="CU105" s="34">
        <f>IFERROR(ABS(SUMIFS('TRA balance'!AV$5:AV$40,'TRA balance'!$C$5:$C$40,Assumptions!$BB105,'TRA balance'!$D$5:$D$40,Assumptions!$BC105)),"")</f>
        <v>0</v>
      </c>
      <c r="CV105" s="34">
        <f>IFERROR(ABS(SUMIFS('TRA balance'!AW$5:AW$40,'TRA balance'!$C$5:$C$40,Assumptions!$BB105,'TRA balance'!$D$5:$D$40,Assumptions!$BC105)),"")</f>
        <v>0</v>
      </c>
      <c r="CW105" s="34">
        <f>IFERROR(ABS(SUMIFS('TRA balance'!AX$5:AX$40,'TRA balance'!$C$5:$C$40,Assumptions!$BB105,'TRA balance'!$D$5:$D$40,Assumptions!$BC105)),"")</f>
        <v>0</v>
      </c>
      <c r="CX105" s="27"/>
      <c r="CY105" s="27"/>
      <c r="CZ105" s="27"/>
      <c r="DA105" s="27"/>
      <c r="DB105" s="27"/>
      <c r="DC105" s="27"/>
      <c r="DD105" s="27"/>
      <c r="DE105" s="27"/>
      <c r="DF105" s="27"/>
      <c r="DG105" s="27"/>
      <c r="DH105" s="27"/>
      <c r="DI105" s="27"/>
      <c r="DJ105" s="27"/>
      <c r="DK105" s="27"/>
      <c r="DL105" s="27"/>
      <c r="DM105" s="27"/>
      <c r="DN105" s="27"/>
      <c r="DO105" s="27"/>
    </row>
    <row r="106" spans="1:148">
      <c r="C106" s="27"/>
      <c r="D106" s="27"/>
      <c r="E106" s="28"/>
      <c r="F106" s="29"/>
      <c r="G106" s="27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28"/>
      <c r="AN106" s="28"/>
      <c r="AO106" s="28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7" t="s">
        <v>18</v>
      </c>
      <c r="BC106" s="27" t="s">
        <v>41</v>
      </c>
      <c r="BD106" s="34">
        <f>IFERROR(ABS(SUMIFS('TRA balance'!E$5:E$40,'TRA balance'!$C$5:$C$40,Assumptions!$BB106,'TRA balance'!$D$5:$D$40,Assumptions!$BC106)),"")</f>
        <v>0</v>
      </c>
      <c r="BE106" s="34">
        <f>IFERROR(ABS(SUMIFS('TRA balance'!F$5:F$40,'TRA balance'!$C$5:$C$40,Assumptions!$BB106,'TRA balance'!$D$5:$D$40,Assumptions!$BC106)),"")</f>
        <v>0</v>
      </c>
      <c r="BF106" s="34">
        <f>IFERROR(ABS(SUMIFS('TRA balance'!G$5:G$40,'TRA balance'!$C$5:$C$40,Assumptions!$BB106,'TRA balance'!$D$5:$D$40,Assumptions!$BC106)),"")</f>
        <v>0</v>
      </c>
      <c r="BG106" s="34">
        <f>IFERROR(ABS(SUMIFS('TRA balance'!H$5:H$40,'TRA balance'!$C$5:$C$40,Assumptions!$BB106,'TRA balance'!$D$5:$D$40,Assumptions!$BC106)),"")</f>
        <v>0</v>
      </c>
      <c r="BH106" s="34">
        <f>IFERROR(ABS(SUMIFS('TRA balance'!I$5:I$40,'TRA balance'!$C$5:$C$40,Assumptions!$BB106,'TRA balance'!$D$5:$D$40,Assumptions!$BC106)),"")</f>
        <v>0</v>
      </c>
      <c r="BI106" s="34">
        <f>IFERROR(ABS(SUMIFS('TRA balance'!J$5:J$40,'TRA balance'!$C$5:$C$40,Assumptions!$BB106,'TRA balance'!$D$5:$D$40,Assumptions!$BC106)),"")</f>
        <v>0</v>
      </c>
      <c r="BJ106" s="34">
        <f>IFERROR(ABS(SUMIFS('TRA balance'!K$5:K$40,'TRA balance'!$C$5:$C$40,Assumptions!$BB106,'TRA balance'!$D$5:$D$40,Assumptions!$BC106)),"")</f>
        <v>0</v>
      </c>
      <c r="BK106" s="34">
        <f>IFERROR(ABS(SUMIFS('TRA balance'!L$5:L$40,'TRA balance'!$C$5:$C$40,Assumptions!$BB106,'TRA balance'!$D$5:$D$40,Assumptions!$BC106)),"")</f>
        <v>0</v>
      </c>
      <c r="BL106" s="34">
        <f>IFERROR(ABS(SUMIFS('TRA balance'!M$5:M$40,'TRA balance'!$C$5:$C$40,Assumptions!$BB106,'TRA balance'!$D$5:$D$40,Assumptions!$BC106)),"")</f>
        <v>0</v>
      </c>
      <c r="BM106" s="34">
        <f>IFERROR(ABS(SUMIFS('TRA balance'!N$5:N$40,'TRA balance'!$C$5:$C$40,Assumptions!$BB106,'TRA balance'!$D$5:$D$40,Assumptions!$BC106)),"")</f>
        <v>0</v>
      </c>
      <c r="BN106" s="34">
        <f>IFERROR(ABS(SUMIFS('TRA balance'!O$5:O$40,'TRA balance'!$C$5:$C$40,Assumptions!$BB106,'TRA balance'!$D$5:$D$40,Assumptions!$BC106)),"")</f>
        <v>0</v>
      </c>
      <c r="BO106" s="34">
        <f>IFERROR(ABS(SUMIFS('TRA balance'!P$5:P$40,'TRA balance'!$C$5:$C$40,Assumptions!$BB106,'TRA balance'!$D$5:$D$40,Assumptions!$BC106)),"")</f>
        <v>0</v>
      </c>
      <c r="BP106" s="34">
        <f>IFERROR(ABS(SUMIFS('TRA balance'!Q$5:Q$40,'TRA balance'!$C$5:$C$40,Assumptions!$BB106,'TRA balance'!$D$5:$D$40,Assumptions!$BC106)),"")</f>
        <v>0</v>
      </c>
      <c r="BQ106" s="34">
        <f>IFERROR(ABS(SUMIFS('TRA balance'!R$5:R$40,'TRA balance'!$C$5:$C$40,Assumptions!$BB106,'TRA balance'!$D$5:$D$40,Assumptions!$BC106)),"")</f>
        <v>0</v>
      </c>
      <c r="BR106" s="34">
        <f>IFERROR(ABS(SUMIFS('TRA balance'!S$5:S$40,'TRA balance'!$C$5:$C$40,Assumptions!$BB106,'TRA balance'!$D$5:$D$40,Assumptions!$BC106)),"")</f>
        <v>0</v>
      </c>
      <c r="BS106" s="34">
        <f>IFERROR(ABS(SUMIFS('TRA balance'!T$5:T$40,'TRA balance'!$C$5:$C$40,Assumptions!$BB106,'TRA balance'!$D$5:$D$40,Assumptions!$BC106)),"")</f>
        <v>0</v>
      </c>
      <c r="BT106" s="34">
        <f>IFERROR(ABS(SUMIFS('TRA balance'!U$5:U$40,'TRA balance'!$C$5:$C$40,Assumptions!$BB106,'TRA balance'!$D$5:$D$40,Assumptions!$BC106)),"")</f>
        <v>0</v>
      </c>
      <c r="BU106" s="34">
        <f>IFERROR(ABS(SUMIFS('TRA balance'!V$5:V$40,'TRA balance'!$C$5:$C$40,Assumptions!$BB106,'TRA balance'!$D$5:$D$40,Assumptions!$BC106)),"")</f>
        <v>0</v>
      </c>
      <c r="BV106" s="34">
        <f>IFERROR(ABS(SUMIFS('TRA balance'!W$5:W$40,'TRA balance'!$C$5:$C$40,Assumptions!$BB106,'TRA balance'!$D$5:$D$40,Assumptions!$BC106)),"")</f>
        <v>0</v>
      </c>
      <c r="BW106" s="34">
        <f>IFERROR(ABS(SUMIFS('TRA balance'!X$5:X$40,'TRA balance'!$C$5:$C$40,Assumptions!$BB106,'TRA balance'!$D$5:$D$40,Assumptions!$BC106)),"")</f>
        <v>0</v>
      </c>
      <c r="BX106" s="34">
        <f>IFERROR(ABS(SUMIFS('TRA balance'!Y$5:Y$40,'TRA balance'!$C$5:$C$40,Assumptions!$BB106,'TRA balance'!$D$5:$D$40,Assumptions!$BC106)),"")</f>
        <v>0</v>
      </c>
      <c r="BY106" s="34">
        <f>IFERROR(ABS(SUMIFS('TRA balance'!Z$5:Z$40,'TRA balance'!$C$5:$C$40,Assumptions!$BB106,'TRA balance'!$D$5:$D$40,Assumptions!$BC106)),"")</f>
        <v>0</v>
      </c>
      <c r="BZ106" s="34">
        <f>IFERROR(ABS(SUMIFS('TRA balance'!AA$5:AA$40,'TRA balance'!$C$5:$C$40,Assumptions!$BB106,'TRA balance'!$D$5:$D$40,Assumptions!$BC106)),"")</f>
        <v>0</v>
      </c>
      <c r="CA106" s="34">
        <f>IFERROR(ABS(SUMIFS('TRA balance'!AB$5:AB$40,'TRA balance'!$C$5:$C$40,Assumptions!$BB106,'TRA balance'!$D$5:$D$40,Assumptions!$BC106)),"")</f>
        <v>0</v>
      </c>
      <c r="CB106" s="34">
        <f>IFERROR(ABS(SUMIFS('TRA balance'!AC$5:AC$40,'TRA balance'!$C$5:$C$40,Assumptions!$BB106,'TRA balance'!$D$5:$D$40,Assumptions!$BC106)),"")</f>
        <v>0</v>
      </c>
      <c r="CC106" s="34">
        <f>IFERROR(ABS(SUMIFS('TRA balance'!AD$5:AD$40,'TRA balance'!$C$5:$C$40,Assumptions!$BB106,'TRA balance'!$D$5:$D$40,Assumptions!$BC106)),"")</f>
        <v>0</v>
      </c>
      <c r="CD106" s="34">
        <f>IFERROR(ABS(SUMIFS('TRA balance'!AE$5:AE$40,'TRA balance'!$C$5:$C$40,Assumptions!$BB106,'TRA balance'!$D$5:$D$40,Assumptions!$BC106)),"")</f>
        <v>0</v>
      </c>
      <c r="CE106" s="34">
        <f>IFERROR(ABS(SUMIFS('TRA balance'!AF$5:AF$40,'TRA balance'!$C$5:$C$40,Assumptions!$BB106,'TRA balance'!$D$5:$D$40,Assumptions!$BC106)),"")</f>
        <v>0</v>
      </c>
      <c r="CF106" s="34">
        <f>IFERROR(ABS(SUMIFS('TRA balance'!AG$5:AG$40,'TRA balance'!$C$5:$C$40,Assumptions!$BB106,'TRA balance'!$D$5:$D$40,Assumptions!$BC106)),"")</f>
        <v>0</v>
      </c>
      <c r="CG106" s="34">
        <f>IFERROR(ABS(SUMIFS('TRA balance'!AH$5:AH$40,'TRA balance'!$C$5:$C$40,Assumptions!$BB106,'TRA balance'!$D$5:$D$40,Assumptions!$BC106)),"")</f>
        <v>0</v>
      </c>
      <c r="CH106" s="34">
        <f>IFERROR(ABS(SUMIFS('TRA balance'!AI$5:AI$40,'TRA balance'!$C$5:$C$40,Assumptions!$BB106,'TRA balance'!$D$5:$D$40,Assumptions!$BC106)),"")</f>
        <v>0</v>
      </c>
      <c r="CI106" s="34">
        <f>IFERROR(ABS(SUMIFS('TRA balance'!AJ$5:AJ$40,'TRA balance'!$C$5:$C$40,Assumptions!$BB106,'TRA balance'!$D$5:$D$40,Assumptions!$BC106)),"")</f>
        <v>0</v>
      </c>
      <c r="CJ106" s="34">
        <f>IFERROR(ABS(SUMIFS('TRA balance'!AK$5:AK$40,'TRA balance'!$C$5:$C$40,Assumptions!$BB106,'TRA balance'!$D$5:$D$40,Assumptions!$BC106)),"")</f>
        <v>0</v>
      </c>
      <c r="CK106" s="34">
        <f>IFERROR(ABS(SUMIFS('TRA balance'!AL$5:AL$40,'TRA balance'!$C$5:$C$40,Assumptions!$BB106,'TRA balance'!$D$5:$D$40,Assumptions!$BC106)),"")</f>
        <v>0</v>
      </c>
      <c r="CL106" s="34">
        <f>IFERROR(ABS(SUMIFS('TRA balance'!AM$5:AM$40,'TRA balance'!$C$5:$C$40,Assumptions!$BB106,'TRA balance'!$D$5:$D$40,Assumptions!$BC106)),"")</f>
        <v>0</v>
      </c>
      <c r="CM106" s="34">
        <f>IFERROR(ABS(SUMIFS('TRA balance'!AN$5:AN$40,'TRA balance'!$C$5:$C$40,Assumptions!$BB106,'TRA balance'!$D$5:$D$40,Assumptions!$BC106)),"")</f>
        <v>0</v>
      </c>
      <c r="CN106" s="34">
        <f>IFERROR(ABS(SUMIFS('TRA balance'!AO$5:AO$40,'TRA balance'!$C$5:$C$40,Assumptions!$BB106,'TRA balance'!$D$5:$D$40,Assumptions!$BC106)),"")</f>
        <v>0</v>
      </c>
      <c r="CO106" s="34">
        <f>IFERROR(ABS(SUMIFS('TRA balance'!AP$5:AP$40,'TRA balance'!$C$5:$C$40,Assumptions!$BB106,'TRA balance'!$D$5:$D$40,Assumptions!$BC106)),"")</f>
        <v>0</v>
      </c>
      <c r="CP106" s="34">
        <f>IFERROR(ABS(SUMIFS('TRA balance'!AQ$5:AQ$40,'TRA balance'!$C$5:$C$40,Assumptions!$BB106,'TRA balance'!$D$5:$D$40,Assumptions!$BC106)),"")</f>
        <v>0</v>
      </c>
      <c r="CQ106" s="34">
        <f>IFERROR(ABS(SUMIFS('TRA balance'!AR$5:AR$40,'TRA balance'!$C$5:$C$40,Assumptions!$BB106,'TRA balance'!$D$5:$D$40,Assumptions!$BC106)),"")</f>
        <v>0</v>
      </c>
      <c r="CR106" s="34">
        <f>IFERROR(ABS(SUMIFS('TRA balance'!AS$5:AS$40,'TRA balance'!$C$5:$C$40,Assumptions!$BB106,'TRA balance'!$D$5:$D$40,Assumptions!$BC106)),"")</f>
        <v>0</v>
      </c>
      <c r="CS106" s="34">
        <f>IFERROR(ABS(SUMIFS('TRA balance'!AT$5:AT$40,'TRA balance'!$C$5:$C$40,Assumptions!$BB106,'TRA balance'!$D$5:$D$40,Assumptions!$BC106)),"")</f>
        <v>0</v>
      </c>
      <c r="CT106" s="34">
        <f>IFERROR(ABS(SUMIFS('TRA balance'!AU$5:AU$40,'TRA balance'!$C$5:$C$40,Assumptions!$BB106,'TRA balance'!$D$5:$D$40,Assumptions!$BC106)),"")</f>
        <v>0</v>
      </c>
      <c r="CU106" s="34">
        <f>IFERROR(ABS(SUMIFS('TRA balance'!AV$5:AV$40,'TRA balance'!$C$5:$C$40,Assumptions!$BB106,'TRA balance'!$D$5:$D$40,Assumptions!$BC106)),"")</f>
        <v>0</v>
      </c>
      <c r="CV106" s="34">
        <f>IFERROR(ABS(SUMIFS('TRA balance'!AW$5:AW$40,'TRA balance'!$C$5:$C$40,Assumptions!$BB106,'TRA balance'!$D$5:$D$40,Assumptions!$BC106)),"")</f>
        <v>0</v>
      </c>
      <c r="CW106" s="34">
        <f>IFERROR(ABS(SUMIFS('TRA balance'!AX$5:AX$40,'TRA balance'!$C$5:$C$40,Assumptions!$BB106,'TRA balance'!$D$5:$D$40,Assumptions!$BC106)),"")</f>
        <v>0</v>
      </c>
      <c r="CX106" s="27"/>
      <c r="CY106" s="27"/>
      <c r="CZ106" s="27"/>
      <c r="DA106" s="27"/>
      <c r="DB106" s="27"/>
      <c r="DC106" s="27"/>
      <c r="DD106" s="27"/>
      <c r="DE106" s="27"/>
      <c r="DF106" s="27"/>
      <c r="DG106" s="27"/>
      <c r="DH106" s="27"/>
      <c r="DI106" s="27"/>
      <c r="DJ106" s="27"/>
      <c r="DK106" s="27"/>
      <c r="DL106" s="27"/>
      <c r="DM106" s="27"/>
      <c r="DN106" s="27"/>
      <c r="DO106" s="27"/>
    </row>
    <row r="107" spans="1:148">
      <c r="B107" t="s">
        <v>136</v>
      </c>
      <c r="C107" t="s">
        <v>139</v>
      </c>
      <c r="D107" t="s">
        <v>140</v>
      </c>
      <c r="E107" t="s">
        <v>141</v>
      </c>
      <c r="F107" t="s">
        <v>9</v>
      </c>
      <c r="G107" t="s">
        <v>15</v>
      </c>
      <c r="H107" t="s">
        <v>8</v>
      </c>
      <c r="I107" t="s">
        <v>8</v>
      </c>
      <c r="J107" t="s">
        <v>8</v>
      </c>
      <c r="K107" t="s">
        <v>8</v>
      </c>
      <c r="L107" t="s">
        <v>8</v>
      </c>
      <c r="M107" t="s">
        <v>8</v>
      </c>
      <c r="N107" t="s">
        <v>8</v>
      </c>
      <c r="O107" t="s">
        <v>8</v>
      </c>
      <c r="P107" t="s">
        <v>8</v>
      </c>
      <c r="Q107" t="s">
        <v>8</v>
      </c>
      <c r="R107" t="s">
        <v>8</v>
      </c>
      <c r="S107" t="s">
        <v>8</v>
      </c>
      <c r="T107" t="s">
        <v>8</v>
      </c>
      <c r="U107" t="s">
        <v>8</v>
      </c>
      <c r="V107" t="s">
        <v>8</v>
      </c>
      <c r="W107" t="s">
        <v>8</v>
      </c>
      <c r="X107" t="s">
        <v>8</v>
      </c>
      <c r="Y107" t="s">
        <v>8</v>
      </c>
      <c r="Z107" t="s">
        <v>8</v>
      </c>
      <c r="AA107" t="s">
        <v>8</v>
      </c>
      <c r="AB107" t="s">
        <v>8</v>
      </c>
      <c r="AC107" t="s">
        <v>8</v>
      </c>
      <c r="AD107" t="s">
        <v>8</v>
      </c>
      <c r="AE107" t="s">
        <v>8</v>
      </c>
      <c r="AF107" t="s">
        <v>8</v>
      </c>
      <c r="AG107" t="s">
        <v>8</v>
      </c>
      <c r="AH107" t="s">
        <v>8</v>
      </c>
      <c r="AI107" t="s">
        <v>8</v>
      </c>
      <c r="AJ107" t="s">
        <v>8</v>
      </c>
      <c r="AK107" t="s">
        <v>8</v>
      </c>
      <c r="AL107" t="s">
        <v>8</v>
      </c>
      <c r="AM107" t="s">
        <v>8</v>
      </c>
      <c r="AN107" t="s">
        <v>8</v>
      </c>
      <c r="AO107" t="s">
        <v>8</v>
      </c>
      <c r="AP107" t="s">
        <v>8</v>
      </c>
      <c r="AQ107" t="s">
        <v>8</v>
      </c>
      <c r="AR107" t="s">
        <v>8</v>
      </c>
      <c r="AS107" t="s">
        <v>8</v>
      </c>
      <c r="AT107" t="s">
        <v>8</v>
      </c>
      <c r="AU107" t="s">
        <v>8</v>
      </c>
      <c r="AV107" t="s">
        <v>8</v>
      </c>
      <c r="AW107" t="s">
        <v>8</v>
      </c>
      <c r="AX107" t="s">
        <v>8</v>
      </c>
      <c r="AY107" t="s">
        <v>8</v>
      </c>
      <c r="AZ107" t="s">
        <v>8</v>
      </c>
      <c r="BA107" t="s">
        <v>8</v>
      </c>
      <c r="BB107" s="27" t="s">
        <v>18</v>
      </c>
      <c r="BC107" s="27" t="s">
        <v>45</v>
      </c>
      <c r="BD107" s="34">
        <f>IFERROR(ABS(SUMIFS('TRA balance'!E$5:E$40,'TRA balance'!$C$5:$C$40,Assumptions!$BB107,'TRA balance'!$D$5:$D$40,Assumptions!$BC107)),"")</f>
        <v>0</v>
      </c>
      <c r="BE107" s="34">
        <f>IFERROR(ABS(SUMIFS('TRA balance'!F$5:F$40,'TRA balance'!$C$5:$C$40,Assumptions!$BB107,'TRA balance'!$D$5:$D$40,Assumptions!$BC107)),"")</f>
        <v>0</v>
      </c>
      <c r="BF107" s="34">
        <f>IFERROR(ABS(SUMIFS('TRA balance'!G$5:G$40,'TRA balance'!$C$5:$C$40,Assumptions!$BB107,'TRA balance'!$D$5:$D$40,Assumptions!$BC107)),"")</f>
        <v>0</v>
      </c>
      <c r="BG107" s="34">
        <f>IFERROR(ABS(SUMIFS('TRA balance'!H$5:H$40,'TRA balance'!$C$5:$C$40,Assumptions!$BB107,'TRA balance'!$D$5:$D$40,Assumptions!$BC107)),"")</f>
        <v>0</v>
      </c>
      <c r="BH107" s="34">
        <f>IFERROR(ABS(SUMIFS('TRA balance'!I$5:I$40,'TRA balance'!$C$5:$C$40,Assumptions!$BB107,'TRA balance'!$D$5:$D$40,Assumptions!$BC107)),"")</f>
        <v>0</v>
      </c>
      <c r="BI107" s="34">
        <f>IFERROR(ABS(SUMIFS('TRA balance'!J$5:J$40,'TRA balance'!$C$5:$C$40,Assumptions!$BB107,'TRA balance'!$D$5:$D$40,Assumptions!$BC107)),"")</f>
        <v>0</v>
      </c>
      <c r="BJ107" s="34">
        <f>IFERROR(ABS(SUMIFS('TRA balance'!K$5:K$40,'TRA balance'!$C$5:$C$40,Assumptions!$BB107,'TRA balance'!$D$5:$D$40,Assumptions!$BC107)),"")</f>
        <v>0</v>
      </c>
      <c r="BK107" s="34">
        <f>IFERROR(ABS(SUMIFS('TRA balance'!L$5:L$40,'TRA balance'!$C$5:$C$40,Assumptions!$BB107,'TRA balance'!$D$5:$D$40,Assumptions!$BC107)),"")</f>
        <v>0</v>
      </c>
      <c r="BL107" s="34">
        <f>IFERROR(ABS(SUMIFS('TRA balance'!M$5:M$40,'TRA balance'!$C$5:$C$40,Assumptions!$BB107,'TRA balance'!$D$5:$D$40,Assumptions!$BC107)),"")</f>
        <v>0</v>
      </c>
      <c r="BM107" s="34">
        <f>IFERROR(ABS(SUMIFS('TRA balance'!N$5:N$40,'TRA balance'!$C$5:$C$40,Assumptions!$BB107,'TRA balance'!$D$5:$D$40,Assumptions!$BC107)),"")</f>
        <v>0</v>
      </c>
      <c r="BN107" s="34">
        <f>IFERROR(ABS(SUMIFS('TRA balance'!O$5:O$40,'TRA balance'!$C$5:$C$40,Assumptions!$BB107,'TRA balance'!$D$5:$D$40,Assumptions!$BC107)),"")</f>
        <v>0</v>
      </c>
      <c r="BO107" s="34">
        <f>IFERROR(ABS(SUMIFS('TRA balance'!P$5:P$40,'TRA balance'!$C$5:$C$40,Assumptions!$BB107,'TRA balance'!$D$5:$D$40,Assumptions!$BC107)),"")</f>
        <v>0</v>
      </c>
      <c r="BP107" s="34">
        <f>IFERROR(ABS(SUMIFS('TRA balance'!Q$5:Q$40,'TRA balance'!$C$5:$C$40,Assumptions!$BB107,'TRA balance'!$D$5:$D$40,Assumptions!$BC107)),"")</f>
        <v>0</v>
      </c>
      <c r="BQ107" s="34">
        <f>IFERROR(ABS(SUMIFS('TRA balance'!R$5:R$40,'TRA balance'!$C$5:$C$40,Assumptions!$BB107,'TRA balance'!$D$5:$D$40,Assumptions!$BC107)),"")</f>
        <v>0</v>
      </c>
      <c r="BR107" s="34">
        <f>IFERROR(ABS(SUMIFS('TRA balance'!S$5:S$40,'TRA balance'!$C$5:$C$40,Assumptions!$BB107,'TRA balance'!$D$5:$D$40,Assumptions!$BC107)),"")</f>
        <v>0</v>
      </c>
      <c r="BS107" s="34">
        <f>IFERROR(ABS(SUMIFS('TRA balance'!T$5:T$40,'TRA balance'!$C$5:$C$40,Assumptions!$BB107,'TRA balance'!$D$5:$D$40,Assumptions!$BC107)),"")</f>
        <v>0</v>
      </c>
      <c r="BT107" s="34">
        <f>IFERROR(ABS(SUMIFS('TRA balance'!U$5:U$40,'TRA balance'!$C$5:$C$40,Assumptions!$BB107,'TRA balance'!$D$5:$D$40,Assumptions!$BC107)),"")</f>
        <v>0</v>
      </c>
      <c r="BU107" s="34">
        <f>IFERROR(ABS(SUMIFS('TRA balance'!V$5:V$40,'TRA balance'!$C$5:$C$40,Assumptions!$BB107,'TRA balance'!$D$5:$D$40,Assumptions!$BC107)),"")</f>
        <v>0</v>
      </c>
      <c r="BV107" s="34">
        <f>IFERROR(ABS(SUMIFS('TRA balance'!W$5:W$40,'TRA balance'!$C$5:$C$40,Assumptions!$BB107,'TRA balance'!$D$5:$D$40,Assumptions!$BC107)),"")</f>
        <v>0</v>
      </c>
      <c r="BW107" s="34">
        <f>IFERROR(ABS(SUMIFS('TRA balance'!X$5:X$40,'TRA balance'!$C$5:$C$40,Assumptions!$BB107,'TRA balance'!$D$5:$D$40,Assumptions!$BC107)),"")</f>
        <v>0</v>
      </c>
      <c r="BX107" s="34">
        <f>IFERROR(ABS(SUMIFS('TRA balance'!Y$5:Y$40,'TRA balance'!$C$5:$C$40,Assumptions!$BB107,'TRA balance'!$D$5:$D$40,Assumptions!$BC107)),"")</f>
        <v>0</v>
      </c>
      <c r="BY107" s="34">
        <f>IFERROR(ABS(SUMIFS('TRA balance'!Z$5:Z$40,'TRA balance'!$C$5:$C$40,Assumptions!$BB107,'TRA balance'!$D$5:$D$40,Assumptions!$BC107)),"")</f>
        <v>0</v>
      </c>
      <c r="BZ107" s="34">
        <f>IFERROR(ABS(SUMIFS('TRA balance'!AA$5:AA$40,'TRA balance'!$C$5:$C$40,Assumptions!$BB107,'TRA balance'!$D$5:$D$40,Assumptions!$BC107)),"")</f>
        <v>0</v>
      </c>
      <c r="CA107" s="34">
        <f>IFERROR(ABS(SUMIFS('TRA balance'!AB$5:AB$40,'TRA balance'!$C$5:$C$40,Assumptions!$BB107,'TRA balance'!$D$5:$D$40,Assumptions!$BC107)),"")</f>
        <v>0</v>
      </c>
      <c r="CB107" s="34">
        <f>IFERROR(ABS(SUMIFS('TRA balance'!AC$5:AC$40,'TRA balance'!$C$5:$C$40,Assumptions!$BB107,'TRA balance'!$D$5:$D$40,Assumptions!$BC107)),"")</f>
        <v>0</v>
      </c>
      <c r="CC107" s="34">
        <f>IFERROR(ABS(SUMIFS('TRA balance'!AD$5:AD$40,'TRA balance'!$C$5:$C$40,Assumptions!$BB107,'TRA balance'!$D$5:$D$40,Assumptions!$BC107)),"")</f>
        <v>0</v>
      </c>
      <c r="CD107" s="34">
        <f>IFERROR(ABS(SUMIFS('TRA balance'!AE$5:AE$40,'TRA balance'!$C$5:$C$40,Assumptions!$BB107,'TRA balance'!$D$5:$D$40,Assumptions!$BC107)),"")</f>
        <v>0</v>
      </c>
      <c r="CE107" s="34">
        <f>IFERROR(ABS(SUMIFS('TRA balance'!AF$5:AF$40,'TRA balance'!$C$5:$C$40,Assumptions!$BB107,'TRA balance'!$D$5:$D$40,Assumptions!$BC107)),"")</f>
        <v>0</v>
      </c>
      <c r="CF107" s="34">
        <f>IFERROR(ABS(SUMIFS('TRA balance'!AG$5:AG$40,'TRA balance'!$C$5:$C$40,Assumptions!$BB107,'TRA balance'!$D$5:$D$40,Assumptions!$BC107)),"")</f>
        <v>0</v>
      </c>
      <c r="CG107" s="34">
        <f>IFERROR(ABS(SUMIFS('TRA balance'!AH$5:AH$40,'TRA balance'!$C$5:$C$40,Assumptions!$BB107,'TRA balance'!$D$5:$D$40,Assumptions!$BC107)),"")</f>
        <v>0</v>
      </c>
      <c r="CH107" s="34">
        <f>IFERROR(ABS(SUMIFS('TRA balance'!AI$5:AI$40,'TRA balance'!$C$5:$C$40,Assumptions!$BB107,'TRA balance'!$D$5:$D$40,Assumptions!$BC107)),"")</f>
        <v>0</v>
      </c>
      <c r="CI107" s="34">
        <f>IFERROR(ABS(SUMIFS('TRA balance'!AJ$5:AJ$40,'TRA balance'!$C$5:$C$40,Assumptions!$BB107,'TRA balance'!$D$5:$D$40,Assumptions!$BC107)),"")</f>
        <v>0</v>
      </c>
      <c r="CJ107" s="34">
        <f>IFERROR(ABS(SUMIFS('TRA balance'!AK$5:AK$40,'TRA balance'!$C$5:$C$40,Assumptions!$BB107,'TRA balance'!$D$5:$D$40,Assumptions!$BC107)),"")</f>
        <v>0</v>
      </c>
      <c r="CK107" s="34">
        <f>IFERROR(ABS(SUMIFS('TRA balance'!AL$5:AL$40,'TRA balance'!$C$5:$C$40,Assumptions!$BB107,'TRA balance'!$D$5:$D$40,Assumptions!$BC107)),"")</f>
        <v>5.0799993515999997</v>
      </c>
      <c r="CL107" s="34">
        <f>IFERROR(ABS(SUMIFS('TRA balance'!AM$5:AM$40,'TRA balance'!$C$5:$C$40,Assumptions!$BB107,'TRA balance'!$D$5:$D$40,Assumptions!$BC107)),"")</f>
        <v>0</v>
      </c>
      <c r="CM107" s="34">
        <f>IFERROR(ABS(SUMIFS('TRA balance'!AN$5:AN$40,'TRA balance'!$C$5:$C$40,Assumptions!$BB107,'TRA balance'!$D$5:$D$40,Assumptions!$BC107)),"")</f>
        <v>0</v>
      </c>
      <c r="CN107" s="34">
        <f>IFERROR(ABS(SUMIFS('TRA balance'!AO$5:AO$40,'TRA balance'!$C$5:$C$40,Assumptions!$BB107,'TRA balance'!$D$5:$D$40,Assumptions!$BC107)),"")</f>
        <v>0</v>
      </c>
      <c r="CO107" s="34">
        <f>IFERROR(ABS(SUMIFS('TRA balance'!AP$5:AP$40,'TRA balance'!$C$5:$C$40,Assumptions!$BB107,'TRA balance'!$D$5:$D$40,Assumptions!$BC107)),"")</f>
        <v>0</v>
      </c>
      <c r="CP107" s="34">
        <f>IFERROR(ABS(SUMIFS('TRA balance'!AQ$5:AQ$40,'TRA balance'!$C$5:$C$40,Assumptions!$BB107,'TRA balance'!$D$5:$D$40,Assumptions!$BC107)),"")</f>
        <v>0</v>
      </c>
      <c r="CQ107" s="34">
        <f>IFERROR(ABS(SUMIFS('TRA balance'!AR$5:AR$40,'TRA balance'!$C$5:$C$40,Assumptions!$BB107,'TRA balance'!$D$5:$D$40,Assumptions!$BC107)),"")</f>
        <v>0</v>
      </c>
      <c r="CR107" s="34">
        <f>IFERROR(ABS(SUMIFS('TRA balance'!AS$5:AS$40,'TRA balance'!$C$5:$C$40,Assumptions!$BB107,'TRA balance'!$D$5:$D$40,Assumptions!$BC107)),"")</f>
        <v>0</v>
      </c>
      <c r="CS107" s="34">
        <f>IFERROR(ABS(SUMIFS('TRA balance'!AT$5:AT$40,'TRA balance'!$C$5:$C$40,Assumptions!$BB107,'TRA balance'!$D$5:$D$40,Assumptions!$BC107)),"")</f>
        <v>0</v>
      </c>
      <c r="CT107" s="34">
        <f>IFERROR(ABS(SUMIFS('TRA balance'!AU$5:AU$40,'TRA balance'!$C$5:$C$40,Assumptions!$BB107,'TRA balance'!$D$5:$D$40,Assumptions!$BC107)),"")</f>
        <v>0</v>
      </c>
      <c r="CU107" s="34">
        <f>IFERROR(ABS(SUMIFS('TRA balance'!AV$5:AV$40,'TRA balance'!$C$5:$C$40,Assumptions!$BB107,'TRA balance'!$D$5:$D$40,Assumptions!$BC107)),"")</f>
        <v>0</v>
      </c>
      <c r="CV107" s="34">
        <f>IFERROR(ABS(SUMIFS('TRA balance'!AW$5:AW$40,'TRA balance'!$C$5:$C$40,Assumptions!$BB107,'TRA balance'!$D$5:$D$40,Assumptions!$BC107)),"")</f>
        <v>0</v>
      </c>
      <c r="CW107" s="34">
        <f>IFERROR(ABS(SUMIFS('TRA balance'!AX$5:AX$40,'TRA balance'!$C$5:$C$40,Assumptions!$BB107,'TRA balance'!$D$5:$D$40,Assumptions!$BC107)),"")</f>
        <v>0</v>
      </c>
      <c r="CX107" s="27"/>
      <c r="CY107" s="27"/>
      <c r="CZ107" s="27"/>
      <c r="DA107" s="27"/>
      <c r="DB107" s="27"/>
      <c r="DC107" s="27"/>
      <c r="DD107" s="27"/>
      <c r="DE107" s="27"/>
      <c r="DF107" s="27"/>
      <c r="DG107" s="27"/>
      <c r="DH107" s="27"/>
      <c r="DI107" s="27"/>
      <c r="DJ107" s="27"/>
      <c r="DK107" s="27"/>
      <c r="DL107" s="27"/>
      <c r="DM107" s="27"/>
      <c r="DN107" s="27"/>
      <c r="DO107" s="27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102</v>
      </c>
      <c r="F108" s="1">
        <v>8.7999999999999995E-2</v>
      </c>
      <c r="G108" s="1">
        <v>9.9000000000000005E-2</v>
      </c>
      <c r="H108" s="1">
        <v>9.9000000000000005E-2</v>
      </c>
      <c r="I108" s="1">
        <v>9.9000000000000005E-2</v>
      </c>
      <c r="J108" s="1">
        <v>9.9000000000000005E-2</v>
      </c>
      <c r="K108" s="1">
        <v>9.9000000000000005E-2</v>
      </c>
      <c r="L108" s="1">
        <v>9.9000000000000005E-2</v>
      </c>
      <c r="M108" s="1">
        <v>9.9000000000000005E-2</v>
      </c>
      <c r="N108" s="1">
        <v>9.9000000000000005E-2</v>
      </c>
      <c r="O108" s="1">
        <v>9.9000000000000005E-2</v>
      </c>
      <c r="P108" s="1">
        <v>9.9000000000000005E-2</v>
      </c>
      <c r="Q108" s="1">
        <v>9.9000000000000005E-2</v>
      </c>
      <c r="R108" s="1">
        <v>9.9000000000000005E-2</v>
      </c>
      <c r="S108" s="1">
        <v>9.9000000000000005E-2</v>
      </c>
      <c r="T108" s="1">
        <v>9.9000000000000005E-2</v>
      </c>
      <c r="U108" s="1">
        <v>9.9000000000000005E-2</v>
      </c>
      <c r="V108" s="1">
        <v>9.9000000000000005E-2</v>
      </c>
      <c r="W108" s="1">
        <v>9.9000000000000005E-2</v>
      </c>
      <c r="X108" s="1">
        <v>9.9000000000000005E-2</v>
      </c>
      <c r="Y108" s="1">
        <v>9.9000000000000005E-2</v>
      </c>
      <c r="Z108" s="1">
        <v>9.9000000000000005E-2</v>
      </c>
      <c r="AA108" s="1">
        <v>9.9000000000000005E-2</v>
      </c>
      <c r="AB108" s="1">
        <v>9.9000000000000005E-2</v>
      </c>
      <c r="AC108" s="1">
        <v>9.9000000000000005E-2</v>
      </c>
      <c r="AD108" s="1">
        <v>9.9000000000000005E-2</v>
      </c>
      <c r="AE108" s="1">
        <v>9.9000000000000005E-2</v>
      </c>
      <c r="AF108" s="1">
        <v>9.9000000000000005E-2</v>
      </c>
      <c r="AG108" s="1">
        <v>9.9000000000000005E-2</v>
      </c>
      <c r="AH108" s="1">
        <v>9.9000000000000005E-2</v>
      </c>
      <c r="AI108" s="1">
        <v>9.9000000000000005E-2</v>
      </c>
      <c r="AJ108" s="1">
        <v>9.9000000000000005E-2</v>
      </c>
      <c r="AK108" s="1">
        <v>9.9000000000000005E-2</v>
      </c>
      <c r="AL108" s="1">
        <v>9.9000000000000005E-2</v>
      </c>
      <c r="AM108" s="1">
        <v>9.9000000000000005E-2</v>
      </c>
      <c r="AN108" s="1">
        <v>9.9000000000000005E-2</v>
      </c>
      <c r="AO108" s="1">
        <v>9.9000000000000005E-2</v>
      </c>
      <c r="AP108" s="1">
        <v>9.9000000000000005E-2</v>
      </c>
      <c r="AQ108" s="1">
        <v>9.9000000000000005E-2</v>
      </c>
      <c r="AR108" s="1">
        <v>9.9000000000000005E-2</v>
      </c>
      <c r="AS108" s="1">
        <v>9.9000000000000005E-2</v>
      </c>
      <c r="AT108" s="1">
        <v>9.9000000000000005E-2</v>
      </c>
      <c r="AU108" s="1">
        <v>9.9000000000000005E-2</v>
      </c>
      <c r="AV108" s="1">
        <v>9.9000000000000005E-2</v>
      </c>
      <c r="AW108" s="1">
        <v>9.9000000000000005E-2</v>
      </c>
      <c r="AX108" s="1">
        <v>9.9000000000000005E-2</v>
      </c>
      <c r="AY108" s="1">
        <v>9.9000000000000005E-2</v>
      </c>
      <c r="AZ108" s="1">
        <v>9.9000000000000005E-2</v>
      </c>
      <c r="BA108" s="1">
        <v>9.9000000000000005E-2</v>
      </c>
      <c r="BB108" s="27" t="s">
        <v>18</v>
      </c>
      <c r="BC108" s="27" t="s">
        <v>43</v>
      </c>
      <c r="BD108" s="34">
        <f>IFERROR(ABS(SUMIFS('TRA balance'!E$5:E$40,'TRA balance'!$C$5:$C$40,Assumptions!$BB108,'TRA balance'!$D$5:$D$40,Assumptions!$BC108)),"")</f>
        <v>99.123030097200001</v>
      </c>
      <c r="BE108" s="34">
        <f>IFERROR(ABS(SUMIFS('TRA balance'!F$5:F$40,'TRA balance'!$C$5:$C$40,Assumptions!$BB108,'TRA balance'!$D$5:$D$40,Assumptions!$BC108)),"")</f>
        <v>192.09280397040001</v>
      </c>
      <c r="BF108" s="34">
        <f>IFERROR(ABS(SUMIFS('TRA balance'!G$5:G$40,'TRA balance'!$C$5:$C$40,Assumptions!$BB108,'TRA balance'!$D$5:$D$40,Assumptions!$BC108)),"")</f>
        <v>211.35653453879999</v>
      </c>
      <c r="BG108" s="34">
        <f>IFERROR(ABS(SUMIFS('TRA balance'!H$5:H$40,'TRA balance'!$C$5:$C$40,Assumptions!$BB108,'TRA balance'!$D$5:$D$40,Assumptions!$BC108)),"")</f>
        <v>39.6794089152</v>
      </c>
      <c r="BH108" s="34">
        <f>IFERROR(ABS(SUMIFS('TRA balance'!I$5:I$40,'TRA balance'!$C$5:$C$40,Assumptions!$BB108,'TRA balance'!$D$5:$D$40,Assumptions!$BC108)),"")</f>
        <v>14.533446247200001</v>
      </c>
      <c r="BI108" s="34">
        <f>IFERROR(ABS(SUMIFS('TRA balance'!J$5:J$40,'TRA balance'!$C$5:$C$40,Assumptions!$BB108,'TRA balance'!$D$5:$D$40,Assumptions!$BC108)),"")</f>
        <v>260.82316623240001</v>
      </c>
      <c r="BJ108" s="34">
        <f>IFERROR(ABS(SUMIFS('TRA balance'!K$5:K$40,'TRA balance'!$C$5:$C$40,Assumptions!$BB108,'TRA balance'!$D$5:$D$40,Assumptions!$BC108)),"")</f>
        <v>101.4462184284</v>
      </c>
      <c r="BK108" s="34">
        <f>IFERROR(ABS(SUMIFS('TRA balance'!L$5:L$40,'TRA balance'!$C$5:$C$40,Assumptions!$BB108,'TRA balance'!$D$5:$D$40,Assumptions!$BC108)),"")</f>
        <v>449.18389436400003</v>
      </c>
      <c r="BL108" s="34">
        <f>IFERROR(ABS(SUMIFS('TRA balance'!M$5:M$40,'TRA balance'!$C$5:$C$40,Assumptions!$BB108,'TRA balance'!$D$5:$D$40,Assumptions!$BC108)),"")</f>
        <v>9.4939499987999998</v>
      </c>
      <c r="BM108" s="34">
        <f>IFERROR(ABS(SUMIFS('TRA balance'!N$5:N$40,'TRA balance'!$C$5:$C$40,Assumptions!$BB108,'TRA balance'!$D$5:$D$40,Assumptions!$BC108)),"")</f>
        <v>19.306996959599999</v>
      </c>
      <c r="BN108" s="34">
        <f>IFERROR(ABS(SUMIFS('TRA balance'!O$5:O$40,'TRA balance'!$C$5:$C$40,Assumptions!$BB108,'TRA balance'!$D$5:$D$40,Assumptions!$BC108)),"")</f>
        <v>260.04602497680003</v>
      </c>
      <c r="BO108" s="34">
        <f>IFERROR(ABS(SUMIFS('TRA balance'!P$5:P$40,'TRA balance'!$C$5:$C$40,Assumptions!$BB108,'TRA balance'!$D$5:$D$40,Assumptions!$BC108)),"")</f>
        <v>409.87600114679998</v>
      </c>
      <c r="BP108" s="34">
        <f>IFERROR(ABS(SUMIFS('TRA balance'!Q$5:Q$40,'TRA balance'!$C$5:$C$40,Assumptions!$BB108,'TRA balance'!$D$5:$D$40,Assumptions!$BC108)),"")</f>
        <v>60.355719748799999</v>
      </c>
      <c r="BQ108" s="34">
        <f>IFERROR(ABS(SUMIFS('TRA balance'!R$5:R$40,'TRA balance'!$C$5:$C$40,Assumptions!$BB108,'TRA balance'!$D$5:$D$40,Assumptions!$BC108)),"")</f>
        <v>28.180048705200001</v>
      </c>
      <c r="BR108" s="34">
        <f>IFERROR(ABS(SUMIFS('TRA balance'!S$5:S$40,'TRA balance'!$C$5:$C$40,Assumptions!$BB108,'TRA balance'!$D$5:$D$40,Assumptions!$BC108)),"")</f>
        <v>13.0422420648</v>
      </c>
      <c r="BS108" s="34">
        <f>IFERROR(ABS(SUMIFS('TRA balance'!T$5:T$40,'TRA balance'!$C$5:$C$40,Assumptions!$BB108,'TRA balance'!$D$5:$D$40,Assumptions!$BC108)),"")</f>
        <v>177.46910706240001</v>
      </c>
      <c r="BT108" s="34">
        <f>IFERROR(ABS(SUMIFS('TRA balance'!U$5:U$40,'TRA balance'!$C$5:$C$40,Assumptions!$BB108,'TRA balance'!$D$5:$D$40,Assumptions!$BC108)),"")</f>
        <v>45.331459124399998</v>
      </c>
      <c r="BU108" s="34">
        <f>IFERROR(ABS(SUMIFS('TRA balance'!V$5:V$40,'TRA balance'!$C$5:$C$40,Assumptions!$BB108,'TRA balance'!$D$5:$D$40,Assumptions!$BC108)),"")</f>
        <v>173.05437767039999</v>
      </c>
      <c r="BV108" s="34">
        <f>IFERROR(ABS(SUMIFS('TRA balance'!W$5:W$40,'TRA balance'!$C$5:$C$40,Assumptions!$BB108,'TRA balance'!$D$5:$D$40,Assumptions!$BC108)),"")</f>
        <v>305.523649476</v>
      </c>
      <c r="BW108" s="34">
        <f>IFERROR(ABS(SUMIFS('TRA balance'!X$5:X$40,'TRA balance'!$C$5:$C$40,Assumptions!$BB108,'TRA balance'!$D$5:$D$40,Assumptions!$BC108)),"")</f>
        <v>322.41766380479999</v>
      </c>
      <c r="BX108" s="34">
        <f>IFERROR(ABS(SUMIFS('TRA balance'!Y$5:Y$40,'TRA balance'!$C$5:$C$40,Assumptions!$BB108,'TRA balance'!$D$5:$D$40,Assumptions!$BC108)),"")</f>
        <v>762.82424179199995</v>
      </c>
      <c r="BY108" s="34">
        <f>IFERROR(ABS(SUMIFS('TRA balance'!Z$5:Z$40,'TRA balance'!$C$5:$C$40,Assumptions!$BB108,'TRA balance'!$D$5:$D$40,Assumptions!$BC108)),"")</f>
        <v>1284.8589878795999</v>
      </c>
      <c r="BZ108" s="34">
        <f>IFERROR(ABS(SUMIFS('TRA balance'!AA$5:AA$40,'TRA balance'!$C$5:$C$40,Assumptions!$BB108,'TRA balance'!$D$5:$D$40,Assumptions!$BC108)),"")</f>
        <v>22.9425293772</v>
      </c>
      <c r="CA108" s="34">
        <f>IFERROR(ABS(SUMIFS('TRA balance'!AB$5:AB$40,'TRA balance'!$C$5:$C$40,Assumptions!$BB108,'TRA balance'!$D$5:$D$40,Assumptions!$BC108)),"")</f>
        <v>45.054661402800001</v>
      </c>
      <c r="CB108" s="34">
        <f>IFERROR(ABS(SUMIFS('TRA balance'!AC$5:AC$40,'TRA balance'!$C$5:$C$40,Assumptions!$BB108,'TRA balance'!$D$5:$D$40,Assumptions!$BC108)),"")</f>
        <v>1737.5925643272001</v>
      </c>
      <c r="CC108" s="34">
        <f>IFERROR(ABS(SUMIFS('TRA balance'!AD$5:AD$40,'TRA balance'!$C$5:$C$40,Assumptions!$BB108,'TRA balance'!$D$5:$D$40,Assumptions!$BC108)),"")</f>
        <v>253.11288095640001</v>
      </c>
      <c r="CD108" s="34">
        <f>IFERROR(ABS(SUMIFS('TRA balance'!AE$5:AE$40,'TRA balance'!$C$5:$C$40,Assumptions!$BB108,'TRA balance'!$D$5:$D$40,Assumptions!$BC108)),"")</f>
        <v>153.09619095959999</v>
      </c>
      <c r="CE108" s="34">
        <f>IFERROR(ABS(SUMIFS('TRA balance'!AF$5:AF$40,'TRA balance'!$C$5:$C$40,Assumptions!$BB108,'TRA balance'!$D$5:$D$40,Assumptions!$BC108)),"")</f>
        <v>46.072598086799999</v>
      </c>
      <c r="CF108" s="34">
        <f>IFERROR(ABS(SUMIFS('TRA balance'!AG$5:AG$40,'TRA balance'!$C$5:$C$40,Assumptions!$BB108,'TRA balance'!$D$5:$D$40,Assumptions!$BC108)),"")</f>
        <v>260.69910716160001</v>
      </c>
      <c r="CG108" s="34">
        <f>IFERROR(ABS(SUMIFS('TRA balance'!AH$5:AH$40,'TRA balance'!$C$5:$C$40,Assumptions!$BB108,'TRA balance'!$D$5:$D$40,Assumptions!$BC108)),"")</f>
        <v>115.4657935908</v>
      </c>
      <c r="CH108" s="34">
        <f>IFERROR(ABS(SUMIFS('TRA balance'!AI$5:AI$40,'TRA balance'!$C$5:$C$40,Assumptions!$BB108,'TRA balance'!$D$5:$D$40,Assumptions!$BC108)),"")</f>
        <v>77.950185717599993</v>
      </c>
      <c r="CI108" s="34">
        <f>IFERROR(ABS(SUMIFS('TRA balance'!AJ$5:AJ$40,'TRA balance'!$C$5:$C$40,Assumptions!$BB108,'TRA balance'!$D$5:$D$40,Assumptions!$BC108)),"")</f>
        <v>184.42699925759999</v>
      </c>
      <c r="CJ108" s="34">
        <f>IFERROR(ABS(SUMIFS('TRA balance'!AK$5:AK$40,'TRA balance'!$C$5:$C$40,Assumptions!$BB108,'TRA balance'!$D$5:$D$40,Assumptions!$BC108)),"")</f>
        <v>493.23921266159999</v>
      </c>
      <c r="CK108" s="34">
        <f>IFERROR(ABS(SUMIFS('TRA balance'!AL$5:AL$40,'TRA balance'!$C$5:$C$40,Assumptions!$BB108,'TRA balance'!$D$5:$D$40,Assumptions!$BC108)),"")</f>
        <v>2.2117399020000001</v>
      </c>
      <c r="CL108" s="34">
        <f>IFERROR(ABS(SUMIFS('TRA balance'!AM$5:AM$40,'TRA balance'!$C$5:$C$40,Assumptions!$BB108,'TRA balance'!$D$5:$D$40,Assumptions!$BC108)),"")</f>
        <v>9.5715565236</v>
      </c>
      <c r="CM108" s="34">
        <f>IFERROR(ABS(SUMIFS('TRA balance'!AN$5:AN$40,'TRA balance'!$C$5:$C$40,Assumptions!$BB108,'TRA balance'!$D$5:$D$40,Assumptions!$BC108)),"")</f>
        <v>0</v>
      </c>
      <c r="CN108" s="34">
        <f>IFERROR(ABS(SUMIFS('TRA balance'!AO$5:AO$40,'TRA balance'!$C$5:$C$40,Assumptions!$BB108,'TRA balance'!$D$5:$D$40,Assumptions!$BC108)),"")</f>
        <v>0</v>
      </c>
      <c r="CO108" s="34">
        <f>IFERROR(ABS(SUMIFS('TRA balance'!AP$5:AP$40,'TRA balance'!$C$5:$C$40,Assumptions!$BB108,'TRA balance'!$D$5:$D$40,Assumptions!$BC108)),"")</f>
        <v>0</v>
      </c>
      <c r="CP108" s="34">
        <f>IFERROR(ABS(SUMIFS('TRA balance'!AQ$5:AQ$40,'TRA balance'!$C$5:$C$40,Assumptions!$BB108,'TRA balance'!$D$5:$D$40,Assumptions!$BC108)),"")</f>
        <v>0</v>
      </c>
      <c r="CQ108" s="34">
        <f>IFERROR(ABS(SUMIFS('TRA balance'!AR$5:AR$40,'TRA balance'!$C$5:$C$40,Assumptions!$BB108,'TRA balance'!$D$5:$D$40,Assumptions!$BC108)),"")</f>
        <v>0</v>
      </c>
      <c r="CR108" s="34">
        <f>IFERROR(ABS(SUMIFS('TRA balance'!AS$5:AS$40,'TRA balance'!$C$5:$C$40,Assumptions!$BB108,'TRA balance'!$D$5:$D$40,Assumptions!$BC108)),"")</f>
        <v>0</v>
      </c>
      <c r="CS108" s="34">
        <f>IFERROR(ABS(SUMIFS('TRA balance'!AT$5:AT$40,'TRA balance'!$C$5:$C$40,Assumptions!$BB108,'TRA balance'!$D$5:$D$40,Assumptions!$BC108)),"")</f>
        <v>0</v>
      </c>
      <c r="CT108" s="34">
        <f>IFERROR(ABS(SUMIFS('TRA balance'!AU$5:AU$40,'TRA balance'!$C$5:$C$40,Assumptions!$BB108,'TRA balance'!$D$5:$D$40,Assumptions!$BC108)),"")</f>
        <v>0</v>
      </c>
      <c r="CU108" s="34">
        <f>IFERROR(ABS(SUMIFS('TRA balance'!AV$5:AV$40,'TRA balance'!$C$5:$C$40,Assumptions!$BB108,'TRA balance'!$D$5:$D$40,Assumptions!$BC108)),"")</f>
        <v>0</v>
      </c>
      <c r="CV108" s="34">
        <f>IFERROR(ABS(SUMIFS('TRA balance'!AW$5:AW$40,'TRA balance'!$C$5:$C$40,Assumptions!$BB108,'TRA balance'!$D$5:$D$40,Assumptions!$BC108)),"")</f>
        <v>0</v>
      </c>
      <c r="CW108" s="34">
        <f>IFERROR(ABS(SUMIFS('TRA balance'!AX$5:AX$40,'TRA balance'!$C$5:$C$40,Assumptions!$BB108,'TRA balance'!$D$5:$D$40,Assumptions!$BC108)),"")</f>
        <v>0</v>
      </c>
      <c r="CX108" s="27"/>
      <c r="CY108" s="27"/>
      <c r="CZ108" s="27"/>
      <c r="DA108" s="27"/>
      <c r="DB108" s="27"/>
      <c r="DC108" s="27"/>
      <c r="DD108" s="27"/>
      <c r="DE108" s="27"/>
      <c r="DF108" s="27"/>
      <c r="DG108" s="27"/>
      <c r="DH108" s="27"/>
      <c r="DI108" s="27"/>
      <c r="DJ108" s="27"/>
      <c r="DK108" s="27"/>
      <c r="DL108" s="27"/>
      <c r="DM108" s="27"/>
      <c r="DN108" s="27"/>
      <c r="DO108" s="27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103</v>
      </c>
      <c r="F109" s="1">
        <v>0.12</v>
      </c>
      <c r="G109" s="1">
        <v>0.13500000000000001</v>
      </c>
      <c r="H109" s="1">
        <v>0.13500000000000001</v>
      </c>
      <c r="I109" s="1">
        <v>0.13500000000000001</v>
      </c>
      <c r="J109" s="1">
        <v>0.13500000000000001</v>
      </c>
      <c r="K109" s="1">
        <v>0.13500000000000001</v>
      </c>
      <c r="L109" s="1">
        <v>0.13500000000000001</v>
      </c>
      <c r="M109" s="1">
        <v>0.13500000000000001</v>
      </c>
      <c r="N109" s="1">
        <v>0.13500000000000001</v>
      </c>
      <c r="O109" s="1">
        <v>0.13500000000000001</v>
      </c>
      <c r="P109" s="1">
        <v>0.13500000000000001</v>
      </c>
      <c r="Q109" s="1">
        <v>0.13500000000000001</v>
      </c>
      <c r="R109" s="1">
        <v>0.13500000000000001</v>
      </c>
      <c r="S109" s="1">
        <v>0.13500000000000001</v>
      </c>
      <c r="T109" s="1">
        <v>0.13500000000000001</v>
      </c>
      <c r="U109" s="1">
        <v>0.13500000000000001</v>
      </c>
      <c r="V109" s="1">
        <v>0.13500000000000001</v>
      </c>
      <c r="W109" s="1">
        <v>0.13500000000000001</v>
      </c>
      <c r="X109" s="1">
        <v>0.13500000000000001</v>
      </c>
      <c r="Y109" s="1">
        <v>0.13500000000000001</v>
      </c>
      <c r="Z109" s="1">
        <v>0.13500000000000001</v>
      </c>
      <c r="AA109" s="1">
        <v>0.13500000000000001</v>
      </c>
      <c r="AB109" s="1">
        <v>0.13500000000000001</v>
      </c>
      <c r="AC109" s="1">
        <v>0.13500000000000001</v>
      </c>
      <c r="AD109" s="1">
        <v>0.13500000000000001</v>
      </c>
      <c r="AE109" s="1">
        <v>0.13500000000000001</v>
      </c>
      <c r="AF109" s="1">
        <v>0.13500000000000001</v>
      </c>
      <c r="AG109" s="1">
        <v>0.13500000000000001</v>
      </c>
      <c r="AH109" s="1">
        <v>0.13500000000000001</v>
      </c>
      <c r="AI109" s="1">
        <v>0.13500000000000001</v>
      </c>
      <c r="AJ109" s="1">
        <v>0.13500000000000001</v>
      </c>
      <c r="AK109" s="1">
        <v>0.13500000000000001</v>
      </c>
      <c r="AL109" s="1">
        <v>0.13500000000000001</v>
      </c>
      <c r="AM109" s="1">
        <v>0.13500000000000001</v>
      </c>
      <c r="AN109" s="1">
        <v>0.13500000000000001</v>
      </c>
      <c r="AO109" s="1">
        <v>0.13500000000000001</v>
      </c>
      <c r="AP109" s="1">
        <v>0.13500000000000001</v>
      </c>
      <c r="AQ109" s="1">
        <v>0.13500000000000001</v>
      </c>
      <c r="AR109" s="1">
        <v>0.13500000000000001</v>
      </c>
      <c r="AS109" s="1">
        <v>0.13500000000000001</v>
      </c>
      <c r="AT109" s="1">
        <v>0.13500000000000001</v>
      </c>
      <c r="AU109" s="1">
        <v>0.13500000000000001</v>
      </c>
      <c r="AV109" s="1">
        <v>0.13500000000000001</v>
      </c>
      <c r="AW109" s="1">
        <v>0.13500000000000001</v>
      </c>
      <c r="AX109" s="1">
        <v>0.13500000000000001</v>
      </c>
      <c r="AY109" s="1">
        <v>0.13500000000000001</v>
      </c>
      <c r="AZ109" s="1">
        <v>0.13500000000000001</v>
      </c>
      <c r="BA109" s="1">
        <v>0.13500000000000001</v>
      </c>
      <c r="BB109" s="27" t="s">
        <v>20</v>
      </c>
      <c r="BC109" s="27" t="s">
        <v>31</v>
      </c>
      <c r="BD109" s="34">
        <f>IFERROR(ABS(SUMIFS('TRA balance'!E$5:E$40,'TRA balance'!$C$5:$C$40,Assumptions!$BB109,'TRA balance'!$D$5:$D$40,Assumptions!$BC109)),"")</f>
        <v>0</v>
      </c>
      <c r="BE109" s="34">
        <f>IFERROR(ABS(SUMIFS('TRA balance'!F$5:F$40,'TRA balance'!$C$5:$C$40,Assumptions!$BB109,'TRA balance'!$D$5:$D$40,Assumptions!$BC109)),"")</f>
        <v>0</v>
      </c>
      <c r="BF109" s="34">
        <f>IFERROR(ABS(SUMIFS('TRA balance'!G$5:G$40,'TRA balance'!$C$5:$C$40,Assumptions!$BB109,'TRA balance'!$D$5:$D$40,Assumptions!$BC109)),"")</f>
        <v>0</v>
      </c>
      <c r="BG109" s="34">
        <f>IFERROR(ABS(SUMIFS('TRA balance'!H$5:H$40,'TRA balance'!$C$5:$C$40,Assumptions!$BB109,'TRA balance'!$D$5:$D$40,Assumptions!$BC109)),"")</f>
        <v>0</v>
      </c>
      <c r="BH109" s="34">
        <f>IFERROR(ABS(SUMIFS('TRA balance'!I$5:I$40,'TRA balance'!$C$5:$C$40,Assumptions!$BB109,'TRA balance'!$D$5:$D$40,Assumptions!$BC109)),"")</f>
        <v>0</v>
      </c>
      <c r="BI109" s="34">
        <f>IFERROR(ABS(SUMIFS('TRA balance'!J$5:J$40,'TRA balance'!$C$5:$C$40,Assumptions!$BB109,'TRA balance'!$D$5:$D$40,Assumptions!$BC109)),"")</f>
        <v>0</v>
      </c>
      <c r="BJ109" s="34">
        <f>IFERROR(ABS(SUMIFS('TRA balance'!K$5:K$40,'TRA balance'!$C$5:$C$40,Assumptions!$BB109,'TRA balance'!$D$5:$D$40,Assumptions!$BC109)),"")</f>
        <v>0</v>
      </c>
      <c r="BK109" s="34">
        <f>IFERROR(ABS(SUMIFS('TRA balance'!L$5:L$40,'TRA balance'!$C$5:$C$40,Assumptions!$BB109,'TRA balance'!$D$5:$D$40,Assumptions!$BC109)),"")</f>
        <v>0</v>
      </c>
      <c r="BL109" s="34">
        <f>IFERROR(ABS(SUMIFS('TRA balance'!M$5:M$40,'TRA balance'!$C$5:$C$40,Assumptions!$BB109,'TRA balance'!$D$5:$D$40,Assumptions!$BC109)),"")</f>
        <v>0</v>
      </c>
      <c r="BM109" s="34">
        <f>IFERROR(ABS(SUMIFS('TRA balance'!N$5:N$40,'TRA balance'!$C$5:$C$40,Assumptions!$BB109,'TRA balance'!$D$5:$D$40,Assumptions!$BC109)),"")</f>
        <v>0</v>
      </c>
      <c r="BN109" s="34">
        <f>IFERROR(ABS(SUMIFS('TRA balance'!O$5:O$40,'TRA balance'!$C$5:$C$40,Assumptions!$BB109,'TRA balance'!$D$5:$D$40,Assumptions!$BC109)),"")</f>
        <v>0</v>
      </c>
      <c r="BO109" s="34">
        <f>IFERROR(ABS(SUMIFS('TRA balance'!P$5:P$40,'TRA balance'!$C$5:$C$40,Assumptions!$BB109,'TRA balance'!$D$5:$D$40,Assumptions!$BC109)),"")</f>
        <v>0</v>
      </c>
      <c r="BP109" s="34">
        <f>IFERROR(ABS(SUMIFS('TRA balance'!Q$5:Q$40,'TRA balance'!$C$5:$C$40,Assumptions!$BB109,'TRA balance'!$D$5:$D$40,Assumptions!$BC109)),"")</f>
        <v>0</v>
      </c>
      <c r="BQ109" s="34">
        <f>IFERROR(ABS(SUMIFS('TRA balance'!R$5:R$40,'TRA balance'!$C$5:$C$40,Assumptions!$BB109,'TRA balance'!$D$5:$D$40,Assumptions!$BC109)),"")</f>
        <v>0</v>
      </c>
      <c r="BR109" s="34">
        <f>IFERROR(ABS(SUMIFS('TRA balance'!S$5:S$40,'TRA balance'!$C$5:$C$40,Assumptions!$BB109,'TRA balance'!$D$5:$D$40,Assumptions!$BC109)),"")</f>
        <v>0</v>
      </c>
      <c r="BS109" s="34">
        <f>IFERROR(ABS(SUMIFS('TRA balance'!T$5:T$40,'TRA balance'!$C$5:$C$40,Assumptions!$BB109,'TRA balance'!$D$5:$D$40,Assumptions!$BC109)),"")</f>
        <v>0</v>
      </c>
      <c r="BT109" s="34">
        <f>IFERROR(ABS(SUMIFS('TRA balance'!U$5:U$40,'TRA balance'!$C$5:$C$40,Assumptions!$BB109,'TRA balance'!$D$5:$D$40,Assumptions!$BC109)),"")</f>
        <v>0</v>
      </c>
      <c r="BU109" s="34">
        <f>IFERROR(ABS(SUMIFS('TRA balance'!V$5:V$40,'TRA balance'!$C$5:$C$40,Assumptions!$BB109,'TRA balance'!$D$5:$D$40,Assumptions!$BC109)),"")</f>
        <v>0</v>
      </c>
      <c r="BV109" s="34">
        <f>IFERROR(ABS(SUMIFS('TRA balance'!W$5:W$40,'TRA balance'!$C$5:$C$40,Assumptions!$BB109,'TRA balance'!$D$5:$D$40,Assumptions!$BC109)),"")</f>
        <v>0</v>
      </c>
      <c r="BW109" s="34">
        <f>IFERROR(ABS(SUMIFS('TRA balance'!X$5:X$40,'TRA balance'!$C$5:$C$40,Assumptions!$BB109,'TRA balance'!$D$5:$D$40,Assumptions!$BC109)),"")</f>
        <v>0</v>
      </c>
      <c r="BX109" s="34">
        <f>IFERROR(ABS(SUMIFS('TRA balance'!Y$5:Y$40,'TRA balance'!$C$5:$C$40,Assumptions!$BB109,'TRA balance'!$D$5:$D$40,Assumptions!$BC109)),"")</f>
        <v>0</v>
      </c>
      <c r="BY109" s="34">
        <f>IFERROR(ABS(SUMIFS('TRA balance'!Z$5:Z$40,'TRA balance'!$C$5:$C$40,Assumptions!$BB109,'TRA balance'!$D$5:$D$40,Assumptions!$BC109)),"")</f>
        <v>0</v>
      </c>
      <c r="BZ109" s="34">
        <f>IFERROR(ABS(SUMIFS('TRA balance'!AA$5:AA$40,'TRA balance'!$C$5:$C$40,Assumptions!$BB109,'TRA balance'!$D$5:$D$40,Assumptions!$BC109)),"")</f>
        <v>0</v>
      </c>
      <c r="CA109" s="34">
        <f>IFERROR(ABS(SUMIFS('TRA balance'!AB$5:AB$40,'TRA balance'!$C$5:$C$40,Assumptions!$BB109,'TRA balance'!$D$5:$D$40,Assumptions!$BC109)),"")</f>
        <v>0</v>
      </c>
      <c r="CB109" s="34">
        <f>IFERROR(ABS(SUMIFS('TRA balance'!AC$5:AC$40,'TRA balance'!$C$5:$C$40,Assumptions!$BB109,'TRA balance'!$D$5:$D$40,Assumptions!$BC109)),"")</f>
        <v>0</v>
      </c>
      <c r="CC109" s="34">
        <f>IFERROR(ABS(SUMIFS('TRA balance'!AD$5:AD$40,'TRA balance'!$C$5:$C$40,Assumptions!$BB109,'TRA balance'!$D$5:$D$40,Assumptions!$BC109)),"")</f>
        <v>0</v>
      </c>
      <c r="CD109" s="34">
        <f>IFERROR(ABS(SUMIFS('TRA balance'!AE$5:AE$40,'TRA balance'!$C$5:$C$40,Assumptions!$BB109,'TRA balance'!$D$5:$D$40,Assumptions!$BC109)),"")</f>
        <v>0</v>
      </c>
      <c r="CE109" s="34">
        <f>IFERROR(ABS(SUMIFS('TRA balance'!AF$5:AF$40,'TRA balance'!$C$5:$C$40,Assumptions!$BB109,'TRA balance'!$D$5:$D$40,Assumptions!$BC109)),"")</f>
        <v>0</v>
      </c>
      <c r="CF109" s="34">
        <f>IFERROR(ABS(SUMIFS('TRA balance'!AG$5:AG$40,'TRA balance'!$C$5:$C$40,Assumptions!$BB109,'TRA balance'!$D$5:$D$40,Assumptions!$BC109)),"")</f>
        <v>0</v>
      </c>
      <c r="CG109" s="34">
        <f>IFERROR(ABS(SUMIFS('TRA balance'!AH$5:AH$40,'TRA balance'!$C$5:$C$40,Assumptions!$BB109,'TRA balance'!$D$5:$D$40,Assumptions!$BC109)),"")</f>
        <v>0</v>
      </c>
      <c r="CH109" s="34">
        <f>IFERROR(ABS(SUMIFS('TRA balance'!AI$5:AI$40,'TRA balance'!$C$5:$C$40,Assumptions!$BB109,'TRA balance'!$D$5:$D$40,Assumptions!$BC109)),"")</f>
        <v>0</v>
      </c>
      <c r="CI109" s="34">
        <f>IFERROR(ABS(SUMIFS('TRA balance'!AJ$5:AJ$40,'TRA balance'!$C$5:$C$40,Assumptions!$BB109,'TRA balance'!$D$5:$D$40,Assumptions!$BC109)),"")</f>
        <v>0</v>
      </c>
      <c r="CJ109" s="34">
        <f>IFERROR(ABS(SUMIFS('TRA balance'!AK$5:AK$40,'TRA balance'!$C$5:$C$40,Assumptions!$BB109,'TRA balance'!$D$5:$D$40,Assumptions!$BC109)),"")</f>
        <v>0</v>
      </c>
      <c r="CK109" s="34">
        <f>IFERROR(ABS(SUMIFS('TRA balance'!AL$5:AL$40,'TRA balance'!$C$5:$C$40,Assumptions!$BB109,'TRA balance'!$D$5:$D$40,Assumptions!$BC109)),"")</f>
        <v>0</v>
      </c>
      <c r="CL109" s="34">
        <f>IFERROR(ABS(SUMIFS('TRA balance'!AM$5:AM$40,'TRA balance'!$C$5:$C$40,Assumptions!$BB109,'TRA balance'!$D$5:$D$40,Assumptions!$BC109)),"")</f>
        <v>0</v>
      </c>
      <c r="CM109" s="34">
        <f>IFERROR(ABS(SUMIFS('TRA balance'!AN$5:AN$40,'TRA balance'!$C$5:$C$40,Assumptions!$BB109,'TRA balance'!$D$5:$D$40,Assumptions!$BC109)),"")</f>
        <v>0</v>
      </c>
      <c r="CN109" s="34">
        <f>IFERROR(ABS(SUMIFS('TRA balance'!AO$5:AO$40,'TRA balance'!$C$5:$C$40,Assumptions!$BB109,'TRA balance'!$D$5:$D$40,Assumptions!$BC109)),"")</f>
        <v>0</v>
      </c>
      <c r="CO109" s="34">
        <f>IFERROR(ABS(SUMIFS('TRA balance'!AP$5:AP$40,'TRA balance'!$C$5:$C$40,Assumptions!$BB109,'TRA balance'!$D$5:$D$40,Assumptions!$BC109)),"")</f>
        <v>0</v>
      </c>
      <c r="CP109" s="34">
        <f>IFERROR(ABS(SUMIFS('TRA balance'!AQ$5:AQ$40,'TRA balance'!$C$5:$C$40,Assumptions!$BB109,'TRA balance'!$D$5:$D$40,Assumptions!$BC109)),"")</f>
        <v>0</v>
      </c>
      <c r="CQ109" s="34">
        <f>IFERROR(ABS(SUMIFS('TRA balance'!AR$5:AR$40,'TRA balance'!$C$5:$C$40,Assumptions!$BB109,'TRA balance'!$D$5:$D$40,Assumptions!$BC109)),"")</f>
        <v>0</v>
      </c>
      <c r="CR109" s="34">
        <f>IFERROR(ABS(SUMIFS('TRA balance'!AS$5:AS$40,'TRA balance'!$C$5:$C$40,Assumptions!$BB109,'TRA balance'!$D$5:$D$40,Assumptions!$BC109)),"")</f>
        <v>0</v>
      </c>
      <c r="CS109" s="34">
        <f>IFERROR(ABS(SUMIFS('TRA balance'!AT$5:AT$40,'TRA balance'!$C$5:$C$40,Assumptions!$BB109,'TRA balance'!$D$5:$D$40,Assumptions!$BC109)),"")</f>
        <v>0</v>
      </c>
      <c r="CT109" s="34">
        <f>IFERROR(ABS(SUMIFS('TRA balance'!AU$5:AU$40,'TRA balance'!$C$5:$C$40,Assumptions!$BB109,'TRA balance'!$D$5:$D$40,Assumptions!$BC109)),"")</f>
        <v>0</v>
      </c>
      <c r="CU109" s="34">
        <f>IFERROR(ABS(SUMIFS('TRA balance'!AV$5:AV$40,'TRA balance'!$C$5:$C$40,Assumptions!$BB109,'TRA balance'!$D$5:$D$40,Assumptions!$BC109)),"")</f>
        <v>0</v>
      </c>
      <c r="CV109" s="34">
        <f>IFERROR(ABS(SUMIFS('TRA balance'!AW$5:AW$40,'TRA balance'!$C$5:$C$40,Assumptions!$BB109,'TRA balance'!$D$5:$D$40,Assumptions!$BC109)),"")</f>
        <v>0</v>
      </c>
      <c r="CW109" s="34">
        <f>IFERROR(ABS(SUMIFS('TRA balance'!AX$5:AX$40,'TRA balance'!$C$5:$C$40,Assumptions!$BB109,'TRA balance'!$D$5:$D$40,Assumptions!$BC109)),"")</f>
        <v>0</v>
      </c>
      <c r="CX109" s="27"/>
      <c r="CY109" s="27"/>
      <c r="CZ109" s="27"/>
      <c r="DA109" s="27"/>
      <c r="DB109" s="27"/>
      <c r="DC109" s="27"/>
      <c r="DD109" s="27"/>
      <c r="DE109" s="27"/>
      <c r="DF109" s="27"/>
      <c r="DG109" s="27"/>
      <c r="DH109" s="27"/>
      <c r="DI109" s="27"/>
      <c r="DJ109" s="27"/>
      <c r="DK109" s="27"/>
      <c r="DL109" s="27"/>
      <c r="DM109" s="27"/>
      <c r="DN109" s="27"/>
      <c r="DO109" s="27"/>
    </row>
    <row r="110" spans="1:148">
      <c r="C110" t="str">
        <f t="shared" si="151"/>
        <v>ETH</v>
      </c>
      <c r="D110" t="str">
        <f t="shared" si="150"/>
        <v>TRB</v>
      </c>
      <c r="E110" t="s">
        <v>104</v>
      </c>
      <c r="F110" s="1">
        <v>7.1999999999999995E-2</v>
      </c>
      <c r="G110" s="1">
        <v>8.1000000000000003E-2</v>
      </c>
      <c r="H110" s="1">
        <v>8.1000000000000003E-2</v>
      </c>
      <c r="I110" s="1">
        <v>8.1000000000000003E-2</v>
      </c>
      <c r="J110" s="1">
        <v>8.1000000000000003E-2</v>
      </c>
      <c r="K110" s="1">
        <v>8.1000000000000003E-2</v>
      </c>
      <c r="L110" s="1">
        <v>8.1000000000000003E-2</v>
      </c>
      <c r="M110" s="1">
        <v>8.1000000000000003E-2</v>
      </c>
      <c r="N110" s="1">
        <v>8.1000000000000003E-2</v>
      </c>
      <c r="O110" s="1">
        <v>8.1000000000000003E-2</v>
      </c>
      <c r="P110" s="1">
        <v>8.1000000000000003E-2</v>
      </c>
      <c r="Q110" s="1">
        <v>8.1000000000000003E-2</v>
      </c>
      <c r="R110" s="1">
        <v>8.1000000000000003E-2</v>
      </c>
      <c r="S110" s="1">
        <v>8.1000000000000003E-2</v>
      </c>
      <c r="T110" s="1">
        <v>8.1000000000000003E-2</v>
      </c>
      <c r="U110" s="1">
        <v>8.1000000000000003E-2</v>
      </c>
      <c r="V110" s="1">
        <v>8.1000000000000003E-2</v>
      </c>
      <c r="W110" s="1">
        <v>8.1000000000000003E-2</v>
      </c>
      <c r="X110" s="1">
        <v>8.1000000000000003E-2</v>
      </c>
      <c r="Y110" s="1">
        <v>8.1000000000000003E-2</v>
      </c>
      <c r="Z110" s="1">
        <v>8.1000000000000003E-2</v>
      </c>
      <c r="AA110" s="1">
        <v>8.1000000000000003E-2</v>
      </c>
      <c r="AB110" s="1">
        <v>8.1000000000000003E-2</v>
      </c>
      <c r="AC110" s="1">
        <v>8.1000000000000003E-2</v>
      </c>
      <c r="AD110" s="1">
        <v>8.1000000000000003E-2</v>
      </c>
      <c r="AE110" s="1">
        <v>8.1000000000000003E-2</v>
      </c>
      <c r="AF110" s="1">
        <v>8.1000000000000003E-2</v>
      </c>
      <c r="AG110" s="1">
        <v>8.1000000000000003E-2</v>
      </c>
      <c r="AH110" s="1">
        <v>8.1000000000000003E-2</v>
      </c>
      <c r="AI110" s="1">
        <v>8.1000000000000003E-2</v>
      </c>
      <c r="AJ110" s="1">
        <v>8.1000000000000003E-2</v>
      </c>
      <c r="AK110" s="1">
        <v>8.1000000000000003E-2</v>
      </c>
      <c r="AL110" s="1">
        <v>8.1000000000000003E-2</v>
      </c>
      <c r="AM110" s="1">
        <v>8.1000000000000003E-2</v>
      </c>
      <c r="AN110" s="1">
        <v>8.1000000000000003E-2</v>
      </c>
      <c r="AO110" s="1">
        <v>8.1000000000000003E-2</v>
      </c>
      <c r="AP110" s="1">
        <v>8.1000000000000003E-2</v>
      </c>
      <c r="AQ110" s="1">
        <v>8.1000000000000003E-2</v>
      </c>
      <c r="AR110" s="1">
        <v>8.1000000000000003E-2</v>
      </c>
      <c r="AS110" s="1">
        <v>8.1000000000000003E-2</v>
      </c>
      <c r="AT110" s="1">
        <v>8.1000000000000003E-2</v>
      </c>
      <c r="AU110" s="1">
        <v>8.1000000000000003E-2</v>
      </c>
      <c r="AV110" s="1">
        <v>8.1000000000000003E-2</v>
      </c>
      <c r="AW110" s="1">
        <v>8.1000000000000003E-2</v>
      </c>
      <c r="AX110" s="1">
        <v>8.1000000000000003E-2</v>
      </c>
      <c r="AY110" s="1">
        <v>8.1000000000000003E-2</v>
      </c>
      <c r="AZ110" s="1">
        <v>8.1000000000000003E-2</v>
      </c>
      <c r="BA110" s="1">
        <v>8.1000000000000003E-2</v>
      </c>
      <c r="BB110" s="27" t="s">
        <v>20</v>
      </c>
      <c r="BC110" s="27" t="s">
        <v>41</v>
      </c>
      <c r="BD110" s="34">
        <f>IFERROR(ABS(SUMIFS('TRA balance'!E$5:E$40,'TRA balance'!$C$5:$C$40,Assumptions!$BB110,'TRA balance'!$D$5:$D$40,Assumptions!$BC110)),"")</f>
        <v>0</v>
      </c>
      <c r="BE110" s="34">
        <f>IFERROR(ABS(SUMIFS('TRA balance'!F$5:F$40,'TRA balance'!$C$5:$C$40,Assumptions!$BB110,'TRA balance'!$D$5:$D$40,Assumptions!$BC110)),"")</f>
        <v>4.6243206000000002E-2</v>
      </c>
      <c r="BF110" s="34">
        <f>IFERROR(ABS(SUMIFS('TRA balance'!G$5:G$40,'TRA balance'!$C$5:$C$40,Assumptions!$BB110,'TRA balance'!$D$5:$D$40,Assumptions!$BC110)),"")</f>
        <v>0</v>
      </c>
      <c r="BG110" s="34">
        <f>IFERROR(ABS(SUMIFS('TRA balance'!H$5:H$40,'TRA balance'!$C$5:$C$40,Assumptions!$BB110,'TRA balance'!$D$5:$D$40,Assumptions!$BC110)),"")</f>
        <v>0</v>
      </c>
      <c r="BH110" s="34">
        <f>IFERROR(ABS(SUMIFS('TRA balance'!I$5:I$40,'TRA balance'!$C$5:$C$40,Assumptions!$BB110,'TRA balance'!$D$5:$D$40,Assumptions!$BC110)),"")</f>
        <v>0</v>
      </c>
      <c r="BI110" s="34">
        <f>IFERROR(ABS(SUMIFS('TRA balance'!J$5:J$40,'TRA balance'!$C$5:$C$40,Assumptions!$BB110,'TRA balance'!$D$5:$D$40,Assumptions!$BC110)),"")</f>
        <v>0</v>
      </c>
      <c r="BJ110" s="34">
        <f>IFERROR(ABS(SUMIFS('TRA balance'!K$5:K$40,'TRA balance'!$C$5:$C$40,Assumptions!$BB110,'TRA balance'!$D$5:$D$40,Assumptions!$BC110)),"")</f>
        <v>0</v>
      </c>
      <c r="BK110" s="34">
        <f>IFERROR(ABS(SUMIFS('TRA balance'!L$5:L$40,'TRA balance'!$C$5:$C$40,Assumptions!$BB110,'TRA balance'!$D$5:$D$40,Assumptions!$BC110)),"")</f>
        <v>0</v>
      </c>
      <c r="BL110" s="34">
        <f>IFERROR(ABS(SUMIFS('TRA balance'!M$5:M$40,'TRA balance'!$C$5:$C$40,Assumptions!$BB110,'TRA balance'!$D$5:$D$40,Assumptions!$BC110)),"")</f>
        <v>0</v>
      </c>
      <c r="BM110" s="34">
        <f>IFERROR(ABS(SUMIFS('TRA balance'!N$5:N$40,'TRA balance'!$C$5:$C$40,Assumptions!$BB110,'TRA balance'!$D$5:$D$40,Assumptions!$BC110)),"")</f>
        <v>0</v>
      </c>
      <c r="BN110" s="34">
        <f>IFERROR(ABS(SUMIFS('TRA balance'!O$5:O$40,'TRA balance'!$C$5:$C$40,Assumptions!$BB110,'TRA balance'!$D$5:$D$40,Assumptions!$BC110)),"")</f>
        <v>0</v>
      </c>
      <c r="BO110" s="34">
        <f>IFERROR(ABS(SUMIFS('TRA balance'!P$5:P$40,'TRA balance'!$C$5:$C$40,Assumptions!$BB110,'TRA balance'!$D$5:$D$40,Assumptions!$BC110)),"")</f>
        <v>0</v>
      </c>
      <c r="BP110" s="34">
        <f>IFERROR(ABS(SUMIFS('TRA balance'!Q$5:Q$40,'TRA balance'!$C$5:$C$40,Assumptions!$BB110,'TRA balance'!$D$5:$D$40,Assumptions!$BC110)),"")</f>
        <v>0</v>
      </c>
      <c r="BQ110" s="34">
        <f>IFERROR(ABS(SUMIFS('TRA balance'!R$5:R$40,'TRA balance'!$C$5:$C$40,Assumptions!$BB110,'TRA balance'!$D$5:$D$40,Assumptions!$BC110)),"")</f>
        <v>0</v>
      </c>
      <c r="BR110" s="34">
        <f>IFERROR(ABS(SUMIFS('TRA balance'!S$5:S$40,'TRA balance'!$C$5:$C$40,Assumptions!$BB110,'TRA balance'!$D$5:$D$40,Assumptions!$BC110)),"")</f>
        <v>0</v>
      </c>
      <c r="BS110" s="34">
        <f>IFERROR(ABS(SUMIFS('TRA balance'!T$5:T$40,'TRA balance'!$C$5:$C$40,Assumptions!$BB110,'TRA balance'!$D$5:$D$40,Assumptions!$BC110)),"")</f>
        <v>0</v>
      </c>
      <c r="BT110" s="34">
        <f>IFERROR(ABS(SUMIFS('TRA balance'!U$5:U$40,'TRA balance'!$C$5:$C$40,Assumptions!$BB110,'TRA balance'!$D$5:$D$40,Assumptions!$BC110)),"")</f>
        <v>0</v>
      </c>
      <c r="BU110" s="34">
        <f>IFERROR(ABS(SUMIFS('TRA balance'!V$5:V$40,'TRA balance'!$C$5:$C$40,Assumptions!$BB110,'TRA balance'!$D$5:$D$40,Assumptions!$BC110)),"")</f>
        <v>0</v>
      </c>
      <c r="BV110" s="34">
        <f>IFERROR(ABS(SUMIFS('TRA balance'!W$5:W$40,'TRA balance'!$C$5:$C$40,Assumptions!$BB110,'TRA balance'!$D$5:$D$40,Assumptions!$BC110)),"")</f>
        <v>0</v>
      </c>
      <c r="BW110" s="34">
        <f>IFERROR(ABS(SUMIFS('TRA balance'!X$5:X$40,'TRA balance'!$C$5:$C$40,Assumptions!$BB110,'TRA balance'!$D$5:$D$40,Assumptions!$BC110)),"")</f>
        <v>0.30864252240000001</v>
      </c>
      <c r="BX110" s="34">
        <f>IFERROR(ABS(SUMIFS('TRA balance'!Y$5:Y$40,'TRA balance'!$C$5:$C$40,Assumptions!$BB110,'TRA balance'!$D$5:$D$40,Assumptions!$BC110)),"")</f>
        <v>0</v>
      </c>
      <c r="BY110" s="34">
        <f>IFERROR(ABS(SUMIFS('TRA balance'!Z$5:Z$40,'TRA balance'!$C$5:$C$40,Assumptions!$BB110,'TRA balance'!$D$5:$D$40,Assumptions!$BC110)),"")</f>
        <v>0</v>
      </c>
      <c r="BZ110" s="34">
        <f>IFERROR(ABS(SUMIFS('TRA balance'!AA$5:AA$40,'TRA balance'!$C$5:$C$40,Assumptions!$BB110,'TRA balance'!$D$5:$D$40,Assumptions!$BC110)),"")</f>
        <v>0</v>
      </c>
      <c r="CA110" s="34">
        <f>IFERROR(ABS(SUMIFS('TRA balance'!AB$5:AB$40,'TRA balance'!$C$5:$C$40,Assumptions!$BB110,'TRA balance'!$D$5:$D$40,Assumptions!$BC110)),"")</f>
        <v>0</v>
      </c>
      <c r="CB110" s="34">
        <f>IFERROR(ABS(SUMIFS('TRA balance'!AC$5:AC$40,'TRA balance'!$C$5:$C$40,Assumptions!$BB110,'TRA balance'!$D$5:$D$40,Assumptions!$BC110)),"")</f>
        <v>6.8814244799999993E-2</v>
      </c>
      <c r="CC110" s="34">
        <f>IFERROR(ABS(SUMIFS('TRA balance'!AD$5:AD$40,'TRA balance'!$C$5:$C$40,Assumptions!$BB110,'TRA balance'!$D$5:$D$40,Assumptions!$BC110)),"")</f>
        <v>0</v>
      </c>
      <c r="CD110" s="34">
        <f>IFERROR(ABS(SUMIFS('TRA balance'!AE$5:AE$40,'TRA balance'!$C$5:$C$40,Assumptions!$BB110,'TRA balance'!$D$5:$D$40,Assumptions!$BC110)),"")</f>
        <v>0</v>
      </c>
      <c r="CE110" s="34">
        <f>IFERROR(ABS(SUMIFS('TRA balance'!AF$5:AF$40,'TRA balance'!$C$5:$C$40,Assumptions!$BB110,'TRA balance'!$D$5:$D$40,Assumptions!$BC110)),"")</f>
        <v>0.74616312240000005</v>
      </c>
      <c r="CF110" s="34">
        <f>IFERROR(ABS(SUMIFS('TRA balance'!AG$5:AG$40,'TRA balance'!$C$5:$C$40,Assumptions!$BB110,'TRA balance'!$D$5:$D$40,Assumptions!$BC110)),"")</f>
        <v>0</v>
      </c>
      <c r="CG110" s="34">
        <f>IFERROR(ABS(SUMIFS('TRA balance'!AH$5:AH$40,'TRA balance'!$C$5:$C$40,Assumptions!$BB110,'TRA balance'!$D$5:$D$40,Assumptions!$BC110)),"")</f>
        <v>0</v>
      </c>
      <c r="CH110" s="34">
        <f>IFERROR(ABS(SUMIFS('TRA balance'!AI$5:AI$40,'TRA balance'!$C$5:$C$40,Assumptions!$BB110,'TRA balance'!$D$5:$D$40,Assumptions!$BC110)),"")</f>
        <v>0</v>
      </c>
      <c r="CI110" s="34">
        <f>IFERROR(ABS(SUMIFS('TRA balance'!AJ$5:AJ$40,'TRA balance'!$C$5:$C$40,Assumptions!$BB110,'TRA balance'!$D$5:$D$40,Assumptions!$BC110)),"")</f>
        <v>0</v>
      </c>
      <c r="CJ110" s="34">
        <f>IFERROR(ABS(SUMIFS('TRA balance'!AK$5:AK$40,'TRA balance'!$C$5:$C$40,Assumptions!$BB110,'TRA balance'!$D$5:$D$40,Assumptions!$BC110)),"")</f>
        <v>0</v>
      </c>
      <c r="CK110" s="34">
        <f>IFERROR(ABS(SUMIFS('TRA balance'!AL$5:AL$40,'TRA balance'!$C$5:$C$40,Assumptions!$BB110,'TRA balance'!$D$5:$D$40,Assumptions!$BC110)),"")</f>
        <v>0</v>
      </c>
      <c r="CL110" s="34">
        <f>IFERROR(ABS(SUMIFS('TRA balance'!AM$5:AM$40,'TRA balance'!$C$5:$C$40,Assumptions!$BB110,'TRA balance'!$D$5:$D$40,Assumptions!$BC110)),"")</f>
        <v>0</v>
      </c>
      <c r="CM110" s="34">
        <f>IFERROR(ABS(SUMIFS('TRA balance'!AN$5:AN$40,'TRA balance'!$C$5:$C$40,Assumptions!$BB110,'TRA balance'!$D$5:$D$40,Assumptions!$BC110)),"")</f>
        <v>0</v>
      </c>
      <c r="CN110" s="34">
        <f>IFERROR(ABS(SUMIFS('TRA balance'!AO$5:AO$40,'TRA balance'!$C$5:$C$40,Assumptions!$BB110,'TRA balance'!$D$5:$D$40,Assumptions!$BC110)),"")</f>
        <v>0</v>
      </c>
      <c r="CO110" s="34">
        <f>IFERROR(ABS(SUMIFS('TRA balance'!AP$5:AP$40,'TRA balance'!$C$5:$C$40,Assumptions!$BB110,'TRA balance'!$D$5:$D$40,Assumptions!$BC110)),"")</f>
        <v>0</v>
      </c>
      <c r="CP110" s="34">
        <f>IFERROR(ABS(SUMIFS('TRA balance'!AQ$5:AQ$40,'TRA balance'!$C$5:$C$40,Assumptions!$BB110,'TRA balance'!$D$5:$D$40,Assumptions!$BC110)),"")</f>
        <v>0</v>
      </c>
      <c r="CQ110" s="34">
        <f>IFERROR(ABS(SUMIFS('TRA balance'!AR$5:AR$40,'TRA balance'!$C$5:$C$40,Assumptions!$BB110,'TRA balance'!$D$5:$D$40,Assumptions!$BC110)),"")</f>
        <v>0</v>
      </c>
      <c r="CR110" s="34">
        <f>IFERROR(ABS(SUMIFS('TRA balance'!AS$5:AS$40,'TRA balance'!$C$5:$C$40,Assumptions!$BB110,'TRA balance'!$D$5:$D$40,Assumptions!$BC110)),"")</f>
        <v>0</v>
      </c>
      <c r="CS110" s="34">
        <f>IFERROR(ABS(SUMIFS('TRA balance'!AT$5:AT$40,'TRA balance'!$C$5:$C$40,Assumptions!$BB110,'TRA balance'!$D$5:$D$40,Assumptions!$BC110)),"")</f>
        <v>0</v>
      </c>
      <c r="CT110" s="34">
        <f>IFERROR(ABS(SUMIFS('TRA balance'!AU$5:AU$40,'TRA balance'!$C$5:$C$40,Assumptions!$BB110,'TRA balance'!$D$5:$D$40,Assumptions!$BC110)),"")</f>
        <v>0</v>
      </c>
      <c r="CU110" s="34">
        <f>IFERROR(ABS(SUMIFS('TRA balance'!AV$5:AV$40,'TRA balance'!$C$5:$C$40,Assumptions!$BB110,'TRA balance'!$D$5:$D$40,Assumptions!$BC110)),"")</f>
        <v>0</v>
      </c>
      <c r="CV110" s="34">
        <f>IFERROR(ABS(SUMIFS('TRA balance'!AW$5:AW$40,'TRA balance'!$C$5:$C$40,Assumptions!$BB110,'TRA balance'!$D$5:$D$40,Assumptions!$BC110)),"")</f>
        <v>0</v>
      </c>
      <c r="CW110" s="34">
        <f>IFERROR(ABS(SUMIFS('TRA balance'!AX$5:AX$40,'TRA balance'!$C$5:$C$40,Assumptions!$BB110,'TRA balance'!$D$5:$D$40,Assumptions!$BC110)),"")</f>
        <v>0</v>
      </c>
      <c r="CX110" s="27"/>
    </row>
    <row r="111" spans="1:148">
      <c r="C111" t="str">
        <f t="shared" si="151"/>
        <v>GAS</v>
      </c>
      <c r="D111" t="str">
        <f t="shared" si="150"/>
        <v>TRB</v>
      </c>
      <c r="E111" t="s">
        <v>105</v>
      </c>
      <c r="F111" s="1">
        <v>0.08</v>
      </c>
      <c r="G111" s="1">
        <v>0.09</v>
      </c>
      <c r="H111" s="1">
        <v>0.09</v>
      </c>
      <c r="I111" s="1">
        <v>0.09</v>
      </c>
      <c r="J111" s="1">
        <v>0.09</v>
      </c>
      <c r="K111" s="1">
        <v>0.09</v>
      </c>
      <c r="L111" s="1">
        <v>0.09</v>
      </c>
      <c r="M111" s="1">
        <v>0.09</v>
      </c>
      <c r="N111" s="1">
        <v>0.09</v>
      </c>
      <c r="O111" s="1">
        <v>0.09</v>
      </c>
      <c r="P111" s="1">
        <v>0.09</v>
      </c>
      <c r="Q111" s="1">
        <v>0.09</v>
      </c>
      <c r="R111" s="1">
        <v>0.09</v>
      </c>
      <c r="S111" s="1">
        <v>0.09</v>
      </c>
      <c r="T111" s="1">
        <v>0.09</v>
      </c>
      <c r="U111" s="1">
        <v>0.09</v>
      </c>
      <c r="V111" s="1">
        <v>0.09</v>
      </c>
      <c r="W111" s="1">
        <v>0.09</v>
      </c>
      <c r="X111" s="1">
        <v>0.09</v>
      </c>
      <c r="Y111" s="1">
        <v>0.09</v>
      </c>
      <c r="Z111" s="1">
        <v>0.09</v>
      </c>
      <c r="AA111" s="1">
        <v>0.09</v>
      </c>
      <c r="AB111" s="1">
        <v>0.09</v>
      </c>
      <c r="AC111" s="1">
        <v>0.09</v>
      </c>
      <c r="AD111" s="1">
        <v>0.09</v>
      </c>
      <c r="AE111" s="1">
        <v>0.09</v>
      </c>
      <c r="AF111" s="1">
        <v>0.09</v>
      </c>
      <c r="AG111" s="1">
        <v>0.09</v>
      </c>
      <c r="AH111" s="1">
        <v>0.09</v>
      </c>
      <c r="AI111" s="1">
        <v>0.09</v>
      </c>
      <c r="AJ111" s="1">
        <v>0.09</v>
      </c>
      <c r="AK111" s="1">
        <v>0.09</v>
      </c>
      <c r="AL111" s="1">
        <v>0.09</v>
      </c>
      <c r="AM111" s="1">
        <v>0.09</v>
      </c>
      <c r="AN111" s="1">
        <v>0.09</v>
      </c>
      <c r="AO111" s="1">
        <v>0.09</v>
      </c>
      <c r="AP111" s="1">
        <v>0.09</v>
      </c>
      <c r="AQ111" s="1">
        <v>0.09</v>
      </c>
      <c r="AR111" s="1">
        <v>0.09</v>
      </c>
      <c r="AS111" s="1">
        <v>0.09</v>
      </c>
      <c r="AT111" s="1">
        <v>0.09</v>
      </c>
      <c r="AU111" s="1">
        <v>0.09</v>
      </c>
      <c r="AV111" s="1">
        <v>0.09</v>
      </c>
      <c r="AW111" s="1">
        <v>0.09</v>
      </c>
      <c r="AX111" s="1">
        <v>0.09</v>
      </c>
      <c r="AY111" s="1">
        <v>0.09</v>
      </c>
      <c r="AZ111" s="1">
        <v>0.09</v>
      </c>
      <c r="BA111" s="1">
        <v>0.09</v>
      </c>
      <c r="BB111" s="27" t="s">
        <v>20</v>
      </c>
      <c r="BC111" s="27" t="s">
        <v>42</v>
      </c>
      <c r="BD111" s="34">
        <f>IFERROR(ABS(SUMIFS('TRA balance'!E$5:E$40,'TRA balance'!$C$5:$C$40,Assumptions!$BB111,'TRA balance'!$D$5:$D$40,Assumptions!$BC111)),"")</f>
        <v>0</v>
      </c>
      <c r="BE111" s="34">
        <f>IFERROR(ABS(SUMIFS('TRA balance'!F$5:F$40,'TRA balance'!$C$5:$C$40,Assumptions!$BB111,'TRA balance'!$D$5:$D$40,Assumptions!$BC111)),"")</f>
        <v>0</v>
      </c>
      <c r="BF111" s="34">
        <f>IFERROR(ABS(SUMIFS('TRA balance'!G$5:G$40,'TRA balance'!$C$5:$C$40,Assumptions!$BB111,'TRA balance'!$D$5:$D$40,Assumptions!$BC111)),"")</f>
        <v>0</v>
      </c>
      <c r="BG111" s="34">
        <f>IFERROR(ABS(SUMIFS('TRA balance'!H$5:H$40,'TRA balance'!$C$5:$C$40,Assumptions!$BB111,'TRA balance'!$D$5:$D$40,Assumptions!$BC111)),"")</f>
        <v>0</v>
      </c>
      <c r="BH111" s="34">
        <f>IFERROR(ABS(SUMIFS('TRA balance'!I$5:I$40,'TRA balance'!$C$5:$C$40,Assumptions!$BB111,'TRA balance'!$D$5:$D$40,Assumptions!$BC111)),"")</f>
        <v>0</v>
      </c>
      <c r="BI111" s="34">
        <f>IFERROR(ABS(SUMIFS('TRA balance'!J$5:J$40,'TRA balance'!$C$5:$C$40,Assumptions!$BB111,'TRA balance'!$D$5:$D$40,Assumptions!$BC111)),"")</f>
        <v>0</v>
      </c>
      <c r="BJ111" s="34">
        <f>IFERROR(ABS(SUMIFS('TRA balance'!K$5:K$40,'TRA balance'!$C$5:$C$40,Assumptions!$BB111,'TRA balance'!$D$5:$D$40,Assumptions!$BC111)),"")</f>
        <v>0</v>
      </c>
      <c r="BK111" s="34">
        <f>IFERROR(ABS(SUMIFS('TRA balance'!L$5:L$40,'TRA balance'!$C$5:$C$40,Assumptions!$BB111,'TRA balance'!$D$5:$D$40,Assumptions!$BC111)),"")</f>
        <v>0</v>
      </c>
      <c r="BL111" s="34">
        <f>IFERROR(ABS(SUMIFS('TRA balance'!M$5:M$40,'TRA balance'!$C$5:$C$40,Assumptions!$BB111,'TRA balance'!$D$5:$D$40,Assumptions!$BC111)),"")</f>
        <v>0</v>
      </c>
      <c r="BM111" s="34">
        <f>IFERROR(ABS(SUMIFS('TRA balance'!N$5:N$40,'TRA balance'!$C$5:$C$40,Assumptions!$BB111,'TRA balance'!$D$5:$D$40,Assumptions!$BC111)),"")</f>
        <v>0</v>
      </c>
      <c r="BN111" s="34">
        <f>IFERROR(ABS(SUMIFS('TRA balance'!O$5:O$40,'TRA balance'!$C$5:$C$40,Assumptions!$BB111,'TRA balance'!$D$5:$D$40,Assumptions!$BC111)),"")</f>
        <v>0</v>
      </c>
      <c r="BO111" s="34">
        <f>IFERROR(ABS(SUMIFS('TRA balance'!P$5:P$40,'TRA balance'!$C$5:$C$40,Assumptions!$BB111,'TRA balance'!$D$5:$D$40,Assumptions!$BC111)),"")</f>
        <v>0</v>
      </c>
      <c r="BP111" s="34">
        <f>IFERROR(ABS(SUMIFS('TRA balance'!Q$5:Q$40,'TRA balance'!$C$5:$C$40,Assumptions!$BB111,'TRA balance'!$D$5:$D$40,Assumptions!$BC111)),"")</f>
        <v>0</v>
      </c>
      <c r="BQ111" s="34">
        <f>IFERROR(ABS(SUMIFS('TRA balance'!R$5:R$40,'TRA balance'!$C$5:$C$40,Assumptions!$BB111,'TRA balance'!$D$5:$D$40,Assumptions!$BC111)),"")</f>
        <v>0</v>
      </c>
      <c r="BR111" s="34">
        <f>IFERROR(ABS(SUMIFS('TRA balance'!S$5:S$40,'TRA balance'!$C$5:$C$40,Assumptions!$BB111,'TRA balance'!$D$5:$D$40,Assumptions!$BC111)),"")</f>
        <v>0</v>
      </c>
      <c r="BS111" s="34">
        <f>IFERROR(ABS(SUMIFS('TRA balance'!T$5:T$40,'TRA balance'!$C$5:$C$40,Assumptions!$BB111,'TRA balance'!$D$5:$D$40,Assumptions!$BC111)),"")</f>
        <v>0</v>
      </c>
      <c r="BT111" s="34">
        <f>IFERROR(ABS(SUMIFS('TRA balance'!U$5:U$40,'TRA balance'!$C$5:$C$40,Assumptions!$BB111,'TRA balance'!$D$5:$D$40,Assumptions!$BC111)),"")</f>
        <v>3.09320784E-2</v>
      </c>
      <c r="BU111" s="34">
        <f>IFERROR(ABS(SUMIFS('TRA balance'!V$5:V$40,'TRA balance'!$C$5:$C$40,Assumptions!$BB111,'TRA balance'!$D$5:$D$40,Assumptions!$BC111)),"")</f>
        <v>0</v>
      </c>
      <c r="BV111" s="34">
        <f>IFERROR(ABS(SUMIFS('TRA balance'!W$5:W$40,'TRA balance'!$C$5:$C$40,Assumptions!$BB111,'TRA balance'!$D$5:$D$40,Assumptions!$BC111)),"")</f>
        <v>0</v>
      </c>
      <c r="BW111" s="34">
        <f>IFERROR(ABS(SUMIFS('TRA balance'!X$5:X$40,'TRA balance'!$C$5:$C$40,Assumptions!$BB111,'TRA balance'!$D$5:$D$40,Assumptions!$BC111)),"")</f>
        <v>0.69088480200000002</v>
      </c>
      <c r="BX111" s="34">
        <f>IFERROR(ABS(SUMIFS('TRA balance'!Y$5:Y$40,'TRA balance'!$C$5:$C$40,Assumptions!$BB111,'TRA balance'!$D$5:$D$40,Assumptions!$BC111)),"")</f>
        <v>0</v>
      </c>
      <c r="BY111" s="34">
        <f>IFERROR(ABS(SUMIFS('TRA balance'!Z$5:Z$40,'TRA balance'!$C$5:$C$40,Assumptions!$BB111,'TRA balance'!$D$5:$D$40,Assumptions!$BC111)),"")</f>
        <v>0</v>
      </c>
      <c r="BZ111" s="34">
        <f>IFERROR(ABS(SUMIFS('TRA balance'!AA$5:AA$40,'TRA balance'!$C$5:$C$40,Assumptions!$BB111,'TRA balance'!$D$5:$D$40,Assumptions!$BC111)),"")</f>
        <v>0</v>
      </c>
      <c r="CA111" s="34">
        <f>IFERROR(ABS(SUMIFS('TRA balance'!AB$5:AB$40,'TRA balance'!$C$5:$C$40,Assumptions!$BB111,'TRA balance'!$D$5:$D$40,Assumptions!$BC111)),"")</f>
        <v>0</v>
      </c>
      <c r="CB111" s="34">
        <f>IFERROR(ABS(SUMIFS('TRA balance'!AC$5:AC$40,'TRA balance'!$C$5:$C$40,Assumptions!$BB111,'TRA balance'!$D$5:$D$40,Assumptions!$BC111)),"")</f>
        <v>8.9597519999999996E-3</v>
      </c>
      <c r="CC111" s="34">
        <f>IFERROR(ABS(SUMIFS('TRA balance'!AD$5:AD$40,'TRA balance'!$C$5:$C$40,Assumptions!$BB111,'TRA balance'!$D$5:$D$40,Assumptions!$BC111)),"")</f>
        <v>0</v>
      </c>
      <c r="CD111" s="34">
        <f>IFERROR(ABS(SUMIFS('TRA balance'!AE$5:AE$40,'TRA balance'!$C$5:$C$40,Assumptions!$BB111,'TRA balance'!$D$5:$D$40,Assumptions!$BC111)),"")</f>
        <v>0</v>
      </c>
      <c r="CE111" s="34">
        <f>IFERROR(ABS(SUMIFS('TRA balance'!AF$5:AF$40,'TRA balance'!$C$5:$C$40,Assumptions!$BB111,'TRA balance'!$D$5:$D$40,Assumptions!$BC111)),"")</f>
        <v>0</v>
      </c>
      <c r="CF111" s="34">
        <f>IFERROR(ABS(SUMIFS('TRA balance'!AG$5:AG$40,'TRA balance'!$C$5:$C$40,Assumptions!$BB111,'TRA balance'!$D$5:$D$40,Assumptions!$BC111)),"")</f>
        <v>0</v>
      </c>
      <c r="CG111" s="34">
        <f>IFERROR(ABS(SUMIFS('TRA balance'!AH$5:AH$40,'TRA balance'!$C$5:$C$40,Assumptions!$BB111,'TRA balance'!$D$5:$D$40,Assumptions!$BC111)),"")</f>
        <v>4.6054799999999998E-5</v>
      </c>
      <c r="CH111" s="34">
        <f>IFERROR(ABS(SUMIFS('TRA balance'!AI$5:AI$40,'TRA balance'!$C$5:$C$40,Assumptions!$BB111,'TRA balance'!$D$5:$D$40,Assumptions!$BC111)),"")</f>
        <v>0</v>
      </c>
      <c r="CI111" s="34">
        <f>IFERROR(ABS(SUMIFS('TRA balance'!AJ$5:AJ$40,'TRA balance'!$C$5:$C$40,Assumptions!$BB111,'TRA balance'!$D$5:$D$40,Assumptions!$BC111)),"")</f>
        <v>0</v>
      </c>
      <c r="CJ111" s="34">
        <f>IFERROR(ABS(SUMIFS('TRA balance'!AK$5:AK$40,'TRA balance'!$C$5:$C$40,Assumptions!$BB111,'TRA balance'!$D$5:$D$40,Assumptions!$BC111)),"")</f>
        <v>0</v>
      </c>
      <c r="CK111" s="34">
        <f>IFERROR(ABS(SUMIFS('TRA balance'!AL$5:AL$40,'TRA balance'!$C$5:$C$40,Assumptions!$BB111,'TRA balance'!$D$5:$D$40,Assumptions!$BC111)),"")</f>
        <v>0</v>
      </c>
      <c r="CL111" s="34">
        <f>IFERROR(ABS(SUMIFS('TRA balance'!AM$5:AM$40,'TRA balance'!$C$5:$C$40,Assumptions!$BB111,'TRA balance'!$D$5:$D$40,Assumptions!$BC111)),"")</f>
        <v>0</v>
      </c>
      <c r="CM111" s="34">
        <f>IFERROR(ABS(SUMIFS('TRA balance'!AN$5:AN$40,'TRA balance'!$C$5:$C$40,Assumptions!$BB111,'TRA balance'!$D$5:$D$40,Assumptions!$BC111)),"")</f>
        <v>0</v>
      </c>
      <c r="CN111" s="34">
        <f>IFERROR(ABS(SUMIFS('TRA balance'!AO$5:AO$40,'TRA balance'!$C$5:$C$40,Assumptions!$BB111,'TRA balance'!$D$5:$D$40,Assumptions!$BC111)),"")</f>
        <v>0</v>
      </c>
      <c r="CO111" s="34">
        <f>IFERROR(ABS(SUMIFS('TRA balance'!AP$5:AP$40,'TRA balance'!$C$5:$C$40,Assumptions!$BB111,'TRA balance'!$D$5:$D$40,Assumptions!$BC111)),"")</f>
        <v>0</v>
      </c>
      <c r="CP111" s="34">
        <f>IFERROR(ABS(SUMIFS('TRA balance'!AQ$5:AQ$40,'TRA balance'!$C$5:$C$40,Assumptions!$BB111,'TRA balance'!$D$5:$D$40,Assumptions!$BC111)),"")</f>
        <v>0</v>
      </c>
      <c r="CQ111" s="34">
        <f>IFERROR(ABS(SUMIFS('TRA balance'!AR$5:AR$40,'TRA balance'!$C$5:$C$40,Assumptions!$BB111,'TRA balance'!$D$5:$D$40,Assumptions!$BC111)),"")</f>
        <v>0</v>
      </c>
      <c r="CR111" s="34">
        <f>IFERROR(ABS(SUMIFS('TRA balance'!AS$5:AS$40,'TRA balance'!$C$5:$C$40,Assumptions!$BB111,'TRA balance'!$D$5:$D$40,Assumptions!$BC111)),"")</f>
        <v>0</v>
      </c>
      <c r="CS111" s="34">
        <f>IFERROR(ABS(SUMIFS('TRA balance'!AT$5:AT$40,'TRA balance'!$C$5:$C$40,Assumptions!$BB111,'TRA balance'!$D$5:$D$40,Assumptions!$BC111)),"")</f>
        <v>0</v>
      </c>
      <c r="CT111" s="34">
        <f>IFERROR(ABS(SUMIFS('TRA balance'!AU$5:AU$40,'TRA balance'!$C$5:$C$40,Assumptions!$BB111,'TRA balance'!$D$5:$D$40,Assumptions!$BC111)),"")</f>
        <v>0</v>
      </c>
      <c r="CU111" s="34">
        <f>IFERROR(ABS(SUMIFS('TRA balance'!AV$5:AV$40,'TRA balance'!$C$5:$C$40,Assumptions!$BB111,'TRA balance'!$D$5:$D$40,Assumptions!$BC111)),"")</f>
        <v>0</v>
      </c>
      <c r="CV111" s="34">
        <f>IFERROR(ABS(SUMIFS('TRA balance'!AW$5:AW$40,'TRA balance'!$C$5:$C$40,Assumptions!$BB111,'TRA balance'!$D$5:$D$40,Assumptions!$BC111)),"")</f>
        <v>0</v>
      </c>
      <c r="CW111" s="34">
        <f>IFERROR(ABS(SUMIFS('TRA balance'!AX$5:AX$40,'TRA balance'!$C$5:$C$40,Assumptions!$BB111,'TRA balance'!$D$5:$D$40,Assumptions!$BC111)),"")</f>
        <v>0</v>
      </c>
      <c r="CX111" s="27"/>
    </row>
    <row r="112" spans="1:148">
      <c r="C112" t="str">
        <f t="shared" si="151"/>
        <v>LPG</v>
      </c>
      <c r="D112" t="str">
        <f t="shared" si="150"/>
        <v>TRB</v>
      </c>
      <c r="E112" t="s">
        <v>106</v>
      </c>
      <c r="F112" s="1">
        <v>7.1999999999999995E-2</v>
      </c>
      <c r="G112" s="1">
        <v>8.1000000000000003E-2</v>
      </c>
      <c r="H112" s="1">
        <v>8.1000000000000003E-2</v>
      </c>
      <c r="I112" s="1">
        <v>8.1000000000000003E-2</v>
      </c>
      <c r="J112" s="1">
        <v>8.1000000000000003E-2</v>
      </c>
      <c r="K112" s="1">
        <v>8.1000000000000003E-2</v>
      </c>
      <c r="L112" s="1">
        <v>8.1000000000000003E-2</v>
      </c>
      <c r="M112" s="1">
        <v>8.1000000000000003E-2</v>
      </c>
      <c r="N112" s="1">
        <v>8.1000000000000003E-2</v>
      </c>
      <c r="O112" s="1">
        <v>8.1000000000000003E-2</v>
      </c>
      <c r="P112" s="1">
        <v>8.1000000000000003E-2</v>
      </c>
      <c r="Q112" s="1">
        <v>8.1000000000000003E-2</v>
      </c>
      <c r="R112" s="1">
        <v>8.1000000000000003E-2</v>
      </c>
      <c r="S112" s="1">
        <v>8.1000000000000003E-2</v>
      </c>
      <c r="T112" s="1">
        <v>8.1000000000000003E-2</v>
      </c>
      <c r="U112" s="1">
        <v>8.1000000000000003E-2</v>
      </c>
      <c r="V112" s="1">
        <v>8.1000000000000003E-2</v>
      </c>
      <c r="W112" s="1">
        <v>8.1000000000000003E-2</v>
      </c>
      <c r="X112" s="1">
        <v>8.1000000000000003E-2</v>
      </c>
      <c r="Y112" s="1">
        <v>8.1000000000000003E-2</v>
      </c>
      <c r="Z112" s="1">
        <v>8.1000000000000003E-2</v>
      </c>
      <c r="AA112" s="1">
        <v>8.1000000000000003E-2</v>
      </c>
      <c r="AB112" s="1">
        <v>8.1000000000000003E-2</v>
      </c>
      <c r="AC112" s="1">
        <v>8.1000000000000003E-2</v>
      </c>
      <c r="AD112" s="1">
        <v>8.1000000000000003E-2</v>
      </c>
      <c r="AE112" s="1">
        <v>8.1000000000000003E-2</v>
      </c>
      <c r="AF112" s="1">
        <v>8.1000000000000003E-2</v>
      </c>
      <c r="AG112" s="1">
        <v>8.1000000000000003E-2</v>
      </c>
      <c r="AH112" s="1">
        <v>8.1000000000000003E-2</v>
      </c>
      <c r="AI112" s="1">
        <v>8.1000000000000003E-2</v>
      </c>
      <c r="AJ112" s="1">
        <v>8.1000000000000003E-2</v>
      </c>
      <c r="AK112" s="1">
        <v>8.1000000000000003E-2</v>
      </c>
      <c r="AL112" s="1">
        <v>8.1000000000000003E-2</v>
      </c>
      <c r="AM112" s="1">
        <v>8.1000000000000003E-2</v>
      </c>
      <c r="AN112" s="1">
        <v>8.1000000000000003E-2</v>
      </c>
      <c r="AO112" s="1">
        <v>8.1000000000000003E-2</v>
      </c>
      <c r="AP112" s="1">
        <v>8.1000000000000003E-2</v>
      </c>
      <c r="AQ112" s="1">
        <v>8.1000000000000003E-2</v>
      </c>
      <c r="AR112" s="1">
        <v>8.1000000000000003E-2</v>
      </c>
      <c r="AS112" s="1">
        <v>8.1000000000000003E-2</v>
      </c>
      <c r="AT112" s="1">
        <v>8.1000000000000003E-2</v>
      </c>
      <c r="AU112" s="1">
        <v>8.1000000000000003E-2</v>
      </c>
      <c r="AV112" s="1">
        <v>8.1000000000000003E-2</v>
      </c>
      <c r="AW112" s="1">
        <v>8.1000000000000003E-2</v>
      </c>
      <c r="AX112" s="1">
        <v>8.1000000000000003E-2</v>
      </c>
      <c r="AY112" s="1">
        <v>8.1000000000000003E-2</v>
      </c>
      <c r="AZ112" s="1">
        <v>8.1000000000000003E-2</v>
      </c>
      <c r="BA112" s="1">
        <v>8.1000000000000003E-2</v>
      </c>
      <c r="BB112" s="27" t="s">
        <v>20</v>
      </c>
      <c r="BC112" s="27" t="s">
        <v>45</v>
      </c>
      <c r="BD112" s="34">
        <f>IFERROR(ABS(SUMIFS('TRA balance'!E$5:E$40,'TRA balance'!$C$5:$C$40,Assumptions!$BB112,'TRA balance'!$D$5:$D$40,Assumptions!$BC112)),"")</f>
        <v>1.19993688E-2</v>
      </c>
      <c r="BE112" s="34">
        <f>IFERROR(ABS(SUMIFS('TRA balance'!F$5:F$40,'TRA balance'!$C$5:$C$40,Assumptions!$BB112,'TRA balance'!$D$5:$D$40,Assumptions!$BC112)),"")</f>
        <v>0</v>
      </c>
      <c r="BF112" s="34">
        <f>IFERROR(ABS(SUMIFS('TRA balance'!G$5:G$40,'TRA balance'!$C$5:$C$40,Assumptions!$BB112,'TRA balance'!$D$5:$D$40,Assumptions!$BC112)),"")</f>
        <v>0</v>
      </c>
      <c r="BG112" s="34">
        <f>IFERROR(ABS(SUMIFS('TRA balance'!H$5:H$40,'TRA balance'!$C$5:$C$40,Assumptions!$BB112,'TRA balance'!$D$5:$D$40,Assumptions!$BC112)),"")</f>
        <v>0</v>
      </c>
      <c r="BH112" s="34">
        <f>IFERROR(ABS(SUMIFS('TRA balance'!I$5:I$40,'TRA balance'!$C$5:$C$40,Assumptions!$BB112,'TRA balance'!$D$5:$D$40,Assumptions!$BC112)),"")</f>
        <v>0</v>
      </c>
      <c r="BI112" s="34">
        <f>IFERROR(ABS(SUMIFS('TRA balance'!J$5:J$40,'TRA balance'!$C$5:$C$40,Assumptions!$BB112,'TRA balance'!$D$5:$D$40,Assumptions!$BC112)),"")</f>
        <v>0</v>
      </c>
      <c r="BJ112" s="34">
        <f>IFERROR(ABS(SUMIFS('TRA balance'!K$5:K$40,'TRA balance'!$C$5:$C$40,Assumptions!$BB112,'TRA balance'!$D$5:$D$40,Assumptions!$BC112)),"")</f>
        <v>0</v>
      </c>
      <c r="BK112" s="34">
        <f>IFERROR(ABS(SUMIFS('TRA balance'!L$5:L$40,'TRA balance'!$C$5:$C$40,Assumptions!$BB112,'TRA balance'!$D$5:$D$40,Assumptions!$BC112)),"")</f>
        <v>0</v>
      </c>
      <c r="BL112" s="34">
        <f>IFERROR(ABS(SUMIFS('TRA balance'!M$5:M$40,'TRA balance'!$C$5:$C$40,Assumptions!$BB112,'TRA balance'!$D$5:$D$40,Assumptions!$BC112)),"")</f>
        <v>0</v>
      </c>
      <c r="BM112" s="34">
        <f>IFERROR(ABS(SUMIFS('TRA balance'!N$5:N$40,'TRA balance'!$C$5:$C$40,Assumptions!$BB112,'TRA balance'!$D$5:$D$40,Assumptions!$BC112)),"")</f>
        <v>0</v>
      </c>
      <c r="BN112" s="34">
        <f>IFERROR(ABS(SUMIFS('TRA balance'!O$5:O$40,'TRA balance'!$C$5:$C$40,Assumptions!$BB112,'TRA balance'!$D$5:$D$40,Assumptions!$BC112)),"")</f>
        <v>0</v>
      </c>
      <c r="BO112" s="34">
        <f>IFERROR(ABS(SUMIFS('TRA balance'!P$5:P$40,'TRA balance'!$C$5:$C$40,Assumptions!$BB112,'TRA balance'!$D$5:$D$40,Assumptions!$BC112)),"")</f>
        <v>0</v>
      </c>
      <c r="BP112" s="34">
        <f>IFERROR(ABS(SUMIFS('TRA balance'!Q$5:Q$40,'TRA balance'!$C$5:$C$40,Assumptions!$BB112,'TRA balance'!$D$5:$D$40,Assumptions!$BC112)),"")</f>
        <v>0</v>
      </c>
      <c r="BQ112" s="34">
        <f>IFERROR(ABS(SUMIFS('TRA balance'!R$5:R$40,'TRA balance'!$C$5:$C$40,Assumptions!$BB112,'TRA balance'!$D$5:$D$40,Assumptions!$BC112)),"")</f>
        <v>0</v>
      </c>
      <c r="BR112" s="34">
        <f>IFERROR(ABS(SUMIFS('TRA balance'!S$5:S$40,'TRA balance'!$C$5:$C$40,Assumptions!$BB112,'TRA balance'!$D$5:$D$40,Assumptions!$BC112)),"")</f>
        <v>0</v>
      </c>
      <c r="BS112" s="34">
        <f>IFERROR(ABS(SUMIFS('TRA balance'!T$5:T$40,'TRA balance'!$C$5:$C$40,Assumptions!$BB112,'TRA balance'!$D$5:$D$40,Assumptions!$BC112)),"")</f>
        <v>0</v>
      </c>
      <c r="BT112" s="34">
        <f>IFERROR(ABS(SUMIFS('TRA balance'!U$5:U$40,'TRA balance'!$C$5:$C$40,Assumptions!$BB112,'TRA balance'!$D$5:$D$40,Assumptions!$BC112)),"")</f>
        <v>0</v>
      </c>
      <c r="BU112" s="34">
        <f>IFERROR(ABS(SUMIFS('TRA balance'!V$5:V$40,'TRA balance'!$C$5:$C$40,Assumptions!$BB112,'TRA balance'!$D$5:$D$40,Assumptions!$BC112)),"")</f>
        <v>0</v>
      </c>
      <c r="BV112" s="34">
        <f>IFERROR(ABS(SUMIFS('TRA balance'!W$5:W$40,'TRA balance'!$C$5:$C$40,Assumptions!$BB112,'TRA balance'!$D$5:$D$40,Assumptions!$BC112)),"")</f>
        <v>0</v>
      </c>
      <c r="BW112" s="34">
        <f>IFERROR(ABS(SUMIFS('TRA balance'!X$5:X$40,'TRA balance'!$C$5:$C$40,Assumptions!$BB112,'TRA balance'!$D$5:$D$40,Assumptions!$BC112)),"")</f>
        <v>0</v>
      </c>
      <c r="BX112" s="34">
        <f>IFERROR(ABS(SUMIFS('TRA balance'!Y$5:Y$40,'TRA balance'!$C$5:$C$40,Assumptions!$BB112,'TRA balance'!$D$5:$D$40,Assumptions!$BC112)),"")</f>
        <v>0</v>
      </c>
      <c r="BY112" s="34">
        <f>IFERROR(ABS(SUMIFS('TRA balance'!Z$5:Z$40,'TRA balance'!$C$5:$C$40,Assumptions!$BB112,'TRA balance'!$D$5:$D$40,Assumptions!$BC112)),"")</f>
        <v>0</v>
      </c>
      <c r="BZ112" s="34">
        <f>IFERROR(ABS(SUMIFS('TRA balance'!AA$5:AA$40,'TRA balance'!$C$5:$C$40,Assumptions!$BB112,'TRA balance'!$D$5:$D$40,Assumptions!$BC112)),"")</f>
        <v>0</v>
      </c>
      <c r="CA112" s="34">
        <f>IFERROR(ABS(SUMIFS('TRA balance'!AB$5:AB$40,'TRA balance'!$C$5:$C$40,Assumptions!$BB112,'TRA balance'!$D$5:$D$40,Assumptions!$BC112)),"")</f>
        <v>0</v>
      </c>
      <c r="CB112" s="34">
        <f>IFERROR(ABS(SUMIFS('TRA balance'!AC$5:AC$40,'TRA balance'!$C$5:$C$40,Assumptions!$BB112,'TRA balance'!$D$5:$D$40,Assumptions!$BC112)),"")</f>
        <v>5.9452560000000003E-4</v>
      </c>
      <c r="CC112" s="34">
        <f>IFERROR(ABS(SUMIFS('TRA balance'!AD$5:AD$40,'TRA balance'!$C$5:$C$40,Assumptions!$BB112,'TRA balance'!$D$5:$D$40,Assumptions!$BC112)),"")</f>
        <v>0</v>
      </c>
      <c r="CD112" s="34">
        <f>IFERROR(ABS(SUMIFS('TRA balance'!AE$5:AE$40,'TRA balance'!$C$5:$C$40,Assumptions!$BB112,'TRA balance'!$D$5:$D$40,Assumptions!$BC112)),"")</f>
        <v>0</v>
      </c>
      <c r="CE112" s="34">
        <f>IFERROR(ABS(SUMIFS('TRA balance'!AF$5:AF$40,'TRA balance'!$C$5:$C$40,Assumptions!$BB112,'TRA balance'!$D$5:$D$40,Assumptions!$BC112)),"")</f>
        <v>0</v>
      </c>
      <c r="CF112" s="34">
        <f>IFERROR(ABS(SUMIFS('TRA balance'!AG$5:AG$40,'TRA balance'!$C$5:$C$40,Assumptions!$BB112,'TRA balance'!$D$5:$D$40,Assumptions!$BC112)),"")</f>
        <v>0</v>
      </c>
      <c r="CG112" s="34">
        <f>IFERROR(ABS(SUMIFS('TRA balance'!AH$5:AH$40,'TRA balance'!$C$5:$C$40,Assumptions!$BB112,'TRA balance'!$D$5:$D$40,Assumptions!$BC112)),"")</f>
        <v>0</v>
      </c>
      <c r="CH112" s="34">
        <f>IFERROR(ABS(SUMIFS('TRA balance'!AI$5:AI$40,'TRA balance'!$C$5:$C$40,Assumptions!$BB112,'TRA balance'!$D$5:$D$40,Assumptions!$BC112)),"")</f>
        <v>0</v>
      </c>
      <c r="CI112" s="34">
        <f>IFERROR(ABS(SUMIFS('TRA balance'!AJ$5:AJ$40,'TRA balance'!$C$5:$C$40,Assumptions!$BB112,'TRA balance'!$D$5:$D$40,Assumptions!$BC112)),"")</f>
        <v>0</v>
      </c>
      <c r="CJ112" s="34">
        <f>IFERROR(ABS(SUMIFS('TRA balance'!AK$5:AK$40,'TRA balance'!$C$5:$C$40,Assumptions!$BB112,'TRA balance'!$D$5:$D$40,Assumptions!$BC112)),"")</f>
        <v>0</v>
      </c>
      <c r="CK112" s="34">
        <f>IFERROR(ABS(SUMIFS('TRA balance'!AL$5:AL$40,'TRA balance'!$C$5:$C$40,Assumptions!$BB112,'TRA balance'!$D$5:$D$40,Assumptions!$BC112)),"")</f>
        <v>7.6400014644000001</v>
      </c>
      <c r="CL112" s="34">
        <f>IFERROR(ABS(SUMIFS('TRA balance'!AM$5:AM$40,'TRA balance'!$C$5:$C$40,Assumptions!$BB112,'TRA balance'!$D$5:$D$40,Assumptions!$BC112)),"")</f>
        <v>0</v>
      </c>
      <c r="CM112" s="34">
        <f>IFERROR(ABS(SUMIFS('TRA balance'!AN$5:AN$40,'TRA balance'!$C$5:$C$40,Assumptions!$BB112,'TRA balance'!$D$5:$D$40,Assumptions!$BC112)),"")</f>
        <v>0</v>
      </c>
      <c r="CN112" s="34">
        <f>IFERROR(ABS(SUMIFS('TRA balance'!AO$5:AO$40,'TRA balance'!$C$5:$C$40,Assumptions!$BB112,'TRA balance'!$D$5:$D$40,Assumptions!$BC112)),"")</f>
        <v>0</v>
      </c>
      <c r="CO112" s="34">
        <f>IFERROR(ABS(SUMIFS('TRA balance'!AP$5:AP$40,'TRA balance'!$C$5:$C$40,Assumptions!$BB112,'TRA balance'!$D$5:$D$40,Assumptions!$BC112)),"")</f>
        <v>0</v>
      </c>
      <c r="CP112" s="34">
        <f>IFERROR(ABS(SUMIFS('TRA balance'!AQ$5:AQ$40,'TRA balance'!$C$5:$C$40,Assumptions!$BB112,'TRA balance'!$D$5:$D$40,Assumptions!$BC112)),"")</f>
        <v>0</v>
      </c>
      <c r="CQ112" s="34">
        <f>IFERROR(ABS(SUMIFS('TRA balance'!AR$5:AR$40,'TRA balance'!$C$5:$C$40,Assumptions!$BB112,'TRA balance'!$D$5:$D$40,Assumptions!$BC112)),"")</f>
        <v>0</v>
      </c>
      <c r="CR112" s="34">
        <f>IFERROR(ABS(SUMIFS('TRA balance'!AS$5:AS$40,'TRA balance'!$C$5:$C$40,Assumptions!$BB112,'TRA balance'!$D$5:$D$40,Assumptions!$BC112)),"")</f>
        <v>0</v>
      </c>
      <c r="CS112" s="34">
        <f>IFERROR(ABS(SUMIFS('TRA balance'!AT$5:AT$40,'TRA balance'!$C$5:$C$40,Assumptions!$BB112,'TRA balance'!$D$5:$D$40,Assumptions!$BC112)),"")</f>
        <v>0</v>
      </c>
      <c r="CT112" s="34">
        <f>IFERROR(ABS(SUMIFS('TRA balance'!AU$5:AU$40,'TRA balance'!$C$5:$C$40,Assumptions!$BB112,'TRA balance'!$D$5:$D$40,Assumptions!$BC112)),"")</f>
        <v>0</v>
      </c>
      <c r="CU112" s="34">
        <f>IFERROR(ABS(SUMIFS('TRA balance'!AV$5:AV$40,'TRA balance'!$C$5:$C$40,Assumptions!$BB112,'TRA balance'!$D$5:$D$40,Assumptions!$BC112)),"")</f>
        <v>0</v>
      </c>
      <c r="CV112" s="34">
        <f>IFERROR(ABS(SUMIFS('TRA balance'!AW$5:AW$40,'TRA balance'!$C$5:$C$40,Assumptions!$BB112,'TRA balance'!$D$5:$D$40,Assumptions!$BC112)),"")</f>
        <v>0</v>
      </c>
      <c r="CW112" s="34">
        <f>IFERROR(ABS(SUMIFS('TRA balance'!AX$5:AX$40,'TRA balance'!$C$5:$C$40,Assumptions!$BB112,'TRA balance'!$D$5:$D$40,Assumptions!$BC112)),"")</f>
        <v>0</v>
      </c>
      <c r="CX112" s="27"/>
    </row>
    <row r="113" spans="3:102">
      <c r="C113" t="str">
        <f t="shared" si="151"/>
        <v>MET</v>
      </c>
      <c r="D113" t="str">
        <f t="shared" si="150"/>
        <v>TRB</v>
      </c>
      <c r="E113" t="s">
        <v>107</v>
      </c>
      <c r="F113" s="1">
        <v>7.1999999999999995E-2</v>
      </c>
      <c r="G113" s="1">
        <v>8.1000000000000003E-2</v>
      </c>
      <c r="H113" s="1">
        <v>8.1000000000000003E-2</v>
      </c>
      <c r="I113" s="1">
        <v>8.1000000000000003E-2</v>
      </c>
      <c r="J113" s="1">
        <v>8.1000000000000003E-2</v>
      </c>
      <c r="K113" s="1">
        <v>8.1000000000000003E-2</v>
      </c>
      <c r="L113" s="1">
        <v>8.1000000000000003E-2</v>
      </c>
      <c r="M113" s="1">
        <v>8.1000000000000003E-2</v>
      </c>
      <c r="N113" s="1">
        <v>8.1000000000000003E-2</v>
      </c>
      <c r="O113" s="1">
        <v>8.1000000000000003E-2</v>
      </c>
      <c r="P113" s="1">
        <v>8.1000000000000003E-2</v>
      </c>
      <c r="Q113" s="1">
        <v>8.1000000000000003E-2</v>
      </c>
      <c r="R113" s="1">
        <v>8.1000000000000003E-2</v>
      </c>
      <c r="S113" s="1">
        <v>8.1000000000000003E-2</v>
      </c>
      <c r="T113" s="1">
        <v>8.1000000000000003E-2</v>
      </c>
      <c r="U113" s="1">
        <v>8.1000000000000003E-2</v>
      </c>
      <c r="V113" s="1">
        <v>8.1000000000000003E-2</v>
      </c>
      <c r="W113" s="1">
        <v>8.1000000000000003E-2</v>
      </c>
      <c r="X113" s="1">
        <v>8.1000000000000003E-2</v>
      </c>
      <c r="Y113" s="1">
        <v>8.1000000000000003E-2</v>
      </c>
      <c r="Z113" s="1">
        <v>8.1000000000000003E-2</v>
      </c>
      <c r="AA113" s="1">
        <v>8.1000000000000003E-2</v>
      </c>
      <c r="AB113" s="1">
        <v>8.1000000000000003E-2</v>
      </c>
      <c r="AC113" s="1">
        <v>8.1000000000000003E-2</v>
      </c>
      <c r="AD113" s="1">
        <v>8.1000000000000003E-2</v>
      </c>
      <c r="AE113" s="1">
        <v>8.1000000000000003E-2</v>
      </c>
      <c r="AF113" s="1">
        <v>8.1000000000000003E-2</v>
      </c>
      <c r="AG113" s="1">
        <v>8.1000000000000003E-2</v>
      </c>
      <c r="AH113" s="1">
        <v>8.1000000000000003E-2</v>
      </c>
      <c r="AI113" s="1">
        <v>8.1000000000000003E-2</v>
      </c>
      <c r="AJ113" s="1">
        <v>8.1000000000000003E-2</v>
      </c>
      <c r="AK113" s="1">
        <v>8.1000000000000003E-2</v>
      </c>
      <c r="AL113" s="1">
        <v>8.1000000000000003E-2</v>
      </c>
      <c r="AM113" s="1">
        <v>8.1000000000000003E-2</v>
      </c>
      <c r="AN113" s="1">
        <v>8.1000000000000003E-2</v>
      </c>
      <c r="AO113" s="1">
        <v>8.1000000000000003E-2</v>
      </c>
      <c r="AP113" s="1">
        <v>8.1000000000000003E-2</v>
      </c>
      <c r="AQ113" s="1">
        <v>8.1000000000000003E-2</v>
      </c>
      <c r="AR113" s="1">
        <v>8.1000000000000003E-2</v>
      </c>
      <c r="AS113" s="1">
        <v>8.1000000000000003E-2</v>
      </c>
      <c r="AT113" s="1">
        <v>8.1000000000000003E-2</v>
      </c>
      <c r="AU113" s="1">
        <v>8.1000000000000003E-2</v>
      </c>
      <c r="AV113" s="1">
        <v>8.1000000000000003E-2</v>
      </c>
      <c r="AW113" s="1">
        <v>8.1000000000000003E-2</v>
      </c>
      <c r="AX113" s="1">
        <v>8.1000000000000003E-2</v>
      </c>
      <c r="AY113" s="1">
        <v>8.1000000000000003E-2</v>
      </c>
      <c r="AZ113" s="1">
        <v>8.1000000000000003E-2</v>
      </c>
      <c r="BA113" s="1">
        <v>8.1000000000000003E-2</v>
      </c>
      <c r="BB113" s="27" t="s">
        <v>20</v>
      </c>
      <c r="BC113" s="27" t="s">
        <v>43</v>
      </c>
      <c r="BD113" s="34">
        <f>IFERROR(ABS(SUMIFS('TRA balance'!E$5:E$40,'TRA balance'!$C$5:$C$40,Assumptions!$BB113,'TRA balance'!$D$5:$D$40,Assumptions!$BC113)),"")</f>
        <v>28.892667186000001</v>
      </c>
      <c r="BE113" s="34">
        <f>IFERROR(ABS(SUMIFS('TRA balance'!F$5:F$40,'TRA balance'!$C$5:$C$40,Assumptions!$BB113,'TRA balance'!$D$5:$D$40,Assumptions!$BC113)),"")</f>
        <v>22.6259235612</v>
      </c>
      <c r="BF113" s="34">
        <f>IFERROR(ABS(SUMIFS('TRA balance'!G$5:G$40,'TRA balance'!$C$5:$C$40,Assumptions!$BB113,'TRA balance'!$D$5:$D$40,Assumptions!$BC113)),"")</f>
        <v>123.7186965204</v>
      </c>
      <c r="BG113" s="34">
        <f>IFERROR(ABS(SUMIFS('TRA balance'!H$5:H$40,'TRA balance'!$C$5:$C$40,Assumptions!$BB113,'TRA balance'!$D$5:$D$40,Assumptions!$BC113)),"")</f>
        <v>1.3079814407999999</v>
      </c>
      <c r="BH113" s="34">
        <f>IFERROR(ABS(SUMIFS('TRA balance'!I$5:I$40,'TRA balance'!$C$5:$C$40,Assumptions!$BB113,'TRA balance'!$D$5:$D$40,Assumptions!$BC113)),"")</f>
        <v>8.8663863600000004E-2</v>
      </c>
      <c r="BI113" s="34">
        <f>IFERROR(ABS(SUMIFS('TRA balance'!J$5:J$40,'TRA balance'!$C$5:$C$40,Assumptions!$BB113,'TRA balance'!$D$5:$D$40,Assumptions!$BC113)),"")</f>
        <v>0.55253199600000003</v>
      </c>
      <c r="BJ113" s="34">
        <f>IFERROR(ABS(SUMIFS('TRA balance'!K$5:K$40,'TRA balance'!$C$5:$C$40,Assumptions!$BB113,'TRA balance'!$D$5:$D$40,Assumptions!$BC113)),"")</f>
        <v>140.16918637800001</v>
      </c>
      <c r="BK113" s="34">
        <f>IFERROR(ABS(SUMIFS('TRA balance'!L$5:L$40,'TRA balance'!$C$5:$C$40,Assumptions!$BB113,'TRA balance'!$D$5:$D$40,Assumptions!$BC113)),"")</f>
        <v>1141.7510237796</v>
      </c>
      <c r="BL113" s="34">
        <f>IFERROR(ABS(SUMIFS('TRA balance'!M$5:M$40,'TRA balance'!$C$5:$C$40,Assumptions!$BB113,'TRA balance'!$D$5:$D$40,Assumptions!$BC113)),"")</f>
        <v>0.469675224</v>
      </c>
      <c r="BM113" s="34">
        <f>IFERROR(ABS(SUMIFS('TRA balance'!N$5:N$40,'TRA balance'!$C$5:$C$40,Assumptions!$BB113,'TRA balance'!$D$5:$D$40,Assumptions!$BC113)),"")</f>
        <v>1.9810011672000001</v>
      </c>
      <c r="BN113" s="34">
        <f>IFERROR(ABS(SUMIFS('TRA balance'!O$5:O$40,'TRA balance'!$C$5:$C$40,Assumptions!$BB113,'TRA balance'!$D$5:$D$40,Assumptions!$BC113)),"")</f>
        <v>67.799230502399993</v>
      </c>
      <c r="BO113" s="34">
        <f>IFERROR(ABS(SUMIFS('TRA balance'!P$5:P$40,'TRA balance'!$C$5:$C$40,Assumptions!$BB113,'TRA balance'!$D$5:$D$40,Assumptions!$BC113)),"")</f>
        <v>30.753000590399999</v>
      </c>
      <c r="BP113" s="34">
        <f>IFERROR(ABS(SUMIFS('TRA balance'!Q$5:Q$40,'TRA balance'!$C$5:$C$40,Assumptions!$BB113,'TRA balance'!$D$5:$D$40,Assumptions!$BC113)),"")</f>
        <v>9.4633277436000007</v>
      </c>
      <c r="BQ113" s="34">
        <f>IFERROR(ABS(SUMIFS('TRA balance'!R$5:R$40,'TRA balance'!$C$5:$C$40,Assumptions!$BB113,'TRA balance'!$D$5:$D$40,Assumptions!$BC113)),"")</f>
        <v>3.19829652</v>
      </c>
      <c r="BR113" s="34">
        <f>IFERROR(ABS(SUMIFS('TRA balance'!S$5:S$40,'TRA balance'!$C$5:$C$40,Assumptions!$BB113,'TRA balance'!$D$5:$D$40,Assumptions!$BC113)),"")</f>
        <v>0.37972601280000001</v>
      </c>
      <c r="BS113" s="34">
        <f>IFERROR(ABS(SUMIFS('TRA balance'!T$5:T$40,'TRA balance'!$C$5:$C$40,Assumptions!$BB113,'TRA balance'!$D$5:$D$40,Assumptions!$BC113)),"")</f>
        <v>179.28629130600001</v>
      </c>
      <c r="BT113" s="34">
        <f>IFERROR(ABS(SUMIFS('TRA balance'!U$5:U$40,'TRA balance'!$C$5:$C$40,Assumptions!$BB113,'TRA balance'!$D$5:$D$40,Assumptions!$BC113)),"")</f>
        <v>0.2140962048</v>
      </c>
      <c r="BU113" s="34">
        <f>IFERROR(ABS(SUMIFS('TRA balance'!V$5:V$40,'TRA balance'!$C$5:$C$40,Assumptions!$BB113,'TRA balance'!$D$5:$D$40,Assumptions!$BC113)),"")</f>
        <v>37.9845252864</v>
      </c>
      <c r="BV113" s="34">
        <f>IFERROR(ABS(SUMIFS('TRA balance'!W$5:W$40,'TRA balance'!$C$5:$C$40,Assumptions!$BB113,'TRA balance'!$D$5:$D$40,Assumptions!$BC113)),"")</f>
        <v>147.59976829319999</v>
      </c>
      <c r="BW113" s="34">
        <f>IFERROR(ABS(SUMIFS('TRA balance'!X$5:X$40,'TRA balance'!$C$5:$C$40,Assumptions!$BB113,'TRA balance'!$D$5:$D$40,Assumptions!$BC113)),"")</f>
        <v>89.066462101200003</v>
      </c>
      <c r="BX113" s="34">
        <f>IFERROR(ABS(SUMIFS('TRA balance'!Y$5:Y$40,'TRA balance'!$C$5:$C$40,Assumptions!$BB113,'TRA balance'!$D$5:$D$40,Assumptions!$BC113)),"")</f>
        <v>60.200674171199999</v>
      </c>
      <c r="BY113" s="34">
        <f>IFERROR(ABS(SUMIFS('TRA balance'!Z$5:Z$40,'TRA balance'!$C$5:$C$40,Assumptions!$BB113,'TRA balance'!$D$5:$D$40,Assumptions!$BC113)),"")</f>
        <v>2814.8464867644002</v>
      </c>
      <c r="BZ113" s="34">
        <f>IFERROR(ABS(SUMIFS('TRA balance'!AA$5:AA$40,'TRA balance'!$C$5:$C$40,Assumptions!$BB113,'TRA balance'!$D$5:$D$40,Assumptions!$BC113)),"")</f>
        <v>14.700114381600001</v>
      </c>
      <c r="CA113" s="34">
        <f>IFERROR(ABS(SUMIFS('TRA balance'!AB$5:AB$40,'TRA balance'!$C$5:$C$40,Assumptions!$BB113,'TRA balance'!$D$5:$D$40,Assumptions!$BC113)),"")</f>
        <v>1.416206034</v>
      </c>
      <c r="CB113" s="34">
        <f>IFERROR(ABS(SUMIFS('TRA balance'!AC$5:AC$40,'TRA balance'!$C$5:$C$40,Assumptions!$BB113,'TRA balance'!$D$5:$D$40,Assumptions!$BC113)),"")</f>
        <v>364.07691414359999</v>
      </c>
      <c r="CC113" s="34">
        <f>IFERROR(ABS(SUMIFS('TRA balance'!AD$5:AD$40,'TRA balance'!$C$5:$C$40,Assumptions!$BB113,'TRA balance'!$D$5:$D$40,Assumptions!$BC113)),"")</f>
        <v>245.79019706400001</v>
      </c>
      <c r="CD113" s="34">
        <f>IFERROR(ABS(SUMIFS('TRA balance'!AE$5:AE$40,'TRA balance'!$C$5:$C$40,Assumptions!$BB113,'TRA balance'!$D$5:$D$40,Assumptions!$BC113)),"")</f>
        <v>40.847534488800001</v>
      </c>
      <c r="CE113" s="34">
        <f>IFERROR(ABS(SUMIFS('TRA balance'!AF$5:AF$40,'TRA balance'!$C$5:$C$40,Assumptions!$BB113,'TRA balance'!$D$5:$D$40,Assumptions!$BC113)),"")</f>
        <v>51.997133613599999</v>
      </c>
      <c r="CF113" s="34">
        <f>IFERROR(ABS(SUMIFS('TRA balance'!AG$5:AG$40,'TRA balance'!$C$5:$C$40,Assumptions!$BB113,'TRA balance'!$D$5:$D$40,Assumptions!$BC113)),"")</f>
        <v>104.06784605039999</v>
      </c>
      <c r="CG113" s="34">
        <f>IFERROR(ABS(SUMIFS('TRA balance'!AH$5:AH$40,'TRA balance'!$C$5:$C$40,Assumptions!$BB113,'TRA balance'!$D$5:$D$40,Assumptions!$BC113)),"")</f>
        <v>10.7713468656</v>
      </c>
      <c r="CH113" s="34">
        <f>IFERROR(ABS(SUMIFS('TRA balance'!AI$5:AI$40,'TRA balance'!$C$5:$C$40,Assumptions!$BB113,'TRA balance'!$D$5:$D$40,Assumptions!$BC113)),"")</f>
        <v>2.769819408</v>
      </c>
      <c r="CI113" s="34">
        <f>IFERROR(ABS(SUMIFS('TRA balance'!AJ$5:AJ$40,'TRA balance'!$C$5:$C$40,Assumptions!$BB113,'TRA balance'!$D$5:$D$40,Assumptions!$BC113)),"")</f>
        <v>50.438999246400002</v>
      </c>
      <c r="CJ113" s="34">
        <f>IFERROR(ABS(SUMIFS('TRA balance'!AK$5:AK$40,'TRA balance'!$C$5:$C$40,Assumptions!$BB113,'TRA balance'!$D$5:$D$40,Assumptions!$BC113)),"")</f>
        <v>37.125494409600002</v>
      </c>
      <c r="CK113" s="34">
        <f>IFERROR(ABS(SUMIFS('TRA balance'!AL$5:AL$40,'TRA balance'!$C$5:$C$40,Assumptions!$BB113,'TRA balance'!$D$5:$D$40,Assumptions!$BC113)),"")</f>
        <v>0</v>
      </c>
      <c r="CL113" s="34">
        <f>IFERROR(ABS(SUMIFS('TRA balance'!AM$5:AM$40,'TRA balance'!$C$5:$C$40,Assumptions!$BB113,'TRA balance'!$D$5:$D$40,Assumptions!$BC113)),"")</f>
        <v>0</v>
      </c>
      <c r="CM113" s="34">
        <f>IFERROR(ABS(SUMIFS('TRA balance'!AN$5:AN$40,'TRA balance'!$C$5:$C$40,Assumptions!$BB113,'TRA balance'!$D$5:$D$40,Assumptions!$BC113)),"")</f>
        <v>0</v>
      </c>
      <c r="CN113" s="34">
        <f>IFERROR(ABS(SUMIFS('TRA balance'!AO$5:AO$40,'TRA balance'!$C$5:$C$40,Assumptions!$BB113,'TRA balance'!$D$5:$D$40,Assumptions!$BC113)),"")</f>
        <v>0</v>
      </c>
      <c r="CO113" s="34">
        <f>IFERROR(ABS(SUMIFS('TRA balance'!AP$5:AP$40,'TRA balance'!$C$5:$C$40,Assumptions!$BB113,'TRA balance'!$D$5:$D$40,Assumptions!$BC113)),"")</f>
        <v>0</v>
      </c>
      <c r="CP113" s="34">
        <f>IFERROR(ABS(SUMIFS('TRA balance'!AQ$5:AQ$40,'TRA balance'!$C$5:$C$40,Assumptions!$BB113,'TRA balance'!$D$5:$D$40,Assumptions!$BC113)),"")</f>
        <v>0</v>
      </c>
      <c r="CQ113" s="34">
        <f>IFERROR(ABS(SUMIFS('TRA balance'!AR$5:AR$40,'TRA balance'!$C$5:$C$40,Assumptions!$BB113,'TRA balance'!$D$5:$D$40,Assumptions!$BC113)),"")</f>
        <v>0</v>
      </c>
      <c r="CR113" s="34">
        <f>IFERROR(ABS(SUMIFS('TRA balance'!AS$5:AS$40,'TRA balance'!$C$5:$C$40,Assumptions!$BB113,'TRA balance'!$D$5:$D$40,Assumptions!$BC113)),"")</f>
        <v>0</v>
      </c>
      <c r="CS113" s="34">
        <f>IFERROR(ABS(SUMIFS('TRA balance'!AT$5:AT$40,'TRA balance'!$C$5:$C$40,Assumptions!$BB113,'TRA balance'!$D$5:$D$40,Assumptions!$BC113)),"")</f>
        <v>0</v>
      </c>
      <c r="CT113" s="34">
        <f>IFERROR(ABS(SUMIFS('TRA balance'!AU$5:AU$40,'TRA balance'!$C$5:$C$40,Assumptions!$BB113,'TRA balance'!$D$5:$D$40,Assumptions!$BC113)),"")</f>
        <v>0</v>
      </c>
      <c r="CU113" s="34">
        <f>IFERROR(ABS(SUMIFS('TRA balance'!AV$5:AV$40,'TRA balance'!$C$5:$C$40,Assumptions!$BB113,'TRA balance'!$D$5:$D$40,Assumptions!$BC113)),"")</f>
        <v>0</v>
      </c>
      <c r="CV113" s="34">
        <f>IFERROR(ABS(SUMIFS('TRA balance'!AW$5:AW$40,'TRA balance'!$C$5:$C$40,Assumptions!$BB113,'TRA balance'!$D$5:$D$40,Assumptions!$BC113)),"")</f>
        <v>0</v>
      </c>
      <c r="CW113" s="34">
        <f>IFERROR(ABS(SUMIFS('TRA balance'!AX$5:AX$40,'TRA balance'!$C$5:$C$40,Assumptions!$BB113,'TRA balance'!$D$5:$D$40,Assumptions!$BC113)),"")</f>
        <v>0</v>
      </c>
      <c r="CX113" s="27"/>
    </row>
    <row r="114" spans="3:102">
      <c r="C114" t="str">
        <f t="shared" si="151"/>
        <v>NGA</v>
      </c>
      <c r="D114" t="str">
        <f t="shared" si="150"/>
        <v>TRB</v>
      </c>
      <c r="E114" t="s">
        <v>108</v>
      </c>
      <c r="F114" s="1">
        <v>7.1999999999999995E-2</v>
      </c>
      <c r="G114" s="1">
        <v>8.1000000000000003E-2</v>
      </c>
      <c r="H114" s="1">
        <v>8.1000000000000003E-2</v>
      </c>
      <c r="I114" s="1">
        <v>8.1000000000000003E-2</v>
      </c>
      <c r="J114" s="1">
        <v>8.1000000000000003E-2</v>
      </c>
      <c r="K114" s="1">
        <v>8.1000000000000003E-2</v>
      </c>
      <c r="L114" s="1">
        <v>8.1000000000000003E-2</v>
      </c>
      <c r="M114" s="1">
        <v>8.1000000000000003E-2</v>
      </c>
      <c r="N114" s="1">
        <v>8.1000000000000003E-2</v>
      </c>
      <c r="O114" s="1">
        <v>8.1000000000000003E-2</v>
      </c>
      <c r="P114" s="1">
        <v>8.1000000000000003E-2</v>
      </c>
      <c r="Q114" s="1">
        <v>8.1000000000000003E-2</v>
      </c>
      <c r="R114" s="1">
        <v>8.1000000000000003E-2</v>
      </c>
      <c r="S114" s="1">
        <v>8.1000000000000003E-2</v>
      </c>
      <c r="T114" s="1">
        <v>8.1000000000000003E-2</v>
      </c>
      <c r="U114" s="1">
        <v>8.1000000000000003E-2</v>
      </c>
      <c r="V114" s="1">
        <v>8.1000000000000003E-2</v>
      </c>
      <c r="W114" s="1">
        <v>8.1000000000000003E-2</v>
      </c>
      <c r="X114" s="1">
        <v>8.1000000000000003E-2</v>
      </c>
      <c r="Y114" s="1">
        <v>8.1000000000000003E-2</v>
      </c>
      <c r="Z114" s="1">
        <v>8.1000000000000003E-2</v>
      </c>
      <c r="AA114" s="1">
        <v>8.1000000000000003E-2</v>
      </c>
      <c r="AB114" s="1">
        <v>8.1000000000000003E-2</v>
      </c>
      <c r="AC114" s="1">
        <v>8.1000000000000003E-2</v>
      </c>
      <c r="AD114" s="1">
        <v>8.1000000000000003E-2</v>
      </c>
      <c r="AE114" s="1">
        <v>8.1000000000000003E-2</v>
      </c>
      <c r="AF114" s="1">
        <v>8.1000000000000003E-2</v>
      </c>
      <c r="AG114" s="1">
        <v>8.1000000000000003E-2</v>
      </c>
      <c r="AH114" s="1">
        <v>8.1000000000000003E-2</v>
      </c>
      <c r="AI114" s="1">
        <v>8.1000000000000003E-2</v>
      </c>
      <c r="AJ114" s="1">
        <v>8.1000000000000003E-2</v>
      </c>
      <c r="AK114" s="1">
        <v>8.1000000000000003E-2</v>
      </c>
      <c r="AL114" s="1">
        <v>8.1000000000000003E-2</v>
      </c>
      <c r="AM114" s="1">
        <v>8.1000000000000003E-2</v>
      </c>
      <c r="AN114" s="1">
        <v>8.1000000000000003E-2</v>
      </c>
      <c r="AO114" s="1">
        <v>8.1000000000000003E-2</v>
      </c>
      <c r="AP114" s="1">
        <v>8.1000000000000003E-2</v>
      </c>
      <c r="AQ114" s="1">
        <v>8.1000000000000003E-2</v>
      </c>
      <c r="AR114" s="1">
        <v>8.1000000000000003E-2</v>
      </c>
      <c r="AS114" s="1">
        <v>8.1000000000000003E-2</v>
      </c>
      <c r="AT114" s="1">
        <v>8.1000000000000003E-2</v>
      </c>
      <c r="AU114" s="1">
        <v>8.1000000000000003E-2</v>
      </c>
      <c r="AV114" s="1">
        <v>8.1000000000000003E-2</v>
      </c>
      <c r="AW114" s="1">
        <v>8.1000000000000003E-2</v>
      </c>
      <c r="AX114" s="1">
        <v>8.1000000000000003E-2</v>
      </c>
      <c r="AY114" s="1">
        <v>8.1000000000000003E-2</v>
      </c>
      <c r="AZ114" s="1">
        <v>8.1000000000000003E-2</v>
      </c>
      <c r="BA114" s="1">
        <v>8.1000000000000003E-2</v>
      </c>
      <c r="BB114" s="27" t="s">
        <v>21</v>
      </c>
      <c r="BC114" s="27" t="s">
        <v>32</v>
      </c>
      <c r="BD114" s="34">
        <f>IFERROR(ABS(SUMIFS('TRA balance'!E$5:E$40,'TRA balance'!$C$5:$C$40,Assumptions!$BB114,'TRA balance'!$D$5:$D$40,Assumptions!$BC114)),"")</f>
        <v>0</v>
      </c>
      <c r="BE114" s="34">
        <f>IFERROR(ABS(SUMIFS('TRA balance'!F$5:F$40,'TRA balance'!$C$5:$C$40,Assumptions!$BB114,'TRA balance'!$D$5:$D$40,Assumptions!$BC114)),"")</f>
        <v>0</v>
      </c>
      <c r="BF114" s="34">
        <f>IFERROR(ABS(SUMIFS('TRA balance'!G$5:G$40,'TRA balance'!$C$5:$C$40,Assumptions!$BB114,'TRA balance'!$D$5:$D$40,Assumptions!$BC114)),"")</f>
        <v>0</v>
      </c>
      <c r="BG114" s="34">
        <f>IFERROR(ABS(SUMIFS('TRA balance'!H$5:H$40,'TRA balance'!$C$5:$C$40,Assumptions!$BB114,'TRA balance'!$D$5:$D$40,Assumptions!$BC114)),"")</f>
        <v>0</v>
      </c>
      <c r="BH114" s="34">
        <f>IFERROR(ABS(SUMIFS('TRA balance'!I$5:I$40,'TRA balance'!$C$5:$C$40,Assumptions!$BB114,'TRA balance'!$D$5:$D$40,Assumptions!$BC114)),"")</f>
        <v>0</v>
      </c>
      <c r="BI114" s="34">
        <f>IFERROR(ABS(SUMIFS('TRA balance'!J$5:J$40,'TRA balance'!$C$5:$C$40,Assumptions!$BB114,'TRA balance'!$D$5:$D$40,Assumptions!$BC114)),"")</f>
        <v>0.1182477924</v>
      </c>
      <c r="BJ114" s="34">
        <f>IFERROR(ABS(SUMIFS('TRA balance'!K$5:K$40,'TRA balance'!$C$5:$C$40,Assumptions!$BB114,'TRA balance'!$D$5:$D$40,Assumptions!$BC114)),"")</f>
        <v>0</v>
      </c>
      <c r="BK114" s="34">
        <f>IFERROR(ABS(SUMIFS('TRA balance'!L$5:L$40,'TRA balance'!$C$5:$C$40,Assumptions!$BB114,'TRA balance'!$D$5:$D$40,Assumptions!$BC114)),"")</f>
        <v>0</v>
      </c>
      <c r="BL114" s="34">
        <f>IFERROR(ABS(SUMIFS('TRA balance'!M$5:M$40,'TRA balance'!$C$5:$C$40,Assumptions!$BB114,'TRA balance'!$D$5:$D$40,Assumptions!$BC114)),"")</f>
        <v>0</v>
      </c>
      <c r="BM114" s="34">
        <f>IFERROR(ABS(SUMIFS('TRA balance'!N$5:N$40,'TRA balance'!$C$5:$C$40,Assumptions!$BB114,'TRA balance'!$D$5:$D$40,Assumptions!$BC114)),"")</f>
        <v>0</v>
      </c>
      <c r="BN114" s="34">
        <f>IFERROR(ABS(SUMIFS('TRA balance'!O$5:O$40,'TRA balance'!$C$5:$C$40,Assumptions!$BB114,'TRA balance'!$D$5:$D$40,Assumptions!$BC114)),"")</f>
        <v>0.17838280079999999</v>
      </c>
      <c r="BO114" s="34">
        <f>IFERROR(ABS(SUMIFS('TRA balance'!P$5:P$40,'TRA balance'!$C$5:$C$40,Assumptions!$BB114,'TRA balance'!$D$5:$D$40,Assumptions!$BC114)),"")</f>
        <v>0</v>
      </c>
      <c r="BP114" s="34">
        <f>IFERROR(ABS(SUMIFS('TRA balance'!Q$5:Q$40,'TRA balance'!$C$5:$C$40,Assumptions!$BB114,'TRA balance'!$D$5:$D$40,Assumptions!$BC114)),"")</f>
        <v>1.6964913599999999E-2</v>
      </c>
      <c r="BQ114" s="34">
        <f>IFERROR(ABS(SUMIFS('TRA balance'!R$5:R$40,'TRA balance'!$C$5:$C$40,Assumptions!$BB114,'TRA balance'!$D$5:$D$40,Assumptions!$BC114)),"")</f>
        <v>0</v>
      </c>
      <c r="BR114" s="34">
        <f>IFERROR(ABS(SUMIFS('TRA balance'!S$5:S$40,'TRA balance'!$C$5:$C$40,Assumptions!$BB114,'TRA balance'!$D$5:$D$40,Assumptions!$BC114)),"")</f>
        <v>4.1868E-5</v>
      </c>
      <c r="BS114" s="34">
        <f>IFERROR(ABS(SUMIFS('TRA balance'!T$5:T$40,'TRA balance'!$C$5:$C$40,Assumptions!$BB114,'TRA balance'!$D$5:$D$40,Assumptions!$BC114)),"")</f>
        <v>0</v>
      </c>
      <c r="BT114" s="34">
        <f>IFERROR(ABS(SUMIFS('TRA balance'!U$5:U$40,'TRA balance'!$C$5:$C$40,Assumptions!$BB114,'TRA balance'!$D$5:$D$40,Assumptions!$BC114)),"")</f>
        <v>0</v>
      </c>
      <c r="BU114" s="34">
        <f>IFERROR(ABS(SUMIFS('TRA balance'!V$5:V$40,'TRA balance'!$C$5:$C$40,Assumptions!$BB114,'TRA balance'!$D$5:$D$40,Assumptions!$BC114)),"")</f>
        <v>0</v>
      </c>
      <c r="BV114" s="34">
        <f>IFERROR(ABS(SUMIFS('TRA balance'!W$5:W$40,'TRA balance'!$C$5:$C$40,Assumptions!$BB114,'TRA balance'!$D$5:$D$40,Assumptions!$BC114)),"")</f>
        <v>0</v>
      </c>
      <c r="BW114" s="34">
        <f>IFERROR(ABS(SUMIFS('TRA balance'!X$5:X$40,'TRA balance'!$C$5:$C$40,Assumptions!$BB114,'TRA balance'!$D$5:$D$40,Assumptions!$BC114)),"")</f>
        <v>0</v>
      </c>
      <c r="BX114" s="34">
        <f>IFERROR(ABS(SUMIFS('TRA balance'!Y$5:Y$40,'TRA balance'!$C$5:$C$40,Assumptions!$BB114,'TRA balance'!$D$5:$D$40,Assumptions!$BC114)),"")</f>
        <v>0</v>
      </c>
      <c r="BY114" s="34">
        <f>IFERROR(ABS(SUMIFS('TRA balance'!Z$5:Z$40,'TRA balance'!$C$5:$C$40,Assumptions!$BB114,'TRA balance'!$D$5:$D$40,Assumptions!$BC114)),"")</f>
        <v>4.5131526863999998</v>
      </c>
      <c r="BZ114" s="34">
        <f>IFERROR(ABS(SUMIFS('TRA balance'!AA$5:AA$40,'TRA balance'!$C$5:$C$40,Assumptions!$BB114,'TRA balance'!$D$5:$D$40,Assumptions!$BC114)),"")</f>
        <v>0</v>
      </c>
      <c r="CA114" s="34">
        <f>IFERROR(ABS(SUMIFS('TRA balance'!AB$5:AB$40,'TRA balance'!$C$5:$C$40,Assumptions!$BB114,'TRA balance'!$D$5:$D$40,Assumptions!$BC114)),"")</f>
        <v>0</v>
      </c>
      <c r="CB114" s="34">
        <f>IFERROR(ABS(SUMIFS('TRA balance'!AC$5:AC$40,'TRA balance'!$C$5:$C$40,Assumptions!$BB114,'TRA balance'!$D$5:$D$40,Assumptions!$BC114)),"")</f>
        <v>0.25656291720000002</v>
      </c>
      <c r="CC114" s="34">
        <f>IFERROR(ABS(SUMIFS('TRA balance'!AD$5:AD$40,'TRA balance'!$C$5:$C$40,Assumptions!$BB114,'TRA balance'!$D$5:$D$40,Assumptions!$BC114)),"")</f>
        <v>0</v>
      </c>
      <c r="CD114" s="34">
        <f>IFERROR(ABS(SUMIFS('TRA balance'!AE$5:AE$40,'TRA balance'!$C$5:$C$40,Assumptions!$BB114,'TRA balance'!$D$5:$D$40,Assumptions!$BC114)),"")</f>
        <v>0</v>
      </c>
      <c r="CE114" s="34">
        <f>IFERROR(ABS(SUMIFS('TRA balance'!AF$5:AF$40,'TRA balance'!$C$5:$C$40,Assumptions!$BB114,'TRA balance'!$D$5:$D$40,Assumptions!$BC114)),"")</f>
        <v>0</v>
      </c>
      <c r="CF114" s="34">
        <f>IFERROR(ABS(SUMIFS('TRA balance'!AG$5:AG$40,'TRA balance'!$C$5:$C$40,Assumptions!$BB114,'TRA balance'!$D$5:$D$40,Assumptions!$BC114)),"")</f>
        <v>0.1059637212</v>
      </c>
      <c r="CG114" s="34">
        <f>IFERROR(ABS(SUMIFS('TRA balance'!AH$5:AH$40,'TRA balance'!$C$5:$C$40,Assumptions!$BB114,'TRA balance'!$D$5:$D$40,Assumptions!$BC114)),"")</f>
        <v>0.16820468999999999</v>
      </c>
      <c r="CH114" s="34">
        <f>IFERROR(ABS(SUMIFS('TRA balance'!AI$5:AI$40,'TRA balance'!$C$5:$C$40,Assumptions!$BB114,'TRA balance'!$D$5:$D$40,Assumptions!$BC114)),"")</f>
        <v>2.8968469199999999E-2</v>
      </c>
      <c r="CI114" s="34">
        <f>IFERROR(ABS(SUMIFS('TRA balance'!AJ$5:AJ$40,'TRA balance'!$C$5:$C$40,Assumptions!$BB114,'TRA balance'!$D$5:$D$40,Assumptions!$BC114)),"")</f>
        <v>0</v>
      </c>
      <c r="CJ114" s="34">
        <f>IFERROR(ABS(SUMIFS('TRA balance'!AK$5:AK$40,'TRA balance'!$C$5:$C$40,Assumptions!$BB114,'TRA balance'!$D$5:$D$40,Assumptions!$BC114)),"")</f>
        <v>0</v>
      </c>
      <c r="CK114" s="34">
        <f>IFERROR(ABS(SUMIFS('TRA balance'!AL$5:AL$40,'TRA balance'!$C$5:$C$40,Assumptions!$BB114,'TRA balance'!$D$5:$D$40,Assumptions!$BC114)),"")</f>
        <v>0</v>
      </c>
      <c r="CL114" s="34">
        <f>IFERROR(ABS(SUMIFS('TRA balance'!AM$5:AM$40,'TRA balance'!$C$5:$C$40,Assumptions!$BB114,'TRA balance'!$D$5:$D$40,Assumptions!$BC114)),"")</f>
        <v>0</v>
      </c>
      <c r="CM114" s="34">
        <f>IFERROR(ABS(SUMIFS('TRA balance'!AN$5:AN$40,'TRA balance'!$C$5:$C$40,Assumptions!$BB114,'TRA balance'!$D$5:$D$40,Assumptions!$BC114)),"")</f>
        <v>0</v>
      </c>
      <c r="CN114" s="34">
        <f>IFERROR(ABS(SUMIFS('TRA balance'!AO$5:AO$40,'TRA balance'!$C$5:$C$40,Assumptions!$BB114,'TRA balance'!$D$5:$D$40,Assumptions!$BC114)),"")</f>
        <v>0</v>
      </c>
      <c r="CO114" s="34">
        <f>IFERROR(ABS(SUMIFS('TRA balance'!AP$5:AP$40,'TRA balance'!$C$5:$C$40,Assumptions!$BB114,'TRA balance'!$D$5:$D$40,Assumptions!$BC114)),"")</f>
        <v>0</v>
      </c>
      <c r="CP114" s="34">
        <f>IFERROR(ABS(SUMIFS('TRA balance'!AQ$5:AQ$40,'TRA balance'!$C$5:$C$40,Assumptions!$BB114,'TRA balance'!$D$5:$D$40,Assumptions!$BC114)),"")</f>
        <v>0</v>
      </c>
      <c r="CQ114" s="34">
        <f>IFERROR(ABS(SUMIFS('TRA balance'!AR$5:AR$40,'TRA balance'!$C$5:$C$40,Assumptions!$BB114,'TRA balance'!$D$5:$D$40,Assumptions!$BC114)),"")</f>
        <v>0</v>
      </c>
      <c r="CR114" s="34">
        <f>IFERROR(ABS(SUMIFS('TRA balance'!AS$5:AS$40,'TRA balance'!$C$5:$C$40,Assumptions!$BB114,'TRA balance'!$D$5:$D$40,Assumptions!$BC114)),"")</f>
        <v>0</v>
      </c>
      <c r="CS114" s="34">
        <f>IFERROR(ABS(SUMIFS('TRA balance'!AT$5:AT$40,'TRA balance'!$C$5:$C$40,Assumptions!$BB114,'TRA balance'!$D$5:$D$40,Assumptions!$BC114)),"")</f>
        <v>0</v>
      </c>
      <c r="CT114" s="34">
        <f>IFERROR(ABS(SUMIFS('TRA balance'!AU$5:AU$40,'TRA balance'!$C$5:$C$40,Assumptions!$BB114,'TRA balance'!$D$5:$D$40,Assumptions!$BC114)),"")</f>
        <v>0</v>
      </c>
      <c r="CU114" s="34">
        <f>IFERROR(ABS(SUMIFS('TRA balance'!AV$5:AV$40,'TRA balance'!$C$5:$C$40,Assumptions!$BB114,'TRA balance'!$D$5:$D$40,Assumptions!$BC114)),"")</f>
        <v>0</v>
      </c>
      <c r="CV114" s="34">
        <f>IFERROR(ABS(SUMIFS('TRA balance'!AW$5:AW$40,'TRA balance'!$C$5:$C$40,Assumptions!$BB114,'TRA balance'!$D$5:$D$40,Assumptions!$BC114)),"")</f>
        <v>0</v>
      </c>
      <c r="CW114" s="34">
        <f>IFERROR(ABS(SUMIFS('TRA balance'!AX$5:AX$40,'TRA balance'!$C$5:$C$40,Assumptions!$BB114,'TRA balance'!$D$5:$D$40,Assumptions!$BC114)),"")</f>
        <v>0</v>
      </c>
      <c r="CX114" s="27"/>
    </row>
    <row r="115" spans="3:102">
      <c r="C115" t="str">
        <f t="shared" si="151"/>
        <v>DST</v>
      </c>
      <c r="D115" t="str">
        <f t="shared" si="150"/>
        <v>TRC</v>
      </c>
      <c r="E115" t="s">
        <v>121</v>
      </c>
      <c r="F115" s="1">
        <v>0.12239999999999999</v>
      </c>
      <c r="G115" s="1">
        <v>0.12239999999999999</v>
      </c>
      <c r="H115" s="1">
        <v>0.13600000000000001</v>
      </c>
      <c r="I115" s="1">
        <v>0.13600000000000001</v>
      </c>
      <c r="J115" s="1">
        <v>0.13600000000000001</v>
      </c>
      <c r="K115" s="1">
        <v>0.13600000000000001</v>
      </c>
      <c r="L115" s="1">
        <v>0.13600000000000001</v>
      </c>
      <c r="M115" s="1">
        <v>0.13600000000000001</v>
      </c>
      <c r="N115" s="1">
        <v>0.13600000000000001</v>
      </c>
      <c r="O115" s="1">
        <v>0.13600000000000001</v>
      </c>
      <c r="P115" s="1">
        <v>0.13600000000000001</v>
      </c>
      <c r="Q115" s="1">
        <v>0.13600000000000001</v>
      </c>
      <c r="R115" s="1">
        <v>0.13600000000000001</v>
      </c>
      <c r="S115" s="1">
        <v>0.13600000000000001</v>
      </c>
      <c r="T115" s="1">
        <v>0.13600000000000001</v>
      </c>
      <c r="U115" s="1">
        <v>0.13600000000000001</v>
      </c>
      <c r="V115" s="1">
        <v>0.13600000000000001</v>
      </c>
      <c r="W115" s="1">
        <v>0.13600000000000001</v>
      </c>
      <c r="X115" s="1">
        <v>0.13600000000000001</v>
      </c>
      <c r="Y115" s="1">
        <v>0.13600000000000001</v>
      </c>
      <c r="Z115" s="1">
        <v>0.13600000000000001</v>
      </c>
      <c r="AA115" s="1">
        <v>0.13600000000000001</v>
      </c>
      <c r="AB115" s="1">
        <v>0.13600000000000001</v>
      </c>
      <c r="AC115" s="1">
        <v>0.13600000000000001</v>
      </c>
      <c r="AD115" s="1">
        <v>0.13600000000000001</v>
      </c>
      <c r="AE115" s="1">
        <v>0.13600000000000001</v>
      </c>
      <c r="AF115" s="1">
        <v>0.13600000000000001</v>
      </c>
      <c r="AG115" s="1">
        <v>0.13600000000000001</v>
      </c>
      <c r="AH115" s="1">
        <v>0.13600000000000001</v>
      </c>
      <c r="AI115" s="1">
        <v>0.13600000000000001</v>
      </c>
      <c r="AJ115" s="1">
        <v>0.13600000000000001</v>
      </c>
      <c r="AK115" s="1">
        <v>0.13600000000000001</v>
      </c>
      <c r="AL115" s="1">
        <v>0.13600000000000001</v>
      </c>
      <c r="AM115" s="1">
        <v>0.13600000000000001</v>
      </c>
      <c r="AN115" s="1">
        <v>0.13600000000000001</v>
      </c>
      <c r="AO115" s="1">
        <v>0.13600000000000001</v>
      </c>
      <c r="AP115" s="1">
        <v>0.13600000000000001</v>
      </c>
      <c r="AQ115" s="1">
        <v>0.13600000000000001</v>
      </c>
      <c r="AR115" s="1">
        <v>0.13600000000000001</v>
      </c>
      <c r="AS115" s="1">
        <v>0.13600000000000001</v>
      </c>
      <c r="AT115" s="1">
        <v>0.13600000000000001</v>
      </c>
      <c r="AU115" s="1">
        <v>0.13600000000000001</v>
      </c>
      <c r="AV115" s="1">
        <v>0.13600000000000001</v>
      </c>
      <c r="AW115" s="1">
        <v>0.13600000000000001</v>
      </c>
      <c r="AX115" s="1">
        <v>0.13600000000000001</v>
      </c>
      <c r="AY115" s="1">
        <v>0.13600000000000001</v>
      </c>
      <c r="AZ115" s="1">
        <v>0.13600000000000001</v>
      </c>
      <c r="BA115" s="1">
        <v>0.13600000000000001</v>
      </c>
      <c r="BB115" s="27" t="s">
        <v>21</v>
      </c>
      <c r="BC115" s="27" t="s">
        <v>33</v>
      </c>
      <c r="BD115" s="34">
        <f>IFERROR(ABS(SUMIFS('TRA balance'!E$5:E$40,'TRA balance'!$C$5:$C$40,Assumptions!$BB115,'TRA balance'!$D$5:$D$40,Assumptions!$BC115)),"")</f>
        <v>0</v>
      </c>
      <c r="BE115" s="34">
        <f>IFERROR(ABS(SUMIFS('TRA balance'!F$5:F$40,'TRA balance'!$C$5:$C$40,Assumptions!$BB115,'TRA balance'!$D$5:$D$40,Assumptions!$BC115)),"")</f>
        <v>0</v>
      </c>
      <c r="BF115" s="34">
        <f>IFERROR(ABS(SUMIFS('TRA balance'!G$5:G$40,'TRA balance'!$C$5:$C$40,Assumptions!$BB115,'TRA balance'!$D$5:$D$40,Assumptions!$BC115)),"")</f>
        <v>0</v>
      </c>
      <c r="BG115" s="34">
        <f>IFERROR(ABS(SUMIFS('TRA balance'!H$5:H$40,'TRA balance'!$C$5:$C$40,Assumptions!$BB115,'TRA balance'!$D$5:$D$40,Assumptions!$BC115)),"")</f>
        <v>0</v>
      </c>
      <c r="BH115" s="34">
        <f>IFERROR(ABS(SUMIFS('TRA balance'!I$5:I$40,'TRA balance'!$C$5:$C$40,Assumptions!$BB115,'TRA balance'!$D$5:$D$40,Assumptions!$BC115)),"")</f>
        <v>0</v>
      </c>
      <c r="BI115" s="34">
        <f>IFERROR(ABS(SUMIFS('TRA balance'!J$5:J$40,'TRA balance'!$C$5:$C$40,Assumptions!$BB115,'TRA balance'!$D$5:$D$40,Assumptions!$BC115)),"")</f>
        <v>0</v>
      </c>
      <c r="BJ115" s="34">
        <f>IFERROR(ABS(SUMIFS('TRA balance'!K$5:K$40,'TRA balance'!$C$5:$C$40,Assumptions!$BB115,'TRA balance'!$D$5:$D$40,Assumptions!$BC115)),"")</f>
        <v>0</v>
      </c>
      <c r="BK115" s="34">
        <f>IFERROR(ABS(SUMIFS('TRA balance'!L$5:L$40,'TRA balance'!$C$5:$C$40,Assumptions!$BB115,'TRA balance'!$D$5:$D$40,Assumptions!$BC115)),"")</f>
        <v>0</v>
      </c>
      <c r="BL115" s="34">
        <f>IFERROR(ABS(SUMIFS('TRA balance'!M$5:M$40,'TRA balance'!$C$5:$C$40,Assumptions!$BB115,'TRA balance'!$D$5:$D$40,Assumptions!$BC115)),"")</f>
        <v>0</v>
      </c>
      <c r="BM115" s="34">
        <f>IFERROR(ABS(SUMIFS('TRA balance'!N$5:N$40,'TRA balance'!$C$5:$C$40,Assumptions!$BB115,'TRA balance'!$D$5:$D$40,Assumptions!$BC115)),"")</f>
        <v>0</v>
      </c>
      <c r="BN115" s="34">
        <f>IFERROR(ABS(SUMIFS('TRA balance'!O$5:O$40,'TRA balance'!$C$5:$C$40,Assumptions!$BB115,'TRA balance'!$D$5:$D$40,Assumptions!$BC115)),"")</f>
        <v>0</v>
      </c>
      <c r="BO115" s="34">
        <f>IFERROR(ABS(SUMIFS('TRA balance'!P$5:P$40,'TRA balance'!$C$5:$C$40,Assumptions!$BB115,'TRA balance'!$D$5:$D$40,Assumptions!$BC115)),"")</f>
        <v>0</v>
      </c>
      <c r="BP115" s="34">
        <f>IFERROR(ABS(SUMIFS('TRA balance'!Q$5:Q$40,'TRA balance'!$C$5:$C$40,Assumptions!$BB115,'TRA balance'!$D$5:$D$40,Assumptions!$BC115)),"")</f>
        <v>0</v>
      </c>
      <c r="BQ115" s="34">
        <f>IFERROR(ABS(SUMIFS('TRA balance'!R$5:R$40,'TRA balance'!$C$5:$C$40,Assumptions!$BB115,'TRA balance'!$D$5:$D$40,Assumptions!$BC115)),"")</f>
        <v>0</v>
      </c>
      <c r="BR115" s="34">
        <f>IFERROR(ABS(SUMIFS('TRA balance'!S$5:S$40,'TRA balance'!$C$5:$C$40,Assumptions!$BB115,'TRA balance'!$D$5:$D$40,Assumptions!$BC115)),"")</f>
        <v>0</v>
      </c>
      <c r="BS115" s="34">
        <f>IFERROR(ABS(SUMIFS('TRA balance'!T$5:T$40,'TRA balance'!$C$5:$C$40,Assumptions!$BB115,'TRA balance'!$D$5:$D$40,Assumptions!$BC115)),"")</f>
        <v>0</v>
      </c>
      <c r="BT115" s="34">
        <f>IFERROR(ABS(SUMIFS('TRA balance'!U$5:U$40,'TRA balance'!$C$5:$C$40,Assumptions!$BB115,'TRA balance'!$D$5:$D$40,Assumptions!$BC115)),"")</f>
        <v>0</v>
      </c>
      <c r="BU115" s="34">
        <f>IFERROR(ABS(SUMIFS('TRA balance'!V$5:V$40,'TRA balance'!$C$5:$C$40,Assumptions!$BB115,'TRA balance'!$D$5:$D$40,Assumptions!$BC115)),"")</f>
        <v>0</v>
      </c>
      <c r="BV115" s="34">
        <f>IFERROR(ABS(SUMIFS('TRA balance'!W$5:W$40,'TRA balance'!$C$5:$C$40,Assumptions!$BB115,'TRA balance'!$D$5:$D$40,Assumptions!$BC115)),"")</f>
        <v>0</v>
      </c>
      <c r="BW115" s="34">
        <f>IFERROR(ABS(SUMIFS('TRA balance'!X$5:X$40,'TRA balance'!$C$5:$C$40,Assumptions!$BB115,'TRA balance'!$D$5:$D$40,Assumptions!$BC115)),"")</f>
        <v>0</v>
      </c>
      <c r="BX115" s="34">
        <f>IFERROR(ABS(SUMIFS('TRA balance'!Y$5:Y$40,'TRA balance'!$C$5:$C$40,Assumptions!$BB115,'TRA balance'!$D$5:$D$40,Assumptions!$BC115)),"")</f>
        <v>0</v>
      </c>
      <c r="BY115" s="34">
        <f>IFERROR(ABS(SUMIFS('TRA balance'!Z$5:Z$40,'TRA balance'!$C$5:$C$40,Assumptions!$BB115,'TRA balance'!$D$5:$D$40,Assumptions!$BC115)),"")</f>
        <v>0</v>
      </c>
      <c r="BZ115" s="34">
        <f>IFERROR(ABS(SUMIFS('TRA balance'!AA$5:AA$40,'TRA balance'!$C$5:$C$40,Assumptions!$BB115,'TRA balance'!$D$5:$D$40,Assumptions!$BC115)),"")</f>
        <v>0</v>
      </c>
      <c r="CA115" s="34">
        <f>IFERROR(ABS(SUMIFS('TRA balance'!AB$5:AB$40,'TRA balance'!$C$5:$C$40,Assumptions!$BB115,'TRA balance'!$D$5:$D$40,Assumptions!$BC115)),"")</f>
        <v>0</v>
      </c>
      <c r="CB115" s="34">
        <f>IFERROR(ABS(SUMIFS('TRA balance'!AC$5:AC$40,'TRA balance'!$C$5:$C$40,Assumptions!$BB115,'TRA balance'!$D$5:$D$40,Assumptions!$BC115)),"")</f>
        <v>0</v>
      </c>
      <c r="CC115" s="34">
        <f>IFERROR(ABS(SUMIFS('TRA balance'!AD$5:AD$40,'TRA balance'!$C$5:$C$40,Assumptions!$BB115,'TRA balance'!$D$5:$D$40,Assumptions!$BC115)),"")</f>
        <v>0</v>
      </c>
      <c r="CD115" s="34">
        <f>IFERROR(ABS(SUMIFS('TRA balance'!AE$5:AE$40,'TRA balance'!$C$5:$C$40,Assumptions!$BB115,'TRA balance'!$D$5:$D$40,Assumptions!$BC115)),"")</f>
        <v>0</v>
      </c>
      <c r="CE115" s="34">
        <f>IFERROR(ABS(SUMIFS('TRA balance'!AF$5:AF$40,'TRA balance'!$C$5:$C$40,Assumptions!$BB115,'TRA balance'!$D$5:$D$40,Assumptions!$BC115)),"")</f>
        <v>0</v>
      </c>
      <c r="CF115" s="34">
        <f>IFERROR(ABS(SUMIFS('TRA balance'!AG$5:AG$40,'TRA balance'!$C$5:$C$40,Assumptions!$BB115,'TRA balance'!$D$5:$D$40,Assumptions!$BC115)),"")</f>
        <v>0</v>
      </c>
      <c r="CG115" s="34">
        <f>IFERROR(ABS(SUMIFS('TRA balance'!AH$5:AH$40,'TRA balance'!$C$5:$C$40,Assumptions!$BB115,'TRA balance'!$D$5:$D$40,Assumptions!$BC115)),"")</f>
        <v>0</v>
      </c>
      <c r="CH115" s="34">
        <f>IFERROR(ABS(SUMIFS('TRA balance'!AI$5:AI$40,'TRA balance'!$C$5:$C$40,Assumptions!$BB115,'TRA balance'!$D$5:$D$40,Assumptions!$BC115)),"")</f>
        <v>0</v>
      </c>
      <c r="CI115" s="34">
        <f>IFERROR(ABS(SUMIFS('TRA balance'!AJ$5:AJ$40,'TRA balance'!$C$5:$C$40,Assumptions!$BB115,'TRA balance'!$D$5:$D$40,Assumptions!$BC115)),"")</f>
        <v>0</v>
      </c>
      <c r="CJ115" s="34">
        <f>IFERROR(ABS(SUMIFS('TRA balance'!AK$5:AK$40,'TRA balance'!$C$5:$C$40,Assumptions!$BB115,'TRA balance'!$D$5:$D$40,Assumptions!$BC115)),"")</f>
        <v>0</v>
      </c>
      <c r="CK115" s="34">
        <f>IFERROR(ABS(SUMIFS('TRA balance'!AL$5:AL$40,'TRA balance'!$C$5:$C$40,Assumptions!$BB115,'TRA balance'!$D$5:$D$40,Assumptions!$BC115)),"")</f>
        <v>0</v>
      </c>
      <c r="CL115" s="34">
        <f>IFERROR(ABS(SUMIFS('TRA balance'!AM$5:AM$40,'TRA balance'!$C$5:$C$40,Assumptions!$BB115,'TRA balance'!$D$5:$D$40,Assumptions!$BC115)),"")</f>
        <v>0</v>
      </c>
      <c r="CM115" s="34">
        <f>IFERROR(ABS(SUMIFS('TRA balance'!AN$5:AN$40,'TRA balance'!$C$5:$C$40,Assumptions!$BB115,'TRA balance'!$D$5:$D$40,Assumptions!$BC115)),"")</f>
        <v>0</v>
      </c>
      <c r="CN115" s="34">
        <f>IFERROR(ABS(SUMIFS('TRA balance'!AO$5:AO$40,'TRA balance'!$C$5:$C$40,Assumptions!$BB115,'TRA balance'!$D$5:$D$40,Assumptions!$BC115)),"")</f>
        <v>0</v>
      </c>
      <c r="CO115" s="34">
        <f>IFERROR(ABS(SUMIFS('TRA balance'!AP$5:AP$40,'TRA balance'!$C$5:$C$40,Assumptions!$BB115,'TRA balance'!$D$5:$D$40,Assumptions!$BC115)),"")</f>
        <v>0</v>
      </c>
      <c r="CP115" s="34">
        <f>IFERROR(ABS(SUMIFS('TRA balance'!AQ$5:AQ$40,'TRA balance'!$C$5:$C$40,Assumptions!$BB115,'TRA balance'!$D$5:$D$40,Assumptions!$BC115)),"")</f>
        <v>0</v>
      </c>
      <c r="CQ115" s="34">
        <f>IFERROR(ABS(SUMIFS('TRA balance'!AR$5:AR$40,'TRA balance'!$C$5:$C$40,Assumptions!$BB115,'TRA balance'!$D$5:$D$40,Assumptions!$BC115)),"")</f>
        <v>0</v>
      </c>
      <c r="CR115" s="34">
        <f>IFERROR(ABS(SUMIFS('TRA balance'!AS$5:AS$40,'TRA balance'!$C$5:$C$40,Assumptions!$BB115,'TRA balance'!$D$5:$D$40,Assumptions!$BC115)),"")</f>
        <v>0</v>
      </c>
      <c r="CS115" s="34">
        <f>IFERROR(ABS(SUMIFS('TRA balance'!AT$5:AT$40,'TRA balance'!$C$5:$C$40,Assumptions!$BB115,'TRA balance'!$D$5:$D$40,Assumptions!$BC115)),"")</f>
        <v>0</v>
      </c>
      <c r="CT115" s="34">
        <f>IFERROR(ABS(SUMIFS('TRA balance'!AU$5:AU$40,'TRA balance'!$C$5:$C$40,Assumptions!$BB115,'TRA balance'!$D$5:$D$40,Assumptions!$BC115)),"")</f>
        <v>0</v>
      </c>
      <c r="CU115" s="34">
        <f>IFERROR(ABS(SUMIFS('TRA balance'!AV$5:AV$40,'TRA balance'!$C$5:$C$40,Assumptions!$BB115,'TRA balance'!$D$5:$D$40,Assumptions!$BC115)),"")</f>
        <v>0</v>
      </c>
      <c r="CV115" s="34">
        <f>IFERROR(ABS(SUMIFS('TRA balance'!AW$5:AW$40,'TRA balance'!$C$5:$C$40,Assumptions!$BB115,'TRA balance'!$D$5:$D$40,Assumptions!$BC115)),"")</f>
        <v>0</v>
      </c>
      <c r="CW115" s="34">
        <f>IFERROR(ABS(SUMIFS('TRA balance'!AX$5:AX$40,'TRA balance'!$C$5:$C$40,Assumptions!$BB115,'TRA balance'!$D$5:$D$40,Assumptions!$BC115)),"")</f>
        <v>0</v>
      </c>
      <c r="CX115" s="27"/>
    </row>
    <row r="116" spans="3:102">
      <c r="C116" t="str">
        <f t="shared" si="151"/>
        <v>ETH</v>
      </c>
      <c r="D116" t="str">
        <f t="shared" si="150"/>
        <v>TRC</v>
      </c>
      <c r="E116" t="s">
        <v>122</v>
      </c>
      <c r="F116" s="1">
        <v>0.108</v>
      </c>
      <c r="G116" s="1">
        <v>0.108</v>
      </c>
      <c r="H116" s="1">
        <v>0.12</v>
      </c>
      <c r="I116" s="1">
        <v>0.12</v>
      </c>
      <c r="J116" s="1">
        <v>0.12</v>
      </c>
      <c r="K116" s="1">
        <v>0.12</v>
      </c>
      <c r="L116" s="1">
        <v>0.12</v>
      </c>
      <c r="M116" s="1">
        <v>0.12</v>
      </c>
      <c r="N116" s="1">
        <v>0.12</v>
      </c>
      <c r="O116" s="1">
        <v>0.12</v>
      </c>
      <c r="P116" s="1">
        <v>0.12</v>
      </c>
      <c r="Q116" s="1">
        <v>0.12</v>
      </c>
      <c r="R116" s="1">
        <v>0.12</v>
      </c>
      <c r="S116" s="1">
        <v>0.12</v>
      </c>
      <c r="T116" s="1">
        <v>0.12</v>
      </c>
      <c r="U116" s="1">
        <v>0.12</v>
      </c>
      <c r="V116" s="1">
        <v>0.12</v>
      </c>
      <c r="W116" s="1">
        <v>0.12</v>
      </c>
      <c r="X116" s="1">
        <v>0.12</v>
      </c>
      <c r="Y116" s="1">
        <v>0.12</v>
      </c>
      <c r="Z116" s="1">
        <v>0.12</v>
      </c>
      <c r="AA116" s="1">
        <v>0.12</v>
      </c>
      <c r="AB116" s="1">
        <v>0.12</v>
      </c>
      <c r="AC116" s="1">
        <v>0.12</v>
      </c>
      <c r="AD116" s="1">
        <v>0.12</v>
      </c>
      <c r="AE116" s="1">
        <v>0.12</v>
      </c>
      <c r="AF116" s="1">
        <v>0.12</v>
      </c>
      <c r="AG116" s="1">
        <v>0.12</v>
      </c>
      <c r="AH116" s="1">
        <v>0.12</v>
      </c>
      <c r="AI116" s="1">
        <v>0.12</v>
      </c>
      <c r="AJ116" s="1">
        <v>0.12</v>
      </c>
      <c r="AK116" s="1">
        <v>0.12</v>
      </c>
      <c r="AL116" s="1">
        <v>0.12</v>
      </c>
      <c r="AM116" s="1">
        <v>0.12</v>
      </c>
      <c r="AN116" s="1">
        <v>0.12</v>
      </c>
      <c r="AO116" s="1">
        <v>0.12</v>
      </c>
      <c r="AP116" s="1">
        <v>0.12</v>
      </c>
      <c r="AQ116" s="1">
        <v>0.12</v>
      </c>
      <c r="AR116" s="1">
        <v>0.12</v>
      </c>
      <c r="AS116" s="1">
        <v>0.12</v>
      </c>
      <c r="AT116" s="1">
        <v>0.12</v>
      </c>
      <c r="AU116" s="1">
        <v>0.12</v>
      </c>
      <c r="AV116" s="1">
        <v>0.12</v>
      </c>
      <c r="AW116" s="1">
        <v>0.12</v>
      </c>
      <c r="AX116" s="1">
        <v>0.12</v>
      </c>
      <c r="AY116" s="1">
        <v>0.12</v>
      </c>
      <c r="AZ116" s="1">
        <v>0.12</v>
      </c>
      <c r="BA116" s="1">
        <v>0.12</v>
      </c>
      <c r="BB116" s="27" t="s">
        <v>21</v>
      </c>
      <c r="BC116" s="27" t="s">
        <v>41</v>
      </c>
      <c r="BD116" s="34">
        <f>IFERROR(ABS(SUMIFS('TRA balance'!E$5:E$40,'TRA balance'!$C$5:$C$40,Assumptions!$BB116,'TRA balance'!$D$5:$D$40,Assumptions!$BC116)),"")</f>
        <v>2.2515982380000001</v>
      </c>
      <c r="BE116" s="34">
        <f>IFERROR(ABS(SUMIFS('TRA balance'!F$5:F$40,'TRA balance'!$C$5:$C$40,Assumptions!$BB116,'TRA balance'!$D$5:$D$40,Assumptions!$BC116)),"")</f>
        <v>20.462294178</v>
      </c>
      <c r="BF116" s="34">
        <f>IFERROR(ABS(SUMIFS('TRA balance'!G$5:G$40,'TRA balance'!$C$5:$C$40,Assumptions!$BB116,'TRA balance'!$D$5:$D$40,Assumptions!$BC116)),"")</f>
        <v>12.196211202000001</v>
      </c>
      <c r="BG116" s="34">
        <f>IFERROR(ABS(SUMIFS('TRA balance'!H$5:H$40,'TRA balance'!$C$5:$C$40,Assumptions!$BB116,'TRA balance'!$D$5:$D$40,Assumptions!$BC116)),"")</f>
        <v>1.039142826</v>
      </c>
      <c r="BH116" s="34">
        <f>IFERROR(ABS(SUMIFS('TRA balance'!I$5:I$40,'TRA balance'!$C$5:$C$40,Assumptions!$BB116,'TRA balance'!$D$5:$D$40,Assumptions!$BC116)),"")</f>
        <v>0.51737543640000005</v>
      </c>
      <c r="BI116" s="34">
        <f>IFERROR(ABS(SUMIFS('TRA balance'!J$5:J$40,'TRA balance'!$C$5:$C$40,Assumptions!$BB116,'TRA balance'!$D$5:$D$40,Assumptions!$BC116)),"")</f>
        <v>17.810081982</v>
      </c>
      <c r="BJ116" s="34">
        <f>IFERROR(ABS(SUMIFS('TRA balance'!K$5:K$40,'TRA balance'!$C$5:$C$40,Assumptions!$BB116,'TRA balance'!$D$5:$D$40,Assumptions!$BC116)),"")</f>
        <v>13.322179886400001</v>
      </c>
      <c r="BK116" s="34">
        <f>IFERROR(ABS(SUMIFS('TRA balance'!L$5:L$40,'TRA balance'!$C$5:$C$40,Assumptions!$BB116,'TRA balance'!$D$5:$D$40,Assumptions!$BC116)),"")</f>
        <v>622.70790957719998</v>
      </c>
      <c r="BL116" s="34">
        <f>IFERROR(ABS(SUMIFS('TRA balance'!M$5:M$40,'TRA balance'!$C$5:$C$40,Assumptions!$BB116,'TRA balance'!$D$5:$D$40,Assumptions!$BC116)),"")</f>
        <v>2.0970592631999998</v>
      </c>
      <c r="BM116" s="34">
        <f>IFERROR(ABS(SUMIFS('TRA balance'!N$5:N$40,'TRA balance'!$C$5:$C$40,Assumptions!$BB116,'TRA balance'!$D$5:$D$40,Assumptions!$BC116)),"")</f>
        <v>0.21299926320000001</v>
      </c>
      <c r="BN116" s="34">
        <f>IFERROR(ABS(SUMIFS('TRA balance'!O$5:O$40,'TRA balance'!$C$5:$C$40,Assumptions!$BB116,'TRA balance'!$D$5:$D$40,Assumptions!$BC116)),"")</f>
        <v>7.3308230315999996</v>
      </c>
      <c r="BO116" s="34">
        <f>IFERROR(ABS(SUMIFS('TRA balance'!P$5:P$40,'TRA balance'!$C$5:$C$40,Assumptions!$BB116,'TRA balance'!$D$5:$D$40,Assumptions!$BC116)),"")</f>
        <v>11.2463979408</v>
      </c>
      <c r="BP116" s="34">
        <f>IFERROR(ABS(SUMIFS('TRA balance'!Q$5:Q$40,'TRA balance'!$C$5:$C$40,Assumptions!$BB116,'TRA balance'!$D$5:$D$40,Assumptions!$BC116)),"")</f>
        <v>12.4834633632</v>
      </c>
      <c r="BQ116" s="34">
        <f>IFERROR(ABS(SUMIFS('TRA balance'!R$5:R$40,'TRA balance'!$C$5:$C$40,Assumptions!$BB116,'TRA balance'!$D$5:$D$40,Assumptions!$BC116)),"")</f>
        <v>2.037966768</v>
      </c>
      <c r="BR116" s="34">
        <f>IFERROR(ABS(SUMIFS('TRA balance'!S$5:S$40,'TRA balance'!$C$5:$C$40,Assumptions!$BB116,'TRA balance'!$D$5:$D$40,Assumptions!$BC116)),"")</f>
        <v>0.50608782360000004</v>
      </c>
      <c r="BS116" s="34">
        <f>IFERROR(ABS(SUMIFS('TRA balance'!T$5:T$40,'TRA balance'!$C$5:$C$40,Assumptions!$BB116,'TRA balance'!$D$5:$D$40,Assumptions!$BC116)),"")</f>
        <v>35.081661934800003</v>
      </c>
      <c r="BT116" s="34">
        <f>IFERROR(ABS(SUMIFS('TRA balance'!U$5:U$40,'TRA balance'!$C$5:$C$40,Assumptions!$BB116,'TRA balance'!$D$5:$D$40,Assumptions!$BC116)),"")</f>
        <v>3.6805991327999998</v>
      </c>
      <c r="BU116" s="34">
        <f>IFERROR(ABS(SUMIFS('TRA balance'!V$5:V$40,'TRA balance'!$C$5:$C$40,Assumptions!$BB116,'TRA balance'!$D$5:$D$40,Assumptions!$BC116)),"")</f>
        <v>10.836217144800001</v>
      </c>
      <c r="BV116" s="34">
        <f>IFERROR(ABS(SUMIFS('TRA balance'!W$5:W$40,'TRA balance'!$C$5:$C$40,Assumptions!$BB116,'TRA balance'!$D$5:$D$40,Assumptions!$BC116)),"")</f>
        <v>42.246633258000003</v>
      </c>
      <c r="BW116" s="34">
        <f>IFERROR(ABS(SUMIFS('TRA balance'!X$5:X$40,'TRA balance'!$C$5:$C$40,Assumptions!$BB116,'TRA balance'!$D$5:$D$40,Assumptions!$BC116)),"")</f>
        <v>34.985403216000002</v>
      </c>
      <c r="BX116" s="34">
        <f>IFERROR(ABS(SUMIFS('TRA balance'!Y$5:Y$40,'TRA balance'!$C$5:$C$40,Assumptions!$BB116,'TRA balance'!$D$5:$D$40,Assumptions!$BC116)),"")</f>
        <v>0</v>
      </c>
      <c r="BY116" s="34">
        <f>IFERROR(ABS(SUMIFS('TRA balance'!Z$5:Z$40,'TRA balance'!$C$5:$C$40,Assumptions!$BB116,'TRA balance'!$D$5:$D$40,Assumptions!$BC116)),"")</f>
        <v>204.4855812456</v>
      </c>
      <c r="BZ116" s="34">
        <f>IFERROR(ABS(SUMIFS('TRA balance'!AA$5:AA$40,'TRA balance'!$C$5:$C$40,Assumptions!$BB116,'TRA balance'!$D$5:$D$40,Assumptions!$BC116)),"")</f>
        <v>36.077299721999999</v>
      </c>
      <c r="CA116" s="34">
        <f>IFERROR(ABS(SUMIFS('TRA balance'!AB$5:AB$40,'TRA balance'!$C$5:$C$40,Assumptions!$BB116,'TRA balance'!$D$5:$D$40,Assumptions!$BC116)),"")</f>
        <v>7.7958215999999997E-2</v>
      </c>
      <c r="CB116" s="34">
        <f>IFERROR(ABS(SUMIFS('TRA balance'!AC$5:AC$40,'TRA balance'!$C$5:$C$40,Assumptions!$BB116,'TRA balance'!$D$5:$D$40,Assumptions!$BC116)),"")</f>
        <v>246.6527992812</v>
      </c>
      <c r="CC116" s="34">
        <f>IFERROR(ABS(SUMIFS('TRA balance'!AD$5:AD$40,'TRA balance'!$C$5:$C$40,Assumptions!$BB116,'TRA balance'!$D$5:$D$40,Assumptions!$BC116)),"")</f>
        <v>17.148956954399999</v>
      </c>
      <c r="CD116" s="34">
        <f>IFERROR(ABS(SUMIFS('TRA balance'!AE$5:AE$40,'TRA balance'!$C$5:$C$40,Assumptions!$BB116,'TRA balance'!$D$5:$D$40,Assumptions!$BC116)),"")</f>
        <v>0</v>
      </c>
      <c r="CE116" s="34">
        <f>IFERROR(ABS(SUMIFS('TRA balance'!AF$5:AF$40,'TRA balance'!$C$5:$C$40,Assumptions!$BB116,'TRA balance'!$D$5:$D$40,Assumptions!$BC116)),"")</f>
        <v>11.0169654876</v>
      </c>
      <c r="CF116" s="34">
        <f>IFERROR(ABS(SUMIFS('TRA balance'!AG$5:AG$40,'TRA balance'!$C$5:$C$40,Assumptions!$BB116,'TRA balance'!$D$5:$D$40,Assumptions!$BC116)),"")</f>
        <v>20.691115358400001</v>
      </c>
      <c r="CG116" s="34">
        <f>IFERROR(ABS(SUMIFS('TRA balance'!AH$5:AH$40,'TRA balance'!$C$5:$C$40,Assumptions!$BB116,'TRA balance'!$D$5:$D$40,Assumptions!$BC116)),"")</f>
        <v>10.993741308000001</v>
      </c>
      <c r="CH116" s="34">
        <f>IFERROR(ABS(SUMIFS('TRA balance'!AI$5:AI$40,'TRA balance'!$C$5:$C$40,Assumptions!$BB116,'TRA balance'!$D$5:$D$40,Assumptions!$BC116)),"")</f>
        <v>0.99500976720000001</v>
      </c>
      <c r="CI116" s="34">
        <f>IFERROR(ABS(SUMIFS('TRA balance'!AJ$5:AJ$40,'TRA balance'!$C$5:$C$40,Assumptions!$BB116,'TRA balance'!$D$5:$D$40,Assumptions!$BC116)),"")</f>
        <v>14.824801472400001</v>
      </c>
      <c r="CJ116" s="34">
        <f>IFERROR(ABS(SUMIFS('TRA balance'!AK$5:AK$40,'TRA balance'!$C$5:$C$40,Assumptions!$BB116,'TRA balance'!$D$5:$D$40,Assumptions!$BC116)),"")</f>
        <v>36.848575270799998</v>
      </c>
      <c r="CK116" s="34">
        <f>IFERROR(ABS(SUMIFS('TRA balance'!AL$5:AL$40,'TRA balance'!$C$5:$C$40,Assumptions!$BB116,'TRA balance'!$D$5:$D$40,Assumptions!$BC116)),"")</f>
        <v>5.6338711235999996</v>
      </c>
      <c r="CL116" s="34">
        <f>IFERROR(ABS(SUMIFS('TRA balance'!AM$5:AM$40,'TRA balance'!$C$5:$C$40,Assumptions!$BB116,'TRA balance'!$D$5:$D$40,Assumptions!$BC116)),"")</f>
        <v>1.5225465672</v>
      </c>
      <c r="CM116" s="34">
        <f>IFERROR(ABS(SUMIFS('TRA balance'!AN$5:AN$40,'TRA balance'!$C$5:$C$40,Assumptions!$BB116,'TRA balance'!$D$5:$D$40,Assumptions!$BC116)),"")</f>
        <v>0</v>
      </c>
      <c r="CN116" s="34">
        <f>IFERROR(ABS(SUMIFS('TRA balance'!AO$5:AO$40,'TRA balance'!$C$5:$C$40,Assumptions!$BB116,'TRA balance'!$D$5:$D$40,Assumptions!$BC116)),"")</f>
        <v>0</v>
      </c>
      <c r="CO116" s="34">
        <f>IFERROR(ABS(SUMIFS('TRA balance'!AP$5:AP$40,'TRA balance'!$C$5:$C$40,Assumptions!$BB116,'TRA balance'!$D$5:$D$40,Assumptions!$BC116)),"")</f>
        <v>0</v>
      </c>
      <c r="CP116" s="34">
        <f>IFERROR(ABS(SUMIFS('TRA balance'!AQ$5:AQ$40,'TRA balance'!$C$5:$C$40,Assumptions!$BB116,'TRA balance'!$D$5:$D$40,Assumptions!$BC116)),"")</f>
        <v>0</v>
      </c>
      <c r="CQ116" s="34">
        <f>IFERROR(ABS(SUMIFS('TRA balance'!AR$5:AR$40,'TRA balance'!$C$5:$C$40,Assumptions!$BB116,'TRA balance'!$D$5:$D$40,Assumptions!$BC116)),"")</f>
        <v>0</v>
      </c>
      <c r="CR116" s="34">
        <f>IFERROR(ABS(SUMIFS('TRA balance'!AS$5:AS$40,'TRA balance'!$C$5:$C$40,Assumptions!$BB116,'TRA balance'!$D$5:$D$40,Assumptions!$BC116)),"")</f>
        <v>0</v>
      </c>
      <c r="CS116" s="34">
        <f>IFERROR(ABS(SUMIFS('TRA balance'!AT$5:AT$40,'TRA balance'!$C$5:$C$40,Assumptions!$BB116,'TRA balance'!$D$5:$D$40,Assumptions!$BC116)),"")</f>
        <v>0</v>
      </c>
      <c r="CT116" s="34">
        <f>IFERROR(ABS(SUMIFS('TRA balance'!AU$5:AU$40,'TRA balance'!$C$5:$C$40,Assumptions!$BB116,'TRA balance'!$D$5:$D$40,Assumptions!$BC116)),"")</f>
        <v>0</v>
      </c>
      <c r="CU116" s="34">
        <f>IFERROR(ABS(SUMIFS('TRA balance'!AV$5:AV$40,'TRA balance'!$C$5:$C$40,Assumptions!$BB116,'TRA balance'!$D$5:$D$40,Assumptions!$BC116)),"")</f>
        <v>0</v>
      </c>
      <c r="CV116" s="34">
        <f>IFERROR(ABS(SUMIFS('TRA balance'!AW$5:AW$40,'TRA balance'!$C$5:$C$40,Assumptions!$BB116,'TRA balance'!$D$5:$D$40,Assumptions!$BC116)),"")</f>
        <v>0</v>
      </c>
      <c r="CW116" s="34">
        <f>IFERROR(ABS(SUMIFS('TRA balance'!AX$5:AX$40,'TRA balance'!$C$5:$C$40,Assumptions!$BB116,'TRA balance'!$D$5:$D$40,Assumptions!$BC116)),"")</f>
        <v>0</v>
      </c>
      <c r="CX116" s="27"/>
    </row>
    <row r="117" spans="3:102">
      <c r="C117" t="str">
        <f t="shared" si="151"/>
        <v>GAS</v>
      </c>
      <c r="D117" t="str">
        <f t="shared" si="150"/>
        <v>TRC</v>
      </c>
      <c r="E117" t="s">
        <v>123</v>
      </c>
      <c r="F117" s="1">
        <v>0.1152</v>
      </c>
      <c r="G117" s="1">
        <v>0.1152</v>
      </c>
      <c r="H117" s="1">
        <v>0.128</v>
      </c>
      <c r="I117" s="1">
        <v>0.128</v>
      </c>
      <c r="J117" s="1">
        <v>0.128</v>
      </c>
      <c r="K117" s="1">
        <v>0.128</v>
      </c>
      <c r="L117" s="1">
        <v>0.128</v>
      </c>
      <c r="M117" s="1">
        <v>0.128</v>
      </c>
      <c r="N117" s="1">
        <v>0.128</v>
      </c>
      <c r="O117" s="1">
        <v>0.128</v>
      </c>
      <c r="P117" s="1">
        <v>0.128</v>
      </c>
      <c r="Q117" s="1">
        <v>0.128</v>
      </c>
      <c r="R117" s="1">
        <v>0.128</v>
      </c>
      <c r="S117" s="1">
        <v>0.128</v>
      </c>
      <c r="T117" s="1">
        <v>0.128</v>
      </c>
      <c r="U117" s="1">
        <v>0.128</v>
      </c>
      <c r="V117" s="1">
        <v>0.128</v>
      </c>
      <c r="W117" s="1">
        <v>0.128</v>
      </c>
      <c r="X117" s="1">
        <v>0.128</v>
      </c>
      <c r="Y117" s="1">
        <v>0.128</v>
      </c>
      <c r="Z117" s="1">
        <v>0.128</v>
      </c>
      <c r="AA117" s="1">
        <v>0.128</v>
      </c>
      <c r="AB117" s="1">
        <v>0.128</v>
      </c>
      <c r="AC117" s="1">
        <v>0.128</v>
      </c>
      <c r="AD117" s="1">
        <v>0.128</v>
      </c>
      <c r="AE117" s="1">
        <v>0.128</v>
      </c>
      <c r="AF117" s="1">
        <v>0.128</v>
      </c>
      <c r="AG117" s="1">
        <v>0.128</v>
      </c>
      <c r="AH117" s="1">
        <v>0.128</v>
      </c>
      <c r="AI117" s="1">
        <v>0.128</v>
      </c>
      <c r="AJ117" s="1">
        <v>0.128</v>
      </c>
      <c r="AK117" s="1">
        <v>0.128</v>
      </c>
      <c r="AL117" s="1">
        <v>0.128</v>
      </c>
      <c r="AM117" s="1">
        <v>0.128</v>
      </c>
      <c r="AN117" s="1">
        <v>0.128</v>
      </c>
      <c r="AO117" s="1">
        <v>0.128</v>
      </c>
      <c r="AP117" s="1">
        <v>0.128</v>
      </c>
      <c r="AQ117" s="1">
        <v>0.128</v>
      </c>
      <c r="AR117" s="1">
        <v>0.128</v>
      </c>
      <c r="AS117" s="1">
        <v>0.128</v>
      </c>
      <c r="AT117" s="1">
        <v>0.128</v>
      </c>
      <c r="AU117" s="1">
        <v>0.128</v>
      </c>
      <c r="AV117" s="1">
        <v>0.128</v>
      </c>
      <c r="AW117" s="1">
        <v>0.128</v>
      </c>
      <c r="AX117" s="1">
        <v>0.128</v>
      </c>
      <c r="AY117" s="1">
        <v>0.128</v>
      </c>
      <c r="AZ117" s="1">
        <v>0.128</v>
      </c>
      <c r="BA117" s="1">
        <v>0.128</v>
      </c>
      <c r="BB117" s="27" t="s">
        <v>21</v>
      </c>
      <c r="BC117" s="27" t="s">
        <v>42</v>
      </c>
      <c r="BD117" s="34">
        <f>IFERROR(ABS(SUMIFS('TRA balance'!E$5:E$40,'TRA balance'!$C$5:$C$40,Assumptions!$BB117,'TRA balance'!$D$5:$D$40,Assumptions!$BC117)),"")</f>
        <v>0</v>
      </c>
      <c r="BE117" s="34">
        <f>IFERROR(ABS(SUMIFS('TRA balance'!F$5:F$40,'TRA balance'!$C$5:$C$40,Assumptions!$BB117,'TRA balance'!$D$5:$D$40,Assumptions!$BC117)),"")</f>
        <v>2.8287653652000002</v>
      </c>
      <c r="BF117" s="34">
        <f>IFERROR(ABS(SUMIFS('TRA balance'!G$5:G$40,'TRA balance'!$C$5:$C$40,Assumptions!$BB117,'TRA balance'!$D$5:$D$40,Assumptions!$BC117)),"")</f>
        <v>11.242319997599999</v>
      </c>
      <c r="BG117" s="34">
        <f>IFERROR(ABS(SUMIFS('TRA balance'!H$5:H$40,'TRA balance'!$C$5:$C$40,Assumptions!$BB117,'TRA balance'!$D$5:$D$40,Assumptions!$BC117)),"")</f>
        <v>9.8561458800000001E-2</v>
      </c>
      <c r="BH117" s="34">
        <f>IFERROR(ABS(SUMIFS('TRA balance'!I$5:I$40,'TRA balance'!$C$5:$C$40,Assumptions!$BB117,'TRA balance'!$D$5:$D$40,Assumptions!$BC117)),"")</f>
        <v>3.8267352E-3</v>
      </c>
      <c r="BI117" s="34">
        <f>IFERROR(ABS(SUMIFS('TRA balance'!J$5:J$40,'TRA balance'!$C$5:$C$40,Assumptions!$BB117,'TRA balance'!$D$5:$D$40,Assumptions!$BC117)),"")</f>
        <v>1.8463787999999999E-3</v>
      </c>
      <c r="BJ117" s="34">
        <f>IFERROR(ABS(SUMIFS('TRA balance'!K$5:K$40,'TRA balance'!$C$5:$C$40,Assumptions!$BB117,'TRA balance'!$D$5:$D$40,Assumptions!$BC117)),"")</f>
        <v>0</v>
      </c>
      <c r="BK117" s="34">
        <f>IFERROR(ABS(SUMIFS('TRA balance'!L$5:L$40,'TRA balance'!$C$5:$C$40,Assumptions!$BB117,'TRA balance'!$D$5:$D$40,Assumptions!$BC117)),"")</f>
        <v>0</v>
      </c>
      <c r="BL117" s="34">
        <f>IFERROR(ABS(SUMIFS('TRA balance'!M$5:M$40,'TRA balance'!$C$5:$C$40,Assumptions!$BB117,'TRA balance'!$D$5:$D$40,Assumptions!$BC117)),"")</f>
        <v>0</v>
      </c>
      <c r="BM117" s="34">
        <f>IFERROR(ABS(SUMIFS('TRA balance'!N$5:N$40,'TRA balance'!$C$5:$C$40,Assumptions!$BB117,'TRA balance'!$D$5:$D$40,Assumptions!$BC117)),"")</f>
        <v>0</v>
      </c>
      <c r="BN117" s="34">
        <f>IFERROR(ABS(SUMIFS('TRA balance'!O$5:O$40,'TRA balance'!$C$5:$C$40,Assumptions!$BB117,'TRA balance'!$D$5:$D$40,Assumptions!$BC117)),"")</f>
        <v>13.110285938400001</v>
      </c>
      <c r="BO117" s="34">
        <f>IFERROR(ABS(SUMIFS('TRA balance'!P$5:P$40,'TRA balance'!$C$5:$C$40,Assumptions!$BB117,'TRA balance'!$D$5:$D$40,Assumptions!$BC117)),"")</f>
        <v>0</v>
      </c>
      <c r="BP117" s="34">
        <f>IFERROR(ABS(SUMIFS('TRA balance'!Q$5:Q$40,'TRA balance'!$C$5:$C$40,Assumptions!$BB117,'TRA balance'!$D$5:$D$40,Assumptions!$BC117)),"")</f>
        <v>2.7716616000000001E-3</v>
      </c>
      <c r="BQ117" s="34">
        <f>IFERROR(ABS(SUMIFS('TRA balance'!R$5:R$40,'TRA balance'!$C$5:$C$40,Assumptions!$BB117,'TRA balance'!$D$5:$D$40,Assumptions!$BC117)),"")</f>
        <v>0</v>
      </c>
      <c r="BR117" s="34">
        <f>IFERROR(ABS(SUMIFS('TRA balance'!S$5:S$40,'TRA balance'!$C$5:$C$40,Assumptions!$BB117,'TRA balance'!$D$5:$D$40,Assumptions!$BC117)),"")</f>
        <v>0</v>
      </c>
      <c r="BS117" s="34">
        <f>IFERROR(ABS(SUMIFS('TRA balance'!T$5:T$40,'TRA balance'!$C$5:$C$40,Assumptions!$BB117,'TRA balance'!$D$5:$D$40,Assumptions!$BC117)),"")</f>
        <v>0</v>
      </c>
      <c r="BT117" s="34">
        <f>IFERROR(ABS(SUMIFS('TRA balance'!U$5:U$40,'TRA balance'!$C$5:$C$40,Assumptions!$BB117,'TRA balance'!$D$5:$D$40,Assumptions!$BC117)),"")</f>
        <v>0</v>
      </c>
      <c r="BU117" s="34">
        <f>IFERROR(ABS(SUMIFS('TRA balance'!V$5:V$40,'TRA balance'!$C$5:$C$40,Assumptions!$BB117,'TRA balance'!$D$5:$D$40,Assumptions!$BC117)),"")</f>
        <v>1.7467329600000001E-2</v>
      </c>
      <c r="BV117" s="34">
        <f>IFERROR(ABS(SUMIFS('TRA balance'!W$5:W$40,'TRA balance'!$C$5:$C$40,Assumptions!$BB117,'TRA balance'!$D$5:$D$40,Assumptions!$BC117)),"")</f>
        <v>0</v>
      </c>
      <c r="BW117" s="34">
        <f>IFERROR(ABS(SUMIFS('TRA balance'!X$5:X$40,'TRA balance'!$C$5:$C$40,Assumptions!$BB117,'TRA balance'!$D$5:$D$40,Assumptions!$BC117)),"")</f>
        <v>0.3360283812</v>
      </c>
      <c r="BX117" s="34">
        <f>IFERROR(ABS(SUMIFS('TRA balance'!Y$5:Y$40,'TRA balance'!$C$5:$C$40,Assumptions!$BB117,'TRA balance'!$D$5:$D$40,Assumptions!$BC117)),"")</f>
        <v>0</v>
      </c>
      <c r="BY117" s="34">
        <f>IFERROR(ABS(SUMIFS('TRA balance'!Z$5:Z$40,'TRA balance'!$C$5:$C$40,Assumptions!$BB117,'TRA balance'!$D$5:$D$40,Assumptions!$BC117)),"")</f>
        <v>198.20899864079999</v>
      </c>
      <c r="BZ117" s="34">
        <f>IFERROR(ABS(SUMIFS('TRA balance'!AA$5:AA$40,'TRA balance'!$C$5:$C$40,Assumptions!$BB117,'TRA balance'!$D$5:$D$40,Assumptions!$BC117)),"")</f>
        <v>2.6370978479999998</v>
      </c>
      <c r="CA117" s="34">
        <f>IFERROR(ABS(SUMIFS('TRA balance'!AB$5:AB$40,'TRA balance'!$C$5:$C$40,Assumptions!$BB117,'TRA balance'!$D$5:$D$40,Assumptions!$BC117)),"")</f>
        <v>0</v>
      </c>
      <c r="CB117" s="34">
        <f>IFERROR(ABS(SUMIFS('TRA balance'!AC$5:AC$40,'TRA balance'!$C$5:$C$40,Assumptions!$BB117,'TRA balance'!$D$5:$D$40,Assumptions!$BC117)),"")</f>
        <v>9.0982597175999995</v>
      </c>
      <c r="CC117" s="34">
        <f>IFERROR(ABS(SUMIFS('TRA balance'!AD$5:AD$40,'TRA balance'!$C$5:$C$40,Assumptions!$BB117,'TRA balance'!$D$5:$D$40,Assumptions!$BC117)),"")</f>
        <v>0.58520159640000002</v>
      </c>
      <c r="CD117" s="34">
        <f>IFERROR(ABS(SUMIFS('TRA balance'!AE$5:AE$40,'TRA balance'!$C$5:$C$40,Assumptions!$BB117,'TRA balance'!$D$5:$D$40,Assumptions!$BC117)),"")</f>
        <v>0</v>
      </c>
      <c r="CE117" s="34">
        <f>IFERROR(ABS(SUMIFS('TRA balance'!AF$5:AF$40,'TRA balance'!$C$5:$C$40,Assumptions!$BB117,'TRA balance'!$D$5:$D$40,Assumptions!$BC117)),"")</f>
        <v>3.8229670799999997E-2</v>
      </c>
      <c r="CF117" s="34">
        <f>IFERROR(ABS(SUMIFS('TRA balance'!AG$5:AG$40,'TRA balance'!$C$5:$C$40,Assumptions!$BB117,'TRA balance'!$D$5:$D$40,Assumptions!$BC117)),"")</f>
        <v>0</v>
      </c>
      <c r="CG117" s="34">
        <f>IFERROR(ABS(SUMIFS('TRA balance'!AH$5:AH$40,'TRA balance'!$C$5:$C$40,Assumptions!$BB117,'TRA balance'!$D$5:$D$40,Assumptions!$BC117)),"")</f>
        <v>1.3640008248</v>
      </c>
      <c r="CH117" s="34">
        <f>IFERROR(ABS(SUMIFS('TRA balance'!AI$5:AI$40,'TRA balance'!$C$5:$C$40,Assumptions!$BB117,'TRA balance'!$D$5:$D$40,Assumptions!$BC117)),"")</f>
        <v>0.52469814960000005</v>
      </c>
      <c r="CI117" s="34">
        <f>IFERROR(ABS(SUMIFS('TRA balance'!AJ$5:AJ$40,'TRA balance'!$C$5:$C$40,Assumptions!$BB117,'TRA balance'!$D$5:$D$40,Assumptions!$BC117)),"")</f>
        <v>0</v>
      </c>
      <c r="CJ117" s="34">
        <f>IFERROR(ABS(SUMIFS('TRA balance'!AK$5:AK$40,'TRA balance'!$C$5:$C$40,Assumptions!$BB117,'TRA balance'!$D$5:$D$40,Assumptions!$BC117)),"")</f>
        <v>0</v>
      </c>
      <c r="CK117" s="34">
        <f>IFERROR(ABS(SUMIFS('TRA balance'!AL$5:AL$40,'TRA balance'!$C$5:$C$40,Assumptions!$BB117,'TRA balance'!$D$5:$D$40,Assumptions!$BC117)),"")</f>
        <v>0</v>
      </c>
      <c r="CL117" s="34">
        <f>IFERROR(ABS(SUMIFS('TRA balance'!AM$5:AM$40,'TRA balance'!$C$5:$C$40,Assumptions!$BB117,'TRA balance'!$D$5:$D$40,Assumptions!$BC117)),"")</f>
        <v>0.29920128839999999</v>
      </c>
      <c r="CM117" s="34">
        <f>IFERROR(ABS(SUMIFS('TRA balance'!AN$5:AN$40,'TRA balance'!$C$5:$C$40,Assumptions!$BB117,'TRA balance'!$D$5:$D$40,Assumptions!$BC117)),"")</f>
        <v>0</v>
      </c>
      <c r="CN117" s="34">
        <f>IFERROR(ABS(SUMIFS('TRA balance'!AO$5:AO$40,'TRA balance'!$C$5:$C$40,Assumptions!$BB117,'TRA balance'!$D$5:$D$40,Assumptions!$BC117)),"")</f>
        <v>0</v>
      </c>
      <c r="CO117" s="34">
        <f>IFERROR(ABS(SUMIFS('TRA balance'!AP$5:AP$40,'TRA balance'!$C$5:$C$40,Assumptions!$BB117,'TRA balance'!$D$5:$D$40,Assumptions!$BC117)),"")</f>
        <v>0</v>
      </c>
      <c r="CP117" s="34">
        <f>IFERROR(ABS(SUMIFS('TRA balance'!AQ$5:AQ$40,'TRA balance'!$C$5:$C$40,Assumptions!$BB117,'TRA balance'!$D$5:$D$40,Assumptions!$BC117)),"")</f>
        <v>0</v>
      </c>
      <c r="CQ117" s="34">
        <f>IFERROR(ABS(SUMIFS('TRA balance'!AR$5:AR$40,'TRA balance'!$C$5:$C$40,Assumptions!$BB117,'TRA balance'!$D$5:$D$40,Assumptions!$BC117)),"")</f>
        <v>0</v>
      </c>
      <c r="CR117" s="34">
        <f>IFERROR(ABS(SUMIFS('TRA balance'!AS$5:AS$40,'TRA balance'!$C$5:$C$40,Assumptions!$BB117,'TRA balance'!$D$5:$D$40,Assumptions!$BC117)),"")</f>
        <v>0</v>
      </c>
      <c r="CS117" s="34">
        <f>IFERROR(ABS(SUMIFS('TRA balance'!AT$5:AT$40,'TRA balance'!$C$5:$C$40,Assumptions!$BB117,'TRA balance'!$D$5:$D$40,Assumptions!$BC117)),"")</f>
        <v>0</v>
      </c>
      <c r="CT117" s="34">
        <f>IFERROR(ABS(SUMIFS('TRA balance'!AU$5:AU$40,'TRA balance'!$C$5:$C$40,Assumptions!$BB117,'TRA balance'!$D$5:$D$40,Assumptions!$BC117)),"")</f>
        <v>0</v>
      </c>
      <c r="CU117" s="34">
        <f>IFERROR(ABS(SUMIFS('TRA balance'!AV$5:AV$40,'TRA balance'!$C$5:$C$40,Assumptions!$BB117,'TRA balance'!$D$5:$D$40,Assumptions!$BC117)),"")</f>
        <v>0</v>
      </c>
      <c r="CV117" s="34">
        <f>IFERROR(ABS(SUMIFS('TRA balance'!AW$5:AW$40,'TRA balance'!$C$5:$C$40,Assumptions!$BB117,'TRA balance'!$D$5:$D$40,Assumptions!$BC117)),"")</f>
        <v>0</v>
      </c>
      <c r="CW117" s="34">
        <f>IFERROR(ABS(SUMIFS('TRA balance'!AX$5:AX$40,'TRA balance'!$C$5:$C$40,Assumptions!$BB117,'TRA balance'!$D$5:$D$40,Assumptions!$BC117)),"")</f>
        <v>0</v>
      </c>
      <c r="CX117" s="27"/>
    </row>
    <row r="118" spans="3:102">
      <c r="C118" t="str">
        <f t="shared" si="151"/>
        <v>LPG</v>
      </c>
      <c r="D118" t="str">
        <f t="shared" si="150"/>
        <v>TRC</v>
      </c>
      <c r="E118" t="s">
        <v>124</v>
      </c>
      <c r="F118" s="1">
        <v>0.108</v>
      </c>
      <c r="G118" s="1">
        <v>0.108</v>
      </c>
      <c r="H118" s="1">
        <v>0.12</v>
      </c>
      <c r="I118" s="1">
        <v>0.12</v>
      </c>
      <c r="J118" s="1">
        <v>0.12</v>
      </c>
      <c r="K118" s="1">
        <v>0.12</v>
      </c>
      <c r="L118" s="1">
        <v>0.12</v>
      </c>
      <c r="M118" s="1">
        <v>0.12</v>
      </c>
      <c r="N118" s="1">
        <v>0.12</v>
      </c>
      <c r="O118" s="1">
        <v>0.12</v>
      </c>
      <c r="P118" s="1">
        <v>0.12</v>
      </c>
      <c r="Q118" s="1">
        <v>0.12</v>
      </c>
      <c r="R118" s="1">
        <v>0.12</v>
      </c>
      <c r="S118" s="1">
        <v>0.12</v>
      </c>
      <c r="T118" s="1">
        <v>0.12</v>
      </c>
      <c r="U118" s="1">
        <v>0.12</v>
      </c>
      <c r="V118" s="1">
        <v>0.12</v>
      </c>
      <c r="W118" s="1">
        <v>0.12</v>
      </c>
      <c r="X118" s="1">
        <v>0.12</v>
      </c>
      <c r="Y118" s="1">
        <v>0.12</v>
      </c>
      <c r="Z118" s="1">
        <v>0.12</v>
      </c>
      <c r="AA118" s="1">
        <v>0.12</v>
      </c>
      <c r="AB118" s="1">
        <v>0.12</v>
      </c>
      <c r="AC118" s="1">
        <v>0.12</v>
      </c>
      <c r="AD118" s="1">
        <v>0.12</v>
      </c>
      <c r="AE118" s="1">
        <v>0.12</v>
      </c>
      <c r="AF118" s="1">
        <v>0.12</v>
      </c>
      <c r="AG118" s="1">
        <v>0.12</v>
      </c>
      <c r="AH118" s="1">
        <v>0.12</v>
      </c>
      <c r="AI118" s="1">
        <v>0.12</v>
      </c>
      <c r="AJ118" s="1">
        <v>0.12</v>
      </c>
      <c r="AK118" s="1">
        <v>0.12</v>
      </c>
      <c r="AL118" s="1">
        <v>0.12</v>
      </c>
      <c r="AM118" s="1">
        <v>0.12</v>
      </c>
      <c r="AN118" s="1">
        <v>0.12</v>
      </c>
      <c r="AO118" s="1">
        <v>0.12</v>
      </c>
      <c r="AP118" s="1">
        <v>0.12</v>
      </c>
      <c r="AQ118" s="1">
        <v>0.12</v>
      </c>
      <c r="AR118" s="1">
        <v>0.12</v>
      </c>
      <c r="AS118" s="1">
        <v>0.12</v>
      </c>
      <c r="AT118" s="1">
        <v>0.12</v>
      </c>
      <c r="AU118" s="1">
        <v>0.12</v>
      </c>
      <c r="AV118" s="1">
        <v>0.12</v>
      </c>
      <c r="AW118" s="1">
        <v>0.12</v>
      </c>
      <c r="AX118" s="1">
        <v>0.12</v>
      </c>
      <c r="AY118" s="1">
        <v>0.12</v>
      </c>
      <c r="AZ118" s="1">
        <v>0.12</v>
      </c>
      <c r="BA118" s="1">
        <v>0.12</v>
      </c>
      <c r="BB118" s="27" t="s">
        <v>21</v>
      </c>
      <c r="BC118" s="27" t="s">
        <v>45</v>
      </c>
      <c r="BD118" s="34">
        <f>IFERROR(ABS(SUMIFS('TRA balance'!E$5:E$40,'TRA balance'!$C$5:$C$40,Assumptions!$BB118,'TRA balance'!$D$5:$D$40,Assumptions!$BC118)),"")</f>
        <v>9.7814743019999995</v>
      </c>
      <c r="BE118" s="34">
        <f>IFERROR(ABS(SUMIFS('TRA balance'!F$5:F$40,'TRA balance'!$C$5:$C$40,Assumptions!$BB118,'TRA balance'!$D$5:$D$40,Assumptions!$BC118)),"")</f>
        <v>0.26331622560000001</v>
      </c>
      <c r="BF118" s="34">
        <f>IFERROR(ABS(SUMIFS('TRA balance'!G$5:G$40,'TRA balance'!$C$5:$C$40,Assumptions!$BB118,'TRA balance'!$D$5:$D$40,Assumptions!$BC118)),"")</f>
        <v>5.7484010375999999</v>
      </c>
      <c r="BG118" s="34">
        <f>IFERROR(ABS(SUMIFS('TRA balance'!H$5:H$40,'TRA balance'!$C$5:$C$40,Assumptions!$BB118,'TRA balance'!$D$5:$D$40,Assumptions!$BC118)),"")</f>
        <v>0</v>
      </c>
      <c r="BH118" s="34">
        <f>IFERROR(ABS(SUMIFS('TRA balance'!I$5:I$40,'TRA balance'!$C$5:$C$40,Assumptions!$BB118,'TRA balance'!$D$5:$D$40,Assumptions!$BC118)),"")</f>
        <v>0</v>
      </c>
      <c r="BI118" s="34">
        <f>IFERROR(ABS(SUMIFS('TRA balance'!J$5:J$40,'TRA balance'!$C$5:$C$40,Assumptions!$BB118,'TRA balance'!$D$5:$D$40,Assumptions!$BC118)),"")</f>
        <v>2.8001318399999999E-2</v>
      </c>
      <c r="BJ118" s="34">
        <f>IFERROR(ABS(SUMIFS('TRA balance'!K$5:K$40,'TRA balance'!$C$5:$C$40,Assumptions!$BB118,'TRA balance'!$D$5:$D$40,Assumptions!$BC118)),"")</f>
        <v>40.989353965200003</v>
      </c>
      <c r="BK118" s="34">
        <f>IFERROR(ABS(SUMIFS('TRA balance'!L$5:L$40,'TRA balance'!$C$5:$C$40,Assumptions!$BB118,'TRA balance'!$D$5:$D$40,Assumptions!$BC118)),"")</f>
        <v>395.31815841600002</v>
      </c>
      <c r="BL118" s="34">
        <f>IFERROR(ABS(SUMIFS('TRA balance'!M$5:M$40,'TRA balance'!$C$5:$C$40,Assumptions!$BB118,'TRA balance'!$D$5:$D$40,Assumptions!$BC118)),"")</f>
        <v>0</v>
      </c>
      <c r="BM118" s="34">
        <f>IFERROR(ABS(SUMIFS('TRA balance'!N$5:N$40,'TRA balance'!$C$5:$C$40,Assumptions!$BB118,'TRA balance'!$D$5:$D$40,Assumptions!$BC118)),"")</f>
        <v>0</v>
      </c>
      <c r="BN118" s="34">
        <f>IFERROR(ABS(SUMIFS('TRA balance'!O$5:O$40,'TRA balance'!$C$5:$C$40,Assumptions!$BB118,'TRA balance'!$D$5:$D$40,Assumptions!$BC118)),"")</f>
        <v>0.47387877119999999</v>
      </c>
      <c r="BO118" s="34">
        <f>IFERROR(ABS(SUMIFS('TRA balance'!P$5:P$40,'TRA balance'!$C$5:$C$40,Assumptions!$BB118,'TRA balance'!$D$5:$D$40,Assumptions!$BC118)),"")</f>
        <v>0</v>
      </c>
      <c r="BP118" s="34">
        <f>IFERROR(ABS(SUMIFS('TRA balance'!Q$5:Q$40,'TRA balance'!$C$5:$C$40,Assumptions!$BB118,'TRA balance'!$D$5:$D$40,Assumptions!$BC118)),"")</f>
        <v>14.360242518</v>
      </c>
      <c r="BQ118" s="34">
        <f>IFERROR(ABS(SUMIFS('TRA balance'!R$5:R$40,'TRA balance'!$C$5:$C$40,Assumptions!$BB118,'TRA balance'!$D$5:$D$40,Assumptions!$BC118)),"")</f>
        <v>0</v>
      </c>
      <c r="BR118" s="34">
        <f>IFERROR(ABS(SUMIFS('TRA balance'!S$5:S$40,'TRA balance'!$C$5:$C$40,Assumptions!$BB118,'TRA balance'!$D$5:$D$40,Assumptions!$BC118)),"")</f>
        <v>0.19288168920000001</v>
      </c>
      <c r="BS118" s="34">
        <f>IFERROR(ABS(SUMIFS('TRA balance'!T$5:T$40,'TRA balance'!$C$5:$C$40,Assumptions!$BB118,'TRA balance'!$D$5:$D$40,Assumptions!$BC118)),"")</f>
        <v>29.293741692000001</v>
      </c>
      <c r="BT118" s="34">
        <f>IFERROR(ABS(SUMIFS('TRA balance'!U$5:U$40,'TRA balance'!$C$5:$C$40,Assumptions!$BB118,'TRA balance'!$D$5:$D$40,Assumptions!$BC118)),"")</f>
        <v>0</v>
      </c>
      <c r="BU118" s="34">
        <f>IFERROR(ABS(SUMIFS('TRA balance'!V$5:V$40,'TRA balance'!$C$5:$C$40,Assumptions!$BB118,'TRA balance'!$D$5:$D$40,Assumptions!$BC118)),"")</f>
        <v>15.0862796928</v>
      </c>
      <c r="BV118" s="34">
        <f>IFERROR(ABS(SUMIFS('TRA balance'!W$5:W$40,'TRA balance'!$C$5:$C$40,Assumptions!$BB118,'TRA balance'!$D$5:$D$40,Assumptions!$BC118)),"")</f>
        <v>88.755181894800003</v>
      </c>
      <c r="BW118" s="34">
        <f>IFERROR(ABS(SUMIFS('TRA balance'!X$5:X$40,'TRA balance'!$C$5:$C$40,Assumptions!$BB118,'TRA balance'!$D$5:$D$40,Assumptions!$BC118)),"")</f>
        <v>16.624212750000002</v>
      </c>
      <c r="BX118" s="34">
        <f>IFERROR(ABS(SUMIFS('TRA balance'!Y$5:Y$40,'TRA balance'!$C$5:$C$40,Assumptions!$BB118,'TRA balance'!$D$5:$D$40,Assumptions!$BC118)),"")</f>
        <v>0</v>
      </c>
      <c r="BY118" s="34">
        <f>IFERROR(ABS(SUMIFS('TRA balance'!Z$5:Z$40,'TRA balance'!$C$5:$C$40,Assumptions!$BB118,'TRA balance'!$D$5:$D$40,Assumptions!$BC118)),"")</f>
        <v>38.472563815199997</v>
      </c>
      <c r="BZ118" s="34">
        <f>IFERROR(ABS(SUMIFS('TRA balance'!AA$5:AA$40,'TRA balance'!$C$5:$C$40,Assumptions!$BB118,'TRA balance'!$D$5:$D$40,Assumptions!$BC118)),"")</f>
        <v>0.13216052880000001</v>
      </c>
      <c r="CA118" s="34">
        <f>IFERROR(ABS(SUMIFS('TRA balance'!AB$5:AB$40,'TRA balance'!$C$5:$C$40,Assumptions!$BB118,'TRA balance'!$D$5:$D$40,Assumptions!$BC118)),"")</f>
        <v>0</v>
      </c>
      <c r="CB118" s="34">
        <f>IFERROR(ABS(SUMIFS('TRA balance'!AC$5:AC$40,'TRA balance'!$C$5:$C$40,Assumptions!$BB118,'TRA balance'!$D$5:$D$40,Assumptions!$BC118)),"")</f>
        <v>24.921010090799999</v>
      </c>
      <c r="CC118" s="34">
        <f>IFERROR(ABS(SUMIFS('TRA balance'!AD$5:AD$40,'TRA balance'!$C$5:$C$40,Assumptions!$BB118,'TRA balance'!$D$5:$D$40,Assumptions!$BC118)),"")</f>
        <v>7.8600010571999999</v>
      </c>
      <c r="CD118" s="34">
        <f>IFERROR(ABS(SUMIFS('TRA balance'!AE$5:AE$40,'TRA balance'!$C$5:$C$40,Assumptions!$BB118,'TRA balance'!$D$5:$D$40,Assumptions!$BC118)),"")</f>
        <v>0</v>
      </c>
      <c r="CE118" s="34">
        <f>IFERROR(ABS(SUMIFS('TRA balance'!AF$5:AF$40,'TRA balance'!$C$5:$C$40,Assumptions!$BB118,'TRA balance'!$D$5:$D$40,Assumptions!$BC118)),"")</f>
        <v>0</v>
      </c>
      <c r="CF118" s="34">
        <f>IFERROR(ABS(SUMIFS('TRA balance'!AG$5:AG$40,'TRA balance'!$C$5:$C$40,Assumptions!$BB118,'TRA balance'!$D$5:$D$40,Assumptions!$BC118)),"")</f>
        <v>25.9033589748</v>
      </c>
      <c r="CG118" s="34">
        <f>IFERROR(ABS(SUMIFS('TRA balance'!AH$5:AH$40,'TRA balance'!$C$5:$C$40,Assumptions!$BB118,'TRA balance'!$D$5:$D$40,Assumptions!$BC118)),"")</f>
        <v>3.920917266</v>
      </c>
      <c r="CH118" s="34">
        <f>IFERROR(ABS(SUMIFS('TRA balance'!AI$5:AI$40,'TRA balance'!$C$5:$C$40,Assumptions!$BB118,'TRA balance'!$D$5:$D$40,Assumptions!$BC118)),"")</f>
        <v>0</v>
      </c>
      <c r="CI118" s="34">
        <f>IFERROR(ABS(SUMIFS('TRA balance'!AJ$5:AJ$40,'TRA balance'!$C$5:$C$40,Assumptions!$BB118,'TRA balance'!$D$5:$D$40,Assumptions!$BC118)),"")</f>
        <v>1.3999989312000001</v>
      </c>
      <c r="CJ118" s="34">
        <f>IFERROR(ABS(SUMIFS('TRA balance'!AK$5:AK$40,'TRA balance'!$C$5:$C$40,Assumptions!$BB118,'TRA balance'!$D$5:$D$40,Assumptions!$BC118)),"")</f>
        <v>0.330401322</v>
      </c>
      <c r="CK118" s="34">
        <f>IFERROR(ABS(SUMIFS('TRA balance'!AL$5:AL$40,'TRA balance'!$C$5:$C$40,Assumptions!$BB118,'TRA balance'!$D$5:$D$40,Assumptions!$BC118)),"")</f>
        <v>0</v>
      </c>
      <c r="CL118" s="34">
        <f>IFERROR(ABS(SUMIFS('TRA balance'!AM$5:AM$40,'TRA balance'!$C$5:$C$40,Assumptions!$BB118,'TRA balance'!$D$5:$D$40,Assumptions!$BC118)),"")</f>
        <v>0</v>
      </c>
      <c r="CM118" s="34">
        <f>IFERROR(ABS(SUMIFS('TRA balance'!AN$5:AN$40,'TRA balance'!$C$5:$C$40,Assumptions!$BB118,'TRA balance'!$D$5:$D$40,Assumptions!$BC118)),"")</f>
        <v>0</v>
      </c>
      <c r="CN118" s="34">
        <f>IFERROR(ABS(SUMIFS('TRA balance'!AO$5:AO$40,'TRA balance'!$C$5:$C$40,Assumptions!$BB118,'TRA balance'!$D$5:$D$40,Assumptions!$BC118)),"")</f>
        <v>0</v>
      </c>
      <c r="CO118" s="34">
        <f>IFERROR(ABS(SUMIFS('TRA balance'!AP$5:AP$40,'TRA balance'!$C$5:$C$40,Assumptions!$BB118,'TRA balance'!$D$5:$D$40,Assumptions!$BC118)),"")</f>
        <v>0</v>
      </c>
      <c r="CP118" s="34">
        <f>IFERROR(ABS(SUMIFS('TRA balance'!AQ$5:AQ$40,'TRA balance'!$C$5:$C$40,Assumptions!$BB118,'TRA balance'!$D$5:$D$40,Assumptions!$BC118)),"")</f>
        <v>0</v>
      </c>
      <c r="CQ118" s="34">
        <f>IFERROR(ABS(SUMIFS('TRA balance'!AR$5:AR$40,'TRA balance'!$C$5:$C$40,Assumptions!$BB118,'TRA balance'!$D$5:$D$40,Assumptions!$BC118)),"")</f>
        <v>0</v>
      </c>
      <c r="CR118" s="34">
        <f>IFERROR(ABS(SUMIFS('TRA balance'!AS$5:AS$40,'TRA balance'!$C$5:$C$40,Assumptions!$BB118,'TRA balance'!$D$5:$D$40,Assumptions!$BC118)),"")</f>
        <v>0</v>
      </c>
      <c r="CS118" s="34">
        <f>IFERROR(ABS(SUMIFS('TRA balance'!AT$5:AT$40,'TRA balance'!$C$5:$C$40,Assumptions!$BB118,'TRA balance'!$D$5:$D$40,Assumptions!$BC118)),"")</f>
        <v>0</v>
      </c>
      <c r="CT118" s="34">
        <f>IFERROR(ABS(SUMIFS('TRA balance'!AU$5:AU$40,'TRA balance'!$C$5:$C$40,Assumptions!$BB118,'TRA balance'!$D$5:$D$40,Assumptions!$BC118)),"")</f>
        <v>0</v>
      </c>
      <c r="CU118" s="34">
        <f>IFERROR(ABS(SUMIFS('TRA balance'!AV$5:AV$40,'TRA balance'!$C$5:$C$40,Assumptions!$BB118,'TRA balance'!$D$5:$D$40,Assumptions!$BC118)),"")</f>
        <v>0</v>
      </c>
      <c r="CV118" s="34">
        <f>IFERROR(ABS(SUMIFS('TRA balance'!AW$5:AW$40,'TRA balance'!$C$5:$C$40,Assumptions!$BB118,'TRA balance'!$D$5:$D$40,Assumptions!$BC118)),"")</f>
        <v>0</v>
      </c>
      <c r="CW118" s="34">
        <f>IFERROR(ABS(SUMIFS('TRA balance'!AX$5:AX$40,'TRA balance'!$C$5:$C$40,Assumptions!$BB118,'TRA balance'!$D$5:$D$40,Assumptions!$BC118)),"")</f>
        <v>0</v>
      </c>
      <c r="CX118" s="27"/>
    </row>
    <row r="119" spans="3:102">
      <c r="C119" t="str">
        <f t="shared" si="151"/>
        <v>MET</v>
      </c>
      <c r="D119" t="str">
        <f t="shared" si="150"/>
        <v>TRC</v>
      </c>
      <c r="E119" t="s">
        <v>125</v>
      </c>
      <c r="F119" s="1">
        <v>0.108</v>
      </c>
      <c r="G119" s="1">
        <v>0.108</v>
      </c>
      <c r="H119" s="1">
        <v>0.12</v>
      </c>
      <c r="I119" s="1">
        <v>0.12</v>
      </c>
      <c r="J119" s="1">
        <v>0.12</v>
      </c>
      <c r="K119" s="1">
        <v>0.12</v>
      </c>
      <c r="L119" s="1">
        <v>0.12</v>
      </c>
      <c r="M119" s="1">
        <v>0.12</v>
      </c>
      <c r="N119" s="1">
        <v>0.12</v>
      </c>
      <c r="O119" s="1">
        <v>0.12</v>
      </c>
      <c r="P119" s="1">
        <v>0.12</v>
      </c>
      <c r="Q119" s="1">
        <v>0.12</v>
      </c>
      <c r="R119" s="1">
        <v>0.12</v>
      </c>
      <c r="S119" s="1">
        <v>0.12</v>
      </c>
      <c r="T119" s="1">
        <v>0.12</v>
      </c>
      <c r="U119" s="1">
        <v>0.12</v>
      </c>
      <c r="V119" s="1">
        <v>0.12</v>
      </c>
      <c r="W119" s="1">
        <v>0.12</v>
      </c>
      <c r="X119" s="1">
        <v>0.12</v>
      </c>
      <c r="Y119" s="1">
        <v>0.12</v>
      </c>
      <c r="Z119" s="1">
        <v>0.12</v>
      </c>
      <c r="AA119" s="1">
        <v>0.12</v>
      </c>
      <c r="AB119" s="1">
        <v>0.12</v>
      </c>
      <c r="AC119" s="1">
        <v>0.12</v>
      </c>
      <c r="AD119" s="1">
        <v>0.12</v>
      </c>
      <c r="AE119" s="1">
        <v>0.12</v>
      </c>
      <c r="AF119" s="1">
        <v>0.12</v>
      </c>
      <c r="AG119" s="1">
        <v>0.12</v>
      </c>
      <c r="AH119" s="1">
        <v>0.12</v>
      </c>
      <c r="AI119" s="1">
        <v>0.12</v>
      </c>
      <c r="AJ119" s="1">
        <v>0.12</v>
      </c>
      <c r="AK119" s="1">
        <v>0.12</v>
      </c>
      <c r="AL119" s="1">
        <v>0.12</v>
      </c>
      <c r="AM119" s="1">
        <v>0.12</v>
      </c>
      <c r="AN119" s="1">
        <v>0.12</v>
      </c>
      <c r="AO119" s="1">
        <v>0.12</v>
      </c>
      <c r="AP119" s="1">
        <v>0.12</v>
      </c>
      <c r="AQ119" s="1">
        <v>0.12</v>
      </c>
      <c r="AR119" s="1">
        <v>0.12</v>
      </c>
      <c r="AS119" s="1">
        <v>0.12</v>
      </c>
      <c r="AT119" s="1">
        <v>0.12</v>
      </c>
      <c r="AU119" s="1">
        <v>0.12</v>
      </c>
      <c r="AV119" s="1">
        <v>0.12</v>
      </c>
      <c r="AW119" s="1">
        <v>0.12</v>
      </c>
      <c r="AX119" s="1">
        <v>0.12</v>
      </c>
      <c r="AY119" s="1">
        <v>0.12</v>
      </c>
      <c r="AZ119" s="1">
        <v>0.12</v>
      </c>
      <c r="BA119" s="1">
        <v>0.12</v>
      </c>
      <c r="BB119" s="27" t="s">
        <v>21</v>
      </c>
      <c r="BC119" s="27" t="s">
        <v>43</v>
      </c>
      <c r="BD119" s="34">
        <f>IFERROR(ABS(SUMIFS('TRA balance'!E$5:E$40,'TRA balance'!$C$5:$C$40,Assumptions!$BB119,'TRA balance'!$D$5:$D$40,Assumptions!$BC119)),"")</f>
        <v>0</v>
      </c>
      <c r="BE119" s="34">
        <f>IFERROR(ABS(SUMIFS('TRA balance'!F$5:F$40,'TRA balance'!$C$5:$C$40,Assumptions!$BB119,'TRA balance'!$D$5:$D$40,Assumptions!$BC119)),"")</f>
        <v>0</v>
      </c>
      <c r="BF119" s="34">
        <f>IFERROR(ABS(SUMIFS('TRA balance'!G$5:G$40,'TRA balance'!$C$5:$C$40,Assumptions!$BB119,'TRA balance'!$D$5:$D$40,Assumptions!$BC119)),"")</f>
        <v>0</v>
      </c>
      <c r="BG119" s="34">
        <f>IFERROR(ABS(SUMIFS('TRA balance'!H$5:H$40,'TRA balance'!$C$5:$C$40,Assumptions!$BB119,'TRA balance'!$D$5:$D$40,Assumptions!$BC119)),"")</f>
        <v>0</v>
      </c>
      <c r="BH119" s="34">
        <f>IFERROR(ABS(SUMIFS('TRA balance'!I$5:I$40,'TRA balance'!$C$5:$C$40,Assumptions!$BB119,'TRA balance'!$D$5:$D$40,Assumptions!$BC119)),"")</f>
        <v>0</v>
      </c>
      <c r="BI119" s="34">
        <f>IFERROR(ABS(SUMIFS('TRA balance'!J$5:J$40,'TRA balance'!$C$5:$C$40,Assumptions!$BB119,'TRA balance'!$D$5:$D$40,Assumptions!$BC119)),"")</f>
        <v>0</v>
      </c>
      <c r="BJ119" s="34">
        <f>IFERROR(ABS(SUMIFS('TRA balance'!K$5:K$40,'TRA balance'!$C$5:$C$40,Assumptions!$BB119,'TRA balance'!$D$5:$D$40,Assumptions!$BC119)),"")</f>
        <v>0</v>
      </c>
      <c r="BK119" s="34">
        <f>IFERROR(ABS(SUMIFS('TRA balance'!L$5:L$40,'TRA balance'!$C$5:$C$40,Assumptions!$BB119,'TRA balance'!$D$5:$D$40,Assumptions!$BC119)),"")</f>
        <v>0</v>
      </c>
      <c r="BL119" s="34">
        <f>IFERROR(ABS(SUMIFS('TRA balance'!M$5:M$40,'TRA balance'!$C$5:$C$40,Assumptions!$BB119,'TRA balance'!$D$5:$D$40,Assumptions!$BC119)),"")</f>
        <v>0</v>
      </c>
      <c r="BM119" s="34">
        <f>IFERROR(ABS(SUMIFS('TRA balance'!N$5:N$40,'TRA balance'!$C$5:$C$40,Assumptions!$BB119,'TRA balance'!$D$5:$D$40,Assumptions!$BC119)),"")</f>
        <v>0</v>
      </c>
      <c r="BN119" s="34">
        <f>IFERROR(ABS(SUMIFS('TRA balance'!O$5:O$40,'TRA balance'!$C$5:$C$40,Assumptions!$BB119,'TRA balance'!$D$5:$D$40,Assumptions!$BC119)),"")</f>
        <v>0</v>
      </c>
      <c r="BO119" s="34">
        <f>IFERROR(ABS(SUMIFS('TRA balance'!P$5:P$40,'TRA balance'!$C$5:$C$40,Assumptions!$BB119,'TRA balance'!$D$5:$D$40,Assumptions!$BC119)),"")</f>
        <v>0</v>
      </c>
      <c r="BP119" s="34">
        <f>IFERROR(ABS(SUMIFS('TRA balance'!Q$5:Q$40,'TRA balance'!$C$5:$C$40,Assumptions!$BB119,'TRA balance'!$D$5:$D$40,Assumptions!$BC119)),"")</f>
        <v>0</v>
      </c>
      <c r="BQ119" s="34">
        <f>IFERROR(ABS(SUMIFS('TRA balance'!R$5:R$40,'TRA balance'!$C$5:$C$40,Assumptions!$BB119,'TRA balance'!$D$5:$D$40,Assumptions!$BC119)),"")</f>
        <v>0</v>
      </c>
      <c r="BR119" s="34">
        <f>IFERROR(ABS(SUMIFS('TRA balance'!S$5:S$40,'TRA balance'!$C$5:$C$40,Assumptions!$BB119,'TRA balance'!$D$5:$D$40,Assumptions!$BC119)),"")</f>
        <v>0</v>
      </c>
      <c r="BS119" s="34">
        <f>IFERROR(ABS(SUMIFS('TRA balance'!T$5:T$40,'TRA balance'!$C$5:$C$40,Assumptions!$BB119,'TRA balance'!$D$5:$D$40,Assumptions!$BC119)),"")</f>
        <v>0</v>
      </c>
      <c r="BT119" s="34">
        <f>IFERROR(ABS(SUMIFS('TRA balance'!U$5:U$40,'TRA balance'!$C$5:$C$40,Assumptions!$BB119,'TRA balance'!$D$5:$D$40,Assumptions!$BC119)),"")</f>
        <v>0</v>
      </c>
      <c r="BU119" s="34">
        <f>IFERROR(ABS(SUMIFS('TRA balance'!V$5:V$40,'TRA balance'!$C$5:$C$40,Assumptions!$BB119,'TRA balance'!$D$5:$D$40,Assumptions!$BC119)),"")</f>
        <v>0</v>
      </c>
      <c r="BV119" s="34">
        <f>IFERROR(ABS(SUMIFS('TRA balance'!W$5:W$40,'TRA balance'!$C$5:$C$40,Assumptions!$BB119,'TRA balance'!$D$5:$D$40,Assumptions!$BC119)),"")</f>
        <v>0</v>
      </c>
      <c r="BW119" s="34">
        <f>IFERROR(ABS(SUMIFS('TRA balance'!X$5:X$40,'TRA balance'!$C$5:$C$40,Assumptions!$BB119,'TRA balance'!$D$5:$D$40,Assumptions!$BC119)),"")</f>
        <v>0</v>
      </c>
      <c r="BX119" s="34">
        <f>IFERROR(ABS(SUMIFS('TRA balance'!Y$5:Y$40,'TRA balance'!$C$5:$C$40,Assumptions!$BB119,'TRA balance'!$D$5:$D$40,Assumptions!$BC119)),"")</f>
        <v>0</v>
      </c>
      <c r="BY119" s="34">
        <f>IFERROR(ABS(SUMIFS('TRA balance'!Z$5:Z$40,'TRA balance'!$C$5:$C$40,Assumptions!$BB119,'TRA balance'!$D$5:$D$40,Assumptions!$BC119)),"")</f>
        <v>0</v>
      </c>
      <c r="BZ119" s="34">
        <f>IFERROR(ABS(SUMIFS('TRA balance'!AA$5:AA$40,'TRA balance'!$C$5:$C$40,Assumptions!$BB119,'TRA balance'!$D$5:$D$40,Assumptions!$BC119)),"")</f>
        <v>0</v>
      </c>
      <c r="CA119" s="34">
        <f>IFERROR(ABS(SUMIFS('TRA balance'!AB$5:AB$40,'TRA balance'!$C$5:$C$40,Assumptions!$BB119,'TRA balance'!$D$5:$D$40,Assumptions!$BC119)),"")</f>
        <v>0</v>
      </c>
      <c r="CB119" s="34">
        <f>IFERROR(ABS(SUMIFS('TRA balance'!AC$5:AC$40,'TRA balance'!$C$5:$C$40,Assumptions!$BB119,'TRA balance'!$D$5:$D$40,Assumptions!$BC119)),"")</f>
        <v>0</v>
      </c>
      <c r="CC119" s="34">
        <f>IFERROR(ABS(SUMIFS('TRA balance'!AD$5:AD$40,'TRA balance'!$C$5:$C$40,Assumptions!$BB119,'TRA balance'!$D$5:$D$40,Assumptions!$BC119)),"")</f>
        <v>0</v>
      </c>
      <c r="CD119" s="34">
        <f>IFERROR(ABS(SUMIFS('TRA balance'!AE$5:AE$40,'TRA balance'!$C$5:$C$40,Assumptions!$BB119,'TRA balance'!$D$5:$D$40,Assumptions!$BC119)),"")</f>
        <v>0</v>
      </c>
      <c r="CE119" s="34">
        <f>IFERROR(ABS(SUMIFS('TRA balance'!AF$5:AF$40,'TRA balance'!$C$5:$C$40,Assumptions!$BB119,'TRA balance'!$D$5:$D$40,Assumptions!$BC119)),"")</f>
        <v>0</v>
      </c>
      <c r="CF119" s="34">
        <f>IFERROR(ABS(SUMIFS('TRA balance'!AG$5:AG$40,'TRA balance'!$C$5:$C$40,Assumptions!$BB119,'TRA balance'!$D$5:$D$40,Assumptions!$BC119)),"")</f>
        <v>0</v>
      </c>
      <c r="CG119" s="34">
        <f>IFERROR(ABS(SUMIFS('TRA balance'!AH$5:AH$40,'TRA balance'!$C$5:$C$40,Assumptions!$BB119,'TRA balance'!$D$5:$D$40,Assumptions!$BC119)),"")</f>
        <v>0</v>
      </c>
      <c r="CH119" s="34">
        <f>IFERROR(ABS(SUMIFS('TRA balance'!AI$5:AI$40,'TRA balance'!$C$5:$C$40,Assumptions!$BB119,'TRA balance'!$D$5:$D$40,Assumptions!$BC119)),"")</f>
        <v>0</v>
      </c>
      <c r="CI119" s="34">
        <f>IFERROR(ABS(SUMIFS('TRA balance'!AJ$5:AJ$40,'TRA balance'!$C$5:$C$40,Assumptions!$BB119,'TRA balance'!$D$5:$D$40,Assumptions!$BC119)),"")</f>
        <v>0</v>
      </c>
      <c r="CJ119" s="34">
        <f>IFERROR(ABS(SUMIFS('TRA balance'!AK$5:AK$40,'TRA balance'!$C$5:$C$40,Assumptions!$BB119,'TRA balance'!$D$5:$D$40,Assumptions!$BC119)),"")</f>
        <v>0</v>
      </c>
      <c r="CK119" s="34">
        <f>IFERROR(ABS(SUMIFS('TRA balance'!AL$5:AL$40,'TRA balance'!$C$5:$C$40,Assumptions!$BB119,'TRA balance'!$D$5:$D$40,Assumptions!$BC119)),"")</f>
        <v>0</v>
      </c>
      <c r="CL119" s="34">
        <f>IFERROR(ABS(SUMIFS('TRA balance'!AM$5:AM$40,'TRA balance'!$C$5:$C$40,Assumptions!$BB119,'TRA balance'!$D$5:$D$40,Assumptions!$BC119)),"")</f>
        <v>0</v>
      </c>
      <c r="CM119" s="34">
        <f>IFERROR(ABS(SUMIFS('TRA balance'!AN$5:AN$40,'TRA balance'!$C$5:$C$40,Assumptions!$BB119,'TRA balance'!$D$5:$D$40,Assumptions!$BC119)),"")</f>
        <v>0</v>
      </c>
      <c r="CN119" s="34">
        <f>IFERROR(ABS(SUMIFS('TRA balance'!AO$5:AO$40,'TRA balance'!$C$5:$C$40,Assumptions!$BB119,'TRA balance'!$D$5:$D$40,Assumptions!$BC119)),"")</f>
        <v>0</v>
      </c>
      <c r="CO119" s="34">
        <f>IFERROR(ABS(SUMIFS('TRA balance'!AP$5:AP$40,'TRA balance'!$C$5:$C$40,Assumptions!$BB119,'TRA balance'!$D$5:$D$40,Assumptions!$BC119)),"")</f>
        <v>0</v>
      </c>
      <c r="CP119" s="34">
        <f>IFERROR(ABS(SUMIFS('TRA balance'!AQ$5:AQ$40,'TRA balance'!$C$5:$C$40,Assumptions!$BB119,'TRA balance'!$D$5:$D$40,Assumptions!$BC119)),"")</f>
        <v>0</v>
      </c>
      <c r="CQ119" s="34">
        <f>IFERROR(ABS(SUMIFS('TRA balance'!AR$5:AR$40,'TRA balance'!$C$5:$C$40,Assumptions!$BB119,'TRA balance'!$D$5:$D$40,Assumptions!$BC119)),"")</f>
        <v>0</v>
      </c>
      <c r="CR119" s="34">
        <f>IFERROR(ABS(SUMIFS('TRA balance'!AS$5:AS$40,'TRA balance'!$C$5:$C$40,Assumptions!$BB119,'TRA balance'!$D$5:$D$40,Assumptions!$BC119)),"")</f>
        <v>0</v>
      </c>
      <c r="CS119" s="34">
        <f>IFERROR(ABS(SUMIFS('TRA balance'!AT$5:AT$40,'TRA balance'!$C$5:$C$40,Assumptions!$BB119,'TRA balance'!$D$5:$D$40,Assumptions!$BC119)),"")</f>
        <v>0</v>
      </c>
      <c r="CT119" s="34">
        <f>IFERROR(ABS(SUMIFS('TRA balance'!AU$5:AU$40,'TRA balance'!$C$5:$C$40,Assumptions!$BB119,'TRA balance'!$D$5:$D$40,Assumptions!$BC119)),"")</f>
        <v>0</v>
      </c>
      <c r="CU119" s="34">
        <f>IFERROR(ABS(SUMIFS('TRA balance'!AV$5:AV$40,'TRA balance'!$C$5:$C$40,Assumptions!$BB119,'TRA balance'!$D$5:$D$40,Assumptions!$BC119)),"")</f>
        <v>0</v>
      </c>
      <c r="CV119" s="34">
        <f>IFERROR(ABS(SUMIFS('TRA balance'!AW$5:AW$40,'TRA balance'!$C$5:$C$40,Assumptions!$BB119,'TRA balance'!$D$5:$D$40,Assumptions!$BC119)),"")</f>
        <v>0</v>
      </c>
      <c r="CW119" s="34">
        <f>IFERROR(ABS(SUMIFS('TRA balance'!AX$5:AX$40,'TRA balance'!$C$5:$C$40,Assumptions!$BB119,'TRA balance'!$D$5:$D$40,Assumptions!$BC119)),"")</f>
        <v>0</v>
      </c>
      <c r="CX119" s="27"/>
    </row>
    <row r="120" spans="3:102">
      <c r="C120" t="str">
        <f t="shared" si="151"/>
        <v>NGA</v>
      </c>
      <c r="D120" t="str">
        <f t="shared" si="150"/>
        <v>TRC</v>
      </c>
      <c r="E120" t="s">
        <v>126</v>
      </c>
      <c r="F120" s="1">
        <v>0.108</v>
      </c>
      <c r="G120" s="1">
        <v>0.108</v>
      </c>
      <c r="H120" s="1">
        <v>0.12</v>
      </c>
      <c r="I120" s="1">
        <v>0.12</v>
      </c>
      <c r="J120" s="1">
        <v>0.12</v>
      </c>
      <c r="K120" s="1">
        <v>0.12</v>
      </c>
      <c r="L120" s="1">
        <v>0.12</v>
      </c>
      <c r="M120" s="1">
        <v>0.12</v>
      </c>
      <c r="N120" s="1">
        <v>0.12</v>
      </c>
      <c r="O120" s="1">
        <v>0.12</v>
      </c>
      <c r="P120" s="1">
        <v>0.12</v>
      </c>
      <c r="Q120" s="1">
        <v>0.12</v>
      </c>
      <c r="R120" s="1">
        <v>0.12</v>
      </c>
      <c r="S120" s="1">
        <v>0.12</v>
      </c>
      <c r="T120" s="1">
        <v>0.12</v>
      </c>
      <c r="U120" s="1">
        <v>0.12</v>
      </c>
      <c r="V120" s="1">
        <v>0.12</v>
      </c>
      <c r="W120" s="1">
        <v>0.12</v>
      </c>
      <c r="X120" s="1">
        <v>0.12</v>
      </c>
      <c r="Y120" s="1">
        <v>0.12</v>
      </c>
      <c r="Z120" s="1">
        <v>0.12</v>
      </c>
      <c r="AA120" s="1">
        <v>0.12</v>
      </c>
      <c r="AB120" s="1">
        <v>0.12</v>
      </c>
      <c r="AC120" s="1">
        <v>0.12</v>
      </c>
      <c r="AD120" s="1">
        <v>0.12</v>
      </c>
      <c r="AE120" s="1">
        <v>0.12</v>
      </c>
      <c r="AF120" s="1">
        <v>0.12</v>
      </c>
      <c r="AG120" s="1">
        <v>0.12</v>
      </c>
      <c r="AH120" s="1">
        <v>0.12</v>
      </c>
      <c r="AI120" s="1">
        <v>0.12</v>
      </c>
      <c r="AJ120" s="1">
        <v>0.12</v>
      </c>
      <c r="AK120" s="1">
        <v>0.12</v>
      </c>
      <c r="AL120" s="1">
        <v>0.12</v>
      </c>
      <c r="AM120" s="1">
        <v>0.12</v>
      </c>
      <c r="AN120" s="1">
        <v>0.12</v>
      </c>
      <c r="AO120" s="1">
        <v>0.12</v>
      </c>
      <c r="AP120" s="1">
        <v>0.12</v>
      </c>
      <c r="AQ120" s="1">
        <v>0.12</v>
      </c>
      <c r="AR120" s="1">
        <v>0.12</v>
      </c>
      <c r="AS120" s="1">
        <v>0.12</v>
      </c>
      <c r="AT120" s="1">
        <v>0.12</v>
      </c>
      <c r="AU120" s="1">
        <v>0.12</v>
      </c>
      <c r="AV120" s="1">
        <v>0.12</v>
      </c>
      <c r="AW120" s="1">
        <v>0.12</v>
      </c>
      <c r="AX120" s="1">
        <v>0.12</v>
      </c>
      <c r="AY120" s="1">
        <v>0.12</v>
      </c>
      <c r="AZ120" s="1">
        <v>0.12</v>
      </c>
      <c r="BA120" s="1">
        <v>0.12</v>
      </c>
      <c r="BB120" s="27" t="s">
        <v>21</v>
      </c>
      <c r="BC120" s="27" t="s">
        <v>39</v>
      </c>
      <c r="BD120" s="34">
        <f>IFERROR(ABS(SUMIFS('TRA balance'!E$5:E$40,'TRA balance'!$C$5:$C$40,Assumptions!$BB120,'TRA balance'!$D$5:$D$40,Assumptions!$BC120)),"")</f>
        <v>0</v>
      </c>
      <c r="BE120" s="34">
        <f>IFERROR(ABS(SUMIFS('TRA balance'!F$5:F$40,'TRA balance'!$C$5:$C$40,Assumptions!$BB120,'TRA balance'!$D$5:$D$40,Assumptions!$BC120)),"")</f>
        <v>0</v>
      </c>
      <c r="BF120" s="34">
        <f>IFERROR(ABS(SUMIFS('TRA balance'!G$5:G$40,'TRA balance'!$C$5:$C$40,Assumptions!$BB120,'TRA balance'!$D$5:$D$40,Assumptions!$BC120)),"")</f>
        <v>0</v>
      </c>
      <c r="BG120" s="34">
        <f>IFERROR(ABS(SUMIFS('TRA balance'!H$5:H$40,'TRA balance'!$C$5:$C$40,Assumptions!$BB120,'TRA balance'!$D$5:$D$40,Assumptions!$BC120)),"")</f>
        <v>0</v>
      </c>
      <c r="BH120" s="34">
        <f>IFERROR(ABS(SUMIFS('TRA balance'!I$5:I$40,'TRA balance'!$C$5:$C$40,Assumptions!$BB120,'TRA balance'!$D$5:$D$40,Assumptions!$BC120)),"")</f>
        <v>0</v>
      </c>
      <c r="BI120" s="34">
        <f>IFERROR(ABS(SUMIFS('TRA balance'!J$5:J$40,'TRA balance'!$C$5:$C$40,Assumptions!$BB120,'TRA balance'!$D$5:$D$40,Assumptions!$BC120)),"")</f>
        <v>0</v>
      </c>
      <c r="BJ120" s="34">
        <f>IFERROR(ABS(SUMIFS('TRA balance'!K$5:K$40,'TRA balance'!$C$5:$C$40,Assumptions!$BB120,'TRA balance'!$D$5:$D$40,Assumptions!$BC120)),"")</f>
        <v>0</v>
      </c>
      <c r="BK120" s="34">
        <f>IFERROR(ABS(SUMIFS('TRA balance'!L$5:L$40,'TRA balance'!$C$5:$C$40,Assumptions!$BB120,'TRA balance'!$D$5:$D$40,Assumptions!$BC120)),"")</f>
        <v>0</v>
      </c>
      <c r="BL120" s="34">
        <f>IFERROR(ABS(SUMIFS('TRA balance'!M$5:M$40,'TRA balance'!$C$5:$C$40,Assumptions!$BB120,'TRA balance'!$D$5:$D$40,Assumptions!$BC120)),"")</f>
        <v>0</v>
      </c>
      <c r="BM120" s="34">
        <f>IFERROR(ABS(SUMIFS('TRA balance'!N$5:N$40,'TRA balance'!$C$5:$C$40,Assumptions!$BB120,'TRA balance'!$D$5:$D$40,Assumptions!$BC120)),"")</f>
        <v>0</v>
      </c>
      <c r="BN120" s="34">
        <f>IFERROR(ABS(SUMIFS('TRA balance'!O$5:O$40,'TRA balance'!$C$5:$C$40,Assumptions!$BB120,'TRA balance'!$D$5:$D$40,Assumptions!$BC120)),"")</f>
        <v>0</v>
      </c>
      <c r="BO120" s="34">
        <f>IFERROR(ABS(SUMIFS('TRA balance'!P$5:P$40,'TRA balance'!$C$5:$C$40,Assumptions!$BB120,'TRA balance'!$D$5:$D$40,Assumptions!$BC120)),"")</f>
        <v>0</v>
      </c>
      <c r="BP120" s="34">
        <f>IFERROR(ABS(SUMIFS('TRA balance'!Q$5:Q$40,'TRA balance'!$C$5:$C$40,Assumptions!$BB120,'TRA balance'!$D$5:$D$40,Assumptions!$BC120)),"")</f>
        <v>0</v>
      </c>
      <c r="BQ120" s="34">
        <f>IFERROR(ABS(SUMIFS('TRA balance'!R$5:R$40,'TRA balance'!$C$5:$C$40,Assumptions!$BB120,'TRA balance'!$D$5:$D$40,Assumptions!$BC120)),"")</f>
        <v>0</v>
      </c>
      <c r="BR120" s="34">
        <f>IFERROR(ABS(SUMIFS('TRA balance'!S$5:S$40,'TRA balance'!$C$5:$C$40,Assumptions!$BB120,'TRA balance'!$D$5:$D$40,Assumptions!$BC120)),"")</f>
        <v>0</v>
      </c>
      <c r="BS120" s="34">
        <f>IFERROR(ABS(SUMIFS('TRA balance'!T$5:T$40,'TRA balance'!$C$5:$C$40,Assumptions!$BB120,'TRA balance'!$D$5:$D$40,Assumptions!$BC120)),"")</f>
        <v>0</v>
      </c>
      <c r="BT120" s="34">
        <f>IFERROR(ABS(SUMIFS('TRA balance'!U$5:U$40,'TRA balance'!$C$5:$C$40,Assumptions!$BB120,'TRA balance'!$D$5:$D$40,Assumptions!$BC120)),"")</f>
        <v>0</v>
      </c>
      <c r="BU120" s="34">
        <f>IFERROR(ABS(SUMIFS('TRA balance'!V$5:V$40,'TRA balance'!$C$5:$C$40,Assumptions!$BB120,'TRA balance'!$D$5:$D$40,Assumptions!$BC120)),"")</f>
        <v>0</v>
      </c>
      <c r="BV120" s="34">
        <f>IFERROR(ABS(SUMIFS('TRA balance'!W$5:W$40,'TRA balance'!$C$5:$C$40,Assumptions!$BB120,'TRA balance'!$D$5:$D$40,Assumptions!$BC120)),"")</f>
        <v>0</v>
      </c>
      <c r="BW120" s="34">
        <f>IFERROR(ABS(SUMIFS('TRA balance'!X$5:X$40,'TRA balance'!$C$5:$C$40,Assumptions!$BB120,'TRA balance'!$D$5:$D$40,Assumptions!$BC120)),"")</f>
        <v>0</v>
      </c>
      <c r="BX120" s="34">
        <f>IFERROR(ABS(SUMIFS('TRA balance'!Y$5:Y$40,'TRA balance'!$C$5:$C$40,Assumptions!$BB120,'TRA balance'!$D$5:$D$40,Assumptions!$BC120)),"")</f>
        <v>0</v>
      </c>
      <c r="BY120" s="34">
        <f>IFERROR(ABS(SUMIFS('TRA balance'!Z$5:Z$40,'TRA balance'!$C$5:$C$40,Assumptions!$BB120,'TRA balance'!$D$5:$D$40,Assumptions!$BC120)),"")</f>
        <v>0</v>
      </c>
      <c r="BZ120" s="34">
        <f>IFERROR(ABS(SUMIFS('TRA balance'!AA$5:AA$40,'TRA balance'!$C$5:$C$40,Assumptions!$BB120,'TRA balance'!$D$5:$D$40,Assumptions!$BC120)),"")</f>
        <v>0</v>
      </c>
      <c r="CA120" s="34">
        <f>IFERROR(ABS(SUMIFS('TRA balance'!AB$5:AB$40,'TRA balance'!$C$5:$C$40,Assumptions!$BB120,'TRA balance'!$D$5:$D$40,Assumptions!$BC120)),"")</f>
        <v>0</v>
      </c>
      <c r="CB120" s="34">
        <f>IFERROR(ABS(SUMIFS('TRA balance'!AC$5:AC$40,'TRA balance'!$C$5:$C$40,Assumptions!$BB120,'TRA balance'!$D$5:$D$40,Assumptions!$BC120)),"")</f>
        <v>0</v>
      </c>
      <c r="CC120" s="34">
        <f>IFERROR(ABS(SUMIFS('TRA balance'!AD$5:AD$40,'TRA balance'!$C$5:$C$40,Assumptions!$BB120,'TRA balance'!$D$5:$D$40,Assumptions!$BC120)),"")</f>
        <v>0</v>
      </c>
      <c r="CD120" s="34">
        <f>IFERROR(ABS(SUMIFS('TRA balance'!AE$5:AE$40,'TRA balance'!$C$5:$C$40,Assumptions!$BB120,'TRA balance'!$D$5:$D$40,Assumptions!$BC120)),"")</f>
        <v>0</v>
      </c>
      <c r="CE120" s="34">
        <f>IFERROR(ABS(SUMIFS('TRA balance'!AF$5:AF$40,'TRA balance'!$C$5:$C$40,Assumptions!$BB120,'TRA balance'!$D$5:$D$40,Assumptions!$BC120)),"")</f>
        <v>0</v>
      </c>
      <c r="CF120" s="34">
        <f>IFERROR(ABS(SUMIFS('TRA balance'!AG$5:AG$40,'TRA balance'!$C$5:$C$40,Assumptions!$BB120,'TRA balance'!$D$5:$D$40,Assumptions!$BC120)),"")</f>
        <v>0</v>
      </c>
      <c r="CG120" s="34">
        <f>IFERROR(ABS(SUMIFS('TRA balance'!AH$5:AH$40,'TRA balance'!$C$5:$C$40,Assumptions!$BB120,'TRA balance'!$D$5:$D$40,Assumptions!$BC120)),"")</f>
        <v>0</v>
      </c>
      <c r="CH120" s="34">
        <f>IFERROR(ABS(SUMIFS('TRA balance'!AI$5:AI$40,'TRA balance'!$C$5:$C$40,Assumptions!$BB120,'TRA balance'!$D$5:$D$40,Assumptions!$BC120)),"")</f>
        <v>0</v>
      </c>
      <c r="CI120" s="34">
        <f>IFERROR(ABS(SUMIFS('TRA balance'!AJ$5:AJ$40,'TRA balance'!$C$5:$C$40,Assumptions!$BB120,'TRA balance'!$D$5:$D$40,Assumptions!$BC120)),"")</f>
        <v>0</v>
      </c>
      <c r="CJ120" s="34">
        <f>IFERROR(ABS(SUMIFS('TRA balance'!AK$5:AK$40,'TRA balance'!$C$5:$C$40,Assumptions!$BB120,'TRA balance'!$D$5:$D$40,Assumptions!$BC120)),"")</f>
        <v>0</v>
      </c>
      <c r="CK120" s="34">
        <f>IFERROR(ABS(SUMIFS('TRA balance'!AL$5:AL$40,'TRA balance'!$C$5:$C$40,Assumptions!$BB120,'TRA balance'!$D$5:$D$40,Assumptions!$BC120)),"")</f>
        <v>0</v>
      </c>
      <c r="CL120" s="34">
        <f>IFERROR(ABS(SUMIFS('TRA balance'!AM$5:AM$40,'TRA balance'!$C$5:$C$40,Assumptions!$BB120,'TRA balance'!$D$5:$D$40,Assumptions!$BC120)),"")</f>
        <v>0</v>
      </c>
      <c r="CM120" s="34">
        <f>IFERROR(ABS(SUMIFS('TRA balance'!AN$5:AN$40,'TRA balance'!$C$5:$C$40,Assumptions!$BB120,'TRA balance'!$D$5:$D$40,Assumptions!$BC120)),"")</f>
        <v>0</v>
      </c>
      <c r="CN120" s="34">
        <f>IFERROR(ABS(SUMIFS('TRA balance'!AO$5:AO$40,'TRA balance'!$C$5:$C$40,Assumptions!$BB120,'TRA balance'!$D$5:$D$40,Assumptions!$BC120)),"")</f>
        <v>0</v>
      </c>
      <c r="CO120" s="34">
        <f>IFERROR(ABS(SUMIFS('TRA balance'!AP$5:AP$40,'TRA balance'!$C$5:$C$40,Assumptions!$BB120,'TRA balance'!$D$5:$D$40,Assumptions!$BC120)),"")</f>
        <v>0</v>
      </c>
      <c r="CP120" s="34">
        <f>IFERROR(ABS(SUMIFS('TRA balance'!AQ$5:AQ$40,'TRA balance'!$C$5:$C$40,Assumptions!$BB120,'TRA balance'!$D$5:$D$40,Assumptions!$BC120)),"")</f>
        <v>0</v>
      </c>
      <c r="CQ120" s="34">
        <f>IFERROR(ABS(SUMIFS('TRA balance'!AR$5:AR$40,'TRA balance'!$C$5:$C$40,Assumptions!$BB120,'TRA balance'!$D$5:$D$40,Assumptions!$BC120)),"")</f>
        <v>0</v>
      </c>
      <c r="CR120" s="34">
        <f>IFERROR(ABS(SUMIFS('TRA balance'!AS$5:AS$40,'TRA balance'!$C$5:$C$40,Assumptions!$BB120,'TRA balance'!$D$5:$D$40,Assumptions!$BC120)),"")</f>
        <v>0</v>
      </c>
      <c r="CS120" s="34">
        <f>IFERROR(ABS(SUMIFS('TRA balance'!AT$5:AT$40,'TRA balance'!$C$5:$C$40,Assumptions!$BB120,'TRA balance'!$D$5:$D$40,Assumptions!$BC120)),"")</f>
        <v>0</v>
      </c>
      <c r="CT120" s="34">
        <f>IFERROR(ABS(SUMIFS('TRA balance'!AU$5:AU$40,'TRA balance'!$C$5:$C$40,Assumptions!$BB120,'TRA balance'!$D$5:$D$40,Assumptions!$BC120)),"")</f>
        <v>0</v>
      </c>
      <c r="CU120" s="34">
        <f>IFERROR(ABS(SUMIFS('TRA balance'!AV$5:AV$40,'TRA balance'!$C$5:$C$40,Assumptions!$BB120,'TRA balance'!$D$5:$D$40,Assumptions!$BC120)),"")</f>
        <v>0</v>
      </c>
      <c r="CV120" s="34">
        <f>IFERROR(ABS(SUMIFS('TRA balance'!AW$5:AW$40,'TRA balance'!$C$5:$C$40,Assumptions!$BB120,'TRA balance'!$D$5:$D$40,Assumptions!$BC120)),"")</f>
        <v>0</v>
      </c>
      <c r="CW120" s="34">
        <f>IFERROR(ABS(SUMIFS('TRA balance'!AX$5:AX$40,'TRA balance'!$C$5:$C$40,Assumptions!$BB120,'TRA balance'!$D$5:$D$40,Assumptions!$BC120)),"")</f>
        <v>0</v>
      </c>
      <c r="CX120" s="27"/>
    </row>
    <row r="121" spans="3:102">
      <c r="C121" t="str">
        <f t="shared" si="151"/>
        <v>DST</v>
      </c>
      <c r="D121" t="str">
        <f t="shared" si="150"/>
        <v>TRE</v>
      </c>
      <c r="E121" t="s">
        <v>129</v>
      </c>
      <c r="F121" s="1">
        <v>0.28000000000000003</v>
      </c>
      <c r="G121" s="1">
        <v>0.28000000000000003</v>
      </c>
      <c r="H121" s="1">
        <v>0.28000000000000003</v>
      </c>
      <c r="I121" s="1">
        <v>0.28000000000000003</v>
      </c>
      <c r="J121" s="1">
        <v>0.28000000000000003</v>
      </c>
      <c r="K121" s="1">
        <v>0.28000000000000003</v>
      </c>
      <c r="L121" s="1">
        <v>0.28000000000000003</v>
      </c>
      <c r="M121" s="1">
        <v>0.28000000000000003</v>
      </c>
      <c r="N121" s="1">
        <v>0.28000000000000003</v>
      </c>
      <c r="O121" s="1">
        <v>0.28000000000000003</v>
      </c>
      <c r="P121" s="1">
        <v>0.28000000000000003</v>
      </c>
      <c r="Q121" s="1">
        <v>0.28000000000000003</v>
      </c>
      <c r="R121" s="1">
        <v>0.28000000000000003</v>
      </c>
      <c r="S121" s="1">
        <v>0.28000000000000003</v>
      </c>
      <c r="T121" s="1">
        <v>0.28000000000000003</v>
      </c>
      <c r="U121" s="1">
        <v>0.28000000000000003</v>
      </c>
      <c r="V121" s="1">
        <v>0.28000000000000003</v>
      </c>
      <c r="W121" s="1">
        <v>0.28000000000000003</v>
      </c>
      <c r="X121" s="1">
        <v>0.28000000000000003</v>
      </c>
      <c r="Y121" s="1">
        <v>0.28000000000000003</v>
      </c>
      <c r="Z121" s="1">
        <v>0.28000000000000003</v>
      </c>
      <c r="AA121" s="1">
        <v>0.28000000000000003</v>
      </c>
      <c r="AB121" s="1">
        <v>0.28000000000000003</v>
      </c>
      <c r="AC121" s="1">
        <v>0.28000000000000003</v>
      </c>
      <c r="AD121" s="1">
        <v>0.28000000000000003</v>
      </c>
      <c r="AE121" s="1">
        <v>0.28000000000000003</v>
      </c>
      <c r="AF121" s="1">
        <v>0.28000000000000003</v>
      </c>
      <c r="AG121" s="1">
        <v>0.28000000000000003</v>
      </c>
      <c r="AH121" s="1">
        <v>0.28000000000000003</v>
      </c>
      <c r="AI121" s="1">
        <v>0.28000000000000003</v>
      </c>
      <c r="AJ121" s="1">
        <v>0.28000000000000003</v>
      </c>
      <c r="AK121" s="1">
        <v>0.28000000000000003</v>
      </c>
      <c r="AL121" s="1">
        <v>0.28000000000000003</v>
      </c>
      <c r="AM121" s="1">
        <v>0.28000000000000003</v>
      </c>
      <c r="AN121" s="1">
        <v>0.28000000000000003</v>
      </c>
      <c r="AO121" s="1">
        <v>0.28000000000000003</v>
      </c>
      <c r="AP121" s="1">
        <v>0.28000000000000003</v>
      </c>
      <c r="AQ121" s="1">
        <v>0.28000000000000003</v>
      </c>
      <c r="AR121" s="1">
        <v>0.28000000000000003</v>
      </c>
      <c r="AS121" s="1">
        <v>0.28000000000000003</v>
      </c>
      <c r="AT121" s="1">
        <v>0.28000000000000003</v>
      </c>
      <c r="AU121" s="1">
        <v>0.28000000000000003</v>
      </c>
      <c r="AV121" s="1">
        <v>0.28000000000000003</v>
      </c>
      <c r="AW121" s="1">
        <v>0.28000000000000003</v>
      </c>
      <c r="AX121" s="1">
        <v>0.28000000000000003</v>
      </c>
      <c r="AY121" s="1">
        <v>0.28000000000000003</v>
      </c>
      <c r="AZ121" s="1">
        <v>0.28000000000000003</v>
      </c>
      <c r="BA121" s="1">
        <v>0.28000000000000003</v>
      </c>
      <c r="BB121" s="27" t="s">
        <v>21</v>
      </c>
      <c r="BC121" s="27" t="s">
        <v>38</v>
      </c>
      <c r="BD121" s="34">
        <f>IFERROR(ABS(SUMIFS('TRA balance'!E$5:E$40,'TRA balance'!$C$5:$C$40,Assumptions!$BB121,'TRA balance'!$D$5:$D$40,Assumptions!$BC121)),"")</f>
        <v>0</v>
      </c>
      <c r="BE121" s="34">
        <f>IFERROR(ABS(SUMIFS('TRA balance'!F$5:F$40,'TRA balance'!$C$5:$C$40,Assumptions!$BB121,'TRA balance'!$D$5:$D$40,Assumptions!$BC121)),"")</f>
        <v>0</v>
      </c>
      <c r="BF121" s="34">
        <f>IFERROR(ABS(SUMIFS('TRA balance'!G$5:G$40,'TRA balance'!$C$5:$C$40,Assumptions!$BB121,'TRA balance'!$D$5:$D$40,Assumptions!$BC121)),"")</f>
        <v>0</v>
      </c>
      <c r="BG121" s="34">
        <f>IFERROR(ABS(SUMIFS('TRA balance'!H$5:H$40,'TRA balance'!$C$5:$C$40,Assumptions!$BB121,'TRA balance'!$D$5:$D$40,Assumptions!$BC121)),"")</f>
        <v>0</v>
      </c>
      <c r="BH121" s="34">
        <f>IFERROR(ABS(SUMIFS('TRA balance'!I$5:I$40,'TRA balance'!$C$5:$C$40,Assumptions!$BB121,'TRA balance'!$D$5:$D$40,Assumptions!$BC121)),"")</f>
        <v>0</v>
      </c>
      <c r="BI121" s="34">
        <f>IFERROR(ABS(SUMIFS('TRA balance'!J$5:J$40,'TRA balance'!$C$5:$C$40,Assumptions!$BB121,'TRA balance'!$D$5:$D$40,Assumptions!$BC121)),"")</f>
        <v>0</v>
      </c>
      <c r="BJ121" s="34">
        <f>IFERROR(ABS(SUMIFS('TRA balance'!K$5:K$40,'TRA balance'!$C$5:$C$40,Assumptions!$BB121,'TRA balance'!$D$5:$D$40,Assumptions!$BC121)),"")</f>
        <v>0</v>
      </c>
      <c r="BK121" s="34">
        <f>IFERROR(ABS(SUMIFS('TRA balance'!L$5:L$40,'TRA balance'!$C$5:$C$40,Assumptions!$BB121,'TRA balance'!$D$5:$D$40,Assumptions!$BC121)),"")</f>
        <v>0</v>
      </c>
      <c r="BL121" s="34">
        <f>IFERROR(ABS(SUMIFS('TRA balance'!M$5:M$40,'TRA balance'!$C$5:$C$40,Assumptions!$BB121,'TRA balance'!$D$5:$D$40,Assumptions!$BC121)),"")</f>
        <v>0</v>
      </c>
      <c r="BM121" s="34">
        <f>IFERROR(ABS(SUMIFS('TRA balance'!N$5:N$40,'TRA balance'!$C$5:$C$40,Assumptions!$BB121,'TRA balance'!$D$5:$D$40,Assumptions!$BC121)),"")</f>
        <v>0</v>
      </c>
      <c r="BN121" s="34">
        <f>IFERROR(ABS(SUMIFS('TRA balance'!O$5:O$40,'TRA balance'!$C$5:$C$40,Assumptions!$BB121,'TRA balance'!$D$5:$D$40,Assumptions!$BC121)),"")</f>
        <v>0</v>
      </c>
      <c r="BO121" s="34">
        <f>IFERROR(ABS(SUMIFS('TRA balance'!P$5:P$40,'TRA balance'!$C$5:$C$40,Assumptions!$BB121,'TRA balance'!$D$5:$D$40,Assumptions!$BC121)),"")</f>
        <v>0</v>
      </c>
      <c r="BP121" s="34">
        <f>IFERROR(ABS(SUMIFS('TRA balance'!Q$5:Q$40,'TRA balance'!$C$5:$C$40,Assumptions!$BB121,'TRA balance'!$D$5:$D$40,Assumptions!$BC121)),"")</f>
        <v>0</v>
      </c>
      <c r="BQ121" s="34">
        <f>IFERROR(ABS(SUMIFS('TRA balance'!R$5:R$40,'TRA balance'!$C$5:$C$40,Assumptions!$BB121,'TRA balance'!$D$5:$D$40,Assumptions!$BC121)),"")</f>
        <v>0</v>
      </c>
      <c r="BR121" s="34">
        <f>IFERROR(ABS(SUMIFS('TRA balance'!S$5:S$40,'TRA balance'!$C$5:$C$40,Assumptions!$BB121,'TRA balance'!$D$5:$D$40,Assumptions!$BC121)),"")</f>
        <v>0</v>
      </c>
      <c r="BS121" s="34">
        <f>IFERROR(ABS(SUMIFS('TRA balance'!T$5:T$40,'TRA balance'!$C$5:$C$40,Assumptions!$BB121,'TRA balance'!$D$5:$D$40,Assumptions!$BC121)),"")</f>
        <v>0</v>
      </c>
      <c r="BT121" s="34">
        <f>IFERROR(ABS(SUMIFS('TRA balance'!U$5:U$40,'TRA balance'!$C$5:$C$40,Assumptions!$BB121,'TRA balance'!$D$5:$D$40,Assumptions!$BC121)),"")</f>
        <v>0</v>
      </c>
      <c r="BU121" s="34">
        <f>IFERROR(ABS(SUMIFS('TRA balance'!V$5:V$40,'TRA balance'!$C$5:$C$40,Assumptions!$BB121,'TRA balance'!$D$5:$D$40,Assumptions!$BC121)),"")</f>
        <v>0</v>
      </c>
      <c r="BV121" s="34">
        <f>IFERROR(ABS(SUMIFS('TRA balance'!W$5:W$40,'TRA balance'!$C$5:$C$40,Assumptions!$BB121,'TRA balance'!$D$5:$D$40,Assumptions!$BC121)),"")</f>
        <v>0</v>
      </c>
      <c r="BW121" s="34">
        <f>IFERROR(ABS(SUMIFS('TRA balance'!X$5:X$40,'TRA balance'!$C$5:$C$40,Assumptions!$BB121,'TRA balance'!$D$5:$D$40,Assumptions!$BC121)),"")</f>
        <v>0</v>
      </c>
      <c r="BX121" s="34">
        <f>IFERROR(ABS(SUMIFS('TRA balance'!Y$5:Y$40,'TRA balance'!$C$5:$C$40,Assumptions!$BB121,'TRA balance'!$D$5:$D$40,Assumptions!$BC121)),"")</f>
        <v>0</v>
      </c>
      <c r="BY121" s="34">
        <f>IFERROR(ABS(SUMIFS('TRA balance'!Z$5:Z$40,'TRA balance'!$C$5:$C$40,Assumptions!$BB121,'TRA balance'!$D$5:$D$40,Assumptions!$BC121)),"")</f>
        <v>0</v>
      </c>
      <c r="BZ121" s="34">
        <f>IFERROR(ABS(SUMIFS('TRA balance'!AA$5:AA$40,'TRA balance'!$C$5:$C$40,Assumptions!$BB121,'TRA balance'!$D$5:$D$40,Assumptions!$BC121)),"")</f>
        <v>3.1542220764</v>
      </c>
      <c r="CA121" s="34">
        <f>IFERROR(ABS(SUMIFS('TRA balance'!AB$5:AB$40,'TRA balance'!$C$5:$C$40,Assumptions!$BB121,'TRA balance'!$D$5:$D$40,Assumptions!$BC121)),"")</f>
        <v>0</v>
      </c>
      <c r="CB121" s="34">
        <f>IFERROR(ABS(SUMIFS('TRA balance'!AC$5:AC$40,'TRA balance'!$C$5:$C$40,Assumptions!$BB121,'TRA balance'!$D$5:$D$40,Assumptions!$BC121)),"")</f>
        <v>0</v>
      </c>
      <c r="CC121" s="34">
        <f>IFERROR(ABS(SUMIFS('TRA balance'!AD$5:AD$40,'TRA balance'!$C$5:$C$40,Assumptions!$BB121,'TRA balance'!$D$5:$D$40,Assumptions!$BC121)),"")</f>
        <v>0</v>
      </c>
      <c r="CD121" s="34">
        <f>IFERROR(ABS(SUMIFS('TRA balance'!AE$5:AE$40,'TRA balance'!$C$5:$C$40,Assumptions!$BB121,'TRA balance'!$D$5:$D$40,Assumptions!$BC121)),"")</f>
        <v>0</v>
      </c>
      <c r="CE121" s="34">
        <f>IFERROR(ABS(SUMIFS('TRA balance'!AF$5:AF$40,'TRA balance'!$C$5:$C$40,Assumptions!$BB121,'TRA balance'!$D$5:$D$40,Assumptions!$BC121)),"")</f>
        <v>0</v>
      </c>
      <c r="CF121" s="34">
        <f>IFERROR(ABS(SUMIFS('TRA balance'!AG$5:AG$40,'TRA balance'!$C$5:$C$40,Assumptions!$BB121,'TRA balance'!$D$5:$D$40,Assumptions!$BC121)),"")</f>
        <v>0</v>
      </c>
      <c r="CG121" s="34">
        <f>IFERROR(ABS(SUMIFS('TRA balance'!AH$5:AH$40,'TRA balance'!$C$5:$C$40,Assumptions!$BB121,'TRA balance'!$D$5:$D$40,Assumptions!$BC121)),"")</f>
        <v>0</v>
      </c>
      <c r="CH121" s="34">
        <f>IFERROR(ABS(SUMIFS('TRA balance'!AI$5:AI$40,'TRA balance'!$C$5:$C$40,Assumptions!$BB121,'TRA balance'!$D$5:$D$40,Assumptions!$BC121)),"")</f>
        <v>0</v>
      </c>
      <c r="CI121" s="34">
        <f>IFERROR(ABS(SUMIFS('TRA balance'!AJ$5:AJ$40,'TRA balance'!$C$5:$C$40,Assumptions!$BB121,'TRA balance'!$D$5:$D$40,Assumptions!$BC121)),"")</f>
        <v>0</v>
      </c>
      <c r="CJ121" s="34">
        <f>IFERROR(ABS(SUMIFS('TRA balance'!AK$5:AK$40,'TRA balance'!$C$5:$C$40,Assumptions!$BB121,'TRA balance'!$D$5:$D$40,Assumptions!$BC121)),"")</f>
        <v>0</v>
      </c>
      <c r="CK121" s="34">
        <f>IFERROR(ABS(SUMIFS('TRA balance'!AL$5:AL$40,'TRA balance'!$C$5:$C$40,Assumptions!$BB121,'TRA balance'!$D$5:$D$40,Assumptions!$BC121)),"")</f>
        <v>0</v>
      </c>
      <c r="CL121" s="34">
        <f>IFERROR(ABS(SUMIFS('TRA balance'!AM$5:AM$40,'TRA balance'!$C$5:$C$40,Assumptions!$BB121,'TRA balance'!$D$5:$D$40,Assumptions!$BC121)),"")</f>
        <v>0</v>
      </c>
      <c r="CM121" s="34">
        <f>IFERROR(ABS(SUMIFS('TRA balance'!AN$5:AN$40,'TRA balance'!$C$5:$C$40,Assumptions!$BB121,'TRA balance'!$D$5:$D$40,Assumptions!$BC121)),"")</f>
        <v>0</v>
      </c>
      <c r="CN121" s="34">
        <f>IFERROR(ABS(SUMIFS('TRA balance'!AO$5:AO$40,'TRA balance'!$C$5:$C$40,Assumptions!$BB121,'TRA balance'!$D$5:$D$40,Assumptions!$BC121)),"")</f>
        <v>0</v>
      </c>
      <c r="CO121" s="34">
        <f>IFERROR(ABS(SUMIFS('TRA balance'!AP$5:AP$40,'TRA balance'!$C$5:$C$40,Assumptions!$BB121,'TRA balance'!$D$5:$D$40,Assumptions!$BC121)),"")</f>
        <v>0</v>
      </c>
      <c r="CP121" s="34">
        <f>IFERROR(ABS(SUMIFS('TRA balance'!AQ$5:AQ$40,'TRA balance'!$C$5:$C$40,Assumptions!$BB121,'TRA balance'!$D$5:$D$40,Assumptions!$BC121)),"")</f>
        <v>0</v>
      </c>
      <c r="CQ121" s="34">
        <f>IFERROR(ABS(SUMIFS('TRA balance'!AR$5:AR$40,'TRA balance'!$C$5:$C$40,Assumptions!$BB121,'TRA balance'!$D$5:$D$40,Assumptions!$BC121)),"")</f>
        <v>0</v>
      </c>
      <c r="CR121" s="34">
        <f>IFERROR(ABS(SUMIFS('TRA balance'!AS$5:AS$40,'TRA balance'!$C$5:$C$40,Assumptions!$BB121,'TRA balance'!$D$5:$D$40,Assumptions!$BC121)),"")</f>
        <v>0</v>
      </c>
      <c r="CS121" s="34">
        <f>IFERROR(ABS(SUMIFS('TRA balance'!AT$5:AT$40,'TRA balance'!$C$5:$C$40,Assumptions!$BB121,'TRA balance'!$D$5:$D$40,Assumptions!$BC121)),"")</f>
        <v>0</v>
      </c>
      <c r="CT121" s="34">
        <f>IFERROR(ABS(SUMIFS('TRA balance'!AU$5:AU$40,'TRA balance'!$C$5:$C$40,Assumptions!$BB121,'TRA balance'!$D$5:$D$40,Assumptions!$BC121)),"")</f>
        <v>0</v>
      </c>
      <c r="CU121" s="34">
        <f>IFERROR(ABS(SUMIFS('TRA balance'!AV$5:AV$40,'TRA balance'!$C$5:$C$40,Assumptions!$BB121,'TRA balance'!$D$5:$D$40,Assumptions!$BC121)),"")</f>
        <v>0</v>
      </c>
      <c r="CV121" s="34">
        <f>IFERROR(ABS(SUMIFS('TRA balance'!AW$5:AW$40,'TRA balance'!$C$5:$C$40,Assumptions!$BB121,'TRA balance'!$D$5:$D$40,Assumptions!$BC121)),"")</f>
        <v>0</v>
      </c>
      <c r="CW121" s="34">
        <f>IFERROR(ABS(SUMIFS('TRA balance'!AX$5:AX$40,'TRA balance'!$C$5:$C$40,Assumptions!$BB121,'TRA balance'!$D$5:$D$40,Assumptions!$BC121)),"")</f>
        <v>0</v>
      </c>
      <c r="CX121" s="27"/>
    </row>
    <row r="122" spans="3:102">
      <c r="C122" t="str">
        <f t="shared" si="151"/>
        <v>GSL</v>
      </c>
      <c r="D122" t="str">
        <f t="shared" si="150"/>
        <v>TRE</v>
      </c>
      <c r="E122" t="s">
        <v>130</v>
      </c>
      <c r="F122" s="1">
        <v>0.35</v>
      </c>
      <c r="G122" s="1">
        <v>0.35</v>
      </c>
      <c r="H122" s="1">
        <v>0.35</v>
      </c>
      <c r="I122" s="1">
        <v>0.35</v>
      </c>
      <c r="J122" s="1">
        <v>0.35</v>
      </c>
      <c r="K122" s="1">
        <v>0.35</v>
      </c>
      <c r="L122" s="1">
        <v>0.35</v>
      </c>
      <c r="M122" s="1">
        <v>0.35</v>
      </c>
      <c r="N122" s="1">
        <v>0.35</v>
      </c>
      <c r="O122" s="1">
        <v>0.35</v>
      </c>
      <c r="P122" s="1">
        <v>0.35</v>
      </c>
      <c r="Q122" s="1">
        <v>0.35</v>
      </c>
      <c r="R122" s="1">
        <v>0.35</v>
      </c>
      <c r="S122" s="1">
        <v>0.35</v>
      </c>
      <c r="T122" s="1">
        <v>0.35</v>
      </c>
      <c r="U122" s="1">
        <v>0.35</v>
      </c>
      <c r="V122" s="1">
        <v>0.35</v>
      </c>
      <c r="W122" s="1">
        <v>0.35</v>
      </c>
      <c r="X122" s="1">
        <v>0.35</v>
      </c>
      <c r="Y122" s="1">
        <v>0.35</v>
      </c>
      <c r="Z122" s="1">
        <v>0.35</v>
      </c>
      <c r="AA122" s="1">
        <v>0.35</v>
      </c>
      <c r="AB122" s="1">
        <v>0.35</v>
      </c>
      <c r="AC122" s="1">
        <v>0.35</v>
      </c>
      <c r="AD122" s="1">
        <v>0.35</v>
      </c>
      <c r="AE122" s="1">
        <v>0.35</v>
      </c>
      <c r="AF122" s="1">
        <v>0.35</v>
      </c>
      <c r="AG122" s="1">
        <v>0.35</v>
      </c>
      <c r="AH122" s="1">
        <v>0.35</v>
      </c>
      <c r="AI122" s="1">
        <v>0.35</v>
      </c>
      <c r="AJ122" s="1">
        <v>0.35</v>
      </c>
      <c r="AK122" s="1">
        <v>0.35</v>
      </c>
      <c r="AL122" s="1">
        <v>0.35</v>
      </c>
      <c r="AM122" s="1">
        <v>0.35</v>
      </c>
      <c r="AN122" s="1">
        <v>0.35</v>
      </c>
      <c r="AO122" s="1">
        <v>0.35</v>
      </c>
      <c r="AP122" s="1">
        <v>0.35</v>
      </c>
      <c r="AQ122" s="1">
        <v>0.35</v>
      </c>
      <c r="AR122" s="1">
        <v>0.35</v>
      </c>
      <c r="AS122" s="1">
        <v>0.35</v>
      </c>
      <c r="AT122" s="1">
        <v>0.35</v>
      </c>
      <c r="AU122" s="1">
        <v>0.35</v>
      </c>
      <c r="AV122" s="1">
        <v>0.35</v>
      </c>
      <c r="AW122" s="1">
        <v>0.35</v>
      </c>
      <c r="AX122" s="1">
        <v>0.35</v>
      </c>
      <c r="AY122" s="1">
        <v>0.35</v>
      </c>
      <c r="AZ122" s="1">
        <v>0.35</v>
      </c>
      <c r="BA122" s="1">
        <v>0.35</v>
      </c>
      <c r="BB122" s="27" t="s">
        <v>22</v>
      </c>
      <c r="BC122" s="27" t="s">
        <v>32</v>
      </c>
      <c r="BD122" s="34">
        <f>IFERROR(ABS(SUMIFS('TRA balance'!E$5:E$40,'TRA balance'!$C$5:$C$40,Assumptions!$BB122,'TRA balance'!$D$5:$D$40,Assumptions!$BC122)),"")</f>
        <v>0</v>
      </c>
      <c r="BE122" s="34">
        <f>IFERROR(ABS(SUMIFS('TRA balance'!F$5:F$40,'TRA balance'!$C$5:$C$40,Assumptions!$BB122,'TRA balance'!$D$5:$D$40,Assumptions!$BC122)),"")</f>
        <v>0</v>
      </c>
      <c r="BF122" s="34">
        <f>IFERROR(ABS(SUMIFS('TRA balance'!G$5:G$40,'TRA balance'!$C$5:$C$40,Assumptions!$BB122,'TRA balance'!$D$5:$D$40,Assumptions!$BC122)),"")</f>
        <v>0</v>
      </c>
      <c r="BG122" s="34">
        <f>IFERROR(ABS(SUMIFS('TRA balance'!H$5:H$40,'TRA balance'!$C$5:$C$40,Assumptions!$BB122,'TRA balance'!$D$5:$D$40,Assumptions!$BC122)),"")</f>
        <v>0</v>
      </c>
      <c r="BH122" s="34">
        <f>IFERROR(ABS(SUMIFS('TRA balance'!I$5:I$40,'TRA balance'!$C$5:$C$40,Assumptions!$BB122,'TRA balance'!$D$5:$D$40,Assumptions!$BC122)),"")</f>
        <v>0</v>
      </c>
      <c r="BI122" s="34">
        <f>IFERROR(ABS(SUMIFS('TRA balance'!J$5:J$40,'TRA balance'!$C$5:$C$40,Assumptions!$BB122,'TRA balance'!$D$5:$D$40,Assumptions!$BC122)),"")</f>
        <v>1.9816836155999999</v>
      </c>
      <c r="BJ122" s="34">
        <f>IFERROR(ABS(SUMIFS('TRA balance'!K$5:K$40,'TRA balance'!$C$5:$C$40,Assumptions!$BB122,'TRA balance'!$D$5:$D$40,Assumptions!$BC122)),"")</f>
        <v>0</v>
      </c>
      <c r="BK122" s="34">
        <f>IFERROR(ABS(SUMIFS('TRA balance'!L$5:L$40,'TRA balance'!$C$5:$C$40,Assumptions!$BB122,'TRA balance'!$D$5:$D$40,Assumptions!$BC122)),"")</f>
        <v>0</v>
      </c>
      <c r="BL122" s="34">
        <f>IFERROR(ABS(SUMIFS('TRA balance'!M$5:M$40,'TRA balance'!$C$5:$C$40,Assumptions!$BB122,'TRA balance'!$D$5:$D$40,Assumptions!$BC122)),"")</f>
        <v>0</v>
      </c>
      <c r="BM122" s="34">
        <f>IFERROR(ABS(SUMIFS('TRA balance'!N$5:N$40,'TRA balance'!$C$5:$C$40,Assumptions!$BB122,'TRA balance'!$D$5:$D$40,Assumptions!$BC122)),"")</f>
        <v>0</v>
      </c>
      <c r="BN122" s="34">
        <f>IFERROR(ABS(SUMIFS('TRA balance'!O$5:O$40,'TRA balance'!$C$5:$C$40,Assumptions!$BB122,'TRA balance'!$D$5:$D$40,Assumptions!$BC122)),"")</f>
        <v>0</v>
      </c>
      <c r="BO122" s="34">
        <f>IFERROR(ABS(SUMIFS('TRA balance'!P$5:P$40,'TRA balance'!$C$5:$C$40,Assumptions!$BB122,'TRA balance'!$D$5:$D$40,Assumptions!$BC122)),"")</f>
        <v>0</v>
      </c>
      <c r="BP122" s="34">
        <f>IFERROR(ABS(SUMIFS('TRA balance'!Q$5:Q$40,'TRA balance'!$C$5:$C$40,Assumptions!$BB122,'TRA balance'!$D$5:$D$40,Assumptions!$BC122)),"")</f>
        <v>1.5449292000000001E-3</v>
      </c>
      <c r="BQ122" s="34">
        <f>IFERROR(ABS(SUMIFS('TRA balance'!R$5:R$40,'TRA balance'!$C$5:$C$40,Assumptions!$BB122,'TRA balance'!$D$5:$D$40,Assumptions!$BC122)),"")</f>
        <v>0</v>
      </c>
      <c r="BR122" s="34">
        <f>IFERROR(ABS(SUMIFS('TRA balance'!S$5:S$40,'TRA balance'!$C$5:$C$40,Assumptions!$BB122,'TRA balance'!$D$5:$D$40,Assumptions!$BC122)),"")</f>
        <v>0</v>
      </c>
      <c r="BS122" s="34">
        <f>IFERROR(ABS(SUMIFS('TRA balance'!T$5:T$40,'TRA balance'!$C$5:$C$40,Assumptions!$BB122,'TRA balance'!$D$5:$D$40,Assumptions!$BC122)),"")</f>
        <v>0</v>
      </c>
      <c r="BT122" s="34">
        <f>IFERROR(ABS(SUMIFS('TRA balance'!U$5:U$40,'TRA balance'!$C$5:$C$40,Assumptions!$BB122,'TRA balance'!$D$5:$D$40,Assumptions!$BC122)),"")</f>
        <v>0</v>
      </c>
      <c r="BU122" s="34">
        <f>IFERROR(ABS(SUMIFS('TRA balance'!V$5:V$40,'TRA balance'!$C$5:$C$40,Assumptions!$BB122,'TRA balance'!$D$5:$D$40,Assumptions!$BC122)),"")</f>
        <v>0</v>
      </c>
      <c r="BV122" s="34">
        <f>IFERROR(ABS(SUMIFS('TRA balance'!W$5:W$40,'TRA balance'!$C$5:$C$40,Assumptions!$BB122,'TRA balance'!$D$5:$D$40,Assumptions!$BC122)),"")</f>
        <v>0</v>
      </c>
      <c r="BW122" s="34">
        <f>IFERROR(ABS(SUMIFS('TRA balance'!X$5:X$40,'TRA balance'!$C$5:$C$40,Assumptions!$BB122,'TRA balance'!$D$5:$D$40,Assumptions!$BC122)),"")</f>
        <v>0</v>
      </c>
      <c r="BX122" s="34">
        <f>IFERROR(ABS(SUMIFS('TRA balance'!Y$5:Y$40,'TRA balance'!$C$5:$C$40,Assumptions!$BB122,'TRA balance'!$D$5:$D$40,Assumptions!$BC122)),"")</f>
        <v>0</v>
      </c>
      <c r="BY122" s="34">
        <f>IFERROR(ABS(SUMIFS('TRA balance'!Z$5:Z$40,'TRA balance'!$C$5:$C$40,Assumptions!$BB122,'TRA balance'!$D$5:$D$40,Assumptions!$BC122)),"")</f>
        <v>8.5687467480000006</v>
      </c>
      <c r="BZ122" s="34">
        <f>IFERROR(ABS(SUMIFS('TRA balance'!AA$5:AA$40,'TRA balance'!$C$5:$C$40,Assumptions!$BB122,'TRA balance'!$D$5:$D$40,Assumptions!$BC122)),"")</f>
        <v>0</v>
      </c>
      <c r="CA122" s="34">
        <f>IFERROR(ABS(SUMIFS('TRA balance'!AB$5:AB$40,'TRA balance'!$C$5:$C$40,Assumptions!$BB122,'TRA balance'!$D$5:$D$40,Assumptions!$BC122)),"")</f>
        <v>0</v>
      </c>
      <c r="CB122" s="34">
        <f>IFERROR(ABS(SUMIFS('TRA balance'!AC$5:AC$40,'TRA balance'!$C$5:$C$40,Assumptions!$BB122,'TRA balance'!$D$5:$D$40,Assumptions!$BC122)),"")</f>
        <v>0</v>
      </c>
      <c r="CC122" s="34">
        <f>IFERROR(ABS(SUMIFS('TRA balance'!AD$5:AD$40,'TRA balance'!$C$5:$C$40,Assumptions!$BB122,'TRA balance'!$D$5:$D$40,Assumptions!$BC122)),"")</f>
        <v>0</v>
      </c>
      <c r="CD122" s="34">
        <f>IFERROR(ABS(SUMIFS('TRA balance'!AE$5:AE$40,'TRA balance'!$C$5:$C$40,Assumptions!$BB122,'TRA balance'!$D$5:$D$40,Assumptions!$BC122)),"")</f>
        <v>0</v>
      </c>
      <c r="CE122" s="34">
        <f>IFERROR(ABS(SUMIFS('TRA balance'!AF$5:AF$40,'TRA balance'!$C$5:$C$40,Assumptions!$BB122,'TRA balance'!$D$5:$D$40,Assumptions!$BC122)),"")</f>
        <v>0</v>
      </c>
      <c r="CF122" s="34">
        <f>IFERROR(ABS(SUMIFS('TRA balance'!AG$5:AG$40,'TRA balance'!$C$5:$C$40,Assumptions!$BB122,'TRA balance'!$D$5:$D$40,Assumptions!$BC122)),"")</f>
        <v>0</v>
      </c>
      <c r="CG122" s="34">
        <f>IFERROR(ABS(SUMIFS('TRA balance'!AH$5:AH$40,'TRA balance'!$C$5:$C$40,Assumptions!$BB122,'TRA balance'!$D$5:$D$40,Assumptions!$BC122)),"")</f>
        <v>0</v>
      </c>
      <c r="CH122" s="34">
        <f>IFERROR(ABS(SUMIFS('TRA balance'!AI$5:AI$40,'TRA balance'!$C$5:$C$40,Assumptions!$BB122,'TRA balance'!$D$5:$D$40,Assumptions!$BC122)),"")</f>
        <v>0</v>
      </c>
      <c r="CI122" s="34">
        <f>IFERROR(ABS(SUMIFS('TRA balance'!AJ$5:AJ$40,'TRA balance'!$C$5:$C$40,Assumptions!$BB122,'TRA balance'!$D$5:$D$40,Assumptions!$BC122)),"")</f>
        <v>0</v>
      </c>
      <c r="CJ122" s="34">
        <f>IFERROR(ABS(SUMIFS('TRA balance'!AK$5:AK$40,'TRA balance'!$C$5:$C$40,Assumptions!$BB122,'TRA balance'!$D$5:$D$40,Assumptions!$BC122)),"")</f>
        <v>0</v>
      </c>
      <c r="CK122" s="34">
        <f>IFERROR(ABS(SUMIFS('TRA balance'!AL$5:AL$40,'TRA balance'!$C$5:$C$40,Assumptions!$BB122,'TRA balance'!$D$5:$D$40,Assumptions!$BC122)),"")</f>
        <v>0</v>
      </c>
      <c r="CL122" s="34">
        <f>IFERROR(ABS(SUMIFS('TRA balance'!AM$5:AM$40,'TRA balance'!$C$5:$C$40,Assumptions!$BB122,'TRA balance'!$D$5:$D$40,Assumptions!$BC122)),"")</f>
        <v>0</v>
      </c>
      <c r="CM122" s="34">
        <f>IFERROR(ABS(SUMIFS('TRA balance'!AN$5:AN$40,'TRA balance'!$C$5:$C$40,Assumptions!$BB122,'TRA balance'!$D$5:$D$40,Assumptions!$BC122)),"")</f>
        <v>0</v>
      </c>
      <c r="CN122" s="34">
        <f>IFERROR(ABS(SUMIFS('TRA balance'!AO$5:AO$40,'TRA balance'!$C$5:$C$40,Assumptions!$BB122,'TRA balance'!$D$5:$D$40,Assumptions!$BC122)),"")</f>
        <v>0</v>
      </c>
      <c r="CO122" s="34">
        <f>IFERROR(ABS(SUMIFS('TRA balance'!AP$5:AP$40,'TRA balance'!$C$5:$C$40,Assumptions!$BB122,'TRA balance'!$D$5:$D$40,Assumptions!$BC122)),"")</f>
        <v>0</v>
      </c>
      <c r="CP122" s="34">
        <f>IFERROR(ABS(SUMIFS('TRA balance'!AQ$5:AQ$40,'TRA balance'!$C$5:$C$40,Assumptions!$BB122,'TRA balance'!$D$5:$D$40,Assumptions!$BC122)),"")</f>
        <v>0</v>
      </c>
      <c r="CQ122" s="34">
        <f>IFERROR(ABS(SUMIFS('TRA balance'!AR$5:AR$40,'TRA balance'!$C$5:$C$40,Assumptions!$BB122,'TRA balance'!$D$5:$D$40,Assumptions!$BC122)),"")</f>
        <v>0</v>
      </c>
      <c r="CR122" s="34">
        <f>IFERROR(ABS(SUMIFS('TRA balance'!AS$5:AS$40,'TRA balance'!$C$5:$C$40,Assumptions!$BB122,'TRA balance'!$D$5:$D$40,Assumptions!$BC122)),"")</f>
        <v>0</v>
      </c>
      <c r="CS122" s="34">
        <f>IFERROR(ABS(SUMIFS('TRA balance'!AT$5:AT$40,'TRA balance'!$C$5:$C$40,Assumptions!$BB122,'TRA balance'!$D$5:$D$40,Assumptions!$BC122)),"")</f>
        <v>0</v>
      </c>
      <c r="CT122" s="34">
        <f>IFERROR(ABS(SUMIFS('TRA balance'!AU$5:AU$40,'TRA balance'!$C$5:$C$40,Assumptions!$BB122,'TRA balance'!$D$5:$D$40,Assumptions!$BC122)),"")</f>
        <v>0</v>
      </c>
      <c r="CU122" s="34">
        <f>IFERROR(ABS(SUMIFS('TRA balance'!AV$5:AV$40,'TRA balance'!$C$5:$C$40,Assumptions!$BB122,'TRA balance'!$D$5:$D$40,Assumptions!$BC122)),"")</f>
        <v>0</v>
      </c>
      <c r="CV122" s="34">
        <f>IFERROR(ABS(SUMIFS('TRA balance'!AW$5:AW$40,'TRA balance'!$C$5:$C$40,Assumptions!$BB122,'TRA balance'!$D$5:$D$40,Assumptions!$BC122)),"")</f>
        <v>0</v>
      </c>
      <c r="CW122" s="34">
        <f>IFERROR(ABS(SUMIFS('TRA balance'!AX$5:AX$40,'TRA balance'!$C$5:$C$40,Assumptions!$BB122,'TRA balance'!$D$5:$D$40,Assumptions!$BC122)),"")</f>
        <v>0</v>
      </c>
      <c r="CX122" s="27"/>
    </row>
    <row r="123" spans="3:102">
      <c r="C123" t="str">
        <f t="shared" si="151"/>
        <v>DST</v>
      </c>
      <c r="D123" t="str">
        <f t="shared" si="150"/>
        <v>TRH</v>
      </c>
      <c r="E123" t="s">
        <v>109</v>
      </c>
      <c r="F123" s="1">
        <v>5.1999999999999998E-2</v>
      </c>
      <c r="G123" s="1">
        <v>5.8500000000000003E-2</v>
      </c>
      <c r="H123" s="1">
        <v>6.1425E-2</v>
      </c>
      <c r="I123" s="1">
        <v>6.1425E-2</v>
      </c>
      <c r="J123" s="1">
        <v>6.1425E-2</v>
      </c>
      <c r="K123" s="1">
        <v>6.1425E-2</v>
      </c>
      <c r="L123" s="1">
        <v>6.1425E-2</v>
      </c>
      <c r="M123" s="1">
        <v>6.1425E-2</v>
      </c>
      <c r="N123" s="1">
        <v>6.1425E-2</v>
      </c>
      <c r="O123" s="1">
        <v>6.1425E-2</v>
      </c>
      <c r="P123" s="1">
        <v>6.1425E-2</v>
      </c>
      <c r="Q123" s="1">
        <v>6.1425E-2</v>
      </c>
      <c r="R123" s="1">
        <v>6.1425E-2</v>
      </c>
      <c r="S123" s="1">
        <v>6.1425E-2</v>
      </c>
      <c r="T123" s="1">
        <v>6.1425E-2</v>
      </c>
      <c r="U123" s="1">
        <v>6.1425E-2</v>
      </c>
      <c r="V123" s="1">
        <v>6.1425E-2</v>
      </c>
      <c r="W123" s="1">
        <v>6.1425E-2</v>
      </c>
      <c r="X123" s="1">
        <v>6.1425E-2</v>
      </c>
      <c r="Y123" s="1">
        <v>6.1425E-2</v>
      </c>
      <c r="Z123" s="1">
        <v>6.1425E-2</v>
      </c>
      <c r="AA123" s="1">
        <v>6.1425E-2</v>
      </c>
      <c r="AB123" s="1">
        <v>6.1425E-2</v>
      </c>
      <c r="AC123" s="1">
        <v>6.1425E-2</v>
      </c>
      <c r="AD123" s="1">
        <v>6.1425E-2</v>
      </c>
      <c r="AE123" s="1">
        <v>6.1425E-2</v>
      </c>
      <c r="AF123" s="1">
        <v>6.1425E-2</v>
      </c>
      <c r="AG123" s="1">
        <v>6.1425E-2</v>
      </c>
      <c r="AH123" s="1">
        <v>6.1425E-2</v>
      </c>
      <c r="AI123" s="1">
        <v>6.1425E-2</v>
      </c>
      <c r="AJ123" s="1">
        <v>6.1425E-2</v>
      </c>
      <c r="AK123" s="1">
        <v>6.1425E-2</v>
      </c>
      <c r="AL123" s="1">
        <v>6.1425E-2</v>
      </c>
      <c r="AM123" s="1">
        <v>6.1425E-2</v>
      </c>
      <c r="AN123" s="1">
        <v>6.1425E-2</v>
      </c>
      <c r="AO123" s="1">
        <v>6.1425E-2</v>
      </c>
      <c r="AP123" s="1">
        <v>6.1425E-2</v>
      </c>
      <c r="AQ123" s="1">
        <v>6.1425E-2</v>
      </c>
      <c r="AR123" s="1">
        <v>6.1425E-2</v>
      </c>
      <c r="AS123" s="1">
        <v>6.1425E-2</v>
      </c>
      <c r="AT123" s="1">
        <v>6.1425E-2</v>
      </c>
      <c r="AU123" s="1">
        <v>6.1425E-2</v>
      </c>
      <c r="AV123" s="1">
        <v>6.1425E-2</v>
      </c>
      <c r="AW123" s="1">
        <v>6.1425E-2</v>
      </c>
      <c r="AX123" s="1">
        <v>6.1425E-2</v>
      </c>
      <c r="AY123" s="1">
        <v>6.1425E-2</v>
      </c>
      <c r="AZ123" s="1">
        <v>6.1425E-2</v>
      </c>
      <c r="BA123" s="1">
        <v>6.1425E-2</v>
      </c>
      <c r="BB123" s="27" t="s">
        <v>22</v>
      </c>
      <c r="BC123" s="27" t="s">
        <v>41</v>
      </c>
      <c r="BD123" s="34">
        <f>IFERROR(ABS(SUMIFS('TRA balance'!E$5:E$40,'TRA balance'!$C$5:$C$40,Assumptions!$BB123,'TRA balance'!$D$5:$D$40,Assumptions!$BC123)),"")</f>
        <v>9.1431003456000006</v>
      </c>
      <c r="BE123" s="34">
        <f>IFERROR(ABS(SUMIFS('TRA balance'!F$5:F$40,'TRA balance'!$C$5:$C$40,Assumptions!$BB123,'TRA balance'!$D$5:$D$40,Assumptions!$BC123)),"")</f>
        <v>35.018964604799997</v>
      </c>
      <c r="BF123" s="34">
        <f>IFERROR(ABS(SUMIFS('TRA balance'!G$5:G$40,'TRA balance'!$C$5:$C$40,Assumptions!$BB123,'TRA balance'!$D$5:$D$40,Assumptions!$BC123)),"")</f>
        <v>3.261370662</v>
      </c>
      <c r="BG123" s="34">
        <f>IFERROR(ABS(SUMIFS('TRA balance'!H$5:H$40,'TRA balance'!$C$5:$C$40,Assumptions!$BB123,'TRA balance'!$D$5:$D$40,Assumptions!$BC123)),"")</f>
        <v>0.61301450879999997</v>
      </c>
      <c r="BH123" s="34">
        <f>IFERROR(ABS(SUMIFS('TRA balance'!I$5:I$40,'TRA balance'!$C$5:$C$40,Assumptions!$BB123,'TRA balance'!$D$5:$D$40,Assumptions!$BC123)),"")</f>
        <v>16.595298709200001</v>
      </c>
      <c r="BI123" s="34">
        <f>IFERROR(ABS(SUMIFS('TRA balance'!J$5:J$40,'TRA balance'!$C$5:$C$40,Assumptions!$BB123,'TRA balance'!$D$5:$D$40,Assumptions!$BC123)),"")</f>
        <v>133.0551809712</v>
      </c>
      <c r="BJ123" s="34">
        <f>IFERROR(ABS(SUMIFS('TRA balance'!K$5:K$40,'TRA balance'!$C$5:$C$40,Assumptions!$BB123,'TRA balance'!$D$5:$D$40,Assumptions!$BC123)),"")</f>
        <v>19.718090478000001</v>
      </c>
      <c r="BK123" s="34">
        <f>IFERROR(ABS(SUMIFS('TRA balance'!L$5:L$40,'TRA balance'!$C$5:$C$40,Assumptions!$BB123,'TRA balance'!$D$5:$D$40,Assumptions!$BC123)),"")</f>
        <v>32.562560671200004</v>
      </c>
      <c r="BL123" s="34">
        <f>IFERROR(ABS(SUMIFS('TRA balance'!M$5:M$40,'TRA balance'!$C$5:$C$40,Assumptions!$BB123,'TRA balance'!$D$5:$D$40,Assumptions!$BC123)),"")</f>
        <v>2.0533783788000002</v>
      </c>
      <c r="BM123" s="34">
        <f>IFERROR(ABS(SUMIFS('TRA balance'!N$5:N$40,'TRA balance'!$C$5:$C$40,Assumptions!$BB123,'TRA balance'!$D$5:$D$40,Assumptions!$BC123)),"")</f>
        <v>0</v>
      </c>
      <c r="BN123" s="34">
        <f>IFERROR(ABS(SUMIFS('TRA balance'!O$5:O$40,'TRA balance'!$C$5:$C$40,Assumptions!$BB123,'TRA balance'!$D$5:$D$40,Assumptions!$BC123)),"")</f>
        <v>5.9298778835999997</v>
      </c>
      <c r="BO123" s="34">
        <f>IFERROR(ABS(SUMIFS('TRA balance'!P$5:P$40,'TRA balance'!$C$5:$C$40,Assumptions!$BB123,'TRA balance'!$D$5:$D$40,Assumptions!$BC123)),"")</f>
        <v>30.075601471199999</v>
      </c>
      <c r="BP123" s="34">
        <f>IFERROR(ABS(SUMIFS('TRA balance'!Q$5:Q$40,'TRA balance'!$C$5:$C$40,Assumptions!$BB123,'TRA balance'!$D$5:$D$40,Assumptions!$BC123)),"")</f>
        <v>21.637880629200001</v>
      </c>
      <c r="BQ123" s="34">
        <f>IFERROR(ABS(SUMIFS('TRA balance'!R$5:R$40,'TRA balance'!$C$5:$C$40,Assumptions!$BB123,'TRA balance'!$D$5:$D$40,Assumptions!$BC123)),"")</f>
        <v>3.9072557375999999</v>
      </c>
      <c r="BR123" s="34">
        <f>IFERROR(ABS(SUMIFS('TRA balance'!S$5:S$40,'TRA balance'!$C$5:$C$40,Assumptions!$BB123,'TRA balance'!$D$5:$D$40,Assumptions!$BC123)),"")</f>
        <v>1.9252204308</v>
      </c>
      <c r="BS123" s="34">
        <f>IFERROR(ABS(SUMIFS('TRA balance'!T$5:T$40,'TRA balance'!$C$5:$C$40,Assumptions!$BB123,'TRA balance'!$D$5:$D$40,Assumptions!$BC123)),"")</f>
        <v>2.3815020815999999</v>
      </c>
      <c r="BT123" s="34">
        <f>IFERROR(ABS(SUMIFS('TRA balance'!U$5:U$40,'TRA balance'!$C$5:$C$40,Assumptions!$BB123,'TRA balance'!$D$5:$D$40,Assumptions!$BC123)),"")</f>
        <v>5.4310332240000001</v>
      </c>
      <c r="BU123" s="34">
        <f>IFERROR(ABS(SUMIFS('TRA balance'!V$5:V$40,'TRA balance'!$C$5:$C$40,Assumptions!$BB123,'TRA balance'!$D$5:$D$40,Assumptions!$BC123)),"")</f>
        <v>38.059728587999999</v>
      </c>
      <c r="BV123" s="34">
        <f>IFERROR(ABS(SUMIFS('TRA balance'!W$5:W$40,'TRA balance'!$C$5:$C$40,Assumptions!$BB123,'TRA balance'!$D$5:$D$40,Assumptions!$BC123)),"")</f>
        <v>5.2803126108000003</v>
      </c>
      <c r="BW123" s="34">
        <f>IFERROR(ABS(SUMIFS('TRA balance'!X$5:X$40,'TRA balance'!$C$5:$C$40,Assumptions!$BB123,'TRA balance'!$D$5:$D$40,Assumptions!$BC123)),"")</f>
        <v>69.303602170800005</v>
      </c>
      <c r="BX123" s="34">
        <f>IFERROR(ABS(SUMIFS('TRA balance'!Y$5:Y$40,'TRA balance'!$C$5:$C$40,Assumptions!$BB123,'TRA balance'!$D$5:$D$40,Assumptions!$BC123)),"")</f>
        <v>35.604873770399998</v>
      </c>
      <c r="BY123" s="34">
        <f>IFERROR(ABS(SUMIFS('TRA balance'!Z$5:Z$40,'TRA balance'!$C$5:$C$40,Assumptions!$BB123,'TRA balance'!$D$5:$D$40,Assumptions!$BC123)),"")</f>
        <v>461.73995265240001</v>
      </c>
      <c r="BZ123" s="34">
        <f>IFERROR(ABS(SUMIFS('TRA balance'!AA$5:AA$40,'TRA balance'!$C$5:$C$40,Assumptions!$BB123,'TRA balance'!$D$5:$D$40,Assumptions!$BC123)),"")</f>
        <v>10.150599337199999</v>
      </c>
      <c r="CA123" s="34">
        <f>IFERROR(ABS(SUMIFS('TRA balance'!AB$5:AB$40,'TRA balance'!$C$5:$C$40,Assumptions!$BB123,'TRA balance'!$D$5:$D$40,Assumptions!$BC123)),"")</f>
        <v>8.1779215284000006</v>
      </c>
      <c r="CB123" s="34">
        <f>IFERROR(ABS(SUMIFS('TRA balance'!AC$5:AC$40,'TRA balance'!$C$5:$C$40,Assumptions!$BB123,'TRA balance'!$D$5:$D$40,Assumptions!$BC123)),"")</f>
        <v>407.61818969759997</v>
      </c>
      <c r="CC123" s="34">
        <f>IFERROR(ABS(SUMIFS('TRA balance'!AD$5:AD$40,'TRA balance'!$C$5:$C$40,Assumptions!$BB123,'TRA balance'!$D$5:$D$40,Assumptions!$BC123)),"")</f>
        <v>364.01444290080002</v>
      </c>
      <c r="CD123" s="34">
        <f>IFERROR(ABS(SUMIFS('TRA balance'!AE$5:AE$40,'TRA balance'!$C$5:$C$40,Assumptions!$BB123,'TRA balance'!$D$5:$D$40,Assumptions!$BC123)),"")</f>
        <v>0</v>
      </c>
      <c r="CE123" s="34">
        <f>IFERROR(ABS(SUMIFS('TRA balance'!AF$5:AF$40,'TRA balance'!$C$5:$C$40,Assumptions!$BB123,'TRA balance'!$D$5:$D$40,Assumptions!$BC123)),"")</f>
        <v>68.675029513200002</v>
      </c>
      <c r="CF123" s="34">
        <f>IFERROR(ABS(SUMIFS('TRA balance'!AG$5:AG$40,'TRA balance'!$C$5:$C$40,Assumptions!$BB123,'TRA balance'!$D$5:$D$40,Assumptions!$BC123)),"")</f>
        <v>74.435618325600004</v>
      </c>
      <c r="CG123" s="34">
        <f>IFERROR(ABS(SUMIFS('TRA balance'!AH$5:AH$40,'TRA balance'!$C$5:$C$40,Assumptions!$BB123,'TRA balance'!$D$5:$D$40,Assumptions!$BC123)),"")</f>
        <v>38.849790308400003</v>
      </c>
      <c r="CH123" s="34">
        <f>IFERROR(ABS(SUMIFS('TRA balance'!AI$5:AI$40,'TRA balance'!$C$5:$C$40,Assumptions!$BB123,'TRA balance'!$D$5:$D$40,Assumptions!$BC123)),"")</f>
        <v>0.1114861104</v>
      </c>
      <c r="CI123" s="34">
        <f>IFERROR(ABS(SUMIFS('TRA balance'!AJ$5:AJ$40,'TRA balance'!$C$5:$C$40,Assumptions!$BB123,'TRA balance'!$D$5:$D$40,Assumptions!$BC123)),"")</f>
        <v>6.1769995668000002</v>
      </c>
      <c r="CJ123" s="34">
        <f>IFERROR(ABS(SUMIFS('TRA balance'!AK$5:AK$40,'TRA balance'!$C$5:$C$40,Assumptions!$BB123,'TRA balance'!$D$5:$D$40,Assumptions!$BC123)),"")</f>
        <v>67.570501431599993</v>
      </c>
      <c r="CK123" s="34">
        <f>IFERROR(ABS(SUMIFS('TRA balance'!AL$5:AL$40,'TRA balance'!$C$5:$C$40,Assumptions!$BB123,'TRA balance'!$D$5:$D$40,Assumptions!$BC123)),"")</f>
        <v>0</v>
      </c>
      <c r="CL123" s="34">
        <f>IFERROR(ABS(SUMIFS('TRA balance'!AM$5:AM$40,'TRA balance'!$C$5:$C$40,Assumptions!$BB123,'TRA balance'!$D$5:$D$40,Assumptions!$BC123)),"")</f>
        <v>2.0118118283999999</v>
      </c>
      <c r="CM123" s="34">
        <f>IFERROR(ABS(SUMIFS('TRA balance'!AN$5:AN$40,'TRA balance'!$C$5:$C$40,Assumptions!$BB123,'TRA balance'!$D$5:$D$40,Assumptions!$BC123)),"")</f>
        <v>0</v>
      </c>
      <c r="CN123" s="34">
        <f>IFERROR(ABS(SUMIFS('TRA balance'!AO$5:AO$40,'TRA balance'!$C$5:$C$40,Assumptions!$BB123,'TRA balance'!$D$5:$D$40,Assumptions!$BC123)),"")</f>
        <v>0</v>
      </c>
      <c r="CO123" s="34">
        <f>IFERROR(ABS(SUMIFS('TRA balance'!AP$5:AP$40,'TRA balance'!$C$5:$C$40,Assumptions!$BB123,'TRA balance'!$D$5:$D$40,Assumptions!$BC123)),"")</f>
        <v>0</v>
      </c>
      <c r="CP123" s="34">
        <f>IFERROR(ABS(SUMIFS('TRA balance'!AQ$5:AQ$40,'TRA balance'!$C$5:$C$40,Assumptions!$BB123,'TRA balance'!$D$5:$D$40,Assumptions!$BC123)),"")</f>
        <v>0</v>
      </c>
      <c r="CQ123" s="34">
        <f>IFERROR(ABS(SUMIFS('TRA balance'!AR$5:AR$40,'TRA balance'!$C$5:$C$40,Assumptions!$BB123,'TRA balance'!$D$5:$D$40,Assumptions!$BC123)),"")</f>
        <v>0</v>
      </c>
      <c r="CR123" s="34">
        <f>IFERROR(ABS(SUMIFS('TRA balance'!AS$5:AS$40,'TRA balance'!$C$5:$C$40,Assumptions!$BB123,'TRA balance'!$D$5:$D$40,Assumptions!$BC123)),"")</f>
        <v>0</v>
      </c>
      <c r="CS123" s="34">
        <f>IFERROR(ABS(SUMIFS('TRA balance'!AT$5:AT$40,'TRA balance'!$C$5:$C$40,Assumptions!$BB123,'TRA balance'!$D$5:$D$40,Assumptions!$BC123)),"")</f>
        <v>0</v>
      </c>
      <c r="CT123" s="34">
        <f>IFERROR(ABS(SUMIFS('TRA balance'!AU$5:AU$40,'TRA balance'!$C$5:$C$40,Assumptions!$BB123,'TRA balance'!$D$5:$D$40,Assumptions!$BC123)),"")</f>
        <v>0</v>
      </c>
      <c r="CU123" s="34">
        <f>IFERROR(ABS(SUMIFS('TRA balance'!AV$5:AV$40,'TRA balance'!$C$5:$C$40,Assumptions!$BB123,'TRA balance'!$D$5:$D$40,Assumptions!$BC123)),"")</f>
        <v>0</v>
      </c>
      <c r="CV123" s="34">
        <f>IFERROR(ABS(SUMIFS('TRA balance'!AW$5:AW$40,'TRA balance'!$C$5:$C$40,Assumptions!$BB123,'TRA balance'!$D$5:$D$40,Assumptions!$BC123)),"")</f>
        <v>0</v>
      </c>
      <c r="CW123" s="34">
        <f>IFERROR(ABS(SUMIFS('TRA balance'!AX$5:AX$40,'TRA balance'!$C$5:$C$40,Assumptions!$BB123,'TRA balance'!$D$5:$D$40,Assumptions!$BC123)),"")</f>
        <v>0</v>
      </c>
      <c r="CX123" s="27"/>
    </row>
    <row r="124" spans="3:102">
      <c r="C124" t="str">
        <f t="shared" si="151"/>
        <v>ETH</v>
      </c>
      <c r="D124" t="str">
        <f t="shared" si="150"/>
        <v>TRH</v>
      </c>
      <c r="E124" t="s">
        <v>110</v>
      </c>
      <c r="F124" s="1">
        <v>4.6399999999999997E-2</v>
      </c>
      <c r="G124" s="1">
        <v>5.2200000000000003E-2</v>
      </c>
      <c r="H124" s="1">
        <v>5.4809999999999998E-2</v>
      </c>
      <c r="I124" s="1">
        <v>5.4809999999999998E-2</v>
      </c>
      <c r="J124" s="1">
        <v>5.4809999999999998E-2</v>
      </c>
      <c r="K124" s="1">
        <v>5.4809999999999998E-2</v>
      </c>
      <c r="L124" s="1">
        <v>5.4809999999999998E-2</v>
      </c>
      <c r="M124" s="1">
        <v>5.4809999999999998E-2</v>
      </c>
      <c r="N124" s="1">
        <v>5.4809999999999998E-2</v>
      </c>
      <c r="O124" s="1">
        <v>5.4809999999999998E-2</v>
      </c>
      <c r="P124" s="1">
        <v>5.4809999999999998E-2</v>
      </c>
      <c r="Q124" s="1">
        <v>5.4809999999999998E-2</v>
      </c>
      <c r="R124" s="1">
        <v>5.4809999999999998E-2</v>
      </c>
      <c r="S124" s="1">
        <v>5.4809999999999998E-2</v>
      </c>
      <c r="T124" s="1">
        <v>5.4809999999999998E-2</v>
      </c>
      <c r="U124" s="1">
        <v>5.4809999999999998E-2</v>
      </c>
      <c r="V124" s="1">
        <v>5.4809999999999998E-2</v>
      </c>
      <c r="W124" s="1">
        <v>5.4809999999999998E-2</v>
      </c>
      <c r="X124" s="1">
        <v>5.4809999999999998E-2</v>
      </c>
      <c r="Y124" s="1">
        <v>5.4809999999999998E-2</v>
      </c>
      <c r="Z124" s="1">
        <v>5.4809999999999998E-2</v>
      </c>
      <c r="AA124" s="1">
        <v>5.4809999999999998E-2</v>
      </c>
      <c r="AB124" s="1">
        <v>5.4809999999999998E-2</v>
      </c>
      <c r="AC124" s="1">
        <v>5.4809999999999998E-2</v>
      </c>
      <c r="AD124" s="1">
        <v>5.4809999999999998E-2</v>
      </c>
      <c r="AE124" s="1">
        <v>5.4809999999999998E-2</v>
      </c>
      <c r="AF124" s="1">
        <v>5.4809999999999998E-2</v>
      </c>
      <c r="AG124" s="1">
        <v>5.4809999999999998E-2</v>
      </c>
      <c r="AH124" s="1">
        <v>5.4809999999999998E-2</v>
      </c>
      <c r="AI124" s="1">
        <v>5.4809999999999998E-2</v>
      </c>
      <c r="AJ124" s="1">
        <v>5.4809999999999998E-2</v>
      </c>
      <c r="AK124" s="1">
        <v>5.4809999999999998E-2</v>
      </c>
      <c r="AL124" s="1">
        <v>5.4809999999999998E-2</v>
      </c>
      <c r="AM124" s="1">
        <v>5.4809999999999998E-2</v>
      </c>
      <c r="AN124" s="1">
        <v>5.4809999999999998E-2</v>
      </c>
      <c r="AO124" s="1">
        <v>5.4809999999999998E-2</v>
      </c>
      <c r="AP124" s="1">
        <v>5.4809999999999998E-2</v>
      </c>
      <c r="AQ124" s="1">
        <v>5.4809999999999998E-2</v>
      </c>
      <c r="AR124" s="1">
        <v>5.4809999999999998E-2</v>
      </c>
      <c r="AS124" s="1">
        <v>5.4809999999999998E-2</v>
      </c>
      <c r="AT124" s="1">
        <v>5.4809999999999998E-2</v>
      </c>
      <c r="AU124" s="1">
        <v>5.4809999999999998E-2</v>
      </c>
      <c r="AV124" s="1">
        <v>5.4809999999999998E-2</v>
      </c>
      <c r="AW124" s="1">
        <v>5.4809999999999998E-2</v>
      </c>
      <c r="AX124" s="1">
        <v>5.4809999999999998E-2</v>
      </c>
      <c r="AY124" s="1">
        <v>5.4809999999999998E-2</v>
      </c>
      <c r="AZ124" s="1">
        <v>5.4809999999999998E-2</v>
      </c>
      <c r="BA124" s="1">
        <v>5.4809999999999998E-2</v>
      </c>
      <c r="BB124" s="27" t="s">
        <v>22</v>
      </c>
      <c r="BC124" s="27" t="s">
        <v>42</v>
      </c>
      <c r="BD124" s="34">
        <f>IFERROR(ABS(SUMIFS('TRA balance'!E$5:E$40,'TRA balance'!$C$5:$C$40,Assumptions!$BB124,'TRA balance'!$D$5:$D$40,Assumptions!$BC124)),"")</f>
        <v>0</v>
      </c>
      <c r="BE124" s="34">
        <f>IFERROR(ABS(SUMIFS('TRA balance'!F$5:F$40,'TRA balance'!$C$5:$C$40,Assumptions!$BB124,'TRA balance'!$D$5:$D$40,Assumptions!$BC124)),"")</f>
        <v>0</v>
      </c>
      <c r="BF124" s="34">
        <f>IFERROR(ABS(SUMIFS('TRA balance'!G$5:G$40,'TRA balance'!$C$5:$C$40,Assumptions!$BB124,'TRA balance'!$D$5:$D$40,Assumptions!$BC124)),"")</f>
        <v>0</v>
      </c>
      <c r="BG124" s="34">
        <f>IFERROR(ABS(SUMIFS('TRA balance'!H$5:H$40,'TRA balance'!$C$5:$C$40,Assumptions!$BB124,'TRA balance'!$D$5:$D$40,Assumptions!$BC124)),"")</f>
        <v>0</v>
      </c>
      <c r="BH124" s="34">
        <f>IFERROR(ABS(SUMIFS('TRA balance'!I$5:I$40,'TRA balance'!$C$5:$C$40,Assumptions!$BB124,'TRA balance'!$D$5:$D$40,Assumptions!$BC124)),"")</f>
        <v>0</v>
      </c>
      <c r="BI124" s="34">
        <f>IFERROR(ABS(SUMIFS('TRA balance'!J$5:J$40,'TRA balance'!$C$5:$C$40,Assumptions!$BB124,'TRA balance'!$D$5:$D$40,Assumptions!$BC124)),"")</f>
        <v>0</v>
      </c>
      <c r="BJ124" s="34">
        <f>IFERROR(ABS(SUMIFS('TRA balance'!K$5:K$40,'TRA balance'!$C$5:$C$40,Assumptions!$BB124,'TRA balance'!$D$5:$D$40,Assumptions!$BC124)),"")</f>
        <v>0</v>
      </c>
      <c r="BK124" s="34">
        <f>IFERROR(ABS(SUMIFS('TRA balance'!L$5:L$40,'TRA balance'!$C$5:$C$40,Assumptions!$BB124,'TRA balance'!$D$5:$D$40,Assumptions!$BC124)),"")</f>
        <v>0</v>
      </c>
      <c r="BL124" s="34">
        <f>IFERROR(ABS(SUMIFS('TRA balance'!M$5:M$40,'TRA balance'!$C$5:$C$40,Assumptions!$BB124,'TRA balance'!$D$5:$D$40,Assumptions!$BC124)),"")</f>
        <v>0</v>
      </c>
      <c r="BM124" s="34">
        <f>IFERROR(ABS(SUMIFS('TRA balance'!N$5:N$40,'TRA balance'!$C$5:$C$40,Assumptions!$BB124,'TRA balance'!$D$5:$D$40,Assumptions!$BC124)),"")</f>
        <v>0</v>
      </c>
      <c r="BN124" s="34">
        <f>IFERROR(ABS(SUMIFS('TRA balance'!O$5:O$40,'TRA balance'!$C$5:$C$40,Assumptions!$BB124,'TRA balance'!$D$5:$D$40,Assumptions!$BC124)),"")</f>
        <v>0</v>
      </c>
      <c r="BO124" s="34">
        <f>IFERROR(ABS(SUMIFS('TRA balance'!P$5:P$40,'TRA balance'!$C$5:$C$40,Assumptions!$BB124,'TRA balance'!$D$5:$D$40,Assumptions!$BC124)),"")</f>
        <v>0</v>
      </c>
      <c r="BP124" s="34">
        <f>IFERROR(ABS(SUMIFS('TRA balance'!Q$5:Q$40,'TRA balance'!$C$5:$C$40,Assumptions!$BB124,'TRA balance'!$D$5:$D$40,Assumptions!$BC124)),"")</f>
        <v>0</v>
      </c>
      <c r="BQ124" s="34">
        <f>IFERROR(ABS(SUMIFS('TRA balance'!R$5:R$40,'TRA balance'!$C$5:$C$40,Assumptions!$BB124,'TRA balance'!$D$5:$D$40,Assumptions!$BC124)),"")</f>
        <v>0</v>
      </c>
      <c r="BR124" s="34">
        <f>IFERROR(ABS(SUMIFS('TRA balance'!S$5:S$40,'TRA balance'!$C$5:$C$40,Assumptions!$BB124,'TRA balance'!$D$5:$D$40,Assumptions!$BC124)),"")</f>
        <v>0</v>
      </c>
      <c r="BS124" s="34">
        <f>IFERROR(ABS(SUMIFS('TRA balance'!T$5:T$40,'TRA balance'!$C$5:$C$40,Assumptions!$BB124,'TRA balance'!$D$5:$D$40,Assumptions!$BC124)),"")</f>
        <v>0</v>
      </c>
      <c r="BT124" s="34">
        <f>IFERROR(ABS(SUMIFS('TRA balance'!U$5:U$40,'TRA balance'!$C$5:$C$40,Assumptions!$BB124,'TRA balance'!$D$5:$D$40,Assumptions!$BC124)),"")</f>
        <v>0</v>
      </c>
      <c r="BU124" s="34">
        <f>IFERROR(ABS(SUMIFS('TRA balance'!V$5:V$40,'TRA balance'!$C$5:$C$40,Assumptions!$BB124,'TRA balance'!$D$5:$D$40,Assumptions!$BC124)),"")</f>
        <v>0</v>
      </c>
      <c r="BV124" s="34">
        <f>IFERROR(ABS(SUMIFS('TRA balance'!W$5:W$40,'TRA balance'!$C$5:$C$40,Assumptions!$BB124,'TRA balance'!$D$5:$D$40,Assumptions!$BC124)),"")</f>
        <v>0</v>
      </c>
      <c r="BW124" s="34">
        <f>IFERROR(ABS(SUMIFS('TRA balance'!X$5:X$40,'TRA balance'!$C$5:$C$40,Assumptions!$BB124,'TRA balance'!$D$5:$D$40,Assumptions!$BC124)),"")</f>
        <v>0</v>
      </c>
      <c r="BX124" s="34">
        <f>IFERROR(ABS(SUMIFS('TRA balance'!Y$5:Y$40,'TRA balance'!$C$5:$C$40,Assumptions!$BB124,'TRA balance'!$D$5:$D$40,Assumptions!$BC124)),"")</f>
        <v>0</v>
      </c>
      <c r="BY124" s="34">
        <f>IFERROR(ABS(SUMIFS('TRA balance'!Z$5:Z$40,'TRA balance'!$C$5:$C$40,Assumptions!$BB124,'TRA balance'!$D$5:$D$40,Assumptions!$BC124)),"")</f>
        <v>0</v>
      </c>
      <c r="BZ124" s="34">
        <f>IFERROR(ABS(SUMIFS('TRA balance'!AA$5:AA$40,'TRA balance'!$C$5:$C$40,Assumptions!$BB124,'TRA balance'!$D$5:$D$40,Assumptions!$BC124)),"")</f>
        <v>0</v>
      </c>
      <c r="CA124" s="34">
        <f>IFERROR(ABS(SUMIFS('TRA balance'!AB$5:AB$40,'TRA balance'!$C$5:$C$40,Assumptions!$BB124,'TRA balance'!$D$5:$D$40,Assumptions!$BC124)),"")</f>
        <v>0</v>
      </c>
      <c r="CB124" s="34">
        <f>IFERROR(ABS(SUMIFS('TRA balance'!AC$5:AC$40,'TRA balance'!$C$5:$C$40,Assumptions!$BB124,'TRA balance'!$D$5:$D$40,Assumptions!$BC124)),"")</f>
        <v>0</v>
      </c>
      <c r="CC124" s="34">
        <f>IFERROR(ABS(SUMIFS('TRA balance'!AD$5:AD$40,'TRA balance'!$C$5:$C$40,Assumptions!$BB124,'TRA balance'!$D$5:$D$40,Assumptions!$BC124)),"")</f>
        <v>0</v>
      </c>
      <c r="CD124" s="34">
        <f>IFERROR(ABS(SUMIFS('TRA balance'!AE$5:AE$40,'TRA balance'!$C$5:$C$40,Assumptions!$BB124,'TRA balance'!$D$5:$D$40,Assumptions!$BC124)),"")</f>
        <v>0</v>
      </c>
      <c r="CE124" s="34">
        <f>IFERROR(ABS(SUMIFS('TRA balance'!AF$5:AF$40,'TRA balance'!$C$5:$C$40,Assumptions!$BB124,'TRA balance'!$D$5:$D$40,Assumptions!$BC124)),"")</f>
        <v>0</v>
      </c>
      <c r="CF124" s="34">
        <f>IFERROR(ABS(SUMIFS('TRA balance'!AG$5:AG$40,'TRA balance'!$C$5:$C$40,Assumptions!$BB124,'TRA balance'!$D$5:$D$40,Assumptions!$BC124)),"")</f>
        <v>0</v>
      </c>
      <c r="CG124" s="34">
        <f>IFERROR(ABS(SUMIFS('TRA balance'!AH$5:AH$40,'TRA balance'!$C$5:$C$40,Assumptions!$BB124,'TRA balance'!$D$5:$D$40,Assumptions!$BC124)),"")</f>
        <v>0</v>
      </c>
      <c r="CH124" s="34">
        <f>IFERROR(ABS(SUMIFS('TRA balance'!AI$5:AI$40,'TRA balance'!$C$5:$C$40,Assumptions!$BB124,'TRA balance'!$D$5:$D$40,Assumptions!$BC124)),"")</f>
        <v>0</v>
      </c>
      <c r="CI124" s="34">
        <f>IFERROR(ABS(SUMIFS('TRA balance'!AJ$5:AJ$40,'TRA balance'!$C$5:$C$40,Assumptions!$BB124,'TRA balance'!$D$5:$D$40,Assumptions!$BC124)),"")</f>
        <v>0</v>
      </c>
      <c r="CJ124" s="34">
        <f>IFERROR(ABS(SUMIFS('TRA balance'!AK$5:AK$40,'TRA balance'!$C$5:$C$40,Assumptions!$BB124,'TRA balance'!$D$5:$D$40,Assumptions!$BC124)),"")</f>
        <v>0</v>
      </c>
      <c r="CK124" s="34">
        <f>IFERROR(ABS(SUMIFS('TRA balance'!AL$5:AL$40,'TRA balance'!$C$5:$C$40,Assumptions!$BB124,'TRA balance'!$D$5:$D$40,Assumptions!$BC124)),"")</f>
        <v>0</v>
      </c>
      <c r="CL124" s="34">
        <f>IFERROR(ABS(SUMIFS('TRA balance'!AM$5:AM$40,'TRA balance'!$C$5:$C$40,Assumptions!$BB124,'TRA balance'!$D$5:$D$40,Assumptions!$BC124)),"")</f>
        <v>0</v>
      </c>
      <c r="CM124" s="34">
        <f>IFERROR(ABS(SUMIFS('TRA balance'!AN$5:AN$40,'TRA balance'!$C$5:$C$40,Assumptions!$BB124,'TRA balance'!$D$5:$D$40,Assumptions!$BC124)),"")</f>
        <v>0</v>
      </c>
      <c r="CN124" s="34">
        <f>IFERROR(ABS(SUMIFS('TRA balance'!AO$5:AO$40,'TRA balance'!$C$5:$C$40,Assumptions!$BB124,'TRA balance'!$D$5:$D$40,Assumptions!$BC124)),"")</f>
        <v>0</v>
      </c>
      <c r="CO124" s="34">
        <f>IFERROR(ABS(SUMIFS('TRA balance'!AP$5:AP$40,'TRA balance'!$C$5:$C$40,Assumptions!$BB124,'TRA balance'!$D$5:$D$40,Assumptions!$BC124)),"")</f>
        <v>0</v>
      </c>
      <c r="CP124" s="34">
        <f>IFERROR(ABS(SUMIFS('TRA balance'!AQ$5:AQ$40,'TRA balance'!$C$5:$C$40,Assumptions!$BB124,'TRA balance'!$D$5:$D$40,Assumptions!$BC124)),"")</f>
        <v>0</v>
      </c>
      <c r="CQ124" s="34">
        <f>IFERROR(ABS(SUMIFS('TRA balance'!AR$5:AR$40,'TRA balance'!$C$5:$C$40,Assumptions!$BB124,'TRA balance'!$D$5:$D$40,Assumptions!$BC124)),"")</f>
        <v>0</v>
      </c>
      <c r="CR124" s="34">
        <f>IFERROR(ABS(SUMIFS('TRA balance'!AS$5:AS$40,'TRA balance'!$C$5:$C$40,Assumptions!$BB124,'TRA balance'!$D$5:$D$40,Assumptions!$BC124)),"")</f>
        <v>0</v>
      </c>
      <c r="CS124" s="34">
        <f>IFERROR(ABS(SUMIFS('TRA balance'!AT$5:AT$40,'TRA balance'!$C$5:$C$40,Assumptions!$BB124,'TRA balance'!$D$5:$D$40,Assumptions!$BC124)),"")</f>
        <v>0</v>
      </c>
      <c r="CT124" s="34">
        <f>IFERROR(ABS(SUMIFS('TRA balance'!AU$5:AU$40,'TRA balance'!$C$5:$C$40,Assumptions!$BB124,'TRA balance'!$D$5:$D$40,Assumptions!$BC124)),"")</f>
        <v>0</v>
      </c>
      <c r="CU124" s="34">
        <f>IFERROR(ABS(SUMIFS('TRA balance'!AV$5:AV$40,'TRA balance'!$C$5:$C$40,Assumptions!$BB124,'TRA balance'!$D$5:$D$40,Assumptions!$BC124)),"")</f>
        <v>0</v>
      </c>
      <c r="CV124" s="34">
        <f>IFERROR(ABS(SUMIFS('TRA balance'!AW$5:AW$40,'TRA balance'!$C$5:$C$40,Assumptions!$BB124,'TRA balance'!$D$5:$D$40,Assumptions!$BC124)),"")</f>
        <v>0</v>
      </c>
      <c r="CW124" s="34">
        <f>IFERROR(ABS(SUMIFS('TRA balance'!AX$5:AX$40,'TRA balance'!$C$5:$C$40,Assumptions!$BB124,'TRA balance'!$D$5:$D$40,Assumptions!$BC124)),"")</f>
        <v>0</v>
      </c>
      <c r="CX124" s="27"/>
    </row>
    <row r="125" spans="3:102">
      <c r="C125" t="str">
        <f t="shared" si="151"/>
        <v>GAS</v>
      </c>
      <c r="D125" t="str">
        <f t="shared" si="150"/>
        <v>TRH</v>
      </c>
      <c r="E125" t="s">
        <v>111</v>
      </c>
      <c r="F125" s="1">
        <v>5.04E-2</v>
      </c>
      <c r="G125" s="1">
        <v>5.67E-2</v>
      </c>
      <c r="H125" s="1">
        <v>5.9534999999999998E-2</v>
      </c>
      <c r="I125" s="1">
        <v>5.9534999999999998E-2</v>
      </c>
      <c r="J125" s="1">
        <v>5.9534999999999998E-2</v>
      </c>
      <c r="K125" s="1">
        <v>5.9534999999999998E-2</v>
      </c>
      <c r="L125" s="1">
        <v>5.9534999999999998E-2</v>
      </c>
      <c r="M125" s="1">
        <v>5.9534999999999998E-2</v>
      </c>
      <c r="N125" s="1">
        <v>5.9534999999999998E-2</v>
      </c>
      <c r="O125" s="1">
        <v>5.9534999999999998E-2</v>
      </c>
      <c r="P125" s="1">
        <v>5.9534999999999998E-2</v>
      </c>
      <c r="Q125" s="1">
        <v>5.9534999999999998E-2</v>
      </c>
      <c r="R125" s="1">
        <v>5.9534999999999998E-2</v>
      </c>
      <c r="S125" s="1">
        <v>5.9534999999999998E-2</v>
      </c>
      <c r="T125" s="1">
        <v>5.9534999999999998E-2</v>
      </c>
      <c r="U125" s="1">
        <v>5.9534999999999998E-2</v>
      </c>
      <c r="V125" s="1">
        <v>5.9534999999999998E-2</v>
      </c>
      <c r="W125" s="1">
        <v>5.9534999999999998E-2</v>
      </c>
      <c r="X125" s="1">
        <v>5.9534999999999998E-2</v>
      </c>
      <c r="Y125" s="1">
        <v>5.9534999999999998E-2</v>
      </c>
      <c r="Z125" s="1">
        <v>5.9534999999999998E-2</v>
      </c>
      <c r="AA125" s="1">
        <v>5.9534999999999998E-2</v>
      </c>
      <c r="AB125" s="1">
        <v>5.9534999999999998E-2</v>
      </c>
      <c r="AC125" s="1">
        <v>5.9534999999999998E-2</v>
      </c>
      <c r="AD125" s="1">
        <v>5.9534999999999998E-2</v>
      </c>
      <c r="AE125" s="1">
        <v>5.9534999999999998E-2</v>
      </c>
      <c r="AF125" s="1">
        <v>5.9534999999999998E-2</v>
      </c>
      <c r="AG125" s="1">
        <v>5.9534999999999998E-2</v>
      </c>
      <c r="AH125" s="1">
        <v>5.9534999999999998E-2</v>
      </c>
      <c r="AI125" s="1">
        <v>5.9534999999999998E-2</v>
      </c>
      <c r="AJ125" s="1">
        <v>5.9534999999999998E-2</v>
      </c>
      <c r="AK125" s="1">
        <v>5.9534999999999998E-2</v>
      </c>
      <c r="AL125" s="1">
        <v>5.9534999999999998E-2</v>
      </c>
      <c r="AM125" s="1">
        <v>5.9534999999999998E-2</v>
      </c>
      <c r="AN125" s="1">
        <v>5.9534999999999998E-2</v>
      </c>
      <c r="AO125" s="1">
        <v>5.9534999999999998E-2</v>
      </c>
      <c r="AP125" s="1">
        <v>5.9534999999999998E-2</v>
      </c>
      <c r="AQ125" s="1">
        <v>5.9534999999999998E-2</v>
      </c>
      <c r="AR125" s="1">
        <v>5.9534999999999998E-2</v>
      </c>
      <c r="AS125" s="1">
        <v>5.9534999999999998E-2</v>
      </c>
      <c r="AT125" s="1">
        <v>5.9534999999999998E-2</v>
      </c>
      <c r="AU125" s="1">
        <v>5.9534999999999998E-2</v>
      </c>
      <c r="AV125" s="1">
        <v>5.9534999999999998E-2</v>
      </c>
      <c r="AW125" s="1">
        <v>5.9534999999999998E-2</v>
      </c>
      <c r="AX125" s="1">
        <v>5.9534999999999998E-2</v>
      </c>
      <c r="AY125" s="1">
        <v>5.9534999999999998E-2</v>
      </c>
      <c r="AZ125" s="1">
        <v>5.9534999999999998E-2</v>
      </c>
      <c r="BA125" s="1">
        <v>5.9534999999999998E-2</v>
      </c>
      <c r="BB125" s="27" t="s">
        <v>22</v>
      </c>
      <c r="BC125" s="27" t="s">
        <v>45</v>
      </c>
      <c r="BD125" s="34">
        <f>IFERROR(ABS(SUMIFS('TRA balance'!E$5:E$40,'TRA balance'!$C$5:$C$40,Assumptions!$BB125,'TRA balance'!$D$5:$D$40,Assumptions!$BC125)),"")</f>
        <v>26.7034690152</v>
      </c>
      <c r="BE125" s="34">
        <f>IFERROR(ABS(SUMIFS('TRA balance'!F$5:F$40,'TRA balance'!$C$5:$C$40,Assumptions!$BB125,'TRA balance'!$D$5:$D$40,Assumptions!$BC125)),"")</f>
        <v>53.407917741600002</v>
      </c>
      <c r="BF125" s="34">
        <f>IFERROR(ABS(SUMIFS('TRA balance'!G$5:G$40,'TRA balance'!$C$5:$C$40,Assumptions!$BB125,'TRA balance'!$D$5:$D$40,Assumptions!$BC125)),"")</f>
        <v>28.835940232799999</v>
      </c>
      <c r="BG125" s="34">
        <f>IFERROR(ABS(SUMIFS('TRA balance'!H$5:H$40,'TRA balance'!$C$5:$C$40,Assumptions!$BB125,'TRA balance'!$D$5:$D$40,Assumptions!$BC125)),"")</f>
        <v>0</v>
      </c>
      <c r="BH125" s="34">
        <f>IFERROR(ABS(SUMIFS('TRA balance'!I$5:I$40,'TRA balance'!$C$5:$C$40,Assumptions!$BB125,'TRA balance'!$D$5:$D$40,Assumptions!$BC125)),"")</f>
        <v>10.737241192799999</v>
      </c>
      <c r="BI125" s="34">
        <f>IFERROR(ABS(SUMIFS('TRA balance'!J$5:J$40,'TRA balance'!$C$5:$C$40,Assumptions!$BB125,'TRA balance'!$D$5:$D$40,Assumptions!$BC125)),"")</f>
        <v>673.11487142999999</v>
      </c>
      <c r="BJ125" s="34">
        <f>IFERROR(ABS(SUMIFS('TRA balance'!K$5:K$40,'TRA balance'!$C$5:$C$40,Assumptions!$BB125,'TRA balance'!$D$5:$D$40,Assumptions!$BC125)),"")</f>
        <v>119.4358555152</v>
      </c>
      <c r="BK125" s="34">
        <f>IFERROR(ABS(SUMIFS('TRA balance'!L$5:L$40,'TRA balance'!$C$5:$C$40,Assumptions!$BB125,'TRA balance'!$D$5:$D$40,Assumptions!$BC125)),"")</f>
        <v>443.04395216400002</v>
      </c>
      <c r="BL125" s="34">
        <f>IFERROR(ABS(SUMIFS('TRA balance'!M$5:M$40,'TRA balance'!$C$5:$C$40,Assumptions!$BB125,'TRA balance'!$D$5:$D$40,Assumptions!$BC125)),"")</f>
        <v>6.7915506311999998</v>
      </c>
      <c r="BM125" s="34">
        <f>IFERROR(ABS(SUMIFS('TRA balance'!N$5:N$40,'TRA balance'!$C$5:$C$40,Assumptions!$BB125,'TRA balance'!$D$5:$D$40,Assumptions!$BC125)),"")</f>
        <v>0</v>
      </c>
      <c r="BN125" s="34">
        <f>IFERROR(ABS(SUMIFS('TRA balance'!O$5:O$40,'TRA balance'!$C$5:$C$40,Assumptions!$BB125,'TRA balance'!$D$5:$D$40,Assumptions!$BC125)),"")</f>
        <v>65.158238930400003</v>
      </c>
      <c r="BO125" s="34">
        <f>IFERROR(ABS(SUMIFS('TRA balance'!P$5:P$40,'TRA balance'!$C$5:$C$40,Assumptions!$BB125,'TRA balance'!$D$5:$D$40,Assumptions!$BC125)),"")</f>
        <v>26.719998501599999</v>
      </c>
      <c r="BP125" s="34">
        <f>IFERROR(ABS(SUMIFS('TRA balance'!Q$5:Q$40,'TRA balance'!$C$5:$C$40,Assumptions!$BB125,'TRA balance'!$D$5:$D$40,Assumptions!$BC125)),"")</f>
        <v>95.445018406800003</v>
      </c>
      <c r="BQ125" s="34">
        <f>IFERROR(ABS(SUMIFS('TRA balance'!R$5:R$40,'TRA balance'!$C$5:$C$40,Assumptions!$BB125,'TRA balance'!$D$5:$D$40,Assumptions!$BC125)),"")</f>
        <v>0.70021717920000004</v>
      </c>
      <c r="BR125" s="34">
        <f>IFERROR(ABS(SUMIFS('TRA balance'!S$5:S$40,'TRA balance'!$C$5:$C$40,Assumptions!$BB125,'TRA balance'!$D$5:$D$40,Assumptions!$BC125)),"")</f>
        <v>0.77315960880000001</v>
      </c>
      <c r="BS125" s="34">
        <f>IFERROR(ABS(SUMIFS('TRA balance'!T$5:T$40,'TRA balance'!$C$5:$C$40,Assumptions!$BB125,'TRA balance'!$D$5:$D$40,Assumptions!$BC125)),"")</f>
        <v>65.767439264399997</v>
      </c>
      <c r="BT125" s="34">
        <f>IFERROR(ABS(SUMIFS('TRA balance'!U$5:U$40,'TRA balance'!$C$5:$C$40,Assumptions!$BB125,'TRA balance'!$D$5:$D$40,Assumptions!$BC125)),"")</f>
        <v>0.41592089879999999</v>
      </c>
      <c r="BU125" s="34">
        <f>IFERROR(ABS(SUMIFS('TRA balance'!V$5:V$40,'TRA balance'!$C$5:$C$40,Assumptions!$BB125,'TRA balance'!$D$5:$D$40,Assumptions!$BC125)),"")</f>
        <v>167.76878969160001</v>
      </c>
      <c r="BV125" s="34">
        <f>IFERROR(ABS(SUMIFS('TRA balance'!W$5:W$40,'TRA balance'!$C$5:$C$40,Assumptions!$BB125,'TRA balance'!$D$5:$D$40,Assumptions!$BC125)),"")</f>
        <v>182.88817859880001</v>
      </c>
      <c r="BW125" s="34">
        <f>IFERROR(ABS(SUMIFS('TRA balance'!X$5:X$40,'TRA balance'!$C$5:$C$40,Assumptions!$BB125,'TRA balance'!$D$5:$D$40,Assumptions!$BC125)),"")</f>
        <v>291.79260344879998</v>
      </c>
      <c r="BX125" s="34">
        <f>IFERROR(ABS(SUMIFS('TRA balance'!Y$5:Y$40,'TRA balance'!$C$5:$C$40,Assumptions!$BB125,'TRA balance'!$D$5:$D$40,Assumptions!$BC125)),"")</f>
        <v>833.70404855879997</v>
      </c>
      <c r="BY125" s="34">
        <f>IFERROR(ABS(SUMIFS('TRA balance'!Z$5:Z$40,'TRA balance'!$C$5:$C$40,Assumptions!$BB125,'TRA balance'!$D$5:$D$40,Assumptions!$BC125)),"")</f>
        <v>544.79754870119996</v>
      </c>
      <c r="BZ125" s="34">
        <f>IFERROR(ABS(SUMIFS('TRA balance'!AA$5:AA$40,'TRA balance'!$C$5:$C$40,Assumptions!$BB125,'TRA balance'!$D$5:$D$40,Assumptions!$BC125)),"")</f>
        <v>1.4256012132</v>
      </c>
      <c r="CA125" s="34">
        <f>IFERROR(ABS(SUMIFS('TRA balance'!AB$5:AB$40,'TRA balance'!$C$5:$C$40,Assumptions!$BB125,'TRA balance'!$D$5:$D$40,Assumptions!$BC125)),"")</f>
        <v>3.2242002516000001</v>
      </c>
      <c r="CB125" s="34">
        <f>IFERROR(ABS(SUMIFS('TRA balance'!AC$5:AC$40,'TRA balance'!$C$5:$C$40,Assumptions!$BB125,'TRA balance'!$D$5:$D$40,Assumptions!$BC125)),"")</f>
        <v>2460.6435793895998</v>
      </c>
      <c r="CC125" s="34">
        <f>IFERROR(ABS(SUMIFS('TRA balance'!AD$5:AD$40,'TRA balance'!$C$5:$C$40,Assumptions!$BB125,'TRA balance'!$D$5:$D$40,Assumptions!$BC125)),"")</f>
        <v>88.480000278000006</v>
      </c>
      <c r="CD125" s="34">
        <f>IFERROR(ABS(SUMIFS('TRA balance'!AE$5:AE$40,'TRA balance'!$C$5:$C$40,Assumptions!$BB125,'TRA balance'!$D$5:$D$40,Assumptions!$BC125)),"")</f>
        <v>135.01029096720001</v>
      </c>
      <c r="CE125" s="34">
        <f>IFERROR(ABS(SUMIFS('TRA balance'!AF$5:AF$40,'TRA balance'!$C$5:$C$40,Assumptions!$BB125,'TRA balance'!$D$5:$D$40,Assumptions!$BC125)),"")</f>
        <v>57.689933947199997</v>
      </c>
      <c r="CF125" s="34">
        <f>IFERROR(ABS(SUMIFS('TRA balance'!AG$5:AG$40,'TRA balance'!$C$5:$C$40,Assumptions!$BB125,'TRA balance'!$D$5:$D$40,Assumptions!$BC125)),"")</f>
        <v>261.79840593</v>
      </c>
      <c r="CG125" s="34">
        <f>IFERROR(ABS(SUMIFS('TRA balance'!AH$5:AH$40,'TRA balance'!$C$5:$C$40,Assumptions!$BB125,'TRA balance'!$D$5:$D$40,Assumptions!$BC125)),"")</f>
        <v>88.967678742000004</v>
      </c>
      <c r="CH125" s="34">
        <f>IFERROR(ABS(SUMIFS('TRA balance'!AI$5:AI$40,'TRA balance'!$C$5:$C$40,Assumptions!$BB125,'TRA balance'!$D$5:$D$40,Assumptions!$BC125)),"")</f>
        <v>0</v>
      </c>
      <c r="CI125" s="34">
        <f>IFERROR(ABS(SUMIFS('TRA balance'!AJ$5:AJ$40,'TRA balance'!$C$5:$C$40,Assumptions!$BB125,'TRA balance'!$D$5:$D$40,Assumptions!$BC125)),"")</f>
        <v>30.7200002328</v>
      </c>
      <c r="CJ125" s="34">
        <f>IFERROR(ABS(SUMIFS('TRA balance'!AK$5:AK$40,'TRA balance'!$C$5:$C$40,Assumptions!$BB125,'TRA balance'!$D$5:$D$40,Assumptions!$BC125)),"")</f>
        <v>27.651318667200002</v>
      </c>
      <c r="CK125" s="34">
        <f>IFERROR(ABS(SUMIFS('TRA balance'!AL$5:AL$40,'TRA balance'!$C$5:$C$40,Assumptions!$BB125,'TRA balance'!$D$5:$D$40,Assumptions!$BC125)),"")</f>
        <v>0</v>
      </c>
      <c r="CL125" s="34">
        <f>IFERROR(ABS(SUMIFS('TRA balance'!AM$5:AM$40,'TRA balance'!$C$5:$C$40,Assumptions!$BB125,'TRA balance'!$D$5:$D$40,Assumptions!$BC125)),"")</f>
        <v>0</v>
      </c>
      <c r="CM125" s="34">
        <f>IFERROR(ABS(SUMIFS('TRA balance'!AN$5:AN$40,'TRA balance'!$C$5:$C$40,Assumptions!$BB125,'TRA balance'!$D$5:$D$40,Assumptions!$BC125)),"")</f>
        <v>0</v>
      </c>
      <c r="CN125" s="34">
        <f>IFERROR(ABS(SUMIFS('TRA balance'!AO$5:AO$40,'TRA balance'!$C$5:$C$40,Assumptions!$BB125,'TRA balance'!$D$5:$D$40,Assumptions!$BC125)),"")</f>
        <v>0</v>
      </c>
      <c r="CO125" s="34">
        <f>IFERROR(ABS(SUMIFS('TRA balance'!AP$5:AP$40,'TRA balance'!$C$5:$C$40,Assumptions!$BB125,'TRA balance'!$D$5:$D$40,Assumptions!$BC125)),"")</f>
        <v>0</v>
      </c>
      <c r="CP125" s="34">
        <f>IFERROR(ABS(SUMIFS('TRA balance'!AQ$5:AQ$40,'TRA balance'!$C$5:$C$40,Assumptions!$BB125,'TRA balance'!$D$5:$D$40,Assumptions!$BC125)),"")</f>
        <v>0</v>
      </c>
      <c r="CQ125" s="34">
        <f>IFERROR(ABS(SUMIFS('TRA balance'!AR$5:AR$40,'TRA balance'!$C$5:$C$40,Assumptions!$BB125,'TRA balance'!$D$5:$D$40,Assumptions!$BC125)),"")</f>
        <v>0</v>
      </c>
      <c r="CR125" s="34">
        <f>IFERROR(ABS(SUMIFS('TRA balance'!AS$5:AS$40,'TRA balance'!$C$5:$C$40,Assumptions!$BB125,'TRA balance'!$D$5:$D$40,Assumptions!$BC125)),"")</f>
        <v>0</v>
      </c>
      <c r="CS125" s="34">
        <f>IFERROR(ABS(SUMIFS('TRA balance'!AT$5:AT$40,'TRA balance'!$C$5:$C$40,Assumptions!$BB125,'TRA balance'!$D$5:$D$40,Assumptions!$BC125)),"")</f>
        <v>0</v>
      </c>
      <c r="CT125" s="34">
        <f>IFERROR(ABS(SUMIFS('TRA balance'!AU$5:AU$40,'TRA balance'!$C$5:$C$40,Assumptions!$BB125,'TRA balance'!$D$5:$D$40,Assumptions!$BC125)),"")</f>
        <v>0</v>
      </c>
      <c r="CU125" s="34">
        <f>IFERROR(ABS(SUMIFS('TRA balance'!AV$5:AV$40,'TRA balance'!$C$5:$C$40,Assumptions!$BB125,'TRA balance'!$D$5:$D$40,Assumptions!$BC125)),"")</f>
        <v>0</v>
      </c>
      <c r="CV125" s="34">
        <f>IFERROR(ABS(SUMIFS('TRA balance'!AW$5:AW$40,'TRA balance'!$C$5:$C$40,Assumptions!$BB125,'TRA balance'!$D$5:$D$40,Assumptions!$BC125)),"")</f>
        <v>0</v>
      </c>
      <c r="CW125" s="34">
        <f>IFERROR(ABS(SUMIFS('TRA balance'!AX$5:AX$40,'TRA balance'!$C$5:$C$40,Assumptions!$BB125,'TRA balance'!$D$5:$D$40,Assumptions!$BC125)),"")</f>
        <v>0</v>
      </c>
      <c r="CX125" s="27"/>
    </row>
    <row r="126" spans="3:102">
      <c r="C126" t="str">
        <f t="shared" si="151"/>
        <v>LPG</v>
      </c>
      <c r="D126" t="str">
        <f t="shared" si="150"/>
        <v>TRH</v>
      </c>
      <c r="E126" t="s">
        <v>112</v>
      </c>
      <c r="F126" s="1">
        <v>4.6399999999999997E-2</v>
      </c>
      <c r="G126" s="1">
        <v>5.2200000000000003E-2</v>
      </c>
      <c r="H126" s="1">
        <v>5.4809999999999998E-2</v>
      </c>
      <c r="I126" s="1">
        <v>5.4809999999999998E-2</v>
      </c>
      <c r="J126" s="1">
        <v>5.4809999999999998E-2</v>
      </c>
      <c r="K126" s="1">
        <v>5.4809999999999998E-2</v>
      </c>
      <c r="L126" s="1">
        <v>5.4809999999999998E-2</v>
      </c>
      <c r="M126" s="1">
        <v>5.4809999999999998E-2</v>
      </c>
      <c r="N126" s="1">
        <v>5.4809999999999998E-2</v>
      </c>
      <c r="O126" s="1">
        <v>5.4809999999999998E-2</v>
      </c>
      <c r="P126" s="1">
        <v>5.4809999999999998E-2</v>
      </c>
      <c r="Q126" s="1">
        <v>5.4809999999999998E-2</v>
      </c>
      <c r="R126" s="1">
        <v>5.4809999999999998E-2</v>
      </c>
      <c r="S126" s="1">
        <v>5.4809999999999998E-2</v>
      </c>
      <c r="T126" s="1">
        <v>5.4809999999999998E-2</v>
      </c>
      <c r="U126" s="1">
        <v>5.4809999999999998E-2</v>
      </c>
      <c r="V126" s="1">
        <v>5.4809999999999998E-2</v>
      </c>
      <c r="W126" s="1">
        <v>5.4809999999999998E-2</v>
      </c>
      <c r="X126" s="1">
        <v>5.4809999999999998E-2</v>
      </c>
      <c r="Y126" s="1">
        <v>5.4809999999999998E-2</v>
      </c>
      <c r="Z126" s="1">
        <v>5.4809999999999998E-2</v>
      </c>
      <c r="AA126" s="1">
        <v>5.4809999999999998E-2</v>
      </c>
      <c r="AB126" s="1">
        <v>5.4809999999999998E-2</v>
      </c>
      <c r="AC126" s="1">
        <v>5.4809999999999998E-2</v>
      </c>
      <c r="AD126" s="1">
        <v>5.4809999999999998E-2</v>
      </c>
      <c r="AE126" s="1">
        <v>5.4809999999999998E-2</v>
      </c>
      <c r="AF126" s="1">
        <v>5.4809999999999998E-2</v>
      </c>
      <c r="AG126" s="1">
        <v>5.4809999999999998E-2</v>
      </c>
      <c r="AH126" s="1">
        <v>5.4809999999999998E-2</v>
      </c>
      <c r="AI126" s="1">
        <v>5.4809999999999998E-2</v>
      </c>
      <c r="AJ126" s="1">
        <v>5.4809999999999998E-2</v>
      </c>
      <c r="AK126" s="1">
        <v>5.4809999999999998E-2</v>
      </c>
      <c r="AL126" s="1">
        <v>5.4809999999999998E-2</v>
      </c>
      <c r="AM126" s="1">
        <v>5.4809999999999998E-2</v>
      </c>
      <c r="AN126" s="1">
        <v>5.4809999999999998E-2</v>
      </c>
      <c r="AO126" s="1">
        <v>5.4809999999999998E-2</v>
      </c>
      <c r="AP126" s="1">
        <v>5.4809999999999998E-2</v>
      </c>
      <c r="AQ126" s="1">
        <v>5.4809999999999998E-2</v>
      </c>
      <c r="AR126" s="1">
        <v>5.4809999999999998E-2</v>
      </c>
      <c r="AS126" s="1">
        <v>5.4809999999999998E-2</v>
      </c>
      <c r="AT126" s="1">
        <v>5.4809999999999998E-2</v>
      </c>
      <c r="AU126" s="1">
        <v>5.4809999999999998E-2</v>
      </c>
      <c r="AV126" s="1">
        <v>5.4809999999999998E-2</v>
      </c>
      <c r="AW126" s="1">
        <v>5.4809999999999998E-2</v>
      </c>
      <c r="AX126" s="1">
        <v>5.4809999999999998E-2</v>
      </c>
      <c r="AY126" s="1">
        <v>5.4809999999999998E-2</v>
      </c>
      <c r="AZ126" s="1">
        <v>5.4809999999999998E-2</v>
      </c>
      <c r="BA126" s="1">
        <v>5.4809999999999998E-2</v>
      </c>
      <c r="BB126" s="27" t="s">
        <v>22</v>
      </c>
      <c r="BC126" s="27" t="s">
        <v>43</v>
      </c>
      <c r="BD126" s="34">
        <f>IFERROR(ABS(SUMIFS('TRA balance'!E$5:E$40,'TRA balance'!$C$5:$C$40,Assumptions!$BB126,'TRA balance'!$D$5:$D$40,Assumptions!$BC126)),"")</f>
        <v>0</v>
      </c>
      <c r="BE126" s="34">
        <f>IFERROR(ABS(SUMIFS('TRA balance'!F$5:F$40,'TRA balance'!$C$5:$C$40,Assumptions!$BB126,'TRA balance'!$D$5:$D$40,Assumptions!$BC126)),"")</f>
        <v>0</v>
      </c>
      <c r="BF126" s="34">
        <f>IFERROR(ABS(SUMIFS('TRA balance'!G$5:G$40,'TRA balance'!$C$5:$C$40,Assumptions!$BB126,'TRA balance'!$D$5:$D$40,Assumptions!$BC126)),"")</f>
        <v>0</v>
      </c>
      <c r="BG126" s="34">
        <f>IFERROR(ABS(SUMIFS('TRA balance'!H$5:H$40,'TRA balance'!$C$5:$C$40,Assumptions!$BB126,'TRA balance'!$D$5:$D$40,Assumptions!$BC126)),"")</f>
        <v>0</v>
      </c>
      <c r="BH126" s="34">
        <f>IFERROR(ABS(SUMIFS('TRA balance'!I$5:I$40,'TRA balance'!$C$5:$C$40,Assumptions!$BB126,'TRA balance'!$D$5:$D$40,Assumptions!$BC126)),"")</f>
        <v>0</v>
      </c>
      <c r="BI126" s="34">
        <f>IFERROR(ABS(SUMIFS('TRA balance'!J$5:J$40,'TRA balance'!$C$5:$C$40,Assumptions!$BB126,'TRA balance'!$D$5:$D$40,Assumptions!$BC126)),"")</f>
        <v>0</v>
      </c>
      <c r="BJ126" s="34">
        <f>IFERROR(ABS(SUMIFS('TRA balance'!K$5:K$40,'TRA balance'!$C$5:$C$40,Assumptions!$BB126,'TRA balance'!$D$5:$D$40,Assumptions!$BC126)),"")</f>
        <v>0</v>
      </c>
      <c r="BK126" s="34">
        <f>IFERROR(ABS(SUMIFS('TRA balance'!L$5:L$40,'TRA balance'!$C$5:$C$40,Assumptions!$BB126,'TRA balance'!$D$5:$D$40,Assumptions!$BC126)),"")</f>
        <v>0</v>
      </c>
      <c r="BL126" s="34">
        <f>IFERROR(ABS(SUMIFS('TRA balance'!M$5:M$40,'TRA balance'!$C$5:$C$40,Assumptions!$BB126,'TRA balance'!$D$5:$D$40,Assumptions!$BC126)),"")</f>
        <v>0</v>
      </c>
      <c r="BM126" s="34">
        <f>IFERROR(ABS(SUMIFS('TRA balance'!N$5:N$40,'TRA balance'!$C$5:$C$40,Assumptions!$BB126,'TRA balance'!$D$5:$D$40,Assumptions!$BC126)),"")</f>
        <v>0</v>
      </c>
      <c r="BN126" s="34">
        <f>IFERROR(ABS(SUMIFS('TRA balance'!O$5:O$40,'TRA balance'!$C$5:$C$40,Assumptions!$BB126,'TRA balance'!$D$5:$D$40,Assumptions!$BC126)),"")</f>
        <v>0</v>
      </c>
      <c r="BO126" s="34">
        <f>IFERROR(ABS(SUMIFS('TRA balance'!P$5:P$40,'TRA balance'!$C$5:$C$40,Assumptions!$BB126,'TRA balance'!$D$5:$D$40,Assumptions!$BC126)),"")</f>
        <v>0</v>
      </c>
      <c r="BP126" s="34">
        <f>IFERROR(ABS(SUMIFS('TRA balance'!Q$5:Q$40,'TRA balance'!$C$5:$C$40,Assumptions!$BB126,'TRA balance'!$D$5:$D$40,Assumptions!$BC126)),"")</f>
        <v>0</v>
      </c>
      <c r="BQ126" s="34">
        <f>IFERROR(ABS(SUMIFS('TRA balance'!R$5:R$40,'TRA balance'!$C$5:$C$40,Assumptions!$BB126,'TRA balance'!$D$5:$D$40,Assumptions!$BC126)),"")</f>
        <v>0</v>
      </c>
      <c r="BR126" s="34">
        <f>IFERROR(ABS(SUMIFS('TRA balance'!S$5:S$40,'TRA balance'!$C$5:$C$40,Assumptions!$BB126,'TRA balance'!$D$5:$D$40,Assumptions!$BC126)),"")</f>
        <v>0</v>
      </c>
      <c r="BS126" s="34">
        <f>IFERROR(ABS(SUMIFS('TRA balance'!T$5:T$40,'TRA balance'!$C$5:$C$40,Assumptions!$BB126,'TRA balance'!$D$5:$D$40,Assumptions!$BC126)),"")</f>
        <v>0</v>
      </c>
      <c r="BT126" s="34">
        <f>IFERROR(ABS(SUMIFS('TRA balance'!U$5:U$40,'TRA balance'!$C$5:$C$40,Assumptions!$BB126,'TRA balance'!$D$5:$D$40,Assumptions!$BC126)),"")</f>
        <v>0</v>
      </c>
      <c r="BU126" s="34">
        <f>IFERROR(ABS(SUMIFS('TRA balance'!V$5:V$40,'TRA balance'!$C$5:$C$40,Assumptions!$BB126,'TRA balance'!$D$5:$D$40,Assumptions!$BC126)),"")</f>
        <v>0</v>
      </c>
      <c r="BV126" s="34">
        <f>IFERROR(ABS(SUMIFS('TRA balance'!W$5:W$40,'TRA balance'!$C$5:$C$40,Assumptions!$BB126,'TRA balance'!$D$5:$D$40,Assumptions!$BC126)),"")</f>
        <v>0</v>
      </c>
      <c r="BW126" s="34">
        <f>IFERROR(ABS(SUMIFS('TRA balance'!X$5:X$40,'TRA balance'!$C$5:$C$40,Assumptions!$BB126,'TRA balance'!$D$5:$D$40,Assumptions!$BC126)),"")</f>
        <v>0</v>
      </c>
      <c r="BX126" s="34">
        <f>IFERROR(ABS(SUMIFS('TRA balance'!Y$5:Y$40,'TRA balance'!$C$5:$C$40,Assumptions!$BB126,'TRA balance'!$D$5:$D$40,Assumptions!$BC126)),"")</f>
        <v>0</v>
      </c>
      <c r="BY126" s="34">
        <f>IFERROR(ABS(SUMIFS('TRA balance'!Z$5:Z$40,'TRA balance'!$C$5:$C$40,Assumptions!$BB126,'TRA balance'!$D$5:$D$40,Assumptions!$BC126)),"")</f>
        <v>0</v>
      </c>
      <c r="BZ126" s="34">
        <f>IFERROR(ABS(SUMIFS('TRA balance'!AA$5:AA$40,'TRA balance'!$C$5:$C$40,Assumptions!$BB126,'TRA balance'!$D$5:$D$40,Assumptions!$BC126)),"")</f>
        <v>0</v>
      </c>
      <c r="CA126" s="34">
        <f>IFERROR(ABS(SUMIFS('TRA balance'!AB$5:AB$40,'TRA balance'!$C$5:$C$40,Assumptions!$BB126,'TRA balance'!$D$5:$D$40,Assumptions!$BC126)),"")</f>
        <v>0</v>
      </c>
      <c r="CB126" s="34">
        <f>IFERROR(ABS(SUMIFS('TRA balance'!AC$5:AC$40,'TRA balance'!$C$5:$C$40,Assumptions!$BB126,'TRA balance'!$D$5:$D$40,Assumptions!$BC126)),"")</f>
        <v>6.9025133916000003</v>
      </c>
      <c r="CC126" s="34">
        <f>IFERROR(ABS(SUMIFS('TRA balance'!AD$5:AD$40,'TRA balance'!$C$5:$C$40,Assumptions!$BB126,'TRA balance'!$D$5:$D$40,Assumptions!$BC126)),"")</f>
        <v>0</v>
      </c>
      <c r="CD126" s="34">
        <f>IFERROR(ABS(SUMIFS('TRA balance'!AE$5:AE$40,'TRA balance'!$C$5:$C$40,Assumptions!$BB126,'TRA balance'!$D$5:$D$40,Assumptions!$BC126)),"")</f>
        <v>0</v>
      </c>
      <c r="CE126" s="34">
        <f>IFERROR(ABS(SUMIFS('TRA balance'!AF$5:AF$40,'TRA balance'!$C$5:$C$40,Assumptions!$BB126,'TRA balance'!$D$5:$D$40,Assumptions!$BC126)),"")</f>
        <v>0</v>
      </c>
      <c r="CF126" s="34">
        <f>IFERROR(ABS(SUMIFS('TRA balance'!AG$5:AG$40,'TRA balance'!$C$5:$C$40,Assumptions!$BB126,'TRA balance'!$D$5:$D$40,Assumptions!$BC126)),"")</f>
        <v>0</v>
      </c>
      <c r="CG126" s="34">
        <f>IFERROR(ABS(SUMIFS('TRA balance'!AH$5:AH$40,'TRA balance'!$C$5:$C$40,Assumptions!$BB126,'TRA balance'!$D$5:$D$40,Assumptions!$BC126)),"")</f>
        <v>0</v>
      </c>
      <c r="CH126" s="34">
        <f>IFERROR(ABS(SUMIFS('TRA balance'!AI$5:AI$40,'TRA balance'!$C$5:$C$40,Assumptions!$BB126,'TRA balance'!$D$5:$D$40,Assumptions!$BC126)),"")</f>
        <v>0</v>
      </c>
      <c r="CI126" s="34">
        <f>IFERROR(ABS(SUMIFS('TRA balance'!AJ$5:AJ$40,'TRA balance'!$C$5:$C$40,Assumptions!$BB126,'TRA balance'!$D$5:$D$40,Assumptions!$BC126)),"")</f>
        <v>0</v>
      </c>
      <c r="CJ126" s="34">
        <f>IFERROR(ABS(SUMIFS('TRA balance'!AK$5:AK$40,'TRA balance'!$C$5:$C$40,Assumptions!$BB126,'TRA balance'!$D$5:$D$40,Assumptions!$BC126)),"")</f>
        <v>0</v>
      </c>
      <c r="CK126" s="34">
        <f>IFERROR(ABS(SUMIFS('TRA balance'!AL$5:AL$40,'TRA balance'!$C$5:$C$40,Assumptions!$BB126,'TRA balance'!$D$5:$D$40,Assumptions!$BC126)),"")</f>
        <v>0</v>
      </c>
      <c r="CL126" s="34">
        <f>IFERROR(ABS(SUMIFS('TRA balance'!AM$5:AM$40,'TRA balance'!$C$5:$C$40,Assumptions!$BB126,'TRA balance'!$D$5:$D$40,Assumptions!$BC126)),"")</f>
        <v>0</v>
      </c>
      <c r="CM126" s="34">
        <f>IFERROR(ABS(SUMIFS('TRA balance'!AN$5:AN$40,'TRA balance'!$C$5:$C$40,Assumptions!$BB126,'TRA balance'!$D$5:$D$40,Assumptions!$BC126)),"")</f>
        <v>0</v>
      </c>
      <c r="CN126" s="34">
        <f>IFERROR(ABS(SUMIFS('TRA balance'!AO$5:AO$40,'TRA balance'!$C$5:$C$40,Assumptions!$BB126,'TRA balance'!$D$5:$D$40,Assumptions!$BC126)),"")</f>
        <v>0</v>
      </c>
      <c r="CO126" s="34">
        <f>IFERROR(ABS(SUMIFS('TRA balance'!AP$5:AP$40,'TRA balance'!$C$5:$C$40,Assumptions!$BB126,'TRA balance'!$D$5:$D$40,Assumptions!$BC126)),"")</f>
        <v>0</v>
      </c>
      <c r="CP126" s="34">
        <f>IFERROR(ABS(SUMIFS('TRA balance'!AQ$5:AQ$40,'TRA balance'!$C$5:$C$40,Assumptions!$BB126,'TRA balance'!$D$5:$D$40,Assumptions!$BC126)),"")</f>
        <v>0</v>
      </c>
      <c r="CQ126" s="34">
        <f>IFERROR(ABS(SUMIFS('TRA balance'!AR$5:AR$40,'TRA balance'!$C$5:$C$40,Assumptions!$BB126,'TRA balance'!$D$5:$D$40,Assumptions!$BC126)),"")</f>
        <v>0</v>
      </c>
      <c r="CR126" s="34">
        <f>IFERROR(ABS(SUMIFS('TRA balance'!AS$5:AS$40,'TRA balance'!$C$5:$C$40,Assumptions!$BB126,'TRA balance'!$D$5:$D$40,Assumptions!$BC126)),"")</f>
        <v>0</v>
      </c>
      <c r="CS126" s="34">
        <f>IFERROR(ABS(SUMIFS('TRA balance'!AT$5:AT$40,'TRA balance'!$C$5:$C$40,Assumptions!$BB126,'TRA balance'!$D$5:$D$40,Assumptions!$BC126)),"")</f>
        <v>0</v>
      </c>
      <c r="CT126" s="34">
        <f>IFERROR(ABS(SUMIFS('TRA balance'!AU$5:AU$40,'TRA balance'!$C$5:$C$40,Assumptions!$BB126,'TRA balance'!$D$5:$D$40,Assumptions!$BC126)),"")</f>
        <v>0</v>
      </c>
      <c r="CU126" s="34">
        <f>IFERROR(ABS(SUMIFS('TRA balance'!AV$5:AV$40,'TRA balance'!$C$5:$C$40,Assumptions!$BB126,'TRA balance'!$D$5:$D$40,Assumptions!$BC126)),"")</f>
        <v>0</v>
      </c>
      <c r="CV126" s="34">
        <f>IFERROR(ABS(SUMIFS('TRA balance'!AW$5:AW$40,'TRA balance'!$C$5:$C$40,Assumptions!$BB126,'TRA balance'!$D$5:$D$40,Assumptions!$BC126)),"")</f>
        <v>0</v>
      </c>
      <c r="CW126" s="34">
        <f>IFERROR(ABS(SUMIFS('TRA balance'!AX$5:AX$40,'TRA balance'!$C$5:$C$40,Assumptions!$BB126,'TRA balance'!$D$5:$D$40,Assumptions!$BC126)),"")</f>
        <v>0</v>
      </c>
      <c r="CX126" s="27"/>
    </row>
    <row r="127" spans="3:102">
      <c r="C127" t="str">
        <f t="shared" si="151"/>
        <v>MET</v>
      </c>
      <c r="D127" t="str">
        <f t="shared" si="150"/>
        <v>TRH</v>
      </c>
      <c r="E127" t="s">
        <v>113</v>
      </c>
      <c r="F127" s="1">
        <v>4.6399999999999997E-2</v>
      </c>
      <c r="G127" s="1">
        <v>5.2200000000000003E-2</v>
      </c>
      <c r="H127" s="1">
        <v>5.4809999999999998E-2</v>
      </c>
      <c r="I127" s="1">
        <v>5.4809999999999998E-2</v>
      </c>
      <c r="J127" s="1">
        <v>5.4809999999999998E-2</v>
      </c>
      <c r="K127" s="1">
        <v>5.4809999999999998E-2</v>
      </c>
      <c r="L127" s="1">
        <v>5.4809999999999998E-2</v>
      </c>
      <c r="M127" s="1">
        <v>5.4809999999999998E-2</v>
      </c>
      <c r="N127" s="1">
        <v>5.4809999999999998E-2</v>
      </c>
      <c r="O127" s="1">
        <v>5.4809999999999998E-2</v>
      </c>
      <c r="P127" s="1">
        <v>5.4809999999999998E-2</v>
      </c>
      <c r="Q127" s="1">
        <v>5.4809999999999998E-2</v>
      </c>
      <c r="R127" s="1">
        <v>5.4809999999999998E-2</v>
      </c>
      <c r="S127" s="1">
        <v>5.4809999999999998E-2</v>
      </c>
      <c r="T127" s="1">
        <v>5.4809999999999998E-2</v>
      </c>
      <c r="U127" s="1">
        <v>5.4809999999999998E-2</v>
      </c>
      <c r="V127" s="1">
        <v>5.4809999999999998E-2</v>
      </c>
      <c r="W127" s="1">
        <v>5.4809999999999998E-2</v>
      </c>
      <c r="X127" s="1">
        <v>5.4809999999999998E-2</v>
      </c>
      <c r="Y127" s="1">
        <v>5.4809999999999998E-2</v>
      </c>
      <c r="Z127" s="1">
        <v>5.4809999999999998E-2</v>
      </c>
      <c r="AA127" s="1">
        <v>5.4809999999999998E-2</v>
      </c>
      <c r="AB127" s="1">
        <v>5.4809999999999998E-2</v>
      </c>
      <c r="AC127" s="1">
        <v>5.4809999999999998E-2</v>
      </c>
      <c r="AD127" s="1">
        <v>5.4809999999999998E-2</v>
      </c>
      <c r="AE127" s="1">
        <v>5.4809999999999998E-2</v>
      </c>
      <c r="AF127" s="1">
        <v>5.4809999999999998E-2</v>
      </c>
      <c r="AG127" s="1">
        <v>5.4809999999999998E-2</v>
      </c>
      <c r="AH127" s="1">
        <v>5.4809999999999998E-2</v>
      </c>
      <c r="AI127" s="1">
        <v>5.4809999999999998E-2</v>
      </c>
      <c r="AJ127" s="1">
        <v>5.4809999999999998E-2</v>
      </c>
      <c r="AK127" s="1">
        <v>5.4809999999999998E-2</v>
      </c>
      <c r="AL127" s="1">
        <v>5.4809999999999998E-2</v>
      </c>
      <c r="AM127" s="1">
        <v>5.4809999999999998E-2</v>
      </c>
      <c r="AN127" s="1">
        <v>5.4809999999999998E-2</v>
      </c>
      <c r="AO127" s="1">
        <v>5.4809999999999998E-2</v>
      </c>
      <c r="AP127" s="1">
        <v>5.4809999999999998E-2</v>
      </c>
      <c r="AQ127" s="1">
        <v>5.4809999999999998E-2</v>
      </c>
      <c r="AR127" s="1">
        <v>5.4809999999999998E-2</v>
      </c>
      <c r="AS127" s="1">
        <v>5.4809999999999998E-2</v>
      </c>
      <c r="AT127" s="1">
        <v>5.4809999999999998E-2</v>
      </c>
      <c r="AU127" s="1">
        <v>5.4809999999999998E-2</v>
      </c>
      <c r="AV127" s="1">
        <v>5.4809999999999998E-2</v>
      </c>
      <c r="AW127" s="1">
        <v>5.4809999999999998E-2</v>
      </c>
      <c r="AX127" s="1">
        <v>5.4809999999999998E-2</v>
      </c>
      <c r="AY127" s="1">
        <v>5.4809999999999998E-2</v>
      </c>
      <c r="AZ127" s="1">
        <v>5.4809999999999998E-2</v>
      </c>
      <c r="BA127" s="1">
        <v>5.4809999999999998E-2</v>
      </c>
      <c r="BB127" s="27" t="s">
        <v>22</v>
      </c>
      <c r="BC127" s="27" t="s">
        <v>38</v>
      </c>
      <c r="BD127" s="34">
        <f>IFERROR(ABS(SUMIFS('TRA balance'!E$5:E$40,'TRA balance'!$C$5:$C$40,Assumptions!$BB127,'TRA balance'!$D$5:$D$40,Assumptions!$BC127)),"")</f>
        <v>0</v>
      </c>
      <c r="BE127" s="34">
        <f>IFERROR(ABS(SUMIFS('TRA balance'!F$5:F$40,'TRA balance'!$C$5:$C$40,Assumptions!$BB127,'TRA balance'!$D$5:$D$40,Assumptions!$BC127)),"")</f>
        <v>0</v>
      </c>
      <c r="BF127" s="34">
        <f>IFERROR(ABS(SUMIFS('TRA balance'!G$5:G$40,'TRA balance'!$C$5:$C$40,Assumptions!$BB127,'TRA balance'!$D$5:$D$40,Assumptions!$BC127)),"")</f>
        <v>0</v>
      </c>
      <c r="BG127" s="34">
        <f>IFERROR(ABS(SUMIFS('TRA balance'!H$5:H$40,'TRA balance'!$C$5:$C$40,Assumptions!$BB127,'TRA balance'!$D$5:$D$40,Assumptions!$BC127)),"")</f>
        <v>0</v>
      </c>
      <c r="BH127" s="34">
        <f>IFERROR(ABS(SUMIFS('TRA balance'!I$5:I$40,'TRA balance'!$C$5:$C$40,Assumptions!$BB127,'TRA balance'!$D$5:$D$40,Assumptions!$BC127)),"")</f>
        <v>0.85229850240000005</v>
      </c>
      <c r="BI127" s="34">
        <f>IFERROR(ABS(SUMIFS('TRA balance'!J$5:J$40,'TRA balance'!$C$5:$C$40,Assumptions!$BB127,'TRA balance'!$D$5:$D$40,Assumptions!$BC127)),"")</f>
        <v>2.8695364236000001</v>
      </c>
      <c r="BJ127" s="34">
        <f>IFERROR(ABS(SUMIFS('TRA balance'!K$5:K$40,'TRA balance'!$C$5:$C$40,Assumptions!$BB127,'TRA balance'!$D$5:$D$40,Assumptions!$BC127)),"")</f>
        <v>0</v>
      </c>
      <c r="BK127" s="34">
        <f>IFERROR(ABS(SUMIFS('TRA balance'!L$5:L$40,'TRA balance'!$C$5:$C$40,Assumptions!$BB127,'TRA balance'!$D$5:$D$40,Assumptions!$BC127)),"")</f>
        <v>0</v>
      </c>
      <c r="BL127" s="34">
        <f>IFERROR(ABS(SUMIFS('TRA balance'!M$5:M$40,'TRA balance'!$C$5:$C$40,Assumptions!$BB127,'TRA balance'!$D$5:$D$40,Assumptions!$BC127)),"")</f>
        <v>0</v>
      </c>
      <c r="BM127" s="34">
        <f>IFERROR(ABS(SUMIFS('TRA balance'!N$5:N$40,'TRA balance'!$C$5:$C$40,Assumptions!$BB127,'TRA balance'!$D$5:$D$40,Assumptions!$BC127)),"")</f>
        <v>0</v>
      </c>
      <c r="BN127" s="34">
        <f>IFERROR(ABS(SUMIFS('TRA balance'!O$5:O$40,'TRA balance'!$C$5:$C$40,Assumptions!$BB127,'TRA balance'!$D$5:$D$40,Assumptions!$BC127)),"")</f>
        <v>0</v>
      </c>
      <c r="BO127" s="34">
        <f>IFERROR(ABS(SUMIFS('TRA balance'!P$5:P$40,'TRA balance'!$C$5:$C$40,Assumptions!$BB127,'TRA balance'!$D$5:$D$40,Assumptions!$BC127)),"")</f>
        <v>0</v>
      </c>
      <c r="BP127" s="34">
        <f>IFERROR(ABS(SUMIFS('TRA balance'!Q$5:Q$40,'TRA balance'!$C$5:$C$40,Assumptions!$BB127,'TRA balance'!$D$5:$D$40,Assumptions!$BC127)),"")</f>
        <v>0</v>
      </c>
      <c r="BQ127" s="34">
        <f>IFERROR(ABS(SUMIFS('TRA balance'!R$5:R$40,'TRA balance'!$C$5:$C$40,Assumptions!$BB127,'TRA balance'!$D$5:$D$40,Assumptions!$BC127)),"")</f>
        <v>0</v>
      </c>
      <c r="BR127" s="34">
        <f>IFERROR(ABS(SUMIFS('TRA balance'!S$5:S$40,'TRA balance'!$C$5:$C$40,Assumptions!$BB127,'TRA balance'!$D$5:$D$40,Assumptions!$BC127)),"")</f>
        <v>0</v>
      </c>
      <c r="BS127" s="34">
        <f>IFERROR(ABS(SUMIFS('TRA balance'!T$5:T$40,'TRA balance'!$C$5:$C$40,Assumptions!$BB127,'TRA balance'!$D$5:$D$40,Assumptions!$BC127)),"")</f>
        <v>0</v>
      </c>
      <c r="BT127" s="34">
        <f>IFERROR(ABS(SUMIFS('TRA balance'!U$5:U$40,'TRA balance'!$C$5:$C$40,Assumptions!$BB127,'TRA balance'!$D$5:$D$40,Assumptions!$BC127)),"")</f>
        <v>0</v>
      </c>
      <c r="BU127" s="34">
        <f>IFERROR(ABS(SUMIFS('TRA balance'!V$5:V$40,'TRA balance'!$C$5:$C$40,Assumptions!$BB127,'TRA balance'!$D$5:$D$40,Assumptions!$BC127)),"")</f>
        <v>0</v>
      </c>
      <c r="BV127" s="34">
        <f>IFERROR(ABS(SUMIFS('TRA balance'!W$5:W$40,'TRA balance'!$C$5:$C$40,Assumptions!$BB127,'TRA balance'!$D$5:$D$40,Assumptions!$BC127)),"")</f>
        <v>0</v>
      </c>
      <c r="BW127" s="34">
        <f>IFERROR(ABS(SUMIFS('TRA balance'!X$5:X$40,'TRA balance'!$C$5:$C$40,Assumptions!$BB127,'TRA balance'!$D$5:$D$40,Assumptions!$BC127)),"")</f>
        <v>0</v>
      </c>
      <c r="BX127" s="34">
        <f>IFERROR(ABS(SUMIFS('TRA balance'!Y$5:Y$40,'TRA balance'!$C$5:$C$40,Assumptions!$BB127,'TRA balance'!$D$5:$D$40,Assumptions!$BC127)),"")</f>
        <v>0</v>
      </c>
      <c r="BY127" s="34">
        <f>IFERROR(ABS(SUMIFS('TRA balance'!Z$5:Z$40,'TRA balance'!$C$5:$C$40,Assumptions!$BB127,'TRA balance'!$D$5:$D$40,Assumptions!$BC127)),"")</f>
        <v>0</v>
      </c>
      <c r="BZ127" s="34">
        <f>IFERROR(ABS(SUMIFS('TRA balance'!AA$5:AA$40,'TRA balance'!$C$5:$C$40,Assumptions!$BB127,'TRA balance'!$D$5:$D$40,Assumptions!$BC127)),"")</f>
        <v>2.2015199231999998</v>
      </c>
      <c r="CA127" s="34">
        <f>IFERROR(ABS(SUMIFS('TRA balance'!AB$5:AB$40,'TRA balance'!$C$5:$C$40,Assumptions!$BB127,'TRA balance'!$D$5:$D$40,Assumptions!$BC127)),"")</f>
        <v>0</v>
      </c>
      <c r="CB127" s="34">
        <f>IFERROR(ABS(SUMIFS('TRA balance'!AC$5:AC$40,'TRA balance'!$C$5:$C$40,Assumptions!$BB127,'TRA balance'!$D$5:$D$40,Assumptions!$BC127)),"")</f>
        <v>0</v>
      </c>
      <c r="CC127" s="34">
        <f>IFERROR(ABS(SUMIFS('TRA balance'!AD$5:AD$40,'TRA balance'!$C$5:$C$40,Assumptions!$BB127,'TRA balance'!$D$5:$D$40,Assumptions!$BC127)),"")</f>
        <v>0</v>
      </c>
      <c r="CD127" s="34">
        <f>IFERROR(ABS(SUMIFS('TRA balance'!AE$5:AE$40,'TRA balance'!$C$5:$C$40,Assumptions!$BB127,'TRA balance'!$D$5:$D$40,Assumptions!$BC127)),"")</f>
        <v>0</v>
      </c>
      <c r="CE127" s="34">
        <f>IFERROR(ABS(SUMIFS('TRA balance'!AF$5:AF$40,'TRA balance'!$C$5:$C$40,Assumptions!$BB127,'TRA balance'!$D$5:$D$40,Assumptions!$BC127)),"")</f>
        <v>0</v>
      </c>
      <c r="CF127" s="34">
        <f>IFERROR(ABS(SUMIFS('TRA balance'!AG$5:AG$40,'TRA balance'!$C$5:$C$40,Assumptions!$BB127,'TRA balance'!$D$5:$D$40,Assumptions!$BC127)),"")</f>
        <v>1.4913004787999999</v>
      </c>
      <c r="CG127" s="34">
        <f>IFERROR(ABS(SUMIFS('TRA balance'!AH$5:AH$40,'TRA balance'!$C$5:$C$40,Assumptions!$BB127,'TRA balance'!$D$5:$D$40,Assumptions!$BC127)),"")</f>
        <v>0.74190096000000005</v>
      </c>
      <c r="CH127" s="34">
        <f>IFERROR(ABS(SUMIFS('TRA balance'!AI$5:AI$40,'TRA balance'!$C$5:$C$40,Assumptions!$BB127,'TRA balance'!$D$5:$D$40,Assumptions!$BC127)),"")</f>
        <v>0</v>
      </c>
      <c r="CI127" s="34">
        <f>IFERROR(ABS(SUMIFS('TRA balance'!AJ$5:AJ$40,'TRA balance'!$C$5:$C$40,Assumptions!$BB127,'TRA balance'!$D$5:$D$40,Assumptions!$BC127)),"")</f>
        <v>0</v>
      </c>
      <c r="CJ127" s="34">
        <f>IFERROR(ABS(SUMIFS('TRA balance'!AK$5:AK$40,'TRA balance'!$C$5:$C$40,Assumptions!$BB127,'TRA balance'!$D$5:$D$40,Assumptions!$BC127)),"")</f>
        <v>0</v>
      </c>
      <c r="CK127" s="34">
        <f>IFERROR(ABS(SUMIFS('TRA balance'!AL$5:AL$40,'TRA balance'!$C$5:$C$40,Assumptions!$BB127,'TRA balance'!$D$5:$D$40,Assumptions!$BC127)),"")</f>
        <v>0</v>
      </c>
      <c r="CL127" s="34">
        <f>IFERROR(ABS(SUMIFS('TRA balance'!AM$5:AM$40,'TRA balance'!$C$5:$C$40,Assumptions!$BB127,'TRA balance'!$D$5:$D$40,Assumptions!$BC127)),"")</f>
        <v>0</v>
      </c>
      <c r="CM127" s="34">
        <f>IFERROR(ABS(SUMIFS('TRA balance'!AN$5:AN$40,'TRA balance'!$C$5:$C$40,Assumptions!$BB127,'TRA balance'!$D$5:$D$40,Assumptions!$BC127)),"")</f>
        <v>0</v>
      </c>
      <c r="CN127" s="34">
        <f>IFERROR(ABS(SUMIFS('TRA balance'!AO$5:AO$40,'TRA balance'!$C$5:$C$40,Assumptions!$BB127,'TRA balance'!$D$5:$D$40,Assumptions!$BC127)),"")</f>
        <v>0</v>
      </c>
      <c r="CO127" s="34">
        <f>IFERROR(ABS(SUMIFS('TRA balance'!AP$5:AP$40,'TRA balance'!$C$5:$C$40,Assumptions!$BB127,'TRA balance'!$D$5:$D$40,Assumptions!$BC127)),"")</f>
        <v>0</v>
      </c>
      <c r="CP127" s="34">
        <f>IFERROR(ABS(SUMIFS('TRA balance'!AQ$5:AQ$40,'TRA balance'!$C$5:$C$40,Assumptions!$BB127,'TRA balance'!$D$5:$D$40,Assumptions!$BC127)),"")</f>
        <v>0</v>
      </c>
      <c r="CQ127" s="34">
        <f>IFERROR(ABS(SUMIFS('TRA balance'!AR$5:AR$40,'TRA balance'!$C$5:$C$40,Assumptions!$BB127,'TRA balance'!$D$5:$D$40,Assumptions!$BC127)),"")</f>
        <v>0</v>
      </c>
      <c r="CR127" s="34">
        <f>IFERROR(ABS(SUMIFS('TRA balance'!AS$5:AS$40,'TRA balance'!$C$5:$C$40,Assumptions!$BB127,'TRA balance'!$D$5:$D$40,Assumptions!$BC127)),"")</f>
        <v>0</v>
      </c>
      <c r="CS127" s="34">
        <f>IFERROR(ABS(SUMIFS('TRA balance'!AT$5:AT$40,'TRA balance'!$C$5:$C$40,Assumptions!$BB127,'TRA balance'!$D$5:$D$40,Assumptions!$BC127)),"")</f>
        <v>0</v>
      </c>
      <c r="CT127" s="34">
        <f>IFERROR(ABS(SUMIFS('TRA balance'!AU$5:AU$40,'TRA balance'!$C$5:$C$40,Assumptions!$BB127,'TRA balance'!$D$5:$D$40,Assumptions!$BC127)),"")</f>
        <v>0</v>
      </c>
      <c r="CU127" s="34">
        <f>IFERROR(ABS(SUMIFS('TRA balance'!AV$5:AV$40,'TRA balance'!$C$5:$C$40,Assumptions!$BB127,'TRA balance'!$D$5:$D$40,Assumptions!$BC127)),"")</f>
        <v>0</v>
      </c>
      <c r="CV127" s="34">
        <f>IFERROR(ABS(SUMIFS('TRA balance'!AW$5:AW$40,'TRA balance'!$C$5:$C$40,Assumptions!$BB127,'TRA balance'!$D$5:$D$40,Assumptions!$BC127)),"")</f>
        <v>0</v>
      </c>
      <c r="CW127" s="34">
        <f>IFERROR(ABS(SUMIFS('TRA balance'!AX$5:AX$40,'TRA balance'!$C$5:$C$40,Assumptions!$BB127,'TRA balance'!$D$5:$D$40,Assumptions!$BC127)),"")</f>
        <v>0</v>
      </c>
      <c r="CX127" s="27"/>
    </row>
    <row r="128" spans="3:102">
      <c r="C128" t="str">
        <f t="shared" si="151"/>
        <v>NGA</v>
      </c>
      <c r="D128" t="str">
        <f t="shared" si="150"/>
        <v>TRH</v>
      </c>
      <c r="E128" t="s">
        <v>114</v>
      </c>
      <c r="F128" s="1">
        <v>4.6399999999999997E-2</v>
      </c>
      <c r="G128" s="1">
        <v>5.2200000000000003E-2</v>
      </c>
      <c r="H128" s="1">
        <v>5.4809999999999998E-2</v>
      </c>
      <c r="I128" s="1">
        <v>5.4809999999999998E-2</v>
      </c>
      <c r="J128" s="1">
        <v>5.4809999999999998E-2</v>
      </c>
      <c r="K128" s="1">
        <v>5.4809999999999998E-2</v>
      </c>
      <c r="L128" s="1">
        <v>5.4809999999999998E-2</v>
      </c>
      <c r="M128" s="1">
        <v>5.4809999999999998E-2</v>
      </c>
      <c r="N128" s="1">
        <v>5.4809999999999998E-2</v>
      </c>
      <c r="O128" s="1">
        <v>5.4809999999999998E-2</v>
      </c>
      <c r="P128" s="1">
        <v>5.4809999999999998E-2</v>
      </c>
      <c r="Q128" s="1">
        <v>5.4809999999999998E-2</v>
      </c>
      <c r="R128" s="1">
        <v>5.4809999999999998E-2</v>
      </c>
      <c r="S128" s="1">
        <v>5.4809999999999998E-2</v>
      </c>
      <c r="T128" s="1">
        <v>5.4809999999999998E-2</v>
      </c>
      <c r="U128" s="1">
        <v>5.4809999999999998E-2</v>
      </c>
      <c r="V128" s="1">
        <v>5.4809999999999998E-2</v>
      </c>
      <c r="W128" s="1">
        <v>5.4809999999999998E-2</v>
      </c>
      <c r="X128" s="1">
        <v>5.4809999999999998E-2</v>
      </c>
      <c r="Y128" s="1">
        <v>5.4809999999999998E-2</v>
      </c>
      <c r="Z128" s="1">
        <v>5.4809999999999998E-2</v>
      </c>
      <c r="AA128" s="1">
        <v>5.4809999999999998E-2</v>
      </c>
      <c r="AB128" s="1">
        <v>5.4809999999999998E-2</v>
      </c>
      <c r="AC128" s="1">
        <v>5.4809999999999998E-2</v>
      </c>
      <c r="AD128" s="1">
        <v>5.4809999999999998E-2</v>
      </c>
      <c r="AE128" s="1">
        <v>5.4809999999999998E-2</v>
      </c>
      <c r="AF128" s="1">
        <v>5.4809999999999998E-2</v>
      </c>
      <c r="AG128" s="1">
        <v>5.4809999999999998E-2</v>
      </c>
      <c r="AH128" s="1">
        <v>5.4809999999999998E-2</v>
      </c>
      <c r="AI128" s="1">
        <v>5.4809999999999998E-2</v>
      </c>
      <c r="AJ128" s="1">
        <v>5.4809999999999998E-2</v>
      </c>
      <c r="AK128" s="1">
        <v>5.4809999999999998E-2</v>
      </c>
      <c r="AL128" s="1">
        <v>5.4809999999999998E-2</v>
      </c>
      <c r="AM128" s="1">
        <v>5.4809999999999998E-2</v>
      </c>
      <c r="AN128" s="1">
        <v>5.4809999999999998E-2</v>
      </c>
      <c r="AO128" s="1">
        <v>5.4809999999999998E-2</v>
      </c>
      <c r="AP128" s="1">
        <v>5.4809999999999998E-2</v>
      </c>
      <c r="AQ128" s="1">
        <v>5.4809999999999998E-2</v>
      </c>
      <c r="AR128" s="1">
        <v>5.4809999999999998E-2</v>
      </c>
      <c r="AS128" s="1">
        <v>5.4809999999999998E-2</v>
      </c>
      <c r="AT128" s="1">
        <v>5.4809999999999998E-2</v>
      </c>
      <c r="AU128" s="1">
        <v>5.4809999999999998E-2</v>
      </c>
      <c r="AV128" s="1">
        <v>5.4809999999999998E-2</v>
      </c>
      <c r="AW128" s="1">
        <v>5.4809999999999998E-2</v>
      </c>
      <c r="AX128" s="1">
        <v>5.4809999999999998E-2</v>
      </c>
      <c r="AY128" s="1">
        <v>5.4809999999999998E-2</v>
      </c>
      <c r="AZ128" s="1">
        <v>5.4809999999999998E-2</v>
      </c>
      <c r="BA128" s="1">
        <v>5.4809999999999998E-2</v>
      </c>
      <c r="BB128" s="27" t="s">
        <v>23</v>
      </c>
      <c r="BC128" s="27" t="s">
        <v>171</v>
      </c>
      <c r="BD128" s="34">
        <f>IFERROR(ABS(SUMIFS('TRA balance'!E$5:E$40,'TRA balance'!$C$5:$C$40,Assumptions!$BB128,'TRA balance'!$D$5:$D$40,Assumptions!$BC128)),"")</f>
        <v>0</v>
      </c>
      <c r="BE128" s="34">
        <f>IFERROR(ABS(SUMIFS('TRA balance'!F$5:F$40,'TRA balance'!$C$5:$C$40,Assumptions!$BB128,'TRA balance'!$D$5:$D$40,Assumptions!$BC128)),"")</f>
        <v>0</v>
      </c>
      <c r="BF128" s="34">
        <f>IFERROR(ABS(SUMIFS('TRA balance'!G$5:G$40,'TRA balance'!$C$5:$C$40,Assumptions!$BB128,'TRA balance'!$D$5:$D$40,Assumptions!$BC128)),"")</f>
        <v>0</v>
      </c>
      <c r="BG128" s="34">
        <f>IFERROR(ABS(SUMIFS('TRA balance'!H$5:H$40,'TRA balance'!$C$5:$C$40,Assumptions!$BB128,'TRA balance'!$D$5:$D$40,Assumptions!$BC128)),"")</f>
        <v>0</v>
      </c>
      <c r="BH128" s="34">
        <f>IFERROR(ABS(SUMIFS('TRA balance'!I$5:I$40,'TRA balance'!$C$5:$C$40,Assumptions!$BB128,'TRA balance'!$D$5:$D$40,Assumptions!$BC128)),"")</f>
        <v>0</v>
      </c>
      <c r="BI128" s="34">
        <f>IFERROR(ABS(SUMIFS('TRA balance'!J$5:J$40,'TRA balance'!$C$5:$C$40,Assumptions!$BB128,'TRA balance'!$D$5:$D$40,Assumptions!$BC128)),"")</f>
        <v>0</v>
      </c>
      <c r="BJ128" s="34">
        <f>IFERROR(ABS(SUMIFS('TRA balance'!K$5:K$40,'TRA balance'!$C$5:$C$40,Assumptions!$BB128,'TRA balance'!$D$5:$D$40,Assumptions!$BC128)),"")</f>
        <v>6.1607003544000003</v>
      </c>
      <c r="BK128" s="34">
        <f>IFERROR(ABS(SUMIFS('TRA balance'!L$5:L$40,'TRA balance'!$C$5:$C$40,Assumptions!$BB128,'TRA balance'!$D$5:$D$40,Assumptions!$BC128)),"")</f>
        <v>0</v>
      </c>
      <c r="BL128" s="34">
        <f>IFERROR(ABS(SUMIFS('TRA balance'!M$5:M$40,'TRA balance'!$C$5:$C$40,Assumptions!$BB128,'TRA balance'!$D$5:$D$40,Assumptions!$BC128)),"")</f>
        <v>0</v>
      </c>
      <c r="BM128" s="34">
        <f>IFERROR(ABS(SUMIFS('TRA balance'!N$5:N$40,'TRA balance'!$C$5:$C$40,Assumptions!$BB128,'TRA balance'!$D$5:$D$40,Assumptions!$BC128)),"")</f>
        <v>0</v>
      </c>
      <c r="BN128" s="34">
        <f>IFERROR(ABS(SUMIFS('TRA balance'!O$5:O$40,'TRA balance'!$C$5:$C$40,Assumptions!$BB128,'TRA balance'!$D$5:$D$40,Assumptions!$BC128)),"")</f>
        <v>0</v>
      </c>
      <c r="BO128" s="34">
        <f>IFERROR(ABS(SUMIFS('TRA balance'!P$5:P$40,'TRA balance'!$C$5:$C$40,Assumptions!$BB128,'TRA balance'!$D$5:$D$40,Assumptions!$BC128)),"")</f>
        <v>0</v>
      </c>
      <c r="BP128" s="34">
        <f>IFERROR(ABS(SUMIFS('TRA balance'!Q$5:Q$40,'TRA balance'!$C$5:$C$40,Assumptions!$BB128,'TRA balance'!$D$5:$D$40,Assumptions!$BC128)),"")</f>
        <v>0</v>
      </c>
      <c r="BQ128" s="34">
        <f>IFERROR(ABS(SUMIFS('TRA balance'!R$5:R$40,'TRA balance'!$C$5:$C$40,Assumptions!$BB128,'TRA balance'!$D$5:$D$40,Assumptions!$BC128)),"")</f>
        <v>0</v>
      </c>
      <c r="BR128" s="34">
        <f>IFERROR(ABS(SUMIFS('TRA balance'!S$5:S$40,'TRA balance'!$C$5:$C$40,Assumptions!$BB128,'TRA balance'!$D$5:$D$40,Assumptions!$BC128)),"")</f>
        <v>0</v>
      </c>
      <c r="BS128" s="34">
        <f>IFERROR(ABS(SUMIFS('TRA balance'!T$5:T$40,'TRA balance'!$C$5:$C$40,Assumptions!$BB128,'TRA balance'!$D$5:$D$40,Assumptions!$BC128)),"")</f>
        <v>0</v>
      </c>
      <c r="BT128" s="34">
        <f>IFERROR(ABS(SUMIFS('TRA balance'!U$5:U$40,'TRA balance'!$C$5:$C$40,Assumptions!$BB128,'TRA balance'!$D$5:$D$40,Assumptions!$BC128)),"")</f>
        <v>0</v>
      </c>
      <c r="BU128" s="34">
        <f>IFERROR(ABS(SUMIFS('TRA balance'!V$5:V$40,'TRA balance'!$C$5:$C$40,Assumptions!$BB128,'TRA balance'!$D$5:$D$40,Assumptions!$BC128)),"")</f>
        <v>0</v>
      </c>
      <c r="BV128" s="34">
        <f>IFERROR(ABS(SUMIFS('TRA balance'!W$5:W$40,'TRA balance'!$C$5:$C$40,Assumptions!$BB128,'TRA balance'!$D$5:$D$40,Assumptions!$BC128)),"")</f>
        <v>0</v>
      </c>
      <c r="BW128" s="34">
        <f>IFERROR(ABS(SUMIFS('TRA balance'!X$5:X$40,'TRA balance'!$C$5:$C$40,Assumptions!$BB128,'TRA balance'!$D$5:$D$40,Assumptions!$BC128)),"")</f>
        <v>0</v>
      </c>
      <c r="BX128" s="34">
        <f>IFERROR(ABS(SUMIFS('TRA balance'!Y$5:Y$40,'TRA balance'!$C$5:$C$40,Assumptions!$BB128,'TRA balance'!$D$5:$D$40,Assumptions!$BC128)),"")</f>
        <v>0</v>
      </c>
      <c r="BY128" s="34">
        <f>IFERROR(ABS(SUMIFS('TRA balance'!Z$5:Z$40,'TRA balance'!$C$5:$C$40,Assumptions!$BB128,'TRA balance'!$D$5:$D$40,Assumptions!$BC128)),"")</f>
        <v>2.5819618788000001</v>
      </c>
      <c r="BZ128" s="34">
        <f>IFERROR(ABS(SUMIFS('TRA balance'!AA$5:AA$40,'TRA balance'!$C$5:$C$40,Assumptions!$BB128,'TRA balance'!$D$5:$D$40,Assumptions!$BC128)),"")</f>
        <v>0</v>
      </c>
      <c r="CA128" s="34">
        <f>IFERROR(ABS(SUMIFS('TRA balance'!AB$5:AB$40,'TRA balance'!$C$5:$C$40,Assumptions!$BB128,'TRA balance'!$D$5:$D$40,Assumptions!$BC128)),"")</f>
        <v>2.3990364E-2</v>
      </c>
      <c r="CB128" s="34">
        <f>IFERROR(ABS(SUMIFS('TRA balance'!AC$5:AC$40,'TRA balance'!$C$5:$C$40,Assumptions!$BB128,'TRA balance'!$D$5:$D$40,Assumptions!$BC128)),"")</f>
        <v>0</v>
      </c>
      <c r="CC128" s="34">
        <f>IFERROR(ABS(SUMIFS('TRA balance'!AD$5:AD$40,'TRA balance'!$C$5:$C$40,Assumptions!$BB128,'TRA balance'!$D$5:$D$40,Assumptions!$BC128)),"")</f>
        <v>0</v>
      </c>
      <c r="CD128" s="34">
        <f>IFERROR(ABS(SUMIFS('TRA balance'!AE$5:AE$40,'TRA balance'!$C$5:$C$40,Assumptions!$BB128,'TRA balance'!$D$5:$D$40,Assumptions!$BC128)),"")</f>
        <v>0</v>
      </c>
      <c r="CE128" s="34">
        <f>IFERROR(ABS(SUMIFS('TRA balance'!AF$5:AF$40,'TRA balance'!$C$5:$C$40,Assumptions!$BB128,'TRA balance'!$D$5:$D$40,Assumptions!$BC128)),"")</f>
        <v>0</v>
      </c>
      <c r="CF128" s="34">
        <f>IFERROR(ABS(SUMIFS('TRA balance'!AG$5:AG$40,'TRA balance'!$C$5:$C$40,Assumptions!$BB128,'TRA balance'!$D$5:$D$40,Assumptions!$BC128)),"")</f>
        <v>0</v>
      </c>
      <c r="CG128" s="34">
        <f>IFERROR(ABS(SUMIFS('TRA balance'!AH$5:AH$40,'TRA balance'!$C$5:$C$40,Assumptions!$BB128,'TRA balance'!$D$5:$D$40,Assumptions!$BC128)),"")</f>
        <v>0</v>
      </c>
      <c r="CH128" s="34">
        <f>IFERROR(ABS(SUMIFS('TRA balance'!AI$5:AI$40,'TRA balance'!$C$5:$C$40,Assumptions!$BB128,'TRA balance'!$D$5:$D$40,Assumptions!$BC128)),"")</f>
        <v>0</v>
      </c>
      <c r="CI128" s="34">
        <f>IFERROR(ABS(SUMIFS('TRA balance'!AJ$5:AJ$40,'TRA balance'!$C$5:$C$40,Assumptions!$BB128,'TRA balance'!$D$5:$D$40,Assumptions!$BC128)),"")</f>
        <v>0</v>
      </c>
      <c r="CJ128" s="34">
        <f>IFERROR(ABS(SUMIFS('TRA balance'!AK$5:AK$40,'TRA balance'!$C$5:$C$40,Assumptions!$BB128,'TRA balance'!$D$5:$D$40,Assumptions!$BC128)),"")</f>
        <v>0</v>
      </c>
      <c r="CK128" s="34">
        <f>IFERROR(ABS(SUMIFS('TRA balance'!AL$5:AL$40,'TRA balance'!$C$5:$C$40,Assumptions!$BB128,'TRA balance'!$D$5:$D$40,Assumptions!$BC128)),"")</f>
        <v>0</v>
      </c>
      <c r="CL128" s="34">
        <f>IFERROR(ABS(SUMIFS('TRA balance'!AM$5:AM$40,'TRA balance'!$C$5:$C$40,Assumptions!$BB128,'TRA balance'!$D$5:$D$40,Assumptions!$BC128)),"")</f>
        <v>0</v>
      </c>
      <c r="CM128" s="34">
        <f>IFERROR(ABS(SUMIFS('TRA balance'!AN$5:AN$40,'TRA balance'!$C$5:$C$40,Assumptions!$BB128,'TRA balance'!$D$5:$D$40,Assumptions!$BC128)),"")</f>
        <v>0</v>
      </c>
      <c r="CN128" s="34">
        <f>IFERROR(ABS(SUMIFS('TRA balance'!AO$5:AO$40,'TRA balance'!$C$5:$C$40,Assumptions!$BB128,'TRA balance'!$D$5:$D$40,Assumptions!$BC128)),"")</f>
        <v>0</v>
      </c>
      <c r="CO128" s="34">
        <f>IFERROR(ABS(SUMIFS('TRA balance'!AP$5:AP$40,'TRA balance'!$C$5:$C$40,Assumptions!$BB128,'TRA balance'!$D$5:$D$40,Assumptions!$BC128)),"")</f>
        <v>0</v>
      </c>
      <c r="CP128" s="34">
        <f>IFERROR(ABS(SUMIFS('TRA balance'!AQ$5:AQ$40,'TRA balance'!$C$5:$C$40,Assumptions!$BB128,'TRA balance'!$D$5:$D$40,Assumptions!$BC128)),"")</f>
        <v>0</v>
      </c>
      <c r="CQ128" s="34">
        <f>IFERROR(ABS(SUMIFS('TRA balance'!AR$5:AR$40,'TRA balance'!$C$5:$C$40,Assumptions!$BB128,'TRA balance'!$D$5:$D$40,Assumptions!$BC128)),"")</f>
        <v>0</v>
      </c>
      <c r="CR128" s="34">
        <f>IFERROR(ABS(SUMIFS('TRA balance'!AS$5:AS$40,'TRA balance'!$C$5:$C$40,Assumptions!$BB128,'TRA balance'!$D$5:$D$40,Assumptions!$BC128)),"")</f>
        <v>0</v>
      </c>
      <c r="CS128" s="34">
        <f>IFERROR(ABS(SUMIFS('TRA balance'!AT$5:AT$40,'TRA balance'!$C$5:$C$40,Assumptions!$BB128,'TRA balance'!$D$5:$D$40,Assumptions!$BC128)),"")</f>
        <v>0</v>
      </c>
      <c r="CT128" s="34">
        <f>IFERROR(ABS(SUMIFS('TRA balance'!AU$5:AU$40,'TRA balance'!$C$5:$C$40,Assumptions!$BB128,'TRA balance'!$D$5:$D$40,Assumptions!$BC128)),"")</f>
        <v>0</v>
      </c>
      <c r="CU128" s="34">
        <f>IFERROR(ABS(SUMIFS('TRA balance'!AV$5:AV$40,'TRA balance'!$C$5:$C$40,Assumptions!$BB128,'TRA balance'!$D$5:$D$40,Assumptions!$BC128)),"")</f>
        <v>0</v>
      </c>
      <c r="CV128" s="34">
        <f>IFERROR(ABS(SUMIFS('TRA balance'!AW$5:AW$40,'TRA balance'!$C$5:$C$40,Assumptions!$BB128,'TRA balance'!$D$5:$D$40,Assumptions!$BC128)),"")</f>
        <v>0</v>
      </c>
      <c r="CW128" s="34">
        <f>IFERROR(ABS(SUMIFS('TRA balance'!AX$5:AX$40,'TRA balance'!$C$5:$C$40,Assumptions!$BB128,'TRA balance'!$D$5:$D$40,Assumptions!$BC128)),"")</f>
        <v>0</v>
      </c>
      <c r="CX128" s="27"/>
    </row>
    <row r="129" spans="3:101">
      <c r="C129" t="str">
        <f t="shared" si="151"/>
        <v>DST</v>
      </c>
      <c r="D129" t="str">
        <f t="shared" si="150"/>
        <v>TRL</v>
      </c>
      <c r="E129" t="s">
        <v>95</v>
      </c>
      <c r="F129" s="1">
        <v>0.18304000000000001</v>
      </c>
      <c r="G129" s="1">
        <v>0.21736</v>
      </c>
      <c r="H129" s="1">
        <v>0.20748</v>
      </c>
      <c r="I129" s="1">
        <v>0.20748</v>
      </c>
      <c r="J129" s="1">
        <v>0.20748</v>
      </c>
      <c r="K129" s="1">
        <v>0.20748</v>
      </c>
      <c r="L129" s="1">
        <v>0.20748</v>
      </c>
      <c r="M129" s="1">
        <v>0.20748</v>
      </c>
      <c r="N129" s="1">
        <v>0.20748</v>
      </c>
      <c r="O129" s="1">
        <v>0.20748</v>
      </c>
      <c r="P129" s="1">
        <v>0.20748</v>
      </c>
      <c r="Q129" s="1">
        <v>0.20748</v>
      </c>
      <c r="R129" s="1">
        <v>0.20748</v>
      </c>
      <c r="S129" s="1">
        <v>0.20748</v>
      </c>
      <c r="T129" s="1">
        <v>0.20748</v>
      </c>
      <c r="U129" s="1">
        <v>0.20748</v>
      </c>
      <c r="V129" s="1">
        <v>0.20748</v>
      </c>
      <c r="W129" s="1">
        <v>0.20748</v>
      </c>
      <c r="X129" s="1">
        <v>0.20748</v>
      </c>
      <c r="Y129" s="1">
        <v>0.20748</v>
      </c>
      <c r="Z129" s="1">
        <v>0.20748</v>
      </c>
      <c r="AA129" s="1">
        <v>0.20748</v>
      </c>
      <c r="AB129" s="1">
        <v>0.20748</v>
      </c>
      <c r="AC129" s="1">
        <v>0.20748</v>
      </c>
      <c r="AD129" s="1">
        <v>0.20748</v>
      </c>
      <c r="AE129" s="1">
        <v>0.20748</v>
      </c>
      <c r="AF129" s="1">
        <v>0.20748</v>
      </c>
      <c r="AG129" s="1">
        <v>0.20748</v>
      </c>
      <c r="AH129" s="1">
        <v>0.20748</v>
      </c>
      <c r="AI129" s="1">
        <v>0.20748</v>
      </c>
      <c r="AJ129" s="1">
        <v>0.20748</v>
      </c>
      <c r="AK129" s="1">
        <v>0.20748</v>
      </c>
      <c r="AL129" s="1">
        <v>0.20748</v>
      </c>
      <c r="AM129" s="1">
        <v>0.20748</v>
      </c>
      <c r="AN129" s="1">
        <v>0.20748</v>
      </c>
      <c r="AO129" s="1">
        <v>0.20748</v>
      </c>
      <c r="AP129" s="1">
        <v>0.20748</v>
      </c>
      <c r="AQ129" s="1">
        <v>0.20748</v>
      </c>
      <c r="AR129" s="1">
        <v>0.20748</v>
      </c>
      <c r="AS129" s="1">
        <v>0.20748</v>
      </c>
      <c r="AT129" s="1">
        <v>0.20748</v>
      </c>
      <c r="AU129" s="1">
        <v>0.20748</v>
      </c>
      <c r="AV129" s="1">
        <v>0.20748</v>
      </c>
      <c r="AW129" s="1">
        <v>0.20748</v>
      </c>
      <c r="AX129" s="1">
        <v>0.20748</v>
      </c>
      <c r="AY129" s="1">
        <v>0.20748</v>
      </c>
      <c r="AZ129" s="1">
        <v>0.20748</v>
      </c>
      <c r="BA129" s="1">
        <v>0.20748</v>
      </c>
      <c r="BB129" s="27" t="s">
        <v>23</v>
      </c>
      <c r="BC129" s="27" t="s">
        <v>170</v>
      </c>
      <c r="BD129" s="34">
        <f>IFERROR(ABS(SUMIFS('TRA balance'!E$5:E$40,'TRA balance'!$C$5:$C$40,Assumptions!$BB129,'TRA balance'!$D$5:$D$40,Assumptions!$BC129)),"")</f>
        <v>0</v>
      </c>
      <c r="BE129" s="34">
        <f>IFERROR(ABS(SUMIFS('TRA balance'!F$5:F$40,'TRA balance'!$C$5:$C$40,Assumptions!$BB129,'TRA balance'!$D$5:$D$40,Assumptions!$BC129)),"")</f>
        <v>0</v>
      </c>
      <c r="BF129" s="34">
        <f>IFERROR(ABS(SUMIFS('TRA balance'!G$5:G$40,'TRA balance'!$C$5:$C$40,Assumptions!$BB129,'TRA balance'!$D$5:$D$40,Assumptions!$BC129)),"")</f>
        <v>0</v>
      </c>
      <c r="BG129" s="34">
        <f>IFERROR(ABS(SUMIFS('TRA balance'!H$5:H$40,'TRA balance'!$C$5:$C$40,Assumptions!$BB129,'TRA balance'!$D$5:$D$40,Assumptions!$BC129)),"")</f>
        <v>0</v>
      </c>
      <c r="BH129" s="34">
        <f>IFERROR(ABS(SUMIFS('TRA balance'!I$5:I$40,'TRA balance'!$C$5:$C$40,Assumptions!$BB129,'TRA balance'!$D$5:$D$40,Assumptions!$BC129)),"")</f>
        <v>0</v>
      </c>
      <c r="BI129" s="34">
        <f>IFERROR(ABS(SUMIFS('TRA balance'!J$5:J$40,'TRA balance'!$C$5:$C$40,Assumptions!$BB129,'TRA balance'!$D$5:$D$40,Assumptions!$BC129)),"")</f>
        <v>0</v>
      </c>
      <c r="BJ129" s="34">
        <f>IFERROR(ABS(SUMIFS('TRA balance'!K$5:K$40,'TRA balance'!$C$5:$C$40,Assumptions!$BB129,'TRA balance'!$D$5:$D$40,Assumptions!$BC129)),"")</f>
        <v>0</v>
      </c>
      <c r="BK129" s="34">
        <f>IFERROR(ABS(SUMIFS('TRA balance'!L$5:L$40,'TRA balance'!$C$5:$C$40,Assumptions!$BB129,'TRA balance'!$D$5:$D$40,Assumptions!$BC129)),"")</f>
        <v>0</v>
      </c>
      <c r="BL129" s="34">
        <f>IFERROR(ABS(SUMIFS('TRA balance'!M$5:M$40,'TRA balance'!$C$5:$C$40,Assumptions!$BB129,'TRA balance'!$D$5:$D$40,Assumptions!$BC129)),"")</f>
        <v>0</v>
      </c>
      <c r="BM129" s="34">
        <f>IFERROR(ABS(SUMIFS('TRA balance'!N$5:N$40,'TRA balance'!$C$5:$C$40,Assumptions!$BB129,'TRA balance'!$D$5:$D$40,Assumptions!$BC129)),"")</f>
        <v>0</v>
      </c>
      <c r="BN129" s="34">
        <f>IFERROR(ABS(SUMIFS('TRA balance'!O$5:O$40,'TRA balance'!$C$5:$C$40,Assumptions!$BB129,'TRA balance'!$D$5:$D$40,Assumptions!$BC129)),"")</f>
        <v>0</v>
      </c>
      <c r="BO129" s="34">
        <f>IFERROR(ABS(SUMIFS('TRA balance'!P$5:P$40,'TRA balance'!$C$5:$C$40,Assumptions!$BB129,'TRA balance'!$D$5:$D$40,Assumptions!$BC129)),"")</f>
        <v>0</v>
      </c>
      <c r="BP129" s="34">
        <f>IFERROR(ABS(SUMIFS('TRA balance'!Q$5:Q$40,'TRA balance'!$C$5:$C$40,Assumptions!$BB129,'TRA balance'!$D$5:$D$40,Assumptions!$BC129)),"")</f>
        <v>0</v>
      </c>
      <c r="BQ129" s="34">
        <f>IFERROR(ABS(SUMIFS('TRA balance'!R$5:R$40,'TRA balance'!$C$5:$C$40,Assumptions!$BB129,'TRA balance'!$D$5:$D$40,Assumptions!$BC129)),"")</f>
        <v>0</v>
      </c>
      <c r="BR129" s="34">
        <f>IFERROR(ABS(SUMIFS('TRA balance'!S$5:S$40,'TRA balance'!$C$5:$C$40,Assumptions!$BB129,'TRA balance'!$D$5:$D$40,Assumptions!$BC129)),"")</f>
        <v>0</v>
      </c>
      <c r="BS129" s="34">
        <f>IFERROR(ABS(SUMIFS('TRA balance'!T$5:T$40,'TRA balance'!$C$5:$C$40,Assumptions!$BB129,'TRA balance'!$D$5:$D$40,Assumptions!$BC129)),"")</f>
        <v>0</v>
      </c>
      <c r="BT129" s="34">
        <f>IFERROR(ABS(SUMIFS('TRA balance'!U$5:U$40,'TRA balance'!$C$5:$C$40,Assumptions!$BB129,'TRA balance'!$D$5:$D$40,Assumptions!$BC129)),"")</f>
        <v>0</v>
      </c>
      <c r="BU129" s="34">
        <f>IFERROR(ABS(SUMIFS('TRA balance'!V$5:V$40,'TRA balance'!$C$5:$C$40,Assumptions!$BB129,'TRA balance'!$D$5:$D$40,Assumptions!$BC129)),"")</f>
        <v>0</v>
      </c>
      <c r="BV129" s="34">
        <f>IFERROR(ABS(SUMIFS('TRA balance'!W$5:W$40,'TRA balance'!$C$5:$C$40,Assumptions!$BB129,'TRA balance'!$D$5:$D$40,Assumptions!$BC129)),"")</f>
        <v>0</v>
      </c>
      <c r="BW129" s="34">
        <f>IFERROR(ABS(SUMIFS('TRA balance'!X$5:X$40,'TRA balance'!$C$5:$C$40,Assumptions!$BB129,'TRA balance'!$D$5:$D$40,Assumptions!$BC129)),"")</f>
        <v>0</v>
      </c>
      <c r="BX129" s="34">
        <f>IFERROR(ABS(SUMIFS('TRA balance'!Y$5:Y$40,'TRA balance'!$C$5:$C$40,Assumptions!$BB129,'TRA balance'!$D$5:$D$40,Assumptions!$BC129)),"")</f>
        <v>0</v>
      </c>
      <c r="BY129" s="34">
        <f>IFERROR(ABS(SUMIFS('TRA balance'!Z$5:Z$40,'TRA balance'!$C$5:$C$40,Assumptions!$BB129,'TRA balance'!$D$5:$D$40,Assumptions!$BC129)),"")</f>
        <v>0</v>
      </c>
      <c r="BZ129" s="34">
        <f>IFERROR(ABS(SUMIFS('TRA balance'!AA$5:AA$40,'TRA balance'!$C$5:$C$40,Assumptions!$BB129,'TRA balance'!$D$5:$D$40,Assumptions!$BC129)),"")</f>
        <v>0</v>
      </c>
      <c r="CA129" s="34">
        <f>IFERROR(ABS(SUMIFS('TRA balance'!AB$5:AB$40,'TRA balance'!$C$5:$C$40,Assumptions!$BB129,'TRA balance'!$D$5:$D$40,Assumptions!$BC129)),"")</f>
        <v>0</v>
      </c>
      <c r="CB129" s="34">
        <f>IFERROR(ABS(SUMIFS('TRA balance'!AC$5:AC$40,'TRA balance'!$C$5:$C$40,Assumptions!$BB129,'TRA balance'!$D$5:$D$40,Assumptions!$BC129)),"")</f>
        <v>0</v>
      </c>
      <c r="CC129" s="34">
        <f>IFERROR(ABS(SUMIFS('TRA balance'!AD$5:AD$40,'TRA balance'!$C$5:$C$40,Assumptions!$BB129,'TRA balance'!$D$5:$D$40,Assumptions!$BC129)),"")</f>
        <v>0</v>
      </c>
      <c r="CD129" s="34">
        <f>IFERROR(ABS(SUMIFS('TRA balance'!AE$5:AE$40,'TRA balance'!$C$5:$C$40,Assumptions!$BB129,'TRA balance'!$D$5:$D$40,Assumptions!$BC129)),"")</f>
        <v>0</v>
      </c>
      <c r="CE129" s="34">
        <f>IFERROR(ABS(SUMIFS('TRA balance'!AF$5:AF$40,'TRA balance'!$C$5:$C$40,Assumptions!$BB129,'TRA balance'!$D$5:$D$40,Assumptions!$BC129)),"")</f>
        <v>0</v>
      </c>
      <c r="CF129" s="34">
        <f>IFERROR(ABS(SUMIFS('TRA balance'!AG$5:AG$40,'TRA balance'!$C$5:$C$40,Assumptions!$BB129,'TRA balance'!$D$5:$D$40,Assumptions!$BC129)),"")</f>
        <v>0</v>
      </c>
      <c r="CG129" s="34">
        <f>IFERROR(ABS(SUMIFS('TRA balance'!AH$5:AH$40,'TRA balance'!$C$5:$C$40,Assumptions!$BB129,'TRA balance'!$D$5:$D$40,Assumptions!$BC129)),"")</f>
        <v>0</v>
      </c>
      <c r="CH129" s="34">
        <f>IFERROR(ABS(SUMIFS('TRA balance'!AI$5:AI$40,'TRA balance'!$C$5:$C$40,Assumptions!$BB129,'TRA balance'!$D$5:$D$40,Assumptions!$BC129)),"")</f>
        <v>0</v>
      </c>
      <c r="CI129" s="34">
        <f>IFERROR(ABS(SUMIFS('TRA balance'!AJ$5:AJ$40,'TRA balance'!$C$5:$C$40,Assumptions!$BB129,'TRA balance'!$D$5:$D$40,Assumptions!$BC129)),"")</f>
        <v>0</v>
      </c>
      <c r="CJ129" s="34">
        <f>IFERROR(ABS(SUMIFS('TRA balance'!AK$5:AK$40,'TRA balance'!$C$5:$C$40,Assumptions!$BB129,'TRA balance'!$D$5:$D$40,Assumptions!$BC129)),"")</f>
        <v>0</v>
      </c>
      <c r="CK129" s="34">
        <f>IFERROR(ABS(SUMIFS('TRA balance'!AL$5:AL$40,'TRA balance'!$C$5:$C$40,Assumptions!$BB129,'TRA balance'!$D$5:$D$40,Assumptions!$BC129)),"")</f>
        <v>0</v>
      </c>
      <c r="CL129" s="34">
        <f>IFERROR(ABS(SUMIFS('TRA balance'!AM$5:AM$40,'TRA balance'!$C$5:$C$40,Assumptions!$BB129,'TRA balance'!$D$5:$D$40,Assumptions!$BC129)),"")</f>
        <v>0</v>
      </c>
      <c r="CM129" s="34">
        <f>IFERROR(ABS(SUMIFS('TRA balance'!AN$5:AN$40,'TRA balance'!$C$5:$C$40,Assumptions!$BB129,'TRA balance'!$D$5:$D$40,Assumptions!$BC129)),"")</f>
        <v>0</v>
      </c>
      <c r="CN129" s="34">
        <f>IFERROR(ABS(SUMIFS('TRA balance'!AO$5:AO$40,'TRA balance'!$C$5:$C$40,Assumptions!$BB129,'TRA balance'!$D$5:$D$40,Assumptions!$BC129)),"")</f>
        <v>0</v>
      </c>
      <c r="CO129" s="34">
        <f>IFERROR(ABS(SUMIFS('TRA balance'!AP$5:AP$40,'TRA balance'!$C$5:$C$40,Assumptions!$BB129,'TRA balance'!$D$5:$D$40,Assumptions!$BC129)),"")</f>
        <v>0</v>
      </c>
      <c r="CP129" s="34">
        <f>IFERROR(ABS(SUMIFS('TRA balance'!AQ$5:AQ$40,'TRA balance'!$C$5:$C$40,Assumptions!$BB129,'TRA balance'!$D$5:$D$40,Assumptions!$BC129)),"")</f>
        <v>0</v>
      </c>
      <c r="CQ129" s="34">
        <f>IFERROR(ABS(SUMIFS('TRA balance'!AR$5:AR$40,'TRA balance'!$C$5:$C$40,Assumptions!$BB129,'TRA balance'!$D$5:$D$40,Assumptions!$BC129)),"")</f>
        <v>0</v>
      </c>
      <c r="CR129" s="34">
        <f>IFERROR(ABS(SUMIFS('TRA balance'!AS$5:AS$40,'TRA balance'!$C$5:$C$40,Assumptions!$BB129,'TRA balance'!$D$5:$D$40,Assumptions!$BC129)),"")</f>
        <v>0</v>
      </c>
      <c r="CS129" s="34">
        <f>IFERROR(ABS(SUMIFS('TRA balance'!AT$5:AT$40,'TRA balance'!$C$5:$C$40,Assumptions!$BB129,'TRA balance'!$D$5:$D$40,Assumptions!$BC129)),"")</f>
        <v>0</v>
      </c>
      <c r="CT129" s="34">
        <f>IFERROR(ABS(SUMIFS('TRA balance'!AU$5:AU$40,'TRA balance'!$C$5:$C$40,Assumptions!$BB129,'TRA balance'!$D$5:$D$40,Assumptions!$BC129)),"")</f>
        <v>0</v>
      </c>
      <c r="CU129" s="34">
        <f>IFERROR(ABS(SUMIFS('TRA balance'!AV$5:AV$40,'TRA balance'!$C$5:$C$40,Assumptions!$BB129,'TRA balance'!$D$5:$D$40,Assumptions!$BC129)),"")</f>
        <v>0</v>
      </c>
      <c r="CV129" s="34">
        <f>IFERROR(ABS(SUMIFS('TRA balance'!AW$5:AW$40,'TRA balance'!$C$5:$C$40,Assumptions!$BB129,'TRA balance'!$D$5:$D$40,Assumptions!$BC129)),"")</f>
        <v>0</v>
      </c>
      <c r="CW129" s="34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96</v>
      </c>
      <c r="F130" s="1">
        <v>0.4224</v>
      </c>
      <c r="G130" s="1">
        <v>0.50160000000000005</v>
      </c>
      <c r="H130" s="1">
        <v>0.4788</v>
      </c>
      <c r="I130" s="1">
        <v>0.4788</v>
      </c>
      <c r="J130" s="1">
        <v>0.4788</v>
      </c>
      <c r="K130" s="1">
        <v>0.4788</v>
      </c>
      <c r="L130" s="1">
        <v>0.4788</v>
      </c>
      <c r="M130" s="1">
        <v>0.4788</v>
      </c>
      <c r="N130" s="1">
        <v>0.4788</v>
      </c>
      <c r="O130" s="1">
        <v>0.4788</v>
      </c>
      <c r="P130" s="1">
        <v>0.4788</v>
      </c>
      <c r="Q130" s="1">
        <v>0.4788</v>
      </c>
      <c r="R130" s="1">
        <v>0.4788</v>
      </c>
      <c r="S130" s="1">
        <v>0.4788</v>
      </c>
      <c r="T130" s="1">
        <v>0.4788</v>
      </c>
      <c r="U130" s="1">
        <v>0.4788</v>
      </c>
      <c r="V130" s="1">
        <v>0.4788</v>
      </c>
      <c r="W130" s="1">
        <v>0.4788</v>
      </c>
      <c r="X130" s="1">
        <v>0.4788</v>
      </c>
      <c r="Y130" s="1">
        <v>0.4788</v>
      </c>
      <c r="Z130" s="1">
        <v>0.4788</v>
      </c>
      <c r="AA130" s="1">
        <v>0.4788</v>
      </c>
      <c r="AB130" s="1">
        <v>0.4788</v>
      </c>
      <c r="AC130" s="1">
        <v>0.4788</v>
      </c>
      <c r="AD130" s="1">
        <v>0.4788</v>
      </c>
      <c r="AE130" s="1">
        <v>0.4788</v>
      </c>
      <c r="AF130" s="1">
        <v>0.4788</v>
      </c>
      <c r="AG130" s="1">
        <v>0.4788</v>
      </c>
      <c r="AH130" s="1">
        <v>0.4788</v>
      </c>
      <c r="AI130" s="1">
        <v>0.4788</v>
      </c>
      <c r="AJ130" s="1">
        <v>0.4788</v>
      </c>
      <c r="AK130" s="1">
        <v>0.4788</v>
      </c>
      <c r="AL130" s="1">
        <v>0.4788</v>
      </c>
      <c r="AM130" s="1">
        <v>0.4788</v>
      </c>
      <c r="AN130" s="1">
        <v>0.4788</v>
      </c>
      <c r="AO130" s="1">
        <v>0.4788</v>
      </c>
      <c r="AP130" s="1">
        <v>0.4788</v>
      </c>
      <c r="AQ130" s="1">
        <v>0.4788</v>
      </c>
      <c r="AR130" s="1">
        <v>0.4788</v>
      </c>
      <c r="AS130" s="1">
        <v>0.4788</v>
      </c>
      <c r="AT130" s="1">
        <v>0.4788</v>
      </c>
      <c r="AU130" s="1">
        <v>0.4788</v>
      </c>
      <c r="AV130" s="1">
        <v>0.4788</v>
      </c>
      <c r="AW130" s="1">
        <v>0.4788</v>
      </c>
      <c r="AX130" s="1">
        <v>0.4788</v>
      </c>
      <c r="AY130" s="1">
        <v>0.4788</v>
      </c>
      <c r="AZ130" s="1">
        <v>0.4788</v>
      </c>
      <c r="BA130" s="1">
        <v>0.4788</v>
      </c>
      <c r="BB130" s="27" t="s">
        <v>23</v>
      </c>
      <c r="BC130" s="27" t="s">
        <v>34</v>
      </c>
      <c r="BD130" s="34">
        <f>IFERROR(ABS(SUMIFS('TRA balance'!E$5:E$40,'TRA balance'!$C$5:$C$40,Assumptions!$BB130,'TRA balance'!$D$5:$D$40,Assumptions!$BC130)),"")</f>
        <v>0</v>
      </c>
      <c r="BE130" s="34">
        <f>IFERROR(ABS(SUMIFS('TRA balance'!F$5:F$40,'TRA balance'!$C$5:$C$40,Assumptions!$BB130,'TRA balance'!$D$5:$D$40,Assumptions!$BC130)),"")</f>
        <v>2.3701893479999998</v>
      </c>
      <c r="BF130" s="34">
        <f>IFERROR(ABS(SUMIFS('TRA balance'!G$5:G$40,'TRA balance'!$C$5:$C$40,Assumptions!$BB130,'TRA balance'!$D$5:$D$40,Assumptions!$BC130)),"")</f>
        <v>0</v>
      </c>
      <c r="BG130" s="34">
        <f>IFERROR(ABS(SUMIFS('TRA balance'!H$5:H$40,'TRA balance'!$C$5:$C$40,Assumptions!$BB130,'TRA balance'!$D$5:$D$40,Assumptions!$BC130)),"")</f>
        <v>0</v>
      </c>
      <c r="BH130" s="34">
        <f>IFERROR(ABS(SUMIFS('TRA balance'!I$5:I$40,'TRA balance'!$C$5:$C$40,Assumptions!$BB130,'TRA balance'!$D$5:$D$40,Assumptions!$BC130)),"")</f>
        <v>0</v>
      </c>
      <c r="BI130" s="34">
        <f>IFERROR(ABS(SUMIFS('TRA balance'!J$5:J$40,'TRA balance'!$C$5:$C$40,Assumptions!$BB130,'TRA balance'!$D$5:$D$40,Assumptions!$BC130)),"")</f>
        <v>0</v>
      </c>
      <c r="BJ130" s="34">
        <f>IFERROR(ABS(SUMIFS('TRA balance'!K$5:K$40,'TRA balance'!$C$5:$C$40,Assumptions!$BB130,'TRA balance'!$D$5:$D$40,Assumptions!$BC130)),"")</f>
        <v>0</v>
      </c>
      <c r="BK130" s="34">
        <f>IFERROR(ABS(SUMIFS('TRA balance'!L$5:L$40,'TRA balance'!$C$5:$C$40,Assumptions!$BB130,'TRA balance'!$D$5:$D$40,Assumptions!$BC130)),"")</f>
        <v>1314.7580152476</v>
      </c>
      <c r="BL130" s="34">
        <f>IFERROR(ABS(SUMIFS('TRA balance'!M$5:M$40,'TRA balance'!$C$5:$C$40,Assumptions!$BB130,'TRA balance'!$D$5:$D$40,Assumptions!$BC130)),"")</f>
        <v>0</v>
      </c>
      <c r="BM130" s="34">
        <f>IFERROR(ABS(SUMIFS('TRA balance'!N$5:N$40,'TRA balance'!$C$5:$C$40,Assumptions!$BB130,'TRA balance'!$D$5:$D$40,Assumptions!$BC130)),"")</f>
        <v>0</v>
      </c>
      <c r="BN130" s="34">
        <f>IFERROR(ABS(SUMIFS('TRA balance'!O$5:O$40,'TRA balance'!$C$5:$C$40,Assumptions!$BB130,'TRA balance'!$D$5:$D$40,Assumptions!$BC130)),"")</f>
        <v>0</v>
      </c>
      <c r="BO130" s="34">
        <f>IFERROR(ABS(SUMIFS('TRA balance'!P$5:P$40,'TRA balance'!$C$5:$C$40,Assumptions!$BB130,'TRA balance'!$D$5:$D$40,Assumptions!$BC130)),"")</f>
        <v>0</v>
      </c>
      <c r="BP130" s="34">
        <f>IFERROR(ABS(SUMIFS('TRA balance'!Q$5:Q$40,'TRA balance'!$C$5:$C$40,Assumptions!$BB130,'TRA balance'!$D$5:$D$40,Assumptions!$BC130)),"")</f>
        <v>1.1388096E-2</v>
      </c>
      <c r="BQ130" s="34">
        <f>IFERROR(ABS(SUMIFS('TRA balance'!R$5:R$40,'TRA balance'!$C$5:$C$40,Assumptions!$BB130,'TRA balance'!$D$5:$D$40,Assumptions!$BC130)),"")</f>
        <v>4.7114060399999998E-2</v>
      </c>
      <c r="BR130" s="34">
        <f>IFERROR(ABS(SUMIFS('TRA balance'!S$5:S$40,'TRA balance'!$C$5:$C$40,Assumptions!$BB130,'TRA balance'!$D$5:$D$40,Assumptions!$BC130)),"")</f>
        <v>0</v>
      </c>
      <c r="BS130" s="34">
        <f>IFERROR(ABS(SUMIFS('TRA balance'!T$5:T$40,'TRA balance'!$C$5:$C$40,Assumptions!$BB130,'TRA balance'!$D$5:$D$40,Assumptions!$BC130)),"")</f>
        <v>0</v>
      </c>
      <c r="BT130" s="34">
        <f>IFERROR(ABS(SUMIFS('TRA balance'!U$5:U$40,'TRA balance'!$C$5:$C$40,Assumptions!$BB130,'TRA balance'!$D$5:$D$40,Assumptions!$BC130)),"")</f>
        <v>0</v>
      </c>
      <c r="BU130" s="34">
        <f>IFERROR(ABS(SUMIFS('TRA balance'!V$5:V$40,'TRA balance'!$C$5:$C$40,Assumptions!$BB130,'TRA balance'!$D$5:$D$40,Assumptions!$BC130)),"")</f>
        <v>0</v>
      </c>
      <c r="BV130" s="34">
        <f>IFERROR(ABS(SUMIFS('TRA balance'!W$5:W$40,'TRA balance'!$C$5:$C$40,Assumptions!$BB130,'TRA balance'!$D$5:$D$40,Assumptions!$BC130)),"")</f>
        <v>0</v>
      </c>
      <c r="BW130" s="34">
        <f>IFERROR(ABS(SUMIFS('TRA balance'!X$5:X$40,'TRA balance'!$C$5:$C$40,Assumptions!$BB130,'TRA balance'!$D$5:$D$40,Assumptions!$BC130)),"")</f>
        <v>0.37424549159999998</v>
      </c>
      <c r="BX130" s="34">
        <f>IFERROR(ABS(SUMIFS('TRA balance'!Y$5:Y$40,'TRA balance'!$C$5:$C$40,Assumptions!$BB130,'TRA balance'!$D$5:$D$40,Assumptions!$BC130)),"")</f>
        <v>1.7316018648</v>
      </c>
      <c r="BY130" s="34">
        <f>IFERROR(ABS(SUMIFS('TRA balance'!Z$5:Z$40,'TRA balance'!$C$5:$C$40,Assumptions!$BB130,'TRA balance'!$D$5:$D$40,Assumptions!$BC130)),"")</f>
        <v>22.4800010208</v>
      </c>
      <c r="BZ130" s="34">
        <f>IFERROR(ABS(SUMIFS('TRA balance'!AA$5:AA$40,'TRA balance'!$C$5:$C$40,Assumptions!$BB130,'TRA balance'!$D$5:$D$40,Assumptions!$BC130)),"")</f>
        <v>7.9440343199999999E-2</v>
      </c>
      <c r="CA130" s="34">
        <f>IFERROR(ABS(SUMIFS('TRA balance'!AB$5:AB$40,'TRA balance'!$C$5:$C$40,Assumptions!$BB130,'TRA balance'!$D$5:$D$40,Assumptions!$BC130)),"")</f>
        <v>1.10364048E-2</v>
      </c>
      <c r="CB130" s="34">
        <f>IFERROR(ABS(SUMIFS('TRA balance'!AC$5:AC$40,'TRA balance'!$C$5:$C$40,Assumptions!$BB130,'TRA balance'!$D$5:$D$40,Assumptions!$BC130)),"")</f>
        <v>0.50052775319999998</v>
      </c>
      <c r="CC130" s="34">
        <f>IFERROR(ABS(SUMIFS('TRA balance'!AD$5:AD$40,'TRA balance'!$C$5:$C$40,Assumptions!$BB130,'TRA balance'!$D$5:$D$40,Assumptions!$BC130)),"")</f>
        <v>0</v>
      </c>
      <c r="CD130" s="34">
        <f>IFERROR(ABS(SUMIFS('TRA balance'!AE$5:AE$40,'TRA balance'!$C$5:$C$40,Assumptions!$BB130,'TRA balance'!$D$5:$D$40,Assumptions!$BC130)),"")</f>
        <v>0</v>
      </c>
      <c r="CE130" s="34">
        <f>IFERROR(ABS(SUMIFS('TRA balance'!AF$5:AF$40,'TRA balance'!$C$5:$C$40,Assumptions!$BB130,'TRA balance'!$D$5:$D$40,Assumptions!$BC130)),"")</f>
        <v>3.6019249740000001</v>
      </c>
      <c r="CF130" s="34">
        <f>IFERROR(ABS(SUMIFS('TRA balance'!AG$5:AG$40,'TRA balance'!$C$5:$C$40,Assumptions!$BB130,'TRA balance'!$D$5:$D$40,Assumptions!$BC130)),"")</f>
        <v>0</v>
      </c>
      <c r="CG130" s="34">
        <f>IFERROR(ABS(SUMIFS('TRA balance'!AH$5:AH$40,'TRA balance'!$C$5:$C$40,Assumptions!$BB130,'TRA balance'!$D$5:$D$40,Assumptions!$BC130)),"")</f>
        <v>0</v>
      </c>
      <c r="CH130" s="34">
        <f>IFERROR(ABS(SUMIFS('TRA balance'!AI$5:AI$40,'TRA balance'!$C$5:$C$40,Assumptions!$BB130,'TRA balance'!$D$5:$D$40,Assumptions!$BC130)),"")</f>
        <v>0</v>
      </c>
      <c r="CI130" s="34">
        <f>IFERROR(ABS(SUMIFS('TRA balance'!AJ$5:AJ$40,'TRA balance'!$C$5:$C$40,Assumptions!$BB130,'TRA balance'!$D$5:$D$40,Assumptions!$BC130)),"")</f>
        <v>0</v>
      </c>
      <c r="CJ130" s="34">
        <f>IFERROR(ABS(SUMIFS('TRA balance'!AK$5:AK$40,'TRA balance'!$C$5:$C$40,Assumptions!$BB130,'TRA balance'!$D$5:$D$40,Assumptions!$BC130)),"")</f>
        <v>0</v>
      </c>
      <c r="CK130" s="34">
        <f>IFERROR(ABS(SUMIFS('TRA balance'!AL$5:AL$40,'TRA balance'!$C$5:$C$40,Assumptions!$BB130,'TRA balance'!$D$5:$D$40,Assumptions!$BC130)),"")</f>
        <v>15.3699018984</v>
      </c>
      <c r="CL130" s="34">
        <f>IFERROR(ABS(SUMIFS('TRA balance'!AM$5:AM$40,'TRA balance'!$C$5:$C$40,Assumptions!$BB130,'TRA balance'!$D$5:$D$40,Assumptions!$BC130)),"")</f>
        <v>0</v>
      </c>
      <c r="CM130" s="34">
        <f>IFERROR(ABS(SUMIFS('TRA balance'!AN$5:AN$40,'TRA balance'!$C$5:$C$40,Assumptions!$BB130,'TRA balance'!$D$5:$D$40,Assumptions!$BC130)),"")</f>
        <v>0</v>
      </c>
      <c r="CN130" s="34">
        <f>IFERROR(ABS(SUMIFS('TRA balance'!AO$5:AO$40,'TRA balance'!$C$5:$C$40,Assumptions!$BB130,'TRA balance'!$D$5:$D$40,Assumptions!$BC130)),"")</f>
        <v>0</v>
      </c>
      <c r="CO130" s="34">
        <f>IFERROR(ABS(SUMIFS('TRA balance'!AP$5:AP$40,'TRA balance'!$C$5:$C$40,Assumptions!$BB130,'TRA balance'!$D$5:$D$40,Assumptions!$BC130)),"")</f>
        <v>0</v>
      </c>
      <c r="CP130" s="34">
        <f>IFERROR(ABS(SUMIFS('TRA balance'!AQ$5:AQ$40,'TRA balance'!$C$5:$C$40,Assumptions!$BB130,'TRA balance'!$D$5:$D$40,Assumptions!$BC130)),"")</f>
        <v>0</v>
      </c>
      <c r="CQ130" s="34">
        <f>IFERROR(ABS(SUMIFS('TRA balance'!AR$5:AR$40,'TRA balance'!$C$5:$C$40,Assumptions!$BB130,'TRA balance'!$D$5:$D$40,Assumptions!$BC130)),"")</f>
        <v>0</v>
      </c>
      <c r="CR130" s="34">
        <f>IFERROR(ABS(SUMIFS('TRA balance'!AS$5:AS$40,'TRA balance'!$C$5:$C$40,Assumptions!$BB130,'TRA balance'!$D$5:$D$40,Assumptions!$BC130)),"")</f>
        <v>0</v>
      </c>
      <c r="CS130" s="34">
        <f>IFERROR(ABS(SUMIFS('TRA balance'!AT$5:AT$40,'TRA balance'!$C$5:$C$40,Assumptions!$BB130,'TRA balance'!$D$5:$D$40,Assumptions!$BC130)),"")</f>
        <v>0</v>
      </c>
      <c r="CT130" s="34">
        <f>IFERROR(ABS(SUMIFS('TRA balance'!AU$5:AU$40,'TRA balance'!$C$5:$C$40,Assumptions!$BB130,'TRA balance'!$D$5:$D$40,Assumptions!$BC130)),"")</f>
        <v>0</v>
      </c>
      <c r="CU130" s="34">
        <f>IFERROR(ABS(SUMIFS('TRA balance'!AV$5:AV$40,'TRA balance'!$C$5:$C$40,Assumptions!$BB130,'TRA balance'!$D$5:$D$40,Assumptions!$BC130)),"")</f>
        <v>0</v>
      </c>
      <c r="CV130" s="34">
        <f>IFERROR(ABS(SUMIFS('TRA balance'!AW$5:AW$40,'TRA balance'!$C$5:$C$40,Assumptions!$BB130,'TRA balance'!$D$5:$D$40,Assumptions!$BC130)),"")</f>
        <v>0</v>
      </c>
      <c r="CW130" s="34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97</v>
      </c>
      <c r="F131" s="1">
        <v>0.14784</v>
      </c>
      <c r="G131" s="1">
        <v>0.17555999999999999</v>
      </c>
      <c r="H131" s="1">
        <v>0.16758000000000001</v>
      </c>
      <c r="I131" s="1">
        <v>0.16758000000000001</v>
      </c>
      <c r="J131" s="1">
        <v>0.16758000000000001</v>
      </c>
      <c r="K131" s="1">
        <v>0.16758000000000001</v>
      </c>
      <c r="L131" s="1">
        <v>0.16758000000000001</v>
      </c>
      <c r="M131" s="1">
        <v>0.16758000000000001</v>
      </c>
      <c r="N131" s="1">
        <v>0.16758000000000001</v>
      </c>
      <c r="O131" s="1">
        <v>0.16758000000000001</v>
      </c>
      <c r="P131" s="1">
        <v>0.16758000000000001</v>
      </c>
      <c r="Q131" s="1">
        <v>0.16758000000000001</v>
      </c>
      <c r="R131" s="1">
        <v>0.16758000000000001</v>
      </c>
      <c r="S131" s="1">
        <v>0.16758000000000001</v>
      </c>
      <c r="T131" s="1">
        <v>0.16758000000000001</v>
      </c>
      <c r="U131" s="1">
        <v>0.16758000000000001</v>
      </c>
      <c r="V131" s="1">
        <v>0.16758000000000001</v>
      </c>
      <c r="W131" s="1">
        <v>0.16758000000000001</v>
      </c>
      <c r="X131" s="1">
        <v>0.16758000000000001</v>
      </c>
      <c r="Y131" s="1">
        <v>0.16758000000000001</v>
      </c>
      <c r="Z131" s="1">
        <v>0.16758000000000001</v>
      </c>
      <c r="AA131" s="1">
        <v>0.16758000000000001</v>
      </c>
      <c r="AB131" s="1">
        <v>0.16758000000000001</v>
      </c>
      <c r="AC131" s="1">
        <v>0.16758000000000001</v>
      </c>
      <c r="AD131" s="1">
        <v>0.16758000000000001</v>
      </c>
      <c r="AE131" s="1">
        <v>0.16758000000000001</v>
      </c>
      <c r="AF131" s="1">
        <v>0.16758000000000001</v>
      </c>
      <c r="AG131" s="1">
        <v>0.16758000000000001</v>
      </c>
      <c r="AH131" s="1">
        <v>0.16758000000000001</v>
      </c>
      <c r="AI131" s="1">
        <v>0.16758000000000001</v>
      </c>
      <c r="AJ131" s="1">
        <v>0.16758000000000001</v>
      </c>
      <c r="AK131" s="1">
        <v>0.16758000000000001</v>
      </c>
      <c r="AL131" s="1">
        <v>0.16758000000000001</v>
      </c>
      <c r="AM131" s="1">
        <v>0.16758000000000001</v>
      </c>
      <c r="AN131" s="1">
        <v>0.16758000000000001</v>
      </c>
      <c r="AO131" s="1">
        <v>0.16758000000000001</v>
      </c>
      <c r="AP131" s="1">
        <v>0.16758000000000001</v>
      </c>
      <c r="AQ131" s="1">
        <v>0.16758000000000001</v>
      </c>
      <c r="AR131" s="1">
        <v>0.16758000000000001</v>
      </c>
      <c r="AS131" s="1">
        <v>0.16758000000000001</v>
      </c>
      <c r="AT131" s="1">
        <v>0.16758000000000001</v>
      </c>
      <c r="AU131" s="1">
        <v>0.16758000000000001</v>
      </c>
      <c r="AV131" s="1">
        <v>0.16758000000000001</v>
      </c>
      <c r="AW131" s="1">
        <v>0.16758000000000001</v>
      </c>
      <c r="AX131" s="1">
        <v>0.16758000000000001</v>
      </c>
      <c r="AY131" s="1">
        <v>0.16758000000000001</v>
      </c>
      <c r="AZ131" s="1">
        <v>0.16758000000000001</v>
      </c>
      <c r="BA131" s="1">
        <v>0.16758000000000001</v>
      </c>
      <c r="BB131" s="27" t="s">
        <v>23</v>
      </c>
      <c r="BC131" s="27" t="s">
        <v>35</v>
      </c>
      <c r="BD131" s="34">
        <f>IFERROR(ABS(SUMIFS('TRA balance'!E$5:E$40,'TRA balance'!$C$5:$C$40,Assumptions!$BB131,'TRA balance'!$D$5:$D$40,Assumptions!$BC131)),"")</f>
        <v>0</v>
      </c>
      <c r="BE131" s="34">
        <f>IFERROR(ABS(SUMIFS('TRA balance'!F$5:F$40,'TRA balance'!$C$5:$C$40,Assumptions!$BB131,'TRA balance'!$D$5:$D$40,Assumptions!$BC131)),"")</f>
        <v>0</v>
      </c>
      <c r="BF131" s="34">
        <f>IFERROR(ABS(SUMIFS('TRA balance'!G$5:G$40,'TRA balance'!$C$5:$C$40,Assumptions!$BB131,'TRA balance'!$D$5:$D$40,Assumptions!$BC131)),"")</f>
        <v>0</v>
      </c>
      <c r="BG131" s="34">
        <f>IFERROR(ABS(SUMIFS('TRA balance'!H$5:H$40,'TRA balance'!$C$5:$C$40,Assumptions!$BB131,'TRA balance'!$D$5:$D$40,Assumptions!$BC131)),"")</f>
        <v>0</v>
      </c>
      <c r="BH131" s="34">
        <f>IFERROR(ABS(SUMIFS('TRA balance'!I$5:I$40,'TRA balance'!$C$5:$C$40,Assumptions!$BB131,'TRA balance'!$D$5:$D$40,Assumptions!$BC131)),"")</f>
        <v>0</v>
      </c>
      <c r="BI131" s="34">
        <f>IFERROR(ABS(SUMIFS('TRA balance'!J$5:J$40,'TRA balance'!$C$5:$C$40,Assumptions!$BB131,'TRA balance'!$D$5:$D$40,Assumptions!$BC131)),"")</f>
        <v>0</v>
      </c>
      <c r="BJ131" s="34">
        <f>IFERROR(ABS(SUMIFS('TRA balance'!K$5:K$40,'TRA balance'!$C$5:$C$40,Assumptions!$BB131,'TRA balance'!$D$5:$D$40,Assumptions!$BC131)),"")</f>
        <v>0</v>
      </c>
      <c r="BK131" s="34">
        <f>IFERROR(ABS(SUMIFS('TRA balance'!L$5:L$40,'TRA balance'!$C$5:$C$40,Assumptions!$BB131,'TRA balance'!$D$5:$D$40,Assumptions!$BC131)),"")</f>
        <v>0</v>
      </c>
      <c r="BL131" s="34">
        <f>IFERROR(ABS(SUMIFS('TRA balance'!M$5:M$40,'TRA balance'!$C$5:$C$40,Assumptions!$BB131,'TRA balance'!$D$5:$D$40,Assumptions!$BC131)),"")</f>
        <v>0</v>
      </c>
      <c r="BM131" s="34">
        <f>IFERROR(ABS(SUMIFS('TRA balance'!N$5:N$40,'TRA balance'!$C$5:$C$40,Assumptions!$BB131,'TRA balance'!$D$5:$D$40,Assumptions!$BC131)),"")</f>
        <v>0</v>
      </c>
      <c r="BN131" s="34">
        <f>IFERROR(ABS(SUMIFS('TRA balance'!O$5:O$40,'TRA balance'!$C$5:$C$40,Assumptions!$BB131,'TRA balance'!$D$5:$D$40,Assumptions!$BC131)),"")</f>
        <v>0</v>
      </c>
      <c r="BO131" s="34">
        <f>IFERROR(ABS(SUMIFS('TRA balance'!P$5:P$40,'TRA balance'!$C$5:$C$40,Assumptions!$BB131,'TRA balance'!$D$5:$D$40,Assumptions!$BC131)),"")</f>
        <v>0</v>
      </c>
      <c r="BP131" s="34">
        <f>IFERROR(ABS(SUMIFS('TRA balance'!Q$5:Q$40,'TRA balance'!$C$5:$C$40,Assumptions!$BB131,'TRA balance'!$D$5:$D$40,Assumptions!$BC131)),"")</f>
        <v>0</v>
      </c>
      <c r="BQ131" s="34">
        <f>IFERROR(ABS(SUMIFS('TRA balance'!R$5:R$40,'TRA balance'!$C$5:$C$40,Assumptions!$BB131,'TRA balance'!$D$5:$D$40,Assumptions!$BC131)),"")</f>
        <v>0</v>
      </c>
      <c r="BR131" s="34">
        <f>IFERROR(ABS(SUMIFS('TRA balance'!S$5:S$40,'TRA balance'!$C$5:$C$40,Assumptions!$BB131,'TRA balance'!$D$5:$D$40,Assumptions!$BC131)),"")</f>
        <v>0</v>
      </c>
      <c r="BS131" s="34">
        <f>IFERROR(ABS(SUMIFS('TRA balance'!T$5:T$40,'TRA balance'!$C$5:$C$40,Assumptions!$BB131,'TRA balance'!$D$5:$D$40,Assumptions!$BC131)),"")</f>
        <v>0</v>
      </c>
      <c r="BT131" s="34">
        <f>IFERROR(ABS(SUMIFS('TRA balance'!U$5:U$40,'TRA balance'!$C$5:$C$40,Assumptions!$BB131,'TRA balance'!$D$5:$D$40,Assumptions!$BC131)),"")</f>
        <v>0</v>
      </c>
      <c r="BU131" s="34">
        <f>IFERROR(ABS(SUMIFS('TRA balance'!V$5:V$40,'TRA balance'!$C$5:$C$40,Assumptions!$BB131,'TRA balance'!$D$5:$D$40,Assumptions!$BC131)),"")</f>
        <v>0</v>
      </c>
      <c r="BV131" s="34">
        <f>IFERROR(ABS(SUMIFS('TRA balance'!W$5:W$40,'TRA balance'!$C$5:$C$40,Assumptions!$BB131,'TRA balance'!$D$5:$D$40,Assumptions!$BC131)),"")</f>
        <v>0</v>
      </c>
      <c r="BW131" s="34">
        <f>IFERROR(ABS(SUMIFS('TRA balance'!X$5:X$40,'TRA balance'!$C$5:$C$40,Assumptions!$BB131,'TRA balance'!$D$5:$D$40,Assumptions!$BC131)),"")</f>
        <v>0</v>
      </c>
      <c r="BX131" s="34">
        <f>IFERROR(ABS(SUMIFS('TRA balance'!Y$5:Y$40,'TRA balance'!$C$5:$C$40,Assumptions!$BB131,'TRA balance'!$D$5:$D$40,Assumptions!$BC131)),"")</f>
        <v>0</v>
      </c>
      <c r="BY131" s="34">
        <f>IFERROR(ABS(SUMIFS('TRA balance'!Z$5:Z$40,'TRA balance'!$C$5:$C$40,Assumptions!$BB131,'TRA balance'!$D$5:$D$40,Assumptions!$BC131)),"")</f>
        <v>0</v>
      </c>
      <c r="BZ131" s="34">
        <f>IFERROR(ABS(SUMIFS('TRA balance'!AA$5:AA$40,'TRA balance'!$C$5:$C$40,Assumptions!$BB131,'TRA balance'!$D$5:$D$40,Assumptions!$BC131)),"")</f>
        <v>0</v>
      </c>
      <c r="CA131" s="34">
        <f>IFERROR(ABS(SUMIFS('TRA balance'!AB$5:AB$40,'TRA balance'!$C$5:$C$40,Assumptions!$BB131,'TRA balance'!$D$5:$D$40,Assumptions!$BC131)),"")</f>
        <v>0</v>
      </c>
      <c r="CB131" s="34">
        <f>IFERROR(ABS(SUMIFS('TRA balance'!AC$5:AC$40,'TRA balance'!$C$5:$C$40,Assumptions!$BB131,'TRA balance'!$D$5:$D$40,Assumptions!$BC131)),"")</f>
        <v>0</v>
      </c>
      <c r="CC131" s="34">
        <f>IFERROR(ABS(SUMIFS('TRA balance'!AD$5:AD$40,'TRA balance'!$C$5:$C$40,Assumptions!$BB131,'TRA balance'!$D$5:$D$40,Assumptions!$BC131)),"")</f>
        <v>0</v>
      </c>
      <c r="CD131" s="34">
        <f>IFERROR(ABS(SUMIFS('TRA balance'!AE$5:AE$40,'TRA balance'!$C$5:$C$40,Assumptions!$BB131,'TRA balance'!$D$5:$D$40,Assumptions!$BC131)),"")</f>
        <v>0</v>
      </c>
      <c r="CE131" s="34">
        <f>IFERROR(ABS(SUMIFS('TRA balance'!AF$5:AF$40,'TRA balance'!$C$5:$C$40,Assumptions!$BB131,'TRA balance'!$D$5:$D$40,Assumptions!$BC131)),"")</f>
        <v>0</v>
      </c>
      <c r="CF131" s="34">
        <f>IFERROR(ABS(SUMIFS('TRA balance'!AG$5:AG$40,'TRA balance'!$C$5:$C$40,Assumptions!$BB131,'TRA balance'!$D$5:$D$40,Assumptions!$BC131)),"")</f>
        <v>0</v>
      </c>
      <c r="CG131" s="34">
        <f>IFERROR(ABS(SUMIFS('TRA balance'!AH$5:AH$40,'TRA balance'!$C$5:$C$40,Assumptions!$BB131,'TRA balance'!$D$5:$D$40,Assumptions!$BC131)),"")</f>
        <v>0</v>
      </c>
      <c r="CH131" s="34">
        <f>IFERROR(ABS(SUMIFS('TRA balance'!AI$5:AI$40,'TRA balance'!$C$5:$C$40,Assumptions!$BB131,'TRA balance'!$D$5:$D$40,Assumptions!$BC131)),"")</f>
        <v>0</v>
      </c>
      <c r="CI131" s="34">
        <f>IFERROR(ABS(SUMIFS('TRA balance'!AJ$5:AJ$40,'TRA balance'!$C$5:$C$40,Assumptions!$BB131,'TRA balance'!$D$5:$D$40,Assumptions!$BC131)),"")</f>
        <v>0</v>
      </c>
      <c r="CJ131" s="34">
        <f>IFERROR(ABS(SUMIFS('TRA balance'!AK$5:AK$40,'TRA balance'!$C$5:$C$40,Assumptions!$BB131,'TRA balance'!$D$5:$D$40,Assumptions!$BC131)),"")</f>
        <v>0</v>
      </c>
      <c r="CK131" s="34">
        <f>IFERROR(ABS(SUMIFS('TRA balance'!AL$5:AL$40,'TRA balance'!$C$5:$C$40,Assumptions!$BB131,'TRA balance'!$D$5:$D$40,Assumptions!$BC131)),"")</f>
        <v>0</v>
      </c>
      <c r="CL131" s="34">
        <f>IFERROR(ABS(SUMIFS('TRA balance'!AM$5:AM$40,'TRA balance'!$C$5:$C$40,Assumptions!$BB131,'TRA balance'!$D$5:$D$40,Assumptions!$BC131)),"")</f>
        <v>0</v>
      </c>
      <c r="CM131" s="34">
        <f>IFERROR(ABS(SUMIFS('TRA balance'!AN$5:AN$40,'TRA balance'!$C$5:$C$40,Assumptions!$BB131,'TRA balance'!$D$5:$D$40,Assumptions!$BC131)),"")</f>
        <v>0</v>
      </c>
      <c r="CN131" s="34">
        <f>IFERROR(ABS(SUMIFS('TRA balance'!AO$5:AO$40,'TRA balance'!$C$5:$C$40,Assumptions!$BB131,'TRA balance'!$D$5:$D$40,Assumptions!$BC131)),"")</f>
        <v>0</v>
      </c>
      <c r="CO131" s="34">
        <f>IFERROR(ABS(SUMIFS('TRA balance'!AP$5:AP$40,'TRA balance'!$C$5:$C$40,Assumptions!$BB131,'TRA balance'!$D$5:$D$40,Assumptions!$BC131)),"")</f>
        <v>0</v>
      </c>
      <c r="CP131" s="34">
        <f>IFERROR(ABS(SUMIFS('TRA balance'!AQ$5:AQ$40,'TRA balance'!$C$5:$C$40,Assumptions!$BB131,'TRA balance'!$D$5:$D$40,Assumptions!$BC131)),"")</f>
        <v>0</v>
      </c>
      <c r="CQ131" s="34">
        <f>IFERROR(ABS(SUMIFS('TRA balance'!AR$5:AR$40,'TRA balance'!$C$5:$C$40,Assumptions!$BB131,'TRA balance'!$D$5:$D$40,Assumptions!$BC131)),"")</f>
        <v>0</v>
      </c>
      <c r="CR131" s="34">
        <f>IFERROR(ABS(SUMIFS('TRA balance'!AS$5:AS$40,'TRA balance'!$C$5:$C$40,Assumptions!$BB131,'TRA balance'!$D$5:$D$40,Assumptions!$BC131)),"")</f>
        <v>0</v>
      </c>
      <c r="CS131" s="34">
        <f>IFERROR(ABS(SUMIFS('TRA balance'!AT$5:AT$40,'TRA balance'!$C$5:$C$40,Assumptions!$BB131,'TRA balance'!$D$5:$D$40,Assumptions!$BC131)),"")</f>
        <v>0</v>
      </c>
      <c r="CT131" s="34">
        <f>IFERROR(ABS(SUMIFS('TRA balance'!AU$5:AU$40,'TRA balance'!$C$5:$C$40,Assumptions!$BB131,'TRA balance'!$D$5:$D$40,Assumptions!$BC131)),"")</f>
        <v>0</v>
      </c>
      <c r="CU131" s="34">
        <f>IFERROR(ABS(SUMIFS('TRA balance'!AV$5:AV$40,'TRA balance'!$C$5:$C$40,Assumptions!$BB131,'TRA balance'!$D$5:$D$40,Assumptions!$BC131)),"")</f>
        <v>0</v>
      </c>
      <c r="CV131" s="34">
        <f>IFERROR(ABS(SUMIFS('TRA balance'!AW$5:AW$40,'TRA balance'!$C$5:$C$40,Assumptions!$BB131,'TRA balance'!$D$5:$D$40,Assumptions!$BC131)),"")</f>
        <v>0</v>
      </c>
      <c r="CW131" s="34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98</v>
      </c>
      <c r="F132" s="1">
        <v>0.19008</v>
      </c>
      <c r="G132" s="1">
        <v>0.22572</v>
      </c>
      <c r="H132" s="1">
        <v>0.21546000000000001</v>
      </c>
      <c r="I132" s="1">
        <v>0.21546000000000001</v>
      </c>
      <c r="J132" s="1">
        <v>0.21546000000000001</v>
      </c>
      <c r="K132" s="1">
        <v>0.21546000000000001</v>
      </c>
      <c r="L132" s="1">
        <v>0.21546000000000001</v>
      </c>
      <c r="M132" s="1">
        <v>0.21546000000000001</v>
      </c>
      <c r="N132" s="1">
        <v>0.21546000000000001</v>
      </c>
      <c r="O132" s="1">
        <v>0.21546000000000001</v>
      </c>
      <c r="P132" s="1">
        <v>0.21546000000000001</v>
      </c>
      <c r="Q132" s="1">
        <v>0.21546000000000001</v>
      </c>
      <c r="R132" s="1">
        <v>0.21546000000000001</v>
      </c>
      <c r="S132" s="1">
        <v>0.21546000000000001</v>
      </c>
      <c r="T132" s="1">
        <v>0.21546000000000001</v>
      </c>
      <c r="U132" s="1">
        <v>0.21546000000000001</v>
      </c>
      <c r="V132" s="1">
        <v>0.21546000000000001</v>
      </c>
      <c r="W132" s="1">
        <v>0.21546000000000001</v>
      </c>
      <c r="X132" s="1">
        <v>0.21546000000000001</v>
      </c>
      <c r="Y132" s="1">
        <v>0.21546000000000001</v>
      </c>
      <c r="Z132" s="1">
        <v>0.21546000000000001</v>
      </c>
      <c r="AA132" s="1">
        <v>0.21546000000000001</v>
      </c>
      <c r="AB132" s="1">
        <v>0.21546000000000001</v>
      </c>
      <c r="AC132" s="1">
        <v>0.21546000000000001</v>
      </c>
      <c r="AD132" s="1">
        <v>0.21546000000000001</v>
      </c>
      <c r="AE132" s="1">
        <v>0.21546000000000001</v>
      </c>
      <c r="AF132" s="1">
        <v>0.21546000000000001</v>
      </c>
      <c r="AG132" s="1">
        <v>0.21546000000000001</v>
      </c>
      <c r="AH132" s="1">
        <v>0.21546000000000001</v>
      </c>
      <c r="AI132" s="1">
        <v>0.21546000000000001</v>
      </c>
      <c r="AJ132" s="1">
        <v>0.21546000000000001</v>
      </c>
      <c r="AK132" s="1">
        <v>0.21546000000000001</v>
      </c>
      <c r="AL132" s="1">
        <v>0.21546000000000001</v>
      </c>
      <c r="AM132" s="1">
        <v>0.21546000000000001</v>
      </c>
      <c r="AN132" s="1">
        <v>0.21546000000000001</v>
      </c>
      <c r="AO132" s="1">
        <v>0.21546000000000001</v>
      </c>
      <c r="AP132" s="1">
        <v>0.21546000000000001</v>
      </c>
      <c r="AQ132" s="1">
        <v>0.21546000000000001</v>
      </c>
      <c r="AR132" s="1">
        <v>0.21546000000000001</v>
      </c>
      <c r="AS132" s="1">
        <v>0.21546000000000001</v>
      </c>
      <c r="AT132" s="1">
        <v>0.21546000000000001</v>
      </c>
      <c r="AU132" s="1">
        <v>0.21546000000000001</v>
      </c>
      <c r="AV132" s="1">
        <v>0.21546000000000001</v>
      </c>
      <c r="AW132" s="1">
        <v>0.21546000000000001</v>
      </c>
      <c r="AX132" s="1">
        <v>0.21546000000000001</v>
      </c>
      <c r="AY132" s="1">
        <v>0.21546000000000001</v>
      </c>
      <c r="AZ132" s="1">
        <v>0.21546000000000001</v>
      </c>
      <c r="BA132" s="1">
        <v>0.21546000000000001</v>
      </c>
      <c r="BB132" s="27" t="s">
        <v>23</v>
      </c>
      <c r="BC132" s="27" t="s">
        <v>46</v>
      </c>
      <c r="BD132" s="34">
        <f>IFERROR(ABS(SUMIFS('TRA balance'!E$5:E$40,'TRA balance'!$C$5:$C$40,Assumptions!$BB132,'TRA balance'!$D$5:$D$40,Assumptions!$BC132)),"")</f>
        <v>0.27722058840000002</v>
      </c>
      <c r="BE132" s="34">
        <f>IFERROR(ABS(SUMIFS('TRA balance'!F$5:F$40,'TRA balance'!$C$5:$C$40,Assumptions!$BB132,'TRA balance'!$D$5:$D$40,Assumptions!$BC132)),"")</f>
        <v>0</v>
      </c>
      <c r="BF132" s="34">
        <f>IFERROR(ABS(SUMIFS('TRA balance'!G$5:G$40,'TRA balance'!$C$5:$C$40,Assumptions!$BB132,'TRA balance'!$D$5:$D$40,Assumptions!$BC132)),"")</f>
        <v>0</v>
      </c>
      <c r="BG132" s="34">
        <f>IFERROR(ABS(SUMIFS('TRA balance'!H$5:H$40,'TRA balance'!$C$5:$C$40,Assumptions!$BB132,'TRA balance'!$D$5:$D$40,Assumptions!$BC132)),"")</f>
        <v>0</v>
      </c>
      <c r="BH132" s="34">
        <f>IFERROR(ABS(SUMIFS('TRA balance'!I$5:I$40,'TRA balance'!$C$5:$C$40,Assumptions!$BB132,'TRA balance'!$D$5:$D$40,Assumptions!$BC132)),"")</f>
        <v>0</v>
      </c>
      <c r="BI132" s="34">
        <f>IFERROR(ABS(SUMIFS('TRA balance'!J$5:J$40,'TRA balance'!$C$5:$C$40,Assumptions!$BB132,'TRA balance'!$D$5:$D$40,Assumptions!$BC132)),"")</f>
        <v>7.5379147199999996E-2</v>
      </c>
      <c r="BJ132" s="34">
        <f>IFERROR(ABS(SUMIFS('TRA balance'!K$5:K$40,'TRA balance'!$C$5:$C$40,Assumptions!$BB132,'TRA balance'!$D$5:$D$40,Assumptions!$BC132)),"")</f>
        <v>0</v>
      </c>
      <c r="BK132" s="34">
        <f>IFERROR(ABS(SUMIFS('TRA balance'!L$5:L$40,'TRA balance'!$C$5:$C$40,Assumptions!$BB132,'TRA balance'!$D$5:$D$40,Assumptions!$BC132)),"")</f>
        <v>0</v>
      </c>
      <c r="BL132" s="34">
        <f>IFERROR(ABS(SUMIFS('TRA balance'!M$5:M$40,'TRA balance'!$C$5:$C$40,Assumptions!$BB132,'TRA balance'!$D$5:$D$40,Assumptions!$BC132)),"")</f>
        <v>0</v>
      </c>
      <c r="BM132" s="34">
        <f>IFERROR(ABS(SUMIFS('TRA balance'!N$5:N$40,'TRA balance'!$C$5:$C$40,Assumptions!$BB132,'TRA balance'!$D$5:$D$40,Assumptions!$BC132)),"")</f>
        <v>0</v>
      </c>
      <c r="BN132" s="34">
        <f>IFERROR(ABS(SUMIFS('TRA balance'!O$5:O$40,'TRA balance'!$C$5:$C$40,Assumptions!$BB132,'TRA balance'!$D$5:$D$40,Assumptions!$BC132)),"")</f>
        <v>0</v>
      </c>
      <c r="BO132" s="34">
        <f>IFERROR(ABS(SUMIFS('TRA balance'!P$5:P$40,'TRA balance'!$C$5:$C$40,Assumptions!$BB132,'TRA balance'!$D$5:$D$40,Assumptions!$BC132)),"")</f>
        <v>0</v>
      </c>
      <c r="BP132" s="34">
        <f>IFERROR(ABS(SUMIFS('TRA balance'!Q$5:Q$40,'TRA balance'!$C$5:$C$40,Assumptions!$BB132,'TRA balance'!$D$5:$D$40,Assumptions!$BC132)),"")</f>
        <v>0</v>
      </c>
      <c r="BQ132" s="34">
        <f>IFERROR(ABS(SUMIFS('TRA balance'!R$5:R$40,'TRA balance'!$C$5:$C$40,Assumptions!$BB132,'TRA balance'!$D$5:$D$40,Assumptions!$BC132)),"")</f>
        <v>3.3159456E-3</v>
      </c>
      <c r="BR132" s="34">
        <f>IFERROR(ABS(SUMIFS('TRA balance'!S$5:S$40,'TRA balance'!$C$5:$C$40,Assumptions!$BB132,'TRA balance'!$D$5:$D$40,Assumptions!$BC132)),"")</f>
        <v>0</v>
      </c>
      <c r="BS132" s="34">
        <f>IFERROR(ABS(SUMIFS('TRA balance'!T$5:T$40,'TRA balance'!$C$5:$C$40,Assumptions!$BB132,'TRA balance'!$D$5:$D$40,Assumptions!$BC132)),"")</f>
        <v>0</v>
      </c>
      <c r="BT132" s="34">
        <f>IFERROR(ABS(SUMIFS('TRA balance'!U$5:U$40,'TRA balance'!$C$5:$C$40,Assumptions!$BB132,'TRA balance'!$D$5:$D$40,Assumptions!$BC132)),"")</f>
        <v>0</v>
      </c>
      <c r="BU132" s="34">
        <f>IFERROR(ABS(SUMIFS('TRA balance'!V$5:V$40,'TRA balance'!$C$5:$C$40,Assumptions!$BB132,'TRA balance'!$D$5:$D$40,Assumptions!$BC132)),"")</f>
        <v>0</v>
      </c>
      <c r="BV132" s="34">
        <f>IFERROR(ABS(SUMIFS('TRA balance'!W$5:W$40,'TRA balance'!$C$5:$C$40,Assumptions!$BB132,'TRA balance'!$D$5:$D$40,Assumptions!$BC132)),"")</f>
        <v>0</v>
      </c>
      <c r="BW132" s="34">
        <f>IFERROR(ABS(SUMIFS('TRA balance'!X$5:X$40,'TRA balance'!$C$5:$C$40,Assumptions!$BB132,'TRA balance'!$D$5:$D$40,Assumptions!$BC132)),"")</f>
        <v>0.2399496948</v>
      </c>
      <c r="BX132" s="34">
        <f>IFERROR(ABS(SUMIFS('TRA balance'!Y$5:Y$40,'TRA balance'!$C$5:$C$40,Assumptions!$BB132,'TRA balance'!$D$5:$D$40,Assumptions!$BC132)),"")</f>
        <v>0</v>
      </c>
      <c r="BY132" s="34">
        <f>IFERROR(ABS(SUMIFS('TRA balance'!Z$5:Z$40,'TRA balance'!$C$5:$C$40,Assumptions!$BB132,'TRA balance'!$D$5:$D$40,Assumptions!$BC132)),"")</f>
        <v>0</v>
      </c>
      <c r="BZ132" s="34">
        <f>IFERROR(ABS(SUMIFS('TRA balance'!AA$5:AA$40,'TRA balance'!$C$5:$C$40,Assumptions!$BB132,'TRA balance'!$D$5:$D$40,Assumptions!$BC132)),"")</f>
        <v>0</v>
      </c>
      <c r="CA132" s="34">
        <f>IFERROR(ABS(SUMIFS('TRA balance'!AB$5:AB$40,'TRA balance'!$C$5:$C$40,Assumptions!$BB132,'TRA balance'!$D$5:$D$40,Assumptions!$BC132)),"")</f>
        <v>0</v>
      </c>
      <c r="CB132" s="34">
        <f>IFERROR(ABS(SUMIFS('TRA balance'!AC$5:AC$40,'TRA balance'!$C$5:$C$40,Assumptions!$BB132,'TRA balance'!$D$5:$D$40,Assumptions!$BC132)),"")</f>
        <v>0.691198812</v>
      </c>
      <c r="CC132" s="34">
        <f>IFERROR(ABS(SUMIFS('TRA balance'!AD$5:AD$40,'TRA balance'!$C$5:$C$40,Assumptions!$BB132,'TRA balance'!$D$5:$D$40,Assumptions!$BC132)),"")</f>
        <v>0</v>
      </c>
      <c r="CD132" s="34">
        <f>IFERROR(ABS(SUMIFS('TRA balance'!AE$5:AE$40,'TRA balance'!$C$5:$C$40,Assumptions!$BB132,'TRA balance'!$D$5:$D$40,Assumptions!$BC132)),"")</f>
        <v>0</v>
      </c>
      <c r="CE132" s="34">
        <f>IFERROR(ABS(SUMIFS('TRA balance'!AF$5:AF$40,'TRA balance'!$C$5:$C$40,Assumptions!$BB132,'TRA balance'!$D$5:$D$40,Assumptions!$BC132)),"")</f>
        <v>0</v>
      </c>
      <c r="CF132" s="34">
        <f>IFERROR(ABS(SUMIFS('TRA balance'!AG$5:AG$40,'TRA balance'!$C$5:$C$40,Assumptions!$BB132,'TRA balance'!$D$5:$D$40,Assumptions!$BC132)),"")</f>
        <v>0</v>
      </c>
      <c r="CG132" s="34">
        <f>IFERROR(ABS(SUMIFS('TRA balance'!AH$5:AH$40,'TRA balance'!$C$5:$C$40,Assumptions!$BB132,'TRA balance'!$D$5:$D$40,Assumptions!$BC132)),"")</f>
        <v>0</v>
      </c>
      <c r="CH132" s="34">
        <f>IFERROR(ABS(SUMIFS('TRA balance'!AI$5:AI$40,'TRA balance'!$C$5:$C$40,Assumptions!$BB132,'TRA balance'!$D$5:$D$40,Assumptions!$BC132)),"")</f>
        <v>0</v>
      </c>
      <c r="CI132" s="34">
        <f>IFERROR(ABS(SUMIFS('TRA balance'!AJ$5:AJ$40,'TRA balance'!$C$5:$C$40,Assumptions!$BB132,'TRA balance'!$D$5:$D$40,Assumptions!$BC132)),"")</f>
        <v>0</v>
      </c>
      <c r="CJ132" s="34">
        <f>IFERROR(ABS(SUMIFS('TRA balance'!AK$5:AK$40,'TRA balance'!$C$5:$C$40,Assumptions!$BB132,'TRA balance'!$D$5:$D$40,Assumptions!$BC132)),"")</f>
        <v>0</v>
      </c>
      <c r="CK132" s="34">
        <f>IFERROR(ABS(SUMIFS('TRA balance'!AL$5:AL$40,'TRA balance'!$C$5:$C$40,Assumptions!$BB132,'TRA balance'!$D$5:$D$40,Assumptions!$BC132)),"")</f>
        <v>0</v>
      </c>
      <c r="CL132" s="34">
        <f>IFERROR(ABS(SUMIFS('TRA balance'!AM$5:AM$40,'TRA balance'!$C$5:$C$40,Assumptions!$BB132,'TRA balance'!$D$5:$D$40,Assumptions!$BC132)),"")</f>
        <v>0</v>
      </c>
      <c r="CM132" s="34">
        <f>IFERROR(ABS(SUMIFS('TRA balance'!AN$5:AN$40,'TRA balance'!$C$5:$C$40,Assumptions!$BB132,'TRA balance'!$D$5:$D$40,Assumptions!$BC132)),"")</f>
        <v>0</v>
      </c>
      <c r="CN132" s="34">
        <f>IFERROR(ABS(SUMIFS('TRA balance'!AO$5:AO$40,'TRA balance'!$C$5:$C$40,Assumptions!$BB132,'TRA balance'!$D$5:$D$40,Assumptions!$BC132)),"")</f>
        <v>0</v>
      </c>
      <c r="CO132" s="34">
        <f>IFERROR(ABS(SUMIFS('TRA balance'!AP$5:AP$40,'TRA balance'!$C$5:$C$40,Assumptions!$BB132,'TRA balance'!$D$5:$D$40,Assumptions!$BC132)),"")</f>
        <v>0</v>
      </c>
      <c r="CP132" s="34">
        <f>IFERROR(ABS(SUMIFS('TRA balance'!AQ$5:AQ$40,'TRA balance'!$C$5:$C$40,Assumptions!$BB132,'TRA balance'!$D$5:$D$40,Assumptions!$BC132)),"")</f>
        <v>0</v>
      </c>
      <c r="CQ132" s="34">
        <f>IFERROR(ABS(SUMIFS('TRA balance'!AR$5:AR$40,'TRA balance'!$C$5:$C$40,Assumptions!$BB132,'TRA balance'!$D$5:$D$40,Assumptions!$BC132)),"")</f>
        <v>0</v>
      </c>
      <c r="CR132" s="34">
        <f>IFERROR(ABS(SUMIFS('TRA balance'!AS$5:AS$40,'TRA balance'!$C$5:$C$40,Assumptions!$BB132,'TRA balance'!$D$5:$D$40,Assumptions!$BC132)),"")</f>
        <v>0</v>
      </c>
      <c r="CS132" s="34">
        <f>IFERROR(ABS(SUMIFS('TRA balance'!AT$5:AT$40,'TRA balance'!$C$5:$C$40,Assumptions!$BB132,'TRA balance'!$D$5:$D$40,Assumptions!$BC132)),"")</f>
        <v>0</v>
      </c>
      <c r="CT132" s="34">
        <f>IFERROR(ABS(SUMIFS('TRA balance'!AU$5:AU$40,'TRA balance'!$C$5:$C$40,Assumptions!$BB132,'TRA balance'!$D$5:$D$40,Assumptions!$BC132)),"")</f>
        <v>0</v>
      </c>
      <c r="CU132" s="34">
        <f>IFERROR(ABS(SUMIFS('TRA balance'!AV$5:AV$40,'TRA balance'!$C$5:$C$40,Assumptions!$BB132,'TRA balance'!$D$5:$D$40,Assumptions!$BC132)),"")</f>
        <v>0</v>
      </c>
      <c r="CV132" s="34">
        <f>IFERROR(ABS(SUMIFS('TRA balance'!AW$5:AW$40,'TRA balance'!$C$5:$C$40,Assumptions!$BB132,'TRA balance'!$D$5:$D$40,Assumptions!$BC132)),"")</f>
        <v>0</v>
      </c>
      <c r="CW132" s="34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99</v>
      </c>
      <c r="F133" s="1">
        <v>0.14784</v>
      </c>
      <c r="G133" s="1">
        <v>0.17555999999999999</v>
      </c>
      <c r="H133" s="1">
        <v>0.16758000000000001</v>
      </c>
      <c r="I133" s="1">
        <v>0.16758000000000001</v>
      </c>
      <c r="J133" s="1">
        <v>0.16758000000000001</v>
      </c>
      <c r="K133" s="1">
        <v>0.16758000000000001</v>
      </c>
      <c r="L133" s="1">
        <v>0.16758000000000001</v>
      </c>
      <c r="M133" s="1">
        <v>0.16758000000000001</v>
      </c>
      <c r="N133" s="1">
        <v>0.16758000000000001</v>
      </c>
      <c r="O133" s="1">
        <v>0.16758000000000001</v>
      </c>
      <c r="P133" s="1">
        <v>0.16758000000000001</v>
      </c>
      <c r="Q133" s="1">
        <v>0.16758000000000001</v>
      </c>
      <c r="R133" s="1">
        <v>0.16758000000000001</v>
      </c>
      <c r="S133" s="1">
        <v>0.16758000000000001</v>
      </c>
      <c r="T133" s="1">
        <v>0.16758000000000001</v>
      </c>
      <c r="U133" s="1">
        <v>0.16758000000000001</v>
      </c>
      <c r="V133" s="1">
        <v>0.16758000000000001</v>
      </c>
      <c r="W133" s="1">
        <v>0.16758000000000001</v>
      </c>
      <c r="X133" s="1">
        <v>0.16758000000000001</v>
      </c>
      <c r="Y133" s="1">
        <v>0.16758000000000001</v>
      </c>
      <c r="Z133" s="1">
        <v>0.16758000000000001</v>
      </c>
      <c r="AA133" s="1">
        <v>0.16758000000000001</v>
      </c>
      <c r="AB133" s="1">
        <v>0.16758000000000001</v>
      </c>
      <c r="AC133" s="1">
        <v>0.16758000000000001</v>
      </c>
      <c r="AD133" s="1">
        <v>0.16758000000000001</v>
      </c>
      <c r="AE133" s="1">
        <v>0.16758000000000001</v>
      </c>
      <c r="AF133" s="1">
        <v>0.16758000000000001</v>
      </c>
      <c r="AG133" s="1">
        <v>0.16758000000000001</v>
      </c>
      <c r="AH133" s="1">
        <v>0.16758000000000001</v>
      </c>
      <c r="AI133" s="1">
        <v>0.16758000000000001</v>
      </c>
      <c r="AJ133" s="1">
        <v>0.16758000000000001</v>
      </c>
      <c r="AK133" s="1">
        <v>0.16758000000000001</v>
      </c>
      <c r="AL133" s="1">
        <v>0.16758000000000001</v>
      </c>
      <c r="AM133" s="1">
        <v>0.16758000000000001</v>
      </c>
      <c r="AN133" s="1">
        <v>0.16758000000000001</v>
      </c>
      <c r="AO133" s="1">
        <v>0.16758000000000001</v>
      </c>
      <c r="AP133" s="1">
        <v>0.16758000000000001</v>
      </c>
      <c r="AQ133" s="1">
        <v>0.16758000000000001</v>
      </c>
      <c r="AR133" s="1">
        <v>0.16758000000000001</v>
      </c>
      <c r="AS133" s="1">
        <v>0.16758000000000001</v>
      </c>
      <c r="AT133" s="1">
        <v>0.16758000000000001</v>
      </c>
      <c r="AU133" s="1">
        <v>0.16758000000000001</v>
      </c>
      <c r="AV133" s="1">
        <v>0.16758000000000001</v>
      </c>
      <c r="AW133" s="1">
        <v>0.16758000000000001</v>
      </c>
      <c r="AX133" s="1">
        <v>0.16758000000000001</v>
      </c>
      <c r="AY133" s="1">
        <v>0.16758000000000001</v>
      </c>
      <c r="AZ133" s="1">
        <v>0.16758000000000001</v>
      </c>
      <c r="BA133" s="1">
        <v>0.16758000000000001</v>
      </c>
      <c r="BB133" s="27" t="s">
        <v>23</v>
      </c>
      <c r="BC133" s="27" t="s">
        <v>40</v>
      </c>
      <c r="BD133" s="34">
        <f>IFERROR(ABS(SUMIFS('TRA balance'!E$5:E$40,'TRA balance'!$C$5:$C$40,Assumptions!$BB133,'TRA balance'!$D$5:$D$40,Assumptions!$BC133)),"")</f>
        <v>2.5678104947999998</v>
      </c>
      <c r="BE133" s="34">
        <f>IFERROR(ABS(SUMIFS('TRA balance'!F$5:F$40,'TRA balance'!$C$5:$C$40,Assumptions!$BB133,'TRA balance'!$D$5:$D$40,Assumptions!$BC133)),"")</f>
        <v>2.1184789319999999</v>
      </c>
      <c r="BF133" s="34">
        <f>IFERROR(ABS(SUMIFS('TRA balance'!G$5:G$40,'TRA balance'!$C$5:$C$40,Assumptions!$BB133,'TRA balance'!$D$5:$D$40,Assumptions!$BC133)),"")</f>
        <v>0</v>
      </c>
      <c r="BG133" s="34">
        <f>IFERROR(ABS(SUMIFS('TRA balance'!H$5:H$40,'TRA balance'!$C$5:$C$40,Assumptions!$BB133,'TRA balance'!$D$5:$D$40,Assumptions!$BC133)),"")</f>
        <v>0.61794237240000005</v>
      </c>
      <c r="BH133" s="34">
        <f>IFERROR(ABS(SUMIFS('TRA balance'!I$5:I$40,'TRA balance'!$C$5:$C$40,Assumptions!$BB133,'TRA balance'!$D$5:$D$40,Assumptions!$BC133)),"")</f>
        <v>2.2514098320000002</v>
      </c>
      <c r="BI133" s="34">
        <f>IFERROR(ABS(SUMIFS('TRA balance'!J$5:J$40,'TRA balance'!$C$5:$C$40,Assumptions!$BB133,'TRA balance'!$D$5:$D$40,Assumptions!$BC133)),"")</f>
        <v>5.7442561055999999</v>
      </c>
      <c r="BJ133" s="34">
        <f>IFERROR(ABS(SUMIFS('TRA balance'!K$5:K$40,'TRA balance'!$C$5:$C$40,Assumptions!$BB133,'TRA balance'!$D$5:$D$40,Assumptions!$BC133)),"")</f>
        <v>0</v>
      </c>
      <c r="BK133" s="34">
        <f>IFERROR(ABS(SUMIFS('TRA balance'!L$5:L$40,'TRA balance'!$C$5:$C$40,Assumptions!$BB133,'TRA balance'!$D$5:$D$40,Assumptions!$BC133)),"")</f>
        <v>99.093555025200004</v>
      </c>
      <c r="BL133" s="34">
        <f>IFERROR(ABS(SUMIFS('TRA balance'!M$5:M$40,'TRA balance'!$C$5:$C$40,Assumptions!$BB133,'TRA balance'!$D$5:$D$40,Assumptions!$BC133)),"")</f>
        <v>0.77719987079999997</v>
      </c>
      <c r="BM133" s="34">
        <f>IFERROR(ABS(SUMIFS('TRA balance'!N$5:N$40,'TRA balance'!$C$5:$C$40,Assumptions!$BB133,'TRA balance'!$D$5:$D$40,Assumptions!$BC133)),"")</f>
        <v>8.4419997515999992</v>
      </c>
      <c r="BN133" s="34">
        <f>IFERROR(ABS(SUMIFS('TRA balance'!O$5:O$40,'TRA balance'!$C$5:$C$40,Assumptions!$BB133,'TRA balance'!$D$5:$D$40,Assumptions!$BC133)),"")</f>
        <v>12.396298374000001</v>
      </c>
      <c r="BO133" s="34">
        <f>IFERROR(ABS(SUMIFS('TRA balance'!P$5:P$40,'TRA balance'!$C$5:$C$40,Assumptions!$BB133,'TRA balance'!$D$5:$D$40,Assumptions!$BC133)),"")</f>
        <v>13.18800132</v>
      </c>
      <c r="BP133" s="34">
        <f>IFERROR(ABS(SUMIFS('TRA balance'!Q$5:Q$40,'TRA balance'!$C$5:$C$40,Assumptions!$BB133,'TRA balance'!$D$5:$D$40,Assumptions!$BC133)),"")</f>
        <v>0.845252118</v>
      </c>
      <c r="BQ133" s="34">
        <f>IFERROR(ABS(SUMIFS('TRA balance'!R$5:R$40,'TRA balance'!$C$5:$C$40,Assumptions!$BB133,'TRA balance'!$D$5:$D$40,Assumptions!$BC133)),"")</f>
        <v>5.9773855031999998</v>
      </c>
      <c r="BR133" s="34">
        <f>IFERROR(ABS(SUMIFS('TRA balance'!S$5:S$40,'TRA balance'!$C$5:$C$40,Assumptions!$BB133,'TRA balance'!$D$5:$D$40,Assumptions!$BC133)),"")</f>
        <v>0.1489830912</v>
      </c>
      <c r="BS133" s="34">
        <f>IFERROR(ABS(SUMIFS('TRA balance'!T$5:T$40,'TRA balance'!$C$5:$C$40,Assumptions!$BB133,'TRA balance'!$D$5:$D$40,Assumptions!$BC133)),"")</f>
        <v>0</v>
      </c>
      <c r="BT133" s="34">
        <f>IFERROR(ABS(SUMIFS('TRA balance'!U$5:U$40,'TRA balance'!$C$5:$C$40,Assumptions!$BB133,'TRA balance'!$D$5:$D$40,Assumptions!$BC133)),"")</f>
        <v>1.2904513092000001</v>
      </c>
      <c r="BU133" s="34">
        <f>IFERROR(ABS(SUMIFS('TRA balance'!V$5:V$40,'TRA balance'!$C$5:$C$40,Assumptions!$BB133,'TRA balance'!$D$5:$D$40,Assumptions!$BC133)),"")</f>
        <v>9.2316009240000003</v>
      </c>
      <c r="BV133" s="34">
        <f>IFERROR(ABS(SUMIFS('TRA balance'!W$5:W$40,'TRA balance'!$C$5:$C$40,Assumptions!$BB133,'TRA balance'!$D$5:$D$40,Assumptions!$BC133)),"")</f>
        <v>56.685227551200001</v>
      </c>
      <c r="BW133" s="34">
        <f>IFERROR(ABS(SUMIFS('TRA balance'!X$5:X$40,'TRA balance'!$C$5:$C$40,Assumptions!$BB133,'TRA balance'!$D$5:$D$40,Assumptions!$BC133)),"")</f>
        <v>2.2883667156</v>
      </c>
      <c r="BX133" s="34">
        <f>IFERROR(ABS(SUMIFS('TRA balance'!Y$5:Y$40,'TRA balance'!$C$5:$C$40,Assumptions!$BB133,'TRA balance'!$D$5:$D$40,Assumptions!$BC133)),"")</f>
        <v>8.2227202883999997</v>
      </c>
      <c r="BY133" s="34">
        <f>IFERROR(ABS(SUMIFS('TRA balance'!Z$5:Z$40,'TRA balance'!$C$5:$C$40,Assumptions!$BB133,'TRA balance'!$D$5:$D$40,Assumptions!$BC133)),"")</f>
        <v>126.7059950676</v>
      </c>
      <c r="BZ133" s="34">
        <f>IFERROR(ABS(SUMIFS('TRA balance'!AA$5:AA$40,'TRA balance'!$C$5:$C$40,Assumptions!$BB133,'TRA balance'!$D$5:$D$40,Assumptions!$BC133)),"")</f>
        <v>1.8940329575999999</v>
      </c>
      <c r="CA133" s="34">
        <f>IFERROR(ABS(SUMIFS('TRA balance'!AB$5:AB$40,'TRA balance'!$C$5:$C$40,Assumptions!$BB133,'TRA balance'!$D$5:$D$40,Assumptions!$BC133)),"")</f>
        <v>16.8218548308</v>
      </c>
      <c r="CB133" s="34">
        <f>IFERROR(ABS(SUMIFS('TRA balance'!AC$5:AC$40,'TRA balance'!$C$5:$C$40,Assumptions!$BB133,'TRA balance'!$D$5:$D$40,Assumptions!$BC133)),"")</f>
        <v>41.8178672568</v>
      </c>
      <c r="CC133" s="34">
        <f>IFERROR(ABS(SUMIFS('TRA balance'!AD$5:AD$40,'TRA balance'!$C$5:$C$40,Assumptions!$BB133,'TRA balance'!$D$5:$D$40,Assumptions!$BC133)),"")</f>
        <v>0</v>
      </c>
      <c r="CD133" s="34">
        <f>IFERROR(ABS(SUMIFS('TRA balance'!AE$5:AE$40,'TRA balance'!$C$5:$C$40,Assumptions!$BB133,'TRA balance'!$D$5:$D$40,Assumptions!$BC133)),"")</f>
        <v>0</v>
      </c>
      <c r="CE133" s="34">
        <f>IFERROR(ABS(SUMIFS('TRA balance'!AF$5:AF$40,'TRA balance'!$C$5:$C$40,Assumptions!$BB133,'TRA balance'!$D$5:$D$40,Assumptions!$BC133)),"")</f>
        <v>6.0861250727999998</v>
      </c>
      <c r="CF133" s="34">
        <f>IFERROR(ABS(SUMIFS('TRA balance'!AG$5:AG$40,'TRA balance'!$C$5:$C$40,Assumptions!$BB133,'TRA balance'!$D$5:$D$40,Assumptions!$BC133)),"")</f>
        <v>10.991359018800001</v>
      </c>
      <c r="CG133" s="34">
        <f>IFERROR(ABS(SUMIFS('TRA balance'!AH$5:AH$40,'TRA balance'!$C$5:$C$40,Assumptions!$BB133,'TRA balance'!$D$5:$D$40,Assumptions!$BC133)),"")</f>
        <v>1.7354411604</v>
      </c>
      <c r="CH133" s="34">
        <f>IFERROR(ABS(SUMIFS('TRA balance'!AI$5:AI$40,'TRA balance'!$C$5:$C$40,Assumptions!$BB133,'TRA balance'!$D$5:$D$40,Assumptions!$BC133)),"")</f>
        <v>1.2379069692</v>
      </c>
      <c r="CI133" s="34">
        <f>IFERROR(ABS(SUMIFS('TRA balance'!AJ$5:AJ$40,'TRA balance'!$C$5:$C$40,Assumptions!$BB133,'TRA balance'!$D$5:$D$40,Assumptions!$BC133)),"")</f>
        <v>7.5179981123999999</v>
      </c>
      <c r="CJ133" s="34">
        <f>IFERROR(ABS(SUMIFS('TRA balance'!AK$5:AK$40,'TRA balance'!$C$5:$C$40,Assumptions!$BB133,'TRA balance'!$D$5:$D$40,Assumptions!$BC133)),"")</f>
        <v>5.7178708919999996</v>
      </c>
      <c r="CK133" s="34">
        <f>IFERROR(ABS(SUMIFS('TRA balance'!AL$5:AL$40,'TRA balance'!$C$5:$C$40,Assumptions!$BB133,'TRA balance'!$D$5:$D$40,Assumptions!$BC133)),"")</f>
        <v>2.0426643576000001</v>
      </c>
      <c r="CL133" s="34">
        <f>IFERROR(ABS(SUMIFS('TRA balance'!AM$5:AM$40,'TRA balance'!$C$5:$C$40,Assumptions!$BB133,'TRA balance'!$D$5:$D$40,Assumptions!$BC133)),"")</f>
        <v>1.3844156616000001</v>
      </c>
      <c r="CM133" s="34">
        <f>IFERROR(ABS(SUMIFS('TRA balance'!AN$5:AN$40,'TRA balance'!$C$5:$C$40,Assumptions!$BB133,'TRA balance'!$D$5:$D$40,Assumptions!$BC133)),"")</f>
        <v>0</v>
      </c>
      <c r="CN133" s="34">
        <f>IFERROR(ABS(SUMIFS('TRA balance'!AO$5:AO$40,'TRA balance'!$C$5:$C$40,Assumptions!$BB133,'TRA balance'!$D$5:$D$40,Assumptions!$BC133)),"")</f>
        <v>0</v>
      </c>
      <c r="CO133" s="34">
        <f>IFERROR(ABS(SUMIFS('TRA balance'!AP$5:AP$40,'TRA balance'!$C$5:$C$40,Assumptions!$BB133,'TRA balance'!$D$5:$D$40,Assumptions!$BC133)),"")</f>
        <v>0</v>
      </c>
      <c r="CP133" s="34">
        <f>IFERROR(ABS(SUMIFS('TRA balance'!AQ$5:AQ$40,'TRA balance'!$C$5:$C$40,Assumptions!$BB133,'TRA balance'!$D$5:$D$40,Assumptions!$BC133)),"")</f>
        <v>0</v>
      </c>
      <c r="CQ133" s="34">
        <f>IFERROR(ABS(SUMIFS('TRA balance'!AR$5:AR$40,'TRA balance'!$C$5:$C$40,Assumptions!$BB133,'TRA balance'!$D$5:$D$40,Assumptions!$BC133)),"")</f>
        <v>0</v>
      </c>
      <c r="CR133" s="34">
        <f>IFERROR(ABS(SUMIFS('TRA balance'!AS$5:AS$40,'TRA balance'!$C$5:$C$40,Assumptions!$BB133,'TRA balance'!$D$5:$D$40,Assumptions!$BC133)),"")</f>
        <v>0</v>
      </c>
      <c r="CS133" s="34">
        <f>IFERROR(ABS(SUMIFS('TRA balance'!AT$5:AT$40,'TRA balance'!$C$5:$C$40,Assumptions!$BB133,'TRA balance'!$D$5:$D$40,Assumptions!$BC133)),"")</f>
        <v>0</v>
      </c>
      <c r="CT133" s="34">
        <f>IFERROR(ABS(SUMIFS('TRA balance'!AU$5:AU$40,'TRA balance'!$C$5:$C$40,Assumptions!$BB133,'TRA balance'!$D$5:$D$40,Assumptions!$BC133)),"")</f>
        <v>0</v>
      </c>
      <c r="CU133" s="34">
        <f>IFERROR(ABS(SUMIFS('TRA balance'!AV$5:AV$40,'TRA balance'!$C$5:$C$40,Assumptions!$BB133,'TRA balance'!$D$5:$D$40,Assumptions!$BC133)),"")</f>
        <v>0</v>
      </c>
      <c r="CV133" s="34">
        <f>IFERROR(ABS(SUMIFS('TRA balance'!AW$5:AW$40,'TRA balance'!$C$5:$C$40,Assumptions!$BB133,'TRA balance'!$D$5:$D$40,Assumptions!$BC133)),"")</f>
        <v>0</v>
      </c>
      <c r="CW133" s="34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100</v>
      </c>
      <c r="F134" s="1">
        <v>0.14784</v>
      </c>
      <c r="G134" s="1">
        <v>0.17555999999999999</v>
      </c>
      <c r="H134" s="1">
        <v>0.16758000000000001</v>
      </c>
      <c r="I134" s="1">
        <v>0.16758000000000001</v>
      </c>
      <c r="J134" s="1">
        <v>0.16758000000000001</v>
      </c>
      <c r="K134" s="1">
        <v>0.16758000000000001</v>
      </c>
      <c r="L134" s="1">
        <v>0.16758000000000001</v>
      </c>
      <c r="M134" s="1">
        <v>0.16758000000000001</v>
      </c>
      <c r="N134" s="1">
        <v>0.16758000000000001</v>
      </c>
      <c r="O134" s="1">
        <v>0.16758000000000001</v>
      </c>
      <c r="P134" s="1">
        <v>0.16758000000000001</v>
      </c>
      <c r="Q134" s="1">
        <v>0.16758000000000001</v>
      </c>
      <c r="R134" s="1">
        <v>0.16758000000000001</v>
      </c>
      <c r="S134" s="1">
        <v>0.16758000000000001</v>
      </c>
      <c r="T134" s="1">
        <v>0.16758000000000001</v>
      </c>
      <c r="U134" s="1">
        <v>0.16758000000000001</v>
      </c>
      <c r="V134" s="1">
        <v>0.16758000000000001</v>
      </c>
      <c r="W134" s="1">
        <v>0.16758000000000001</v>
      </c>
      <c r="X134" s="1">
        <v>0.16758000000000001</v>
      </c>
      <c r="Y134" s="1">
        <v>0.16758000000000001</v>
      </c>
      <c r="Z134" s="1">
        <v>0.16758000000000001</v>
      </c>
      <c r="AA134" s="1">
        <v>0.16758000000000001</v>
      </c>
      <c r="AB134" s="1">
        <v>0.16758000000000001</v>
      </c>
      <c r="AC134" s="1">
        <v>0.16758000000000001</v>
      </c>
      <c r="AD134" s="1">
        <v>0.16758000000000001</v>
      </c>
      <c r="AE134" s="1">
        <v>0.16758000000000001</v>
      </c>
      <c r="AF134" s="1">
        <v>0.16758000000000001</v>
      </c>
      <c r="AG134" s="1">
        <v>0.16758000000000001</v>
      </c>
      <c r="AH134" s="1">
        <v>0.16758000000000001</v>
      </c>
      <c r="AI134" s="1">
        <v>0.16758000000000001</v>
      </c>
      <c r="AJ134" s="1">
        <v>0.16758000000000001</v>
      </c>
      <c r="AK134" s="1">
        <v>0.16758000000000001</v>
      </c>
      <c r="AL134" s="1">
        <v>0.16758000000000001</v>
      </c>
      <c r="AM134" s="1">
        <v>0.16758000000000001</v>
      </c>
      <c r="AN134" s="1">
        <v>0.16758000000000001</v>
      </c>
      <c r="AO134" s="1">
        <v>0.16758000000000001</v>
      </c>
      <c r="AP134" s="1">
        <v>0.16758000000000001</v>
      </c>
      <c r="AQ134" s="1">
        <v>0.16758000000000001</v>
      </c>
      <c r="AR134" s="1">
        <v>0.16758000000000001</v>
      </c>
      <c r="AS134" s="1">
        <v>0.16758000000000001</v>
      </c>
      <c r="AT134" s="1">
        <v>0.16758000000000001</v>
      </c>
      <c r="AU134" s="1">
        <v>0.16758000000000001</v>
      </c>
      <c r="AV134" s="1">
        <v>0.16758000000000001</v>
      </c>
      <c r="AW134" s="1">
        <v>0.16758000000000001</v>
      </c>
      <c r="AX134" s="1">
        <v>0.16758000000000001</v>
      </c>
      <c r="AY134" s="1">
        <v>0.16758000000000001</v>
      </c>
      <c r="AZ134" s="1">
        <v>0.16758000000000001</v>
      </c>
      <c r="BA134" s="1">
        <v>0.16758000000000001</v>
      </c>
      <c r="BB134" s="27" t="s">
        <v>23</v>
      </c>
      <c r="BC134" s="27" t="s">
        <v>44</v>
      </c>
      <c r="BD134" s="34">
        <f>IFERROR(ABS(SUMIFS('TRA balance'!E$5:E$40,'TRA balance'!$C$5:$C$40,Assumptions!$BB134,'TRA balance'!$D$5:$D$40,Assumptions!$BC134)),"")</f>
        <v>0</v>
      </c>
      <c r="BE134" s="34">
        <f>IFERROR(ABS(SUMIFS('TRA balance'!F$5:F$40,'TRA balance'!$C$5:$C$40,Assumptions!$BB134,'TRA balance'!$D$5:$D$40,Assumptions!$BC134)),"")</f>
        <v>0.14324717519999999</v>
      </c>
      <c r="BF134" s="34">
        <f>IFERROR(ABS(SUMIFS('TRA balance'!G$5:G$40,'TRA balance'!$C$5:$C$40,Assumptions!$BB134,'TRA balance'!$D$5:$D$40,Assumptions!$BC134)),"")</f>
        <v>0</v>
      </c>
      <c r="BG134" s="34">
        <f>IFERROR(ABS(SUMIFS('TRA balance'!H$5:H$40,'TRA balance'!$C$5:$C$40,Assumptions!$BB134,'TRA balance'!$D$5:$D$40,Assumptions!$BC134)),"")</f>
        <v>0</v>
      </c>
      <c r="BH134" s="34">
        <f>IFERROR(ABS(SUMIFS('TRA balance'!I$5:I$40,'TRA balance'!$C$5:$C$40,Assumptions!$BB134,'TRA balance'!$D$5:$D$40,Assumptions!$BC134)),"")</f>
        <v>0</v>
      </c>
      <c r="BI134" s="34">
        <f>IFERROR(ABS(SUMIFS('TRA balance'!J$5:J$40,'TRA balance'!$C$5:$C$40,Assumptions!$BB134,'TRA balance'!$D$5:$D$40,Assumptions!$BC134)),"")</f>
        <v>0</v>
      </c>
      <c r="BJ134" s="34">
        <f>IFERROR(ABS(SUMIFS('TRA balance'!K$5:K$40,'TRA balance'!$C$5:$C$40,Assumptions!$BB134,'TRA balance'!$D$5:$D$40,Assumptions!$BC134)),"")</f>
        <v>0</v>
      </c>
      <c r="BK134" s="34">
        <f>IFERROR(ABS(SUMIFS('TRA balance'!L$5:L$40,'TRA balance'!$C$5:$C$40,Assumptions!$BB134,'TRA balance'!$D$5:$D$40,Assumptions!$BC134)),"")</f>
        <v>0</v>
      </c>
      <c r="BL134" s="34">
        <f>IFERROR(ABS(SUMIFS('TRA balance'!M$5:M$40,'TRA balance'!$C$5:$C$40,Assumptions!$BB134,'TRA balance'!$D$5:$D$40,Assumptions!$BC134)),"")</f>
        <v>0</v>
      </c>
      <c r="BM134" s="34">
        <f>IFERROR(ABS(SUMIFS('TRA balance'!N$5:N$40,'TRA balance'!$C$5:$C$40,Assumptions!$BB134,'TRA balance'!$D$5:$D$40,Assumptions!$BC134)),"")</f>
        <v>0</v>
      </c>
      <c r="BN134" s="34">
        <f>IFERROR(ABS(SUMIFS('TRA balance'!O$5:O$40,'TRA balance'!$C$5:$C$40,Assumptions!$BB134,'TRA balance'!$D$5:$D$40,Assumptions!$BC134)),"")</f>
        <v>0</v>
      </c>
      <c r="BO134" s="34">
        <f>IFERROR(ABS(SUMIFS('TRA balance'!P$5:P$40,'TRA balance'!$C$5:$C$40,Assumptions!$BB134,'TRA balance'!$D$5:$D$40,Assumptions!$BC134)),"")</f>
        <v>0</v>
      </c>
      <c r="BP134" s="34">
        <f>IFERROR(ABS(SUMIFS('TRA balance'!Q$5:Q$40,'TRA balance'!$C$5:$C$40,Assumptions!$BB134,'TRA balance'!$D$5:$D$40,Assumptions!$BC134)),"")</f>
        <v>0</v>
      </c>
      <c r="BQ134" s="34">
        <f>IFERROR(ABS(SUMIFS('TRA balance'!R$5:R$40,'TRA balance'!$C$5:$C$40,Assumptions!$BB134,'TRA balance'!$D$5:$D$40,Assumptions!$BC134)),"")</f>
        <v>0</v>
      </c>
      <c r="BR134" s="34">
        <f>IFERROR(ABS(SUMIFS('TRA balance'!S$5:S$40,'TRA balance'!$C$5:$C$40,Assumptions!$BB134,'TRA balance'!$D$5:$D$40,Assumptions!$BC134)),"")</f>
        <v>0</v>
      </c>
      <c r="BS134" s="34">
        <f>IFERROR(ABS(SUMIFS('TRA balance'!T$5:T$40,'TRA balance'!$C$5:$C$40,Assumptions!$BB134,'TRA balance'!$D$5:$D$40,Assumptions!$BC134)),"")</f>
        <v>0</v>
      </c>
      <c r="BT134" s="34">
        <f>IFERROR(ABS(SUMIFS('TRA balance'!U$5:U$40,'TRA balance'!$C$5:$C$40,Assumptions!$BB134,'TRA balance'!$D$5:$D$40,Assumptions!$BC134)),"")</f>
        <v>0</v>
      </c>
      <c r="BU134" s="34">
        <f>IFERROR(ABS(SUMIFS('TRA balance'!V$5:V$40,'TRA balance'!$C$5:$C$40,Assumptions!$BB134,'TRA balance'!$D$5:$D$40,Assumptions!$BC134)),"")</f>
        <v>0</v>
      </c>
      <c r="BV134" s="34">
        <f>IFERROR(ABS(SUMIFS('TRA balance'!W$5:W$40,'TRA balance'!$C$5:$C$40,Assumptions!$BB134,'TRA balance'!$D$5:$D$40,Assumptions!$BC134)),"")</f>
        <v>0</v>
      </c>
      <c r="BW134" s="34">
        <f>IFERROR(ABS(SUMIFS('TRA balance'!X$5:X$40,'TRA balance'!$C$5:$C$40,Assumptions!$BB134,'TRA balance'!$D$5:$D$40,Assumptions!$BC134)),"")</f>
        <v>0</v>
      </c>
      <c r="BX134" s="34">
        <f>IFERROR(ABS(SUMIFS('TRA balance'!Y$5:Y$40,'TRA balance'!$C$5:$C$40,Assumptions!$BB134,'TRA balance'!$D$5:$D$40,Assumptions!$BC134)),"")</f>
        <v>0</v>
      </c>
      <c r="BY134" s="34">
        <f>IFERROR(ABS(SUMIFS('TRA balance'!Z$5:Z$40,'TRA balance'!$C$5:$C$40,Assumptions!$BB134,'TRA balance'!$D$5:$D$40,Assumptions!$BC134)),"")</f>
        <v>261.44000328959999</v>
      </c>
      <c r="BZ134" s="34">
        <f>IFERROR(ABS(SUMIFS('TRA balance'!AA$5:AA$40,'TRA balance'!$C$5:$C$40,Assumptions!$BB134,'TRA balance'!$D$5:$D$40,Assumptions!$BC134)),"")</f>
        <v>0</v>
      </c>
      <c r="CA134" s="34">
        <f>IFERROR(ABS(SUMIFS('TRA balance'!AB$5:AB$40,'TRA balance'!$C$5:$C$40,Assumptions!$BB134,'TRA balance'!$D$5:$D$40,Assumptions!$BC134)),"")</f>
        <v>0</v>
      </c>
      <c r="CB134" s="34">
        <f>IFERROR(ABS(SUMIFS('TRA balance'!AC$5:AC$40,'TRA balance'!$C$5:$C$40,Assumptions!$BB134,'TRA balance'!$D$5:$D$40,Assumptions!$BC134)),"")</f>
        <v>3.0110795711999998</v>
      </c>
      <c r="CC134" s="34">
        <f>IFERROR(ABS(SUMIFS('TRA balance'!AD$5:AD$40,'TRA balance'!$C$5:$C$40,Assumptions!$BB134,'TRA balance'!$D$5:$D$40,Assumptions!$BC134)),"")</f>
        <v>0</v>
      </c>
      <c r="CD134" s="34">
        <f>IFERROR(ABS(SUMIFS('TRA balance'!AE$5:AE$40,'TRA balance'!$C$5:$C$40,Assumptions!$BB134,'TRA balance'!$D$5:$D$40,Assumptions!$BC134)),"")</f>
        <v>0</v>
      </c>
      <c r="CE134" s="34">
        <f>IFERROR(ABS(SUMIFS('TRA balance'!AF$5:AF$40,'TRA balance'!$C$5:$C$40,Assumptions!$BB134,'TRA balance'!$D$5:$D$40,Assumptions!$BC134)),"")</f>
        <v>0</v>
      </c>
      <c r="CF134" s="34">
        <f>IFERROR(ABS(SUMIFS('TRA balance'!AG$5:AG$40,'TRA balance'!$C$5:$C$40,Assumptions!$BB134,'TRA balance'!$D$5:$D$40,Assumptions!$BC134)),"")</f>
        <v>0</v>
      </c>
      <c r="CG134" s="34">
        <f>IFERROR(ABS(SUMIFS('TRA balance'!AH$5:AH$40,'TRA balance'!$C$5:$C$40,Assumptions!$BB134,'TRA balance'!$D$5:$D$40,Assumptions!$BC134)),"")</f>
        <v>0</v>
      </c>
      <c r="CH134" s="34">
        <f>IFERROR(ABS(SUMIFS('TRA balance'!AI$5:AI$40,'TRA balance'!$C$5:$C$40,Assumptions!$BB134,'TRA balance'!$D$5:$D$40,Assumptions!$BC134)),"")</f>
        <v>0</v>
      </c>
      <c r="CI134" s="34">
        <f>IFERROR(ABS(SUMIFS('TRA balance'!AJ$5:AJ$40,'TRA balance'!$C$5:$C$40,Assumptions!$BB134,'TRA balance'!$D$5:$D$40,Assumptions!$BC134)),"")</f>
        <v>0</v>
      </c>
      <c r="CJ134" s="34">
        <f>IFERROR(ABS(SUMIFS('TRA balance'!AK$5:AK$40,'TRA balance'!$C$5:$C$40,Assumptions!$BB134,'TRA balance'!$D$5:$D$40,Assumptions!$BC134)),"")</f>
        <v>0</v>
      </c>
      <c r="CK134" s="34">
        <f>IFERROR(ABS(SUMIFS('TRA balance'!AL$5:AL$40,'TRA balance'!$C$5:$C$40,Assumptions!$BB134,'TRA balance'!$D$5:$D$40,Assumptions!$BC134)),"")</f>
        <v>3.59981064E-2</v>
      </c>
      <c r="CL134" s="34">
        <f>IFERROR(ABS(SUMIFS('TRA balance'!AM$5:AM$40,'TRA balance'!$C$5:$C$40,Assumptions!$BB134,'TRA balance'!$D$5:$D$40,Assumptions!$BC134)),"")</f>
        <v>0</v>
      </c>
      <c r="CM134" s="34">
        <f>IFERROR(ABS(SUMIFS('TRA balance'!AN$5:AN$40,'TRA balance'!$C$5:$C$40,Assumptions!$BB134,'TRA balance'!$D$5:$D$40,Assumptions!$BC134)),"")</f>
        <v>0</v>
      </c>
      <c r="CN134" s="34">
        <f>IFERROR(ABS(SUMIFS('TRA balance'!AO$5:AO$40,'TRA balance'!$C$5:$C$40,Assumptions!$BB134,'TRA balance'!$D$5:$D$40,Assumptions!$BC134)),"")</f>
        <v>0</v>
      </c>
      <c r="CO134" s="34">
        <f>IFERROR(ABS(SUMIFS('TRA balance'!AP$5:AP$40,'TRA balance'!$C$5:$C$40,Assumptions!$BB134,'TRA balance'!$D$5:$D$40,Assumptions!$BC134)),"")</f>
        <v>0</v>
      </c>
      <c r="CP134" s="34">
        <f>IFERROR(ABS(SUMIFS('TRA balance'!AQ$5:AQ$40,'TRA balance'!$C$5:$C$40,Assumptions!$BB134,'TRA balance'!$D$5:$D$40,Assumptions!$BC134)),"")</f>
        <v>0</v>
      </c>
      <c r="CQ134" s="34">
        <f>IFERROR(ABS(SUMIFS('TRA balance'!AR$5:AR$40,'TRA balance'!$C$5:$C$40,Assumptions!$BB134,'TRA balance'!$D$5:$D$40,Assumptions!$BC134)),"")</f>
        <v>0</v>
      </c>
      <c r="CR134" s="34">
        <f>IFERROR(ABS(SUMIFS('TRA balance'!AS$5:AS$40,'TRA balance'!$C$5:$C$40,Assumptions!$BB134,'TRA balance'!$D$5:$D$40,Assumptions!$BC134)),"")</f>
        <v>0</v>
      </c>
      <c r="CS134" s="34">
        <f>IFERROR(ABS(SUMIFS('TRA balance'!AT$5:AT$40,'TRA balance'!$C$5:$C$40,Assumptions!$BB134,'TRA balance'!$D$5:$D$40,Assumptions!$BC134)),"")</f>
        <v>0</v>
      </c>
      <c r="CT134" s="34">
        <f>IFERROR(ABS(SUMIFS('TRA balance'!AU$5:AU$40,'TRA balance'!$C$5:$C$40,Assumptions!$BB134,'TRA balance'!$D$5:$D$40,Assumptions!$BC134)),"")</f>
        <v>0</v>
      </c>
      <c r="CU134" s="34">
        <f>IFERROR(ABS(SUMIFS('TRA balance'!AV$5:AV$40,'TRA balance'!$C$5:$C$40,Assumptions!$BB134,'TRA balance'!$D$5:$D$40,Assumptions!$BC134)),"")</f>
        <v>0</v>
      </c>
      <c r="CV134" s="34">
        <f>IFERROR(ABS(SUMIFS('TRA balance'!AW$5:AW$40,'TRA balance'!$C$5:$C$40,Assumptions!$BB134,'TRA balance'!$D$5:$D$40,Assumptions!$BC134)),"")</f>
        <v>0</v>
      </c>
      <c r="CW134" s="34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101</v>
      </c>
      <c r="F135" s="1">
        <v>0.14784</v>
      </c>
      <c r="G135" s="1">
        <v>0.17555999999999999</v>
      </c>
      <c r="H135" s="1">
        <v>0.16758000000000001</v>
      </c>
      <c r="I135" s="1">
        <v>0.16758000000000001</v>
      </c>
      <c r="J135" s="1">
        <v>0.16758000000000001</v>
      </c>
      <c r="K135" s="1">
        <v>0.16758000000000001</v>
      </c>
      <c r="L135" s="1">
        <v>0.16758000000000001</v>
      </c>
      <c r="M135" s="1">
        <v>0.16758000000000001</v>
      </c>
      <c r="N135" s="1">
        <v>0.16758000000000001</v>
      </c>
      <c r="O135" s="1">
        <v>0.16758000000000001</v>
      </c>
      <c r="P135" s="1">
        <v>0.16758000000000001</v>
      </c>
      <c r="Q135" s="1">
        <v>0.16758000000000001</v>
      </c>
      <c r="R135" s="1">
        <v>0.16758000000000001</v>
      </c>
      <c r="S135" s="1">
        <v>0.16758000000000001</v>
      </c>
      <c r="T135" s="1">
        <v>0.16758000000000001</v>
      </c>
      <c r="U135" s="1">
        <v>0.16758000000000001</v>
      </c>
      <c r="V135" s="1">
        <v>0.16758000000000001</v>
      </c>
      <c r="W135" s="1">
        <v>0.16758000000000001</v>
      </c>
      <c r="X135" s="1">
        <v>0.16758000000000001</v>
      </c>
      <c r="Y135" s="1">
        <v>0.16758000000000001</v>
      </c>
      <c r="Z135" s="1">
        <v>0.16758000000000001</v>
      </c>
      <c r="AA135" s="1">
        <v>0.16758000000000001</v>
      </c>
      <c r="AB135" s="1">
        <v>0.16758000000000001</v>
      </c>
      <c r="AC135" s="1">
        <v>0.16758000000000001</v>
      </c>
      <c r="AD135" s="1">
        <v>0.16758000000000001</v>
      </c>
      <c r="AE135" s="1">
        <v>0.16758000000000001</v>
      </c>
      <c r="AF135" s="1">
        <v>0.16758000000000001</v>
      </c>
      <c r="AG135" s="1">
        <v>0.16758000000000001</v>
      </c>
      <c r="AH135" s="1">
        <v>0.16758000000000001</v>
      </c>
      <c r="AI135" s="1">
        <v>0.16758000000000001</v>
      </c>
      <c r="AJ135" s="1">
        <v>0.16758000000000001</v>
      </c>
      <c r="AK135" s="1">
        <v>0.16758000000000001</v>
      </c>
      <c r="AL135" s="1">
        <v>0.16758000000000001</v>
      </c>
      <c r="AM135" s="1">
        <v>0.16758000000000001</v>
      </c>
      <c r="AN135" s="1">
        <v>0.16758000000000001</v>
      </c>
      <c r="AO135" s="1">
        <v>0.16758000000000001</v>
      </c>
      <c r="AP135" s="1">
        <v>0.16758000000000001</v>
      </c>
      <c r="AQ135" s="1">
        <v>0.16758000000000001</v>
      </c>
      <c r="AR135" s="1">
        <v>0.16758000000000001</v>
      </c>
      <c r="AS135" s="1">
        <v>0.16758000000000001</v>
      </c>
      <c r="AT135" s="1">
        <v>0.16758000000000001</v>
      </c>
      <c r="AU135" s="1">
        <v>0.16758000000000001</v>
      </c>
      <c r="AV135" s="1">
        <v>0.16758000000000001</v>
      </c>
      <c r="AW135" s="1">
        <v>0.16758000000000001</v>
      </c>
      <c r="AX135" s="1">
        <v>0.16758000000000001</v>
      </c>
      <c r="AY135" s="1">
        <v>0.16758000000000001</v>
      </c>
      <c r="AZ135" s="1">
        <v>0.16758000000000001</v>
      </c>
      <c r="BA135" s="1">
        <v>0.16758000000000001</v>
      </c>
      <c r="BB135" s="27" t="s">
        <v>23</v>
      </c>
      <c r="BC135" s="27" t="s">
        <v>47</v>
      </c>
      <c r="BD135" s="34">
        <f>IFERROR(ABS(SUMIFS('TRA balance'!E$5:E$40,'TRA balance'!$C$5:$C$40,Assumptions!$BB135,'TRA balance'!$D$5:$D$40,Assumptions!$BC135)),"")</f>
        <v>0</v>
      </c>
      <c r="BE135" s="34">
        <f>IFERROR(ABS(SUMIFS('TRA balance'!F$5:F$40,'TRA balance'!$C$5:$C$40,Assumptions!$BB135,'TRA balance'!$D$5:$D$40,Assumptions!$BC135)),"")</f>
        <v>0</v>
      </c>
      <c r="BF135" s="34">
        <f>IFERROR(ABS(SUMIFS('TRA balance'!G$5:G$40,'TRA balance'!$C$5:$C$40,Assumptions!$BB135,'TRA balance'!$D$5:$D$40,Assumptions!$BC135)),"")</f>
        <v>0</v>
      </c>
      <c r="BG135" s="34">
        <f>IFERROR(ABS(SUMIFS('TRA balance'!H$5:H$40,'TRA balance'!$C$5:$C$40,Assumptions!$BB135,'TRA balance'!$D$5:$D$40,Assumptions!$BC135)),"")</f>
        <v>0</v>
      </c>
      <c r="BH135" s="34">
        <f>IFERROR(ABS(SUMIFS('TRA balance'!I$5:I$40,'TRA balance'!$C$5:$C$40,Assumptions!$BB135,'TRA balance'!$D$5:$D$40,Assumptions!$BC135)),"")</f>
        <v>0</v>
      </c>
      <c r="BI135" s="34">
        <f>IFERROR(ABS(SUMIFS('TRA balance'!J$5:J$40,'TRA balance'!$C$5:$C$40,Assumptions!$BB135,'TRA balance'!$D$5:$D$40,Assumptions!$BC135)),"")</f>
        <v>0</v>
      </c>
      <c r="BJ135" s="34">
        <f>IFERROR(ABS(SUMIFS('TRA balance'!K$5:K$40,'TRA balance'!$C$5:$C$40,Assumptions!$BB135,'TRA balance'!$D$5:$D$40,Assumptions!$BC135)),"")</f>
        <v>0</v>
      </c>
      <c r="BK135" s="34">
        <f>IFERROR(ABS(SUMIFS('TRA balance'!L$5:L$40,'TRA balance'!$C$5:$C$40,Assumptions!$BB135,'TRA balance'!$D$5:$D$40,Assumptions!$BC135)),"")</f>
        <v>0</v>
      </c>
      <c r="BL135" s="34">
        <f>IFERROR(ABS(SUMIFS('TRA balance'!M$5:M$40,'TRA balance'!$C$5:$C$40,Assumptions!$BB135,'TRA balance'!$D$5:$D$40,Assumptions!$BC135)),"")</f>
        <v>0</v>
      </c>
      <c r="BM135" s="34">
        <f>IFERROR(ABS(SUMIFS('TRA balance'!N$5:N$40,'TRA balance'!$C$5:$C$40,Assumptions!$BB135,'TRA balance'!$D$5:$D$40,Assumptions!$BC135)),"")</f>
        <v>0</v>
      </c>
      <c r="BN135" s="34">
        <f>IFERROR(ABS(SUMIFS('TRA balance'!O$5:O$40,'TRA balance'!$C$5:$C$40,Assumptions!$BB135,'TRA balance'!$D$5:$D$40,Assumptions!$BC135)),"")</f>
        <v>0</v>
      </c>
      <c r="BO135" s="34">
        <f>IFERROR(ABS(SUMIFS('TRA balance'!P$5:P$40,'TRA balance'!$C$5:$C$40,Assumptions!$BB135,'TRA balance'!$D$5:$D$40,Assumptions!$BC135)),"")</f>
        <v>0</v>
      </c>
      <c r="BP135" s="34">
        <f>IFERROR(ABS(SUMIFS('TRA balance'!Q$5:Q$40,'TRA balance'!$C$5:$C$40,Assumptions!$BB135,'TRA balance'!$D$5:$D$40,Assumptions!$BC135)),"")</f>
        <v>0</v>
      </c>
      <c r="BQ135" s="34">
        <f>IFERROR(ABS(SUMIFS('TRA balance'!R$5:R$40,'TRA balance'!$C$5:$C$40,Assumptions!$BB135,'TRA balance'!$D$5:$D$40,Assumptions!$BC135)),"")</f>
        <v>0</v>
      </c>
      <c r="BR135" s="34">
        <f>IFERROR(ABS(SUMIFS('TRA balance'!S$5:S$40,'TRA balance'!$C$5:$C$40,Assumptions!$BB135,'TRA balance'!$D$5:$D$40,Assumptions!$BC135)),"")</f>
        <v>0</v>
      </c>
      <c r="BS135" s="34">
        <f>IFERROR(ABS(SUMIFS('TRA balance'!T$5:T$40,'TRA balance'!$C$5:$C$40,Assumptions!$BB135,'TRA balance'!$D$5:$D$40,Assumptions!$BC135)),"")</f>
        <v>0</v>
      </c>
      <c r="BT135" s="34">
        <f>IFERROR(ABS(SUMIFS('TRA balance'!U$5:U$40,'TRA balance'!$C$5:$C$40,Assumptions!$BB135,'TRA balance'!$D$5:$D$40,Assumptions!$BC135)),"")</f>
        <v>0</v>
      </c>
      <c r="BU135" s="34">
        <f>IFERROR(ABS(SUMIFS('TRA balance'!V$5:V$40,'TRA balance'!$C$5:$C$40,Assumptions!$BB135,'TRA balance'!$D$5:$D$40,Assumptions!$BC135)),"")</f>
        <v>0</v>
      </c>
      <c r="BV135" s="34">
        <f>IFERROR(ABS(SUMIFS('TRA balance'!W$5:W$40,'TRA balance'!$C$5:$C$40,Assumptions!$BB135,'TRA balance'!$D$5:$D$40,Assumptions!$BC135)),"")</f>
        <v>0</v>
      </c>
      <c r="BW135" s="34">
        <f>IFERROR(ABS(SUMIFS('TRA balance'!X$5:X$40,'TRA balance'!$C$5:$C$40,Assumptions!$BB135,'TRA balance'!$D$5:$D$40,Assumptions!$BC135)),"")</f>
        <v>0</v>
      </c>
      <c r="BX135" s="34">
        <f>IFERROR(ABS(SUMIFS('TRA balance'!Y$5:Y$40,'TRA balance'!$C$5:$C$40,Assumptions!$BB135,'TRA balance'!$D$5:$D$40,Assumptions!$BC135)),"")</f>
        <v>0</v>
      </c>
      <c r="BY135" s="34">
        <f>IFERROR(ABS(SUMIFS('TRA balance'!Z$5:Z$40,'TRA balance'!$C$5:$C$40,Assumptions!$BB135,'TRA balance'!$D$5:$D$40,Assumptions!$BC135)),"")</f>
        <v>0</v>
      </c>
      <c r="BZ135" s="34">
        <f>IFERROR(ABS(SUMIFS('TRA balance'!AA$5:AA$40,'TRA balance'!$C$5:$C$40,Assumptions!$BB135,'TRA balance'!$D$5:$D$40,Assumptions!$BC135)),"")</f>
        <v>0</v>
      </c>
      <c r="CA135" s="34">
        <f>IFERROR(ABS(SUMIFS('TRA balance'!AB$5:AB$40,'TRA balance'!$C$5:$C$40,Assumptions!$BB135,'TRA balance'!$D$5:$D$40,Assumptions!$BC135)),"")</f>
        <v>0</v>
      </c>
      <c r="CB135" s="34">
        <f>IFERROR(ABS(SUMIFS('TRA balance'!AC$5:AC$40,'TRA balance'!$C$5:$C$40,Assumptions!$BB135,'TRA balance'!$D$5:$D$40,Assumptions!$BC135)),"")</f>
        <v>0</v>
      </c>
      <c r="CC135" s="34">
        <f>IFERROR(ABS(SUMIFS('TRA balance'!AD$5:AD$40,'TRA balance'!$C$5:$C$40,Assumptions!$BB135,'TRA balance'!$D$5:$D$40,Assumptions!$BC135)),"")</f>
        <v>0</v>
      </c>
      <c r="CD135" s="34">
        <f>IFERROR(ABS(SUMIFS('TRA balance'!AE$5:AE$40,'TRA balance'!$C$5:$C$40,Assumptions!$BB135,'TRA balance'!$D$5:$D$40,Assumptions!$BC135)),"")</f>
        <v>0</v>
      </c>
      <c r="CE135" s="34">
        <f>IFERROR(ABS(SUMIFS('TRA balance'!AF$5:AF$40,'TRA balance'!$C$5:$C$40,Assumptions!$BB135,'TRA balance'!$D$5:$D$40,Assumptions!$BC135)),"")</f>
        <v>0</v>
      </c>
      <c r="CF135" s="34">
        <f>IFERROR(ABS(SUMIFS('TRA balance'!AG$5:AG$40,'TRA balance'!$C$5:$C$40,Assumptions!$BB135,'TRA balance'!$D$5:$D$40,Assumptions!$BC135)),"")</f>
        <v>0</v>
      </c>
      <c r="CG135" s="34">
        <f>IFERROR(ABS(SUMIFS('TRA balance'!AH$5:AH$40,'TRA balance'!$C$5:$C$40,Assumptions!$BB135,'TRA balance'!$D$5:$D$40,Assumptions!$BC135)),"")</f>
        <v>0</v>
      </c>
      <c r="CH135" s="34">
        <f>IFERROR(ABS(SUMIFS('TRA balance'!AI$5:AI$40,'TRA balance'!$C$5:$C$40,Assumptions!$BB135,'TRA balance'!$D$5:$D$40,Assumptions!$BC135)),"")</f>
        <v>0</v>
      </c>
      <c r="CI135" s="34">
        <f>IFERROR(ABS(SUMIFS('TRA balance'!AJ$5:AJ$40,'TRA balance'!$C$5:$C$40,Assumptions!$BB135,'TRA balance'!$D$5:$D$40,Assumptions!$BC135)),"")</f>
        <v>0</v>
      </c>
      <c r="CJ135" s="34">
        <f>IFERROR(ABS(SUMIFS('TRA balance'!AK$5:AK$40,'TRA balance'!$C$5:$C$40,Assumptions!$BB135,'TRA balance'!$D$5:$D$40,Assumptions!$BC135)),"")</f>
        <v>0</v>
      </c>
      <c r="CK135" s="34">
        <f>IFERROR(ABS(SUMIFS('TRA balance'!AL$5:AL$40,'TRA balance'!$C$5:$C$40,Assumptions!$BB135,'TRA balance'!$D$5:$D$40,Assumptions!$BC135)),"")</f>
        <v>0</v>
      </c>
      <c r="CL135" s="34">
        <f>IFERROR(ABS(SUMIFS('TRA balance'!AM$5:AM$40,'TRA balance'!$C$5:$C$40,Assumptions!$BB135,'TRA balance'!$D$5:$D$40,Assumptions!$BC135)),"")</f>
        <v>0</v>
      </c>
      <c r="CM135" s="34">
        <f>IFERROR(ABS(SUMIFS('TRA balance'!AN$5:AN$40,'TRA balance'!$C$5:$C$40,Assumptions!$BB135,'TRA balance'!$D$5:$D$40,Assumptions!$BC135)),"")</f>
        <v>0</v>
      </c>
      <c r="CN135" s="34">
        <f>IFERROR(ABS(SUMIFS('TRA balance'!AO$5:AO$40,'TRA balance'!$C$5:$C$40,Assumptions!$BB135,'TRA balance'!$D$5:$D$40,Assumptions!$BC135)),"")</f>
        <v>0</v>
      </c>
      <c r="CO135" s="34">
        <f>IFERROR(ABS(SUMIFS('TRA balance'!AP$5:AP$40,'TRA balance'!$C$5:$C$40,Assumptions!$BB135,'TRA balance'!$D$5:$D$40,Assumptions!$BC135)),"")</f>
        <v>0</v>
      </c>
      <c r="CP135" s="34">
        <f>IFERROR(ABS(SUMIFS('TRA balance'!AQ$5:AQ$40,'TRA balance'!$C$5:$C$40,Assumptions!$BB135,'TRA balance'!$D$5:$D$40,Assumptions!$BC135)),"")</f>
        <v>0</v>
      </c>
      <c r="CQ135" s="34">
        <f>IFERROR(ABS(SUMIFS('TRA balance'!AR$5:AR$40,'TRA balance'!$C$5:$C$40,Assumptions!$BB135,'TRA balance'!$D$5:$D$40,Assumptions!$BC135)),"")</f>
        <v>0</v>
      </c>
      <c r="CR135" s="34">
        <f>IFERROR(ABS(SUMIFS('TRA balance'!AS$5:AS$40,'TRA balance'!$C$5:$C$40,Assumptions!$BB135,'TRA balance'!$D$5:$D$40,Assumptions!$BC135)),"")</f>
        <v>0</v>
      </c>
      <c r="CS135" s="34">
        <f>IFERROR(ABS(SUMIFS('TRA balance'!AT$5:AT$40,'TRA balance'!$C$5:$C$40,Assumptions!$BB135,'TRA balance'!$D$5:$D$40,Assumptions!$BC135)),"")</f>
        <v>0</v>
      </c>
      <c r="CT135" s="34">
        <f>IFERROR(ABS(SUMIFS('TRA balance'!AU$5:AU$40,'TRA balance'!$C$5:$C$40,Assumptions!$BB135,'TRA balance'!$D$5:$D$40,Assumptions!$BC135)),"")</f>
        <v>0</v>
      </c>
      <c r="CU135" s="34">
        <f>IFERROR(ABS(SUMIFS('TRA balance'!AV$5:AV$40,'TRA balance'!$C$5:$C$40,Assumptions!$BB135,'TRA balance'!$D$5:$D$40,Assumptions!$BC135)),"")</f>
        <v>0</v>
      </c>
      <c r="CV135" s="34">
        <f>IFERROR(ABS(SUMIFS('TRA balance'!AW$5:AW$40,'TRA balance'!$C$5:$C$40,Assumptions!$BB135,'TRA balance'!$D$5:$D$40,Assumptions!$BC135)),"")</f>
        <v>0</v>
      </c>
      <c r="CW135" s="34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115</v>
      </c>
      <c r="F136" s="1">
        <v>7.6604081632652907E-2</v>
      </c>
      <c r="G136" s="1">
        <v>7.6604081632652907E-2</v>
      </c>
      <c r="H136" s="1">
        <v>8.5115646258503194E-2</v>
      </c>
      <c r="I136" s="1">
        <v>8.5115646258503194E-2</v>
      </c>
      <c r="J136" s="1">
        <v>8.5115646258503194E-2</v>
      </c>
      <c r="K136" s="1">
        <v>8.5115646258503194E-2</v>
      </c>
      <c r="L136" s="1">
        <v>8.5115646258503194E-2</v>
      </c>
      <c r="M136" s="1">
        <v>8.5115646258503194E-2</v>
      </c>
      <c r="N136" s="1">
        <v>8.5115646258503194E-2</v>
      </c>
      <c r="O136" s="1">
        <v>8.5115646258503194E-2</v>
      </c>
      <c r="P136" s="1">
        <v>8.5115646258503194E-2</v>
      </c>
      <c r="Q136" s="1">
        <v>8.5115646258503194E-2</v>
      </c>
      <c r="R136" s="1">
        <v>8.5115646258503194E-2</v>
      </c>
      <c r="S136" s="1">
        <v>8.5115646258503194E-2</v>
      </c>
      <c r="T136" s="1">
        <v>8.5115646258503194E-2</v>
      </c>
      <c r="U136" s="1">
        <v>8.5115646258503194E-2</v>
      </c>
      <c r="V136" s="1">
        <v>8.5115646258503194E-2</v>
      </c>
      <c r="W136" s="1">
        <v>8.5115646258503194E-2</v>
      </c>
      <c r="X136" s="1">
        <v>8.5115646258503194E-2</v>
      </c>
      <c r="Y136" s="1">
        <v>8.5115646258503194E-2</v>
      </c>
      <c r="Z136" s="1">
        <v>8.5115646258503194E-2</v>
      </c>
      <c r="AA136" s="1">
        <v>8.5115646258503194E-2</v>
      </c>
      <c r="AB136" s="1">
        <v>8.5115646258503194E-2</v>
      </c>
      <c r="AC136" s="1">
        <v>8.5115646258503194E-2</v>
      </c>
      <c r="AD136" s="1">
        <v>8.5115646258503194E-2</v>
      </c>
      <c r="AE136" s="1">
        <v>8.5115646258503194E-2</v>
      </c>
      <c r="AF136" s="1">
        <v>8.5115646258503194E-2</v>
      </c>
      <c r="AG136" s="1">
        <v>8.5115646258503194E-2</v>
      </c>
      <c r="AH136" s="1">
        <v>8.5115646258503194E-2</v>
      </c>
      <c r="AI136" s="1">
        <v>8.5115646258503194E-2</v>
      </c>
      <c r="AJ136" s="1">
        <v>8.5115646258503194E-2</v>
      </c>
      <c r="AK136" s="1">
        <v>8.5115646258503194E-2</v>
      </c>
      <c r="AL136" s="1">
        <v>8.5115646258503194E-2</v>
      </c>
      <c r="AM136" s="1">
        <v>8.5115646258503194E-2</v>
      </c>
      <c r="AN136" s="1">
        <v>8.5115646258503194E-2</v>
      </c>
      <c r="AO136" s="1">
        <v>8.5115646258503194E-2</v>
      </c>
      <c r="AP136" s="1">
        <v>8.5115646258503194E-2</v>
      </c>
      <c r="AQ136" s="1">
        <v>8.5115646258503194E-2</v>
      </c>
      <c r="AR136" s="1">
        <v>8.5115646258503194E-2</v>
      </c>
      <c r="AS136" s="1">
        <v>8.5115646258503194E-2</v>
      </c>
      <c r="AT136" s="1">
        <v>8.5115646258503194E-2</v>
      </c>
      <c r="AU136" s="1">
        <v>8.5115646258503194E-2</v>
      </c>
      <c r="AV136" s="1">
        <v>8.5115646258503194E-2</v>
      </c>
      <c r="AW136" s="1">
        <v>8.5115646258503194E-2</v>
      </c>
      <c r="AX136" s="1">
        <v>8.5115646258503194E-2</v>
      </c>
      <c r="AY136" s="1">
        <v>8.5115646258503194E-2</v>
      </c>
      <c r="AZ136" s="1">
        <v>8.5115646258503194E-2</v>
      </c>
      <c r="BA136" s="1">
        <v>8.5115646258503194E-2</v>
      </c>
    </row>
    <row r="137" spans="3:101">
      <c r="C137" t="str">
        <f t="shared" si="151"/>
        <v>ETH</v>
      </c>
      <c r="D137" t="str">
        <f t="shared" si="150"/>
        <v>TRM</v>
      </c>
      <c r="E137" t="s">
        <v>116</v>
      </c>
      <c r="F137" s="1">
        <v>6.7591836734693905E-2</v>
      </c>
      <c r="G137" s="1">
        <v>6.7591836734693905E-2</v>
      </c>
      <c r="H137" s="1">
        <v>7.5102040816326598E-2</v>
      </c>
      <c r="I137" s="1">
        <v>7.5102040816326598E-2</v>
      </c>
      <c r="J137" s="1">
        <v>7.5102040816326598E-2</v>
      </c>
      <c r="K137" s="1">
        <v>7.5102040816326598E-2</v>
      </c>
      <c r="L137" s="1">
        <v>7.5102040816326598E-2</v>
      </c>
      <c r="M137" s="1">
        <v>7.5102040816326598E-2</v>
      </c>
      <c r="N137" s="1">
        <v>7.5102040816326598E-2</v>
      </c>
      <c r="O137" s="1">
        <v>7.5102040816326598E-2</v>
      </c>
      <c r="P137" s="1">
        <v>7.5102040816326598E-2</v>
      </c>
      <c r="Q137" s="1">
        <v>7.5102040816326598E-2</v>
      </c>
      <c r="R137" s="1">
        <v>7.5102040816326598E-2</v>
      </c>
      <c r="S137" s="1">
        <v>7.5102040816326598E-2</v>
      </c>
      <c r="T137" s="1">
        <v>7.5102040816326598E-2</v>
      </c>
      <c r="U137" s="1">
        <v>7.5102040816326598E-2</v>
      </c>
      <c r="V137" s="1">
        <v>7.5102040816326598E-2</v>
      </c>
      <c r="W137" s="1">
        <v>7.5102040816326598E-2</v>
      </c>
      <c r="X137" s="1">
        <v>7.5102040816326598E-2</v>
      </c>
      <c r="Y137" s="1">
        <v>7.5102040816326598E-2</v>
      </c>
      <c r="Z137" s="1">
        <v>7.5102040816326598E-2</v>
      </c>
      <c r="AA137" s="1">
        <v>7.5102040816326598E-2</v>
      </c>
      <c r="AB137" s="1">
        <v>7.5102040816326598E-2</v>
      </c>
      <c r="AC137" s="1">
        <v>7.5102040816326598E-2</v>
      </c>
      <c r="AD137" s="1">
        <v>7.5102040816326598E-2</v>
      </c>
      <c r="AE137" s="1">
        <v>7.5102040816326598E-2</v>
      </c>
      <c r="AF137" s="1">
        <v>7.5102040816326598E-2</v>
      </c>
      <c r="AG137" s="1">
        <v>7.5102040816326598E-2</v>
      </c>
      <c r="AH137" s="1">
        <v>7.5102040816326598E-2</v>
      </c>
      <c r="AI137" s="1">
        <v>7.5102040816326598E-2</v>
      </c>
      <c r="AJ137" s="1">
        <v>7.5102040816326598E-2</v>
      </c>
      <c r="AK137" s="1">
        <v>7.5102040816326598E-2</v>
      </c>
      <c r="AL137" s="1">
        <v>7.5102040816326598E-2</v>
      </c>
      <c r="AM137" s="1">
        <v>7.5102040816326598E-2</v>
      </c>
      <c r="AN137" s="1">
        <v>7.5102040816326598E-2</v>
      </c>
      <c r="AO137" s="1">
        <v>7.5102040816326598E-2</v>
      </c>
      <c r="AP137" s="1">
        <v>7.5102040816326598E-2</v>
      </c>
      <c r="AQ137" s="1">
        <v>7.5102040816326598E-2</v>
      </c>
      <c r="AR137" s="1">
        <v>7.5102040816326598E-2</v>
      </c>
      <c r="AS137" s="1">
        <v>7.5102040816326598E-2</v>
      </c>
      <c r="AT137" s="1">
        <v>7.5102040816326598E-2</v>
      </c>
      <c r="AU137" s="1">
        <v>7.5102040816326598E-2</v>
      </c>
      <c r="AV137" s="1">
        <v>7.5102040816326598E-2</v>
      </c>
      <c r="AW137" s="1">
        <v>7.5102040816326598E-2</v>
      </c>
      <c r="AX137" s="1">
        <v>7.5102040816326598E-2</v>
      </c>
      <c r="AY137" s="1">
        <v>7.5102040816326598E-2</v>
      </c>
      <c r="AZ137" s="1">
        <v>7.5102040816326598E-2</v>
      </c>
      <c r="BA137" s="1">
        <v>7.5102040816326598E-2</v>
      </c>
      <c r="BC137" t="s">
        <v>248</v>
      </c>
      <c r="BD137" t="str">
        <f t="shared" ref="BD137:BD168" si="152">LEFT(BC137,3)&amp;BV137</f>
        <v>TRBTRADST</v>
      </c>
      <c r="BU137">
        <v>0.11</v>
      </c>
      <c r="BV137" t="s">
        <v>41</v>
      </c>
    </row>
    <row r="138" spans="3:101">
      <c r="C138" t="str">
        <f t="shared" si="151"/>
        <v>GAS</v>
      </c>
      <c r="D138" t="str">
        <f t="shared" si="150"/>
        <v>TRM</v>
      </c>
      <c r="E138" t="s">
        <v>117</v>
      </c>
      <c r="F138" s="1">
        <v>7.2097959183673704E-2</v>
      </c>
      <c r="G138" s="1">
        <v>7.2097959183673704E-2</v>
      </c>
      <c r="H138" s="1">
        <v>8.0108843537415195E-2</v>
      </c>
      <c r="I138" s="1">
        <v>8.0108843537415195E-2</v>
      </c>
      <c r="J138" s="1">
        <v>8.0108843537415195E-2</v>
      </c>
      <c r="K138" s="1">
        <v>8.0108843537415195E-2</v>
      </c>
      <c r="L138" s="1">
        <v>8.0108843537415195E-2</v>
      </c>
      <c r="M138" s="1">
        <v>8.0108843537415195E-2</v>
      </c>
      <c r="N138" s="1">
        <v>8.0108843537415195E-2</v>
      </c>
      <c r="O138" s="1">
        <v>8.0108843537415195E-2</v>
      </c>
      <c r="P138" s="1">
        <v>8.0108843537415195E-2</v>
      </c>
      <c r="Q138" s="1">
        <v>8.0108843537415195E-2</v>
      </c>
      <c r="R138" s="1">
        <v>8.0108843537415195E-2</v>
      </c>
      <c r="S138" s="1">
        <v>8.0108843537415195E-2</v>
      </c>
      <c r="T138" s="1">
        <v>8.0108843537415195E-2</v>
      </c>
      <c r="U138" s="1">
        <v>8.0108843537415195E-2</v>
      </c>
      <c r="V138" s="1">
        <v>8.0108843537415195E-2</v>
      </c>
      <c r="W138" s="1">
        <v>8.0108843537415195E-2</v>
      </c>
      <c r="X138" s="1">
        <v>8.0108843537415195E-2</v>
      </c>
      <c r="Y138" s="1">
        <v>8.0108843537415195E-2</v>
      </c>
      <c r="Z138" s="1">
        <v>8.0108843537415195E-2</v>
      </c>
      <c r="AA138" s="1">
        <v>8.0108843537415195E-2</v>
      </c>
      <c r="AB138" s="1">
        <v>8.0108843537415195E-2</v>
      </c>
      <c r="AC138" s="1">
        <v>8.0108843537415195E-2</v>
      </c>
      <c r="AD138" s="1">
        <v>8.0108843537415195E-2</v>
      </c>
      <c r="AE138" s="1">
        <v>8.0108843537415195E-2</v>
      </c>
      <c r="AF138" s="1">
        <v>8.0108843537415195E-2</v>
      </c>
      <c r="AG138" s="1">
        <v>8.0108843537415195E-2</v>
      </c>
      <c r="AH138" s="1">
        <v>8.0108843537415195E-2</v>
      </c>
      <c r="AI138" s="1">
        <v>8.0108843537415195E-2</v>
      </c>
      <c r="AJ138" s="1">
        <v>8.0108843537415195E-2</v>
      </c>
      <c r="AK138" s="1">
        <v>8.0108843537415195E-2</v>
      </c>
      <c r="AL138" s="1">
        <v>8.0108843537415195E-2</v>
      </c>
      <c r="AM138" s="1">
        <v>8.0108843537415195E-2</v>
      </c>
      <c r="AN138" s="1">
        <v>8.0108843537415195E-2</v>
      </c>
      <c r="AO138" s="1">
        <v>8.0108843537415195E-2</v>
      </c>
      <c r="AP138" s="1">
        <v>8.0108843537415195E-2</v>
      </c>
      <c r="AQ138" s="1">
        <v>8.0108843537415195E-2</v>
      </c>
      <c r="AR138" s="1">
        <v>8.0108843537415195E-2</v>
      </c>
      <c r="AS138" s="1">
        <v>8.0108843537415195E-2</v>
      </c>
      <c r="AT138" s="1">
        <v>8.0108843537415195E-2</v>
      </c>
      <c r="AU138" s="1">
        <v>8.0108843537415195E-2</v>
      </c>
      <c r="AV138" s="1">
        <v>8.0108843537415195E-2</v>
      </c>
      <c r="AW138" s="1">
        <v>8.0108843537415195E-2</v>
      </c>
      <c r="AX138" s="1">
        <v>8.0108843537415195E-2</v>
      </c>
      <c r="AY138" s="1">
        <v>8.0108843537415195E-2</v>
      </c>
      <c r="AZ138" s="1">
        <v>8.0108843537415195E-2</v>
      </c>
      <c r="BA138" s="1">
        <v>8.0108843537415195E-2</v>
      </c>
      <c r="BC138" t="s">
        <v>249</v>
      </c>
      <c r="BD138" t="str">
        <f t="shared" si="152"/>
        <v>TRBTRAELC</v>
      </c>
      <c r="BU138">
        <v>0.15</v>
      </c>
      <c r="BV138" t="s">
        <v>37</v>
      </c>
    </row>
    <row r="139" spans="3:101">
      <c r="C139" t="str">
        <f t="shared" si="151"/>
        <v>LPG</v>
      </c>
      <c r="D139" t="str">
        <f t="shared" si="150"/>
        <v>TRM</v>
      </c>
      <c r="E139" t="s">
        <v>118</v>
      </c>
      <c r="F139" s="1">
        <v>6.7591836734693905E-2</v>
      </c>
      <c r="G139" s="1">
        <v>6.7591836734693905E-2</v>
      </c>
      <c r="H139" s="1">
        <v>7.5102040816326598E-2</v>
      </c>
      <c r="I139" s="1">
        <v>7.5102040816326598E-2</v>
      </c>
      <c r="J139" s="1">
        <v>7.5102040816326598E-2</v>
      </c>
      <c r="K139" s="1">
        <v>7.5102040816326598E-2</v>
      </c>
      <c r="L139" s="1">
        <v>7.5102040816326598E-2</v>
      </c>
      <c r="M139" s="1">
        <v>7.5102040816326598E-2</v>
      </c>
      <c r="N139" s="1">
        <v>7.5102040816326598E-2</v>
      </c>
      <c r="O139" s="1">
        <v>7.5102040816326598E-2</v>
      </c>
      <c r="P139" s="1">
        <v>7.5102040816326598E-2</v>
      </c>
      <c r="Q139" s="1">
        <v>7.5102040816326598E-2</v>
      </c>
      <c r="R139" s="1">
        <v>7.5102040816326598E-2</v>
      </c>
      <c r="S139" s="1">
        <v>7.5102040816326598E-2</v>
      </c>
      <c r="T139" s="1">
        <v>7.5102040816326598E-2</v>
      </c>
      <c r="U139" s="1">
        <v>7.5102040816326598E-2</v>
      </c>
      <c r="V139" s="1">
        <v>7.5102040816326598E-2</v>
      </c>
      <c r="W139" s="1">
        <v>7.5102040816326598E-2</v>
      </c>
      <c r="X139" s="1">
        <v>7.5102040816326598E-2</v>
      </c>
      <c r="Y139" s="1">
        <v>7.5102040816326598E-2</v>
      </c>
      <c r="Z139" s="1">
        <v>7.5102040816326598E-2</v>
      </c>
      <c r="AA139" s="1">
        <v>7.5102040816326598E-2</v>
      </c>
      <c r="AB139" s="1">
        <v>7.5102040816326598E-2</v>
      </c>
      <c r="AC139" s="1">
        <v>7.5102040816326598E-2</v>
      </c>
      <c r="AD139" s="1">
        <v>7.5102040816326598E-2</v>
      </c>
      <c r="AE139" s="1">
        <v>7.5102040816326598E-2</v>
      </c>
      <c r="AF139" s="1">
        <v>7.5102040816326598E-2</v>
      </c>
      <c r="AG139" s="1">
        <v>7.5102040816326598E-2</v>
      </c>
      <c r="AH139" s="1">
        <v>7.5102040816326598E-2</v>
      </c>
      <c r="AI139" s="1">
        <v>7.5102040816326598E-2</v>
      </c>
      <c r="AJ139" s="1">
        <v>7.5102040816326598E-2</v>
      </c>
      <c r="AK139" s="1">
        <v>7.5102040816326598E-2</v>
      </c>
      <c r="AL139" s="1">
        <v>7.5102040816326598E-2</v>
      </c>
      <c r="AM139" s="1">
        <v>7.5102040816326598E-2</v>
      </c>
      <c r="AN139" s="1">
        <v>7.5102040816326598E-2</v>
      </c>
      <c r="AO139" s="1">
        <v>7.5102040816326598E-2</v>
      </c>
      <c r="AP139" s="1">
        <v>7.5102040816326598E-2</v>
      </c>
      <c r="AQ139" s="1">
        <v>7.5102040816326598E-2</v>
      </c>
      <c r="AR139" s="1">
        <v>7.5102040816326598E-2</v>
      </c>
      <c r="AS139" s="1">
        <v>7.5102040816326598E-2</v>
      </c>
      <c r="AT139" s="1">
        <v>7.5102040816326598E-2</v>
      </c>
      <c r="AU139" s="1">
        <v>7.5102040816326598E-2</v>
      </c>
      <c r="AV139" s="1">
        <v>7.5102040816326598E-2</v>
      </c>
      <c r="AW139" s="1">
        <v>7.5102040816326598E-2</v>
      </c>
      <c r="AX139" s="1">
        <v>7.5102040816326598E-2</v>
      </c>
      <c r="AY139" s="1">
        <v>7.5102040816326598E-2</v>
      </c>
      <c r="AZ139" s="1">
        <v>7.5102040816326598E-2</v>
      </c>
      <c r="BA139" s="1">
        <v>7.5102040816326598E-2</v>
      </c>
      <c r="BC139" t="s">
        <v>250</v>
      </c>
      <c r="BD139" t="str">
        <f t="shared" si="152"/>
        <v>TRBTRABGS</v>
      </c>
      <c r="BU139">
        <v>0.11</v>
      </c>
      <c r="BV139" t="s">
        <v>33</v>
      </c>
    </row>
    <row r="140" spans="3:101">
      <c r="C140" t="str">
        <f t="shared" si="151"/>
        <v>MET</v>
      </c>
      <c r="D140" t="str">
        <f t="shared" si="150"/>
        <v>TRM</v>
      </c>
      <c r="E140" t="s">
        <v>119</v>
      </c>
      <c r="F140" s="1">
        <v>6.7591836734693905E-2</v>
      </c>
      <c r="G140" s="1">
        <v>6.7591836734693905E-2</v>
      </c>
      <c r="H140" s="1">
        <v>7.5102040816326598E-2</v>
      </c>
      <c r="I140" s="1">
        <v>7.5102040816326598E-2</v>
      </c>
      <c r="J140" s="1">
        <v>7.5102040816326598E-2</v>
      </c>
      <c r="K140" s="1">
        <v>7.5102040816326598E-2</v>
      </c>
      <c r="L140" s="1">
        <v>7.5102040816326598E-2</v>
      </c>
      <c r="M140" s="1">
        <v>7.5102040816326598E-2</v>
      </c>
      <c r="N140" s="1">
        <v>7.5102040816326598E-2</v>
      </c>
      <c r="O140" s="1">
        <v>7.5102040816326598E-2</v>
      </c>
      <c r="P140" s="1">
        <v>7.5102040816326598E-2</v>
      </c>
      <c r="Q140" s="1">
        <v>7.5102040816326598E-2</v>
      </c>
      <c r="R140" s="1">
        <v>7.5102040816326598E-2</v>
      </c>
      <c r="S140" s="1">
        <v>7.5102040816326598E-2</v>
      </c>
      <c r="T140" s="1">
        <v>7.5102040816326598E-2</v>
      </c>
      <c r="U140" s="1">
        <v>7.5102040816326598E-2</v>
      </c>
      <c r="V140" s="1">
        <v>7.5102040816326598E-2</v>
      </c>
      <c r="W140" s="1">
        <v>7.5102040816326598E-2</v>
      </c>
      <c r="X140" s="1">
        <v>7.5102040816326598E-2</v>
      </c>
      <c r="Y140" s="1">
        <v>7.5102040816326598E-2</v>
      </c>
      <c r="Z140" s="1">
        <v>7.5102040816326598E-2</v>
      </c>
      <c r="AA140" s="1">
        <v>7.5102040816326598E-2</v>
      </c>
      <c r="AB140" s="1">
        <v>7.5102040816326598E-2</v>
      </c>
      <c r="AC140" s="1">
        <v>7.5102040816326598E-2</v>
      </c>
      <c r="AD140" s="1">
        <v>7.5102040816326598E-2</v>
      </c>
      <c r="AE140" s="1">
        <v>7.5102040816326598E-2</v>
      </c>
      <c r="AF140" s="1">
        <v>7.5102040816326598E-2</v>
      </c>
      <c r="AG140" s="1">
        <v>7.5102040816326598E-2</v>
      </c>
      <c r="AH140" s="1">
        <v>7.5102040816326598E-2</v>
      </c>
      <c r="AI140" s="1">
        <v>7.5102040816326598E-2</v>
      </c>
      <c r="AJ140" s="1">
        <v>7.5102040816326598E-2</v>
      </c>
      <c r="AK140" s="1">
        <v>7.5102040816326598E-2</v>
      </c>
      <c r="AL140" s="1">
        <v>7.5102040816326598E-2</v>
      </c>
      <c r="AM140" s="1">
        <v>7.5102040816326598E-2</v>
      </c>
      <c r="AN140" s="1">
        <v>7.5102040816326598E-2</v>
      </c>
      <c r="AO140" s="1">
        <v>7.5102040816326598E-2</v>
      </c>
      <c r="AP140" s="1">
        <v>7.5102040816326598E-2</v>
      </c>
      <c r="AQ140" s="1">
        <v>7.5102040816326598E-2</v>
      </c>
      <c r="AR140" s="1">
        <v>7.5102040816326598E-2</v>
      </c>
      <c r="AS140" s="1">
        <v>7.5102040816326598E-2</v>
      </c>
      <c r="AT140" s="1">
        <v>7.5102040816326598E-2</v>
      </c>
      <c r="AU140" s="1">
        <v>7.5102040816326598E-2</v>
      </c>
      <c r="AV140" s="1">
        <v>7.5102040816326598E-2</v>
      </c>
      <c r="AW140" s="1">
        <v>7.5102040816326598E-2</v>
      </c>
      <c r="AX140" s="1">
        <v>7.5102040816326598E-2</v>
      </c>
      <c r="AY140" s="1">
        <v>7.5102040816326598E-2</v>
      </c>
      <c r="AZ140" s="1">
        <v>7.5102040816326598E-2</v>
      </c>
      <c r="BA140" s="1">
        <v>7.5102040816326598E-2</v>
      </c>
      <c r="BC140" t="s">
        <v>251</v>
      </c>
      <c r="BD140" t="str">
        <f t="shared" si="152"/>
        <v>TRBTRABGS</v>
      </c>
      <c r="BU140">
        <v>0.18</v>
      </c>
      <c r="BV140" t="s">
        <v>33</v>
      </c>
    </row>
    <row r="141" spans="3:101">
      <c r="C141" t="str">
        <f t="shared" si="151"/>
        <v>NGA</v>
      </c>
      <c r="D141" t="str">
        <f t="shared" si="150"/>
        <v>TRM</v>
      </c>
      <c r="E141" t="s">
        <v>120</v>
      </c>
      <c r="F141" s="1">
        <v>6.7591836734693905E-2</v>
      </c>
      <c r="G141" s="1">
        <v>6.7591836734693905E-2</v>
      </c>
      <c r="H141" s="1">
        <v>7.5102040816326598E-2</v>
      </c>
      <c r="I141" s="1">
        <v>7.5102040816326598E-2</v>
      </c>
      <c r="J141" s="1">
        <v>7.5102040816326598E-2</v>
      </c>
      <c r="K141" s="1">
        <v>7.5102040816326598E-2</v>
      </c>
      <c r="L141" s="1">
        <v>7.5102040816326598E-2</v>
      </c>
      <c r="M141" s="1">
        <v>7.5102040816326598E-2</v>
      </c>
      <c r="N141" s="1">
        <v>7.5102040816326598E-2</v>
      </c>
      <c r="O141" s="1">
        <v>7.5102040816326598E-2</v>
      </c>
      <c r="P141" s="1">
        <v>7.5102040816326598E-2</v>
      </c>
      <c r="Q141" s="1">
        <v>7.5102040816326598E-2</v>
      </c>
      <c r="R141" s="1">
        <v>7.5102040816326598E-2</v>
      </c>
      <c r="S141" s="1">
        <v>7.5102040816326598E-2</v>
      </c>
      <c r="T141" s="1">
        <v>7.5102040816326598E-2</v>
      </c>
      <c r="U141" s="1">
        <v>7.5102040816326598E-2</v>
      </c>
      <c r="V141" s="1">
        <v>7.5102040816326598E-2</v>
      </c>
      <c r="W141" s="1">
        <v>7.5102040816326598E-2</v>
      </c>
      <c r="X141" s="1">
        <v>7.5102040816326598E-2</v>
      </c>
      <c r="Y141" s="1">
        <v>7.5102040816326598E-2</v>
      </c>
      <c r="Z141" s="1">
        <v>7.5102040816326598E-2</v>
      </c>
      <c r="AA141" s="1">
        <v>7.5102040816326598E-2</v>
      </c>
      <c r="AB141" s="1">
        <v>7.5102040816326598E-2</v>
      </c>
      <c r="AC141" s="1">
        <v>7.5102040816326598E-2</v>
      </c>
      <c r="AD141" s="1">
        <v>7.5102040816326598E-2</v>
      </c>
      <c r="AE141" s="1">
        <v>7.5102040816326598E-2</v>
      </c>
      <c r="AF141" s="1">
        <v>7.5102040816326598E-2</v>
      </c>
      <c r="AG141" s="1">
        <v>7.5102040816326598E-2</v>
      </c>
      <c r="AH141" s="1">
        <v>7.5102040816326598E-2</v>
      </c>
      <c r="AI141" s="1">
        <v>7.5102040816326598E-2</v>
      </c>
      <c r="AJ141" s="1">
        <v>7.5102040816326598E-2</v>
      </c>
      <c r="AK141" s="1">
        <v>7.5102040816326598E-2</v>
      </c>
      <c r="AL141" s="1">
        <v>7.5102040816326598E-2</v>
      </c>
      <c r="AM141" s="1">
        <v>7.5102040816326598E-2</v>
      </c>
      <c r="AN141" s="1">
        <v>7.5102040816326598E-2</v>
      </c>
      <c r="AO141" s="1">
        <v>7.5102040816326598E-2</v>
      </c>
      <c r="AP141" s="1">
        <v>7.5102040816326598E-2</v>
      </c>
      <c r="AQ141" s="1">
        <v>7.5102040816326598E-2</v>
      </c>
      <c r="AR141" s="1">
        <v>7.5102040816326598E-2</v>
      </c>
      <c r="AS141" s="1">
        <v>7.5102040816326598E-2</v>
      </c>
      <c r="AT141" s="1">
        <v>7.5102040816326598E-2</v>
      </c>
      <c r="AU141" s="1">
        <v>7.5102040816326598E-2</v>
      </c>
      <c r="AV141" s="1">
        <v>7.5102040816326598E-2</v>
      </c>
      <c r="AW141" s="1">
        <v>7.5102040816326598E-2</v>
      </c>
      <c r="AX141" s="1">
        <v>7.5102040816326598E-2</v>
      </c>
      <c r="AY141" s="1">
        <v>7.5102040816326598E-2</v>
      </c>
      <c r="AZ141" s="1">
        <v>7.5102040816326598E-2</v>
      </c>
      <c r="BA141" s="1">
        <v>7.5102040816326598E-2</v>
      </c>
      <c r="BC141" t="s">
        <v>252</v>
      </c>
      <c r="BD141" t="str">
        <f t="shared" si="152"/>
        <v>TRBTRAGSL</v>
      </c>
      <c r="BU141">
        <v>0.11</v>
      </c>
      <c r="BV141" t="s">
        <v>42</v>
      </c>
    </row>
    <row r="142" spans="3:101">
      <c r="C142" t="str">
        <f t="shared" si="151"/>
        <v>DST</v>
      </c>
      <c r="D142" t="str">
        <f t="shared" si="150"/>
        <v>TRT</v>
      </c>
      <c r="E142" t="s">
        <v>88</v>
      </c>
      <c r="F142" s="1">
        <v>0.26047999999999999</v>
      </c>
      <c r="G142" s="1">
        <v>0.30931999999999998</v>
      </c>
      <c r="H142" s="1">
        <v>0.31080000000000002</v>
      </c>
      <c r="I142" s="1">
        <v>0.31080000000000002</v>
      </c>
      <c r="J142" s="1">
        <v>0.31080000000000002</v>
      </c>
      <c r="K142" s="1">
        <v>0.31080000000000002</v>
      </c>
      <c r="L142" s="1">
        <v>0.31080000000000002</v>
      </c>
      <c r="M142" s="1">
        <v>0.31080000000000002</v>
      </c>
      <c r="N142" s="1">
        <v>0.31080000000000002</v>
      </c>
      <c r="O142" s="1">
        <v>0.31080000000000002</v>
      </c>
      <c r="P142" s="1">
        <v>0.31080000000000002</v>
      </c>
      <c r="Q142" s="1">
        <v>0.31080000000000002</v>
      </c>
      <c r="R142" s="1">
        <v>0.31080000000000002</v>
      </c>
      <c r="S142" s="1">
        <v>0.31080000000000002</v>
      </c>
      <c r="T142" s="1">
        <v>0.31080000000000002</v>
      </c>
      <c r="U142" s="1">
        <v>0.31080000000000002</v>
      </c>
      <c r="V142" s="1">
        <v>0.31080000000000002</v>
      </c>
      <c r="W142" s="1">
        <v>0.31080000000000002</v>
      </c>
      <c r="X142" s="1">
        <v>0.31080000000000002</v>
      </c>
      <c r="Y142" s="1">
        <v>0.31080000000000002</v>
      </c>
      <c r="Z142" s="1">
        <v>0.31080000000000002</v>
      </c>
      <c r="AA142" s="1">
        <v>0.31080000000000002</v>
      </c>
      <c r="AB142" s="1">
        <v>0.31080000000000002</v>
      </c>
      <c r="AC142" s="1">
        <v>0.31080000000000002</v>
      </c>
      <c r="AD142" s="1">
        <v>0.31080000000000002</v>
      </c>
      <c r="AE142" s="1">
        <v>0.31080000000000002</v>
      </c>
      <c r="AF142" s="1">
        <v>0.31080000000000002</v>
      </c>
      <c r="AG142" s="1">
        <v>0.31080000000000002</v>
      </c>
      <c r="AH142" s="1">
        <v>0.31080000000000002</v>
      </c>
      <c r="AI142" s="1">
        <v>0.31080000000000002</v>
      </c>
      <c r="AJ142" s="1">
        <v>0.31080000000000002</v>
      </c>
      <c r="AK142" s="1">
        <v>0.31080000000000002</v>
      </c>
      <c r="AL142" s="1">
        <v>0.31080000000000002</v>
      </c>
      <c r="AM142" s="1">
        <v>0.31080000000000002</v>
      </c>
      <c r="AN142" s="1">
        <v>0.31080000000000002</v>
      </c>
      <c r="AO142" s="1">
        <v>0.31080000000000002</v>
      </c>
      <c r="AP142" s="1">
        <v>0.31080000000000002</v>
      </c>
      <c r="AQ142" s="1">
        <v>0.31080000000000002</v>
      </c>
      <c r="AR142" s="1">
        <v>0.31080000000000002</v>
      </c>
      <c r="AS142" s="1">
        <v>0.31080000000000002</v>
      </c>
      <c r="AT142" s="1">
        <v>0.31080000000000002</v>
      </c>
      <c r="AU142" s="1">
        <v>0.31080000000000002</v>
      </c>
      <c r="AV142" s="1">
        <v>0.31080000000000002</v>
      </c>
      <c r="AW142" s="1">
        <v>0.31080000000000002</v>
      </c>
      <c r="AX142" s="1">
        <v>0.31080000000000002</v>
      </c>
      <c r="AY142" s="1">
        <v>0.31080000000000002</v>
      </c>
      <c r="AZ142" s="1">
        <v>0.31080000000000002</v>
      </c>
      <c r="BA142" s="1">
        <v>0.31080000000000002</v>
      </c>
      <c r="BC142" t="s">
        <v>253</v>
      </c>
      <c r="BD142" t="str">
        <f t="shared" si="152"/>
        <v>TRBTRAGSL</v>
      </c>
      <c r="BU142">
        <v>0.18</v>
      </c>
      <c r="BV142" t="s">
        <v>42</v>
      </c>
    </row>
    <row r="143" spans="3:101">
      <c r="C143" t="str">
        <f t="shared" si="151"/>
        <v>ELC</v>
      </c>
      <c r="D143" t="str">
        <f t="shared" si="150"/>
        <v>TRT</v>
      </c>
      <c r="E143" t="s">
        <v>89</v>
      </c>
      <c r="F143" s="1">
        <v>0.4224</v>
      </c>
      <c r="G143" s="1">
        <v>0.50160000000000005</v>
      </c>
      <c r="H143" s="1">
        <v>0.504</v>
      </c>
      <c r="I143" s="1">
        <v>0.504</v>
      </c>
      <c r="J143" s="1">
        <v>0.504</v>
      </c>
      <c r="K143" s="1">
        <v>0.504</v>
      </c>
      <c r="L143" s="1">
        <v>0.504</v>
      </c>
      <c r="M143" s="1">
        <v>0.504</v>
      </c>
      <c r="N143" s="1">
        <v>0.504</v>
      </c>
      <c r="O143" s="1">
        <v>0.504</v>
      </c>
      <c r="P143" s="1">
        <v>0.504</v>
      </c>
      <c r="Q143" s="1">
        <v>0.504</v>
      </c>
      <c r="R143" s="1">
        <v>0.504</v>
      </c>
      <c r="S143" s="1">
        <v>0.504</v>
      </c>
      <c r="T143" s="1">
        <v>0.504</v>
      </c>
      <c r="U143" s="1">
        <v>0.504</v>
      </c>
      <c r="V143" s="1">
        <v>0.504</v>
      </c>
      <c r="W143" s="1">
        <v>0.504</v>
      </c>
      <c r="X143" s="1">
        <v>0.504</v>
      </c>
      <c r="Y143" s="1">
        <v>0.504</v>
      </c>
      <c r="Z143" s="1">
        <v>0.504</v>
      </c>
      <c r="AA143" s="1">
        <v>0.504</v>
      </c>
      <c r="AB143" s="1">
        <v>0.504</v>
      </c>
      <c r="AC143" s="1">
        <v>0.504</v>
      </c>
      <c r="AD143" s="1">
        <v>0.504</v>
      </c>
      <c r="AE143" s="1">
        <v>0.504</v>
      </c>
      <c r="AF143" s="1">
        <v>0.504</v>
      </c>
      <c r="AG143" s="1">
        <v>0.504</v>
      </c>
      <c r="AH143" s="1">
        <v>0.504</v>
      </c>
      <c r="AI143" s="1">
        <v>0.504</v>
      </c>
      <c r="AJ143" s="1">
        <v>0.504</v>
      </c>
      <c r="AK143" s="1">
        <v>0.504</v>
      </c>
      <c r="AL143" s="1">
        <v>0.504</v>
      </c>
      <c r="AM143" s="1">
        <v>0.504</v>
      </c>
      <c r="AN143" s="1">
        <v>0.504</v>
      </c>
      <c r="AO143" s="1">
        <v>0.504</v>
      </c>
      <c r="AP143" s="1">
        <v>0.504</v>
      </c>
      <c r="AQ143" s="1">
        <v>0.504</v>
      </c>
      <c r="AR143" s="1">
        <v>0.504</v>
      </c>
      <c r="AS143" s="1">
        <v>0.504</v>
      </c>
      <c r="AT143" s="1">
        <v>0.504</v>
      </c>
      <c r="AU143" s="1">
        <v>0.504</v>
      </c>
      <c r="AV143" s="1">
        <v>0.504</v>
      </c>
      <c r="AW143" s="1">
        <v>0.504</v>
      </c>
      <c r="AX143" s="1">
        <v>0.504</v>
      </c>
      <c r="AY143" s="1">
        <v>0.504</v>
      </c>
      <c r="AZ143" s="1">
        <v>0.504</v>
      </c>
      <c r="BA143" s="1">
        <v>0.504</v>
      </c>
      <c r="BC143" t="s">
        <v>254</v>
      </c>
      <c r="BD143" t="str">
        <f t="shared" si="152"/>
        <v>TRBTRALPG</v>
      </c>
      <c r="BU143">
        <v>0.09</v>
      </c>
      <c r="BV143" t="s">
        <v>39</v>
      </c>
    </row>
    <row r="144" spans="3:101">
      <c r="C144" t="str">
        <f t="shared" si="151"/>
        <v>ETH</v>
      </c>
      <c r="D144" t="str">
        <f t="shared" si="150"/>
        <v>TRT</v>
      </c>
      <c r="E144" t="s">
        <v>90</v>
      </c>
      <c r="F144" s="1">
        <v>0.33291255063258801</v>
      </c>
      <c r="G144" s="1">
        <v>0.39533365387619801</v>
      </c>
      <c r="H144" s="1">
        <v>0.39722520245933801</v>
      </c>
      <c r="I144" s="1">
        <v>0.39722520245933801</v>
      </c>
      <c r="J144" s="1">
        <v>0.39722520245933801</v>
      </c>
      <c r="K144" s="1">
        <v>0.39722520245933801</v>
      </c>
      <c r="L144" s="1">
        <v>0.39722520245933801</v>
      </c>
      <c r="M144" s="1">
        <v>0.39722520245933801</v>
      </c>
      <c r="N144" s="1">
        <v>0.39722520245933801</v>
      </c>
      <c r="O144" s="1">
        <v>0.39722520245933801</v>
      </c>
      <c r="P144" s="1">
        <v>0.39722520245933801</v>
      </c>
      <c r="Q144" s="1">
        <v>0.39722520245933801</v>
      </c>
      <c r="R144" s="1">
        <v>0.39722520245933801</v>
      </c>
      <c r="S144" s="1">
        <v>0.39722520245933801</v>
      </c>
      <c r="T144" s="1">
        <v>0.39722520245933801</v>
      </c>
      <c r="U144" s="1">
        <v>0.39722520245933801</v>
      </c>
      <c r="V144" s="1">
        <v>0.39722520245933801</v>
      </c>
      <c r="W144" s="1">
        <v>0.39722520245933801</v>
      </c>
      <c r="X144" s="1">
        <v>0.39722520245933801</v>
      </c>
      <c r="Y144" s="1">
        <v>0.39722520245933801</v>
      </c>
      <c r="Z144" s="1">
        <v>0.39722520245933801</v>
      </c>
      <c r="AA144" s="1">
        <v>0.39722520245933801</v>
      </c>
      <c r="AB144" s="1">
        <v>0.39722520245933801</v>
      </c>
      <c r="AC144" s="1">
        <v>0.39722520245933801</v>
      </c>
      <c r="AD144" s="1">
        <v>0.39722520245933801</v>
      </c>
      <c r="AE144" s="1">
        <v>0.39722520245933801</v>
      </c>
      <c r="AF144" s="1">
        <v>0.39722520245933801</v>
      </c>
      <c r="AG144" s="1">
        <v>0.39722520245933801</v>
      </c>
      <c r="AH144" s="1">
        <v>0.39722520245933801</v>
      </c>
      <c r="AI144" s="1">
        <v>0.39722520245933801</v>
      </c>
      <c r="AJ144" s="1">
        <v>0.39722520245933801</v>
      </c>
      <c r="AK144" s="1">
        <v>0.39722520245933801</v>
      </c>
      <c r="AL144" s="1">
        <v>0.39722520245933801</v>
      </c>
      <c r="AM144" s="1">
        <v>0.39722520245933801</v>
      </c>
      <c r="AN144" s="1">
        <v>0.39722520245933801</v>
      </c>
      <c r="AO144" s="1">
        <v>0.39722520245933801</v>
      </c>
      <c r="AP144" s="1">
        <v>0.39722520245933801</v>
      </c>
      <c r="AQ144" s="1">
        <v>0.39722520245933801</v>
      </c>
      <c r="AR144" s="1">
        <v>0.39722520245933801</v>
      </c>
      <c r="AS144" s="1">
        <v>0.39722520245933801</v>
      </c>
      <c r="AT144" s="1">
        <v>0.39722520245933801</v>
      </c>
      <c r="AU144" s="1">
        <v>0.39722520245933801</v>
      </c>
      <c r="AV144" s="1">
        <v>0.39722520245933801</v>
      </c>
      <c r="AW144" s="1">
        <v>0.39722520245933801</v>
      </c>
      <c r="AX144" s="1">
        <v>0.39722520245933801</v>
      </c>
      <c r="AY144" s="1">
        <v>0.39722520245933801</v>
      </c>
      <c r="AZ144" s="1">
        <v>0.39722520245933801</v>
      </c>
      <c r="BA144" s="1">
        <v>0.39722520245933801</v>
      </c>
      <c r="BC144" t="s">
        <v>255</v>
      </c>
      <c r="BD144" t="str">
        <f t="shared" si="152"/>
        <v>TRBTRABGS</v>
      </c>
      <c r="BU144">
        <v>0.11</v>
      </c>
      <c r="BV144" t="s">
        <v>33</v>
      </c>
    </row>
    <row r="145" spans="2:74">
      <c r="C145" t="str">
        <f t="shared" si="151"/>
        <v>GAS</v>
      </c>
      <c r="D145" t="str">
        <f t="shared" si="150"/>
        <v>TRT</v>
      </c>
      <c r="E145" t="s">
        <v>91</v>
      </c>
      <c r="F145" s="1">
        <v>0.22528000000000001</v>
      </c>
      <c r="G145" s="1">
        <v>0.26751999999999998</v>
      </c>
      <c r="H145" s="1">
        <v>0.26879999999999998</v>
      </c>
      <c r="I145" s="1">
        <v>0.26879999999999998</v>
      </c>
      <c r="J145" s="1">
        <v>0.26879999999999998</v>
      </c>
      <c r="K145" s="1">
        <v>0.26879999999999998</v>
      </c>
      <c r="L145" s="1">
        <v>0.26879999999999998</v>
      </c>
      <c r="M145" s="1">
        <v>0.26879999999999998</v>
      </c>
      <c r="N145" s="1">
        <v>0.26879999999999998</v>
      </c>
      <c r="O145" s="1">
        <v>0.26879999999999998</v>
      </c>
      <c r="P145" s="1">
        <v>0.26879999999999998</v>
      </c>
      <c r="Q145" s="1">
        <v>0.26879999999999998</v>
      </c>
      <c r="R145" s="1">
        <v>0.26879999999999998</v>
      </c>
      <c r="S145" s="1">
        <v>0.26879999999999998</v>
      </c>
      <c r="T145" s="1">
        <v>0.26879999999999998</v>
      </c>
      <c r="U145" s="1">
        <v>0.26879999999999998</v>
      </c>
      <c r="V145" s="1">
        <v>0.26879999999999998</v>
      </c>
      <c r="W145" s="1">
        <v>0.26879999999999998</v>
      </c>
      <c r="X145" s="1">
        <v>0.26879999999999998</v>
      </c>
      <c r="Y145" s="1">
        <v>0.26879999999999998</v>
      </c>
      <c r="Z145" s="1">
        <v>0.26879999999999998</v>
      </c>
      <c r="AA145" s="1">
        <v>0.26879999999999998</v>
      </c>
      <c r="AB145" s="1">
        <v>0.26879999999999998</v>
      </c>
      <c r="AC145" s="1">
        <v>0.26879999999999998</v>
      </c>
      <c r="AD145" s="1">
        <v>0.26879999999999998</v>
      </c>
      <c r="AE145" s="1">
        <v>0.26879999999999998</v>
      </c>
      <c r="AF145" s="1">
        <v>0.26879999999999998</v>
      </c>
      <c r="AG145" s="1">
        <v>0.26879999999999998</v>
      </c>
      <c r="AH145" s="1">
        <v>0.26879999999999998</v>
      </c>
      <c r="AI145" s="1">
        <v>0.26879999999999998</v>
      </c>
      <c r="AJ145" s="1">
        <v>0.26879999999999998</v>
      </c>
      <c r="AK145" s="1">
        <v>0.26879999999999998</v>
      </c>
      <c r="AL145" s="1">
        <v>0.26879999999999998</v>
      </c>
      <c r="AM145" s="1">
        <v>0.26879999999999998</v>
      </c>
      <c r="AN145" s="1">
        <v>0.26879999999999998</v>
      </c>
      <c r="AO145" s="1">
        <v>0.26879999999999998</v>
      </c>
      <c r="AP145" s="1">
        <v>0.26879999999999998</v>
      </c>
      <c r="AQ145" s="1">
        <v>0.26879999999999998</v>
      </c>
      <c r="AR145" s="1">
        <v>0.26879999999999998</v>
      </c>
      <c r="AS145" s="1">
        <v>0.26879999999999998</v>
      </c>
      <c r="AT145" s="1">
        <v>0.26879999999999998</v>
      </c>
      <c r="AU145" s="1">
        <v>0.26879999999999998</v>
      </c>
      <c r="AV145" s="1">
        <v>0.26879999999999998</v>
      </c>
      <c r="AW145" s="1">
        <v>0.26879999999999998</v>
      </c>
      <c r="AX145" s="1">
        <v>0.26879999999999998</v>
      </c>
      <c r="AY145" s="1">
        <v>0.26879999999999998</v>
      </c>
      <c r="AZ145" s="1">
        <v>0.26879999999999998</v>
      </c>
      <c r="BA145" s="1">
        <v>0.26879999999999998</v>
      </c>
      <c r="BC145" t="s">
        <v>256</v>
      </c>
      <c r="BD145" t="str">
        <f t="shared" si="152"/>
        <v>TRBTRANGA</v>
      </c>
      <c r="BU145">
        <v>0.09</v>
      </c>
      <c r="BV145" t="s">
        <v>38</v>
      </c>
    </row>
    <row r="146" spans="2:74">
      <c r="C146" t="str">
        <f t="shared" si="151"/>
        <v>LPG</v>
      </c>
      <c r="D146" t="str">
        <f t="shared" si="150"/>
        <v>TRT</v>
      </c>
      <c r="E146" t="s">
        <v>92</v>
      </c>
      <c r="F146" s="1">
        <v>0.24684709009973099</v>
      </c>
      <c r="G146" s="1">
        <v>0.29313091949343101</v>
      </c>
      <c r="H146" s="1">
        <v>0.29453345977808798</v>
      </c>
      <c r="I146" s="1">
        <v>0.29453345977808798</v>
      </c>
      <c r="J146" s="1">
        <v>0.29453345977808798</v>
      </c>
      <c r="K146" s="1">
        <v>0.29453345977808798</v>
      </c>
      <c r="L146" s="1">
        <v>0.29453345977808798</v>
      </c>
      <c r="M146" s="1">
        <v>0.29453345977808798</v>
      </c>
      <c r="N146" s="1">
        <v>0.29453345977808798</v>
      </c>
      <c r="O146" s="1">
        <v>0.29453345977808798</v>
      </c>
      <c r="P146" s="1">
        <v>0.29453345977808798</v>
      </c>
      <c r="Q146" s="1">
        <v>0.29453345977808798</v>
      </c>
      <c r="R146" s="1">
        <v>0.29453345977808798</v>
      </c>
      <c r="S146" s="1">
        <v>0.29453345977808798</v>
      </c>
      <c r="T146" s="1">
        <v>0.29453345977808798</v>
      </c>
      <c r="U146" s="1">
        <v>0.29453345977808798</v>
      </c>
      <c r="V146" s="1">
        <v>0.29453345977808798</v>
      </c>
      <c r="W146" s="1">
        <v>0.29453345977808798</v>
      </c>
      <c r="X146" s="1">
        <v>0.29453345977808798</v>
      </c>
      <c r="Y146" s="1">
        <v>0.29453345977808798</v>
      </c>
      <c r="Z146" s="1">
        <v>0.29453345977808798</v>
      </c>
      <c r="AA146" s="1">
        <v>0.29453345977808798</v>
      </c>
      <c r="AB146" s="1">
        <v>0.29453345977808798</v>
      </c>
      <c r="AC146" s="1">
        <v>0.29453345977808798</v>
      </c>
      <c r="AD146" s="1">
        <v>0.29453345977808798</v>
      </c>
      <c r="AE146" s="1">
        <v>0.29453345977808798</v>
      </c>
      <c r="AF146" s="1">
        <v>0.29453345977808798</v>
      </c>
      <c r="AG146" s="1">
        <v>0.29453345977808798</v>
      </c>
      <c r="AH146" s="1">
        <v>0.29453345977808798</v>
      </c>
      <c r="AI146" s="1">
        <v>0.29453345977808798</v>
      </c>
      <c r="AJ146" s="1">
        <v>0.29453345977808798</v>
      </c>
      <c r="AK146" s="1">
        <v>0.29453345977808798</v>
      </c>
      <c r="AL146" s="1">
        <v>0.29453345977808798</v>
      </c>
      <c r="AM146" s="1">
        <v>0.29453345977808798</v>
      </c>
      <c r="AN146" s="1">
        <v>0.29453345977808798</v>
      </c>
      <c r="AO146" s="1">
        <v>0.29453345977808798</v>
      </c>
      <c r="AP146" s="1">
        <v>0.29453345977808798</v>
      </c>
      <c r="AQ146" s="1">
        <v>0.29453345977808798</v>
      </c>
      <c r="AR146" s="1">
        <v>0.29453345977808798</v>
      </c>
      <c r="AS146" s="1">
        <v>0.29453345977808798</v>
      </c>
      <c r="AT146" s="1">
        <v>0.29453345977808798</v>
      </c>
      <c r="AU146" s="1">
        <v>0.29453345977808798</v>
      </c>
      <c r="AV146" s="1">
        <v>0.29453345977808798</v>
      </c>
      <c r="AW146" s="1">
        <v>0.29453345977808798</v>
      </c>
      <c r="AX146" s="1">
        <v>0.29453345977808798</v>
      </c>
      <c r="AY146" s="1">
        <v>0.29453345977808798</v>
      </c>
      <c r="AZ146" s="1">
        <v>0.29453345977808798</v>
      </c>
      <c r="BA146" s="1">
        <v>0.29453345977808798</v>
      </c>
      <c r="BC146" t="s">
        <v>257</v>
      </c>
      <c r="BD146" t="str">
        <f t="shared" si="152"/>
        <v>TRCTRADST</v>
      </c>
      <c r="BU146">
        <v>0.23</v>
      </c>
      <c r="BV146" t="s">
        <v>41</v>
      </c>
    </row>
    <row r="147" spans="2:74">
      <c r="C147" t="str">
        <f t="shared" si="151"/>
        <v>MET</v>
      </c>
      <c r="D147" t="str">
        <f t="shared" si="150"/>
        <v>TRT</v>
      </c>
      <c r="E147" t="s">
        <v>93</v>
      </c>
      <c r="F147" s="1">
        <v>0.33291255063258801</v>
      </c>
      <c r="G147" s="1">
        <v>0.39533365387619801</v>
      </c>
      <c r="H147" s="1">
        <v>0.39722520245933801</v>
      </c>
      <c r="I147" s="1">
        <v>0.39722520245933801</v>
      </c>
      <c r="J147" s="1">
        <v>0.39722520245933801</v>
      </c>
      <c r="K147" s="1">
        <v>0.39722520245933801</v>
      </c>
      <c r="L147" s="1">
        <v>0.39722520245933801</v>
      </c>
      <c r="M147" s="1">
        <v>0.39722520245933801</v>
      </c>
      <c r="N147" s="1">
        <v>0.39722520245933801</v>
      </c>
      <c r="O147" s="1">
        <v>0.39722520245933801</v>
      </c>
      <c r="P147" s="1">
        <v>0.39722520245933801</v>
      </c>
      <c r="Q147" s="1">
        <v>0.39722520245933801</v>
      </c>
      <c r="R147" s="1">
        <v>0.39722520245933801</v>
      </c>
      <c r="S147" s="1">
        <v>0.39722520245933801</v>
      </c>
      <c r="T147" s="1">
        <v>0.39722520245933801</v>
      </c>
      <c r="U147" s="1">
        <v>0.39722520245933801</v>
      </c>
      <c r="V147" s="1">
        <v>0.39722520245933801</v>
      </c>
      <c r="W147" s="1">
        <v>0.39722520245933801</v>
      </c>
      <c r="X147" s="1">
        <v>0.39722520245933801</v>
      </c>
      <c r="Y147" s="1">
        <v>0.39722520245933801</v>
      </c>
      <c r="Z147" s="1">
        <v>0.39722520245933801</v>
      </c>
      <c r="AA147" s="1">
        <v>0.39722520245933801</v>
      </c>
      <c r="AB147" s="1">
        <v>0.39722520245933801</v>
      </c>
      <c r="AC147" s="1">
        <v>0.39722520245933801</v>
      </c>
      <c r="AD147" s="1">
        <v>0.39722520245933801</v>
      </c>
      <c r="AE147" s="1">
        <v>0.39722520245933801</v>
      </c>
      <c r="AF147" s="1">
        <v>0.39722520245933801</v>
      </c>
      <c r="AG147" s="1">
        <v>0.39722520245933801</v>
      </c>
      <c r="AH147" s="1">
        <v>0.39722520245933801</v>
      </c>
      <c r="AI147" s="1">
        <v>0.39722520245933801</v>
      </c>
      <c r="AJ147" s="1">
        <v>0.39722520245933801</v>
      </c>
      <c r="AK147" s="1">
        <v>0.39722520245933801</v>
      </c>
      <c r="AL147" s="1">
        <v>0.39722520245933801</v>
      </c>
      <c r="AM147" s="1">
        <v>0.39722520245933801</v>
      </c>
      <c r="AN147" s="1">
        <v>0.39722520245933801</v>
      </c>
      <c r="AO147" s="1">
        <v>0.39722520245933801</v>
      </c>
      <c r="AP147" s="1">
        <v>0.39722520245933801</v>
      </c>
      <c r="AQ147" s="1">
        <v>0.39722520245933801</v>
      </c>
      <c r="AR147" s="1">
        <v>0.39722520245933801</v>
      </c>
      <c r="AS147" s="1">
        <v>0.39722520245933801</v>
      </c>
      <c r="AT147" s="1">
        <v>0.39722520245933801</v>
      </c>
      <c r="AU147" s="1">
        <v>0.39722520245933801</v>
      </c>
      <c r="AV147" s="1">
        <v>0.39722520245933801</v>
      </c>
      <c r="AW147" s="1">
        <v>0.39722520245933801</v>
      </c>
      <c r="AX147" s="1">
        <v>0.39722520245933801</v>
      </c>
      <c r="AY147" s="1">
        <v>0.39722520245933801</v>
      </c>
      <c r="AZ147" s="1">
        <v>0.39722520245933801</v>
      </c>
      <c r="BA147" s="1">
        <v>0.39722520245933801</v>
      </c>
      <c r="BC147" t="s">
        <v>258</v>
      </c>
      <c r="BD147" t="str">
        <f t="shared" si="152"/>
        <v>TRCTRADST</v>
      </c>
      <c r="BU147">
        <v>0.26</v>
      </c>
      <c r="BV147" t="s">
        <v>41</v>
      </c>
    </row>
    <row r="148" spans="2:74">
      <c r="C148" t="str">
        <f t="shared" si="151"/>
        <v>NGA</v>
      </c>
      <c r="D148" t="str">
        <f t="shared" si="150"/>
        <v>TRT</v>
      </c>
      <c r="E148" t="s">
        <v>94</v>
      </c>
      <c r="F148" s="1">
        <v>0.24684709009973099</v>
      </c>
      <c r="G148" s="1">
        <v>0.29313091949343101</v>
      </c>
      <c r="H148" s="1">
        <v>0.29453345977808798</v>
      </c>
      <c r="I148" s="1">
        <v>0.29453345977808798</v>
      </c>
      <c r="J148" s="1">
        <v>0.29453345977808798</v>
      </c>
      <c r="K148" s="1">
        <v>0.29453345977808798</v>
      </c>
      <c r="L148" s="1">
        <v>0.29453345977808798</v>
      </c>
      <c r="M148" s="1">
        <v>0.29453345977808798</v>
      </c>
      <c r="N148" s="1">
        <v>0.29453345977808798</v>
      </c>
      <c r="O148" s="1">
        <v>0.29453345977808798</v>
      </c>
      <c r="P148" s="1">
        <v>0.29453345977808798</v>
      </c>
      <c r="Q148" s="1">
        <v>0.29453345977808798</v>
      </c>
      <c r="R148" s="1">
        <v>0.29453345977808798</v>
      </c>
      <c r="S148" s="1">
        <v>0.29453345977808798</v>
      </c>
      <c r="T148" s="1">
        <v>0.29453345977808798</v>
      </c>
      <c r="U148" s="1">
        <v>0.29453345977808798</v>
      </c>
      <c r="V148" s="1">
        <v>0.29453345977808798</v>
      </c>
      <c r="W148" s="1">
        <v>0.29453345977808798</v>
      </c>
      <c r="X148" s="1">
        <v>0.29453345977808798</v>
      </c>
      <c r="Y148" s="1">
        <v>0.29453345977808798</v>
      </c>
      <c r="Z148" s="1">
        <v>0.29453345977808798</v>
      </c>
      <c r="AA148" s="1">
        <v>0.29453345977808798</v>
      </c>
      <c r="AB148" s="1">
        <v>0.29453345977808798</v>
      </c>
      <c r="AC148" s="1">
        <v>0.29453345977808798</v>
      </c>
      <c r="AD148" s="1">
        <v>0.29453345977808798</v>
      </c>
      <c r="AE148" s="1">
        <v>0.29453345977808798</v>
      </c>
      <c r="AF148" s="1">
        <v>0.29453345977808798</v>
      </c>
      <c r="AG148" s="1">
        <v>0.29453345977808798</v>
      </c>
      <c r="AH148" s="1">
        <v>0.29453345977808798</v>
      </c>
      <c r="AI148" s="1">
        <v>0.29453345977808798</v>
      </c>
      <c r="AJ148" s="1">
        <v>0.29453345977808798</v>
      </c>
      <c r="AK148" s="1">
        <v>0.29453345977808798</v>
      </c>
      <c r="AL148" s="1">
        <v>0.29453345977808798</v>
      </c>
      <c r="AM148" s="1">
        <v>0.29453345977808798</v>
      </c>
      <c r="AN148" s="1">
        <v>0.29453345977808798</v>
      </c>
      <c r="AO148" s="1">
        <v>0.29453345977808798</v>
      </c>
      <c r="AP148" s="1">
        <v>0.29453345977808798</v>
      </c>
      <c r="AQ148" s="1">
        <v>0.29453345977808798</v>
      </c>
      <c r="AR148" s="1">
        <v>0.29453345977808798</v>
      </c>
      <c r="AS148" s="1">
        <v>0.29453345977808798</v>
      </c>
      <c r="AT148" s="1">
        <v>0.29453345977808798</v>
      </c>
      <c r="AU148" s="1">
        <v>0.29453345977808798</v>
      </c>
      <c r="AV148" s="1">
        <v>0.29453345977808798</v>
      </c>
      <c r="AW148" s="1">
        <v>0.29453345977808798</v>
      </c>
      <c r="AX148" s="1">
        <v>0.29453345977808798</v>
      </c>
      <c r="AY148" s="1">
        <v>0.29453345977808798</v>
      </c>
      <c r="AZ148" s="1">
        <v>0.29453345977808798</v>
      </c>
      <c r="BA148" s="1">
        <v>0.29453345977808798</v>
      </c>
      <c r="BC148" t="s">
        <v>259</v>
      </c>
      <c r="BD148" t="str">
        <f t="shared" si="152"/>
        <v>TRCTRADST</v>
      </c>
      <c r="BU148">
        <v>0.2</v>
      </c>
      <c r="BV148" t="s">
        <v>41</v>
      </c>
    </row>
    <row r="149" spans="2:74">
      <c r="C149" t="s">
        <v>144</v>
      </c>
      <c r="D149" t="str">
        <f t="shared" si="150"/>
        <v>TRW</v>
      </c>
      <c r="E149" t="s">
        <v>127</v>
      </c>
      <c r="F149" s="1">
        <v>0.49</v>
      </c>
      <c r="G149" s="1">
        <v>0.63</v>
      </c>
      <c r="H149" s="1">
        <v>0.63</v>
      </c>
      <c r="I149" s="1">
        <v>0.63</v>
      </c>
      <c r="J149" s="1">
        <v>0.63</v>
      </c>
      <c r="K149" s="1">
        <v>0.63</v>
      </c>
      <c r="L149" s="1">
        <v>0.63</v>
      </c>
      <c r="M149" s="1">
        <v>0.63</v>
      </c>
      <c r="N149" s="1">
        <v>0.63</v>
      </c>
      <c r="O149" s="1">
        <v>0.63</v>
      </c>
      <c r="P149" s="1">
        <v>0.63</v>
      </c>
      <c r="Q149" s="1">
        <v>0.63</v>
      </c>
      <c r="R149" s="1">
        <v>0.63</v>
      </c>
      <c r="S149" s="1">
        <v>0.63</v>
      </c>
      <c r="T149" s="1">
        <v>0.63</v>
      </c>
      <c r="U149" s="1">
        <v>0.63</v>
      </c>
      <c r="V149" s="1">
        <v>0.63</v>
      </c>
      <c r="W149" s="1">
        <v>0.63</v>
      </c>
      <c r="X149" s="1">
        <v>0.63</v>
      </c>
      <c r="Y149" s="1">
        <v>0.63</v>
      </c>
      <c r="Z149" s="1">
        <v>0.63</v>
      </c>
      <c r="AA149" s="1">
        <v>0.63</v>
      </c>
      <c r="AB149" s="1">
        <v>0.63</v>
      </c>
      <c r="AC149" s="1">
        <v>0.63</v>
      </c>
      <c r="AD149" s="1">
        <v>0.63</v>
      </c>
      <c r="AE149" s="1">
        <v>0.63</v>
      </c>
      <c r="AF149" s="1">
        <v>0.63</v>
      </c>
      <c r="AG149" s="1">
        <v>0.63</v>
      </c>
      <c r="AH149" s="1">
        <v>0.63</v>
      </c>
      <c r="AI149" s="1">
        <v>0.63</v>
      </c>
      <c r="AJ149" s="1">
        <v>0.63</v>
      </c>
      <c r="AK149" s="1">
        <v>0.63</v>
      </c>
      <c r="AL149" s="1">
        <v>0.63</v>
      </c>
      <c r="AM149" s="1">
        <v>0.63</v>
      </c>
      <c r="AN149" s="1">
        <v>0.63</v>
      </c>
      <c r="AO149" s="1">
        <v>0.63</v>
      </c>
      <c r="AP149" s="1">
        <v>0.63</v>
      </c>
      <c r="AQ149" s="1">
        <v>0.63</v>
      </c>
      <c r="AR149" s="1">
        <v>0.63</v>
      </c>
      <c r="AS149" s="1">
        <v>0.63</v>
      </c>
      <c r="AT149" s="1">
        <v>0.63</v>
      </c>
      <c r="AU149" s="1">
        <v>0.63</v>
      </c>
      <c r="AV149" s="1">
        <v>0.63</v>
      </c>
      <c r="AW149" s="1">
        <v>0.63</v>
      </c>
      <c r="AX149" s="1">
        <v>0.63</v>
      </c>
      <c r="AY149" s="1">
        <v>0.63</v>
      </c>
      <c r="AZ149" s="1">
        <v>0.63</v>
      </c>
      <c r="BA149" s="1">
        <v>0.63</v>
      </c>
      <c r="BC149" t="s">
        <v>260</v>
      </c>
      <c r="BD149" t="str">
        <f t="shared" si="152"/>
        <v>TRCTRABGS</v>
      </c>
      <c r="BU149">
        <v>0.21</v>
      </c>
      <c r="BV149" t="s">
        <v>33</v>
      </c>
    </row>
    <row r="150" spans="2:74">
      <c r="C150" t="str">
        <f t="shared" si="151"/>
        <v>MPG</v>
      </c>
      <c r="D150" t="str">
        <f t="shared" si="150"/>
        <v>TRW</v>
      </c>
      <c r="E150" t="s">
        <v>128</v>
      </c>
      <c r="F150" s="1">
        <v>0.7</v>
      </c>
      <c r="G150" s="1">
        <v>0.9</v>
      </c>
      <c r="H150" s="1">
        <v>0.9</v>
      </c>
      <c r="I150" s="1">
        <v>0.9</v>
      </c>
      <c r="J150" s="1">
        <v>0.9</v>
      </c>
      <c r="K150" s="1">
        <v>0.9</v>
      </c>
      <c r="L150" s="1">
        <v>0.9</v>
      </c>
      <c r="M150" s="1">
        <v>0.9</v>
      </c>
      <c r="N150" s="1">
        <v>0.9</v>
      </c>
      <c r="O150" s="1">
        <v>0.9</v>
      </c>
      <c r="P150" s="1">
        <v>0.9</v>
      </c>
      <c r="Q150" s="1">
        <v>0.9</v>
      </c>
      <c r="R150" s="1">
        <v>0.9</v>
      </c>
      <c r="S150" s="1">
        <v>0.9</v>
      </c>
      <c r="T150" s="1">
        <v>0.9</v>
      </c>
      <c r="U150" s="1">
        <v>0.9</v>
      </c>
      <c r="V150" s="1">
        <v>0.9</v>
      </c>
      <c r="W150" s="1">
        <v>0.9</v>
      </c>
      <c r="X150" s="1">
        <v>0.9</v>
      </c>
      <c r="Y150" s="1">
        <v>0.9</v>
      </c>
      <c r="Z150" s="1">
        <v>0.9</v>
      </c>
      <c r="AA150" s="1">
        <v>0.9</v>
      </c>
      <c r="AB150" s="1">
        <v>0.9</v>
      </c>
      <c r="AC150" s="1">
        <v>0.9</v>
      </c>
      <c r="AD150" s="1">
        <v>0.9</v>
      </c>
      <c r="AE150" s="1">
        <v>0.9</v>
      </c>
      <c r="AF150" s="1">
        <v>0.9</v>
      </c>
      <c r="AG150" s="1">
        <v>0.9</v>
      </c>
      <c r="AH150" s="1">
        <v>0.9</v>
      </c>
      <c r="AI150" s="1">
        <v>0.9</v>
      </c>
      <c r="AJ150" s="1">
        <v>0.9</v>
      </c>
      <c r="AK150" s="1">
        <v>0.9</v>
      </c>
      <c r="AL150" s="1">
        <v>0.9</v>
      </c>
      <c r="AM150" s="1">
        <v>0.9</v>
      </c>
      <c r="AN150" s="1">
        <v>0.9</v>
      </c>
      <c r="AO150" s="1">
        <v>0.9</v>
      </c>
      <c r="AP150" s="1">
        <v>0.9</v>
      </c>
      <c r="AQ150" s="1">
        <v>0.9</v>
      </c>
      <c r="AR150" s="1">
        <v>0.9</v>
      </c>
      <c r="AS150" s="1">
        <v>0.9</v>
      </c>
      <c r="AT150" s="1">
        <v>0.9</v>
      </c>
      <c r="AU150" s="1">
        <v>0.9</v>
      </c>
      <c r="AV150" s="1">
        <v>0.9</v>
      </c>
      <c r="AW150" s="1">
        <v>0.9</v>
      </c>
      <c r="AX150" s="1">
        <v>0.9</v>
      </c>
      <c r="AY150" s="1">
        <v>0.9</v>
      </c>
      <c r="AZ150" s="1">
        <v>0.9</v>
      </c>
      <c r="BA150" s="1">
        <v>0.9</v>
      </c>
      <c r="BC150" t="s">
        <v>261</v>
      </c>
      <c r="BD150" t="str">
        <f t="shared" si="152"/>
        <v>TRCTRABGS</v>
      </c>
      <c r="BU150">
        <v>0.23</v>
      </c>
      <c r="BV150" t="s">
        <v>33</v>
      </c>
    </row>
    <row r="151" spans="2:74">
      <c r="B151" t="s">
        <v>143</v>
      </c>
      <c r="BC151" t="s">
        <v>262</v>
      </c>
      <c r="BD151" t="str">
        <f t="shared" si="152"/>
        <v>TRCTRABGS</v>
      </c>
      <c r="BU151">
        <v>0.19</v>
      </c>
      <c r="BV151" t="s">
        <v>33</v>
      </c>
    </row>
    <row r="152" spans="2:74">
      <c r="B152" t="s">
        <v>132</v>
      </c>
      <c r="E152" t="str">
        <f t="shared" ref="E152:E157" si="153">LEFT(B152,3)</f>
        <v>TAD</v>
      </c>
      <c r="F152" s="1">
        <v>1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  <c r="M152" s="1">
        <v>1</v>
      </c>
      <c r="N152" s="1">
        <v>1</v>
      </c>
      <c r="O152" s="1">
        <v>1</v>
      </c>
      <c r="P152" s="1">
        <v>1</v>
      </c>
      <c r="Q152" s="1">
        <v>1</v>
      </c>
      <c r="R152" s="1">
        <v>1</v>
      </c>
      <c r="S152" s="1">
        <v>1</v>
      </c>
      <c r="T152" s="1">
        <v>1</v>
      </c>
      <c r="U152" s="1">
        <v>1</v>
      </c>
      <c r="V152" s="1">
        <v>1</v>
      </c>
      <c r="W152" s="1">
        <v>1</v>
      </c>
      <c r="X152" s="1">
        <v>1</v>
      </c>
      <c r="Y152" s="1">
        <v>1</v>
      </c>
      <c r="Z152" s="1">
        <v>1</v>
      </c>
      <c r="AA152" s="1">
        <v>1</v>
      </c>
      <c r="AB152" s="1">
        <v>1</v>
      </c>
      <c r="AC152" s="1">
        <v>1</v>
      </c>
      <c r="AD152" s="1">
        <v>1</v>
      </c>
      <c r="AE152" s="1">
        <v>1</v>
      </c>
      <c r="AF152" s="1">
        <v>1</v>
      </c>
      <c r="AG152" s="1">
        <v>1</v>
      </c>
      <c r="AH152" s="1">
        <v>1</v>
      </c>
      <c r="AI152" s="1">
        <v>1</v>
      </c>
      <c r="AJ152" s="1">
        <v>1</v>
      </c>
      <c r="AK152" s="1">
        <v>1</v>
      </c>
      <c r="AL152" s="1">
        <v>1</v>
      </c>
      <c r="AM152" s="1">
        <v>1</v>
      </c>
      <c r="AN152" s="1">
        <v>1</v>
      </c>
      <c r="AO152" s="1">
        <v>1</v>
      </c>
      <c r="AP152" s="1">
        <v>1</v>
      </c>
      <c r="AQ152" s="1">
        <v>1</v>
      </c>
      <c r="AR152" s="1">
        <v>1</v>
      </c>
      <c r="AS152" s="1">
        <v>1</v>
      </c>
      <c r="AT152" s="1">
        <v>1</v>
      </c>
      <c r="AU152" s="1">
        <v>1</v>
      </c>
      <c r="AV152" s="1">
        <v>1</v>
      </c>
      <c r="AW152" s="1">
        <v>1</v>
      </c>
      <c r="AX152" s="1">
        <v>1</v>
      </c>
      <c r="AY152" s="1">
        <v>1</v>
      </c>
      <c r="AZ152" s="1">
        <v>1</v>
      </c>
      <c r="BA152" s="1">
        <v>1</v>
      </c>
      <c r="BC152" t="s">
        <v>263</v>
      </c>
      <c r="BD152" t="str">
        <f t="shared" si="152"/>
        <v>TRCTRAGSL</v>
      </c>
      <c r="BU152">
        <v>0.19</v>
      </c>
      <c r="BV152" t="s">
        <v>42</v>
      </c>
    </row>
    <row r="153" spans="2:74">
      <c r="B153" t="s">
        <v>131</v>
      </c>
      <c r="E153" t="str">
        <f t="shared" si="153"/>
        <v>TAI</v>
      </c>
      <c r="F153" s="1">
        <v>1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  <c r="M153" s="1">
        <v>1</v>
      </c>
      <c r="N153" s="1">
        <v>1</v>
      </c>
      <c r="O153" s="1">
        <v>1</v>
      </c>
      <c r="P153" s="1">
        <v>1</v>
      </c>
      <c r="Q153" s="1">
        <v>1</v>
      </c>
      <c r="R153" s="1">
        <v>1</v>
      </c>
      <c r="S153" s="1">
        <v>1</v>
      </c>
      <c r="T153" s="1">
        <v>1</v>
      </c>
      <c r="U153" s="1">
        <v>1</v>
      </c>
      <c r="V153" s="1">
        <v>1</v>
      </c>
      <c r="W153" s="1">
        <v>1</v>
      </c>
      <c r="X153" s="1">
        <v>1</v>
      </c>
      <c r="Y153" s="1">
        <v>1</v>
      </c>
      <c r="Z153" s="1">
        <v>1</v>
      </c>
      <c r="AA153" s="1">
        <v>1</v>
      </c>
      <c r="AB153" s="1">
        <v>1</v>
      </c>
      <c r="AC153" s="1">
        <v>1</v>
      </c>
      <c r="AD153" s="1">
        <v>1</v>
      </c>
      <c r="AE153" s="1">
        <v>1</v>
      </c>
      <c r="AF153" s="1">
        <v>1</v>
      </c>
      <c r="AG153" s="1">
        <v>1</v>
      </c>
      <c r="AH153" s="1">
        <v>1</v>
      </c>
      <c r="AI153" s="1">
        <v>1</v>
      </c>
      <c r="AJ153" s="1">
        <v>1</v>
      </c>
      <c r="AK153" s="1">
        <v>1</v>
      </c>
      <c r="AL153" s="1">
        <v>1</v>
      </c>
      <c r="AM153" s="1">
        <v>1</v>
      </c>
      <c r="AN153" s="1">
        <v>1</v>
      </c>
      <c r="AO153" s="1">
        <v>1</v>
      </c>
      <c r="AP153" s="1">
        <v>1</v>
      </c>
      <c r="AQ153" s="1">
        <v>1</v>
      </c>
      <c r="AR153" s="1">
        <v>1</v>
      </c>
      <c r="AS153" s="1">
        <v>1</v>
      </c>
      <c r="AT153" s="1">
        <v>1</v>
      </c>
      <c r="AU153" s="1">
        <v>1</v>
      </c>
      <c r="AV153" s="1">
        <v>1</v>
      </c>
      <c r="AW153" s="1">
        <v>1</v>
      </c>
      <c r="AX153" s="1">
        <v>1</v>
      </c>
      <c r="AY153" s="1">
        <v>1</v>
      </c>
      <c r="AZ153" s="1">
        <v>1</v>
      </c>
      <c r="BA153" s="1">
        <v>1</v>
      </c>
      <c r="BC153" t="s">
        <v>264</v>
      </c>
      <c r="BD153" t="str">
        <f t="shared" si="152"/>
        <v>TRCTRALPG</v>
      </c>
      <c r="BU153">
        <v>0.21</v>
      </c>
      <c r="BV153" t="s">
        <v>39</v>
      </c>
    </row>
    <row r="154" spans="2:74">
      <c r="B154" t="s">
        <v>137</v>
      </c>
      <c r="E154" t="str">
        <f t="shared" si="153"/>
        <v>TTF</v>
      </c>
      <c r="F154" s="1">
        <v>1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  <c r="M154" s="1">
        <v>1</v>
      </c>
      <c r="N154" s="1">
        <v>1</v>
      </c>
      <c r="O154" s="1">
        <v>1</v>
      </c>
      <c r="P154" s="1">
        <v>1</v>
      </c>
      <c r="Q154" s="1">
        <v>1</v>
      </c>
      <c r="R154" s="1">
        <v>1</v>
      </c>
      <c r="S154" s="1">
        <v>1</v>
      </c>
      <c r="T154" s="1">
        <v>1</v>
      </c>
      <c r="U154" s="1">
        <v>1</v>
      </c>
      <c r="V154" s="1">
        <v>1</v>
      </c>
      <c r="W154" s="1">
        <v>1</v>
      </c>
      <c r="X154" s="1">
        <v>1</v>
      </c>
      <c r="Y154" s="1">
        <v>1</v>
      </c>
      <c r="Z154" s="1">
        <v>1</v>
      </c>
      <c r="AA154" s="1">
        <v>1</v>
      </c>
      <c r="AB154" s="1">
        <v>1</v>
      </c>
      <c r="AC154" s="1">
        <v>1</v>
      </c>
      <c r="AD154" s="1">
        <v>1</v>
      </c>
      <c r="AE154" s="1">
        <v>1</v>
      </c>
      <c r="AF154" s="1">
        <v>1</v>
      </c>
      <c r="AG154" s="1">
        <v>1</v>
      </c>
      <c r="AH154" s="1">
        <v>1</v>
      </c>
      <c r="AI154" s="1">
        <v>1</v>
      </c>
      <c r="AJ154" s="1">
        <v>1</v>
      </c>
      <c r="AK154" s="1">
        <v>1</v>
      </c>
      <c r="AL154" s="1">
        <v>1</v>
      </c>
      <c r="AM154" s="1">
        <v>1</v>
      </c>
      <c r="AN154" s="1">
        <v>1</v>
      </c>
      <c r="AO154" s="1">
        <v>1</v>
      </c>
      <c r="AP154" s="1">
        <v>1</v>
      </c>
      <c r="AQ154" s="1">
        <v>1</v>
      </c>
      <c r="AR154" s="1">
        <v>1</v>
      </c>
      <c r="AS154" s="1">
        <v>1</v>
      </c>
      <c r="AT154" s="1">
        <v>1</v>
      </c>
      <c r="AU154" s="1">
        <v>1</v>
      </c>
      <c r="AV154" s="1">
        <v>1</v>
      </c>
      <c r="AW154" s="1">
        <v>1</v>
      </c>
      <c r="AX154" s="1">
        <v>1</v>
      </c>
      <c r="AY154" s="1">
        <v>1</v>
      </c>
      <c r="AZ154" s="1">
        <v>1</v>
      </c>
      <c r="BA154" s="1">
        <v>1</v>
      </c>
      <c r="BC154" t="s">
        <v>265</v>
      </c>
      <c r="BD154" t="str">
        <f t="shared" si="152"/>
        <v>TRCTRABGS</v>
      </c>
      <c r="BU154">
        <v>0.19</v>
      </c>
      <c r="BV154" t="s">
        <v>33</v>
      </c>
    </row>
    <row r="155" spans="2:74">
      <c r="B155" t="s">
        <v>138</v>
      </c>
      <c r="E155" t="str">
        <f t="shared" si="153"/>
        <v>TTP</v>
      </c>
      <c r="F155" s="1">
        <v>1</v>
      </c>
      <c r="G155" s="1">
        <v>1</v>
      </c>
      <c r="H155" s="1">
        <v>1</v>
      </c>
      <c r="I155" s="1">
        <v>1</v>
      </c>
      <c r="J155" s="1">
        <v>1</v>
      </c>
      <c r="K155" s="1">
        <v>1</v>
      </c>
      <c r="L155" s="1">
        <v>1</v>
      </c>
      <c r="M155" s="1">
        <v>1</v>
      </c>
      <c r="N155" s="1">
        <v>1</v>
      </c>
      <c r="O155" s="1">
        <v>1</v>
      </c>
      <c r="P155" s="1">
        <v>1</v>
      </c>
      <c r="Q155" s="1">
        <v>1</v>
      </c>
      <c r="R155" s="1">
        <v>1</v>
      </c>
      <c r="S155" s="1">
        <v>1</v>
      </c>
      <c r="T155" s="1">
        <v>1</v>
      </c>
      <c r="U155" s="1">
        <v>1</v>
      </c>
      <c r="V155" s="1">
        <v>1</v>
      </c>
      <c r="W155" s="1">
        <v>1</v>
      </c>
      <c r="X155" s="1">
        <v>1</v>
      </c>
      <c r="Y155" s="1">
        <v>1</v>
      </c>
      <c r="Z155" s="1">
        <v>1</v>
      </c>
      <c r="AA155" s="1">
        <v>1</v>
      </c>
      <c r="AB155" s="1">
        <v>1</v>
      </c>
      <c r="AC155" s="1">
        <v>1</v>
      </c>
      <c r="AD155" s="1">
        <v>1</v>
      </c>
      <c r="AE155" s="1">
        <v>1</v>
      </c>
      <c r="AF155" s="1">
        <v>1</v>
      </c>
      <c r="AG155" s="1">
        <v>1</v>
      </c>
      <c r="AH155" s="1">
        <v>1</v>
      </c>
      <c r="AI155" s="1">
        <v>1</v>
      </c>
      <c r="AJ155" s="1">
        <v>1</v>
      </c>
      <c r="AK155" s="1">
        <v>1</v>
      </c>
      <c r="AL155" s="1">
        <v>1</v>
      </c>
      <c r="AM155" s="1">
        <v>1</v>
      </c>
      <c r="AN155" s="1">
        <v>1</v>
      </c>
      <c r="AO155" s="1">
        <v>1</v>
      </c>
      <c r="AP155" s="1">
        <v>1</v>
      </c>
      <c r="AQ155" s="1">
        <v>1</v>
      </c>
      <c r="AR155" s="1">
        <v>1</v>
      </c>
      <c r="AS155" s="1">
        <v>1</v>
      </c>
      <c r="AT155" s="1">
        <v>1</v>
      </c>
      <c r="AU155" s="1">
        <v>1</v>
      </c>
      <c r="AV155" s="1">
        <v>1</v>
      </c>
      <c r="AW155" s="1">
        <v>1</v>
      </c>
      <c r="AX155" s="1">
        <v>1</v>
      </c>
      <c r="AY155" s="1">
        <v>1</v>
      </c>
      <c r="AZ155" s="1">
        <v>1</v>
      </c>
      <c r="BA155" s="1">
        <v>1</v>
      </c>
      <c r="BC155" t="s">
        <v>266</v>
      </c>
      <c r="BD155" t="str">
        <f t="shared" si="152"/>
        <v>TRCTRANGA</v>
      </c>
      <c r="BU155">
        <v>0.19</v>
      </c>
      <c r="BV155" t="s">
        <v>38</v>
      </c>
    </row>
    <row r="156" spans="2:74">
      <c r="B156" t="s">
        <v>133</v>
      </c>
      <c r="E156" t="str">
        <f t="shared" si="153"/>
        <v>TWD</v>
      </c>
      <c r="F156" s="1">
        <v>1</v>
      </c>
      <c r="G156" s="1">
        <v>1</v>
      </c>
      <c r="H156" s="1">
        <v>1</v>
      </c>
      <c r="I156" s="1">
        <v>1</v>
      </c>
      <c r="J156" s="1">
        <v>1</v>
      </c>
      <c r="K156" s="1">
        <v>1</v>
      </c>
      <c r="L156" s="1">
        <v>1</v>
      </c>
      <c r="M156" s="1">
        <v>1</v>
      </c>
      <c r="N156" s="1">
        <v>1</v>
      </c>
      <c r="O156" s="1">
        <v>1</v>
      </c>
      <c r="P156" s="1">
        <v>1</v>
      </c>
      <c r="Q156" s="1">
        <v>1</v>
      </c>
      <c r="R156" s="1">
        <v>1</v>
      </c>
      <c r="S156" s="1">
        <v>1</v>
      </c>
      <c r="T156" s="1">
        <v>1</v>
      </c>
      <c r="U156" s="1">
        <v>1</v>
      </c>
      <c r="V156" s="1">
        <v>1</v>
      </c>
      <c r="W156" s="1">
        <v>1</v>
      </c>
      <c r="X156" s="1">
        <v>1</v>
      </c>
      <c r="Y156" s="1">
        <v>1</v>
      </c>
      <c r="Z156" s="1">
        <v>1</v>
      </c>
      <c r="AA156" s="1">
        <v>1</v>
      </c>
      <c r="AB156" s="1">
        <v>1</v>
      </c>
      <c r="AC156" s="1">
        <v>1</v>
      </c>
      <c r="AD156" s="1">
        <v>1</v>
      </c>
      <c r="AE156" s="1">
        <v>1</v>
      </c>
      <c r="AF156" s="1">
        <v>1</v>
      </c>
      <c r="AG156" s="1">
        <v>1</v>
      </c>
      <c r="AH156" s="1">
        <v>1</v>
      </c>
      <c r="AI156" s="1">
        <v>1</v>
      </c>
      <c r="AJ156" s="1">
        <v>1</v>
      </c>
      <c r="AK156" s="1">
        <v>1</v>
      </c>
      <c r="AL156" s="1">
        <v>1</v>
      </c>
      <c r="AM156" s="1">
        <v>1</v>
      </c>
      <c r="AN156" s="1">
        <v>1</v>
      </c>
      <c r="AO156" s="1">
        <v>1</v>
      </c>
      <c r="AP156" s="1">
        <v>1</v>
      </c>
      <c r="AQ156" s="1">
        <v>1</v>
      </c>
      <c r="AR156" s="1">
        <v>1</v>
      </c>
      <c r="AS156" s="1">
        <v>1</v>
      </c>
      <c r="AT156" s="1">
        <v>1</v>
      </c>
      <c r="AU156" s="1">
        <v>1</v>
      </c>
      <c r="AV156" s="1">
        <v>1</v>
      </c>
      <c r="AW156" s="1">
        <v>1</v>
      </c>
      <c r="AX156" s="1">
        <v>1</v>
      </c>
      <c r="AY156" s="1">
        <v>1</v>
      </c>
      <c r="AZ156" s="1">
        <v>1</v>
      </c>
      <c r="BA156" s="1">
        <v>1</v>
      </c>
      <c r="BC156" t="s">
        <v>267</v>
      </c>
      <c r="BD156" t="str">
        <f t="shared" si="152"/>
        <v>TRETRADST</v>
      </c>
      <c r="BU156">
        <v>0.4</v>
      </c>
      <c r="BV156" t="s">
        <v>41</v>
      </c>
    </row>
    <row r="157" spans="2:74">
      <c r="B157" t="s">
        <v>134</v>
      </c>
      <c r="E157" t="str">
        <f t="shared" si="153"/>
        <v>TWI</v>
      </c>
      <c r="F157" s="1">
        <v>1</v>
      </c>
      <c r="G157" s="1">
        <v>1</v>
      </c>
      <c r="H157" s="1">
        <v>1</v>
      </c>
      <c r="I157" s="1">
        <v>1</v>
      </c>
      <c r="J157" s="1">
        <v>1</v>
      </c>
      <c r="K157" s="1">
        <v>1</v>
      </c>
      <c r="L157" s="1">
        <v>1</v>
      </c>
      <c r="M157" s="1">
        <v>1</v>
      </c>
      <c r="N157" s="1">
        <v>1</v>
      </c>
      <c r="O157" s="1">
        <v>1</v>
      </c>
      <c r="P157" s="1">
        <v>1</v>
      </c>
      <c r="Q157" s="1">
        <v>1</v>
      </c>
      <c r="R157" s="1">
        <v>1</v>
      </c>
      <c r="S157" s="1">
        <v>1</v>
      </c>
      <c r="T157" s="1">
        <v>1</v>
      </c>
      <c r="U157" s="1">
        <v>1</v>
      </c>
      <c r="V157" s="1">
        <v>1</v>
      </c>
      <c r="W157" s="1">
        <v>1</v>
      </c>
      <c r="X157" s="1">
        <v>1</v>
      </c>
      <c r="Y157" s="1">
        <v>1</v>
      </c>
      <c r="Z157" s="1">
        <v>1</v>
      </c>
      <c r="AA157" s="1">
        <v>1</v>
      </c>
      <c r="AB157" s="1">
        <v>1</v>
      </c>
      <c r="AC157" s="1">
        <v>1</v>
      </c>
      <c r="AD157" s="1">
        <v>1</v>
      </c>
      <c r="AE157" s="1">
        <v>1</v>
      </c>
      <c r="AF157" s="1">
        <v>1</v>
      </c>
      <c r="AG157" s="1">
        <v>1</v>
      </c>
      <c r="AH157" s="1">
        <v>1</v>
      </c>
      <c r="AI157" s="1">
        <v>1</v>
      </c>
      <c r="AJ157" s="1">
        <v>1</v>
      </c>
      <c r="AK157" s="1">
        <v>1</v>
      </c>
      <c r="AL157" s="1">
        <v>1</v>
      </c>
      <c r="AM157" s="1">
        <v>1</v>
      </c>
      <c r="AN157" s="1">
        <v>1</v>
      </c>
      <c r="AO157" s="1">
        <v>1</v>
      </c>
      <c r="AP157" s="1">
        <v>1</v>
      </c>
      <c r="AQ157" s="1">
        <v>1</v>
      </c>
      <c r="AR157" s="1">
        <v>1</v>
      </c>
      <c r="AS157" s="1">
        <v>1</v>
      </c>
      <c r="AT157" s="1">
        <v>1</v>
      </c>
      <c r="AU157" s="1">
        <v>1</v>
      </c>
      <c r="AV157" s="1">
        <v>1</v>
      </c>
      <c r="AW157" s="1">
        <v>1</v>
      </c>
      <c r="AX157" s="1">
        <v>1</v>
      </c>
      <c r="AY157" s="1">
        <v>1</v>
      </c>
      <c r="AZ157" s="1">
        <v>1</v>
      </c>
      <c r="BA157" s="1">
        <v>1</v>
      </c>
      <c r="BC157" t="s">
        <v>268</v>
      </c>
      <c r="BD157" t="str">
        <f t="shared" si="152"/>
        <v>TRETRAGSL</v>
      </c>
      <c r="BU157">
        <v>0.5</v>
      </c>
      <c r="BV157" t="s">
        <v>42</v>
      </c>
    </row>
    <row r="158" spans="2:74">
      <c r="BC158" t="s">
        <v>269</v>
      </c>
      <c r="BD158" t="str">
        <f t="shared" si="152"/>
        <v>TRHTRADST</v>
      </c>
      <c r="BU158">
        <v>0.11</v>
      </c>
      <c r="BV158" t="s">
        <v>41</v>
      </c>
    </row>
    <row r="159" spans="2:74">
      <c r="BC159" t="s">
        <v>270</v>
      </c>
      <c r="BD159" t="str">
        <f t="shared" si="152"/>
        <v>TRHTRADST</v>
      </c>
      <c r="BU159">
        <v>0.13</v>
      </c>
      <c r="BV159" t="s">
        <v>41</v>
      </c>
    </row>
    <row r="160" spans="2:74">
      <c r="D160" t="s">
        <v>172</v>
      </c>
      <c r="F160" t="s">
        <v>173</v>
      </c>
      <c r="BC160" t="s">
        <v>271</v>
      </c>
      <c r="BD160" t="str">
        <f t="shared" si="152"/>
        <v>TRHTRADST</v>
      </c>
      <c r="BU160">
        <v>0.09</v>
      </c>
      <c r="BV160" t="s">
        <v>41</v>
      </c>
    </row>
    <row r="161" spans="3:74">
      <c r="D161" t="s">
        <v>174</v>
      </c>
      <c r="E161" t="s">
        <v>136</v>
      </c>
      <c r="F161" t="s">
        <v>9</v>
      </c>
      <c r="G161" t="s">
        <v>15</v>
      </c>
      <c r="H161" t="s">
        <v>8</v>
      </c>
      <c r="I161" t="s">
        <v>8</v>
      </c>
      <c r="J161" t="s">
        <v>8</v>
      </c>
      <c r="K161" t="s">
        <v>8</v>
      </c>
      <c r="L161" t="s">
        <v>8</v>
      </c>
      <c r="M161" t="s">
        <v>8</v>
      </c>
      <c r="N161" t="s">
        <v>8</v>
      </c>
      <c r="O161" t="s">
        <v>8</v>
      </c>
      <c r="P161" t="s">
        <v>8</v>
      </c>
      <c r="Q161" t="s">
        <v>8</v>
      </c>
      <c r="R161" t="s">
        <v>8</v>
      </c>
      <c r="S161" t="s">
        <v>8</v>
      </c>
      <c r="T161" t="s">
        <v>8</v>
      </c>
      <c r="U161" t="s">
        <v>8</v>
      </c>
      <c r="V161" t="s">
        <v>8</v>
      </c>
      <c r="W161" t="s">
        <v>8</v>
      </c>
      <c r="X161" t="s">
        <v>8</v>
      </c>
      <c r="Y161" t="s">
        <v>8</v>
      </c>
      <c r="Z161" t="s">
        <v>8</v>
      </c>
      <c r="AA161" t="s">
        <v>8</v>
      </c>
      <c r="AB161" t="s">
        <v>8</v>
      </c>
      <c r="AC161" t="s">
        <v>8</v>
      </c>
      <c r="AD161" t="s">
        <v>8</v>
      </c>
      <c r="AE161" t="s">
        <v>8</v>
      </c>
      <c r="AF161" t="s">
        <v>8</v>
      </c>
      <c r="AG161" t="s">
        <v>8</v>
      </c>
      <c r="AH161" t="s">
        <v>8</v>
      </c>
      <c r="AI161" t="s">
        <v>8</v>
      </c>
      <c r="AJ161" t="s">
        <v>8</v>
      </c>
      <c r="AK161" t="s">
        <v>8</v>
      </c>
      <c r="AL161" t="s">
        <v>8</v>
      </c>
      <c r="AM161" t="s">
        <v>8</v>
      </c>
      <c r="AN161" t="s">
        <v>8</v>
      </c>
      <c r="AO161" t="s">
        <v>8</v>
      </c>
      <c r="AP161" t="s">
        <v>8</v>
      </c>
      <c r="AQ161" t="s">
        <v>8</v>
      </c>
      <c r="AR161" t="s">
        <v>8</v>
      </c>
      <c r="AS161" t="s">
        <v>8</v>
      </c>
      <c r="AT161" t="s">
        <v>8</v>
      </c>
      <c r="AU161" t="s">
        <v>8</v>
      </c>
      <c r="AV161" t="s">
        <v>8</v>
      </c>
      <c r="AW161" t="s">
        <v>8</v>
      </c>
      <c r="AX161" t="s">
        <v>8</v>
      </c>
      <c r="AY161" t="s">
        <v>8</v>
      </c>
      <c r="AZ161" t="s">
        <v>8</v>
      </c>
      <c r="BA161" t="s">
        <v>8</v>
      </c>
      <c r="BC161" t="s">
        <v>272</v>
      </c>
      <c r="BD161" t="str">
        <f t="shared" si="152"/>
        <v>TRHTRABGS</v>
      </c>
      <c r="BU161">
        <v>0.09</v>
      </c>
      <c r="BV161" t="s">
        <v>33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175</v>
      </c>
      <c r="F162" s="1">
        <v>0.09</v>
      </c>
      <c r="G162" s="1">
        <v>0.09</v>
      </c>
      <c r="H162" s="1">
        <v>0.09</v>
      </c>
      <c r="I162" s="1">
        <v>0.09</v>
      </c>
      <c r="J162" s="1">
        <v>0.09</v>
      </c>
      <c r="K162" s="1">
        <v>0.09</v>
      </c>
      <c r="L162" s="1">
        <v>0.09</v>
      </c>
      <c r="M162" s="1">
        <v>0.09</v>
      </c>
      <c r="N162" s="1">
        <v>0.09</v>
      </c>
      <c r="O162" s="1">
        <v>0.09</v>
      </c>
      <c r="P162" s="1">
        <v>0.09</v>
      </c>
      <c r="Q162" s="1">
        <v>0.09</v>
      </c>
      <c r="R162" s="1">
        <v>0.09</v>
      </c>
      <c r="S162" s="1">
        <v>0.09</v>
      </c>
      <c r="T162" s="1">
        <v>0.09</v>
      </c>
      <c r="U162" s="1">
        <v>0.09</v>
      </c>
      <c r="V162" s="1">
        <v>0.09</v>
      </c>
      <c r="W162" s="1">
        <v>0.09</v>
      </c>
      <c r="X162" s="1">
        <v>0.09</v>
      </c>
      <c r="Y162" s="1">
        <v>0.09</v>
      </c>
      <c r="Z162" s="1">
        <v>0.09</v>
      </c>
      <c r="AA162" s="1">
        <v>0.09</v>
      </c>
      <c r="AB162" s="1">
        <v>0.09</v>
      </c>
      <c r="AC162" s="1">
        <v>0.09</v>
      </c>
      <c r="AD162" s="1">
        <v>0.09</v>
      </c>
      <c r="AE162" s="1">
        <v>0.09</v>
      </c>
      <c r="AF162" s="1">
        <v>0.09</v>
      </c>
      <c r="AG162" s="1">
        <v>0.09</v>
      </c>
      <c r="AH162" s="1">
        <v>0.09</v>
      </c>
      <c r="AI162" s="1">
        <v>0.09</v>
      </c>
      <c r="AJ162" s="1">
        <v>0.09</v>
      </c>
      <c r="AK162" s="1">
        <v>0.09</v>
      </c>
      <c r="AL162" s="1">
        <v>0.09</v>
      </c>
      <c r="AM162" s="1">
        <v>0.09</v>
      </c>
      <c r="AN162" s="1">
        <v>0.09</v>
      </c>
      <c r="AO162" s="1">
        <v>0.09</v>
      </c>
      <c r="AP162" s="1">
        <v>0.09</v>
      </c>
      <c r="AQ162" s="1">
        <v>0.09</v>
      </c>
      <c r="AR162" s="1">
        <v>0.09</v>
      </c>
      <c r="AS162" s="1">
        <v>0.09</v>
      </c>
      <c r="AT162" s="1">
        <v>0.09</v>
      </c>
      <c r="AU162" s="1">
        <v>0.09</v>
      </c>
      <c r="AV162" s="1">
        <v>0.09</v>
      </c>
      <c r="AW162" s="1">
        <v>0.09</v>
      </c>
      <c r="AX162" s="1">
        <v>0.09</v>
      </c>
      <c r="AY162" s="1">
        <v>0.09</v>
      </c>
      <c r="AZ162" s="1">
        <v>0.09</v>
      </c>
      <c r="BA162" s="1">
        <v>0.09</v>
      </c>
      <c r="BC162" t="s">
        <v>273</v>
      </c>
      <c r="BD162" t="str">
        <f t="shared" si="152"/>
        <v>TRHTRAGSL</v>
      </c>
      <c r="BU162">
        <v>0.08</v>
      </c>
      <c r="BV162" t="s">
        <v>42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176</v>
      </c>
      <c r="F163" s="1">
        <v>0.15</v>
      </c>
      <c r="G163" s="1">
        <v>0.15</v>
      </c>
      <c r="H163" s="1">
        <v>0.15</v>
      </c>
      <c r="I163" s="1">
        <v>0.15</v>
      </c>
      <c r="J163" s="1">
        <v>0.15</v>
      </c>
      <c r="K163" s="1">
        <v>0.15</v>
      </c>
      <c r="L163" s="1">
        <v>0.15</v>
      </c>
      <c r="M163" s="1">
        <v>0.15</v>
      </c>
      <c r="N163" s="1">
        <v>0.15</v>
      </c>
      <c r="O163" s="1">
        <v>0.15</v>
      </c>
      <c r="P163" s="1">
        <v>0.15</v>
      </c>
      <c r="Q163" s="1">
        <v>0.15</v>
      </c>
      <c r="R163" s="1">
        <v>0.15</v>
      </c>
      <c r="S163" s="1">
        <v>0.15</v>
      </c>
      <c r="T163" s="1">
        <v>0.15</v>
      </c>
      <c r="U163" s="1">
        <v>0.15</v>
      </c>
      <c r="V163" s="1">
        <v>0.15</v>
      </c>
      <c r="W163" s="1">
        <v>0.15</v>
      </c>
      <c r="X163" s="1">
        <v>0.15</v>
      </c>
      <c r="Y163" s="1">
        <v>0.15</v>
      </c>
      <c r="Z163" s="1">
        <v>0.15</v>
      </c>
      <c r="AA163" s="1">
        <v>0.15</v>
      </c>
      <c r="AB163" s="1">
        <v>0.15</v>
      </c>
      <c r="AC163" s="1">
        <v>0.15</v>
      </c>
      <c r="AD163" s="1">
        <v>0.15</v>
      </c>
      <c r="AE163" s="1">
        <v>0.15</v>
      </c>
      <c r="AF163" s="1">
        <v>0.15</v>
      </c>
      <c r="AG163" s="1">
        <v>0.15</v>
      </c>
      <c r="AH163" s="1">
        <v>0.15</v>
      </c>
      <c r="AI163" s="1">
        <v>0.15</v>
      </c>
      <c r="AJ163" s="1">
        <v>0.15</v>
      </c>
      <c r="AK163" s="1">
        <v>0.15</v>
      </c>
      <c r="AL163" s="1">
        <v>0.15</v>
      </c>
      <c r="AM163" s="1">
        <v>0.15</v>
      </c>
      <c r="AN163" s="1">
        <v>0.15</v>
      </c>
      <c r="AO163" s="1">
        <v>0.15</v>
      </c>
      <c r="AP163" s="1">
        <v>0.15</v>
      </c>
      <c r="AQ163" s="1">
        <v>0.15</v>
      </c>
      <c r="AR163" s="1">
        <v>0.15</v>
      </c>
      <c r="AS163" s="1">
        <v>0.15</v>
      </c>
      <c r="AT163" s="1">
        <v>0.15</v>
      </c>
      <c r="AU163" s="1">
        <v>0.15</v>
      </c>
      <c r="AV163" s="1">
        <v>0.15</v>
      </c>
      <c r="AW163" s="1">
        <v>0.15</v>
      </c>
      <c r="AX163" s="1">
        <v>0.15</v>
      </c>
      <c r="AY163" s="1">
        <v>0.15</v>
      </c>
      <c r="AZ163" s="1">
        <v>0.15</v>
      </c>
      <c r="BA163" s="1">
        <v>0.15</v>
      </c>
      <c r="BC163" t="s">
        <v>274</v>
      </c>
      <c r="BD163" t="str">
        <f t="shared" si="152"/>
        <v>TRHTRALPG</v>
      </c>
      <c r="BU163">
        <v>0.06</v>
      </c>
      <c r="BV163" t="s">
        <v>39</v>
      </c>
    </row>
    <row r="164" spans="3:74">
      <c r="C164" t="str">
        <f t="shared" si="156"/>
        <v>ETH</v>
      </c>
      <c r="D164" t="str">
        <f t="shared" si="157"/>
        <v>TRB</v>
      </c>
      <c r="E164" t="s">
        <v>177</v>
      </c>
      <c r="F164" s="1">
        <v>0.09</v>
      </c>
      <c r="G164" s="1">
        <v>0.09</v>
      </c>
      <c r="H164" s="1">
        <v>0.09</v>
      </c>
      <c r="I164" s="1">
        <v>0.09</v>
      </c>
      <c r="J164" s="1">
        <v>0.09</v>
      </c>
      <c r="K164" s="1">
        <v>0.09</v>
      </c>
      <c r="L164" s="1">
        <v>0.09</v>
      </c>
      <c r="M164" s="1">
        <v>0.09</v>
      </c>
      <c r="N164" s="1">
        <v>0.09</v>
      </c>
      <c r="O164" s="1">
        <v>0.09</v>
      </c>
      <c r="P164" s="1">
        <v>0.09</v>
      </c>
      <c r="Q164" s="1">
        <v>0.09</v>
      </c>
      <c r="R164" s="1">
        <v>0.09</v>
      </c>
      <c r="S164" s="1">
        <v>0.09</v>
      </c>
      <c r="T164" s="1">
        <v>0.09</v>
      </c>
      <c r="U164" s="1">
        <v>0.09</v>
      </c>
      <c r="V164" s="1">
        <v>0.09</v>
      </c>
      <c r="W164" s="1">
        <v>0.09</v>
      </c>
      <c r="X164" s="1">
        <v>0.09</v>
      </c>
      <c r="Y164" s="1">
        <v>0.09</v>
      </c>
      <c r="Z164" s="1">
        <v>0.09</v>
      </c>
      <c r="AA164" s="1">
        <v>0.09</v>
      </c>
      <c r="AB164" s="1">
        <v>0.09</v>
      </c>
      <c r="AC164" s="1">
        <v>0.09</v>
      </c>
      <c r="AD164" s="1">
        <v>0.09</v>
      </c>
      <c r="AE164" s="1">
        <v>0.09</v>
      </c>
      <c r="AF164" s="1">
        <v>0.09</v>
      </c>
      <c r="AG164" s="1">
        <v>0.09</v>
      </c>
      <c r="AH164" s="1">
        <v>0.09</v>
      </c>
      <c r="AI164" s="1">
        <v>0.09</v>
      </c>
      <c r="AJ164" s="1">
        <v>0.09</v>
      </c>
      <c r="AK164" s="1">
        <v>0.09</v>
      </c>
      <c r="AL164" s="1">
        <v>0.09</v>
      </c>
      <c r="AM164" s="1">
        <v>0.09</v>
      </c>
      <c r="AN164" s="1">
        <v>0.09</v>
      </c>
      <c r="AO164" s="1">
        <v>0.09</v>
      </c>
      <c r="AP164" s="1">
        <v>0.09</v>
      </c>
      <c r="AQ164" s="1">
        <v>0.09</v>
      </c>
      <c r="AR164" s="1">
        <v>0.09</v>
      </c>
      <c r="AS164" s="1">
        <v>0.09</v>
      </c>
      <c r="AT164" s="1">
        <v>0.09</v>
      </c>
      <c r="AU164" s="1">
        <v>0.09</v>
      </c>
      <c r="AV164" s="1">
        <v>0.09</v>
      </c>
      <c r="AW164" s="1">
        <v>0.09</v>
      </c>
      <c r="AX164" s="1">
        <v>0.09</v>
      </c>
      <c r="AY164" s="1">
        <v>0.09</v>
      </c>
      <c r="AZ164" s="1">
        <v>0.09</v>
      </c>
      <c r="BA164" s="1">
        <v>0.09</v>
      </c>
      <c r="BC164" t="s">
        <v>275</v>
      </c>
      <c r="BD164" t="str">
        <f t="shared" si="152"/>
        <v>TRHTRABGS</v>
      </c>
      <c r="BU164">
        <v>0.1</v>
      </c>
      <c r="BV164" t="s">
        <v>33</v>
      </c>
    </row>
    <row r="165" spans="3:74">
      <c r="C165" t="str">
        <f t="shared" si="156"/>
        <v>GAS</v>
      </c>
      <c r="D165" t="str">
        <f t="shared" si="157"/>
        <v>TRB</v>
      </c>
      <c r="E165" t="s">
        <v>178</v>
      </c>
      <c r="F165" s="1">
        <v>0.09</v>
      </c>
      <c r="G165" s="1">
        <v>0.09</v>
      </c>
      <c r="H165" s="1">
        <v>0.09</v>
      </c>
      <c r="I165" s="1">
        <v>0.09</v>
      </c>
      <c r="J165" s="1">
        <v>0.09</v>
      </c>
      <c r="K165" s="1">
        <v>0.09</v>
      </c>
      <c r="L165" s="1">
        <v>0.09</v>
      </c>
      <c r="M165" s="1">
        <v>0.09</v>
      </c>
      <c r="N165" s="1">
        <v>0.09</v>
      </c>
      <c r="O165" s="1">
        <v>0.09</v>
      </c>
      <c r="P165" s="1">
        <v>0.09</v>
      </c>
      <c r="Q165" s="1">
        <v>0.09</v>
      </c>
      <c r="R165" s="1">
        <v>0.09</v>
      </c>
      <c r="S165" s="1">
        <v>0.09</v>
      </c>
      <c r="T165" s="1">
        <v>0.09</v>
      </c>
      <c r="U165" s="1">
        <v>0.09</v>
      </c>
      <c r="V165" s="1">
        <v>0.09</v>
      </c>
      <c r="W165" s="1">
        <v>0.09</v>
      </c>
      <c r="X165" s="1">
        <v>0.09</v>
      </c>
      <c r="Y165" s="1">
        <v>0.09</v>
      </c>
      <c r="Z165" s="1">
        <v>0.09</v>
      </c>
      <c r="AA165" s="1">
        <v>0.09</v>
      </c>
      <c r="AB165" s="1">
        <v>0.09</v>
      </c>
      <c r="AC165" s="1">
        <v>0.09</v>
      </c>
      <c r="AD165" s="1">
        <v>0.09</v>
      </c>
      <c r="AE165" s="1">
        <v>0.09</v>
      </c>
      <c r="AF165" s="1">
        <v>0.09</v>
      </c>
      <c r="AG165" s="1">
        <v>0.09</v>
      </c>
      <c r="AH165" s="1">
        <v>0.09</v>
      </c>
      <c r="AI165" s="1">
        <v>0.09</v>
      </c>
      <c r="AJ165" s="1">
        <v>0.09</v>
      </c>
      <c r="AK165" s="1">
        <v>0.09</v>
      </c>
      <c r="AL165" s="1">
        <v>0.09</v>
      </c>
      <c r="AM165" s="1">
        <v>0.09</v>
      </c>
      <c r="AN165" s="1">
        <v>0.09</v>
      </c>
      <c r="AO165" s="1">
        <v>0.09</v>
      </c>
      <c r="AP165" s="1">
        <v>0.09</v>
      </c>
      <c r="AQ165" s="1">
        <v>0.09</v>
      </c>
      <c r="AR165" s="1">
        <v>0.09</v>
      </c>
      <c r="AS165" s="1">
        <v>0.09</v>
      </c>
      <c r="AT165" s="1">
        <v>0.09</v>
      </c>
      <c r="AU165" s="1">
        <v>0.09</v>
      </c>
      <c r="AV165" s="1">
        <v>0.09</v>
      </c>
      <c r="AW165" s="1">
        <v>0.09</v>
      </c>
      <c r="AX165" s="1">
        <v>0.09</v>
      </c>
      <c r="AY165" s="1">
        <v>0.09</v>
      </c>
      <c r="AZ165" s="1">
        <v>0.09</v>
      </c>
      <c r="BA165" s="1">
        <v>0.09</v>
      </c>
      <c r="BC165" t="s">
        <v>276</v>
      </c>
      <c r="BD165" t="str">
        <f t="shared" si="152"/>
        <v>TRHTRANGA</v>
      </c>
      <c r="BU165">
        <v>0.06</v>
      </c>
      <c r="BV165" t="s">
        <v>38</v>
      </c>
    </row>
    <row r="166" spans="3:74">
      <c r="C166" t="str">
        <f t="shared" si="156"/>
        <v>HYB</v>
      </c>
      <c r="D166" t="str">
        <f t="shared" si="157"/>
        <v>TRB</v>
      </c>
      <c r="E166" t="s">
        <v>179</v>
      </c>
      <c r="F166" s="1">
        <v>0.15</v>
      </c>
      <c r="G166" s="1">
        <v>0.15</v>
      </c>
      <c r="H166" s="1">
        <v>0.15</v>
      </c>
      <c r="I166" s="1">
        <v>0.15</v>
      </c>
      <c r="J166" s="1">
        <v>0.15</v>
      </c>
      <c r="K166" s="1">
        <v>0.15</v>
      </c>
      <c r="L166" s="1">
        <v>0.15</v>
      </c>
      <c r="M166" s="1">
        <v>0.15</v>
      </c>
      <c r="N166" s="1">
        <v>0.15</v>
      </c>
      <c r="O166" s="1">
        <v>0.15</v>
      </c>
      <c r="P166" s="1">
        <v>0.15</v>
      </c>
      <c r="Q166" s="1">
        <v>0.15</v>
      </c>
      <c r="R166" s="1">
        <v>0.15</v>
      </c>
      <c r="S166" s="1">
        <v>0.15</v>
      </c>
      <c r="T166" s="1">
        <v>0.15</v>
      </c>
      <c r="U166" s="1">
        <v>0.15</v>
      </c>
      <c r="V166" s="1">
        <v>0.15</v>
      </c>
      <c r="W166" s="1">
        <v>0.15</v>
      </c>
      <c r="X166" s="1">
        <v>0.15</v>
      </c>
      <c r="Y166" s="1">
        <v>0.15</v>
      </c>
      <c r="Z166" s="1">
        <v>0.15</v>
      </c>
      <c r="AA166" s="1">
        <v>0.15</v>
      </c>
      <c r="AB166" s="1">
        <v>0.15</v>
      </c>
      <c r="AC166" s="1">
        <v>0.15</v>
      </c>
      <c r="AD166" s="1">
        <v>0.15</v>
      </c>
      <c r="AE166" s="1">
        <v>0.15</v>
      </c>
      <c r="AF166" s="1">
        <v>0.15</v>
      </c>
      <c r="AG166" s="1">
        <v>0.15</v>
      </c>
      <c r="AH166" s="1">
        <v>0.15</v>
      </c>
      <c r="AI166" s="1">
        <v>0.15</v>
      </c>
      <c r="AJ166" s="1">
        <v>0.15</v>
      </c>
      <c r="AK166" s="1">
        <v>0.15</v>
      </c>
      <c r="AL166" s="1">
        <v>0.15</v>
      </c>
      <c r="AM166" s="1">
        <v>0.15</v>
      </c>
      <c r="AN166" s="1">
        <v>0.15</v>
      </c>
      <c r="AO166" s="1">
        <v>0.15</v>
      </c>
      <c r="AP166" s="1">
        <v>0.15</v>
      </c>
      <c r="AQ166" s="1">
        <v>0.15</v>
      </c>
      <c r="AR166" s="1">
        <v>0.15</v>
      </c>
      <c r="AS166" s="1">
        <v>0.15</v>
      </c>
      <c r="AT166" s="1">
        <v>0.15</v>
      </c>
      <c r="AU166" s="1">
        <v>0.15</v>
      </c>
      <c r="AV166" s="1">
        <v>0.15</v>
      </c>
      <c r="AW166" s="1">
        <v>0.15</v>
      </c>
      <c r="AX166" s="1">
        <v>0.15</v>
      </c>
      <c r="AY166" s="1">
        <v>0.15</v>
      </c>
      <c r="AZ166" s="1">
        <v>0.15</v>
      </c>
      <c r="BA166" s="1">
        <v>0.15</v>
      </c>
      <c r="BC166" t="s">
        <v>277</v>
      </c>
      <c r="BD166" t="str">
        <f t="shared" si="152"/>
        <v>TRLTRADST</v>
      </c>
      <c r="BU166">
        <v>0.4</v>
      </c>
      <c r="BV166" t="s">
        <v>41</v>
      </c>
    </row>
    <row r="167" spans="3:74">
      <c r="C167" t="str">
        <f t="shared" si="156"/>
        <v>LPG</v>
      </c>
      <c r="D167" t="str">
        <f t="shared" si="157"/>
        <v>TRB</v>
      </c>
      <c r="E167" t="s">
        <v>180</v>
      </c>
      <c r="F167" s="1">
        <v>0.08</v>
      </c>
      <c r="G167" s="1">
        <v>0.08</v>
      </c>
      <c r="H167" s="1">
        <v>0.08</v>
      </c>
      <c r="I167" s="1">
        <v>0.08</v>
      </c>
      <c r="J167" s="1">
        <v>0.08</v>
      </c>
      <c r="K167" s="1">
        <v>0.08</v>
      </c>
      <c r="L167" s="1">
        <v>0.08</v>
      </c>
      <c r="M167" s="1">
        <v>0.08</v>
      </c>
      <c r="N167" s="1">
        <v>0.08</v>
      </c>
      <c r="O167" s="1">
        <v>0.08</v>
      </c>
      <c r="P167" s="1">
        <v>0.08</v>
      </c>
      <c r="Q167" s="1">
        <v>0.08</v>
      </c>
      <c r="R167" s="1">
        <v>0.08</v>
      </c>
      <c r="S167" s="1">
        <v>0.08</v>
      </c>
      <c r="T167" s="1">
        <v>0.08</v>
      </c>
      <c r="U167" s="1">
        <v>0.08</v>
      </c>
      <c r="V167" s="1">
        <v>0.08</v>
      </c>
      <c r="W167" s="1">
        <v>0.08</v>
      </c>
      <c r="X167" s="1">
        <v>0.08</v>
      </c>
      <c r="Y167" s="1">
        <v>0.08</v>
      </c>
      <c r="Z167" s="1">
        <v>0.08</v>
      </c>
      <c r="AA167" s="1">
        <v>0.08</v>
      </c>
      <c r="AB167" s="1">
        <v>0.08</v>
      </c>
      <c r="AC167" s="1">
        <v>0.08</v>
      </c>
      <c r="AD167" s="1">
        <v>0.08</v>
      </c>
      <c r="AE167" s="1">
        <v>0.08</v>
      </c>
      <c r="AF167" s="1">
        <v>0.08</v>
      </c>
      <c r="AG167" s="1">
        <v>0.08</v>
      </c>
      <c r="AH167" s="1">
        <v>0.08</v>
      </c>
      <c r="AI167" s="1">
        <v>0.08</v>
      </c>
      <c r="AJ167" s="1">
        <v>0.08</v>
      </c>
      <c r="AK167" s="1">
        <v>0.08</v>
      </c>
      <c r="AL167" s="1">
        <v>0.08</v>
      </c>
      <c r="AM167" s="1">
        <v>0.08</v>
      </c>
      <c r="AN167" s="1">
        <v>0.08</v>
      </c>
      <c r="AO167" s="1">
        <v>0.08</v>
      </c>
      <c r="AP167" s="1">
        <v>0.08</v>
      </c>
      <c r="AQ167" s="1">
        <v>0.08</v>
      </c>
      <c r="AR167" s="1">
        <v>0.08</v>
      </c>
      <c r="AS167" s="1">
        <v>0.08</v>
      </c>
      <c r="AT167" s="1">
        <v>0.08</v>
      </c>
      <c r="AU167" s="1">
        <v>0.08</v>
      </c>
      <c r="AV167" s="1">
        <v>0.08</v>
      </c>
      <c r="AW167" s="1">
        <v>0.08</v>
      </c>
      <c r="AX167" s="1">
        <v>0.08</v>
      </c>
      <c r="AY167" s="1">
        <v>0.08</v>
      </c>
      <c r="AZ167" s="1">
        <v>0.08</v>
      </c>
      <c r="BA167" s="1">
        <v>0.08</v>
      </c>
      <c r="BC167" t="s">
        <v>278</v>
      </c>
      <c r="BD167" t="str">
        <f t="shared" si="152"/>
        <v>TRLTRADST</v>
      </c>
      <c r="BU167">
        <v>0.44</v>
      </c>
      <c r="BV167" t="s">
        <v>41</v>
      </c>
    </row>
    <row r="168" spans="3:74">
      <c r="C168" t="str">
        <f t="shared" si="156"/>
        <v>MET</v>
      </c>
      <c r="D168" t="str">
        <f t="shared" si="157"/>
        <v>TRB</v>
      </c>
      <c r="E168" t="s">
        <v>181</v>
      </c>
      <c r="F168" s="1">
        <v>0.09</v>
      </c>
      <c r="G168" s="1">
        <v>0.09</v>
      </c>
      <c r="H168" s="1">
        <v>0.09</v>
      </c>
      <c r="I168" s="1">
        <v>0.09</v>
      </c>
      <c r="J168" s="1">
        <v>0.09</v>
      </c>
      <c r="K168" s="1">
        <v>0.09</v>
      </c>
      <c r="L168" s="1">
        <v>0.09</v>
      </c>
      <c r="M168" s="1">
        <v>0.09</v>
      </c>
      <c r="N168" s="1">
        <v>0.09</v>
      </c>
      <c r="O168" s="1">
        <v>0.09</v>
      </c>
      <c r="P168" s="1">
        <v>0.09</v>
      </c>
      <c r="Q168" s="1">
        <v>0.09</v>
      </c>
      <c r="R168" s="1">
        <v>0.09</v>
      </c>
      <c r="S168" s="1">
        <v>0.09</v>
      </c>
      <c r="T168" s="1">
        <v>0.09</v>
      </c>
      <c r="U168" s="1">
        <v>0.09</v>
      </c>
      <c r="V168" s="1">
        <v>0.09</v>
      </c>
      <c r="W168" s="1">
        <v>0.09</v>
      </c>
      <c r="X168" s="1">
        <v>0.09</v>
      </c>
      <c r="Y168" s="1">
        <v>0.09</v>
      </c>
      <c r="Z168" s="1">
        <v>0.09</v>
      </c>
      <c r="AA168" s="1">
        <v>0.09</v>
      </c>
      <c r="AB168" s="1">
        <v>0.09</v>
      </c>
      <c r="AC168" s="1">
        <v>0.09</v>
      </c>
      <c r="AD168" s="1">
        <v>0.09</v>
      </c>
      <c r="AE168" s="1">
        <v>0.09</v>
      </c>
      <c r="AF168" s="1">
        <v>0.09</v>
      </c>
      <c r="AG168" s="1">
        <v>0.09</v>
      </c>
      <c r="AH168" s="1">
        <v>0.09</v>
      </c>
      <c r="AI168" s="1">
        <v>0.09</v>
      </c>
      <c r="AJ168" s="1">
        <v>0.09</v>
      </c>
      <c r="AK168" s="1">
        <v>0.09</v>
      </c>
      <c r="AL168" s="1">
        <v>0.09</v>
      </c>
      <c r="AM168" s="1">
        <v>0.09</v>
      </c>
      <c r="AN168" s="1">
        <v>0.09</v>
      </c>
      <c r="AO168" s="1">
        <v>0.09</v>
      </c>
      <c r="AP168" s="1">
        <v>0.09</v>
      </c>
      <c r="AQ168" s="1">
        <v>0.09</v>
      </c>
      <c r="AR168" s="1">
        <v>0.09</v>
      </c>
      <c r="AS168" s="1">
        <v>0.09</v>
      </c>
      <c r="AT168" s="1">
        <v>0.09</v>
      </c>
      <c r="AU168" s="1">
        <v>0.09</v>
      </c>
      <c r="AV168" s="1">
        <v>0.09</v>
      </c>
      <c r="AW168" s="1">
        <v>0.09</v>
      </c>
      <c r="AX168" s="1">
        <v>0.09</v>
      </c>
      <c r="AY168" s="1">
        <v>0.09</v>
      </c>
      <c r="AZ168" s="1">
        <v>0.09</v>
      </c>
      <c r="BA168" s="1">
        <v>0.09</v>
      </c>
      <c r="BC168" t="s">
        <v>279</v>
      </c>
      <c r="BD168" t="str">
        <f t="shared" si="152"/>
        <v>TRLTRADST</v>
      </c>
      <c r="BU168">
        <v>0.48</v>
      </c>
      <c r="BV168" t="s">
        <v>41</v>
      </c>
    </row>
    <row r="169" spans="3:74">
      <c r="C169" t="str">
        <f t="shared" si="156"/>
        <v>NGA</v>
      </c>
      <c r="D169" t="str">
        <f t="shared" si="157"/>
        <v>TRB</v>
      </c>
      <c r="E169" t="s">
        <v>182</v>
      </c>
      <c r="F169" s="1">
        <v>0.09</v>
      </c>
      <c r="G169" s="1">
        <v>0.09</v>
      </c>
      <c r="H169" s="1">
        <v>0.09</v>
      </c>
      <c r="I169" s="1">
        <v>0.09</v>
      </c>
      <c r="J169" s="1">
        <v>0.09</v>
      </c>
      <c r="K169" s="1">
        <v>0.09</v>
      </c>
      <c r="L169" s="1">
        <v>0.09</v>
      </c>
      <c r="M169" s="1">
        <v>0.09</v>
      </c>
      <c r="N169" s="1">
        <v>0.09</v>
      </c>
      <c r="O169" s="1">
        <v>0.09</v>
      </c>
      <c r="P169" s="1">
        <v>0.09</v>
      </c>
      <c r="Q169" s="1">
        <v>0.09</v>
      </c>
      <c r="R169" s="1">
        <v>0.09</v>
      </c>
      <c r="S169" s="1">
        <v>0.09</v>
      </c>
      <c r="T169" s="1">
        <v>0.09</v>
      </c>
      <c r="U169" s="1">
        <v>0.09</v>
      </c>
      <c r="V169" s="1">
        <v>0.09</v>
      </c>
      <c r="W169" s="1">
        <v>0.09</v>
      </c>
      <c r="X169" s="1">
        <v>0.09</v>
      </c>
      <c r="Y169" s="1">
        <v>0.09</v>
      </c>
      <c r="Z169" s="1">
        <v>0.09</v>
      </c>
      <c r="AA169" s="1">
        <v>0.09</v>
      </c>
      <c r="AB169" s="1">
        <v>0.09</v>
      </c>
      <c r="AC169" s="1">
        <v>0.09</v>
      </c>
      <c r="AD169" s="1">
        <v>0.09</v>
      </c>
      <c r="AE169" s="1">
        <v>0.09</v>
      </c>
      <c r="AF169" s="1">
        <v>0.09</v>
      </c>
      <c r="AG169" s="1">
        <v>0.09</v>
      </c>
      <c r="AH169" s="1">
        <v>0.09</v>
      </c>
      <c r="AI169" s="1">
        <v>0.09</v>
      </c>
      <c r="AJ169" s="1">
        <v>0.09</v>
      </c>
      <c r="AK169" s="1">
        <v>0.09</v>
      </c>
      <c r="AL169" s="1">
        <v>0.09</v>
      </c>
      <c r="AM169" s="1">
        <v>0.09</v>
      </c>
      <c r="AN169" s="1">
        <v>0.09</v>
      </c>
      <c r="AO169" s="1">
        <v>0.09</v>
      </c>
      <c r="AP169" s="1">
        <v>0.09</v>
      </c>
      <c r="AQ169" s="1">
        <v>0.09</v>
      </c>
      <c r="AR169" s="1">
        <v>0.09</v>
      </c>
      <c r="AS169" s="1">
        <v>0.09</v>
      </c>
      <c r="AT169" s="1">
        <v>0.09</v>
      </c>
      <c r="AU169" s="1">
        <v>0.09</v>
      </c>
      <c r="AV169" s="1">
        <v>0.09</v>
      </c>
      <c r="AW169" s="1">
        <v>0.09</v>
      </c>
      <c r="AX169" s="1">
        <v>0.09</v>
      </c>
      <c r="AY169" s="1">
        <v>0.09</v>
      </c>
      <c r="AZ169" s="1">
        <v>0.09</v>
      </c>
      <c r="BA169" s="1">
        <v>0.09</v>
      </c>
      <c r="BC169" t="s">
        <v>280</v>
      </c>
      <c r="BD169" t="str">
        <f t="shared" ref="BD169:BD198" si="158">LEFT(BC169,3)&amp;BV169</f>
        <v>TRLTRABGS</v>
      </c>
      <c r="BU169">
        <v>0.41</v>
      </c>
      <c r="BV169" t="s">
        <v>33</v>
      </c>
    </row>
    <row r="170" spans="3:74">
      <c r="C170" t="str">
        <f t="shared" si="156"/>
        <v>DSA</v>
      </c>
      <c r="D170" t="str">
        <f t="shared" si="157"/>
        <v>TRC</v>
      </c>
      <c r="E170" t="s">
        <v>183</v>
      </c>
      <c r="F170" s="1">
        <v>0.2</v>
      </c>
      <c r="G170" s="1">
        <v>0.2</v>
      </c>
      <c r="H170" s="1">
        <v>0.2</v>
      </c>
      <c r="I170" s="1">
        <v>0.2</v>
      </c>
      <c r="J170" s="1">
        <v>0.2</v>
      </c>
      <c r="K170" s="1">
        <v>0.2</v>
      </c>
      <c r="L170" s="1">
        <v>0.2</v>
      </c>
      <c r="M170" s="1">
        <v>0.2</v>
      </c>
      <c r="N170" s="1">
        <v>0.2</v>
      </c>
      <c r="O170" s="1">
        <v>0.2</v>
      </c>
      <c r="P170" s="1">
        <v>0.2</v>
      </c>
      <c r="Q170" s="1">
        <v>0.2</v>
      </c>
      <c r="R170" s="1">
        <v>0.2</v>
      </c>
      <c r="S170" s="1">
        <v>0.2</v>
      </c>
      <c r="T170" s="1">
        <v>0.2</v>
      </c>
      <c r="U170" s="1">
        <v>0.2</v>
      </c>
      <c r="V170" s="1">
        <v>0.2</v>
      </c>
      <c r="W170" s="1">
        <v>0.2</v>
      </c>
      <c r="X170" s="1">
        <v>0.2</v>
      </c>
      <c r="Y170" s="1">
        <v>0.2</v>
      </c>
      <c r="Z170" s="1">
        <v>0.2</v>
      </c>
      <c r="AA170" s="1">
        <v>0.2</v>
      </c>
      <c r="AB170" s="1">
        <v>0.2</v>
      </c>
      <c r="AC170" s="1">
        <v>0.2</v>
      </c>
      <c r="AD170" s="1">
        <v>0.2</v>
      </c>
      <c r="AE170" s="1">
        <v>0.2</v>
      </c>
      <c r="AF170" s="1">
        <v>0.2</v>
      </c>
      <c r="AG170" s="1">
        <v>0.2</v>
      </c>
      <c r="AH170" s="1">
        <v>0.2</v>
      </c>
      <c r="AI170" s="1">
        <v>0.2</v>
      </c>
      <c r="AJ170" s="1">
        <v>0.2</v>
      </c>
      <c r="AK170" s="1">
        <v>0.2</v>
      </c>
      <c r="AL170" s="1">
        <v>0.2</v>
      </c>
      <c r="AM170" s="1">
        <v>0.2</v>
      </c>
      <c r="AN170" s="1">
        <v>0.2</v>
      </c>
      <c r="AO170" s="1">
        <v>0.2</v>
      </c>
      <c r="AP170" s="1">
        <v>0.2</v>
      </c>
      <c r="AQ170" s="1">
        <v>0.2</v>
      </c>
      <c r="AR170" s="1">
        <v>0.2</v>
      </c>
      <c r="AS170" s="1">
        <v>0.2</v>
      </c>
      <c r="AT170" s="1">
        <v>0.2</v>
      </c>
      <c r="AU170" s="1">
        <v>0.2</v>
      </c>
      <c r="AV170" s="1">
        <v>0.2</v>
      </c>
      <c r="AW170" s="1">
        <v>0.2</v>
      </c>
      <c r="AX170" s="1">
        <v>0.2</v>
      </c>
      <c r="AY170" s="1">
        <v>0.2</v>
      </c>
      <c r="AZ170" s="1">
        <v>0.2</v>
      </c>
      <c r="BA170" s="1">
        <v>0.2</v>
      </c>
      <c r="BC170" t="s">
        <v>281</v>
      </c>
      <c r="BD170" t="str">
        <f t="shared" si="158"/>
        <v>TRLTRABGS</v>
      </c>
      <c r="BU170">
        <v>0.41</v>
      </c>
      <c r="BV170" t="s">
        <v>33</v>
      </c>
    </row>
    <row r="171" spans="3:74">
      <c r="C171" t="str">
        <f t="shared" si="156"/>
        <v>DSB</v>
      </c>
      <c r="D171" t="str">
        <f t="shared" si="157"/>
        <v>TRC</v>
      </c>
      <c r="E171" t="s">
        <v>184</v>
      </c>
      <c r="F171" s="1">
        <v>0.24</v>
      </c>
      <c r="G171" s="1">
        <v>0.24</v>
      </c>
      <c r="H171" s="1">
        <v>0.24</v>
      </c>
      <c r="I171" s="1">
        <v>0.24</v>
      </c>
      <c r="J171" s="1">
        <v>0.24</v>
      </c>
      <c r="K171" s="1">
        <v>0.24</v>
      </c>
      <c r="L171" s="1">
        <v>0.24</v>
      </c>
      <c r="M171" s="1">
        <v>0.24</v>
      </c>
      <c r="N171" s="1">
        <v>0.24</v>
      </c>
      <c r="O171" s="1">
        <v>0.24</v>
      </c>
      <c r="P171" s="1">
        <v>0.24</v>
      </c>
      <c r="Q171" s="1">
        <v>0.24</v>
      </c>
      <c r="R171" s="1">
        <v>0.24</v>
      </c>
      <c r="S171" s="1">
        <v>0.24</v>
      </c>
      <c r="T171" s="1">
        <v>0.24</v>
      </c>
      <c r="U171" s="1">
        <v>0.24</v>
      </c>
      <c r="V171" s="1">
        <v>0.24</v>
      </c>
      <c r="W171" s="1">
        <v>0.24</v>
      </c>
      <c r="X171" s="1">
        <v>0.24</v>
      </c>
      <c r="Y171" s="1">
        <v>0.24</v>
      </c>
      <c r="Z171" s="1">
        <v>0.24</v>
      </c>
      <c r="AA171" s="1">
        <v>0.24</v>
      </c>
      <c r="AB171" s="1">
        <v>0.24</v>
      </c>
      <c r="AC171" s="1">
        <v>0.24</v>
      </c>
      <c r="AD171" s="1">
        <v>0.24</v>
      </c>
      <c r="AE171" s="1">
        <v>0.24</v>
      </c>
      <c r="AF171" s="1">
        <v>0.24</v>
      </c>
      <c r="AG171" s="1">
        <v>0.24</v>
      </c>
      <c r="AH171" s="1">
        <v>0.24</v>
      </c>
      <c r="AI171" s="1">
        <v>0.24</v>
      </c>
      <c r="AJ171" s="1">
        <v>0.24</v>
      </c>
      <c r="AK171" s="1">
        <v>0.24</v>
      </c>
      <c r="AL171" s="1">
        <v>0.24</v>
      </c>
      <c r="AM171" s="1">
        <v>0.24</v>
      </c>
      <c r="AN171" s="1">
        <v>0.24</v>
      </c>
      <c r="AO171" s="1">
        <v>0.24</v>
      </c>
      <c r="AP171" s="1">
        <v>0.24</v>
      </c>
      <c r="AQ171" s="1">
        <v>0.24</v>
      </c>
      <c r="AR171" s="1">
        <v>0.24</v>
      </c>
      <c r="AS171" s="1">
        <v>0.24</v>
      </c>
      <c r="AT171" s="1">
        <v>0.24</v>
      </c>
      <c r="AU171" s="1">
        <v>0.24</v>
      </c>
      <c r="AV171" s="1">
        <v>0.24</v>
      </c>
      <c r="AW171" s="1">
        <v>0.24</v>
      </c>
      <c r="AX171" s="1">
        <v>0.24</v>
      </c>
      <c r="AY171" s="1">
        <v>0.24</v>
      </c>
      <c r="AZ171" s="1">
        <v>0.24</v>
      </c>
      <c r="BA171" s="1">
        <v>0.24</v>
      </c>
      <c r="BC171" t="s">
        <v>282</v>
      </c>
      <c r="BD171" t="str">
        <f t="shared" si="158"/>
        <v>TRLTRAELC</v>
      </c>
      <c r="BU171">
        <v>0.7</v>
      </c>
      <c r="BV171" t="s">
        <v>37</v>
      </c>
    </row>
    <row r="172" spans="3:74">
      <c r="C172" t="str">
        <f t="shared" si="156"/>
        <v>DST</v>
      </c>
      <c r="D172" t="str">
        <f t="shared" si="157"/>
        <v>TRC</v>
      </c>
      <c r="E172" t="s">
        <v>185</v>
      </c>
      <c r="F172" s="1">
        <v>0.18</v>
      </c>
      <c r="G172" s="1">
        <v>0.18</v>
      </c>
      <c r="H172" s="1">
        <v>0.18</v>
      </c>
      <c r="I172" s="1">
        <v>0.18</v>
      </c>
      <c r="J172" s="1">
        <v>0.18</v>
      </c>
      <c r="K172" s="1">
        <v>0.18</v>
      </c>
      <c r="L172" s="1">
        <v>0.18</v>
      </c>
      <c r="M172" s="1">
        <v>0.18</v>
      </c>
      <c r="N172" s="1">
        <v>0.18</v>
      </c>
      <c r="O172" s="1">
        <v>0.18</v>
      </c>
      <c r="P172" s="1">
        <v>0.18</v>
      </c>
      <c r="Q172" s="1">
        <v>0.18</v>
      </c>
      <c r="R172" s="1">
        <v>0.18</v>
      </c>
      <c r="S172" s="1">
        <v>0.18</v>
      </c>
      <c r="T172" s="1">
        <v>0.18</v>
      </c>
      <c r="U172" s="1">
        <v>0.18</v>
      </c>
      <c r="V172" s="1">
        <v>0.18</v>
      </c>
      <c r="W172" s="1">
        <v>0.18</v>
      </c>
      <c r="X172" s="1">
        <v>0.18</v>
      </c>
      <c r="Y172" s="1">
        <v>0.18</v>
      </c>
      <c r="Z172" s="1">
        <v>0.18</v>
      </c>
      <c r="AA172" s="1">
        <v>0.18</v>
      </c>
      <c r="AB172" s="1">
        <v>0.18</v>
      </c>
      <c r="AC172" s="1">
        <v>0.18</v>
      </c>
      <c r="AD172" s="1">
        <v>0.18</v>
      </c>
      <c r="AE172" s="1">
        <v>0.18</v>
      </c>
      <c r="AF172" s="1">
        <v>0.18</v>
      </c>
      <c r="AG172" s="1">
        <v>0.18</v>
      </c>
      <c r="AH172" s="1">
        <v>0.18</v>
      </c>
      <c r="AI172" s="1">
        <v>0.18</v>
      </c>
      <c r="AJ172" s="1">
        <v>0.18</v>
      </c>
      <c r="AK172" s="1">
        <v>0.18</v>
      </c>
      <c r="AL172" s="1">
        <v>0.18</v>
      </c>
      <c r="AM172" s="1">
        <v>0.18</v>
      </c>
      <c r="AN172" s="1">
        <v>0.18</v>
      </c>
      <c r="AO172" s="1">
        <v>0.18</v>
      </c>
      <c r="AP172" s="1">
        <v>0.18</v>
      </c>
      <c r="AQ172" s="1">
        <v>0.18</v>
      </c>
      <c r="AR172" s="1">
        <v>0.18</v>
      </c>
      <c r="AS172" s="1">
        <v>0.18</v>
      </c>
      <c r="AT172" s="1">
        <v>0.18</v>
      </c>
      <c r="AU172" s="1">
        <v>0.18</v>
      </c>
      <c r="AV172" s="1">
        <v>0.18</v>
      </c>
      <c r="AW172" s="1">
        <v>0.18</v>
      </c>
      <c r="AX172" s="1">
        <v>0.18</v>
      </c>
      <c r="AY172" s="1">
        <v>0.18</v>
      </c>
      <c r="AZ172" s="1">
        <v>0.18</v>
      </c>
      <c r="BA172" s="1">
        <v>0.18</v>
      </c>
      <c r="BC172" t="s">
        <v>283</v>
      </c>
      <c r="BD172" t="str">
        <f t="shared" si="158"/>
        <v>TRLTRABGS</v>
      </c>
      <c r="BU172">
        <v>0.39</v>
      </c>
      <c r="BV172" t="s">
        <v>33</v>
      </c>
    </row>
    <row r="173" spans="3:74">
      <c r="C173" t="str">
        <f t="shared" si="156"/>
        <v>ETA</v>
      </c>
      <c r="D173" t="str">
        <f t="shared" si="157"/>
        <v>TRC</v>
      </c>
      <c r="E173" t="s">
        <v>186</v>
      </c>
      <c r="F173" s="1">
        <v>0.18</v>
      </c>
      <c r="G173" s="1">
        <v>0.18</v>
      </c>
      <c r="H173" s="1">
        <v>0.18</v>
      </c>
      <c r="I173" s="1">
        <v>0.18</v>
      </c>
      <c r="J173" s="1">
        <v>0.18</v>
      </c>
      <c r="K173" s="1">
        <v>0.18</v>
      </c>
      <c r="L173" s="1">
        <v>0.18</v>
      </c>
      <c r="M173" s="1">
        <v>0.18</v>
      </c>
      <c r="N173" s="1">
        <v>0.18</v>
      </c>
      <c r="O173" s="1">
        <v>0.18</v>
      </c>
      <c r="P173" s="1">
        <v>0.18</v>
      </c>
      <c r="Q173" s="1">
        <v>0.18</v>
      </c>
      <c r="R173" s="1">
        <v>0.18</v>
      </c>
      <c r="S173" s="1">
        <v>0.18</v>
      </c>
      <c r="T173" s="1">
        <v>0.18</v>
      </c>
      <c r="U173" s="1">
        <v>0.18</v>
      </c>
      <c r="V173" s="1">
        <v>0.18</v>
      </c>
      <c r="W173" s="1">
        <v>0.18</v>
      </c>
      <c r="X173" s="1">
        <v>0.18</v>
      </c>
      <c r="Y173" s="1">
        <v>0.18</v>
      </c>
      <c r="Z173" s="1">
        <v>0.18</v>
      </c>
      <c r="AA173" s="1">
        <v>0.18</v>
      </c>
      <c r="AB173" s="1">
        <v>0.18</v>
      </c>
      <c r="AC173" s="1">
        <v>0.18</v>
      </c>
      <c r="AD173" s="1">
        <v>0.18</v>
      </c>
      <c r="AE173" s="1">
        <v>0.18</v>
      </c>
      <c r="AF173" s="1">
        <v>0.18</v>
      </c>
      <c r="AG173" s="1">
        <v>0.18</v>
      </c>
      <c r="AH173" s="1">
        <v>0.18</v>
      </c>
      <c r="AI173" s="1">
        <v>0.18</v>
      </c>
      <c r="AJ173" s="1">
        <v>0.18</v>
      </c>
      <c r="AK173" s="1">
        <v>0.18</v>
      </c>
      <c r="AL173" s="1">
        <v>0.18</v>
      </c>
      <c r="AM173" s="1">
        <v>0.18</v>
      </c>
      <c r="AN173" s="1">
        <v>0.18</v>
      </c>
      <c r="AO173" s="1">
        <v>0.18</v>
      </c>
      <c r="AP173" s="1">
        <v>0.18</v>
      </c>
      <c r="AQ173" s="1">
        <v>0.18</v>
      </c>
      <c r="AR173" s="1">
        <v>0.18</v>
      </c>
      <c r="AS173" s="1">
        <v>0.18</v>
      </c>
      <c r="AT173" s="1">
        <v>0.18</v>
      </c>
      <c r="AU173" s="1">
        <v>0.18</v>
      </c>
      <c r="AV173" s="1">
        <v>0.18</v>
      </c>
      <c r="AW173" s="1">
        <v>0.18</v>
      </c>
      <c r="AX173" s="1">
        <v>0.18</v>
      </c>
      <c r="AY173" s="1">
        <v>0.18</v>
      </c>
      <c r="AZ173" s="1">
        <v>0.18</v>
      </c>
      <c r="BA173" s="1">
        <v>0.18</v>
      </c>
      <c r="BC173" t="s">
        <v>284</v>
      </c>
      <c r="BD173" t="str">
        <f t="shared" si="158"/>
        <v>TRLTRAGSL</v>
      </c>
      <c r="BU173">
        <v>0.34</v>
      </c>
      <c r="BV173" t="s">
        <v>42</v>
      </c>
    </row>
    <row r="174" spans="3:74">
      <c r="C174" t="str">
        <f t="shared" si="156"/>
        <v>ETB</v>
      </c>
      <c r="D174" t="str">
        <f t="shared" si="157"/>
        <v>TRC</v>
      </c>
      <c r="E174" t="s">
        <v>187</v>
      </c>
      <c r="F174" s="1">
        <v>0.2</v>
      </c>
      <c r="G174" s="1">
        <v>0.2</v>
      </c>
      <c r="H174" s="1">
        <v>0.2</v>
      </c>
      <c r="I174" s="1">
        <v>0.2</v>
      </c>
      <c r="J174" s="1">
        <v>0.2</v>
      </c>
      <c r="K174" s="1">
        <v>0.2</v>
      </c>
      <c r="L174" s="1">
        <v>0.2</v>
      </c>
      <c r="M174" s="1">
        <v>0.2</v>
      </c>
      <c r="N174" s="1">
        <v>0.2</v>
      </c>
      <c r="O174" s="1">
        <v>0.2</v>
      </c>
      <c r="P174" s="1">
        <v>0.2</v>
      </c>
      <c r="Q174" s="1">
        <v>0.2</v>
      </c>
      <c r="R174" s="1">
        <v>0.2</v>
      </c>
      <c r="S174" s="1">
        <v>0.2</v>
      </c>
      <c r="T174" s="1">
        <v>0.2</v>
      </c>
      <c r="U174" s="1">
        <v>0.2</v>
      </c>
      <c r="V174" s="1">
        <v>0.2</v>
      </c>
      <c r="W174" s="1">
        <v>0.2</v>
      </c>
      <c r="X174" s="1">
        <v>0.2</v>
      </c>
      <c r="Y174" s="1">
        <v>0.2</v>
      </c>
      <c r="Z174" s="1">
        <v>0.2</v>
      </c>
      <c r="AA174" s="1">
        <v>0.2</v>
      </c>
      <c r="AB174" s="1">
        <v>0.2</v>
      </c>
      <c r="AC174" s="1">
        <v>0.2</v>
      </c>
      <c r="AD174" s="1">
        <v>0.2</v>
      </c>
      <c r="AE174" s="1">
        <v>0.2</v>
      </c>
      <c r="AF174" s="1">
        <v>0.2</v>
      </c>
      <c r="AG174" s="1">
        <v>0.2</v>
      </c>
      <c r="AH174" s="1">
        <v>0.2</v>
      </c>
      <c r="AI174" s="1">
        <v>0.2</v>
      </c>
      <c r="AJ174" s="1">
        <v>0.2</v>
      </c>
      <c r="AK174" s="1">
        <v>0.2</v>
      </c>
      <c r="AL174" s="1">
        <v>0.2</v>
      </c>
      <c r="AM174" s="1">
        <v>0.2</v>
      </c>
      <c r="AN174" s="1">
        <v>0.2</v>
      </c>
      <c r="AO174" s="1">
        <v>0.2</v>
      </c>
      <c r="AP174" s="1">
        <v>0.2</v>
      </c>
      <c r="AQ174" s="1">
        <v>0.2</v>
      </c>
      <c r="AR174" s="1">
        <v>0.2</v>
      </c>
      <c r="AS174" s="1">
        <v>0.2</v>
      </c>
      <c r="AT174" s="1">
        <v>0.2</v>
      </c>
      <c r="AU174" s="1">
        <v>0.2</v>
      </c>
      <c r="AV174" s="1">
        <v>0.2</v>
      </c>
      <c r="AW174" s="1">
        <v>0.2</v>
      </c>
      <c r="AX174" s="1">
        <v>0.2</v>
      </c>
      <c r="AY174" s="1">
        <v>0.2</v>
      </c>
      <c r="AZ174" s="1">
        <v>0.2</v>
      </c>
      <c r="BA174" s="1">
        <v>0.2</v>
      </c>
      <c r="BC174" t="s">
        <v>285</v>
      </c>
      <c r="BD174" t="str">
        <f t="shared" si="158"/>
        <v>TRLTRAGSL</v>
      </c>
      <c r="BU174">
        <v>0.37</v>
      </c>
      <c r="BV174" t="s">
        <v>42</v>
      </c>
    </row>
    <row r="175" spans="3:74">
      <c r="C175" t="str">
        <f t="shared" si="156"/>
        <v>ETH</v>
      </c>
      <c r="D175" t="str">
        <f t="shared" si="157"/>
        <v>TRC</v>
      </c>
      <c r="E175" t="s">
        <v>188</v>
      </c>
      <c r="F175" s="1">
        <v>0.16</v>
      </c>
      <c r="G175" s="1">
        <v>0.16</v>
      </c>
      <c r="H175" s="1">
        <v>0.16</v>
      </c>
      <c r="I175" s="1">
        <v>0.16</v>
      </c>
      <c r="J175" s="1">
        <v>0.16</v>
      </c>
      <c r="K175" s="1">
        <v>0.16</v>
      </c>
      <c r="L175" s="1">
        <v>0.16</v>
      </c>
      <c r="M175" s="1">
        <v>0.16</v>
      </c>
      <c r="N175" s="1">
        <v>0.16</v>
      </c>
      <c r="O175" s="1">
        <v>0.16</v>
      </c>
      <c r="P175" s="1">
        <v>0.16</v>
      </c>
      <c r="Q175" s="1">
        <v>0.16</v>
      </c>
      <c r="R175" s="1">
        <v>0.16</v>
      </c>
      <c r="S175" s="1">
        <v>0.16</v>
      </c>
      <c r="T175" s="1">
        <v>0.16</v>
      </c>
      <c r="U175" s="1">
        <v>0.16</v>
      </c>
      <c r="V175" s="1">
        <v>0.16</v>
      </c>
      <c r="W175" s="1">
        <v>0.16</v>
      </c>
      <c r="X175" s="1">
        <v>0.16</v>
      </c>
      <c r="Y175" s="1">
        <v>0.16</v>
      </c>
      <c r="Z175" s="1">
        <v>0.16</v>
      </c>
      <c r="AA175" s="1">
        <v>0.16</v>
      </c>
      <c r="AB175" s="1">
        <v>0.16</v>
      </c>
      <c r="AC175" s="1">
        <v>0.16</v>
      </c>
      <c r="AD175" s="1">
        <v>0.16</v>
      </c>
      <c r="AE175" s="1">
        <v>0.16</v>
      </c>
      <c r="AF175" s="1">
        <v>0.16</v>
      </c>
      <c r="AG175" s="1">
        <v>0.16</v>
      </c>
      <c r="AH175" s="1">
        <v>0.16</v>
      </c>
      <c r="AI175" s="1">
        <v>0.16</v>
      </c>
      <c r="AJ175" s="1">
        <v>0.16</v>
      </c>
      <c r="AK175" s="1">
        <v>0.16</v>
      </c>
      <c r="AL175" s="1">
        <v>0.16</v>
      </c>
      <c r="AM175" s="1">
        <v>0.16</v>
      </c>
      <c r="AN175" s="1">
        <v>0.16</v>
      </c>
      <c r="AO175" s="1">
        <v>0.16</v>
      </c>
      <c r="AP175" s="1">
        <v>0.16</v>
      </c>
      <c r="AQ175" s="1">
        <v>0.16</v>
      </c>
      <c r="AR175" s="1">
        <v>0.16</v>
      </c>
      <c r="AS175" s="1">
        <v>0.16</v>
      </c>
      <c r="AT175" s="1">
        <v>0.16</v>
      </c>
      <c r="AU175" s="1">
        <v>0.16</v>
      </c>
      <c r="AV175" s="1">
        <v>0.16</v>
      </c>
      <c r="AW175" s="1">
        <v>0.16</v>
      </c>
      <c r="AX175" s="1">
        <v>0.16</v>
      </c>
      <c r="AY175" s="1">
        <v>0.16</v>
      </c>
      <c r="AZ175" s="1">
        <v>0.16</v>
      </c>
      <c r="BA175" s="1">
        <v>0.16</v>
      </c>
      <c r="BC175" t="s">
        <v>286</v>
      </c>
      <c r="BD175" t="str">
        <f t="shared" si="158"/>
        <v>TRLTRAGSL</v>
      </c>
      <c r="BU175">
        <v>0.41</v>
      </c>
      <c r="BV175" t="s">
        <v>42</v>
      </c>
    </row>
    <row r="176" spans="3:74">
      <c r="C176" t="str">
        <f t="shared" si="156"/>
        <v>GAS</v>
      </c>
      <c r="D176" t="str">
        <f t="shared" si="157"/>
        <v>TRC</v>
      </c>
      <c r="E176" t="s">
        <v>189</v>
      </c>
      <c r="F176" s="1">
        <v>0.16</v>
      </c>
      <c r="G176" s="1">
        <v>0.16</v>
      </c>
      <c r="H176" s="1">
        <v>0.16</v>
      </c>
      <c r="I176" s="1">
        <v>0.16</v>
      </c>
      <c r="J176" s="1">
        <v>0.16</v>
      </c>
      <c r="K176" s="1">
        <v>0.16</v>
      </c>
      <c r="L176" s="1">
        <v>0.16</v>
      </c>
      <c r="M176" s="1">
        <v>0.16</v>
      </c>
      <c r="N176" s="1">
        <v>0.16</v>
      </c>
      <c r="O176" s="1">
        <v>0.16</v>
      </c>
      <c r="P176" s="1">
        <v>0.16</v>
      </c>
      <c r="Q176" s="1">
        <v>0.16</v>
      </c>
      <c r="R176" s="1">
        <v>0.16</v>
      </c>
      <c r="S176" s="1">
        <v>0.16</v>
      </c>
      <c r="T176" s="1">
        <v>0.16</v>
      </c>
      <c r="U176" s="1">
        <v>0.16</v>
      </c>
      <c r="V176" s="1">
        <v>0.16</v>
      </c>
      <c r="W176" s="1">
        <v>0.16</v>
      </c>
      <c r="X176" s="1">
        <v>0.16</v>
      </c>
      <c r="Y176" s="1">
        <v>0.16</v>
      </c>
      <c r="Z176" s="1">
        <v>0.16</v>
      </c>
      <c r="AA176" s="1">
        <v>0.16</v>
      </c>
      <c r="AB176" s="1">
        <v>0.16</v>
      </c>
      <c r="AC176" s="1">
        <v>0.16</v>
      </c>
      <c r="AD176" s="1">
        <v>0.16</v>
      </c>
      <c r="AE176" s="1">
        <v>0.16</v>
      </c>
      <c r="AF176" s="1">
        <v>0.16</v>
      </c>
      <c r="AG176" s="1">
        <v>0.16</v>
      </c>
      <c r="AH176" s="1">
        <v>0.16</v>
      </c>
      <c r="AI176" s="1">
        <v>0.16</v>
      </c>
      <c r="AJ176" s="1">
        <v>0.16</v>
      </c>
      <c r="AK176" s="1">
        <v>0.16</v>
      </c>
      <c r="AL176" s="1">
        <v>0.16</v>
      </c>
      <c r="AM176" s="1">
        <v>0.16</v>
      </c>
      <c r="AN176" s="1">
        <v>0.16</v>
      </c>
      <c r="AO176" s="1">
        <v>0.16</v>
      </c>
      <c r="AP176" s="1">
        <v>0.16</v>
      </c>
      <c r="AQ176" s="1">
        <v>0.16</v>
      </c>
      <c r="AR176" s="1">
        <v>0.16</v>
      </c>
      <c r="AS176" s="1">
        <v>0.16</v>
      </c>
      <c r="AT176" s="1">
        <v>0.16</v>
      </c>
      <c r="AU176" s="1">
        <v>0.16</v>
      </c>
      <c r="AV176" s="1">
        <v>0.16</v>
      </c>
      <c r="AW176" s="1">
        <v>0.16</v>
      </c>
      <c r="AX176" s="1">
        <v>0.16</v>
      </c>
      <c r="AY176" s="1">
        <v>0.16</v>
      </c>
      <c r="AZ176" s="1">
        <v>0.16</v>
      </c>
      <c r="BA176" s="1">
        <v>0.16</v>
      </c>
      <c r="BC176" t="s">
        <v>287</v>
      </c>
      <c r="BD176" t="str">
        <f t="shared" si="158"/>
        <v>TRLTRALPG</v>
      </c>
      <c r="BU176">
        <v>0.34</v>
      </c>
      <c r="BV176" t="s">
        <v>39</v>
      </c>
    </row>
    <row r="177" spans="3:74">
      <c r="C177" t="str">
        <f t="shared" si="156"/>
        <v>LPG</v>
      </c>
      <c r="D177" t="str">
        <f t="shared" si="157"/>
        <v>TRC</v>
      </c>
      <c r="E177" t="s">
        <v>190</v>
      </c>
      <c r="F177" s="1">
        <v>0.18</v>
      </c>
      <c r="G177" s="1">
        <v>0.18</v>
      </c>
      <c r="H177" s="1">
        <v>0.18</v>
      </c>
      <c r="I177" s="1">
        <v>0.18</v>
      </c>
      <c r="J177" s="1">
        <v>0.18</v>
      </c>
      <c r="K177" s="1">
        <v>0.18</v>
      </c>
      <c r="L177" s="1">
        <v>0.18</v>
      </c>
      <c r="M177" s="1">
        <v>0.18</v>
      </c>
      <c r="N177" s="1">
        <v>0.18</v>
      </c>
      <c r="O177" s="1">
        <v>0.18</v>
      </c>
      <c r="P177" s="1">
        <v>0.18</v>
      </c>
      <c r="Q177" s="1">
        <v>0.18</v>
      </c>
      <c r="R177" s="1">
        <v>0.18</v>
      </c>
      <c r="S177" s="1">
        <v>0.18</v>
      </c>
      <c r="T177" s="1">
        <v>0.18</v>
      </c>
      <c r="U177" s="1">
        <v>0.18</v>
      </c>
      <c r="V177" s="1">
        <v>0.18</v>
      </c>
      <c r="W177" s="1">
        <v>0.18</v>
      </c>
      <c r="X177" s="1">
        <v>0.18</v>
      </c>
      <c r="Y177" s="1">
        <v>0.18</v>
      </c>
      <c r="Z177" s="1">
        <v>0.18</v>
      </c>
      <c r="AA177" s="1">
        <v>0.18</v>
      </c>
      <c r="AB177" s="1">
        <v>0.18</v>
      </c>
      <c r="AC177" s="1">
        <v>0.18</v>
      </c>
      <c r="AD177" s="1">
        <v>0.18</v>
      </c>
      <c r="AE177" s="1">
        <v>0.18</v>
      </c>
      <c r="AF177" s="1">
        <v>0.18</v>
      </c>
      <c r="AG177" s="1">
        <v>0.18</v>
      </c>
      <c r="AH177" s="1">
        <v>0.18</v>
      </c>
      <c r="AI177" s="1">
        <v>0.18</v>
      </c>
      <c r="AJ177" s="1">
        <v>0.18</v>
      </c>
      <c r="AK177" s="1">
        <v>0.18</v>
      </c>
      <c r="AL177" s="1">
        <v>0.18</v>
      </c>
      <c r="AM177" s="1">
        <v>0.18</v>
      </c>
      <c r="AN177" s="1">
        <v>0.18</v>
      </c>
      <c r="AO177" s="1">
        <v>0.18</v>
      </c>
      <c r="AP177" s="1">
        <v>0.18</v>
      </c>
      <c r="AQ177" s="1">
        <v>0.18</v>
      </c>
      <c r="AR177" s="1">
        <v>0.18</v>
      </c>
      <c r="AS177" s="1">
        <v>0.18</v>
      </c>
      <c r="AT177" s="1">
        <v>0.18</v>
      </c>
      <c r="AU177" s="1">
        <v>0.18</v>
      </c>
      <c r="AV177" s="1">
        <v>0.18</v>
      </c>
      <c r="AW177" s="1">
        <v>0.18</v>
      </c>
      <c r="AX177" s="1">
        <v>0.18</v>
      </c>
      <c r="AY177" s="1">
        <v>0.18</v>
      </c>
      <c r="AZ177" s="1">
        <v>0.18</v>
      </c>
      <c r="BA177" s="1">
        <v>0.18</v>
      </c>
      <c r="BC177" t="s">
        <v>288</v>
      </c>
      <c r="BD177" t="str">
        <f t="shared" si="158"/>
        <v>TRLTRABGS</v>
      </c>
      <c r="BU177">
        <v>0.39</v>
      </c>
      <c r="BV177" t="s">
        <v>33</v>
      </c>
    </row>
    <row r="178" spans="3:74">
      <c r="C178" t="str">
        <f t="shared" si="156"/>
        <v>MET</v>
      </c>
      <c r="D178" t="str">
        <f t="shared" si="157"/>
        <v>TRC</v>
      </c>
      <c r="E178" t="s">
        <v>191</v>
      </c>
      <c r="F178" s="1">
        <v>0.16</v>
      </c>
      <c r="G178" s="1">
        <v>0.16</v>
      </c>
      <c r="H178" s="1">
        <v>0.16</v>
      </c>
      <c r="I178" s="1">
        <v>0.16</v>
      </c>
      <c r="J178" s="1">
        <v>0.16</v>
      </c>
      <c r="K178" s="1">
        <v>0.16</v>
      </c>
      <c r="L178" s="1">
        <v>0.16</v>
      </c>
      <c r="M178" s="1">
        <v>0.16</v>
      </c>
      <c r="N178" s="1">
        <v>0.16</v>
      </c>
      <c r="O178" s="1">
        <v>0.16</v>
      </c>
      <c r="P178" s="1">
        <v>0.16</v>
      </c>
      <c r="Q178" s="1">
        <v>0.16</v>
      </c>
      <c r="R178" s="1">
        <v>0.16</v>
      </c>
      <c r="S178" s="1">
        <v>0.16</v>
      </c>
      <c r="T178" s="1">
        <v>0.16</v>
      </c>
      <c r="U178" s="1">
        <v>0.16</v>
      </c>
      <c r="V178" s="1">
        <v>0.16</v>
      </c>
      <c r="W178" s="1">
        <v>0.16</v>
      </c>
      <c r="X178" s="1">
        <v>0.16</v>
      </c>
      <c r="Y178" s="1">
        <v>0.16</v>
      </c>
      <c r="Z178" s="1">
        <v>0.16</v>
      </c>
      <c r="AA178" s="1">
        <v>0.16</v>
      </c>
      <c r="AB178" s="1">
        <v>0.16</v>
      </c>
      <c r="AC178" s="1">
        <v>0.16</v>
      </c>
      <c r="AD178" s="1">
        <v>0.16</v>
      </c>
      <c r="AE178" s="1">
        <v>0.16</v>
      </c>
      <c r="AF178" s="1">
        <v>0.16</v>
      </c>
      <c r="AG178" s="1">
        <v>0.16</v>
      </c>
      <c r="AH178" s="1">
        <v>0.16</v>
      </c>
      <c r="AI178" s="1">
        <v>0.16</v>
      </c>
      <c r="AJ178" s="1">
        <v>0.16</v>
      </c>
      <c r="AK178" s="1">
        <v>0.16</v>
      </c>
      <c r="AL178" s="1">
        <v>0.16</v>
      </c>
      <c r="AM178" s="1">
        <v>0.16</v>
      </c>
      <c r="AN178" s="1">
        <v>0.16</v>
      </c>
      <c r="AO178" s="1">
        <v>0.16</v>
      </c>
      <c r="AP178" s="1">
        <v>0.16</v>
      </c>
      <c r="AQ178" s="1">
        <v>0.16</v>
      </c>
      <c r="AR178" s="1">
        <v>0.16</v>
      </c>
      <c r="AS178" s="1">
        <v>0.16</v>
      </c>
      <c r="AT178" s="1">
        <v>0.16</v>
      </c>
      <c r="AU178" s="1">
        <v>0.16</v>
      </c>
      <c r="AV178" s="1">
        <v>0.16</v>
      </c>
      <c r="AW178" s="1">
        <v>0.16</v>
      </c>
      <c r="AX178" s="1">
        <v>0.16</v>
      </c>
      <c r="AY178" s="1">
        <v>0.16</v>
      </c>
      <c r="AZ178" s="1">
        <v>0.16</v>
      </c>
      <c r="BA178" s="1">
        <v>0.16</v>
      </c>
      <c r="BC178" t="s">
        <v>289</v>
      </c>
      <c r="BD178" t="str">
        <f t="shared" si="158"/>
        <v>TRLTRANGA</v>
      </c>
      <c r="BU178">
        <v>0.34</v>
      </c>
      <c r="BV178" t="s">
        <v>38</v>
      </c>
    </row>
    <row r="179" spans="3:74">
      <c r="C179" t="str">
        <f t="shared" si="156"/>
        <v>NGA</v>
      </c>
      <c r="D179" t="str">
        <f t="shared" si="157"/>
        <v>TRC</v>
      </c>
      <c r="E179" t="s">
        <v>192</v>
      </c>
      <c r="F179" s="1">
        <v>0.16</v>
      </c>
      <c r="G179" s="1">
        <v>0.16</v>
      </c>
      <c r="H179" s="1">
        <v>0.16</v>
      </c>
      <c r="I179" s="1">
        <v>0.16</v>
      </c>
      <c r="J179" s="1">
        <v>0.16</v>
      </c>
      <c r="K179" s="1">
        <v>0.16</v>
      </c>
      <c r="L179" s="1">
        <v>0.16</v>
      </c>
      <c r="M179" s="1">
        <v>0.16</v>
      </c>
      <c r="N179" s="1">
        <v>0.16</v>
      </c>
      <c r="O179" s="1">
        <v>0.16</v>
      </c>
      <c r="P179" s="1">
        <v>0.16</v>
      </c>
      <c r="Q179" s="1">
        <v>0.16</v>
      </c>
      <c r="R179" s="1">
        <v>0.16</v>
      </c>
      <c r="S179" s="1">
        <v>0.16</v>
      </c>
      <c r="T179" s="1">
        <v>0.16</v>
      </c>
      <c r="U179" s="1">
        <v>0.16</v>
      </c>
      <c r="V179" s="1">
        <v>0.16</v>
      </c>
      <c r="W179" s="1">
        <v>0.16</v>
      </c>
      <c r="X179" s="1">
        <v>0.16</v>
      </c>
      <c r="Y179" s="1">
        <v>0.16</v>
      </c>
      <c r="Z179" s="1">
        <v>0.16</v>
      </c>
      <c r="AA179" s="1">
        <v>0.16</v>
      </c>
      <c r="AB179" s="1">
        <v>0.16</v>
      </c>
      <c r="AC179" s="1">
        <v>0.16</v>
      </c>
      <c r="AD179" s="1">
        <v>0.16</v>
      </c>
      <c r="AE179" s="1">
        <v>0.16</v>
      </c>
      <c r="AF179" s="1">
        <v>0.16</v>
      </c>
      <c r="AG179" s="1">
        <v>0.16</v>
      </c>
      <c r="AH179" s="1">
        <v>0.16</v>
      </c>
      <c r="AI179" s="1">
        <v>0.16</v>
      </c>
      <c r="AJ179" s="1">
        <v>0.16</v>
      </c>
      <c r="AK179" s="1">
        <v>0.16</v>
      </c>
      <c r="AL179" s="1">
        <v>0.16</v>
      </c>
      <c r="AM179" s="1">
        <v>0.16</v>
      </c>
      <c r="AN179" s="1">
        <v>0.16</v>
      </c>
      <c r="AO179" s="1">
        <v>0.16</v>
      </c>
      <c r="AP179" s="1">
        <v>0.16</v>
      </c>
      <c r="AQ179" s="1">
        <v>0.16</v>
      </c>
      <c r="AR179" s="1">
        <v>0.16</v>
      </c>
      <c r="AS179" s="1">
        <v>0.16</v>
      </c>
      <c r="AT179" s="1">
        <v>0.16</v>
      </c>
      <c r="AU179" s="1">
        <v>0.16</v>
      </c>
      <c r="AV179" s="1">
        <v>0.16</v>
      </c>
      <c r="AW179" s="1">
        <v>0.16</v>
      </c>
      <c r="AX179" s="1">
        <v>0.16</v>
      </c>
      <c r="AY179" s="1">
        <v>0.16</v>
      </c>
      <c r="AZ179" s="1">
        <v>0.16</v>
      </c>
      <c r="BA179" s="1">
        <v>0.16</v>
      </c>
      <c r="BC179" t="s">
        <v>290</v>
      </c>
      <c r="BD179" t="str">
        <f t="shared" si="158"/>
        <v>TRMTRADST</v>
      </c>
      <c r="BU179">
        <v>0.15</v>
      </c>
      <c r="BV179" t="s">
        <v>41</v>
      </c>
    </row>
    <row r="180" spans="3:74">
      <c r="C180" t="str">
        <f t="shared" si="156"/>
        <v>DST</v>
      </c>
      <c r="D180" t="str">
        <f t="shared" si="157"/>
        <v>TRE</v>
      </c>
      <c r="E180" t="s">
        <v>193</v>
      </c>
      <c r="F180" s="1">
        <v>0.4</v>
      </c>
      <c r="G180" s="1">
        <v>0.4</v>
      </c>
      <c r="H180" s="1">
        <v>0.4</v>
      </c>
      <c r="I180" s="1">
        <v>0.4</v>
      </c>
      <c r="J180" s="1">
        <v>0.4</v>
      </c>
      <c r="K180" s="1">
        <v>0.4</v>
      </c>
      <c r="L180" s="1">
        <v>0.4</v>
      </c>
      <c r="M180" s="1">
        <v>0.4</v>
      </c>
      <c r="N180" s="1">
        <v>0.4</v>
      </c>
      <c r="O180" s="1">
        <v>0.4</v>
      </c>
      <c r="P180" s="1">
        <v>0.4</v>
      </c>
      <c r="Q180" s="1">
        <v>0.4</v>
      </c>
      <c r="R180" s="1">
        <v>0.4</v>
      </c>
      <c r="S180" s="1">
        <v>0.4</v>
      </c>
      <c r="T180" s="1">
        <v>0.4</v>
      </c>
      <c r="U180" s="1">
        <v>0.4</v>
      </c>
      <c r="V180" s="1">
        <v>0.4</v>
      </c>
      <c r="W180" s="1">
        <v>0.4</v>
      </c>
      <c r="X180" s="1">
        <v>0.4</v>
      </c>
      <c r="Y180" s="1">
        <v>0.4</v>
      </c>
      <c r="Z180" s="1">
        <v>0.4</v>
      </c>
      <c r="AA180" s="1">
        <v>0.4</v>
      </c>
      <c r="AB180" s="1">
        <v>0.4</v>
      </c>
      <c r="AC180" s="1">
        <v>0.4</v>
      </c>
      <c r="AD180" s="1">
        <v>0.4</v>
      </c>
      <c r="AE180" s="1">
        <v>0.4</v>
      </c>
      <c r="AF180" s="1">
        <v>0.4</v>
      </c>
      <c r="AG180" s="1">
        <v>0.4</v>
      </c>
      <c r="AH180" s="1">
        <v>0.4</v>
      </c>
      <c r="AI180" s="1">
        <v>0.4</v>
      </c>
      <c r="AJ180" s="1">
        <v>0.4</v>
      </c>
      <c r="AK180" s="1">
        <v>0.4</v>
      </c>
      <c r="AL180" s="1">
        <v>0.4</v>
      </c>
      <c r="AM180" s="1">
        <v>0.4</v>
      </c>
      <c r="AN180" s="1">
        <v>0.4</v>
      </c>
      <c r="AO180" s="1">
        <v>0.4</v>
      </c>
      <c r="AP180" s="1">
        <v>0.4</v>
      </c>
      <c r="AQ180" s="1">
        <v>0.4</v>
      </c>
      <c r="AR180" s="1">
        <v>0.4</v>
      </c>
      <c r="AS180" s="1">
        <v>0.4</v>
      </c>
      <c r="AT180" s="1">
        <v>0.4</v>
      </c>
      <c r="AU180" s="1">
        <v>0.4</v>
      </c>
      <c r="AV180" s="1">
        <v>0.4</v>
      </c>
      <c r="AW180" s="1">
        <v>0.4</v>
      </c>
      <c r="AX180" s="1">
        <v>0.4</v>
      </c>
      <c r="AY180" s="1">
        <v>0.4</v>
      </c>
      <c r="AZ180" s="1">
        <v>0.4</v>
      </c>
      <c r="BA180" s="1">
        <v>0.4</v>
      </c>
      <c r="BC180" t="s">
        <v>291</v>
      </c>
      <c r="BD180" t="str">
        <f t="shared" si="158"/>
        <v>TRMTRADST</v>
      </c>
      <c r="BU180">
        <v>0.16</v>
      </c>
      <c r="BV180" t="s">
        <v>41</v>
      </c>
    </row>
    <row r="181" spans="3:74">
      <c r="C181" t="str">
        <f t="shared" si="156"/>
        <v>GSL</v>
      </c>
      <c r="D181" t="str">
        <f t="shared" si="157"/>
        <v>TRE</v>
      </c>
      <c r="E181" t="s">
        <v>194</v>
      </c>
      <c r="F181" s="1">
        <v>0.5</v>
      </c>
      <c r="G181" s="1">
        <v>0.5</v>
      </c>
      <c r="H181" s="1">
        <v>0.5</v>
      </c>
      <c r="I181" s="1">
        <v>0.5</v>
      </c>
      <c r="J181" s="1">
        <v>0.5</v>
      </c>
      <c r="K181" s="1">
        <v>0.5</v>
      </c>
      <c r="L181" s="1">
        <v>0.5</v>
      </c>
      <c r="M181" s="1">
        <v>0.5</v>
      </c>
      <c r="N181" s="1">
        <v>0.5</v>
      </c>
      <c r="O181" s="1">
        <v>0.5</v>
      </c>
      <c r="P181" s="1">
        <v>0.5</v>
      </c>
      <c r="Q181" s="1">
        <v>0.5</v>
      </c>
      <c r="R181" s="1">
        <v>0.5</v>
      </c>
      <c r="S181" s="1">
        <v>0.5</v>
      </c>
      <c r="T181" s="1">
        <v>0.5</v>
      </c>
      <c r="U181" s="1">
        <v>0.5</v>
      </c>
      <c r="V181" s="1">
        <v>0.5</v>
      </c>
      <c r="W181" s="1">
        <v>0.5</v>
      </c>
      <c r="X181" s="1">
        <v>0.5</v>
      </c>
      <c r="Y181" s="1">
        <v>0.5</v>
      </c>
      <c r="Z181" s="1">
        <v>0.5</v>
      </c>
      <c r="AA181" s="1">
        <v>0.5</v>
      </c>
      <c r="AB181" s="1">
        <v>0.5</v>
      </c>
      <c r="AC181" s="1">
        <v>0.5</v>
      </c>
      <c r="AD181" s="1">
        <v>0.5</v>
      </c>
      <c r="AE181" s="1">
        <v>0.5</v>
      </c>
      <c r="AF181" s="1">
        <v>0.5</v>
      </c>
      <c r="AG181" s="1">
        <v>0.5</v>
      </c>
      <c r="AH181" s="1">
        <v>0.5</v>
      </c>
      <c r="AI181" s="1">
        <v>0.5</v>
      </c>
      <c r="AJ181" s="1">
        <v>0.5</v>
      </c>
      <c r="AK181" s="1">
        <v>0.5</v>
      </c>
      <c r="AL181" s="1">
        <v>0.5</v>
      </c>
      <c r="AM181" s="1">
        <v>0.5</v>
      </c>
      <c r="AN181" s="1">
        <v>0.5</v>
      </c>
      <c r="AO181" s="1">
        <v>0.5</v>
      </c>
      <c r="AP181" s="1">
        <v>0.5</v>
      </c>
      <c r="AQ181" s="1">
        <v>0.5</v>
      </c>
      <c r="AR181" s="1">
        <v>0.5</v>
      </c>
      <c r="AS181" s="1">
        <v>0.5</v>
      </c>
      <c r="AT181" s="1">
        <v>0.5</v>
      </c>
      <c r="AU181" s="1">
        <v>0.5</v>
      </c>
      <c r="AV181" s="1">
        <v>0.5</v>
      </c>
      <c r="AW181" s="1">
        <v>0.5</v>
      </c>
      <c r="AX181" s="1">
        <v>0.5</v>
      </c>
      <c r="AY181" s="1">
        <v>0.5</v>
      </c>
      <c r="AZ181" s="1">
        <v>0.5</v>
      </c>
      <c r="BA181" s="1">
        <v>0.5</v>
      </c>
      <c r="BC181" t="s">
        <v>292</v>
      </c>
      <c r="BD181" t="str">
        <f t="shared" si="158"/>
        <v>TRMTRADST</v>
      </c>
      <c r="BU181">
        <v>0.13</v>
      </c>
      <c r="BV181" t="s">
        <v>41</v>
      </c>
    </row>
    <row r="182" spans="3:74">
      <c r="C182" t="str">
        <f t="shared" si="156"/>
        <v>DSA</v>
      </c>
      <c r="D182" t="str">
        <f t="shared" si="157"/>
        <v>TRH</v>
      </c>
      <c r="E182" t="s">
        <v>195</v>
      </c>
      <c r="F182" s="1">
        <v>0.1</v>
      </c>
      <c r="G182" s="1">
        <v>0.1</v>
      </c>
      <c r="H182" s="1">
        <v>0.1</v>
      </c>
      <c r="I182" s="1">
        <v>0.1</v>
      </c>
      <c r="J182" s="1">
        <v>0.1</v>
      </c>
      <c r="K182" s="1">
        <v>0.1</v>
      </c>
      <c r="L182" s="1">
        <v>0.1</v>
      </c>
      <c r="M182" s="1">
        <v>0.1</v>
      </c>
      <c r="N182" s="1">
        <v>0.1</v>
      </c>
      <c r="O182" s="1">
        <v>0.1</v>
      </c>
      <c r="P182" s="1">
        <v>0.1</v>
      </c>
      <c r="Q182" s="1">
        <v>0.1</v>
      </c>
      <c r="R182" s="1">
        <v>0.1</v>
      </c>
      <c r="S182" s="1">
        <v>0.1</v>
      </c>
      <c r="T182" s="1">
        <v>0.1</v>
      </c>
      <c r="U182" s="1">
        <v>0.1</v>
      </c>
      <c r="V182" s="1">
        <v>0.1</v>
      </c>
      <c r="W182" s="1">
        <v>0.1</v>
      </c>
      <c r="X182" s="1">
        <v>0.1</v>
      </c>
      <c r="Y182" s="1">
        <v>0.1</v>
      </c>
      <c r="Z182" s="1">
        <v>0.1</v>
      </c>
      <c r="AA182" s="1">
        <v>0.1</v>
      </c>
      <c r="AB182" s="1">
        <v>0.1</v>
      </c>
      <c r="AC182" s="1">
        <v>0.1</v>
      </c>
      <c r="AD182" s="1">
        <v>0.1</v>
      </c>
      <c r="AE182" s="1">
        <v>0.1</v>
      </c>
      <c r="AF182" s="1">
        <v>0.1</v>
      </c>
      <c r="AG182" s="1">
        <v>0.1</v>
      </c>
      <c r="AH182" s="1">
        <v>0.1</v>
      </c>
      <c r="AI182" s="1">
        <v>0.1</v>
      </c>
      <c r="AJ182" s="1">
        <v>0.1</v>
      </c>
      <c r="AK182" s="1">
        <v>0.1</v>
      </c>
      <c r="AL182" s="1">
        <v>0.1</v>
      </c>
      <c r="AM182" s="1">
        <v>0.1</v>
      </c>
      <c r="AN182" s="1">
        <v>0.1</v>
      </c>
      <c r="AO182" s="1">
        <v>0.1</v>
      </c>
      <c r="AP182" s="1">
        <v>0.1</v>
      </c>
      <c r="AQ182" s="1">
        <v>0.1</v>
      </c>
      <c r="AR182" s="1">
        <v>0.1</v>
      </c>
      <c r="AS182" s="1">
        <v>0.1</v>
      </c>
      <c r="AT182" s="1">
        <v>0.1</v>
      </c>
      <c r="AU182" s="1">
        <v>0.1</v>
      </c>
      <c r="AV182" s="1">
        <v>0.1</v>
      </c>
      <c r="AW182" s="1">
        <v>0.1</v>
      </c>
      <c r="AX182" s="1">
        <v>0.1</v>
      </c>
      <c r="AY182" s="1">
        <v>0.1</v>
      </c>
      <c r="AZ182" s="1">
        <v>0.1</v>
      </c>
      <c r="BA182" s="1">
        <v>0.1</v>
      </c>
      <c r="BC182" t="s">
        <v>293</v>
      </c>
      <c r="BD182" t="str">
        <f t="shared" si="158"/>
        <v>TRMTRABGS</v>
      </c>
      <c r="BU182">
        <v>0.15</v>
      </c>
      <c r="BV182" t="s">
        <v>33</v>
      </c>
    </row>
    <row r="183" spans="3:74">
      <c r="C183" t="str">
        <f t="shared" si="156"/>
        <v>DSB</v>
      </c>
      <c r="D183" t="str">
        <f t="shared" si="157"/>
        <v>TRH</v>
      </c>
      <c r="E183" t="s">
        <v>196</v>
      </c>
      <c r="F183" s="1">
        <v>0.12</v>
      </c>
      <c r="G183" s="1">
        <v>0.12</v>
      </c>
      <c r="H183" s="1">
        <v>0.12</v>
      </c>
      <c r="I183" s="1">
        <v>0.12</v>
      </c>
      <c r="J183" s="1">
        <v>0.12</v>
      </c>
      <c r="K183" s="1">
        <v>0.12</v>
      </c>
      <c r="L183" s="1">
        <v>0.12</v>
      </c>
      <c r="M183" s="1">
        <v>0.12</v>
      </c>
      <c r="N183" s="1">
        <v>0.12</v>
      </c>
      <c r="O183" s="1">
        <v>0.12</v>
      </c>
      <c r="P183" s="1">
        <v>0.12</v>
      </c>
      <c r="Q183" s="1">
        <v>0.12</v>
      </c>
      <c r="R183" s="1">
        <v>0.12</v>
      </c>
      <c r="S183" s="1">
        <v>0.12</v>
      </c>
      <c r="T183" s="1">
        <v>0.12</v>
      </c>
      <c r="U183" s="1">
        <v>0.12</v>
      </c>
      <c r="V183" s="1">
        <v>0.12</v>
      </c>
      <c r="W183" s="1">
        <v>0.12</v>
      </c>
      <c r="X183" s="1">
        <v>0.12</v>
      </c>
      <c r="Y183" s="1">
        <v>0.12</v>
      </c>
      <c r="Z183" s="1">
        <v>0.12</v>
      </c>
      <c r="AA183" s="1">
        <v>0.12</v>
      </c>
      <c r="AB183" s="1">
        <v>0.12</v>
      </c>
      <c r="AC183" s="1">
        <v>0.12</v>
      </c>
      <c r="AD183" s="1">
        <v>0.12</v>
      </c>
      <c r="AE183" s="1">
        <v>0.12</v>
      </c>
      <c r="AF183" s="1">
        <v>0.12</v>
      </c>
      <c r="AG183" s="1">
        <v>0.12</v>
      </c>
      <c r="AH183" s="1">
        <v>0.12</v>
      </c>
      <c r="AI183" s="1">
        <v>0.12</v>
      </c>
      <c r="AJ183" s="1">
        <v>0.12</v>
      </c>
      <c r="AK183" s="1">
        <v>0.12</v>
      </c>
      <c r="AL183" s="1">
        <v>0.12</v>
      </c>
      <c r="AM183" s="1">
        <v>0.12</v>
      </c>
      <c r="AN183" s="1">
        <v>0.12</v>
      </c>
      <c r="AO183" s="1">
        <v>0.12</v>
      </c>
      <c r="AP183" s="1">
        <v>0.12</v>
      </c>
      <c r="AQ183" s="1">
        <v>0.12</v>
      </c>
      <c r="AR183" s="1">
        <v>0.12</v>
      </c>
      <c r="AS183" s="1">
        <v>0.12</v>
      </c>
      <c r="AT183" s="1">
        <v>0.12</v>
      </c>
      <c r="AU183" s="1">
        <v>0.12</v>
      </c>
      <c r="AV183" s="1">
        <v>0.12</v>
      </c>
      <c r="AW183" s="1">
        <v>0.12</v>
      </c>
      <c r="AX183" s="1">
        <v>0.12</v>
      </c>
      <c r="AY183" s="1">
        <v>0.12</v>
      </c>
      <c r="AZ183" s="1">
        <v>0.12</v>
      </c>
      <c r="BA183" s="1">
        <v>0.12</v>
      </c>
      <c r="BC183" t="s">
        <v>294</v>
      </c>
      <c r="BD183" t="str">
        <f t="shared" si="158"/>
        <v>TRMTRABGS</v>
      </c>
      <c r="BU183">
        <v>0.12</v>
      </c>
      <c r="BV183" t="s">
        <v>33</v>
      </c>
    </row>
    <row r="184" spans="3:74">
      <c r="C184" t="str">
        <f t="shared" si="156"/>
        <v>DST</v>
      </c>
      <c r="D184" t="str">
        <f t="shared" si="157"/>
        <v>TRH</v>
      </c>
      <c r="E184" t="s">
        <v>197</v>
      </c>
      <c r="F184" s="1">
        <v>0.08</v>
      </c>
      <c r="G184" s="1">
        <v>0.08</v>
      </c>
      <c r="H184" s="1">
        <v>0.08</v>
      </c>
      <c r="I184" s="1">
        <v>0.08</v>
      </c>
      <c r="J184" s="1">
        <v>0.08</v>
      </c>
      <c r="K184" s="1">
        <v>0.08</v>
      </c>
      <c r="L184" s="1">
        <v>0.08</v>
      </c>
      <c r="M184" s="1">
        <v>0.08</v>
      </c>
      <c r="N184" s="1">
        <v>0.08</v>
      </c>
      <c r="O184" s="1">
        <v>0.08</v>
      </c>
      <c r="P184" s="1">
        <v>0.08</v>
      </c>
      <c r="Q184" s="1">
        <v>0.08</v>
      </c>
      <c r="R184" s="1">
        <v>0.08</v>
      </c>
      <c r="S184" s="1">
        <v>0.08</v>
      </c>
      <c r="T184" s="1">
        <v>0.08</v>
      </c>
      <c r="U184" s="1">
        <v>0.08</v>
      </c>
      <c r="V184" s="1">
        <v>0.08</v>
      </c>
      <c r="W184" s="1">
        <v>0.08</v>
      </c>
      <c r="X184" s="1">
        <v>0.08</v>
      </c>
      <c r="Y184" s="1">
        <v>0.08</v>
      </c>
      <c r="Z184" s="1">
        <v>0.08</v>
      </c>
      <c r="AA184" s="1">
        <v>0.08</v>
      </c>
      <c r="AB184" s="1">
        <v>0.08</v>
      </c>
      <c r="AC184" s="1">
        <v>0.08</v>
      </c>
      <c r="AD184" s="1">
        <v>0.08</v>
      </c>
      <c r="AE184" s="1">
        <v>0.08</v>
      </c>
      <c r="AF184" s="1">
        <v>0.08</v>
      </c>
      <c r="AG184" s="1">
        <v>0.08</v>
      </c>
      <c r="AH184" s="1">
        <v>0.08</v>
      </c>
      <c r="AI184" s="1">
        <v>0.08</v>
      </c>
      <c r="AJ184" s="1">
        <v>0.08</v>
      </c>
      <c r="AK184" s="1">
        <v>0.08</v>
      </c>
      <c r="AL184" s="1">
        <v>0.08</v>
      </c>
      <c r="AM184" s="1">
        <v>0.08</v>
      </c>
      <c r="AN184" s="1">
        <v>0.08</v>
      </c>
      <c r="AO184" s="1">
        <v>0.08</v>
      </c>
      <c r="AP184" s="1">
        <v>0.08</v>
      </c>
      <c r="AQ184" s="1">
        <v>0.08</v>
      </c>
      <c r="AR184" s="1">
        <v>0.08</v>
      </c>
      <c r="AS184" s="1">
        <v>0.08</v>
      </c>
      <c r="AT184" s="1">
        <v>0.08</v>
      </c>
      <c r="AU184" s="1">
        <v>0.08</v>
      </c>
      <c r="AV184" s="1">
        <v>0.08</v>
      </c>
      <c r="AW184" s="1">
        <v>0.08</v>
      </c>
      <c r="AX184" s="1">
        <v>0.08</v>
      </c>
      <c r="AY184" s="1">
        <v>0.08</v>
      </c>
      <c r="AZ184" s="1">
        <v>0.08</v>
      </c>
      <c r="BA184" s="1">
        <v>0.08</v>
      </c>
      <c r="BC184" t="s">
        <v>295</v>
      </c>
      <c r="BD184" t="str">
        <f t="shared" si="158"/>
        <v>TRMTRABGS</v>
      </c>
      <c r="BU184">
        <v>0.12</v>
      </c>
      <c r="BV184" t="s">
        <v>33</v>
      </c>
    </row>
    <row r="185" spans="3:74">
      <c r="C185" t="str">
        <f t="shared" si="156"/>
        <v>ETH</v>
      </c>
      <c r="D185" t="str">
        <f t="shared" si="157"/>
        <v>TRH</v>
      </c>
      <c r="E185" t="s">
        <v>198</v>
      </c>
      <c r="F185" s="1">
        <v>0.08</v>
      </c>
      <c r="G185" s="1">
        <v>0.08</v>
      </c>
      <c r="H185" s="1">
        <v>0.08</v>
      </c>
      <c r="I185" s="1">
        <v>0.08</v>
      </c>
      <c r="J185" s="1">
        <v>0.08</v>
      </c>
      <c r="K185" s="1">
        <v>0.08</v>
      </c>
      <c r="L185" s="1">
        <v>0.08</v>
      </c>
      <c r="M185" s="1">
        <v>0.08</v>
      </c>
      <c r="N185" s="1">
        <v>0.08</v>
      </c>
      <c r="O185" s="1">
        <v>0.08</v>
      </c>
      <c r="P185" s="1">
        <v>0.08</v>
      </c>
      <c r="Q185" s="1">
        <v>0.08</v>
      </c>
      <c r="R185" s="1">
        <v>0.08</v>
      </c>
      <c r="S185" s="1">
        <v>0.08</v>
      </c>
      <c r="T185" s="1">
        <v>0.08</v>
      </c>
      <c r="U185" s="1">
        <v>0.08</v>
      </c>
      <c r="V185" s="1">
        <v>0.08</v>
      </c>
      <c r="W185" s="1">
        <v>0.08</v>
      </c>
      <c r="X185" s="1">
        <v>0.08</v>
      </c>
      <c r="Y185" s="1">
        <v>0.08</v>
      </c>
      <c r="Z185" s="1">
        <v>0.08</v>
      </c>
      <c r="AA185" s="1">
        <v>0.08</v>
      </c>
      <c r="AB185" s="1">
        <v>0.08</v>
      </c>
      <c r="AC185" s="1">
        <v>0.08</v>
      </c>
      <c r="AD185" s="1">
        <v>0.08</v>
      </c>
      <c r="AE185" s="1">
        <v>0.08</v>
      </c>
      <c r="AF185" s="1">
        <v>0.08</v>
      </c>
      <c r="AG185" s="1">
        <v>0.08</v>
      </c>
      <c r="AH185" s="1">
        <v>0.08</v>
      </c>
      <c r="AI185" s="1">
        <v>0.08</v>
      </c>
      <c r="AJ185" s="1">
        <v>0.08</v>
      </c>
      <c r="AK185" s="1">
        <v>0.08</v>
      </c>
      <c r="AL185" s="1">
        <v>0.08</v>
      </c>
      <c r="AM185" s="1">
        <v>0.08</v>
      </c>
      <c r="AN185" s="1">
        <v>0.08</v>
      </c>
      <c r="AO185" s="1">
        <v>0.08</v>
      </c>
      <c r="AP185" s="1">
        <v>0.08</v>
      </c>
      <c r="AQ185" s="1">
        <v>0.08</v>
      </c>
      <c r="AR185" s="1">
        <v>0.08</v>
      </c>
      <c r="AS185" s="1">
        <v>0.08</v>
      </c>
      <c r="AT185" s="1">
        <v>0.08</v>
      </c>
      <c r="AU185" s="1">
        <v>0.08</v>
      </c>
      <c r="AV185" s="1">
        <v>0.08</v>
      </c>
      <c r="AW185" s="1">
        <v>0.08</v>
      </c>
      <c r="AX185" s="1">
        <v>0.08</v>
      </c>
      <c r="AY185" s="1">
        <v>0.08</v>
      </c>
      <c r="AZ185" s="1">
        <v>0.08</v>
      </c>
      <c r="BA185" s="1">
        <v>0.08</v>
      </c>
      <c r="BC185" t="s">
        <v>296</v>
      </c>
      <c r="BD185" t="str">
        <f t="shared" si="158"/>
        <v>TRMTRAGSL</v>
      </c>
      <c r="BU185">
        <v>0.12</v>
      </c>
      <c r="BV185" t="s">
        <v>42</v>
      </c>
    </row>
    <row r="186" spans="3:74">
      <c r="C186" t="str">
        <f t="shared" si="156"/>
        <v>GAS</v>
      </c>
      <c r="D186" t="str">
        <f t="shared" si="157"/>
        <v>TRH</v>
      </c>
      <c r="E186" t="s">
        <v>199</v>
      </c>
      <c r="F186" s="1">
        <v>0.06</v>
      </c>
      <c r="G186" s="1">
        <v>0.06</v>
      </c>
      <c r="H186" s="1">
        <v>0.06</v>
      </c>
      <c r="I186" s="1">
        <v>0.06</v>
      </c>
      <c r="J186" s="1">
        <v>0.06</v>
      </c>
      <c r="K186" s="1">
        <v>0.06</v>
      </c>
      <c r="L186" s="1">
        <v>0.06</v>
      </c>
      <c r="M186" s="1">
        <v>0.06</v>
      </c>
      <c r="N186" s="1">
        <v>0.06</v>
      </c>
      <c r="O186" s="1">
        <v>0.06</v>
      </c>
      <c r="P186" s="1">
        <v>0.06</v>
      </c>
      <c r="Q186" s="1">
        <v>0.06</v>
      </c>
      <c r="R186" s="1">
        <v>0.06</v>
      </c>
      <c r="S186" s="1">
        <v>0.06</v>
      </c>
      <c r="T186" s="1">
        <v>0.06</v>
      </c>
      <c r="U186" s="1">
        <v>0.06</v>
      </c>
      <c r="V186" s="1">
        <v>0.06</v>
      </c>
      <c r="W186" s="1">
        <v>0.06</v>
      </c>
      <c r="X186" s="1">
        <v>0.06</v>
      </c>
      <c r="Y186" s="1">
        <v>0.06</v>
      </c>
      <c r="Z186" s="1">
        <v>0.06</v>
      </c>
      <c r="AA186" s="1">
        <v>0.06</v>
      </c>
      <c r="AB186" s="1">
        <v>0.06</v>
      </c>
      <c r="AC186" s="1">
        <v>0.06</v>
      </c>
      <c r="AD186" s="1">
        <v>0.06</v>
      </c>
      <c r="AE186" s="1">
        <v>0.06</v>
      </c>
      <c r="AF186" s="1">
        <v>0.06</v>
      </c>
      <c r="AG186" s="1">
        <v>0.06</v>
      </c>
      <c r="AH186" s="1">
        <v>0.06</v>
      </c>
      <c r="AI186" s="1">
        <v>0.06</v>
      </c>
      <c r="AJ186" s="1">
        <v>0.06</v>
      </c>
      <c r="AK186" s="1">
        <v>0.06</v>
      </c>
      <c r="AL186" s="1">
        <v>0.06</v>
      </c>
      <c r="AM186" s="1">
        <v>0.06</v>
      </c>
      <c r="AN186" s="1">
        <v>0.06</v>
      </c>
      <c r="AO186" s="1">
        <v>0.06</v>
      </c>
      <c r="AP186" s="1">
        <v>0.06</v>
      </c>
      <c r="AQ186" s="1">
        <v>0.06</v>
      </c>
      <c r="AR186" s="1">
        <v>0.06</v>
      </c>
      <c r="AS186" s="1">
        <v>0.06</v>
      </c>
      <c r="AT186" s="1">
        <v>0.06</v>
      </c>
      <c r="AU186" s="1">
        <v>0.06</v>
      </c>
      <c r="AV186" s="1">
        <v>0.06</v>
      </c>
      <c r="AW186" s="1">
        <v>0.06</v>
      </c>
      <c r="AX186" s="1">
        <v>0.06</v>
      </c>
      <c r="AY186" s="1">
        <v>0.06</v>
      </c>
      <c r="AZ186" s="1">
        <v>0.06</v>
      </c>
      <c r="BA186" s="1">
        <v>0.06</v>
      </c>
      <c r="BC186" t="s">
        <v>297</v>
      </c>
      <c r="BD186" t="str">
        <f t="shared" si="158"/>
        <v>TRMTRALPG</v>
      </c>
      <c r="BU186">
        <v>0.15</v>
      </c>
      <c r="BV186" t="s">
        <v>39</v>
      </c>
    </row>
    <row r="187" spans="3:74">
      <c r="C187" t="str">
        <f t="shared" si="156"/>
        <v>LPG</v>
      </c>
      <c r="D187" t="str">
        <f t="shared" si="157"/>
        <v>TRH</v>
      </c>
      <c r="E187" t="s">
        <v>200</v>
      </c>
      <c r="F187" s="1">
        <v>0.05</v>
      </c>
      <c r="G187" s="1">
        <v>0.05</v>
      </c>
      <c r="H187" s="1">
        <v>0.05</v>
      </c>
      <c r="I187" s="1">
        <v>0.05</v>
      </c>
      <c r="J187" s="1">
        <v>0.05</v>
      </c>
      <c r="K187" s="1">
        <v>0.05</v>
      </c>
      <c r="L187" s="1">
        <v>0.05</v>
      </c>
      <c r="M187" s="1">
        <v>0.05</v>
      </c>
      <c r="N187" s="1">
        <v>0.05</v>
      </c>
      <c r="O187" s="1">
        <v>0.05</v>
      </c>
      <c r="P187" s="1">
        <v>0.05</v>
      </c>
      <c r="Q187" s="1">
        <v>0.05</v>
      </c>
      <c r="R187" s="1">
        <v>0.05</v>
      </c>
      <c r="S187" s="1">
        <v>0.05</v>
      </c>
      <c r="T187" s="1">
        <v>0.05</v>
      </c>
      <c r="U187" s="1">
        <v>0.05</v>
      </c>
      <c r="V187" s="1">
        <v>0.05</v>
      </c>
      <c r="W187" s="1">
        <v>0.05</v>
      </c>
      <c r="X187" s="1">
        <v>0.05</v>
      </c>
      <c r="Y187" s="1">
        <v>0.05</v>
      </c>
      <c r="Z187" s="1">
        <v>0.05</v>
      </c>
      <c r="AA187" s="1">
        <v>0.05</v>
      </c>
      <c r="AB187" s="1">
        <v>0.05</v>
      </c>
      <c r="AC187" s="1">
        <v>0.05</v>
      </c>
      <c r="AD187" s="1">
        <v>0.05</v>
      </c>
      <c r="AE187" s="1">
        <v>0.05</v>
      </c>
      <c r="AF187" s="1">
        <v>0.05</v>
      </c>
      <c r="AG187" s="1">
        <v>0.05</v>
      </c>
      <c r="AH187" s="1">
        <v>0.05</v>
      </c>
      <c r="AI187" s="1">
        <v>0.05</v>
      </c>
      <c r="AJ187" s="1">
        <v>0.05</v>
      </c>
      <c r="AK187" s="1">
        <v>0.05</v>
      </c>
      <c r="AL187" s="1">
        <v>0.05</v>
      </c>
      <c r="AM187" s="1">
        <v>0.05</v>
      </c>
      <c r="AN187" s="1">
        <v>0.05</v>
      </c>
      <c r="AO187" s="1">
        <v>0.05</v>
      </c>
      <c r="AP187" s="1">
        <v>0.05</v>
      </c>
      <c r="AQ187" s="1">
        <v>0.05</v>
      </c>
      <c r="AR187" s="1">
        <v>0.05</v>
      </c>
      <c r="AS187" s="1">
        <v>0.05</v>
      </c>
      <c r="AT187" s="1">
        <v>0.05</v>
      </c>
      <c r="AU187" s="1">
        <v>0.05</v>
      </c>
      <c r="AV187" s="1">
        <v>0.05</v>
      </c>
      <c r="AW187" s="1">
        <v>0.05</v>
      </c>
      <c r="AX187" s="1">
        <v>0.05</v>
      </c>
      <c r="AY187" s="1">
        <v>0.05</v>
      </c>
      <c r="AZ187" s="1">
        <v>0.05</v>
      </c>
      <c r="BA187" s="1">
        <v>0.05</v>
      </c>
      <c r="BC187" t="s">
        <v>298</v>
      </c>
      <c r="BD187" t="str">
        <f t="shared" si="158"/>
        <v>TRMTRABGS</v>
      </c>
      <c r="BU187">
        <v>0.12</v>
      </c>
      <c r="BV187" t="s">
        <v>33</v>
      </c>
    </row>
    <row r="188" spans="3:74">
      <c r="C188" t="str">
        <f t="shared" si="156"/>
        <v>MET</v>
      </c>
      <c r="D188" t="str">
        <f t="shared" si="157"/>
        <v>TRH</v>
      </c>
      <c r="E188" t="s">
        <v>201</v>
      </c>
      <c r="F188" s="1">
        <v>0.08</v>
      </c>
      <c r="G188" s="1">
        <v>0.08</v>
      </c>
      <c r="H188" s="1">
        <v>0.08</v>
      </c>
      <c r="I188" s="1">
        <v>0.08</v>
      </c>
      <c r="J188" s="1">
        <v>0.08</v>
      </c>
      <c r="K188" s="1">
        <v>0.08</v>
      </c>
      <c r="L188" s="1">
        <v>0.08</v>
      </c>
      <c r="M188" s="1">
        <v>0.08</v>
      </c>
      <c r="N188" s="1">
        <v>0.08</v>
      </c>
      <c r="O188" s="1">
        <v>0.08</v>
      </c>
      <c r="P188" s="1">
        <v>0.08</v>
      </c>
      <c r="Q188" s="1">
        <v>0.08</v>
      </c>
      <c r="R188" s="1">
        <v>0.08</v>
      </c>
      <c r="S188" s="1">
        <v>0.08</v>
      </c>
      <c r="T188" s="1">
        <v>0.08</v>
      </c>
      <c r="U188" s="1">
        <v>0.08</v>
      </c>
      <c r="V188" s="1">
        <v>0.08</v>
      </c>
      <c r="W188" s="1">
        <v>0.08</v>
      </c>
      <c r="X188" s="1">
        <v>0.08</v>
      </c>
      <c r="Y188" s="1">
        <v>0.08</v>
      </c>
      <c r="Z188" s="1">
        <v>0.08</v>
      </c>
      <c r="AA188" s="1">
        <v>0.08</v>
      </c>
      <c r="AB188" s="1">
        <v>0.08</v>
      </c>
      <c r="AC188" s="1">
        <v>0.08</v>
      </c>
      <c r="AD188" s="1">
        <v>0.08</v>
      </c>
      <c r="AE188" s="1">
        <v>0.08</v>
      </c>
      <c r="AF188" s="1">
        <v>0.08</v>
      </c>
      <c r="AG188" s="1">
        <v>0.08</v>
      </c>
      <c r="AH188" s="1">
        <v>0.08</v>
      </c>
      <c r="AI188" s="1">
        <v>0.08</v>
      </c>
      <c r="AJ188" s="1">
        <v>0.08</v>
      </c>
      <c r="AK188" s="1">
        <v>0.08</v>
      </c>
      <c r="AL188" s="1">
        <v>0.08</v>
      </c>
      <c r="AM188" s="1">
        <v>0.08</v>
      </c>
      <c r="AN188" s="1">
        <v>0.08</v>
      </c>
      <c r="AO188" s="1">
        <v>0.08</v>
      </c>
      <c r="AP188" s="1">
        <v>0.08</v>
      </c>
      <c r="AQ188" s="1">
        <v>0.08</v>
      </c>
      <c r="AR188" s="1">
        <v>0.08</v>
      </c>
      <c r="AS188" s="1">
        <v>0.08</v>
      </c>
      <c r="AT188" s="1">
        <v>0.08</v>
      </c>
      <c r="AU188" s="1">
        <v>0.08</v>
      </c>
      <c r="AV188" s="1">
        <v>0.08</v>
      </c>
      <c r="AW188" s="1">
        <v>0.08</v>
      </c>
      <c r="AX188" s="1">
        <v>0.08</v>
      </c>
      <c r="AY188" s="1">
        <v>0.08</v>
      </c>
      <c r="AZ188" s="1">
        <v>0.08</v>
      </c>
      <c r="BA188" s="1">
        <v>0.08</v>
      </c>
      <c r="BC188" t="s">
        <v>299</v>
      </c>
      <c r="BD188" t="str">
        <f t="shared" si="158"/>
        <v>TRMTRANGA</v>
      </c>
      <c r="BU188">
        <v>0.12</v>
      </c>
      <c r="BV188" t="s">
        <v>38</v>
      </c>
    </row>
    <row r="189" spans="3:74">
      <c r="C189" t="str">
        <f t="shared" si="156"/>
        <v>NGA</v>
      </c>
      <c r="D189" t="str">
        <f t="shared" si="157"/>
        <v>TRH</v>
      </c>
      <c r="E189" t="s">
        <v>202</v>
      </c>
      <c r="F189" s="1">
        <v>0.06</v>
      </c>
      <c r="G189" s="1">
        <v>0.06</v>
      </c>
      <c r="H189" s="1">
        <v>0.06</v>
      </c>
      <c r="I189" s="1">
        <v>0.06</v>
      </c>
      <c r="J189" s="1">
        <v>0.06</v>
      </c>
      <c r="K189" s="1">
        <v>0.06</v>
      </c>
      <c r="L189" s="1">
        <v>0.06</v>
      </c>
      <c r="M189" s="1">
        <v>0.06</v>
      </c>
      <c r="N189" s="1">
        <v>0.06</v>
      </c>
      <c r="O189" s="1">
        <v>0.06</v>
      </c>
      <c r="P189" s="1">
        <v>0.06</v>
      </c>
      <c r="Q189" s="1">
        <v>0.06</v>
      </c>
      <c r="R189" s="1">
        <v>0.06</v>
      </c>
      <c r="S189" s="1">
        <v>0.06</v>
      </c>
      <c r="T189" s="1">
        <v>0.06</v>
      </c>
      <c r="U189" s="1">
        <v>0.06</v>
      </c>
      <c r="V189" s="1">
        <v>0.06</v>
      </c>
      <c r="W189" s="1">
        <v>0.06</v>
      </c>
      <c r="X189" s="1">
        <v>0.06</v>
      </c>
      <c r="Y189" s="1">
        <v>0.06</v>
      </c>
      <c r="Z189" s="1">
        <v>0.06</v>
      </c>
      <c r="AA189" s="1">
        <v>0.06</v>
      </c>
      <c r="AB189" s="1">
        <v>0.06</v>
      </c>
      <c r="AC189" s="1">
        <v>0.06</v>
      </c>
      <c r="AD189" s="1">
        <v>0.06</v>
      </c>
      <c r="AE189" s="1">
        <v>0.06</v>
      </c>
      <c r="AF189" s="1">
        <v>0.06</v>
      </c>
      <c r="AG189" s="1">
        <v>0.06</v>
      </c>
      <c r="AH189" s="1">
        <v>0.06</v>
      </c>
      <c r="AI189" s="1">
        <v>0.06</v>
      </c>
      <c r="AJ189" s="1">
        <v>0.06</v>
      </c>
      <c r="AK189" s="1">
        <v>0.06</v>
      </c>
      <c r="AL189" s="1">
        <v>0.06</v>
      </c>
      <c r="AM189" s="1">
        <v>0.06</v>
      </c>
      <c r="AN189" s="1">
        <v>0.06</v>
      </c>
      <c r="AO189" s="1">
        <v>0.06</v>
      </c>
      <c r="AP189" s="1">
        <v>0.06</v>
      </c>
      <c r="AQ189" s="1">
        <v>0.06</v>
      </c>
      <c r="AR189" s="1">
        <v>0.06</v>
      </c>
      <c r="AS189" s="1">
        <v>0.06</v>
      </c>
      <c r="AT189" s="1">
        <v>0.06</v>
      </c>
      <c r="AU189" s="1">
        <v>0.06</v>
      </c>
      <c r="AV189" s="1">
        <v>0.06</v>
      </c>
      <c r="AW189" s="1">
        <v>0.06</v>
      </c>
      <c r="AX189" s="1">
        <v>0.06</v>
      </c>
      <c r="AY189" s="1">
        <v>0.06</v>
      </c>
      <c r="AZ189" s="1">
        <v>0.06</v>
      </c>
      <c r="BA189" s="1">
        <v>0.06</v>
      </c>
      <c r="BC189" t="s">
        <v>300</v>
      </c>
      <c r="BD189" t="str">
        <f t="shared" si="158"/>
        <v>TRTTRADST</v>
      </c>
      <c r="BU189">
        <v>0.46</v>
      </c>
      <c r="BV189" t="s">
        <v>41</v>
      </c>
    </row>
    <row r="190" spans="3:74">
      <c r="C190" t="s">
        <v>247</v>
      </c>
      <c r="D190" t="str">
        <f t="shared" si="157"/>
        <v>TRL</v>
      </c>
      <c r="E190" t="s">
        <v>203</v>
      </c>
      <c r="F190" s="1">
        <v>0.38</v>
      </c>
      <c r="G190" s="1">
        <v>0.38</v>
      </c>
      <c r="H190" s="1">
        <v>0.38</v>
      </c>
      <c r="I190" s="1">
        <v>0.38</v>
      </c>
      <c r="J190" s="1">
        <v>0.38</v>
      </c>
      <c r="K190" s="1">
        <v>0.38</v>
      </c>
      <c r="L190" s="1">
        <v>0.38</v>
      </c>
      <c r="M190" s="1">
        <v>0.38</v>
      </c>
      <c r="N190" s="1">
        <v>0.38</v>
      </c>
      <c r="O190" s="1">
        <v>0.38</v>
      </c>
      <c r="P190" s="1">
        <v>0.38</v>
      </c>
      <c r="Q190" s="1">
        <v>0.38</v>
      </c>
      <c r="R190" s="1">
        <v>0.38</v>
      </c>
      <c r="S190" s="1">
        <v>0.38</v>
      </c>
      <c r="T190" s="1">
        <v>0.38</v>
      </c>
      <c r="U190" s="1">
        <v>0.38</v>
      </c>
      <c r="V190" s="1">
        <v>0.38</v>
      </c>
      <c r="W190" s="1">
        <v>0.38</v>
      </c>
      <c r="X190" s="1">
        <v>0.38</v>
      </c>
      <c r="Y190" s="1">
        <v>0.38</v>
      </c>
      <c r="Z190" s="1">
        <v>0.38</v>
      </c>
      <c r="AA190" s="1">
        <v>0.38</v>
      </c>
      <c r="AB190" s="1">
        <v>0.38</v>
      </c>
      <c r="AC190" s="1">
        <v>0.38</v>
      </c>
      <c r="AD190" s="1">
        <v>0.38</v>
      </c>
      <c r="AE190" s="1">
        <v>0.38</v>
      </c>
      <c r="AF190" s="1">
        <v>0.38</v>
      </c>
      <c r="AG190" s="1">
        <v>0.38</v>
      </c>
      <c r="AH190" s="1">
        <v>0.38</v>
      </c>
      <c r="AI190" s="1">
        <v>0.38</v>
      </c>
      <c r="AJ190" s="1">
        <v>0.38</v>
      </c>
      <c r="AK190" s="1">
        <v>0.38</v>
      </c>
      <c r="AL190" s="1">
        <v>0.38</v>
      </c>
      <c r="AM190" s="1">
        <v>0.38</v>
      </c>
      <c r="AN190" s="1">
        <v>0.38</v>
      </c>
      <c r="AO190" s="1">
        <v>0.38</v>
      </c>
      <c r="AP190" s="1">
        <v>0.38</v>
      </c>
      <c r="AQ190" s="1">
        <v>0.38</v>
      </c>
      <c r="AR190" s="1">
        <v>0.38</v>
      </c>
      <c r="AS190" s="1">
        <v>0.38</v>
      </c>
      <c r="AT190" s="1">
        <v>0.38</v>
      </c>
      <c r="AU190" s="1">
        <v>0.38</v>
      </c>
      <c r="AV190" s="1">
        <v>0.38</v>
      </c>
      <c r="AW190" s="1">
        <v>0.38</v>
      </c>
      <c r="AX190" s="1">
        <v>0.38</v>
      </c>
      <c r="AY190" s="1">
        <v>0.38</v>
      </c>
      <c r="AZ190" s="1">
        <v>0.38</v>
      </c>
      <c r="BA190" s="1">
        <v>0.38</v>
      </c>
      <c r="BC190" t="s">
        <v>301</v>
      </c>
      <c r="BD190" t="str">
        <f t="shared" si="158"/>
        <v>TRTTRADST</v>
      </c>
      <c r="BU190">
        <v>0.53</v>
      </c>
      <c r="BV190" t="s">
        <v>41</v>
      </c>
    </row>
    <row r="191" spans="3:74">
      <c r="C191" t="str">
        <f t="shared" si="156"/>
        <v>DCB</v>
      </c>
      <c r="D191" t="str">
        <f t="shared" si="157"/>
        <v>TRL</v>
      </c>
      <c r="E191" t="s">
        <v>204</v>
      </c>
      <c r="F191" s="1">
        <v>0.42</v>
      </c>
      <c r="G191" s="1">
        <v>0.42</v>
      </c>
      <c r="H191" s="1">
        <v>0.42</v>
      </c>
      <c r="I191" s="1">
        <v>0.42</v>
      </c>
      <c r="J191" s="1">
        <v>0.42</v>
      </c>
      <c r="K191" s="1">
        <v>0.42</v>
      </c>
      <c r="L191" s="1">
        <v>0.42</v>
      </c>
      <c r="M191" s="1">
        <v>0.42</v>
      </c>
      <c r="N191" s="1">
        <v>0.42</v>
      </c>
      <c r="O191" s="1">
        <v>0.42</v>
      </c>
      <c r="P191" s="1">
        <v>0.42</v>
      </c>
      <c r="Q191" s="1">
        <v>0.42</v>
      </c>
      <c r="R191" s="1">
        <v>0.42</v>
      </c>
      <c r="S191" s="1">
        <v>0.42</v>
      </c>
      <c r="T191" s="1">
        <v>0.42</v>
      </c>
      <c r="U191" s="1">
        <v>0.42</v>
      </c>
      <c r="V191" s="1">
        <v>0.42</v>
      </c>
      <c r="W191" s="1">
        <v>0.42</v>
      </c>
      <c r="X191" s="1">
        <v>0.42</v>
      </c>
      <c r="Y191" s="1">
        <v>0.42</v>
      </c>
      <c r="Z191" s="1">
        <v>0.42</v>
      </c>
      <c r="AA191" s="1">
        <v>0.42</v>
      </c>
      <c r="AB191" s="1">
        <v>0.42</v>
      </c>
      <c r="AC191" s="1">
        <v>0.42</v>
      </c>
      <c r="AD191" s="1">
        <v>0.42</v>
      </c>
      <c r="AE191" s="1">
        <v>0.42</v>
      </c>
      <c r="AF191" s="1">
        <v>0.42</v>
      </c>
      <c r="AG191" s="1">
        <v>0.42</v>
      </c>
      <c r="AH191" s="1">
        <v>0.42</v>
      </c>
      <c r="AI191" s="1">
        <v>0.42</v>
      </c>
      <c r="AJ191" s="1">
        <v>0.42</v>
      </c>
      <c r="AK191" s="1">
        <v>0.42</v>
      </c>
      <c r="AL191" s="1">
        <v>0.42</v>
      </c>
      <c r="AM191" s="1">
        <v>0.42</v>
      </c>
      <c r="AN191" s="1">
        <v>0.42</v>
      </c>
      <c r="AO191" s="1">
        <v>0.42</v>
      </c>
      <c r="AP191" s="1">
        <v>0.42</v>
      </c>
      <c r="AQ191" s="1">
        <v>0.42</v>
      </c>
      <c r="AR191" s="1">
        <v>0.42</v>
      </c>
      <c r="AS191" s="1">
        <v>0.42</v>
      </c>
      <c r="AT191" s="1">
        <v>0.42</v>
      </c>
      <c r="AU191" s="1">
        <v>0.42</v>
      </c>
      <c r="AV191" s="1">
        <v>0.42</v>
      </c>
      <c r="AW191" s="1">
        <v>0.42</v>
      </c>
      <c r="AX191" s="1">
        <v>0.42</v>
      </c>
      <c r="AY191" s="1">
        <v>0.42</v>
      </c>
      <c r="AZ191" s="1">
        <v>0.42</v>
      </c>
      <c r="BA191" s="1">
        <v>0.42</v>
      </c>
      <c r="BC191" t="s">
        <v>302</v>
      </c>
      <c r="BD191" t="str">
        <f t="shared" si="158"/>
        <v>TRTTRADST</v>
      </c>
      <c r="BU191">
        <v>0.59</v>
      </c>
      <c r="BV191" t="s">
        <v>41</v>
      </c>
    </row>
    <row r="192" spans="3:74">
      <c r="C192" t="str">
        <f t="shared" si="156"/>
        <v>DCC</v>
      </c>
      <c r="D192" t="str">
        <f t="shared" si="157"/>
        <v>TRL</v>
      </c>
      <c r="E192" t="s">
        <v>205</v>
      </c>
      <c r="F192" s="1">
        <v>0.46</v>
      </c>
      <c r="G192" s="1">
        <v>0.46</v>
      </c>
      <c r="H192" s="1">
        <v>0.46</v>
      </c>
      <c r="I192" s="1">
        <v>0.46</v>
      </c>
      <c r="J192" s="1">
        <v>0.46</v>
      </c>
      <c r="K192" s="1">
        <v>0.46</v>
      </c>
      <c r="L192" s="1">
        <v>0.46</v>
      </c>
      <c r="M192" s="1">
        <v>0.46</v>
      </c>
      <c r="N192" s="1">
        <v>0.46</v>
      </c>
      <c r="O192" s="1">
        <v>0.46</v>
      </c>
      <c r="P192" s="1">
        <v>0.46</v>
      </c>
      <c r="Q192" s="1">
        <v>0.46</v>
      </c>
      <c r="R192" s="1">
        <v>0.46</v>
      </c>
      <c r="S192" s="1">
        <v>0.46</v>
      </c>
      <c r="T192" s="1">
        <v>0.46</v>
      </c>
      <c r="U192" s="1">
        <v>0.46</v>
      </c>
      <c r="V192" s="1">
        <v>0.46</v>
      </c>
      <c r="W192" s="1">
        <v>0.46</v>
      </c>
      <c r="X192" s="1">
        <v>0.46</v>
      </c>
      <c r="Y192" s="1">
        <v>0.46</v>
      </c>
      <c r="Z192" s="1">
        <v>0.46</v>
      </c>
      <c r="AA192" s="1">
        <v>0.46</v>
      </c>
      <c r="AB192" s="1">
        <v>0.46</v>
      </c>
      <c r="AC192" s="1">
        <v>0.46</v>
      </c>
      <c r="AD192" s="1">
        <v>0.46</v>
      </c>
      <c r="AE192" s="1">
        <v>0.46</v>
      </c>
      <c r="AF192" s="1">
        <v>0.46</v>
      </c>
      <c r="AG192" s="1">
        <v>0.46</v>
      </c>
      <c r="AH192" s="1">
        <v>0.46</v>
      </c>
      <c r="AI192" s="1">
        <v>0.46</v>
      </c>
      <c r="AJ192" s="1">
        <v>0.46</v>
      </c>
      <c r="AK192" s="1">
        <v>0.46</v>
      </c>
      <c r="AL192" s="1">
        <v>0.46</v>
      </c>
      <c r="AM192" s="1">
        <v>0.46</v>
      </c>
      <c r="AN192" s="1">
        <v>0.46</v>
      </c>
      <c r="AO192" s="1">
        <v>0.46</v>
      </c>
      <c r="AP192" s="1">
        <v>0.46</v>
      </c>
      <c r="AQ192" s="1">
        <v>0.46</v>
      </c>
      <c r="AR192" s="1">
        <v>0.46</v>
      </c>
      <c r="AS192" s="1">
        <v>0.46</v>
      </c>
      <c r="AT192" s="1">
        <v>0.46</v>
      </c>
      <c r="AU192" s="1">
        <v>0.46</v>
      </c>
      <c r="AV192" s="1">
        <v>0.46</v>
      </c>
      <c r="AW192" s="1">
        <v>0.46</v>
      </c>
      <c r="AX192" s="1">
        <v>0.46</v>
      </c>
      <c r="AY192" s="1">
        <v>0.46</v>
      </c>
      <c r="AZ192" s="1">
        <v>0.46</v>
      </c>
      <c r="BA192" s="1">
        <v>0.46</v>
      </c>
      <c r="BC192" t="s">
        <v>303</v>
      </c>
      <c r="BD192" t="str">
        <f t="shared" si="158"/>
        <v>TRTTRAELC</v>
      </c>
      <c r="BU192">
        <v>0.78</v>
      </c>
      <c r="BV192" t="s">
        <v>37</v>
      </c>
    </row>
    <row r="193" spans="3:74">
      <c r="C193" t="str">
        <f t="shared" si="156"/>
        <v>DEG</v>
      </c>
      <c r="D193" t="str">
        <f t="shared" si="157"/>
        <v>TRL</v>
      </c>
      <c r="E193" t="s">
        <v>206</v>
      </c>
      <c r="F193" s="1">
        <v>0.38</v>
      </c>
      <c r="G193" s="1">
        <v>0.38</v>
      </c>
      <c r="H193" s="1">
        <v>0.38</v>
      </c>
      <c r="I193" s="1">
        <v>0.38</v>
      </c>
      <c r="J193" s="1">
        <v>0.38</v>
      </c>
      <c r="K193" s="1">
        <v>0.38</v>
      </c>
      <c r="L193" s="1">
        <v>0.38</v>
      </c>
      <c r="M193" s="1">
        <v>0.38</v>
      </c>
      <c r="N193" s="1">
        <v>0.38</v>
      </c>
      <c r="O193" s="1">
        <v>0.38</v>
      </c>
      <c r="P193" s="1">
        <v>0.38</v>
      </c>
      <c r="Q193" s="1">
        <v>0.38</v>
      </c>
      <c r="R193" s="1">
        <v>0.38</v>
      </c>
      <c r="S193" s="1">
        <v>0.38</v>
      </c>
      <c r="T193" s="1">
        <v>0.38</v>
      </c>
      <c r="U193" s="1">
        <v>0.38</v>
      </c>
      <c r="V193" s="1">
        <v>0.38</v>
      </c>
      <c r="W193" s="1">
        <v>0.38</v>
      </c>
      <c r="X193" s="1">
        <v>0.38</v>
      </c>
      <c r="Y193" s="1">
        <v>0.38</v>
      </c>
      <c r="Z193" s="1">
        <v>0.38</v>
      </c>
      <c r="AA193" s="1">
        <v>0.38</v>
      </c>
      <c r="AB193" s="1">
        <v>0.38</v>
      </c>
      <c r="AC193" s="1">
        <v>0.38</v>
      </c>
      <c r="AD193" s="1">
        <v>0.38</v>
      </c>
      <c r="AE193" s="1">
        <v>0.38</v>
      </c>
      <c r="AF193" s="1">
        <v>0.38</v>
      </c>
      <c r="AG193" s="1">
        <v>0.38</v>
      </c>
      <c r="AH193" s="1">
        <v>0.38</v>
      </c>
      <c r="AI193" s="1">
        <v>0.38</v>
      </c>
      <c r="AJ193" s="1">
        <v>0.38</v>
      </c>
      <c r="AK193" s="1">
        <v>0.38</v>
      </c>
      <c r="AL193" s="1">
        <v>0.38</v>
      </c>
      <c r="AM193" s="1">
        <v>0.38</v>
      </c>
      <c r="AN193" s="1">
        <v>0.38</v>
      </c>
      <c r="AO193" s="1">
        <v>0.38</v>
      </c>
      <c r="AP193" s="1">
        <v>0.38</v>
      </c>
      <c r="AQ193" s="1">
        <v>0.38</v>
      </c>
      <c r="AR193" s="1">
        <v>0.38</v>
      </c>
      <c r="AS193" s="1">
        <v>0.38</v>
      </c>
      <c r="AT193" s="1">
        <v>0.38</v>
      </c>
      <c r="AU193" s="1">
        <v>0.38</v>
      </c>
      <c r="AV193" s="1">
        <v>0.38</v>
      </c>
      <c r="AW193" s="1">
        <v>0.38</v>
      </c>
      <c r="AX193" s="1">
        <v>0.38</v>
      </c>
      <c r="AY193" s="1">
        <v>0.38</v>
      </c>
      <c r="AZ193" s="1">
        <v>0.38</v>
      </c>
      <c r="BA193" s="1">
        <v>0.38</v>
      </c>
      <c r="BC193" t="s">
        <v>304</v>
      </c>
      <c r="BD193" t="str">
        <f t="shared" si="158"/>
        <v>TRTTRABGS</v>
      </c>
      <c r="BU193">
        <v>0.48</v>
      </c>
      <c r="BV193" t="s">
        <v>33</v>
      </c>
    </row>
    <row r="194" spans="3:74">
      <c r="C194" t="str">
        <f t="shared" si="156"/>
        <v>DMG</v>
      </c>
      <c r="D194" t="str">
        <f t="shared" si="157"/>
        <v>TRL</v>
      </c>
      <c r="E194" t="s">
        <v>207</v>
      </c>
      <c r="F194" s="1">
        <v>0.38</v>
      </c>
      <c r="G194" s="1">
        <v>0.38</v>
      </c>
      <c r="H194" s="1">
        <v>0.38</v>
      </c>
      <c r="I194" s="1">
        <v>0.38</v>
      </c>
      <c r="J194" s="1">
        <v>0.38</v>
      </c>
      <c r="K194" s="1">
        <v>0.38</v>
      </c>
      <c r="L194" s="1">
        <v>0.38</v>
      </c>
      <c r="M194" s="1">
        <v>0.38</v>
      </c>
      <c r="N194" s="1">
        <v>0.38</v>
      </c>
      <c r="O194" s="1">
        <v>0.38</v>
      </c>
      <c r="P194" s="1">
        <v>0.38</v>
      </c>
      <c r="Q194" s="1">
        <v>0.38</v>
      </c>
      <c r="R194" s="1">
        <v>0.38</v>
      </c>
      <c r="S194" s="1">
        <v>0.38</v>
      </c>
      <c r="T194" s="1">
        <v>0.38</v>
      </c>
      <c r="U194" s="1">
        <v>0.38</v>
      </c>
      <c r="V194" s="1">
        <v>0.38</v>
      </c>
      <c r="W194" s="1">
        <v>0.38</v>
      </c>
      <c r="X194" s="1">
        <v>0.38</v>
      </c>
      <c r="Y194" s="1">
        <v>0.38</v>
      </c>
      <c r="Z194" s="1">
        <v>0.38</v>
      </c>
      <c r="AA194" s="1">
        <v>0.38</v>
      </c>
      <c r="AB194" s="1">
        <v>0.38</v>
      </c>
      <c r="AC194" s="1">
        <v>0.38</v>
      </c>
      <c r="AD194" s="1">
        <v>0.38</v>
      </c>
      <c r="AE194" s="1">
        <v>0.38</v>
      </c>
      <c r="AF194" s="1">
        <v>0.38</v>
      </c>
      <c r="AG194" s="1">
        <v>0.38</v>
      </c>
      <c r="AH194" s="1">
        <v>0.38</v>
      </c>
      <c r="AI194" s="1">
        <v>0.38</v>
      </c>
      <c r="AJ194" s="1">
        <v>0.38</v>
      </c>
      <c r="AK194" s="1">
        <v>0.38</v>
      </c>
      <c r="AL194" s="1">
        <v>0.38</v>
      </c>
      <c r="AM194" s="1">
        <v>0.38</v>
      </c>
      <c r="AN194" s="1">
        <v>0.38</v>
      </c>
      <c r="AO194" s="1">
        <v>0.38</v>
      </c>
      <c r="AP194" s="1">
        <v>0.38</v>
      </c>
      <c r="AQ194" s="1">
        <v>0.38</v>
      </c>
      <c r="AR194" s="1">
        <v>0.38</v>
      </c>
      <c r="AS194" s="1">
        <v>0.38</v>
      </c>
      <c r="AT194" s="1">
        <v>0.38</v>
      </c>
      <c r="AU194" s="1">
        <v>0.38</v>
      </c>
      <c r="AV194" s="1">
        <v>0.38</v>
      </c>
      <c r="AW194" s="1">
        <v>0.38</v>
      </c>
      <c r="AX194" s="1">
        <v>0.38</v>
      </c>
      <c r="AY194" s="1">
        <v>0.38</v>
      </c>
      <c r="AZ194" s="1">
        <v>0.38</v>
      </c>
      <c r="BA194" s="1">
        <v>0.38</v>
      </c>
      <c r="BC194" t="s">
        <v>305</v>
      </c>
      <c r="BD194" t="str">
        <f t="shared" si="158"/>
        <v>TRTTRABGS</v>
      </c>
      <c r="BU194">
        <v>0.54</v>
      </c>
      <c r="BV194" t="s">
        <v>33</v>
      </c>
    </row>
    <row r="195" spans="3:74">
      <c r="C195" t="str">
        <f t="shared" si="156"/>
        <v>ELC</v>
      </c>
      <c r="D195" t="str">
        <f t="shared" si="157"/>
        <v>TRL</v>
      </c>
      <c r="E195" t="s">
        <v>208</v>
      </c>
      <c r="F195" s="1">
        <v>0.7</v>
      </c>
      <c r="G195" s="1">
        <v>0.7</v>
      </c>
      <c r="H195" s="1">
        <v>0.7</v>
      </c>
      <c r="I195" s="1">
        <v>0.7</v>
      </c>
      <c r="J195" s="1">
        <v>0.7</v>
      </c>
      <c r="K195" s="1">
        <v>0.7</v>
      </c>
      <c r="L195" s="1">
        <v>0.7</v>
      </c>
      <c r="M195" s="1">
        <v>0.7</v>
      </c>
      <c r="N195" s="1">
        <v>0.7</v>
      </c>
      <c r="O195" s="1">
        <v>0.7</v>
      </c>
      <c r="P195" s="1">
        <v>0.7</v>
      </c>
      <c r="Q195" s="1">
        <v>0.7</v>
      </c>
      <c r="R195" s="1">
        <v>0.7</v>
      </c>
      <c r="S195" s="1">
        <v>0.7</v>
      </c>
      <c r="T195" s="1">
        <v>0.7</v>
      </c>
      <c r="U195" s="1">
        <v>0.7</v>
      </c>
      <c r="V195" s="1">
        <v>0.7</v>
      </c>
      <c r="W195" s="1">
        <v>0.7</v>
      </c>
      <c r="X195" s="1">
        <v>0.7</v>
      </c>
      <c r="Y195" s="1">
        <v>0.7</v>
      </c>
      <c r="Z195" s="1">
        <v>0.7</v>
      </c>
      <c r="AA195" s="1">
        <v>0.7</v>
      </c>
      <c r="AB195" s="1">
        <v>0.7</v>
      </c>
      <c r="AC195" s="1">
        <v>0.7</v>
      </c>
      <c r="AD195" s="1">
        <v>0.7</v>
      </c>
      <c r="AE195" s="1">
        <v>0.7</v>
      </c>
      <c r="AF195" s="1">
        <v>0.7</v>
      </c>
      <c r="AG195" s="1">
        <v>0.7</v>
      </c>
      <c r="AH195" s="1">
        <v>0.7</v>
      </c>
      <c r="AI195" s="1">
        <v>0.7</v>
      </c>
      <c r="AJ195" s="1">
        <v>0.7</v>
      </c>
      <c r="AK195" s="1">
        <v>0.7</v>
      </c>
      <c r="AL195" s="1">
        <v>0.7</v>
      </c>
      <c r="AM195" s="1">
        <v>0.7</v>
      </c>
      <c r="AN195" s="1">
        <v>0.7</v>
      </c>
      <c r="AO195" s="1">
        <v>0.7</v>
      </c>
      <c r="AP195" s="1">
        <v>0.7</v>
      </c>
      <c r="AQ195" s="1">
        <v>0.7</v>
      </c>
      <c r="AR195" s="1">
        <v>0.7</v>
      </c>
      <c r="AS195" s="1">
        <v>0.7</v>
      </c>
      <c r="AT195" s="1">
        <v>0.7</v>
      </c>
      <c r="AU195" s="1">
        <v>0.7</v>
      </c>
      <c r="AV195" s="1">
        <v>0.7</v>
      </c>
      <c r="AW195" s="1">
        <v>0.7</v>
      </c>
      <c r="AX195" s="1">
        <v>0.7</v>
      </c>
      <c r="AY195" s="1">
        <v>0.7</v>
      </c>
      <c r="AZ195" s="1">
        <v>0.7</v>
      </c>
      <c r="BA195" s="1">
        <v>0.7</v>
      </c>
      <c r="BC195" t="s">
        <v>306</v>
      </c>
      <c r="BD195" t="str">
        <f t="shared" si="158"/>
        <v>TRTTRABGS</v>
      </c>
      <c r="BU195">
        <v>0.41</v>
      </c>
      <c r="BV195" t="s">
        <v>33</v>
      </c>
    </row>
    <row r="196" spans="3:74">
      <c r="C196" t="str">
        <f t="shared" si="156"/>
        <v>GCA</v>
      </c>
      <c r="D196" t="str">
        <f t="shared" si="157"/>
        <v>TRL</v>
      </c>
      <c r="E196" t="s">
        <v>209</v>
      </c>
      <c r="F196" s="1">
        <v>0.31</v>
      </c>
      <c r="G196" s="1">
        <v>0.31</v>
      </c>
      <c r="H196" s="1">
        <v>0.31</v>
      </c>
      <c r="I196" s="1">
        <v>0.31</v>
      </c>
      <c r="J196" s="1">
        <v>0.31</v>
      </c>
      <c r="K196" s="1">
        <v>0.31</v>
      </c>
      <c r="L196" s="1">
        <v>0.31</v>
      </c>
      <c r="M196" s="1">
        <v>0.31</v>
      </c>
      <c r="N196" s="1">
        <v>0.31</v>
      </c>
      <c r="O196" s="1">
        <v>0.31</v>
      </c>
      <c r="P196" s="1">
        <v>0.31</v>
      </c>
      <c r="Q196" s="1">
        <v>0.31</v>
      </c>
      <c r="R196" s="1">
        <v>0.31</v>
      </c>
      <c r="S196" s="1">
        <v>0.31</v>
      </c>
      <c r="T196" s="1">
        <v>0.31</v>
      </c>
      <c r="U196" s="1">
        <v>0.31</v>
      </c>
      <c r="V196" s="1">
        <v>0.31</v>
      </c>
      <c r="W196" s="1">
        <v>0.31</v>
      </c>
      <c r="X196" s="1">
        <v>0.31</v>
      </c>
      <c r="Y196" s="1">
        <v>0.31</v>
      </c>
      <c r="Z196" s="1">
        <v>0.31</v>
      </c>
      <c r="AA196" s="1">
        <v>0.31</v>
      </c>
      <c r="AB196" s="1">
        <v>0.31</v>
      </c>
      <c r="AC196" s="1">
        <v>0.31</v>
      </c>
      <c r="AD196" s="1">
        <v>0.31</v>
      </c>
      <c r="AE196" s="1">
        <v>0.31</v>
      </c>
      <c r="AF196" s="1">
        <v>0.31</v>
      </c>
      <c r="AG196" s="1">
        <v>0.31</v>
      </c>
      <c r="AH196" s="1">
        <v>0.31</v>
      </c>
      <c r="AI196" s="1">
        <v>0.31</v>
      </c>
      <c r="AJ196" s="1">
        <v>0.31</v>
      </c>
      <c r="AK196" s="1">
        <v>0.31</v>
      </c>
      <c r="AL196" s="1">
        <v>0.31</v>
      </c>
      <c r="AM196" s="1">
        <v>0.31</v>
      </c>
      <c r="AN196" s="1">
        <v>0.31</v>
      </c>
      <c r="AO196" s="1">
        <v>0.31</v>
      </c>
      <c r="AP196" s="1">
        <v>0.31</v>
      </c>
      <c r="AQ196" s="1">
        <v>0.31</v>
      </c>
      <c r="AR196" s="1">
        <v>0.31</v>
      </c>
      <c r="AS196" s="1">
        <v>0.31</v>
      </c>
      <c r="AT196" s="1">
        <v>0.31</v>
      </c>
      <c r="AU196" s="1">
        <v>0.31</v>
      </c>
      <c r="AV196" s="1">
        <v>0.31</v>
      </c>
      <c r="AW196" s="1">
        <v>0.31</v>
      </c>
      <c r="AX196" s="1">
        <v>0.31</v>
      </c>
      <c r="AY196" s="1">
        <v>0.31</v>
      </c>
      <c r="AZ196" s="1">
        <v>0.31</v>
      </c>
      <c r="BA196" s="1">
        <v>0.31</v>
      </c>
      <c r="BC196" t="s">
        <v>307</v>
      </c>
      <c r="BD196" t="str">
        <f t="shared" si="158"/>
        <v>TRTTRAGSL</v>
      </c>
      <c r="BU196">
        <v>0.41</v>
      </c>
      <c r="BV196" t="s">
        <v>42</v>
      </c>
    </row>
    <row r="197" spans="3:74">
      <c r="C197" t="str">
        <f t="shared" si="156"/>
        <v>GCB</v>
      </c>
      <c r="D197" t="str">
        <f t="shared" si="157"/>
        <v>TRL</v>
      </c>
      <c r="E197" t="s">
        <v>210</v>
      </c>
      <c r="F197" s="1">
        <v>0.35</v>
      </c>
      <c r="G197" s="1">
        <v>0.35</v>
      </c>
      <c r="H197" s="1">
        <v>0.35</v>
      </c>
      <c r="I197" s="1">
        <v>0.35</v>
      </c>
      <c r="J197" s="1">
        <v>0.35</v>
      </c>
      <c r="K197" s="1">
        <v>0.35</v>
      </c>
      <c r="L197" s="1">
        <v>0.35</v>
      </c>
      <c r="M197" s="1">
        <v>0.35</v>
      </c>
      <c r="N197" s="1">
        <v>0.35</v>
      </c>
      <c r="O197" s="1">
        <v>0.35</v>
      </c>
      <c r="P197" s="1">
        <v>0.35</v>
      </c>
      <c r="Q197" s="1">
        <v>0.35</v>
      </c>
      <c r="R197" s="1">
        <v>0.35</v>
      </c>
      <c r="S197" s="1">
        <v>0.35</v>
      </c>
      <c r="T197" s="1">
        <v>0.35</v>
      </c>
      <c r="U197" s="1">
        <v>0.35</v>
      </c>
      <c r="V197" s="1">
        <v>0.35</v>
      </c>
      <c r="W197" s="1">
        <v>0.35</v>
      </c>
      <c r="X197" s="1">
        <v>0.35</v>
      </c>
      <c r="Y197" s="1">
        <v>0.35</v>
      </c>
      <c r="Z197" s="1">
        <v>0.35</v>
      </c>
      <c r="AA197" s="1">
        <v>0.35</v>
      </c>
      <c r="AB197" s="1">
        <v>0.35</v>
      </c>
      <c r="AC197" s="1">
        <v>0.35</v>
      </c>
      <c r="AD197" s="1">
        <v>0.35</v>
      </c>
      <c r="AE197" s="1">
        <v>0.35</v>
      </c>
      <c r="AF197" s="1">
        <v>0.35</v>
      </c>
      <c r="AG197" s="1">
        <v>0.35</v>
      </c>
      <c r="AH197" s="1">
        <v>0.35</v>
      </c>
      <c r="AI197" s="1">
        <v>0.35</v>
      </c>
      <c r="AJ197" s="1">
        <v>0.35</v>
      </c>
      <c r="AK197" s="1">
        <v>0.35</v>
      </c>
      <c r="AL197" s="1">
        <v>0.35</v>
      </c>
      <c r="AM197" s="1">
        <v>0.35</v>
      </c>
      <c r="AN197" s="1">
        <v>0.35</v>
      </c>
      <c r="AO197" s="1">
        <v>0.35</v>
      </c>
      <c r="AP197" s="1">
        <v>0.35</v>
      </c>
      <c r="AQ197" s="1">
        <v>0.35</v>
      </c>
      <c r="AR197" s="1">
        <v>0.35</v>
      </c>
      <c r="AS197" s="1">
        <v>0.35</v>
      </c>
      <c r="AT197" s="1">
        <v>0.35</v>
      </c>
      <c r="AU197" s="1">
        <v>0.35</v>
      </c>
      <c r="AV197" s="1">
        <v>0.35</v>
      </c>
      <c r="AW197" s="1">
        <v>0.35</v>
      </c>
      <c r="AX197" s="1">
        <v>0.35</v>
      </c>
      <c r="AY197" s="1">
        <v>0.35</v>
      </c>
      <c r="AZ197" s="1">
        <v>0.35</v>
      </c>
      <c r="BA197" s="1">
        <v>0.35</v>
      </c>
      <c r="BC197" t="s">
        <v>308</v>
      </c>
      <c r="BD197" t="str">
        <f t="shared" si="158"/>
        <v>TRTTRAGSL</v>
      </c>
      <c r="BU197">
        <v>0.48</v>
      </c>
      <c r="BV197" t="s">
        <v>42</v>
      </c>
    </row>
    <row r="198" spans="3:74">
      <c r="C198" t="str">
        <f t="shared" si="156"/>
        <v>GCC</v>
      </c>
      <c r="D198" t="str">
        <f t="shared" si="157"/>
        <v>TRL</v>
      </c>
      <c r="E198" t="s">
        <v>211</v>
      </c>
      <c r="F198" s="1">
        <v>0.38</v>
      </c>
      <c r="G198" s="1">
        <v>0.38</v>
      </c>
      <c r="H198" s="1">
        <v>0.38</v>
      </c>
      <c r="I198" s="1">
        <v>0.38</v>
      </c>
      <c r="J198" s="1">
        <v>0.38</v>
      </c>
      <c r="K198" s="1">
        <v>0.38</v>
      </c>
      <c r="L198" s="1">
        <v>0.38</v>
      </c>
      <c r="M198" s="1">
        <v>0.38</v>
      </c>
      <c r="N198" s="1">
        <v>0.38</v>
      </c>
      <c r="O198" s="1">
        <v>0.38</v>
      </c>
      <c r="P198" s="1">
        <v>0.38</v>
      </c>
      <c r="Q198" s="1">
        <v>0.38</v>
      </c>
      <c r="R198" s="1">
        <v>0.38</v>
      </c>
      <c r="S198" s="1">
        <v>0.38</v>
      </c>
      <c r="T198" s="1">
        <v>0.38</v>
      </c>
      <c r="U198" s="1">
        <v>0.38</v>
      </c>
      <c r="V198" s="1">
        <v>0.38</v>
      </c>
      <c r="W198" s="1">
        <v>0.38</v>
      </c>
      <c r="X198" s="1">
        <v>0.38</v>
      </c>
      <c r="Y198" s="1">
        <v>0.38</v>
      </c>
      <c r="Z198" s="1">
        <v>0.38</v>
      </c>
      <c r="AA198" s="1">
        <v>0.38</v>
      </c>
      <c r="AB198" s="1">
        <v>0.38</v>
      </c>
      <c r="AC198" s="1">
        <v>0.38</v>
      </c>
      <c r="AD198" s="1">
        <v>0.38</v>
      </c>
      <c r="AE198" s="1">
        <v>0.38</v>
      </c>
      <c r="AF198" s="1">
        <v>0.38</v>
      </c>
      <c r="AG198" s="1">
        <v>0.38</v>
      </c>
      <c r="AH198" s="1">
        <v>0.38</v>
      </c>
      <c r="AI198" s="1">
        <v>0.38</v>
      </c>
      <c r="AJ198" s="1">
        <v>0.38</v>
      </c>
      <c r="AK198" s="1">
        <v>0.38</v>
      </c>
      <c r="AL198" s="1">
        <v>0.38</v>
      </c>
      <c r="AM198" s="1">
        <v>0.38</v>
      </c>
      <c r="AN198" s="1">
        <v>0.38</v>
      </c>
      <c r="AO198" s="1">
        <v>0.38</v>
      </c>
      <c r="AP198" s="1">
        <v>0.38</v>
      </c>
      <c r="AQ198" s="1">
        <v>0.38</v>
      </c>
      <c r="AR198" s="1">
        <v>0.38</v>
      </c>
      <c r="AS198" s="1">
        <v>0.38</v>
      </c>
      <c r="AT198" s="1">
        <v>0.38</v>
      </c>
      <c r="AU198" s="1">
        <v>0.38</v>
      </c>
      <c r="AV198" s="1">
        <v>0.38</v>
      </c>
      <c r="AW198" s="1">
        <v>0.38</v>
      </c>
      <c r="AX198" s="1">
        <v>0.38</v>
      </c>
      <c r="AY198" s="1">
        <v>0.38</v>
      </c>
      <c r="AZ198" s="1">
        <v>0.38</v>
      </c>
      <c r="BA198" s="1">
        <v>0.38</v>
      </c>
      <c r="BC198" t="s">
        <v>309</v>
      </c>
      <c r="BD198" t="str">
        <f t="shared" si="158"/>
        <v>TRTTRAGSL</v>
      </c>
      <c r="BU198">
        <v>0.54</v>
      </c>
      <c r="BV198" t="s">
        <v>42</v>
      </c>
    </row>
    <row r="199" spans="3:74">
      <c r="C199" t="str">
        <f t="shared" si="156"/>
        <v>HYB</v>
      </c>
      <c r="D199" t="str">
        <f t="shared" si="157"/>
        <v>TRL</v>
      </c>
      <c r="E199" t="s">
        <v>212</v>
      </c>
      <c r="F199" s="1">
        <v>0.47</v>
      </c>
      <c r="G199" s="1">
        <v>0.47</v>
      </c>
      <c r="H199" s="1">
        <v>0.47</v>
      </c>
      <c r="I199" s="1">
        <v>0.47</v>
      </c>
      <c r="J199" s="1">
        <v>0.47</v>
      </c>
      <c r="K199" s="1">
        <v>0.47</v>
      </c>
      <c r="L199" s="1">
        <v>0.47</v>
      </c>
      <c r="M199" s="1">
        <v>0.47</v>
      </c>
      <c r="N199" s="1">
        <v>0.47</v>
      </c>
      <c r="O199" s="1">
        <v>0.47</v>
      </c>
      <c r="P199" s="1">
        <v>0.47</v>
      </c>
      <c r="Q199" s="1">
        <v>0.47</v>
      </c>
      <c r="R199" s="1">
        <v>0.47</v>
      </c>
      <c r="S199" s="1">
        <v>0.47</v>
      </c>
      <c r="T199" s="1">
        <v>0.47</v>
      </c>
      <c r="U199" s="1">
        <v>0.47</v>
      </c>
      <c r="V199" s="1">
        <v>0.47</v>
      </c>
      <c r="W199" s="1">
        <v>0.47</v>
      </c>
      <c r="X199" s="1">
        <v>0.47</v>
      </c>
      <c r="Y199" s="1">
        <v>0.47</v>
      </c>
      <c r="Z199" s="1">
        <v>0.47</v>
      </c>
      <c r="AA199" s="1">
        <v>0.47</v>
      </c>
      <c r="AB199" s="1">
        <v>0.47</v>
      </c>
      <c r="AC199" s="1">
        <v>0.47</v>
      </c>
      <c r="AD199" s="1">
        <v>0.47</v>
      </c>
      <c r="AE199" s="1">
        <v>0.47</v>
      </c>
      <c r="AF199" s="1">
        <v>0.47</v>
      </c>
      <c r="AG199" s="1">
        <v>0.47</v>
      </c>
      <c r="AH199" s="1">
        <v>0.47</v>
      </c>
      <c r="AI199" s="1">
        <v>0.47</v>
      </c>
      <c r="AJ199" s="1">
        <v>0.47</v>
      </c>
      <c r="AK199" s="1">
        <v>0.47</v>
      </c>
      <c r="AL199" s="1">
        <v>0.47</v>
      </c>
      <c r="AM199" s="1">
        <v>0.47</v>
      </c>
      <c r="AN199" s="1">
        <v>0.47</v>
      </c>
      <c r="AO199" s="1">
        <v>0.47</v>
      </c>
      <c r="AP199" s="1">
        <v>0.47</v>
      </c>
      <c r="AQ199" s="1">
        <v>0.47</v>
      </c>
      <c r="AR199" s="1">
        <v>0.47</v>
      </c>
      <c r="AS199" s="1">
        <v>0.47</v>
      </c>
      <c r="AT199" s="1">
        <v>0.47</v>
      </c>
      <c r="AU199" s="1">
        <v>0.47</v>
      </c>
      <c r="AV199" s="1">
        <v>0.47</v>
      </c>
      <c r="AW199" s="1">
        <v>0.47</v>
      </c>
      <c r="AX199" s="1">
        <v>0.47</v>
      </c>
      <c r="AY199" s="1">
        <v>0.47</v>
      </c>
      <c r="AZ199" s="1">
        <v>0.47</v>
      </c>
      <c r="BA199" s="1">
        <v>0.47</v>
      </c>
      <c r="BC199" t="s">
        <v>310</v>
      </c>
      <c r="BD199" t="str">
        <f t="shared" ref="BD199:BD203" si="159">LEFT(BC199,3)&amp;BV199</f>
        <v>TRTTRALPG</v>
      </c>
      <c r="BU199">
        <v>0.41</v>
      </c>
      <c r="BV199" t="s">
        <v>39</v>
      </c>
    </row>
    <row r="200" spans="3:74">
      <c r="C200" t="str">
        <f t="shared" si="156"/>
        <v>LPG</v>
      </c>
      <c r="D200" t="str">
        <f t="shared" si="157"/>
        <v>TRL</v>
      </c>
      <c r="E200" t="s">
        <v>213</v>
      </c>
      <c r="F200" s="1">
        <v>0.33</v>
      </c>
      <c r="G200" s="1">
        <v>0.33</v>
      </c>
      <c r="H200" s="1">
        <v>0.33</v>
      </c>
      <c r="I200" s="1">
        <v>0.33</v>
      </c>
      <c r="J200" s="1">
        <v>0.33</v>
      </c>
      <c r="K200" s="1">
        <v>0.33</v>
      </c>
      <c r="L200" s="1">
        <v>0.33</v>
      </c>
      <c r="M200" s="1">
        <v>0.33</v>
      </c>
      <c r="N200" s="1">
        <v>0.33</v>
      </c>
      <c r="O200" s="1">
        <v>0.33</v>
      </c>
      <c r="P200" s="1">
        <v>0.33</v>
      </c>
      <c r="Q200" s="1">
        <v>0.33</v>
      </c>
      <c r="R200" s="1">
        <v>0.33</v>
      </c>
      <c r="S200" s="1">
        <v>0.33</v>
      </c>
      <c r="T200" s="1">
        <v>0.33</v>
      </c>
      <c r="U200" s="1">
        <v>0.33</v>
      </c>
      <c r="V200" s="1">
        <v>0.33</v>
      </c>
      <c r="W200" s="1">
        <v>0.33</v>
      </c>
      <c r="X200" s="1">
        <v>0.33</v>
      </c>
      <c r="Y200" s="1">
        <v>0.33</v>
      </c>
      <c r="Z200" s="1">
        <v>0.33</v>
      </c>
      <c r="AA200" s="1">
        <v>0.33</v>
      </c>
      <c r="AB200" s="1">
        <v>0.33</v>
      </c>
      <c r="AC200" s="1">
        <v>0.33</v>
      </c>
      <c r="AD200" s="1">
        <v>0.33</v>
      </c>
      <c r="AE200" s="1">
        <v>0.33</v>
      </c>
      <c r="AF200" s="1">
        <v>0.33</v>
      </c>
      <c r="AG200" s="1">
        <v>0.33</v>
      </c>
      <c r="AH200" s="1">
        <v>0.33</v>
      </c>
      <c r="AI200" s="1">
        <v>0.33</v>
      </c>
      <c r="AJ200" s="1">
        <v>0.33</v>
      </c>
      <c r="AK200" s="1">
        <v>0.33</v>
      </c>
      <c r="AL200" s="1">
        <v>0.33</v>
      </c>
      <c r="AM200" s="1">
        <v>0.33</v>
      </c>
      <c r="AN200" s="1">
        <v>0.33</v>
      </c>
      <c r="AO200" s="1">
        <v>0.33</v>
      </c>
      <c r="AP200" s="1">
        <v>0.33</v>
      </c>
      <c r="AQ200" s="1">
        <v>0.33</v>
      </c>
      <c r="AR200" s="1">
        <v>0.33</v>
      </c>
      <c r="AS200" s="1">
        <v>0.33</v>
      </c>
      <c r="AT200" s="1">
        <v>0.33</v>
      </c>
      <c r="AU200" s="1">
        <v>0.33</v>
      </c>
      <c r="AV200" s="1">
        <v>0.33</v>
      </c>
      <c r="AW200" s="1">
        <v>0.33</v>
      </c>
      <c r="AX200" s="1">
        <v>0.33</v>
      </c>
      <c r="AY200" s="1">
        <v>0.33</v>
      </c>
      <c r="AZ200" s="1">
        <v>0.33</v>
      </c>
      <c r="BA200" s="1">
        <v>0.33</v>
      </c>
      <c r="BC200" t="s">
        <v>311</v>
      </c>
      <c r="BD200" t="str">
        <f t="shared" si="159"/>
        <v>TRTTRABGS</v>
      </c>
      <c r="BU200">
        <v>0.45</v>
      </c>
      <c r="BV200" t="s">
        <v>33</v>
      </c>
    </row>
    <row r="201" spans="3:74">
      <c r="C201" t="str">
        <f t="shared" si="156"/>
        <v>NGA</v>
      </c>
      <c r="D201" t="str">
        <f t="shared" si="157"/>
        <v>TRL</v>
      </c>
      <c r="E201" t="s">
        <v>214</v>
      </c>
      <c r="F201" s="1">
        <v>0.33</v>
      </c>
      <c r="G201" s="1">
        <v>0.33</v>
      </c>
      <c r="H201" s="1">
        <v>0.33</v>
      </c>
      <c r="I201" s="1">
        <v>0.33</v>
      </c>
      <c r="J201" s="1">
        <v>0.33</v>
      </c>
      <c r="K201" s="1">
        <v>0.33</v>
      </c>
      <c r="L201" s="1">
        <v>0.33</v>
      </c>
      <c r="M201" s="1">
        <v>0.33</v>
      </c>
      <c r="N201" s="1">
        <v>0.33</v>
      </c>
      <c r="O201" s="1">
        <v>0.33</v>
      </c>
      <c r="P201" s="1">
        <v>0.33</v>
      </c>
      <c r="Q201" s="1">
        <v>0.33</v>
      </c>
      <c r="R201" s="1">
        <v>0.33</v>
      </c>
      <c r="S201" s="1">
        <v>0.33</v>
      </c>
      <c r="T201" s="1">
        <v>0.33</v>
      </c>
      <c r="U201" s="1">
        <v>0.33</v>
      </c>
      <c r="V201" s="1">
        <v>0.33</v>
      </c>
      <c r="W201" s="1">
        <v>0.33</v>
      </c>
      <c r="X201" s="1">
        <v>0.33</v>
      </c>
      <c r="Y201" s="1">
        <v>0.33</v>
      </c>
      <c r="Z201" s="1">
        <v>0.33</v>
      </c>
      <c r="AA201" s="1">
        <v>0.33</v>
      </c>
      <c r="AB201" s="1">
        <v>0.33</v>
      </c>
      <c r="AC201" s="1">
        <v>0.33</v>
      </c>
      <c r="AD201" s="1">
        <v>0.33</v>
      </c>
      <c r="AE201" s="1">
        <v>0.33</v>
      </c>
      <c r="AF201" s="1">
        <v>0.33</v>
      </c>
      <c r="AG201" s="1">
        <v>0.33</v>
      </c>
      <c r="AH201" s="1">
        <v>0.33</v>
      </c>
      <c r="AI201" s="1">
        <v>0.33</v>
      </c>
      <c r="AJ201" s="1">
        <v>0.33</v>
      </c>
      <c r="AK201" s="1">
        <v>0.33</v>
      </c>
      <c r="AL201" s="1">
        <v>0.33</v>
      </c>
      <c r="AM201" s="1">
        <v>0.33</v>
      </c>
      <c r="AN201" s="1">
        <v>0.33</v>
      </c>
      <c r="AO201" s="1">
        <v>0.33</v>
      </c>
      <c r="AP201" s="1">
        <v>0.33</v>
      </c>
      <c r="AQ201" s="1">
        <v>0.33</v>
      </c>
      <c r="AR201" s="1">
        <v>0.33</v>
      </c>
      <c r="AS201" s="1">
        <v>0.33</v>
      </c>
      <c r="AT201" s="1">
        <v>0.33</v>
      </c>
      <c r="AU201" s="1">
        <v>0.33</v>
      </c>
      <c r="AV201" s="1">
        <v>0.33</v>
      </c>
      <c r="AW201" s="1">
        <v>0.33</v>
      </c>
      <c r="AX201" s="1">
        <v>0.33</v>
      </c>
      <c r="AY201" s="1">
        <v>0.33</v>
      </c>
      <c r="AZ201" s="1">
        <v>0.33</v>
      </c>
      <c r="BA201" s="1">
        <v>0.33</v>
      </c>
      <c r="BC201" t="s">
        <v>312</v>
      </c>
      <c r="BD201" t="str">
        <f t="shared" si="159"/>
        <v>TRTTRANGA</v>
      </c>
      <c r="BU201">
        <v>0.44</v>
      </c>
      <c r="BV201" t="s">
        <v>38</v>
      </c>
    </row>
    <row r="202" spans="3:74">
      <c r="C202" t="str">
        <f t="shared" si="156"/>
        <v>DSA</v>
      </c>
      <c r="D202" t="str">
        <f t="shared" si="157"/>
        <v>TRM</v>
      </c>
      <c r="E202" t="s">
        <v>215</v>
      </c>
      <c r="F202" s="1">
        <v>0.13</v>
      </c>
      <c r="G202" s="1">
        <v>0.13</v>
      </c>
      <c r="H202" s="1">
        <v>0.13</v>
      </c>
      <c r="I202" s="1">
        <v>0.13</v>
      </c>
      <c r="J202" s="1">
        <v>0.13</v>
      </c>
      <c r="K202" s="1">
        <v>0.13</v>
      </c>
      <c r="L202" s="1">
        <v>0.13</v>
      </c>
      <c r="M202" s="1">
        <v>0.13</v>
      </c>
      <c r="N202" s="1">
        <v>0.13</v>
      </c>
      <c r="O202" s="1">
        <v>0.13</v>
      </c>
      <c r="P202" s="1">
        <v>0.13</v>
      </c>
      <c r="Q202" s="1">
        <v>0.13</v>
      </c>
      <c r="R202" s="1">
        <v>0.13</v>
      </c>
      <c r="S202" s="1">
        <v>0.13</v>
      </c>
      <c r="T202" s="1">
        <v>0.13</v>
      </c>
      <c r="U202" s="1">
        <v>0.13</v>
      </c>
      <c r="V202" s="1">
        <v>0.13</v>
      </c>
      <c r="W202" s="1">
        <v>0.13</v>
      </c>
      <c r="X202" s="1">
        <v>0.13</v>
      </c>
      <c r="Y202" s="1">
        <v>0.13</v>
      </c>
      <c r="Z202" s="1">
        <v>0.13</v>
      </c>
      <c r="AA202" s="1">
        <v>0.13</v>
      </c>
      <c r="AB202" s="1">
        <v>0.13</v>
      </c>
      <c r="AC202" s="1">
        <v>0.13</v>
      </c>
      <c r="AD202" s="1">
        <v>0.13</v>
      </c>
      <c r="AE202" s="1">
        <v>0.13</v>
      </c>
      <c r="AF202" s="1">
        <v>0.13</v>
      </c>
      <c r="AG202" s="1">
        <v>0.13</v>
      </c>
      <c r="AH202" s="1">
        <v>0.13</v>
      </c>
      <c r="AI202" s="1">
        <v>0.13</v>
      </c>
      <c r="AJ202" s="1">
        <v>0.13</v>
      </c>
      <c r="AK202" s="1">
        <v>0.13</v>
      </c>
      <c r="AL202" s="1">
        <v>0.13</v>
      </c>
      <c r="AM202" s="1">
        <v>0.13</v>
      </c>
      <c r="AN202" s="1">
        <v>0.13</v>
      </c>
      <c r="AO202" s="1">
        <v>0.13</v>
      </c>
      <c r="AP202" s="1">
        <v>0.13</v>
      </c>
      <c r="AQ202" s="1">
        <v>0.13</v>
      </c>
      <c r="AR202" s="1">
        <v>0.13</v>
      </c>
      <c r="AS202" s="1">
        <v>0.13</v>
      </c>
      <c r="AT202" s="1">
        <v>0.13</v>
      </c>
      <c r="AU202" s="1">
        <v>0.13</v>
      </c>
      <c r="AV202" s="1">
        <v>0.13</v>
      </c>
      <c r="AW202" s="1">
        <v>0.13</v>
      </c>
      <c r="AX202" s="1">
        <v>0.13</v>
      </c>
      <c r="AY202" s="1">
        <v>0.13</v>
      </c>
      <c r="AZ202" s="1">
        <v>0.13</v>
      </c>
      <c r="BA202" s="1">
        <v>0.13</v>
      </c>
      <c r="BC202" t="s">
        <v>313</v>
      </c>
      <c r="BD202" t="str">
        <f t="shared" si="159"/>
        <v>TRWTRAGSL</v>
      </c>
      <c r="BU202">
        <v>0.7</v>
      </c>
      <c r="BV202" t="s">
        <v>42</v>
      </c>
    </row>
    <row r="203" spans="3:74">
      <c r="C203" t="str">
        <f t="shared" si="156"/>
        <v>DSB</v>
      </c>
      <c r="D203" t="str">
        <f t="shared" si="157"/>
        <v>TRM</v>
      </c>
      <c r="E203" t="s">
        <v>216</v>
      </c>
      <c r="F203" s="1">
        <v>0.15</v>
      </c>
      <c r="G203" s="1">
        <v>0.15</v>
      </c>
      <c r="H203" s="1">
        <v>0.15</v>
      </c>
      <c r="I203" s="1">
        <v>0.15</v>
      </c>
      <c r="J203" s="1">
        <v>0.15</v>
      </c>
      <c r="K203" s="1">
        <v>0.15</v>
      </c>
      <c r="L203" s="1">
        <v>0.15</v>
      </c>
      <c r="M203" s="1">
        <v>0.15</v>
      </c>
      <c r="N203" s="1">
        <v>0.15</v>
      </c>
      <c r="O203" s="1">
        <v>0.15</v>
      </c>
      <c r="P203" s="1">
        <v>0.15</v>
      </c>
      <c r="Q203" s="1">
        <v>0.15</v>
      </c>
      <c r="R203" s="1">
        <v>0.15</v>
      </c>
      <c r="S203" s="1">
        <v>0.15</v>
      </c>
      <c r="T203" s="1">
        <v>0.15</v>
      </c>
      <c r="U203" s="1">
        <v>0.15</v>
      </c>
      <c r="V203" s="1">
        <v>0.15</v>
      </c>
      <c r="W203" s="1">
        <v>0.15</v>
      </c>
      <c r="X203" s="1">
        <v>0.15</v>
      </c>
      <c r="Y203" s="1">
        <v>0.15</v>
      </c>
      <c r="Z203" s="1">
        <v>0.15</v>
      </c>
      <c r="AA203" s="1">
        <v>0.15</v>
      </c>
      <c r="AB203" s="1">
        <v>0.15</v>
      </c>
      <c r="AC203" s="1">
        <v>0.15</v>
      </c>
      <c r="AD203" s="1">
        <v>0.15</v>
      </c>
      <c r="AE203" s="1">
        <v>0.15</v>
      </c>
      <c r="AF203" s="1">
        <v>0.15</v>
      </c>
      <c r="AG203" s="1">
        <v>0.15</v>
      </c>
      <c r="AH203" s="1">
        <v>0.15</v>
      </c>
      <c r="AI203" s="1">
        <v>0.15</v>
      </c>
      <c r="AJ203" s="1">
        <v>0.15</v>
      </c>
      <c r="AK203" s="1">
        <v>0.15</v>
      </c>
      <c r="AL203" s="1">
        <v>0.15</v>
      </c>
      <c r="AM203" s="1">
        <v>0.15</v>
      </c>
      <c r="AN203" s="1">
        <v>0.15</v>
      </c>
      <c r="AO203" s="1">
        <v>0.15</v>
      </c>
      <c r="AP203" s="1">
        <v>0.15</v>
      </c>
      <c r="AQ203" s="1">
        <v>0.15</v>
      </c>
      <c r="AR203" s="1">
        <v>0.15</v>
      </c>
      <c r="AS203" s="1">
        <v>0.15</v>
      </c>
      <c r="AT203" s="1">
        <v>0.15</v>
      </c>
      <c r="AU203" s="1">
        <v>0.15</v>
      </c>
      <c r="AV203" s="1">
        <v>0.15</v>
      </c>
      <c r="AW203" s="1">
        <v>0.15</v>
      </c>
      <c r="AX203" s="1">
        <v>0.15</v>
      </c>
      <c r="AY203" s="1">
        <v>0.15</v>
      </c>
      <c r="AZ203" s="1">
        <v>0.15</v>
      </c>
      <c r="BA203" s="1">
        <v>0.15</v>
      </c>
      <c r="BC203" t="s">
        <v>314</v>
      </c>
      <c r="BD203" t="str">
        <f t="shared" si="159"/>
        <v>TRWTRAGSL</v>
      </c>
      <c r="BU203">
        <v>1</v>
      </c>
      <c r="BV203" t="s">
        <v>42</v>
      </c>
    </row>
    <row r="204" spans="3:74">
      <c r="C204" t="str">
        <f t="shared" si="156"/>
        <v>DST</v>
      </c>
      <c r="D204" t="str">
        <f t="shared" si="157"/>
        <v>TRM</v>
      </c>
      <c r="E204" t="s">
        <v>217</v>
      </c>
      <c r="F204" s="1">
        <v>0.12</v>
      </c>
      <c r="G204" s="1">
        <v>0.12</v>
      </c>
      <c r="H204" s="1">
        <v>0.12</v>
      </c>
      <c r="I204" s="1">
        <v>0.12</v>
      </c>
      <c r="J204" s="1">
        <v>0.12</v>
      </c>
      <c r="K204" s="1">
        <v>0.12</v>
      </c>
      <c r="L204" s="1">
        <v>0.12</v>
      </c>
      <c r="M204" s="1">
        <v>0.12</v>
      </c>
      <c r="N204" s="1">
        <v>0.12</v>
      </c>
      <c r="O204" s="1">
        <v>0.12</v>
      </c>
      <c r="P204" s="1">
        <v>0.12</v>
      </c>
      <c r="Q204" s="1">
        <v>0.12</v>
      </c>
      <c r="R204" s="1">
        <v>0.12</v>
      </c>
      <c r="S204" s="1">
        <v>0.12</v>
      </c>
      <c r="T204" s="1">
        <v>0.12</v>
      </c>
      <c r="U204" s="1">
        <v>0.12</v>
      </c>
      <c r="V204" s="1">
        <v>0.12</v>
      </c>
      <c r="W204" s="1">
        <v>0.12</v>
      </c>
      <c r="X204" s="1">
        <v>0.12</v>
      </c>
      <c r="Y204" s="1">
        <v>0.12</v>
      </c>
      <c r="Z204" s="1">
        <v>0.12</v>
      </c>
      <c r="AA204" s="1">
        <v>0.12</v>
      </c>
      <c r="AB204" s="1">
        <v>0.12</v>
      </c>
      <c r="AC204" s="1">
        <v>0.12</v>
      </c>
      <c r="AD204" s="1">
        <v>0.12</v>
      </c>
      <c r="AE204" s="1">
        <v>0.12</v>
      </c>
      <c r="AF204" s="1">
        <v>0.12</v>
      </c>
      <c r="AG204" s="1">
        <v>0.12</v>
      </c>
      <c r="AH204" s="1">
        <v>0.12</v>
      </c>
      <c r="AI204" s="1">
        <v>0.12</v>
      </c>
      <c r="AJ204" s="1">
        <v>0.12</v>
      </c>
      <c r="AK204" s="1">
        <v>0.12</v>
      </c>
      <c r="AL204" s="1">
        <v>0.12</v>
      </c>
      <c r="AM204" s="1">
        <v>0.12</v>
      </c>
      <c r="AN204" s="1">
        <v>0.12</v>
      </c>
      <c r="AO204" s="1">
        <v>0.12</v>
      </c>
      <c r="AP204" s="1">
        <v>0.12</v>
      </c>
      <c r="AQ204" s="1">
        <v>0.12</v>
      </c>
      <c r="AR204" s="1">
        <v>0.12</v>
      </c>
      <c r="AS204" s="1">
        <v>0.12</v>
      </c>
      <c r="AT204" s="1">
        <v>0.12</v>
      </c>
      <c r="AU204" s="1">
        <v>0.12</v>
      </c>
      <c r="AV204" s="1">
        <v>0.12</v>
      </c>
      <c r="AW204" s="1">
        <v>0.12</v>
      </c>
      <c r="AX204" s="1">
        <v>0.12</v>
      </c>
      <c r="AY204" s="1">
        <v>0.12</v>
      </c>
      <c r="AZ204" s="1">
        <v>0.12</v>
      </c>
      <c r="BA204" s="1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218</v>
      </c>
      <c r="F205" s="1">
        <v>0.13</v>
      </c>
      <c r="G205" s="1">
        <v>0.13</v>
      </c>
      <c r="H205" s="1">
        <v>0.13</v>
      </c>
      <c r="I205" s="1">
        <v>0.13</v>
      </c>
      <c r="J205" s="1">
        <v>0.13</v>
      </c>
      <c r="K205" s="1">
        <v>0.13</v>
      </c>
      <c r="L205" s="1">
        <v>0.13</v>
      </c>
      <c r="M205" s="1">
        <v>0.13</v>
      </c>
      <c r="N205" s="1">
        <v>0.13</v>
      </c>
      <c r="O205" s="1">
        <v>0.13</v>
      </c>
      <c r="P205" s="1">
        <v>0.13</v>
      </c>
      <c r="Q205" s="1">
        <v>0.13</v>
      </c>
      <c r="R205" s="1">
        <v>0.13</v>
      </c>
      <c r="S205" s="1">
        <v>0.13</v>
      </c>
      <c r="T205" s="1">
        <v>0.13</v>
      </c>
      <c r="U205" s="1">
        <v>0.13</v>
      </c>
      <c r="V205" s="1">
        <v>0.13</v>
      </c>
      <c r="W205" s="1">
        <v>0.13</v>
      </c>
      <c r="X205" s="1">
        <v>0.13</v>
      </c>
      <c r="Y205" s="1">
        <v>0.13</v>
      </c>
      <c r="Z205" s="1">
        <v>0.13</v>
      </c>
      <c r="AA205" s="1">
        <v>0.13</v>
      </c>
      <c r="AB205" s="1">
        <v>0.13</v>
      </c>
      <c r="AC205" s="1">
        <v>0.13</v>
      </c>
      <c r="AD205" s="1">
        <v>0.13</v>
      </c>
      <c r="AE205" s="1">
        <v>0.13</v>
      </c>
      <c r="AF205" s="1">
        <v>0.13</v>
      </c>
      <c r="AG205" s="1">
        <v>0.13</v>
      </c>
      <c r="AH205" s="1">
        <v>0.13</v>
      </c>
      <c r="AI205" s="1">
        <v>0.13</v>
      </c>
      <c r="AJ205" s="1">
        <v>0.13</v>
      </c>
      <c r="AK205" s="1">
        <v>0.13</v>
      </c>
      <c r="AL205" s="1">
        <v>0.13</v>
      </c>
      <c r="AM205" s="1">
        <v>0.13</v>
      </c>
      <c r="AN205" s="1">
        <v>0.13</v>
      </c>
      <c r="AO205" s="1">
        <v>0.13</v>
      </c>
      <c r="AP205" s="1">
        <v>0.13</v>
      </c>
      <c r="AQ205" s="1">
        <v>0.13</v>
      </c>
      <c r="AR205" s="1">
        <v>0.13</v>
      </c>
      <c r="AS205" s="1">
        <v>0.13</v>
      </c>
      <c r="AT205" s="1">
        <v>0.13</v>
      </c>
      <c r="AU205" s="1">
        <v>0.13</v>
      </c>
      <c r="AV205" s="1">
        <v>0.13</v>
      </c>
      <c r="AW205" s="1">
        <v>0.13</v>
      </c>
      <c r="AX205" s="1">
        <v>0.13</v>
      </c>
      <c r="AY205" s="1">
        <v>0.13</v>
      </c>
      <c r="AZ205" s="1">
        <v>0.13</v>
      </c>
      <c r="BA205" s="1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219</v>
      </c>
      <c r="F206" s="1">
        <v>0.1</v>
      </c>
      <c r="G206" s="1">
        <v>0.1</v>
      </c>
      <c r="H206" s="1">
        <v>0.1</v>
      </c>
      <c r="I206" s="1">
        <v>0.1</v>
      </c>
      <c r="J206" s="1">
        <v>0.1</v>
      </c>
      <c r="K206" s="1">
        <v>0.1</v>
      </c>
      <c r="L206" s="1">
        <v>0.1</v>
      </c>
      <c r="M206" s="1">
        <v>0.1</v>
      </c>
      <c r="N206" s="1">
        <v>0.1</v>
      </c>
      <c r="O206" s="1">
        <v>0.1</v>
      </c>
      <c r="P206" s="1">
        <v>0.1</v>
      </c>
      <c r="Q206" s="1">
        <v>0.1</v>
      </c>
      <c r="R206" s="1">
        <v>0.1</v>
      </c>
      <c r="S206" s="1">
        <v>0.1</v>
      </c>
      <c r="T206" s="1">
        <v>0.1</v>
      </c>
      <c r="U206" s="1">
        <v>0.1</v>
      </c>
      <c r="V206" s="1">
        <v>0.1</v>
      </c>
      <c r="W206" s="1">
        <v>0.1</v>
      </c>
      <c r="X206" s="1">
        <v>0.1</v>
      </c>
      <c r="Y206" s="1">
        <v>0.1</v>
      </c>
      <c r="Z206" s="1">
        <v>0.1</v>
      </c>
      <c r="AA206" s="1">
        <v>0.1</v>
      </c>
      <c r="AB206" s="1">
        <v>0.1</v>
      </c>
      <c r="AC206" s="1">
        <v>0.1</v>
      </c>
      <c r="AD206" s="1">
        <v>0.1</v>
      </c>
      <c r="AE206" s="1">
        <v>0.1</v>
      </c>
      <c r="AF206" s="1">
        <v>0.1</v>
      </c>
      <c r="AG206" s="1">
        <v>0.1</v>
      </c>
      <c r="AH206" s="1">
        <v>0.1</v>
      </c>
      <c r="AI206" s="1">
        <v>0.1</v>
      </c>
      <c r="AJ206" s="1">
        <v>0.1</v>
      </c>
      <c r="AK206" s="1">
        <v>0.1</v>
      </c>
      <c r="AL206" s="1">
        <v>0.1</v>
      </c>
      <c r="AM206" s="1">
        <v>0.1</v>
      </c>
      <c r="AN206" s="1">
        <v>0.1</v>
      </c>
      <c r="AO206" s="1">
        <v>0.1</v>
      </c>
      <c r="AP206" s="1">
        <v>0.1</v>
      </c>
      <c r="AQ206" s="1">
        <v>0.1</v>
      </c>
      <c r="AR206" s="1">
        <v>0.1</v>
      </c>
      <c r="AS206" s="1">
        <v>0.1</v>
      </c>
      <c r="AT206" s="1">
        <v>0.1</v>
      </c>
      <c r="AU206" s="1">
        <v>0.1</v>
      </c>
      <c r="AV206" s="1">
        <v>0.1</v>
      </c>
      <c r="AW206" s="1">
        <v>0.1</v>
      </c>
      <c r="AX206" s="1">
        <v>0.1</v>
      </c>
      <c r="AY206" s="1">
        <v>0.1</v>
      </c>
      <c r="AZ206" s="1">
        <v>0.1</v>
      </c>
      <c r="BA206" s="1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220</v>
      </c>
      <c r="F207" s="1">
        <v>0.1</v>
      </c>
      <c r="G207" s="1">
        <v>0.1</v>
      </c>
      <c r="H207" s="1">
        <v>0.1</v>
      </c>
      <c r="I207" s="1">
        <v>0.1</v>
      </c>
      <c r="J207" s="1">
        <v>0.1</v>
      </c>
      <c r="K207" s="1">
        <v>0.1</v>
      </c>
      <c r="L207" s="1">
        <v>0.1</v>
      </c>
      <c r="M207" s="1">
        <v>0.1</v>
      </c>
      <c r="N207" s="1">
        <v>0.1</v>
      </c>
      <c r="O207" s="1">
        <v>0.1</v>
      </c>
      <c r="P207" s="1">
        <v>0.1</v>
      </c>
      <c r="Q207" s="1">
        <v>0.1</v>
      </c>
      <c r="R207" s="1">
        <v>0.1</v>
      </c>
      <c r="S207" s="1">
        <v>0.1</v>
      </c>
      <c r="T207" s="1">
        <v>0.1</v>
      </c>
      <c r="U207" s="1">
        <v>0.1</v>
      </c>
      <c r="V207" s="1">
        <v>0.1</v>
      </c>
      <c r="W207" s="1">
        <v>0.1</v>
      </c>
      <c r="X207" s="1">
        <v>0.1</v>
      </c>
      <c r="Y207" s="1">
        <v>0.1</v>
      </c>
      <c r="Z207" s="1">
        <v>0.1</v>
      </c>
      <c r="AA207" s="1">
        <v>0.1</v>
      </c>
      <c r="AB207" s="1">
        <v>0.1</v>
      </c>
      <c r="AC207" s="1">
        <v>0.1</v>
      </c>
      <c r="AD207" s="1">
        <v>0.1</v>
      </c>
      <c r="AE207" s="1">
        <v>0.1</v>
      </c>
      <c r="AF207" s="1">
        <v>0.1</v>
      </c>
      <c r="AG207" s="1">
        <v>0.1</v>
      </c>
      <c r="AH207" s="1">
        <v>0.1</v>
      </c>
      <c r="AI207" s="1">
        <v>0.1</v>
      </c>
      <c r="AJ207" s="1">
        <v>0.1</v>
      </c>
      <c r="AK207" s="1">
        <v>0.1</v>
      </c>
      <c r="AL207" s="1">
        <v>0.1</v>
      </c>
      <c r="AM207" s="1">
        <v>0.1</v>
      </c>
      <c r="AN207" s="1">
        <v>0.1</v>
      </c>
      <c r="AO207" s="1">
        <v>0.1</v>
      </c>
      <c r="AP207" s="1">
        <v>0.1</v>
      </c>
      <c r="AQ207" s="1">
        <v>0.1</v>
      </c>
      <c r="AR207" s="1">
        <v>0.1</v>
      </c>
      <c r="AS207" s="1">
        <v>0.1</v>
      </c>
      <c r="AT207" s="1">
        <v>0.1</v>
      </c>
      <c r="AU207" s="1">
        <v>0.1</v>
      </c>
      <c r="AV207" s="1">
        <v>0.1</v>
      </c>
      <c r="AW207" s="1">
        <v>0.1</v>
      </c>
      <c r="AX207" s="1">
        <v>0.1</v>
      </c>
      <c r="AY207" s="1">
        <v>0.1</v>
      </c>
      <c r="AZ207" s="1">
        <v>0.1</v>
      </c>
      <c r="BA207" s="1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221</v>
      </c>
      <c r="F208" s="1">
        <v>0.1</v>
      </c>
      <c r="G208" s="1">
        <v>0.1</v>
      </c>
      <c r="H208" s="1">
        <v>0.1</v>
      </c>
      <c r="I208" s="1">
        <v>0.1</v>
      </c>
      <c r="J208" s="1">
        <v>0.1</v>
      </c>
      <c r="K208" s="1">
        <v>0.1</v>
      </c>
      <c r="L208" s="1">
        <v>0.1</v>
      </c>
      <c r="M208" s="1">
        <v>0.1</v>
      </c>
      <c r="N208" s="1">
        <v>0.1</v>
      </c>
      <c r="O208" s="1">
        <v>0.1</v>
      </c>
      <c r="P208" s="1">
        <v>0.1</v>
      </c>
      <c r="Q208" s="1">
        <v>0.1</v>
      </c>
      <c r="R208" s="1">
        <v>0.1</v>
      </c>
      <c r="S208" s="1">
        <v>0.1</v>
      </c>
      <c r="T208" s="1">
        <v>0.1</v>
      </c>
      <c r="U208" s="1">
        <v>0.1</v>
      </c>
      <c r="V208" s="1">
        <v>0.1</v>
      </c>
      <c r="W208" s="1">
        <v>0.1</v>
      </c>
      <c r="X208" s="1">
        <v>0.1</v>
      </c>
      <c r="Y208" s="1">
        <v>0.1</v>
      </c>
      <c r="Z208" s="1">
        <v>0.1</v>
      </c>
      <c r="AA208" s="1">
        <v>0.1</v>
      </c>
      <c r="AB208" s="1">
        <v>0.1</v>
      </c>
      <c r="AC208" s="1">
        <v>0.1</v>
      </c>
      <c r="AD208" s="1">
        <v>0.1</v>
      </c>
      <c r="AE208" s="1">
        <v>0.1</v>
      </c>
      <c r="AF208" s="1">
        <v>0.1</v>
      </c>
      <c r="AG208" s="1">
        <v>0.1</v>
      </c>
      <c r="AH208" s="1">
        <v>0.1</v>
      </c>
      <c r="AI208" s="1">
        <v>0.1</v>
      </c>
      <c r="AJ208" s="1">
        <v>0.1</v>
      </c>
      <c r="AK208" s="1">
        <v>0.1</v>
      </c>
      <c r="AL208" s="1">
        <v>0.1</v>
      </c>
      <c r="AM208" s="1">
        <v>0.1</v>
      </c>
      <c r="AN208" s="1">
        <v>0.1</v>
      </c>
      <c r="AO208" s="1">
        <v>0.1</v>
      </c>
      <c r="AP208" s="1">
        <v>0.1</v>
      </c>
      <c r="AQ208" s="1">
        <v>0.1</v>
      </c>
      <c r="AR208" s="1">
        <v>0.1</v>
      </c>
      <c r="AS208" s="1">
        <v>0.1</v>
      </c>
      <c r="AT208" s="1">
        <v>0.1</v>
      </c>
      <c r="AU208" s="1">
        <v>0.1</v>
      </c>
      <c r="AV208" s="1">
        <v>0.1</v>
      </c>
      <c r="AW208" s="1">
        <v>0.1</v>
      </c>
      <c r="AX208" s="1">
        <v>0.1</v>
      </c>
      <c r="AY208" s="1">
        <v>0.1</v>
      </c>
      <c r="AZ208" s="1">
        <v>0.1</v>
      </c>
      <c r="BA208" s="1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222</v>
      </c>
      <c r="F209" s="1">
        <v>0.13</v>
      </c>
      <c r="G209" s="1">
        <v>0.13</v>
      </c>
      <c r="H209" s="1">
        <v>0.13</v>
      </c>
      <c r="I209" s="1">
        <v>0.13</v>
      </c>
      <c r="J209" s="1">
        <v>0.13</v>
      </c>
      <c r="K209" s="1">
        <v>0.13</v>
      </c>
      <c r="L209" s="1">
        <v>0.13</v>
      </c>
      <c r="M209" s="1">
        <v>0.13</v>
      </c>
      <c r="N209" s="1">
        <v>0.13</v>
      </c>
      <c r="O209" s="1">
        <v>0.13</v>
      </c>
      <c r="P209" s="1">
        <v>0.13</v>
      </c>
      <c r="Q209" s="1">
        <v>0.13</v>
      </c>
      <c r="R209" s="1">
        <v>0.13</v>
      </c>
      <c r="S209" s="1">
        <v>0.13</v>
      </c>
      <c r="T209" s="1">
        <v>0.13</v>
      </c>
      <c r="U209" s="1">
        <v>0.13</v>
      </c>
      <c r="V209" s="1">
        <v>0.13</v>
      </c>
      <c r="W209" s="1">
        <v>0.13</v>
      </c>
      <c r="X209" s="1">
        <v>0.13</v>
      </c>
      <c r="Y209" s="1">
        <v>0.13</v>
      </c>
      <c r="Z209" s="1">
        <v>0.13</v>
      </c>
      <c r="AA209" s="1">
        <v>0.13</v>
      </c>
      <c r="AB209" s="1">
        <v>0.13</v>
      </c>
      <c r="AC209" s="1">
        <v>0.13</v>
      </c>
      <c r="AD209" s="1">
        <v>0.13</v>
      </c>
      <c r="AE209" s="1">
        <v>0.13</v>
      </c>
      <c r="AF209" s="1">
        <v>0.13</v>
      </c>
      <c r="AG209" s="1">
        <v>0.13</v>
      </c>
      <c r="AH209" s="1">
        <v>0.13</v>
      </c>
      <c r="AI209" s="1">
        <v>0.13</v>
      </c>
      <c r="AJ209" s="1">
        <v>0.13</v>
      </c>
      <c r="AK209" s="1">
        <v>0.13</v>
      </c>
      <c r="AL209" s="1">
        <v>0.13</v>
      </c>
      <c r="AM209" s="1">
        <v>0.13</v>
      </c>
      <c r="AN209" s="1">
        <v>0.13</v>
      </c>
      <c r="AO209" s="1">
        <v>0.13</v>
      </c>
      <c r="AP209" s="1">
        <v>0.13</v>
      </c>
      <c r="AQ209" s="1">
        <v>0.13</v>
      </c>
      <c r="AR209" s="1">
        <v>0.13</v>
      </c>
      <c r="AS209" s="1">
        <v>0.13</v>
      </c>
      <c r="AT209" s="1">
        <v>0.13</v>
      </c>
      <c r="AU209" s="1">
        <v>0.13</v>
      </c>
      <c r="AV209" s="1">
        <v>0.13</v>
      </c>
      <c r="AW209" s="1">
        <v>0.13</v>
      </c>
      <c r="AX209" s="1">
        <v>0.13</v>
      </c>
      <c r="AY209" s="1">
        <v>0.13</v>
      </c>
      <c r="AZ209" s="1">
        <v>0.13</v>
      </c>
      <c r="BA209" s="1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223</v>
      </c>
      <c r="F210" s="1">
        <v>0.1</v>
      </c>
      <c r="G210" s="1">
        <v>0.1</v>
      </c>
      <c r="H210" s="1">
        <v>0.1</v>
      </c>
      <c r="I210" s="1">
        <v>0.1</v>
      </c>
      <c r="J210" s="1">
        <v>0.1</v>
      </c>
      <c r="K210" s="1">
        <v>0.1</v>
      </c>
      <c r="L210" s="1">
        <v>0.1</v>
      </c>
      <c r="M210" s="1">
        <v>0.1</v>
      </c>
      <c r="N210" s="1">
        <v>0.1</v>
      </c>
      <c r="O210" s="1">
        <v>0.1</v>
      </c>
      <c r="P210" s="1">
        <v>0.1</v>
      </c>
      <c r="Q210" s="1">
        <v>0.1</v>
      </c>
      <c r="R210" s="1">
        <v>0.1</v>
      </c>
      <c r="S210" s="1">
        <v>0.1</v>
      </c>
      <c r="T210" s="1">
        <v>0.1</v>
      </c>
      <c r="U210" s="1">
        <v>0.1</v>
      </c>
      <c r="V210" s="1">
        <v>0.1</v>
      </c>
      <c r="W210" s="1">
        <v>0.1</v>
      </c>
      <c r="X210" s="1">
        <v>0.1</v>
      </c>
      <c r="Y210" s="1">
        <v>0.1</v>
      </c>
      <c r="Z210" s="1">
        <v>0.1</v>
      </c>
      <c r="AA210" s="1">
        <v>0.1</v>
      </c>
      <c r="AB210" s="1">
        <v>0.1</v>
      </c>
      <c r="AC210" s="1">
        <v>0.1</v>
      </c>
      <c r="AD210" s="1">
        <v>0.1</v>
      </c>
      <c r="AE210" s="1">
        <v>0.1</v>
      </c>
      <c r="AF210" s="1">
        <v>0.1</v>
      </c>
      <c r="AG210" s="1">
        <v>0.1</v>
      </c>
      <c r="AH210" s="1">
        <v>0.1</v>
      </c>
      <c r="AI210" s="1">
        <v>0.1</v>
      </c>
      <c r="AJ210" s="1">
        <v>0.1</v>
      </c>
      <c r="AK210" s="1">
        <v>0.1</v>
      </c>
      <c r="AL210" s="1">
        <v>0.1</v>
      </c>
      <c r="AM210" s="1">
        <v>0.1</v>
      </c>
      <c r="AN210" s="1">
        <v>0.1</v>
      </c>
      <c r="AO210" s="1">
        <v>0.1</v>
      </c>
      <c r="AP210" s="1">
        <v>0.1</v>
      </c>
      <c r="AQ210" s="1">
        <v>0.1</v>
      </c>
      <c r="AR210" s="1">
        <v>0.1</v>
      </c>
      <c r="AS210" s="1">
        <v>0.1</v>
      </c>
      <c r="AT210" s="1">
        <v>0.1</v>
      </c>
      <c r="AU210" s="1">
        <v>0.1</v>
      </c>
      <c r="AV210" s="1">
        <v>0.1</v>
      </c>
      <c r="AW210" s="1">
        <v>0.1</v>
      </c>
      <c r="AX210" s="1">
        <v>0.1</v>
      </c>
      <c r="AY210" s="1">
        <v>0.1</v>
      </c>
      <c r="AZ210" s="1">
        <v>0.1</v>
      </c>
      <c r="BA210" s="1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224</v>
      </c>
      <c r="F211" s="1">
        <v>0.1</v>
      </c>
      <c r="G211" s="1">
        <v>0.1</v>
      </c>
      <c r="H211" s="1">
        <v>0.1</v>
      </c>
      <c r="I211" s="1">
        <v>0.1</v>
      </c>
      <c r="J211" s="1">
        <v>0.1</v>
      </c>
      <c r="K211" s="1">
        <v>0.1</v>
      </c>
      <c r="L211" s="1">
        <v>0.1</v>
      </c>
      <c r="M211" s="1">
        <v>0.1</v>
      </c>
      <c r="N211" s="1">
        <v>0.1</v>
      </c>
      <c r="O211" s="1">
        <v>0.1</v>
      </c>
      <c r="P211" s="1">
        <v>0.1</v>
      </c>
      <c r="Q211" s="1">
        <v>0.1</v>
      </c>
      <c r="R211" s="1">
        <v>0.1</v>
      </c>
      <c r="S211" s="1">
        <v>0.1</v>
      </c>
      <c r="T211" s="1">
        <v>0.1</v>
      </c>
      <c r="U211" s="1">
        <v>0.1</v>
      </c>
      <c r="V211" s="1">
        <v>0.1</v>
      </c>
      <c r="W211" s="1">
        <v>0.1</v>
      </c>
      <c r="X211" s="1">
        <v>0.1</v>
      </c>
      <c r="Y211" s="1">
        <v>0.1</v>
      </c>
      <c r="Z211" s="1">
        <v>0.1</v>
      </c>
      <c r="AA211" s="1">
        <v>0.1</v>
      </c>
      <c r="AB211" s="1">
        <v>0.1</v>
      </c>
      <c r="AC211" s="1">
        <v>0.1</v>
      </c>
      <c r="AD211" s="1">
        <v>0.1</v>
      </c>
      <c r="AE211" s="1">
        <v>0.1</v>
      </c>
      <c r="AF211" s="1">
        <v>0.1</v>
      </c>
      <c r="AG211" s="1">
        <v>0.1</v>
      </c>
      <c r="AH211" s="1">
        <v>0.1</v>
      </c>
      <c r="AI211" s="1">
        <v>0.1</v>
      </c>
      <c r="AJ211" s="1">
        <v>0.1</v>
      </c>
      <c r="AK211" s="1">
        <v>0.1</v>
      </c>
      <c r="AL211" s="1">
        <v>0.1</v>
      </c>
      <c r="AM211" s="1">
        <v>0.1</v>
      </c>
      <c r="AN211" s="1">
        <v>0.1</v>
      </c>
      <c r="AO211" s="1">
        <v>0.1</v>
      </c>
      <c r="AP211" s="1">
        <v>0.1</v>
      </c>
      <c r="AQ211" s="1">
        <v>0.1</v>
      </c>
      <c r="AR211" s="1">
        <v>0.1</v>
      </c>
      <c r="AS211" s="1">
        <v>0.1</v>
      </c>
      <c r="AT211" s="1">
        <v>0.1</v>
      </c>
      <c r="AU211" s="1">
        <v>0.1</v>
      </c>
      <c r="AV211" s="1">
        <v>0.1</v>
      </c>
      <c r="AW211" s="1">
        <v>0.1</v>
      </c>
      <c r="AX211" s="1">
        <v>0.1</v>
      </c>
      <c r="AY211" s="1">
        <v>0.1</v>
      </c>
      <c r="AZ211" s="1">
        <v>0.1</v>
      </c>
      <c r="BA211" s="1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225</v>
      </c>
      <c r="F212" s="1">
        <v>0.38</v>
      </c>
      <c r="G212" s="1">
        <v>0.38</v>
      </c>
      <c r="H212" s="1">
        <v>0.38</v>
      </c>
      <c r="I212" s="1">
        <v>0.38</v>
      </c>
      <c r="J212" s="1">
        <v>0.38</v>
      </c>
      <c r="K212" s="1">
        <v>0.38</v>
      </c>
      <c r="L212" s="1">
        <v>0.38</v>
      </c>
      <c r="M212" s="1">
        <v>0.38</v>
      </c>
      <c r="N212" s="1">
        <v>0.38</v>
      </c>
      <c r="O212" s="1">
        <v>0.38</v>
      </c>
      <c r="P212" s="1">
        <v>0.38</v>
      </c>
      <c r="Q212" s="1">
        <v>0.38</v>
      </c>
      <c r="R212" s="1">
        <v>0.38</v>
      </c>
      <c r="S212" s="1">
        <v>0.38</v>
      </c>
      <c r="T212" s="1">
        <v>0.38</v>
      </c>
      <c r="U212" s="1">
        <v>0.38</v>
      </c>
      <c r="V212" s="1">
        <v>0.38</v>
      </c>
      <c r="W212" s="1">
        <v>0.38</v>
      </c>
      <c r="X212" s="1">
        <v>0.38</v>
      </c>
      <c r="Y212" s="1">
        <v>0.38</v>
      </c>
      <c r="Z212" s="1">
        <v>0.38</v>
      </c>
      <c r="AA212" s="1">
        <v>0.38</v>
      </c>
      <c r="AB212" s="1">
        <v>0.38</v>
      </c>
      <c r="AC212" s="1">
        <v>0.38</v>
      </c>
      <c r="AD212" s="1">
        <v>0.38</v>
      </c>
      <c r="AE212" s="1">
        <v>0.38</v>
      </c>
      <c r="AF212" s="1">
        <v>0.38</v>
      </c>
      <c r="AG212" s="1">
        <v>0.38</v>
      </c>
      <c r="AH212" s="1">
        <v>0.38</v>
      </c>
      <c r="AI212" s="1">
        <v>0.38</v>
      </c>
      <c r="AJ212" s="1">
        <v>0.38</v>
      </c>
      <c r="AK212" s="1">
        <v>0.38</v>
      </c>
      <c r="AL212" s="1">
        <v>0.38</v>
      </c>
      <c r="AM212" s="1">
        <v>0.38</v>
      </c>
      <c r="AN212" s="1">
        <v>0.38</v>
      </c>
      <c r="AO212" s="1">
        <v>0.38</v>
      </c>
      <c r="AP212" s="1">
        <v>0.38</v>
      </c>
      <c r="AQ212" s="1">
        <v>0.38</v>
      </c>
      <c r="AR212" s="1">
        <v>0.38</v>
      </c>
      <c r="AS212" s="1">
        <v>0.38</v>
      </c>
      <c r="AT212" s="1">
        <v>0.38</v>
      </c>
      <c r="AU212" s="1">
        <v>0.38</v>
      </c>
      <c r="AV212" s="1">
        <v>0.38</v>
      </c>
      <c r="AW212" s="1">
        <v>0.38</v>
      </c>
      <c r="AX212" s="1">
        <v>0.38</v>
      </c>
      <c r="AY212" s="1">
        <v>0.38</v>
      </c>
      <c r="AZ212" s="1">
        <v>0.38</v>
      </c>
      <c r="BA212" s="1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226</v>
      </c>
      <c r="F213" s="1">
        <v>0.43</v>
      </c>
      <c r="G213" s="1">
        <v>0.43</v>
      </c>
      <c r="H213" s="1">
        <v>0.43</v>
      </c>
      <c r="I213" s="1">
        <v>0.43</v>
      </c>
      <c r="J213" s="1">
        <v>0.43</v>
      </c>
      <c r="K213" s="1">
        <v>0.43</v>
      </c>
      <c r="L213" s="1">
        <v>0.43</v>
      </c>
      <c r="M213" s="1">
        <v>0.43</v>
      </c>
      <c r="N213" s="1">
        <v>0.43</v>
      </c>
      <c r="O213" s="1">
        <v>0.43</v>
      </c>
      <c r="P213" s="1">
        <v>0.43</v>
      </c>
      <c r="Q213" s="1">
        <v>0.43</v>
      </c>
      <c r="R213" s="1">
        <v>0.43</v>
      </c>
      <c r="S213" s="1">
        <v>0.43</v>
      </c>
      <c r="T213" s="1">
        <v>0.43</v>
      </c>
      <c r="U213" s="1">
        <v>0.43</v>
      </c>
      <c r="V213" s="1">
        <v>0.43</v>
      </c>
      <c r="W213" s="1">
        <v>0.43</v>
      </c>
      <c r="X213" s="1">
        <v>0.43</v>
      </c>
      <c r="Y213" s="1">
        <v>0.43</v>
      </c>
      <c r="Z213" s="1">
        <v>0.43</v>
      </c>
      <c r="AA213" s="1">
        <v>0.43</v>
      </c>
      <c r="AB213" s="1">
        <v>0.43</v>
      </c>
      <c r="AC213" s="1">
        <v>0.43</v>
      </c>
      <c r="AD213" s="1">
        <v>0.43</v>
      </c>
      <c r="AE213" s="1">
        <v>0.43</v>
      </c>
      <c r="AF213" s="1">
        <v>0.43</v>
      </c>
      <c r="AG213" s="1">
        <v>0.43</v>
      </c>
      <c r="AH213" s="1">
        <v>0.43</v>
      </c>
      <c r="AI213" s="1">
        <v>0.43</v>
      </c>
      <c r="AJ213" s="1">
        <v>0.43</v>
      </c>
      <c r="AK213" s="1">
        <v>0.43</v>
      </c>
      <c r="AL213" s="1">
        <v>0.43</v>
      </c>
      <c r="AM213" s="1">
        <v>0.43</v>
      </c>
      <c r="AN213" s="1">
        <v>0.43</v>
      </c>
      <c r="AO213" s="1">
        <v>0.43</v>
      </c>
      <c r="AP213" s="1">
        <v>0.43</v>
      </c>
      <c r="AQ213" s="1">
        <v>0.43</v>
      </c>
      <c r="AR213" s="1">
        <v>0.43</v>
      </c>
      <c r="AS213" s="1">
        <v>0.43</v>
      </c>
      <c r="AT213" s="1">
        <v>0.43</v>
      </c>
      <c r="AU213" s="1">
        <v>0.43</v>
      </c>
      <c r="AV213" s="1">
        <v>0.43</v>
      </c>
      <c r="AW213" s="1">
        <v>0.43</v>
      </c>
      <c r="AX213" s="1">
        <v>0.43</v>
      </c>
      <c r="AY213" s="1">
        <v>0.43</v>
      </c>
      <c r="AZ213" s="1">
        <v>0.43</v>
      </c>
      <c r="BA213" s="1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227</v>
      </c>
      <c r="F214" s="1">
        <v>0.48</v>
      </c>
      <c r="G214" s="1">
        <v>0.48</v>
      </c>
      <c r="H214" s="1">
        <v>0.48</v>
      </c>
      <c r="I214" s="1">
        <v>0.48</v>
      </c>
      <c r="J214" s="1">
        <v>0.48</v>
      </c>
      <c r="K214" s="1">
        <v>0.48</v>
      </c>
      <c r="L214" s="1">
        <v>0.48</v>
      </c>
      <c r="M214" s="1">
        <v>0.48</v>
      </c>
      <c r="N214" s="1">
        <v>0.48</v>
      </c>
      <c r="O214" s="1">
        <v>0.48</v>
      </c>
      <c r="P214" s="1">
        <v>0.48</v>
      </c>
      <c r="Q214" s="1">
        <v>0.48</v>
      </c>
      <c r="R214" s="1">
        <v>0.48</v>
      </c>
      <c r="S214" s="1">
        <v>0.48</v>
      </c>
      <c r="T214" s="1">
        <v>0.48</v>
      </c>
      <c r="U214" s="1">
        <v>0.48</v>
      </c>
      <c r="V214" s="1">
        <v>0.48</v>
      </c>
      <c r="W214" s="1">
        <v>0.48</v>
      </c>
      <c r="X214" s="1">
        <v>0.48</v>
      </c>
      <c r="Y214" s="1">
        <v>0.48</v>
      </c>
      <c r="Z214" s="1">
        <v>0.48</v>
      </c>
      <c r="AA214" s="1">
        <v>0.48</v>
      </c>
      <c r="AB214" s="1">
        <v>0.48</v>
      </c>
      <c r="AC214" s="1">
        <v>0.48</v>
      </c>
      <c r="AD214" s="1">
        <v>0.48</v>
      </c>
      <c r="AE214" s="1">
        <v>0.48</v>
      </c>
      <c r="AF214" s="1">
        <v>0.48</v>
      </c>
      <c r="AG214" s="1">
        <v>0.48</v>
      </c>
      <c r="AH214" s="1">
        <v>0.48</v>
      </c>
      <c r="AI214" s="1">
        <v>0.48</v>
      </c>
      <c r="AJ214" s="1">
        <v>0.48</v>
      </c>
      <c r="AK214" s="1">
        <v>0.48</v>
      </c>
      <c r="AL214" s="1">
        <v>0.48</v>
      </c>
      <c r="AM214" s="1">
        <v>0.48</v>
      </c>
      <c r="AN214" s="1">
        <v>0.48</v>
      </c>
      <c r="AO214" s="1">
        <v>0.48</v>
      </c>
      <c r="AP214" s="1">
        <v>0.48</v>
      </c>
      <c r="AQ214" s="1">
        <v>0.48</v>
      </c>
      <c r="AR214" s="1">
        <v>0.48</v>
      </c>
      <c r="AS214" s="1">
        <v>0.48</v>
      </c>
      <c r="AT214" s="1">
        <v>0.48</v>
      </c>
      <c r="AU214" s="1">
        <v>0.48</v>
      </c>
      <c r="AV214" s="1">
        <v>0.48</v>
      </c>
      <c r="AW214" s="1">
        <v>0.48</v>
      </c>
      <c r="AX214" s="1">
        <v>0.48</v>
      </c>
      <c r="AY214" s="1">
        <v>0.48</v>
      </c>
      <c r="AZ214" s="1">
        <v>0.48</v>
      </c>
      <c r="BA214" s="1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228</v>
      </c>
      <c r="F215" s="1">
        <v>0.39</v>
      </c>
      <c r="G215" s="1">
        <v>0.39</v>
      </c>
      <c r="H215" s="1">
        <v>0.39</v>
      </c>
      <c r="I215" s="1">
        <v>0.39</v>
      </c>
      <c r="J215" s="1">
        <v>0.39</v>
      </c>
      <c r="K215" s="1">
        <v>0.39</v>
      </c>
      <c r="L215" s="1">
        <v>0.39</v>
      </c>
      <c r="M215" s="1">
        <v>0.39</v>
      </c>
      <c r="N215" s="1">
        <v>0.39</v>
      </c>
      <c r="O215" s="1">
        <v>0.39</v>
      </c>
      <c r="P215" s="1">
        <v>0.39</v>
      </c>
      <c r="Q215" s="1">
        <v>0.39</v>
      </c>
      <c r="R215" s="1">
        <v>0.39</v>
      </c>
      <c r="S215" s="1">
        <v>0.39</v>
      </c>
      <c r="T215" s="1">
        <v>0.39</v>
      </c>
      <c r="U215" s="1">
        <v>0.39</v>
      </c>
      <c r="V215" s="1">
        <v>0.39</v>
      </c>
      <c r="W215" s="1">
        <v>0.39</v>
      </c>
      <c r="X215" s="1">
        <v>0.39</v>
      </c>
      <c r="Y215" s="1">
        <v>0.39</v>
      </c>
      <c r="Z215" s="1">
        <v>0.39</v>
      </c>
      <c r="AA215" s="1">
        <v>0.39</v>
      </c>
      <c r="AB215" s="1">
        <v>0.39</v>
      </c>
      <c r="AC215" s="1">
        <v>0.39</v>
      </c>
      <c r="AD215" s="1">
        <v>0.39</v>
      </c>
      <c r="AE215" s="1">
        <v>0.39</v>
      </c>
      <c r="AF215" s="1">
        <v>0.39</v>
      </c>
      <c r="AG215" s="1">
        <v>0.39</v>
      </c>
      <c r="AH215" s="1">
        <v>0.39</v>
      </c>
      <c r="AI215" s="1">
        <v>0.39</v>
      </c>
      <c r="AJ215" s="1">
        <v>0.39</v>
      </c>
      <c r="AK215" s="1">
        <v>0.39</v>
      </c>
      <c r="AL215" s="1">
        <v>0.39</v>
      </c>
      <c r="AM215" s="1">
        <v>0.39</v>
      </c>
      <c r="AN215" s="1">
        <v>0.39</v>
      </c>
      <c r="AO215" s="1">
        <v>0.39</v>
      </c>
      <c r="AP215" s="1">
        <v>0.39</v>
      </c>
      <c r="AQ215" s="1">
        <v>0.39</v>
      </c>
      <c r="AR215" s="1">
        <v>0.39</v>
      </c>
      <c r="AS215" s="1">
        <v>0.39</v>
      </c>
      <c r="AT215" s="1">
        <v>0.39</v>
      </c>
      <c r="AU215" s="1">
        <v>0.39</v>
      </c>
      <c r="AV215" s="1">
        <v>0.39</v>
      </c>
      <c r="AW215" s="1">
        <v>0.39</v>
      </c>
      <c r="AX215" s="1">
        <v>0.39</v>
      </c>
      <c r="AY215" s="1">
        <v>0.39</v>
      </c>
      <c r="AZ215" s="1">
        <v>0.39</v>
      </c>
      <c r="BA215" s="1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229</v>
      </c>
      <c r="F216" s="1">
        <v>0.39</v>
      </c>
      <c r="G216" s="1">
        <v>0.39</v>
      </c>
      <c r="H216" s="1">
        <v>0.39</v>
      </c>
      <c r="I216" s="1">
        <v>0.39</v>
      </c>
      <c r="J216" s="1">
        <v>0.39</v>
      </c>
      <c r="K216" s="1">
        <v>0.39</v>
      </c>
      <c r="L216" s="1">
        <v>0.39</v>
      </c>
      <c r="M216" s="1">
        <v>0.39</v>
      </c>
      <c r="N216" s="1">
        <v>0.39</v>
      </c>
      <c r="O216" s="1">
        <v>0.39</v>
      </c>
      <c r="P216" s="1">
        <v>0.39</v>
      </c>
      <c r="Q216" s="1">
        <v>0.39</v>
      </c>
      <c r="R216" s="1">
        <v>0.39</v>
      </c>
      <c r="S216" s="1">
        <v>0.39</v>
      </c>
      <c r="T216" s="1">
        <v>0.39</v>
      </c>
      <c r="U216" s="1">
        <v>0.39</v>
      </c>
      <c r="V216" s="1">
        <v>0.39</v>
      </c>
      <c r="W216" s="1">
        <v>0.39</v>
      </c>
      <c r="X216" s="1">
        <v>0.39</v>
      </c>
      <c r="Y216" s="1">
        <v>0.39</v>
      </c>
      <c r="Z216" s="1">
        <v>0.39</v>
      </c>
      <c r="AA216" s="1">
        <v>0.39</v>
      </c>
      <c r="AB216" s="1">
        <v>0.39</v>
      </c>
      <c r="AC216" s="1">
        <v>0.39</v>
      </c>
      <c r="AD216" s="1">
        <v>0.39</v>
      </c>
      <c r="AE216" s="1">
        <v>0.39</v>
      </c>
      <c r="AF216" s="1">
        <v>0.39</v>
      </c>
      <c r="AG216" s="1">
        <v>0.39</v>
      </c>
      <c r="AH216" s="1">
        <v>0.39</v>
      </c>
      <c r="AI216" s="1">
        <v>0.39</v>
      </c>
      <c r="AJ216" s="1">
        <v>0.39</v>
      </c>
      <c r="AK216" s="1">
        <v>0.39</v>
      </c>
      <c r="AL216" s="1">
        <v>0.39</v>
      </c>
      <c r="AM216" s="1">
        <v>0.39</v>
      </c>
      <c r="AN216" s="1">
        <v>0.39</v>
      </c>
      <c r="AO216" s="1">
        <v>0.39</v>
      </c>
      <c r="AP216" s="1">
        <v>0.39</v>
      </c>
      <c r="AQ216" s="1">
        <v>0.39</v>
      </c>
      <c r="AR216" s="1">
        <v>0.39</v>
      </c>
      <c r="AS216" s="1">
        <v>0.39</v>
      </c>
      <c r="AT216" s="1">
        <v>0.39</v>
      </c>
      <c r="AU216" s="1">
        <v>0.39</v>
      </c>
      <c r="AV216" s="1">
        <v>0.39</v>
      </c>
      <c r="AW216" s="1">
        <v>0.39</v>
      </c>
      <c r="AX216" s="1">
        <v>0.39</v>
      </c>
      <c r="AY216" s="1">
        <v>0.39</v>
      </c>
      <c r="AZ216" s="1">
        <v>0.39</v>
      </c>
      <c r="BA216" s="1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230</v>
      </c>
      <c r="F217" s="1">
        <v>0.55000000000000004</v>
      </c>
      <c r="G217" s="1">
        <v>0.55000000000000004</v>
      </c>
      <c r="H217" s="1">
        <v>0.55000000000000004</v>
      </c>
      <c r="I217" s="1">
        <v>0.55000000000000004</v>
      </c>
      <c r="J217" s="1">
        <v>0.55000000000000004</v>
      </c>
      <c r="K217" s="1">
        <v>0.55000000000000004</v>
      </c>
      <c r="L217" s="1">
        <v>0.55000000000000004</v>
      </c>
      <c r="M217" s="1">
        <v>0.55000000000000004</v>
      </c>
      <c r="N217" s="1">
        <v>0.55000000000000004</v>
      </c>
      <c r="O217" s="1">
        <v>0.55000000000000004</v>
      </c>
      <c r="P217" s="1">
        <v>0.55000000000000004</v>
      </c>
      <c r="Q217" s="1">
        <v>0.55000000000000004</v>
      </c>
      <c r="R217" s="1">
        <v>0.55000000000000004</v>
      </c>
      <c r="S217" s="1">
        <v>0.55000000000000004</v>
      </c>
      <c r="T217" s="1">
        <v>0.55000000000000004</v>
      </c>
      <c r="U217" s="1">
        <v>0.55000000000000004</v>
      </c>
      <c r="V217" s="1">
        <v>0.55000000000000004</v>
      </c>
      <c r="W217" s="1">
        <v>0.55000000000000004</v>
      </c>
      <c r="X217" s="1">
        <v>0.55000000000000004</v>
      </c>
      <c r="Y217" s="1">
        <v>0.55000000000000004</v>
      </c>
      <c r="Z217" s="1">
        <v>0.55000000000000004</v>
      </c>
      <c r="AA217" s="1">
        <v>0.55000000000000004</v>
      </c>
      <c r="AB217" s="1">
        <v>0.55000000000000004</v>
      </c>
      <c r="AC217" s="1">
        <v>0.55000000000000004</v>
      </c>
      <c r="AD217" s="1">
        <v>0.55000000000000004</v>
      </c>
      <c r="AE217" s="1">
        <v>0.55000000000000004</v>
      </c>
      <c r="AF217" s="1">
        <v>0.55000000000000004</v>
      </c>
      <c r="AG217" s="1">
        <v>0.55000000000000004</v>
      </c>
      <c r="AH217" s="1">
        <v>0.55000000000000004</v>
      </c>
      <c r="AI217" s="1">
        <v>0.55000000000000004</v>
      </c>
      <c r="AJ217" s="1">
        <v>0.55000000000000004</v>
      </c>
      <c r="AK217" s="1">
        <v>0.55000000000000004</v>
      </c>
      <c r="AL217" s="1">
        <v>0.55000000000000004</v>
      </c>
      <c r="AM217" s="1">
        <v>0.55000000000000004</v>
      </c>
      <c r="AN217" s="1">
        <v>0.55000000000000004</v>
      </c>
      <c r="AO217" s="1">
        <v>0.55000000000000004</v>
      </c>
      <c r="AP217" s="1">
        <v>0.55000000000000004</v>
      </c>
      <c r="AQ217" s="1">
        <v>0.55000000000000004</v>
      </c>
      <c r="AR217" s="1">
        <v>0.55000000000000004</v>
      </c>
      <c r="AS217" s="1">
        <v>0.55000000000000004</v>
      </c>
      <c r="AT217" s="1">
        <v>0.55000000000000004</v>
      </c>
      <c r="AU217" s="1">
        <v>0.55000000000000004</v>
      </c>
      <c r="AV217" s="1">
        <v>0.55000000000000004</v>
      </c>
      <c r="AW217" s="1">
        <v>0.55000000000000004</v>
      </c>
      <c r="AX217" s="1">
        <v>0.55000000000000004</v>
      </c>
      <c r="AY217" s="1">
        <v>0.55000000000000004</v>
      </c>
      <c r="AZ217" s="1">
        <v>0.55000000000000004</v>
      </c>
      <c r="BA217" s="1">
        <v>0.55000000000000004</v>
      </c>
    </row>
    <row r="218" spans="3:53">
      <c r="C218" t="str">
        <f t="shared" si="156"/>
        <v>ETA</v>
      </c>
      <c r="D218" t="str">
        <f t="shared" si="157"/>
        <v>TRT</v>
      </c>
      <c r="E218" t="s">
        <v>231</v>
      </c>
      <c r="F218" s="1">
        <v>0.39</v>
      </c>
      <c r="G218" s="1">
        <v>0.39</v>
      </c>
      <c r="H218" s="1">
        <v>0.39</v>
      </c>
      <c r="I218" s="1">
        <v>0.39</v>
      </c>
      <c r="J218" s="1">
        <v>0.39</v>
      </c>
      <c r="K218" s="1">
        <v>0.39</v>
      </c>
      <c r="L218" s="1">
        <v>0.39</v>
      </c>
      <c r="M218" s="1">
        <v>0.39</v>
      </c>
      <c r="N218" s="1">
        <v>0.39</v>
      </c>
      <c r="O218" s="1">
        <v>0.39</v>
      </c>
      <c r="P218" s="1">
        <v>0.39</v>
      </c>
      <c r="Q218" s="1">
        <v>0.39</v>
      </c>
      <c r="R218" s="1">
        <v>0.39</v>
      </c>
      <c r="S218" s="1">
        <v>0.39</v>
      </c>
      <c r="T218" s="1">
        <v>0.39</v>
      </c>
      <c r="U218" s="1">
        <v>0.39</v>
      </c>
      <c r="V218" s="1">
        <v>0.39</v>
      </c>
      <c r="W218" s="1">
        <v>0.39</v>
      </c>
      <c r="X218" s="1">
        <v>0.39</v>
      </c>
      <c r="Y218" s="1">
        <v>0.39</v>
      </c>
      <c r="Z218" s="1">
        <v>0.39</v>
      </c>
      <c r="AA218" s="1">
        <v>0.39</v>
      </c>
      <c r="AB218" s="1">
        <v>0.39</v>
      </c>
      <c r="AC218" s="1">
        <v>0.39</v>
      </c>
      <c r="AD218" s="1">
        <v>0.39</v>
      </c>
      <c r="AE218" s="1">
        <v>0.39</v>
      </c>
      <c r="AF218" s="1">
        <v>0.39</v>
      </c>
      <c r="AG218" s="1">
        <v>0.39</v>
      </c>
      <c r="AH218" s="1">
        <v>0.39</v>
      </c>
      <c r="AI218" s="1">
        <v>0.39</v>
      </c>
      <c r="AJ218" s="1">
        <v>0.39</v>
      </c>
      <c r="AK218" s="1">
        <v>0.39</v>
      </c>
      <c r="AL218" s="1">
        <v>0.39</v>
      </c>
      <c r="AM218" s="1">
        <v>0.39</v>
      </c>
      <c r="AN218" s="1">
        <v>0.39</v>
      </c>
      <c r="AO218" s="1">
        <v>0.39</v>
      </c>
      <c r="AP218" s="1">
        <v>0.39</v>
      </c>
      <c r="AQ218" s="1">
        <v>0.39</v>
      </c>
      <c r="AR218" s="1">
        <v>0.39</v>
      </c>
      <c r="AS218" s="1">
        <v>0.39</v>
      </c>
      <c r="AT218" s="1">
        <v>0.39</v>
      </c>
      <c r="AU218" s="1">
        <v>0.39</v>
      </c>
      <c r="AV218" s="1">
        <v>0.39</v>
      </c>
      <c r="AW218" s="1">
        <v>0.39</v>
      </c>
      <c r="AX218" s="1">
        <v>0.39</v>
      </c>
      <c r="AY218" s="1">
        <v>0.39</v>
      </c>
      <c r="AZ218" s="1">
        <v>0.39</v>
      </c>
      <c r="BA218" s="1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232</v>
      </c>
      <c r="F219" s="1">
        <v>0.44</v>
      </c>
      <c r="G219" s="1">
        <v>0.44</v>
      </c>
      <c r="H219" s="1">
        <v>0.44</v>
      </c>
      <c r="I219" s="1">
        <v>0.44</v>
      </c>
      <c r="J219" s="1">
        <v>0.44</v>
      </c>
      <c r="K219" s="1">
        <v>0.44</v>
      </c>
      <c r="L219" s="1">
        <v>0.44</v>
      </c>
      <c r="M219" s="1">
        <v>0.44</v>
      </c>
      <c r="N219" s="1">
        <v>0.44</v>
      </c>
      <c r="O219" s="1">
        <v>0.44</v>
      </c>
      <c r="P219" s="1">
        <v>0.44</v>
      </c>
      <c r="Q219" s="1">
        <v>0.44</v>
      </c>
      <c r="R219" s="1">
        <v>0.44</v>
      </c>
      <c r="S219" s="1">
        <v>0.44</v>
      </c>
      <c r="T219" s="1">
        <v>0.44</v>
      </c>
      <c r="U219" s="1">
        <v>0.44</v>
      </c>
      <c r="V219" s="1">
        <v>0.44</v>
      </c>
      <c r="W219" s="1">
        <v>0.44</v>
      </c>
      <c r="X219" s="1">
        <v>0.44</v>
      </c>
      <c r="Y219" s="1">
        <v>0.44</v>
      </c>
      <c r="Z219" s="1">
        <v>0.44</v>
      </c>
      <c r="AA219" s="1">
        <v>0.44</v>
      </c>
      <c r="AB219" s="1">
        <v>0.44</v>
      </c>
      <c r="AC219" s="1">
        <v>0.44</v>
      </c>
      <c r="AD219" s="1">
        <v>0.44</v>
      </c>
      <c r="AE219" s="1">
        <v>0.44</v>
      </c>
      <c r="AF219" s="1">
        <v>0.44</v>
      </c>
      <c r="AG219" s="1">
        <v>0.44</v>
      </c>
      <c r="AH219" s="1">
        <v>0.44</v>
      </c>
      <c r="AI219" s="1">
        <v>0.44</v>
      </c>
      <c r="AJ219" s="1">
        <v>0.44</v>
      </c>
      <c r="AK219" s="1">
        <v>0.44</v>
      </c>
      <c r="AL219" s="1">
        <v>0.44</v>
      </c>
      <c r="AM219" s="1">
        <v>0.44</v>
      </c>
      <c r="AN219" s="1">
        <v>0.44</v>
      </c>
      <c r="AO219" s="1">
        <v>0.44</v>
      </c>
      <c r="AP219" s="1">
        <v>0.44</v>
      </c>
      <c r="AQ219" s="1">
        <v>0.44</v>
      </c>
      <c r="AR219" s="1">
        <v>0.44</v>
      </c>
      <c r="AS219" s="1">
        <v>0.44</v>
      </c>
      <c r="AT219" s="1">
        <v>0.44</v>
      </c>
      <c r="AU219" s="1">
        <v>0.44</v>
      </c>
      <c r="AV219" s="1">
        <v>0.44</v>
      </c>
      <c r="AW219" s="1">
        <v>0.44</v>
      </c>
      <c r="AX219" s="1">
        <v>0.44</v>
      </c>
      <c r="AY219" s="1">
        <v>0.44</v>
      </c>
      <c r="AZ219" s="1">
        <v>0.44</v>
      </c>
      <c r="BA219" s="1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233</v>
      </c>
      <c r="F220" s="1">
        <v>0.34</v>
      </c>
      <c r="G220" s="1">
        <v>0.34</v>
      </c>
      <c r="H220" s="1">
        <v>0.34</v>
      </c>
      <c r="I220" s="1">
        <v>0.34</v>
      </c>
      <c r="J220" s="1">
        <v>0.34</v>
      </c>
      <c r="K220" s="1">
        <v>0.34</v>
      </c>
      <c r="L220" s="1">
        <v>0.34</v>
      </c>
      <c r="M220" s="1">
        <v>0.34</v>
      </c>
      <c r="N220" s="1">
        <v>0.34</v>
      </c>
      <c r="O220" s="1">
        <v>0.34</v>
      </c>
      <c r="P220" s="1">
        <v>0.34</v>
      </c>
      <c r="Q220" s="1">
        <v>0.34</v>
      </c>
      <c r="R220" s="1">
        <v>0.34</v>
      </c>
      <c r="S220" s="1">
        <v>0.34</v>
      </c>
      <c r="T220" s="1">
        <v>0.34</v>
      </c>
      <c r="U220" s="1">
        <v>0.34</v>
      </c>
      <c r="V220" s="1">
        <v>0.34</v>
      </c>
      <c r="W220" s="1">
        <v>0.34</v>
      </c>
      <c r="X220" s="1">
        <v>0.34</v>
      </c>
      <c r="Y220" s="1">
        <v>0.34</v>
      </c>
      <c r="Z220" s="1">
        <v>0.34</v>
      </c>
      <c r="AA220" s="1">
        <v>0.34</v>
      </c>
      <c r="AB220" s="1">
        <v>0.34</v>
      </c>
      <c r="AC220" s="1">
        <v>0.34</v>
      </c>
      <c r="AD220" s="1">
        <v>0.34</v>
      </c>
      <c r="AE220" s="1">
        <v>0.34</v>
      </c>
      <c r="AF220" s="1">
        <v>0.34</v>
      </c>
      <c r="AG220" s="1">
        <v>0.34</v>
      </c>
      <c r="AH220" s="1">
        <v>0.34</v>
      </c>
      <c r="AI220" s="1">
        <v>0.34</v>
      </c>
      <c r="AJ220" s="1">
        <v>0.34</v>
      </c>
      <c r="AK220" s="1">
        <v>0.34</v>
      </c>
      <c r="AL220" s="1">
        <v>0.34</v>
      </c>
      <c r="AM220" s="1">
        <v>0.34</v>
      </c>
      <c r="AN220" s="1">
        <v>0.34</v>
      </c>
      <c r="AO220" s="1">
        <v>0.34</v>
      </c>
      <c r="AP220" s="1">
        <v>0.34</v>
      </c>
      <c r="AQ220" s="1">
        <v>0.34</v>
      </c>
      <c r="AR220" s="1">
        <v>0.34</v>
      </c>
      <c r="AS220" s="1">
        <v>0.34</v>
      </c>
      <c r="AT220" s="1">
        <v>0.34</v>
      </c>
      <c r="AU220" s="1">
        <v>0.34</v>
      </c>
      <c r="AV220" s="1">
        <v>0.34</v>
      </c>
      <c r="AW220" s="1">
        <v>0.34</v>
      </c>
      <c r="AX220" s="1">
        <v>0.34</v>
      </c>
      <c r="AY220" s="1">
        <v>0.34</v>
      </c>
      <c r="AZ220" s="1">
        <v>0.34</v>
      </c>
      <c r="BA220" s="1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234</v>
      </c>
      <c r="F221" s="1">
        <v>0.34</v>
      </c>
      <c r="G221" s="1">
        <v>0.34</v>
      </c>
      <c r="H221" s="1">
        <v>0.34</v>
      </c>
      <c r="I221" s="1">
        <v>0.34</v>
      </c>
      <c r="J221" s="1">
        <v>0.34</v>
      </c>
      <c r="K221" s="1">
        <v>0.34</v>
      </c>
      <c r="L221" s="1">
        <v>0.34</v>
      </c>
      <c r="M221" s="1">
        <v>0.34</v>
      </c>
      <c r="N221" s="1">
        <v>0.34</v>
      </c>
      <c r="O221" s="1">
        <v>0.34</v>
      </c>
      <c r="P221" s="1">
        <v>0.34</v>
      </c>
      <c r="Q221" s="1">
        <v>0.34</v>
      </c>
      <c r="R221" s="1">
        <v>0.34</v>
      </c>
      <c r="S221" s="1">
        <v>0.34</v>
      </c>
      <c r="T221" s="1">
        <v>0.34</v>
      </c>
      <c r="U221" s="1">
        <v>0.34</v>
      </c>
      <c r="V221" s="1">
        <v>0.34</v>
      </c>
      <c r="W221" s="1">
        <v>0.34</v>
      </c>
      <c r="X221" s="1">
        <v>0.34</v>
      </c>
      <c r="Y221" s="1">
        <v>0.34</v>
      </c>
      <c r="Z221" s="1">
        <v>0.34</v>
      </c>
      <c r="AA221" s="1">
        <v>0.34</v>
      </c>
      <c r="AB221" s="1">
        <v>0.34</v>
      </c>
      <c r="AC221" s="1">
        <v>0.34</v>
      </c>
      <c r="AD221" s="1">
        <v>0.34</v>
      </c>
      <c r="AE221" s="1">
        <v>0.34</v>
      </c>
      <c r="AF221" s="1">
        <v>0.34</v>
      </c>
      <c r="AG221" s="1">
        <v>0.34</v>
      </c>
      <c r="AH221" s="1">
        <v>0.34</v>
      </c>
      <c r="AI221" s="1">
        <v>0.34</v>
      </c>
      <c r="AJ221" s="1">
        <v>0.34</v>
      </c>
      <c r="AK221" s="1">
        <v>0.34</v>
      </c>
      <c r="AL221" s="1">
        <v>0.34</v>
      </c>
      <c r="AM221" s="1">
        <v>0.34</v>
      </c>
      <c r="AN221" s="1">
        <v>0.34</v>
      </c>
      <c r="AO221" s="1">
        <v>0.34</v>
      </c>
      <c r="AP221" s="1">
        <v>0.34</v>
      </c>
      <c r="AQ221" s="1">
        <v>0.34</v>
      </c>
      <c r="AR221" s="1">
        <v>0.34</v>
      </c>
      <c r="AS221" s="1">
        <v>0.34</v>
      </c>
      <c r="AT221" s="1">
        <v>0.34</v>
      </c>
      <c r="AU221" s="1">
        <v>0.34</v>
      </c>
      <c r="AV221" s="1">
        <v>0.34</v>
      </c>
      <c r="AW221" s="1">
        <v>0.34</v>
      </c>
      <c r="AX221" s="1">
        <v>0.34</v>
      </c>
      <c r="AY221" s="1">
        <v>0.34</v>
      </c>
      <c r="AZ221" s="1">
        <v>0.34</v>
      </c>
      <c r="BA221" s="1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235</v>
      </c>
      <c r="F222" s="1">
        <v>0.39</v>
      </c>
      <c r="G222" s="1">
        <v>0.39</v>
      </c>
      <c r="H222" s="1">
        <v>0.39</v>
      </c>
      <c r="I222" s="1">
        <v>0.39</v>
      </c>
      <c r="J222" s="1">
        <v>0.39</v>
      </c>
      <c r="K222" s="1">
        <v>0.39</v>
      </c>
      <c r="L222" s="1">
        <v>0.39</v>
      </c>
      <c r="M222" s="1">
        <v>0.39</v>
      </c>
      <c r="N222" s="1">
        <v>0.39</v>
      </c>
      <c r="O222" s="1">
        <v>0.39</v>
      </c>
      <c r="P222" s="1">
        <v>0.39</v>
      </c>
      <c r="Q222" s="1">
        <v>0.39</v>
      </c>
      <c r="R222" s="1">
        <v>0.39</v>
      </c>
      <c r="S222" s="1">
        <v>0.39</v>
      </c>
      <c r="T222" s="1">
        <v>0.39</v>
      </c>
      <c r="U222" s="1">
        <v>0.39</v>
      </c>
      <c r="V222" s="1">
        <v>0.39</v>
      </c>
      <c r="W222" s="1">
        <v>0.39</v>
      </c>
      <c r="X222" s="1">
        <v>0.39</v>
      </c>
      <c r="Y222" s="1">
        <v>0.39</v>
      </c>
      <c r="Z222" s="1">
        <v>0.39</v>
      </c>
      <c r="AA222" s="1">
        <v>0.39</v>
      </c>
      <c r="AB222" s="1">
        <v>0.39</v>
      </c>
      <c r="AC222" s="1">
        <v>0.39</v>
      </c>
      <c r="AD222" s="1">
        <v>0.39</v>
      </c>
      <c r="AE222" s="1">
        <v>0.39</v>
      </c>
      <c r="AF222" s="1">
        <v>0.39</v>
      </c>
      <c r="AG222" s="1">
        <v>0.39</v>
      </c>
      <c r="AH222" s="1">
        <v>0.39</v>
      </c>
      <c r="AI222" s="1">
        <v>0.39</v>
      </c>
      <c r="AJ222" s="1">
        <v>0.39</v>
      </c>
      <c r="AK222" s="1">
        <v>0.39</v>
      </c>
      <c r="AL222" s="1">
        <v>0.39</v>
      </c>
      <c r="AM222" s="1">
        <v>0.39</v>
      </c>
      <c r="AN222" s="1">
        <v>0.39</v>
      </c>
      <c r="AO222" s="1">
        <v>0.39</v>
      </c>
      <c r="AP222" s="1">
        <v>0.39</v>
      </c>
      <c r="AQ222" s="1">
        <v>0.39</v>
      </c>
      <c r="AR222" s="1">
        <v>0.39</v>
      </c>
      <c r="AS222" s="1">
        <v>0.39</v>
      </c>
      <c r="AT222" s="1">
        <v>0.39</v>
      </c>
      <c r="AU222" s="1">
        <v>0.39</v>
      </c>
      <c r="AV222" s="1">
        <v>0.39</v>
      </c>
      <c r="AW222" s="1">
        <v>0.39</v>
      </c>
      <c r="AX222" s="1">
        <v>0.39</v>
      </c>
      <c r="AY222" s="1">
        <v>0.39</v>
      </c>
      <c r="AZ222" s="1">
        <v>0.39</v>
      </c>
      <c r="BA222" s="1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236</v>
      </c>
      <c r="F223" s="1">
        <v>0.44</v>
      </c>
      <c r="G223" s="1">
        <v>0.44</v>
      </c>
      <c r="H223" s="1">
        <v>0.44</v>
      </c>
      <c r="I223" s="1">
        <v>0.44</v>
      </c>
      <c r="J223" s="1">
        <v>0.44</v>
      </c>
      <c r="K223" s="1">
        <v>0.44</v>
      </c>
      <c r="L223" s="1">
        <v>0.44</v>
      </c>
      <c r="M223" s="1">
        <v>0.44</v>
      </c>
      <c r="N223" s="1">
        <v>0.44</v>
      </c>
      <c r="O223" s="1">
        <v>0.44</v>
      </c>
      <c r="P223" s="1">
        <v>0.44</v>
      </c>
      <c r="Q223" s="1">
        <v>0.44</v>
      </c>
      <c r="R223" s="1">
        <v>0.44</v>
      </c>
      <c r="S223" s="1">
        <v>0.44</v>
      </c>
      <c r="T223" s="1">
        <v>0.44</v>
      </c>
      <c r="U223" s="1">
        <v>0.44</v>
      </c>
      <c r="V223" s="1">
        <v>0.44</v>
      </c>
      <c r="W223" s="1">
        <v>0.44</v>
      </c>
      <c r="X223" s="1">
        <v>0.44</v>
      </c>
      <c r="Y223" s="1">
        <v>0.44</v>
      </c>
      <c r="Z223" s="1">
        <v>0.44</v>
      </c>
      <c r="AA223" s="1">
        <v>0.44</v>
      </c>
      <c r="AB223" s="1">
        <v>0.44</v>
      </c>
      <c r="AC223" s="1">
        <v>0.44</v>
      </c>
      <c r="AD223" s="1">
        <v>0.44</v>
      </c>
      <c r="AE223" s="1">
        <v>0.44</v>
      </c>
      <c r="AF223" s="1">
        <v>0.44</v>
      </c>
      <c r="AG223" s="1">
        <v>0.44</v>
      </c>
      <c r="AH223" s="1">
        <v>0.44</v>
      </c>
      <c r="AI223" s="1">
        <v>0.44</v>
      </c>
      <c r="AJ223" s="1">
        <v>0.44</v>
      </c>
      <c r="AK223" s="1">
        <v>0.44</v>
      </c>
      <c r="AL223" s="1">
        <v>0.44</v>
      </c>
      <c r="AM223" s="1">
        <v>0.44</v>
      </c>
      <c r="AN223" s="1">
        <v>0.44</v>
      </c>
      <c r="AO223" s="1">
        <v>0.44</v>
      </c>
      <c r="AP223" s="1">
        <v>0.44</v>
      </c>
      <c r="AQ223" s="1">
        <v>0.44</v>
      </c>
      <c r="AR223" s="1">
        <v>0.44</v>
      </c>
      <c r="AS223" s="1">
        <v>0.44</v>
      </c>
      <c r="AT223" s="1">
        <v>0.44</v>
      </c>
      <c r="AU223" s="1">
        <v>0.44</v>
      </c>
      <c r="AV223" s="1">
        <v>0.44</v>
      </c>
      <c r="AW223" s="1">
        <v>0.44</v>
      </c>
      <c r="AX223" s="1">
        <v>0.44</v>
      </c>
      <c r="AY223" s="1">
        <v>0.44</v>
      </c>
      <c r="AZ223" s="1">
        <v>0.44</v>
      </c>
      <c r="BA223" s="1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237</v>
      </c>
      <c r="F224" s="1">
        <v>0.52</v>
      </c>
      <c r="G224" s="1">
        <v>0.52</v>
      </c>
      <c r="H224" s="1">
        <v>0.52</v>
      </c>
      <c r="I224" s="1">
        <v>0.52</v>
      </c>
      <c r="J224" s="1">
        <v>0.52</v>
      </c>
      <c r="K224" s="1">
        <v>0.52</v>
      </c>
      <c r="L224" s="1">
        <v>0.52</v>
      </c>
      <c r="M224" s="1">
        <v>0.52</v>
      </c>
      <c r="N224" s="1">
        <v>0.52</v>
      </c>
      <c r="O224" s="1">
        <v>0.52</v>
      </c>
      <c r="P224" s="1">
        <v>0.52</v>
      </c>
      <c r="Q224" s="1">
        <v>0.52</v>
      </c>
      <c r="R224" s="1">
        <v>0.52</v>
      </c>
      <c r="S224" s="1">
        <v>0.52</v>
      </c>
      <c r="T224" s="1">
        <v>0.52</v>
      </c>
      <c r="U224" s="1">
        <v>0.52</v>
      </c>
      <c r="V224" s="1">
        <v>0.52</v>
      </c>
      <c r="W224" s="1">
        <v>0.52</v>
      </c>
      <c r="X224" s="1">
        <v>0.52</v>
      </c>
      <c r="Y224" s="1">
        <v>0.52</v>
      </c>
      <c r="Z224" s="1">
        <v>0.52</v>
      </c>
      <c r="AA224" s="1">
        <v>0.52</v>
      </c>
      <c r="AB224" s="1">
        <v>0.52</v>
      </c>
      <c r="AC224" s="1">
        <v>0.52</v>
      </c>
      <c r="AD224" s="1">
        <v>0.52</v>
      </c>
      <c r="AE224" s="1">
        <v>0.52</v>
      </c>
      <c r="AF224" s="1">
        <v>0.52</v>
      </c>
      <c r="AG224" s="1">
        <v>0.52</v>
      </c>
      <c r="AH224" s="1">
        <v>0.52</v>
      </c>
      <c r="AI224" s="1">
        <v>0.52</v>
      </c>
      <c r="AJ224" s="1">
        <v>0.52</v>
      </c>
      <c r="AK224" s="1">
        <v>0.52</v>
      </c>
      <c r="AL224" s="1">
        <v>0.52</v>
      </c>
      <c r="AM224" s="1">
        <v>0.52</v>
      </c>
      <c r="AN224" s="1">
        <v>0.52</v>
      </c>
      <c r="AO224" s="1">
        <v>0.52</v>
      </c>
      <c r="AP224" s="1">
        <v>0.52</v>
      </c>
      <c r="AQ224" s="1">
        <v>0.52</v>
      </c>
      <c r="AR224" s="1">
        <v>0.52</v>
      </c>
      <c r="AS224" s="1">
        <v>0.52</v>
      </c>
      <c r="AT224" s="1">
        <v>0.52</v>
      </c>
      <c r="AU224" s="1">
        <v>0.52</v>
      </c>
      <c r="AV224" s="1">
        <v>0.52</v>
      </c>
      <c r="AW224" s="1">
        <v>0.52</v>
      </c>
      <c r="AX224" s="1">
        <v>0.52</v>
      </c>
      <c r="AY224" s="1">
        <v>0.52</v>
      </c>
      <c r="AZ224" s="1">
        <v>0.52</v>
      </c>
      <c r="BA224" s="1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238</v>
      </c>
      <c r="F225" s="1">
        <v>0.34</v>
      </c>
      <c r="G225" s="1">
        <v>0.34</v>
      </c>
      <c r="H225" s="1">
        <v>0.34</v>
      </c>
      <c r="I225" s="1">
        <v>0.34</v>
      </c>
      <c r="J225" s="1">
        <v>0.34</v>
      </c>
      <c r="K225" s="1">
        <v>0.34</v>
      </c>
      <c r="L225" s="1">
        <v>0.34</v>
      </c>
      <c r="M225" s="1">
        <v>0.34</v>
      </c>
      <c r="N225" s="1">
        <v>0.34</v>
      </c>
      <c r="O225" s="1">
        <v>0.34</v>
      </c>
      <c r="P225" s="1">
        <v>0.34</v>
      </c>
      <c r="Q225" s="1">
        <v>0.34</v>
      </c>
      <c r="R225" s="1">
        <v>0.34</v>
      </c>
      <c r="S225" s="1">
        <v>0.34</v>
      </c>
      <c r="T225" s="1">
        <v>0.34</v>
      </c>
      <c r="U225" s="1">
        <v>0.34</v>
      </c>
      <c r="V225" s="1">
        <v>0.34</v>
      </c>
      <c r="W225" s="1">
        <v>0.34</v>
      </c>
      <c r="X225" s="1">
        <v>0.34</v>
      </c>
      <c r="Y225" s="1">
        <v>0.34</v>
      </c>
      <c r="Z225" s="1">
        <v>0.34</v>
      </c>
      <c r="AA225" s="1">
        <v>0.34</v>
      </c>
      <c r="AB225" s="1">
        <v>0.34</v>
      </c>
      <c r="AC225" s="1">
        <v>0.34</v>
      </c>
      <c r="AD225" s="1">
        <v>0.34</v>
      </c>
      <c r="AE225" s="1">
        <v>0.34</v>
      </c>
      <c r="AF225" s="1">
        <v>0.34</v>
      </c>
      <c r="AG225" s="1">
        <v>0.34</v>
      </c>
      <c r="AH225" s="1">
        <v>0.34</v>
      </c>
      <c r="AI225" s="1">
        <v>0.34</v>
      </c>
      <c r="AJ225" s="1">
        <v>0.34</v>
      </c>
      <c r="AK225" s="1">
        <v>0.34</v>
      </c>
      <c r="AL225" s="1">
        <v>0.34</v>
      </c>
      <c r="AM225" s="1">
        <v>0.34</v>
      </c>
      <c r="AN225" s="1">
        <v>0.34</v>
      </c>
      <c r="AO225" s="1">
        <v>0.34</v>
      </c>
      <c r="AP225" s="1">
        <v>0.34</v>
      </c>
      <c r="AQ225" s="1">
        <v>0.34</v>
      </c>
      <c r="AR225" s="1">
        <v>0.34</v>
      </c>
      <c r="AS225" s="1">
        <v>0.34</v>
      </c>
      <c r="AT225" s="1">
        <v>0.34</v>
      </c>
      <c r="AU225" s="1">
        <v>0.34</v>
      </c>
      <c r="AV225" s="1">
        <v>0.34</v>
      </c>
      <c r="AW225" s="1">
        <v>0.34</v>
      </c>
      <c r="AX225" s="1">
        <v>0.34</v>
      </c>
      <c r="AY225" s="1">
        <v>0.34</v>
      </c>
      <c r="AZ225" s="1">
        <v>0.34</v>
      </c>
      <c r="BA225" s="1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239</v>
      </c>
      <c r="F226" s="1">
        <v>0.37</v>
      </c>
      <c r="G226" s="1">
        <v>0.37</v>
      </c>
      <c r="H226" s="1">
        <v>0.37</v>
      </c>
      <c r="I226" s="1">
        <v>0.37</v>
      </c>
      <c r="J226" s="1">
        <v>0.37</v>
      </c>
      <c r="K226" s="1">
        <v>0.37</v>
      </c>
      <c r="L226" s="1">
        <v>0.37</v>
      </c>
      <c r="M226" s="1">
        <v>0.37</v>
      </c>
      <c r="N226" s="1">
        <v>0.37</v>
      </c>
      <c r="O226" s="1">
        <v>0.37</v>
      </c>
      <c r="P226" s="1">
        <v>0.37</v>
      </c>
      <c r="Q226" s="1">
        <v>0.37</v>
      </c>
      <c r="R226" s="1">
        <v>0.37</v>
      </c>
      <c r="S226" s="1">
        <v>0.37</v>
      </c>
      <c r="T226" s="1">
        <v>0.37</v>
      </c>
      <c r="U226" s="1">
        <v>0.37</v>
      </c>
      <c r="V226" s="1">
        <v>0.37</v>
      </c>
      <c r="W226" s="1">
        <v>0.37</v>
      </c>
      <c r="X226" s="1">
        <v>0.37</v>
      </c>
      <c r="Y226" s="1">
        <v>0.37</v>
      </c>
      <c r="Z226" s="1">
        <v>0.37</v>
      </c>
      <c r="AA226" s="1">
        <v>0.37</v>
      </c>
      <c r="AB226" s="1">
        <v>0.37</v>
      </c>
      <c r="AC226" s="1">
        <v>0.37</v>
      </c>
      <c r="AD226" s="1">
        <v>0.37</v>
      </c>
      <c r="AE226" s="1">
        <v>0.37</v>
      </c>
      <c r="AF226" s="1">
        <v>0.37</v>
      </c>
      <c r="AG226" s="1">
        <v>0.37</v>
      </c>
      <c r="AH226" s="1">
        <v>0.37</v>
      </c>
      <c r="AI226" s="1">
        <v>0.37</v>
      </c>
      <c r="AJ226" s="1">
        <v>0.37</v>
      </c>
      <c r="AK226" s="1">
        <v>0.37</v>
      </c>
      <c r="AL226" s="1">
        <v>0.37</v>
      </c>
      <c r="AM226" s="1">
        <v>0.37</v>
      </c>
      <c r="AN226" s="1">
        <v>0.37</v>
      </c>
      <c r="AO226" s="1">
        <v>0.37</v>
      </c>
      <c r="AP226" s="1">
        <v>0.37</v>
      </c>
      <c r="AQ226" s="1">
        <v>0.37</v>
      </c>
      <c r="AR226" s="1">
        <v>0.37</v>
      </c>
      <c r="AS226" s="1">
        <v>0.37</v>
      </c>
      <c r="AT226" s="1">
        <v>0.37</v>
      </c>
      <c r="AU226" s="1">
        <v>0.37</v>
      </c>
      <c r="AV226" s="1">
        <v>0.37</v>
      </c>
      <c r="AW226" s="1">
        <v>0.37</v>
      </c>
      <c r="AX226" s="1">
        <v>0.37</v>
      </c>
      <c r="AY226" s="1">
        <v>0.37</v>
      </c>
      <c r="AZ226" s="1">
        <v>0.37</v>
      </c>
      <c r="BA226" s="1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240</v>
      </c>
      <c r="F227" s="1">
        <v>0.34</v>
      </c>
      <c r="G227" s="1">
        <v>0.34</v>
      </c>
      <c r="H227" s="1">
        <v>0.34</v>
      </c>
      <c r="I227" s="1">
        <v>0.34</v>
      </c>
      <c r="J227" s="1">
        <v>0.34</v>
      </c>
      <c r="K227" s="1">
        <v>0.34</v>
      </c>
      <c r="L227" s="1">
        <v>0.34</v>
      </c>
      <c r="M227" s="1">
        <v>0.34</v>
      </c>
      <c r="N227" s="1">
        <v>0.34</v>
      </c>
      <c r="O227" s="1">
        <v>0.34</v>
      </c>
      <c r="P227" s="1">
        <v>0.34</v>
      </c>
      <c r="Q227" s="1">
        <v>0.34</v>
      </c>
      <c r="R227" s="1">
        <v>0.34</v>
      </c>
      <c r="S227" s="1">
        <v>0.34</v>
      </c>
      <c r="T227" s="1">
        <v>0.34</v>
      </c>
      <c r="U227" s="1">
        <v>0.34</v>
      </c>
      <c r="V227" s="1">
        <v>0.34</v>
      </c>
      <c r="W227" s="1">
        <v>0.34</v>
      </c>
      <c r="X227" s="1">
        <v>0.34</v>
      </c>
      <c r="Y227" s="1">
        <v>0.34</v>
      </c>
      <c r="Z227" s="1">
        <v>0.34</v>
      </c>
      <c r="AA227" s="1">
        <v>0.34</v>
      </c>
      <c r="AB227" s="1">
        <v>0.34</v>
      </c>
      <c r="AC227" s="1">
        <v>0.34</v>
      </c>
      <c r="AD227" s="1">
        <v>0.34</v>
      </c>
      <c r="AE227" s="1">
        <v>0.34</v>
      </c>
      <c r="AF227" s="1">
        <v>0.34</v>
      </c>
      <c r="AG227" s="1">
        <v>0.34</v>
      </c>
      <c r="AH227" s="1">
        <v>0.34</v>
      </c>
      <c r="AI227" s="1">
        <v>0.34</v>
      </c>
      <c r="AJ227" s="1">
        <v>0.34</v>
      </c>
      <c r="AK227" s="1">
        <v>0.34</v>
      </c>
      <c r="AL227" s="1">
        <v>0.34</v>
      </c>
      <c r="AM227" s="1">
        <v>0.34</v>
      </c>
      <c r="AN227" s="1">
        <v>0.34</v>
      </c>
      <c r="AO227" s="1">
        <v>0.34</v>
      </c>
      <c r="AP227" s="1">
        <v>0.34</v>
      </c>
      <c r="AQ227" s="1">
        <v>0.34</v>
      </c>
      <c r="AR227" s="1">
        <v>0.34</v>
      </c>
      <c r="AS227" s="1">
        <v>0.34</v>
      </c>
      <c r="AT227" s="1">
        <v>0.34</v>
      </c>
      <c r="AU227" s="1">
        <v>0.34</v>
      </c>
      <c r="AV227" s="1">
        <v>0.34</v>
      </c>
      <c r="AW227" s="1">
        <v>0.34</v>
      </c>
      <c r="AX227" s="1">
        <v>0.34</v>
      </c>
      <c r="AY227" s="1">
        <v>0.34</v>
      </c>
      <c r="AZ227" s="1">
        <v>0.34</v>
      </c>
      <c r="BA227" s="1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241</v>
      </c>
      <c r="F228" s="1">
        <v>0.7</v>
      </c>
      <c r="G228" s="1">
        <v>0.7</v>
      </c>
      <c r="H228" s="1">
        <v>0.7</v>
      </c>
      <c r="I228" s="1">
        <v>0.7</v>
      </c>
      <c r="J228" s="1">
        <v>0.7</v>
      </c>
      <c r="K228" s="1">
        <v>0.7</v>
      </c>
      <c r="L228" s="1">
        <v>0.7</v>
      </c>
      <c r="M228" s="1">
        <v>0.7</v>
      </c>
      <c r="N228" s="1">
        <v>0.7</v>
      </c>
      <c r="O228" s="1">
        <v>0.7</v>
      </c>
      <c r="P228" s="1">
        <v>0.7</v>
      </c>
      <c r="Q228" s="1">
        <v>0.7</v>
      </c>
      <c r="R228" s="1">
        <v>0.7</v>
      </c>
      <c r="S228" s="1">
        <v>0.7</v>
      </c>
      <c r="T228" s="1">
        <v>0.7</v>
      </c>
      <c r="U228" s="1">
        <v>0.7</v>
      </c>
      <c r="V228" s="1">
        <v>0.7</v>
      </c>
      <c r="W228" s="1">
        <v>0.7</v>
      </c>
      <c r="X228" s="1">
        <v>0.7</v>
      </c>
      <c r="Y228" s="1">
        <v>0.7</v>
      </c>
      <c r="Z228" s="1">
        <v>0.7</v>
      </c>
      <c r="AA228" s="1">
        <v>0.7</v>
      </c>
      <c r="AB228" s="1">
        <v>0.7</v>
      </c>
      <c r="AC228" s="1">
        <v>0.7</v>
      </c>
      <c r="AD228" s="1">
        <v>0.7</v>
      </c>
      <c r="AE228" s="1">
        <v>0.7</v>
      </c>
      <c r="AF228" s="1">
        <v>0.7</v>
      </c>
      <c r="AG228" s="1">
        <v>0.7</v>
      </c>
      <c r="AH228" s="1">
        <v>0.7</v>
      </c>
      <c r="AI228" s="1">
        <v>0.7</v>
      </c>
      <c r="AJ228" s="1">
        <v>0.7</v>
      </c>
      <c r="AK228" s="1">
        <v>0.7</v>
      </c>
      <c r="AL228" s="1">
        <v>0.7</v>
      </c>
      <c r="AM228" s="1">
        <v>0.7</v>
      </c>
      <c r="AN228" s="1">
        <v>0.7</v>
      </c>
      <c r="AO228" s="1">
        <v>0.7</v>
      </c>
      <c r="AP228" s="1">
        <v>0.7</v>
      </c>
      <c r="AQ228" s="1">
        <v>0.7</v>
      </c>
      <c r="AR228" s="1">
        <v>0.7</v>
      </c>
      <c r="AS228" s="1">
        <v>0.7</v>
      </c>
      <c r="AT228" s="1">
        <v>0.7</v>
      </c>
      <c r="AU228" s="1">
        <v>0.7</v>
      </c>
      <c r="AV228" s="1">
        <v>0.7</v>
      </c>
      <c r="AW228" s="1">
        <v>0.7</v>
      </c>
      <c r="AX228" s="1">
        <v>0.7</v>
      </c>
      <c r="AY228" s="1">
        <v>0.7</v>
      </c>
      <c r="AZ228" s="1">
        <v>0.7</v>
      </c>
      <c r="BA228" s="1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242</v>
      </c>
      <c r="F229" s="1">
        <v>1</v>
      </c>
      <c r="G229" s="1">
        <v>1</v>
      </c>
      <c r="H229" s="1">
        <v>1</v>
      </c>
      <c r="I229" s="1">
        <v>1</v>
      </c>
      <c r="J229" s="1">
        <v>1</v>
      </c>
      <c r="K229" s="1">
        <v>1</v>
      </c>
      <c r="L229" s="1">
        <v>1</v>
      </c>
      <c r="M229" s="1">
        <v>1</v>
      </c>
      <c r="N229" s="1">
        <v>1</v>
      </c>
      <c r="O229" s="1">
        <v>1</v>
      </c>
      <c r="P229" s="1">
        <v>1</v>
      </c>
      <c r="Q229" s="1">
        <v>1</v>
      </c>
      <c r="R229" s="1">
        <v>1</v>
      </c>
      <c r="S229" s="1">
        <v>1</v>
      </c>
      <c r="T229" s="1">
        <v>1</v>
      </c>
      <c r="U229" s="1">
        <v>1</v>
      </c>
      <c r="V229" s="1">
        <v>1</v>
      </c>
      <c r="W229" s="1">
        <v>1</v>
      </c>
      <c r="X229" s="1">
        <v>1</v>
      </c>
      <c r="Y229" s="1">
        <v>1</v>
      </c>
      <c r="Z229" s="1">
        <v>1</v>
      </c>
      <c r="AA229" s="1">
        <v>1</v>
      </c>
      <c r="AB229" s="1">
        <v>1</v>
      </c>
      <c r="AC229" s="1">
        <v>1</v>
      </c>
      <c r="AD229" s="1">
        <v>1</v>
      </c>
      <c r="AE229" s="1">
        <v>1</v>
      </c>
      <c r="AF229" s="1">
        <v>1</v>
      </c>
      <c r="AG229" s="1">
        <v>1</v>
      </c>
      <c r="AH229" s="1">
        <v>1</v>
      </c>
      <c r="AI229" s="1">
        <v>1</v>
      </c>
      <c r="AJ229" s="1">
        <v>1</v>
      </c>
      <c r="AK229" s="1">
        <v>1</v>
      </c>
      <c r="AL229" s="1">
        <v>1</v>
      </c>
      <c r="AM229" s="1">
        <v>1</v>
      </c>
      <c r="AN229" s="1">
        <v>1</v>
      </c>
      <c r="AO229" s="1">
        <v>1</v>
      </c>
      <c r="AP229" s="1">
        <v>1</v>
      </c>
      <c r="AQ229" s="1">
        <v>1</v>
      </c>
      <c r="AR229" s="1">
        <v>1</v>
      </c>
      <c r="AS229" s="1">
        <v>1</v>
      </c>
      <c r="AT229" s="1">
        <v>1</v>
      </c>
      <c r="AU229" s="1">
        <v>1</v>
      </c>
      <c r="AV229" s="1">
        <v>1</v>
      </c>
      <c r="AW229" s="1">
        <v>1</v>
      </c>
      <c r="AX229" s="1">
        <v>1</v>
      </c>
      <c r="AY229" s="1">
        <v>1</v>
      </c>
      <c r="AZ229" s="1">
        <v>1</v>
      </c>
      <c r="BA229" s="1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243</v>
      </c>
      <c r="F230" s="1">
        <v>1</v>
      </c>
      <c r="G230" s="1">
        <v>1</v>
      </c>
      <c r="H230" s="1">
        <v>1</v>
      </c>
      <c r="I230" s="1">
        <v>1</v>
      </c>
      <c r="J230" s="1">
        <v>1</v>
      </c>
      <c r="K230" s="1">
        <v>1</v>
      </c>
      <c r="L230" s="1">
        <v>1</v>
      </c>
      <c r="M230" s="1">
        <v>1</v>
      </c>
      <c r="N230" s="1">
        <v>1</v>
      </c>
      <c r="O230" s="1">
        <v>1</v>
      </c>
      <c r="P230" s="1">
        <v>1</v>
      </c>
      <c r="Q230" s="1">
        <v>1</v>
      </c>
      <c r="R230" s="1">
        <v>1</v>
      </c>
      <c r="S230" s="1">
        <v>1</v>
      </c>
      <c r="T230" s="1">
        <v>1</v>
      </c>
      <c r="U230" s="1">
        <v>1</v>
      </c>
      <c r="V230" s="1">
        <v>1</v>
      </c>
      <c r="W230" s="1">
        <v>1</v>
      </c>
      <c r="X230" s="1">
        <v>1</v>
      </c>
      <c r="Y230" s="1">
        <v>1</v>
      </c>
      <c r="Z230" s="1">
        <v>1</v>
      </c>
      <c r="AA230" s="1">
        <v>1</v>
      </c>
      <c r="AB230" s="1">
        <v>1</v>
      </c>
      <c r="AC230" s="1">
        <v>1</v>
      </c>
      <c r="AD230" s="1">
        <v>1</v>
      </c>
      <c r="AE230" s="1">
        <v>1</v>
      </c>
      <c r="AF230" s="1">
        <v>1</v>
      </c>
      <c r="AG230" s="1">
        <v>1</v>
      </c>
      <c r="AH230" s="1">
        <v>1</v>
      </c>
      <c r="AI230" s="1">
        <v>1</v>
      </c>
      <c r="AJ230" s="1">
        <v>1</v>
      </c>
      <c r="AK230" s="1">
        <v>1</v>
      </c>
      <c r="AL230" s="1">
        <v>1</v>
      </c>
      <c r="AM230" s="1">
        <v>1</v>
      </c>
      <c r="AN230" s="1">
        <v>1</v>
      </c>
      <c r="AO230" s="1">
        <v>1</v>
      </c>
      <c r="AP230" s="1">
        <v>1</v>
      </c>
      <c r="AQ230" s="1">
        <v>1</v>
      </c>
      <c r="AR230" s="1">
        <v>1</v>
      </c>
      <c r="AS230" s="1">
        <v>1</v>
      </c>
      <c r="AT230" s="1">
        <v>1</v>
      </c>
      <c r="AU230" s="1">
        <v>1</v>
      </c>
      <c r="AV230" s="1">
        <v>1</v>
      </c>
      <c r="AW230" s="1">
        <v>1</v>
      </c>
      <c r="AX230" s="1">
        <v>1</v>
      </c>
      <c r="AY230" s="1">
        <v>1</v>
      </c>
      <c r="AZ230" s="1">
        <v>1</v>
      </c>
      <c r="BA230" s="1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244</v>
      </c>
      <c r="F231" s="1">
        <v>1</v>
      </c>
      <c r="G231" s="1">
        <v>1</v>
      </c>
      <c r="H231" s="1">
        <v>1</v>
      </c>
      <c r="I231" s="1">
        <v>1</v>
      </c>
      <c r="J231" s="1">
        <v>1</v>
      </c>
      <c r="K231" s="1">
        <v>1</v>
      </c>
      <c r="L231" s="1">
        <v>1</v>
      </c>
      <c r="M231" s="1">
        <v>1</v>
      </c>
      <c r="N231" s="1">
        <v>1</v>
      </c>
      <c r="O231" s="1">
        <v>1</v>
      </c>
      <c r="P231" s="1">
        <v>1</v>
      </c>
      <c r="Q231" s="1">
        <v>1</v>
      </c>
      <c r="R231" s="1">
        <v>1</v>
      </c>
      <c r="S231" s="1">
        <v>1</v>
      </c>
      <c r="T231" s="1">
        <v>1</v>
      </c>
      <c r="U231" s="1">
        <v>1</v>
      </c>
      <c r="V231" s="1">
        <v>1</v>
      </c>
      <c r="W231" s="1">
        <v>1</v>
      </c>
      <c r="X231" s="1">
        <v>1</v>
      </c>
      <c r="Y231" s="1">
        <v>1</v>
      </c>
      <c r="Z231" s="1">
        <v>1</v>
      </c>
      <c r="AA231" s="1">
        <v>1</v>
      </c>
      <c r="AB231" s="1">
        <v>1</v>
      </c>
      <c r="AC231" s="1">
        <v>1</v>
      </c>
      <c r="AD231" s="1">
        <v>1</v>
      </c>
      <c r="AE231" s="1">
        <v>1</v>
      </c>
      <c r="AF231" s="1">
        <v>1</v>
      </c>
      <c r="AG231" s="1">
        <v>1</v>
      </c>
      <c r="AH231" s="1">
        <v>1</v>
      </c>
      <c r="AI231" s="1">
        <v>1</v>
      </c>
      <c r="AJ231" s="1">
        <v>1</v>
      </c>
      <c r="AK231" s="1">
        <v>1</v>
      </c>
      <c r="AL231" s="1">
        <v>1</v>
      </c>
      <c r="AM231" s="1">
        <v>1</v>
      </c>
      <c r="AN231" s="1">
        <v>1</v>
      </c>
      <c r="AO231" s="1">
        <v>1</v>
      </c>
      <c r="AP231" s="1">
        <v>1</v>
      </c>
      <c r="AQ231" s="1">
        <v>1</v>
      </c>
      <c r="AR231" s="1">
        <v>1</v>
      </c>
      <c r="AS231" s="1">
        <v>1</v>
      </c>
      <c r="AT231" s="1">
        <v>1</v>
      </c>
      <c r="AU231" s="1">
        <v>1</v>
      </c>
      <c r="AV231" s="1">
        <v>1</v>
      </c>
      <c r="AW231" s="1">
        <v>1</v>
      </c>
      <c r="AX231" s="1">
        <v>1</v>
      </c>
      <c r="AY231" s="1">
        <v>1</v>
      </c>
      <c r="AZ231" s="1">
        <v>1</v>
      </c>
      <c r="BA231" s="1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245</v>
      </c>
      <c r="F232" s="1">
        <v>2.64</v>
      </c>
      <c r="G232" s="1">
        <v>2.64</v>
      </c>
      <c r="H232" s="1">
        <v>2.64</v>
      </c>
      <c r="I232" s="1">
        <v>2.64</v>
      </c>
      <c r="J232" s="1">
        <v>2.64</v>
      </c>
      <c r="K232" s="1">
        <v>2.64</v>
      </c>
      <c r="L232" s="1">
        <v>2.64</v>
      </c>
      <c r="M232" s="1">
        <v>2.64</v>
      </c>
      <c r="N232" s="1">
        <v>2.64</v>
      </c>
      <c r="O232" s="1">
        <v>2.64</v>
      </c>
      <c r="P232" s="1">
        <v>2.64</v>
      </c>
      <c r="Q232" s="1">
        <v>2.64</v>
      </c>
      <c r="R232" s="1">
        <v>2.64</v>
      </c>
      <c r="S232" s="1">
        <v>2.64</v>
      </c>
      <c r="T232" s="1">
        <v>2.64</v>
      </c>
      <c r="U232" s="1">
        <v>2.64</v>
      </c>
      <c r="V232" s="1">
        <v>2.64</v>
      </c>
      <c r="W232" s="1">
        <v>2.64</v>
      </c>
      <c r="X232" s="1">
        <v>2.64</v>
      </c>
      <c r="Y232" s="1">
        <v>2.64</v>
      </c>
      <c r="Z232" s="1">
        <v>2.64</v>
      </c>
      <c r="AA232" s="1">
        <v>2.64</v>
      </c>
      <c r="AB232" s="1">
        <v>2.64</v>
      </c>
      <c r="AC232" s="1">
        <v>2.64</v>
      </c>
      <c r="AD232" s="1">
        <v>2.64</v>
      </c>
      <c r="AE232" s="1">
        <v>2.64</v>
      </c>
      <c r="AF232" s="1">
        <v>2.64</v>
      </c>
      <c r="AG232" s="1">
        <v>2.64</v>
      </c>
      <c r="AH232" s="1">
        <v>2.64</v>
      </c>
      <c r="AI232" s="1">
        <v>2.64</v>
      </c>
      <c r="AJ232" s="1">
        <v>2.64</v>
      </c>
      <c r="AK232" s="1">
        <v>2.64</v>
      </c>
      <c r="AL232" s="1">
        <v>2.64</v>
      </c>
      <c r="AM232" s="1">
        <v>2.64</v>
      </c>
      <c r="AN232" s="1">
        <v>2.64</v>
      </c>
      <c r="AO232" s="1">
        <v>2.64</v>
      </c>
      <c r="AP232" s="1">
        <v>2.64</v>
      </c>
      <c r="AQ232" s="1">
        <v>2.64</v>
      </c>
      <c r="AR232" s="1">
        <v>2.64</v>
      </c>
      <c r="AS232" s="1">
        <v>2.64</v>
      </c>
      <c r="AT232" s="1">
        <v>2.64</v>
      </c>
      <c r="AU232" s="1">
        <v>2.64</v>
      </c>
      <c r="AV232" s="1">
        <v>2.64</v>
      </c>
      <c r="AW232" s="1">
        <v>2.64</v>
      </c>
      <c r="AX232" s="1">
        <v>2.64</v>
      </c>
      <c r="AY232" s="1">
        <v>2.64</v>
      </c>
      <c r="AZ232" s="1">
        <v>2.64</v>
      </c>
      <c r="BA232" s="1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246</v>
      </c>
      <c r="F233" s="1">
        <v>2.64</v>
      </c>
      <c r="G233" s="1">
        <v>2.64</v>
      </c>
      <c r="H233" s="1">
        <v>2.64</v>
      </c>
      <c r="I233" s="1">
        <v>2.64</v>
      </c>
      <c r="J233" s="1">
        <v>2.64</v>
      </c>
      <c r="K233" s="1">
        <v>2.64</v>
      </c>
      <c r="L233" s="1">
        <v>2.64</v>
      </c>
      <c r="M233" s="1">
        <v>2.64</v>
      </c>
      <c r="N233" s="1">
        <v>2.64</v>
      </c>
      <c r="O233" s="1">
        <v>2.64</v>
      </c>
      <c r="P233" s="1">
        <v>2.64</v>
      </c>
      <c r="Q233" s="1">
        <v>2.64</v>
      </c>
      <c r="R233" s="1">
        <v>2.64</v>
      </c>
      <c r="S233" s="1">
        <v>2.64</v>
      </c>
      <c r="T233" s="1">
        <v>2.64</v>
      </c>
      <c r="U233" s="1">
        <v>2.64</v>
      </c>
      <c r="V233" s="1">
        <v>2.64</v>
      </c>
      <c r="W233" s="1">
        <v>2.64</v>
      </c>
      <c r="X233" s="1">
        <v>2.64</v>
      </c>
      <c r="Y233" s="1">
        <v>2.64</v>
      </c>
      <c r="Z233" s="1">
        <v>2.64</v>
      </c>
      <c r="AA233" s="1">
        <v>2.64</v>
      </c>
      <c r="AB233" s="1">
        <v>2.64</v>
      </c>
      <c r="AC233" s="1">
        <v>2.64</v>
      </c>
      <c r="AD233" s="1">
        <v>2.64</v>
      </c>
      <c r="AE233" s="1">
        <v>2.64</v>
      </c>
      <c r="AF233" s="1">
        <v>2.64</v>
      </c>
      <c r="AG233" s="1">
        <v>2.64</v>
      </c>
      <c r="AH233" s="1">
        <v>2.64</v>
      </c>
      <c r="AI233" s="1">
        <v>2.64</v>
      </c>
      <c r="AJ233" s="1">
        <v>2.64</v>
      </c>
      <c r="AK233" s="1">
        <v>2.64</v>
      </c>
      <c r="AL233" s="1">
        <v>2.64</v>
      </c>
      <c r="AM233" s="1">
        <v>2.64</v>
      </c>
      <c r="AN233" s="1">
        <v>2.64</v>
      </c>
      <c r="AO233" s="1">
        <v>2.64</v>
      </c>
      <c r="AP233" s="1">
        <v>2.64</v>
      </c>
      <c r="AQ233" s="1">
        <v>2.64</v>
      </c>
      <c r="AR233" s="1">
        <v>2.64</v>
      </c>
      <c r="AS233" s="1">
        <v>2.64</v>
      </c>
      <c r="AT233" s="1">
        <v>2.64</v>
      </c>
      <c r="AU233" s="1">
        <v>2.64</v>
      </c>
      <c r="AV233" s="1">
        <v>2.64</v>
      </c>
      <c r="AW233" s="1">
        <v>2.64</v>
      </c>
      <c r="AX233" s="1">
        <v>2.64</v>
      </c>
      <c r="AY233" s="1">
        <v>2.64</v>
      </c>
      <c r="AZ233" s="1">
        <v>2.64</v>
      </c>
      <c r="BA233" s="1">
        <v>2.64</v>
      </c>
    </row>
  </sheetData>
  <sortState xmlns:xlrd2="http://schemas.microsoft.com/office/spreadsheetml/2017/richdata2" ref="DP109:DP168">
    <sortCondition ref="DP109:DP168"/>
  </sortState>
  <pageMargins left="0.7" right="0.7" top="0.75" bottom="0.75" header="0.3" footer="0.3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B4CEA-1051-4673-BC99-F61DD3A29913}">
  <dimension ref="A2:Z103"/>
  <sheetViews>
    <sheetView zoomScaleNormal="100"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H12" sqref="H12"/>
    </sheetView>
  </sheetViews>
  <sheetFormatPr defaultRowHeight="14.25"/>
  <cols>
    <col min="1" max="1" width="3.86328125" bestFit="1" customWidth="1"/>
    <col min="3" max="3" width="8.86328125" bestFit="1" customWidth="1"/>
    <col min="4" max="4" width="5.59765625" bestFit="1" customWidth="1"/>
    <col min="5" max="5" width="26.265625" bestFit="1" customWidth="1"/>
    <col min="6" max="6" width="21.86328125" bestFit="1" customWidth="1"/>
    <col min="7" max="7" width="12.1328125" bestFit="1" customWidth="1"/>
    <col min="8" max="9" width="4.59765625" bestFit="1" customWidth="1"/>
    <col min="10" max="10" width="4.86328125" bestFit="1" customWidth="1"/>
    <col min="11" max="11" width="5" bestFit="1" customWidth="1"/>
    <col min="12" max="16" width="4.59765625" bestFit="1" customWidth="1"/>
    <col min="17" max="17" width="5" bestFit="1" customWidth="1"/>
    <col min="18" max="18" width="4.86328125" bestFit="1" customWidth="1"/>
    <col min="19" max="19" width="5" bestFit="1" customWidth="1"/>
    <col min="20" max="21" width="4.59765625" bestFit="1" customWidth="1"/>
    <col min="22" max="22" width="5.1328125" bestFit="1" customWidth="1"/>
    <col min="23" max="23" width="4.73046875" bestFit="1" customWidth="1"/>
    <col min="24" max="24" width="9.73046875" bestFit="1" customWidth="1"/>
    <col min="25" max="25" width="12.265625" bestFit="1" customWidth="1"/>
    <col min="26" max="26" width="4.3984375" bestFit="1" customWidth="1"/>
    <col min="27" max="27" width="4.1328125" bestFit="1" customWidth="1"/>
    <col min="28" max="29" width="5" bestFit="1" customWidth="1"/>
    <col min="30" max="32" width="4" bestFit="1" customWidth="1"/>
    <col min="33" max="34" width="5" bestFit="1" customWidth="1"/>
    <col min="35" max="35" width="4.3984375" bestFit="1" customWidth="1"/>
    <col min="36" max="36" width="5" bestFit="1" customWidth="1"/>
    <col min="37" max="37" width="4.1328125" bestFit="1" customWidth="1"/>
    <col min="38" max="39" width="5" bestFit="1" customWidth="1"/>
    <col min="41" max="42" width="4.59765625" bestFit="1" customWidth="1"/>
    <col min="43" max="43" width="4.86328125" bestFit="1" customWidth="1"/>
    <col min="44" max="49" width="4.59765625" bestFit="1" customWidth="1"/>
    <col min="50" max="50" width="5" bestFit="1" customWidth="1"/>
    <col min="51" max="51" width="4.86328125" bestFit="1" customWidth="1"/>
    <col min="52" max="52" width="5" bestFit="1" customWidth="1"/>
    <col min="53" max="54" width="4.59765625" bestFit="1" customWidth="1"/>
    <col min="55" max="55" width="5.1328125" bestFit="1" customWidth="1"/>
    <col min="57" max="57" width="12.3984375" bestFit="1" customWidth="1"/>
    <col min="58" max="58" width="5" bestFit="1" customWidth="1"/>
    <col min="59" max="59" width="11.3984375" bestFit="1" customWidth="1"/>
  </cols>
  <sheetData>
    <row r="2" spans="1:26">
      <c r="A2" s="30" t="s">
        <v>135</v>
      </c>
      <c r="B2" t="s">
        <v>48</v>
      </c>
      <c r="C2" s="5" t="s">
        <v>49</v>
      </c>
      <c r="D2" s="5" t="s">
        <v>50</v>
      </c>
      <c r="E2" s="5" t="s">
        <v>51</v>
      </c>
      <c r="F2" s="5" t="s">
        <v>48</v>
      </c>
      <c r="G2" s="5" t="s">
        <v>52</v>
      </c>
      <c r="H2" s="5" t="s">
        <v>9</v>
      </c>
      <c r="I2" s="5" t="s">
        <v>15</v>
      </c>
      <c r="J2" s="5" t="s">
        <v>8</v>
      </c>
      <c r="K2" s="5" t="s">
        <v>14</v>
      </c>
      <c r="L2" s="5" t="s">
        <v>6</v>
      </c>
      <c r="M2" s="5" t="s">
        <v>4</v>
      </c>
      <c r="N2" s="5" t="s">
        <v>13</v>
      </c>
      <c r="O2" s="5" t="s">
        <v>7</v>
      </c>
      <c r="P2" s="5" t="s">
        <v>2</v>
      </c>
      <c r="Q2" s="5" t="s">
        <v>11</v>
      </c>
      <c r="R2" s="5" t="s">
        <v>0</v>
      </c>
      <c r="S2" s="5" t="s">
        <v>12</v>
      </c>
      <c r="T2" s="5" t="s">
        <v>3</v>
      </c>
      <c r="U2" s="5" t="s">
        <v>5</v>
      </c>
      <c r="V2" s="5" t="s">
        <v>1</v>
      </c>
    </row>
    <row r="3" spans="1:26">
      <c r="A3">
        <v>1</v>
      </c>
      <c r="B3" t="str">
        <f>VLOOKUP(F3,'TRA balance'!$BA$5:$BB$14,2,FALSE)</f>
        <v>TRACOA</v>
      </c>
      <c r="C3" s="6" t="str">
        <f>LEFT(G3,2)</f>
        <v>TT</v>
      </c>
      <c r="D3" s="7" t="s">
        <v>17</v>
      </c>
      <c r="E3" s="7" t="s">
        <v>53</v>
      </c>
      <c r="F3" s="8" t="s">
        <v>54</v>
      </c>
      <c r="G3" s="6" t="s">
        <v>55</v>
      </c>
      <c r="H3" s="9">
        <v>0.8</v>
      </c>
      <c r="I3" s="9">
        <v>0.9</v>
      </c>
      <c r="J3" s="9">
        <v>1</v>
      </c>
      <c r="K3" s="10">
        <v>0.75</v>
      </c>
      <c r="L3" s="9">
        <v>1</v>
      </c>
      <c r="M3" s="9">
        <v>0.8</v>
      </c>
      <c r="N3" s="9">
        <v>0.8</v>
      </c>
      <c r="O3" s="9">
        <v>0.8</v>
      </c>
      <c r="P3" s="9">
        <v>7.0000000000000007E-2</v>
      </c>
      <c r="Q3" s="9">
        <v>0.8</v>
      </c>
      <c r="R3" s="9">
        <v>1</v>
      </c>
      <c r="S3" s="9">
        <v>0.8</v>
      </c>
      <c r="T3" s="9">
        <v>0.8</v>
      </c>
      <c r="U3" s="9">
        <v>0.8</v>
      </c>
      <c r="V3" s="9">
        <v>1</v>
      </c>
      <c r="Y3" s="66" t="s">
        <v>317</v>
      </c>
      <c r="Z3" t="s">
        <v>399</v>
      </c>
    </row>
    <row r="4" spans="1:26">
      <c r="A4">
        <v>1</v>
      </c>
      <c r="B4" t="str">
        <f>VLOOKUP(F4,'TRA balance'!$BA$5:$BB$14,2,FALSE)</f>
        <v>TRACOA</v>
      </c>
      <c r="C4" s="6" t="str">
        <f t="shared" ref="C4:C67" si="0">LEFT(G4,2)</f>
        <v>TT</v>
      </c>
      <c r="D4" s="7" t="s">
        <v>17</v>
      </c>
      <c r="E4" s="7" t="s">
        <v>56</v>
      </c>
      <c r="F4" s="8" t="str">
        <f t="shared" ref="F4:F5" si="1">F3</f>
        <v>Coal</v>
      </c>
      <c r="G4" s="6" t="s">
        <v>57</v>
      </c>
      <c r="H4" s="9">
        <v>0.2</v>
      </c>
      <c r="I4" s="9">
        <v>0.1</v>
      </c>
      <c r="J4" s="9">
        <v>0</v>
      </c>
      <c r="K4" s="10">
        <v>0.25</v>
      </c>
      <c r="L4" s="9">
        <v>0</v>
      </c>
      <c r="M4" s="9">
        <v>0.2</v>
      </c>
      <c r="N4" s="9">
        <v>0.2</v>
      </c>
      <c r="O4" s="9">
        <v>0.2</v>
      </c>
      <c r="P4" s="9">
        <v>0.93</v>
      </c>
      <c r="Q4" s="9">
        <v>0.2</v>
      </c>
      <c r="R4" s="9">
        <v>0</v>
      </c>
      <c r="S4" s="9">
        <v>0.2</v>
      </c>
      <c r="T4" s="9">
        <v>0.2</v>
      </c>
      <c r="U4" s="9">
        <v>0.2</v>
      </c>
      <c r="V4" s="9">
        <v>0</v>
      </c>
      <c r="Y4" s="61" t="s">
        <v>143</v>
      </c>
      <c r="Z4" s="61" t="s">
        <v>5</v>
      </c>
    </row>
    <row r="5" spans="1:26">
      <c r="A5">
        <v>1</v>
      </c>
      <c r="B5" t="str">
        <f>VLOOKUP(F5,'TRA balance'!$BA$5:$BB$14,2,FALSE)</f>
        <v>TRACOA</v>
      </c>
      <c r="C5" s="11"/>
      <c r="D5" s="11"/>
      <c r="E5" s="12" t="s">
        <v>58</v>
      </c>
      <c r="F5" s="13" t="str">
        <f t="shared" si="1"/>
        <v>Coal</v>
      </c>
      <c r="G5" s="11"/>
      <c r="H5" s="32" t="str">
        <f t="shared" ref="H5:V5" si="2">IF(SUM(H3:H4)=1,"-","&lt;&gt;1!!")</f>
        <v>-</v>
      </c>
      <c r="I5" s="12" t="str">
        <f t="shared" si="2"/>
        <v>-</v>
      </c>
      <c r="J5" s="12" t="str">
        <f t="shared" si="2"/>
        <v>-</v>
      </c>
      <c r="K5" s="12" t="str">
        <f t="shared" si="2"/>
        <v>-</v>
      </c>
      <c r="L5" s="12" t="str">
        <f t="shared" si="2"/>
        <v>-</v>
      </c>
      <c r="M5" s="12" t="str">
        <f t="shared" si="2"/>
        <v>-</v>
      </c>
      <c r="N5" s="12" t="str">
        <f t="shared" si="2"/>
        <v>-</v>
      </c>
      <c r="O5" s="12" t="str">
        <f t="shared" si="2"/>
        <v>-</v>
      </c>
      <c r="P5" s="12" t="str">
        <f t="shared" si="2"/>
        <v>-</v>
      </c>
      <c r="Q5" s="12" t="str">
        <f t="shared" si="2"/>
        <v>-</v>
      </c>
      <c r="R5" s="12" t="str">
        <f t="shared" si="2"/>
        <v>-</v>
      </c>
      <c r="S5" s="12" t="str">
        <f t="shared" si="2"/>
        <v>-</v>
      </c>
      <c r="T5" s="12" t="str">
        <f t="shared" si="2"/>
        <v>-</v>
      </c>
      <c r="U5" s="12" t="str">
        <f t="shared" si="2"/>
        <v>-</v>
      </c>
      <c r="V5" s="31" t="str">
        <f t="shared" si="2"/>
        <v>-</v>
      </c>
      <c r="Y5" s="61" t="s">
        <v>435</v>
      </c>
      <c r="Z5" s="61" t="s">
        <v>9</v>
      </c>
    </row>
    <row r="6" spans="1:26">
      <c r="A6">
        <v>1</v>
      </c>
      <c r="B6" t="str">
        <f>VLOOKUP(F6,'TRA balance'!$BA$5:$BB$14,2,FALSE)</f>
        <v>TRADST</v>
      </c>
      <c r="C6" s="14">
        <v>1</v>
      </c>
      <c r="D6" s="15" t="s">
        <v>16</v>
      </c>
      <c r="E6" s="15" t="s">
        <v>59</v>
      </c>
      <c r="F6" s="16" t="s">
        <v>60</v>
      </c>
      <c r="G6" s="14"/>
      <c r="H6" s="17">
        <v>0.1</v>
      </c>
      <c r="I6" s="17">
        <v>0.02</v>
      </c>
      <c r="J6" s="17">
        <v>0.02</v>
      </c>
      <c r="K6" s="17">
        <v>0.1</v>
      </c>
      <c r="L6" s="17">
        <v>7.0000000000000007E-2</v>
      </c>
      <c r="M6" s="17">
        <v>0.2</v>
      </c>
      <c r="N6" s="17">
        <v>0.05</v>
      </c>
      <c r="O6" s="17">
        <v>0.25</v>
      </c>
      <c r="P6" s="65">
        <v>0.05</v>
      </c>
      <c r="Q6" s="17">
        <v>0.1</v>
      </c>
      <c r="R6" s="17">
        <v>0.15</v>
      </c>
      <c r="S6" s="17">
        <v>0.08</v>
      </c>
      <c r="T6" s="17">
        <v>0.11</v>
      </c>
      <c r="U6" s="17">
        <v>2.4406421822616497E-2</v>
      </c>
      <c r="V6" s="17">
        <v>0.2</v>
      </c>
      <c r="Y6" s="61" t="s">
        <v>436</v>
      </c>
      <c r="Z6" s="61" t="s">
        <v>9</v>
      </c>
    </row>
    <row r="7" spans="1:26">
      <c r="A7">
        <v>1</v>
      </c>
      <c r="B7" t="str">
        <f>VLOOKUP(F7,'TRA balance'!$BA$5:$BB$14,2,FALSE)</f>
        <v>TRADST</v>
      </c>
      <c r="C7" s="6" t="str">
        <f t="shared" si="0"/>
        <v>TR</v>
      </c>
      <c r="D7" s="7" t="s">
        <v>16</v>
      </c>
      <c r="E7" s="18" t="s">
        <v>61</v>
      </c>
      <c r="F7" s="8" t="str">
        <f>F6</f>
        <v>Diesel</v>
      </c>
      <c r="G7" s="6" t="s">
        <v>62</v>
      </c>
      <c r="H7" s="9">
        <v>0.5</v>
      </c>
      <c r="I7" s="9">
        <v>0.3</v>
      </c>
      <c r="J7" s="9">
        <v>0.4</v>
      </c>
      <c r="K7" s="9">
        <v>0.2</v>
      </c>
      <c r="L7" s="9">
        <v>0.3</v>
      </c>
      <c r="M7" s="9">
        <v>0.51</v>
      </c>
      <c r="N7" s="9">
        <v>0.51</v>
      </c>
      <c r="O7" s="9">
        <v>0.4</v>
      </c>
      <c r="P7" s="9">
        <v>0.46</v>
      </c>
      <c r="Q7" s="9">
        <v>0.2</v>
      </c>
      <c r="R7" s="9">
        <v>0.7</v>
      </c>
      <c r="S7" s="9">
        <v>0.34</v>
      </c>
      <c r="T7" s="9">
        <v>0.39</v>
      </c>
      <c r="U7" s="9">
        <v>0.39173710207873419</v>
      </c>
      <c r="V7" s="9">
        <v>0.8</v>
      </c>
      <c r="Y7" s="61" t="s">
        <v>507</v>
      </c>
      <c r="Z7" s="61" t="s">
        <v>15</v>
      </c>
    </row>
    <row r="8" spans="1:26">
      <c r="A8">
        <v>1</v>
      </c>
      <c r="B8" t="str">
        <f>VLOOKUP(F8,'TRA balance'!$BA$5:$BB$14,2,FALSE)</f>
        <v>TRADST</v>
      </c>
      <c r="C8" s="6" t="str">
        <f t="shared" si="0"/>
        <v>TR</v>
      </c>
      <c r="D8" s="7" t="s">
        <v>16</v>
      </c>
      <c r="E8" s="18" t="s">
        <v>63</v>
      </c>
      <c r="F8" s="8" t="str">
        <f t="shared" ref="F8:F11" si="3">F7</f>
        <v>Diesel</v>
      </c>
      <c r="G8" s="6" t="s">
        <v>64</v>
      </c>
      <c r="H8" s="9">
        <v>0.5</v>
      </c>
      <c r="I8" s="9">
        <v>0.7</v>
      </c>
      <c r="J8" s="9">
        <v>0.6</v>
      </c>
      <c r="K8" s="9">
        <v>0.2</v>
      </c>
      <c r="L8" s="9">
        <v>0.69</v>
      </c>
      <c r="M8" s="9">
        <v>0.49</v>
      </c>
      <c r="N8" s="9">
        <v>0.49</v>
      </c>
      <c r="O8" s="9">
        <v>0.35</v>
      </c>
      <c r="P8" s="9">
        <v>0.53</v>
      </c>
      <c r="Q8" s="9">
        <v>0.8</v>
      </c>
      <c r="R8" s="9">
        <v>0.30000000000000004</v>
      </c>
      <c r="S8" s="9">
        <v>0.66</v>
      </c>
      <c r="T8" s="9">
        <v>0.61</v>
      </c>
      <c r="U8" s="9">
        <v>0.60826289792126587</v>
      </c>
      <c r="V8" s="9">
        <v>0.2</v>
      </c>
      <c r="Y8" s="61" t="s">
        <v>508</v>
      </c>
      <c r="Z8" s="61" t="s">
        <v>1</v>
      </c>
    </row>
    <row r="9" spans="1:26">
      <c r="A9">
        <v>1</v>
      </c>
      <c r="B9" t="str">
        <f>VLOOKUP(F9,'TRA balance'!$BA$5:$BB$14,2,FALSE)</f>
        <v>TRADST</v>
      </c>
      <c r="C9" s="6" t="str">
        <f t="shared" si="0"/>
        <v>TR</v>
      </c>
      <c r="D9" s="7" t="s">
        <v>16</v>
      </c>
      <c r="E9" s="18" t="s">
        <v>65</v>
      </c>
      <c r="F9" s="8" t="str">
        <f t="shared" si="3"/>
        <v>Diesel</v>
      </c>
      <c r="G9" s="6" t="s">
        <v>66</v>
      </c>
      <c r="H9" s="9">
        <v>0</v>
      </c>
      <c r="I9" s="9">
        <v>0</v>
      </c>
      <c r="J9" s="9">
        <v>0</v>
      </c>
      <c r="K9" s="9">
        <v>0.6</v>
      </c>
      <c r="L9" s="9">
        <v>0.01</v>
      </c>
      <c r="M9" s="9">
        <v>0</v>
      </c>
      <c r="N9" s="9">
        <v>0</v>
      </c>
      <c r="O9" s="9">
        <v>0.25</v>
      </c>
      <c r="P9" s="9">
        <v>0.01</v>
      </c>
      <c r="Q9" s="9">
        <v>0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Y9" s="61" t="s">
        <v>423</v>
      </c>
      <c r="Z9" s="61" t="s">
        <v>13</v>
      </c>
    </row>
    <row r="10" spans="1:26">
      <c r="A10">
        <v>1</v>
      </c>
      <c r="B10" t="str">
        <f>VLOOKUP(F10,'TRA balance'!$BA$5:$BB$14,2,FALSE)</f>
        <v>TRADST</v>
      </c>
      <c r="C10" s="6" t="str">
        <f t="shared" si="0"/>
        <v>TR</v>
      </c>
      <c r="D10" s="7" t="s">
        <v>16</v>
      </c>
      <c r="E10" s="18" t="s">
        <v>67</v>
      </c>
      <c r="F10" s="8" t="str">
        <f t="shared" si="3"/>
        <v>Diesel</v>
      </c>
      <c r="G10" s="6" t="s">
        <v>68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Y10" s="61" t="s">
        <v>439</v>
      </c>
      <c r="Z10" s="61" t="s">
        <v>1</v>
      </c>
    </row>
    <row r="11" spans="1:26">
      <c r="A11">
        <v>1</v>
      </c>
      <c r="B11" t="str">
        <f>VLOOKUP(F11,'TRA balance'!$BA$5:$BB$14,2,FALSE)</f>
        <v>TRADST</v>
      </c>
      <c r="C11" s="6" t="str">
        <f t="shared" si="0"/>
        <v/>
      </c>
      <c r="D11" s="7"/>
      <c r="E11" s="19" t="s">
        <v>69</v>
      </c>
      <c r="F11" s="8" t="str">
        <f t="shared" si="3"/>
        <v>Diesel</v>
      </c>
      <c r="G11" s="6"/>
      <c r="H11" s="32" t="str">
        <f>IF(SUM(H7:H10)=1,"-","&lt;&gt;1!!")</f>
        <v>-</v>
      </c>
      <c r="I11" s="32" t="str">
        <f t="shared" ref="I11:V11" si="4">IF(SUM(I7:I10)=1,"-","&lt;&gt;1!!")</f>
        <v>-</v>
      </c>
      <c r="J11" s="32" t="str">
        <f t="shared" si="4"/>
        <v>-</v>
      </c>
      <c r="K11" s="32" t="str">
        <f t="shared" si="4"/>
        <v>-</v>
      </c>
      <c r="L11" s="32" t="str">
        <f t="shared" si="4"/>
        <v>-</v>
      </c>
      <c r="M11" s="32" t="str">
        <f t="shared" si="4"/>
        <v>-</v>
      </c>
      <c r="N11" s="32" t="str">
        <f t="shared" si="4"/>
        <v>-</v>
      </c>
      <c r="O11" s="32" t="str">
        <f t="shared" si="4"/>
        <v>-</v>
      </c>
      <c r="P11" s="32" t="str">
        <f t="shared" si="4"/>
        <v>-</v>
      </c>
      <c r="Q11" s="32" t="str">
        <f t="shared" si="4"/>
        <v>-</v>
      </c>
      <c r="R11" s="32" t="str">
        <f t="shared" si="4"/>
        <v>-</v>
      </c>
      <c r="S11" s="32" t="str">
        <f t="shared" si="4"/>
        <v>-</v>
      </c>
      <c r="T11" s="32" t="str">
        <f t="shared" si="4"/>
        <v>-</v>
      </c>
      <c r="U11" s="32" t="str">
        <f t="shared" si="4"/>
        <v>-</v>
      </c>
      <c r="V11" s="32" t="str">
        <f t="shared" si="4"/>
        <v>-</v>
      </c>
      <c r="Y11" s="61" t="s">
        <v>509</v>
      </c>
      <c r="Z11" s="61" t="s">
        <v>6</v>
      </c>
    </row>
    <row r="12" spans="1:26">
      <c r="A12">
        <v>1</v>
      </c>
      <c r="B12" t="str">
        <f>VLOOKUP(F12,'TRA balance'!$BA$5:$BB$14,2,FALSE)</f>
        <v>TRADST</v>
      </c>
      <c r="C12" s="14">
        <v>2</v>
      </c>
      <c r="D12" s="15" t="s">
        <v>16</v>
      </c>
      <c r="E12" s="15" t="s">
        <v>70</v>
      </c>
      <c r="F12" s="16" t="str">
        <f>F11</f>
        <v>Diesel</v>
      </c>
      <c r="G12" s="14"/>
      <c r="H12" s="21">
        <f>1-H6</f>
        <v>0.9</v>
      </c>
      <c r="I12" s="21">
        <f t="shared" ref="I12:V12" si="5">1-I6</f>
        <v>0.98</v>
      </c>
      <c r="J12" s="21">
        <f t="shared" si="5"/>
        <v>0.98</v>
      </c>
      <c r="K12" s="21">
        <f t="shared" si="5"/>
        <v>0.9</v>
      </c>
      <c r="L12" s="21">
        <f t="shared" si="5"/>
        <v>0.92999999999999994</v>
      </c>
      <c r="M12" s="21">
        <f t="shared" si="5"/>
        <v>0.8</v>
      </c>
      <c r="N12" s="21">
        <f t="shared" si="5"/>
        <v>0.95</v>
      </c>
      <c r="O12" s="21">
        <f t="shared" si="5"/>
        <v>0.75</v>
      </c>
      <c r="P12" s="21">
        <f t="shared" si="5"/>
        <v>0.95</v>
      </c>
      <c r="Q12" s="21">
        <f t="shared" si="5"/>
        <v>0.9</v>
      </c>
      <c r="R12" s="21">
        <f t="shared" si="5"/>
        <v>0.85</v>
      </c>
      <c r="S12" s="21">
        <f t="shared" si="5"/>
        <v>0.92</v>
      </c>
      <c r="T12" s="21">
        <f t="shared" si="5"/>
        <v>0.89</v>
      </c>
      <c r="U12" s="21">
        <f t="shared" si="5"/>
        <v>0.97559357817738346</v>
      </c>
      <c r="V12" s="21">
        <f t="shared" si="5"/>
        <v>0.8</v>
      </c>
      <c r="Y12" s="61" t="s">
        <v>510</v>
      </c>
      <c r="Z12" s="61" t="s">
        <v>14</v>
      </c>
    </row>
    <row r="13" spans="1:26">
      <c r="A13">
        <v>2</v>
      </c>
      <c r="B13" t="str">
        <f>VLOOKUP(F13,'TRA balance'!$BA$5:$BB$14,2,FALSE)</f>
        <v>TRADST</v>
      </c>
      <c r="C13" s="6" t="str">
        <f t="shared" si="0"/>
        <v>TR</v>
      </c>
      <c r="D13" s="7" t="s">
        <v>16</v>
      </c>
      <c r="E13" s="18" t="s">
        <v>71</v>
      </c>
      <c r="F13" s="8" t="str">
        <f>F12</f>
        <v>Diesel</v>
      </c>
      <c r="G13" s="6" t="s">
        <v>72</v>
      </c>
      <c r="H13" s="9">
        <v>0.35</v>
      </c>
      <c r="I13" s="9">
        <v>0.15</v>
      </c>
      <c r="J13" s="9">
        <v>0.05</v>
      </c>
      <c r="K13" s="9">
        <v>0.35</v>
      </c>
      <c r="L13" s="9">
        <v>0.1</v>
      </c>
      <c r="M13" s="9">
        <v>0.1</v>
      </c>
      <c r="N13" s="9">
        <v>0.1</v>
      </c>
      <c r="O13" s="9">
        <v>0.25</v>
      </c>
      <c r="P13" s="9">
        <v>0.05</v>
      </c>
      <c r="Q13" s="9">
        <v>0.1</v>
      </c>
      <c r="R13" s="9">
        <v>0.1</v>
      </c>
      <c r="S13" s="9">
        <v>0.15</v>
      </c>
      <c r="T13" s="9">
        <v>0.22</v>
      </c>
      <c r="U13" s="9">
        <v>0.04</v>
      </c>
      <c r="V13" s="9">
        <v>0.05</v>
      </c>
      <c r="Y13" s="61" t="s">
        <v>441</v>
      </c>
      <c r="Z13" s="61" t="s">
        <v>4</v>
      </c>
    </row>
    <row r="14" spans="1:26">
      <c r="A14">
        <v>2</v>
      </c>
      <c r="B14" t="str">
        <f>VLOOKUP(F14,'TRA balance'!$BA$5:$BB$14,2,FALSE)</f>
        <v>TRADST</v>
      </c>
      <c r="C14" s="6" t="str">
        <f t="shared" si="0"/>
        <v>TR</v>
      </c>
      <c r="D14" s="7" t="s">
        <v>16</v>
      </c>
      <c r="E14" s="18" t="s">
        <v>73</v>
      </c>
      <c r="F14" s="8" t="str">
        <f t="shared" ref="F14:F20" si="6">F13</f>
        <v>Diesel</v>
      </c>
      <c r="G14" s="6" t="s">
        <v>74</v>
      </c>
      <c r="H14" s="9">
        <v>0.35</v>
      </c>
      <c r="I14" s="9">
        <v>0.35</v>
      </c>
      <c r="J14" s="9">
        <v>0.6</v>
      </c>
      <c r="K14" s="9">
        <v>0.35</v>
      </c>
      <c r="L14" s="9">
        <v>0.5</v>
      </c>
      <c r="M14" s="9">
        <v>0.5</v>
      </c>
      <c r="N14" s="9">
        <v>0.6</v>
      </c>
      <c r="O14" s="9">
        <v>0.3</v>
      </c>
      <c r="P14" s="9">
        <v>0.5</v>
      </c>
      <c r="Q14" s="9">
        <v>0.5</v>
      </c>
      <c r="R14" s="9">
        <v>0.45</v>
      </c>
      <c r="S14" s="9">
        <v>0.5</v>
      </c>
      <c r="T14" s="9">
        <v>0.38</v>
      </c>
      <c r="U14" s="9">
        <v>0.79999999999999993</v>
      </c>
      <c r="V14" s="9">
        <v>0.5</v>
      </c>
      <c r="Y14" s="61" t="s">
        <v>442</v>
      </c>
      <c r="Z14" s="61" t="s">
        <v>4</v>
      </c>
    </row>
    <row r="15" spans="1:26">
      <c r="A15">
        <v>2</v>
      </c>
      <c r="B15" t="str">
        <f>VLOOKUP(F15,'TRA balance'!$BA$5:$BB$14,2,FALSE)</f>
        <v>TRADST</v>
      </c>
      <c r="C15" s="6" t="str">
        <f t="shared" si="0"/>
        <v>TR</v>
      </c>
      <c r="D15" s="7" t="s">
        <v>16</v>
      </c>
      <c r="E15" s="18" t="s">
        <v>75</v>
      </c>
      <c r="F15" s="8" t="str">
        <f t="shared" si="6"/>
        <v>Diesel</v>
      </c>
      <c r="G15" s="6" t="s">
        <v>76</v>
      </c>
      <c r="H15" s="9">
        <v>0.1</v>
      </c>
      <c r="I15" s="9">
        <v>0.3</v>
      </c>
      <c r="J15" s="9">
        <v>0.25</v>
      </c>
      <c r="K15" s="9">
        <v>0.2</v>
      </c>
      <c r="L15" s="9">
        <v>0.3</v>
      </c>
      <c r="M15" s="9">
        <v>0.25</v>
      </c>
      <c r="N15" s="9">
        <v>0.2</v>
      </c>
      <c r="O15" s="9">
        <v>0.2</v>
      </c>
      <c r="P15" s="9">
        <v>0.3</v>
      </c>
      <c r="Q15" s="9">
        <v>0.25</v>
      </c>
      <c r="R15" s="9">
        <v>0.3</v>
      </c>
      <c r="S15" s="9">
        <v>0.25</v>
      </c>
      <c r="T15" s="9">
        <v>0.2</v>
      </c>
      <c r="U15" s="9">
        <v>0.11</v>
      </c>
      <c r="V15" s="9">
        <v>0.3</v>
      </c>
      <c r="Y15" s="61" t="s">
        <v>511</v>
      </c>
      <c r="Z15" s="61" t="s">
        <v>1</v>
      </c>
    </row>
    <row r="16" spans="1:26">
      <c r="A16">
        <v>2</v>
      </c>
      <c r="B16" t="str">
        <f>VLOOKUP(F16,'TRA balance'!$BA$5:$BB$14,2,FALSE)</f>
        <v>TRADST</v>
      </c>
      <c r="C16" s="6" t="str">
        <f t="shared" si="0"/>
        <v>TR</v>
      </c>
      <c r="D16" s="7" t="s">
        <v>16</v>
      </c>
      <c r="E16" s="18" t="s">
        <v>77</v>
      </c>
      <c r="F16" s="8" t="str">
        <f t="shared" si="6"/>
        <v>Diesel</v>
      </c>
      <c r="G16" s="6" t="s">
        <v>78</v>
      </c>
      <c r="H16" s="9">
        <v>0.2</v>
      </c>
      <c r="I16" s="9">
        <v>0.2</v>
      </c>
      <c r="J16" s="9">
        <v>0.1</v>
      </c>
      <c r="K16" s="9">
        <v>0.1</v>
      </c>
      <c r="L16" s="9">
        <v>0.1</v>
      </c>
      <c r="M16" s="9">
        <v>0.15</v>
      </c>
      <c r="N16" s="9">
        <v>0.1</v>
      </c>
      <c r="O16" s="9">
        <v>0.25</v>
      </c>
      <c r="P16" s="9">
        <v>0.15</v>
      </c>
      <c r="Q16" s="9">
        <v>0.15</v>
      </c>
      <c r="R16" s="9">
        <v>0.15</v>
      </c>
      <c r="S16" s="9">
        <v>0.1</v>
      </c>
      <c r="T16" s="9">
        <v>0.2</v>
      </c>
      <c r="U16" s="9">
        <v>0.05</v>
      </c>
      <c r="V16" s="9">
        <v>0.15</v>
      </c>
      <c r="Y16" s="61" t="s">
        <v>512</v>
      </c>
      <c r="Z16" s="61" t="s">
        <v>1</v>
      </c>
    </row>
    <row r="17" spans="1:26">
      <c r="A17">
        <v>1</v>
      </c>
      <c r="B17" t="str">
        <f>VLOOKUP(F17,'TRA balance'!$BA$5:$BB$14,2,FALSE)</f>
        <v>TRADST</v>
      </c>
      <c r="C17" s="6" t="str">
        <f t="shared" si="0"/>
        <v/>
      </c>
      <c r="D17" s="7"/>
      <c r="E17" s="19" t="s">
        <v>79</v>
      </c>
      <c r="F17" s="8" t="str">
        <f t="shared" si="6"/>
        <v>Diesel</v>
      </c>
      <c r="G17" s="6"/>
      <c r="H17" s="32" t="str">
        <f>IF(SUM(H13:H16)=1,"-","&lt;&gt;1!!")</f>
        <v>-</v>
      </c>
      <c r="I17" s="32" t="str">
        <f t="shared" ref="I17:V17" si="7">IF(SUM(I13:I16)=1,"-","&lt;&gt;1!!")</f>
        <v>-</v>
      </c>
      <c r="J17" s="32" t="str">
        <f t="shared" si="7"/>
        <v>-</v>
      </c>
      <c r="K17" s="32" t="str">
        <f t="shared" si="7"/>
        <v>-</v>
      </c>
      <c r="L17" s="32" t="str">
        <f t="shared" si="7"/>
        <v>-</v>
      </c>
      <c r="M17" s="32" t="str">
        <f t="shared" si="7"/>
        <v>-</v>
      </c>
      <c r="N17" s="32" t="str">
        <f t="shared" si="7"/>
        <v>-</v>
      </c>
      <c r="O17" s="32" t="str">
        <f t="shared" si="7"/>
        <v>-</v>
      </c>
      <c r="P17" s="32" t="str">
        <f t="shared" si="7"/>
        <v>-</v>
      </c>
      <c r="Q17" s="32" t="str">
        <f t="shared" si="7"/>
        <v>-</v>
      </c>
      <c r="R17" s="32" t="str">
        <f t="shared" si="7"/>
        <v>-</v>
      </c>
      <c r="S17" s="32" t="str">
        <f t="shared" si="7"/>
        <v>-</v>
      </c>
      <c r="T17" s="32" t="str">
        <f t="shared" si="7"/>
        <v>-</v>
      </c>
      <c r="U17" s="32" t="str">
        <f t="shared" si="7"/>
        <v>-</v>
      </c>
      <c r="V17" s="32" t="str">
        <f t="shared" si="7"/>
        <v>-</v>
      </c>
      <c r="Y17" s="61" t="s">
        <v>445</v>
      </c>
      <c r="Z17" s="61" t="s">
        <v>1</v>
      </c>
    </row>
    <row r="18" spans="1:26">
      <c r="A18">
        <v>1</v>
      </c>
      <c r="B18" t="str">
        <f>VLOOKUP(F18,'TRA balance'!$BA$5:$BB$14,2,FALSE)</f>
        <v>TRADST</v>
      </c>
      <c r="C18" s="6" t="str">
        <f t="shared" si="0"/>
        <v>TT</v>
      </c>
      <c r="D18" s="7" t="s">
        <v>17</v>
      </c>
      <c r="E18" s="7" t="s">
        <v>53</v>
      </c>
      <c r="F18" s="8" t="str">
        <f t="shared" si="6"/>
        <v>Diesel</v>
      </c>
      <c r="G18" s="6" t="s">
        <v>55</v>
      </c>
      <c r="H18" s="9">
        <v>0.7</v>
      </c>
      <c r="I18" s="9">
        <v>0.7</v>
      </c>
      <c r="J18" s="9">
        <v>0.95</v>
      </c>
      <c r="K18" s="9">
        <v>0.6</v>
      </c>
      <c r="L18" s="9">
        <v>0.8</v>
      </c>
      <c r="M18" s="9">
        <v>0.9</v>
      </c>
      <c r="N18" s="9">
        <v>0.9</v>
      </c>
      <c r="O18" s="9">
        <v>0.5</v>
      </c>
      <c r="P18" s="9">
        <v>0.3</v>
      </c>
      <c r="Q18" s="9">
        <v>0.7</v>
      </c>
      <c r="R18" s="9">
        <v>0.75</v>
      </c>
      <c r="S18" s="9">
        <v>0.8</v>
      </c>
      <c r="T18" s="9">
        <v>0.9</v>
      </c>
      <c r="U18" s="9">
        <v>0.96032123091737276</v>
      </c>
      <c r="V18" s="9">
        <v>0.9</v>
      </c>
      <c r="Y18" s="61" t="s">
        <v>446</v>
      </c>
      <c r="Z18" s="61" t="s">
        <v>4</v>
      </c>
    </row>
    <row r="19" spans="1:26">
      <c r="A19">
        <v>1</v>
      </c>
      <c r="B19" t="str">
        <f>VLOOKUP(F19,'TRA balance'!$BA$5:$BB$14,2,FALSE)</f>
        <v>TRADST</v>
      </c>
      <c r="C19" s="6" t="str">
        <f t="shared" si="0"/>
        <v>TT</v>
      </c>
      <c r="D19" s="7" t="s">
        <v>17</v>
      </c>
      <c r="E19" s="7" t="s">
        <v>56</v>
      </c>
      <c r="F19" s="8" t="str">
        <f t="shared" si="6"/>
        <v>Diesel</v>
      </c>
      <c r="G19" s="6" t="s">
        <v>57</v>
      </c>
      <c r="H19" s="9">
        <v>0.3</v>
      </c>
      <c r="I19" s="9">
        <v>0.3</v>
      </c>
      <c r="J19" s="9">
        <v>0.05</v>
      </c>
      <c r="K19" s="9">
        <v>0.4</v>
      </c>
      <c r="L19" s="9">
        <v>0.2</v>
      </c>
      <c r="M19" s="9">
        <v>0.1</v>
      </c>
      <c r="N19" s="9">
        <v>0.1</v>
      </c>
      <c r="O19" s="9">
        <v>0.5</v>
      </c>
      <c r="P19" s="9">
        <v>0.7</v>
      </c>
      <c r="Q19" s="9">
        <v>0.3</v>
      </c>
      <c r="R19" s="9">
        <v>0.25</v>
      </c>
      <c r="S19" s="9">
        <v>0.2</v>
      </c>
      <c r="T19" s="9">
        <v>0.1</v>
      </c>
      <c r="U19" s="9">
        <v>3.9678769082627241E-2</v>
      </c>
      <c r="V19" s="9">
        <v>0.1</v>
      </c>
      <c r="Y19" s="61" t="s">
        <v>513</v>
      </c>
      <c r="Z19" s="61" t="s">
        <v>1</v>
      </c>
    </row>
    <row r="20" spans="1:26">
      <c r="A20">
        <v>1</v>
      </c>
      <c r="B20" t="str">
        <f>VLOOKUP(F20,'TRA balance'!$BA$5:$BB$14,2,FALSE)</f>
        <v>TRADST</v>
      </c>
      <c r="C20" s="11"/>
      <c r="D20" s="11"/>
      <c r="E20" s="12" t="s">
        <v>58</v>
      </c>
      <c r="F20" s="13" t="str">
        <f t="shared" si="6"/>
        <v>Diesel</v>
      </c>
      <c r="G20" s="11"/>
      <c r="H20" s="12" t="str">
        <f t="shared" ref="H20:V20" si="8">IF(SUM(H18:H19)=1,"-","&lt;&gt;1!!")</f>
        <v>-</v>
      </c>
      <c r="I20" s="12" t="str">
        <f t="shared" si="8"/>
        <v>-</v>
      </c>
      <c r="J20" s="12" t="str">
        <f t="shared" si="8"/>
        <v>-</v>
      </c>
      <c r="K20" s="12" t="str">
        <f t="shared" si="8"/>
        <v>-</v>
      </c>
      <c r="L20" s="12" t="str">
        <f t="shared" si="8"/>
        <v>-</v>
      </c>
      <c r="M20" s="12" t="str">
        <f t="shared" si="8"/>
        <v>-</v>
      </c>
      <c r="N20" s="12" t="str">
        <f t="shared" si="8"/>
        <v>-</v>
      </c>
      <c r="O20" s="12" t="str">
        <f t="shared" si="8"/>
        <v>-</v>
      </c>
      <c r="P20" s="12" t="str">
        <f t="shared" si="8"/>
        <v>-</v>
      </c>
      <c r="Q20" s="12" t="str">
        <f t="shared" si="8"/>
        <v>-</v>
      </c>
      <c r="R20" s="12" t="str">
        <f t="shared" si="8"/>
        <v>-</v>
      </c>
      <c r="S20" s="12" t="str">
        <f t="shared" si="8"/>
        <v>-</v>
      </c>
      <c r="T20" s="12" t="str">
        <f t="shared" si="8"/>
        <v>-</v>
      </c>
      <c r="U20" s="12" t="str">
        <f t="shared" si="8"/>
        <v>-</v>
      </c>
      <c r="V20" s="12" t="str">
        <f t="shared" si="8"/>
        <v>-</v>
      </c>
      <c r="Y20" s="61" t="s">
        <v>514</v>
      </c>
      <c r="Z20" s="61" t="s">
        <v>7</v>
      </c>
    </row>
    <row r="21" spans="1:26">
      <c r="A21">
        <v>1</v>
      </c>
      <c r="B21" t="str">
        <f>VLOOKUP(F21,'TRA balance'!$BA$5:$BB$14,2,FALSE)</f>
        <v>TRAGSL</v>
      </c>
      <c r="C21" s="14">
        <v>1</v>
      </c>
      <c r="D21" s="15" t="s">
        <v>16</v>
      </c>
      <c r="E21" s="15" t="s">
        <v>59</v>
      </c>
      <c r="F21" s="16" t="s">
        <v>80</v>
      </c>
      <c r="G21" s="14"/>
      <c r="H21" s="17">
        <v>1</v>
      </c>
      <c r="I21" s="17">
        <v>0.9</v>
      </c>
      <c r="J21" s="17">
        <v>0.96</v>
      </c>
      <c r="K21" s="41">
        <v>0.9</v>
      </c>
      <c r="L21" s="17">
        <v>0.9</v>
      </c>
      <c r="M21" s="17">
        <v>0.9</v>
      </c>
      <c r="N21" s="17">
        <v>0.7</v>
      </c>
      <c r="O21" s="17">
        <v>1</v>
      </c>
      <c r="P21" s="17">
        <v>0.9</v>
      </c>
      <c r="Q21" s="17">
        <v>0.7</v>
      </c>
      <c r="R21" s="17">
        <v>0.95</v>
      </c>
      <c r="S21" s="17">
        <v>1</v>
      </c>
      <c r="T21" s="17">
        <v>0.99</v>
      </c>
      <c r="U21" s="17">
        <v>0.8</v>
      </c>
      <c r="V21" s="17">
        <v>0.97</v>
      </c>
      <c r="Y21" s="61" t="s">
        <v>515</v>
      </c>
      <c r="Z21" s="61" t="s">
        <v>1</v>
      </c>
    </row>
    <row r="22" spans="1:26">
      <c r="A22">
        <v>1</v>
      </c>
      <c r="B22" t="str">
        <f>VLOOKUP(F22,'TRA balance'!$BA$5:$BB$14,2,FALSE)</f>
        <v>TRAGSL</v>
      </c>
      <c r="C22" s="6" t="str">
        <f t="shared" si="0"/>
        <v>TR</v>
      </c>
      <c r="D22" s="7" t="s">
        <v>16</v>
      </c>
      <c r="E22" s="18" t="s">
        <v>61</v>
      </c>
      <c r="F22" s="8" t="str">
        <f>F21</f>
        <v>Gasoline</v>
      </c>
      <c r="G22" s="6" t="s">
        <v>62</v>
      </c>
      <c r="H22" s="9">
        <v>0.45</v>
      </c>
      <c r="I22" s="9">
        <v>0.69</v>
      </c>
      <c r="J22" s="9">
        <v>0.6</v>
      </c>
      <c r="K22" s="9">
        <v>0.45</v>
      </c>
      <c r="L22" s="9">
        <v>0.67</v>
      </c>
      <c r="M22" s="9">
        <v>0.65</v>
      </c>
      <c r="N22" s="9">
        <v>0.65</v>
      </c>
      <c r="O22" s="9">
        <v>0.45</v>
      </c>
      <c r="P22" s="9">
        <v>0.7</v>
      </c>
      <c r="Q22" s="9">
        <v>0.55000000000000004</v>
      </c>
      <c r="R22" s="9">
        <v>0.6</v>
      </c>
      <c r="S22" s="9">
        <v>0.45</v>
      </c>
      <c r="T22" s="9">
        <v>0.6</v>
      </c>
      <c r="U22" s="9">
        <v>0.58299999999999996</v>
      </c>
      <c r="V22" s="9">
        <v>0.64</v>
      </c>
      <c r="Y22" s="61" t="s">
        <v>449</v>
      </c>
      <c r="Z22" s="61" t="s">
        <v>1</v>
      </c>
    </row>
    <row r="23" spans="1:26">
      <c r="A23">
        <v>1</v>
      </c>
      <c r="B23" t="str">
        <f>VLOOKUP(F23,'TRA balance'!$BA$5:$BB$14,2,FALSE)</f>
        <v>TRAGSL</v>
      </c>
      <c r="C23" s="6" t="str">
        <f t="shared" si="0"/>
        <v>TR</v>
      </c>
      <c r="D23" s="7" t="s">
        <v>16</v>
      </c>
      <c r="E23" s="18" t="s">
        <v>63</v>
      </c>
      <c r="F23" s="8" t="str">
        <f t="shared" ref="F23:F26" si="9">F22</f>
        <v>Gasoline</v>
      </c>
      <c r="G23" s="6" t="s">
        <v>64</v>
      </c>
      <c r="H23" s="9">
        <v>0.1</v>
      </c>
      <c r="I23" s="9">
        <v>0.28999999999999998</v>
      </c>
      <c r="J23" s="9">
        <v>0.39900000000000002</v>
      </c>
      <c r="K23" s="9">
        <v>0.25</v>
      </c>
      <c r="L23" s="9">
        <v>0.31</v>
      </c>
      <c r="M23" s="9">
        <v>0.33</v>
      </c>
      <c r="N23" s="9">
        <v>0.33</v>
      </c>
      <c r="O23" s="9">
        <v>0.05</v>
      </c>
      <c r="P23" s="9">
        <v>0.28499999999999998</v>
      </c>
      <c r="Q23" s="9">
        <v>0.42</v>
      </c>
      <c r="R23" s="9">
        <v>0.33</v>
      </c>
      <c r="S23" s="9">
        <v>0.1</v>
      </c>
      <c r="T23" s="9">
        <v>0.38</v>
      </c>
      <c r="U23" s="9">
        <v>0.41499999999999998</v>
      </c>
      <c r="V23" s="9">
        <v>0.35</v>
      </c>
      <c r="Y23" s="61" t="s">
        <v>516</v>
      </c>
      <c r="Z23" s="61" t="s">
        <v>2</v>
      </c>
    </row>
    <row r="24" spans="1:26">
      <c r="A24">
        <v>1</v>
      </c>
      <c r="B24" t="str">
        <f>VLOOKUP(F24,'TRA balance'!$BA$5:$BB$14,2,FALSE)</f>
        <v>TRAGSL</v>
      </c>
      <c r="C24" s="6" t="str">
        <f t="shared" si="0"/>
        <v>TR</v>
      </c>
      <c r="D24" s="7" t="s">
        <v>16</v>
      </c>
      <c r="E24" s="18" t="s">
        <v>65</v>
      </c>
      <c r="F24" s="8" t="str">
        <f t="shared" si="9"/>
        <v>Gasoline</v>
      </c>
      <c r="G24" s="6" t="s">
        <v>66</v>
      </c>
      <c r="H24" s="9">
        <v>0.1</v>
      </c>
      <c r="I24" s="9">
        <v>0</v>
      </c>
      <c r="J24" s="9">
        <v>0</v>
      </c>
      <c r="K24" s="9">
        <v>0</v>
      </c>
      <c r="L24" s="9">
        <v>5.0000000000000001E-3</v>
      </c>
      <c r="M24" s="9">
        <v>5.0000000000000001E-3</v>
      </c>
      <c r="N24" s="9">
        <v>5.0000000000000001E-3</v>
      </c>
      <c r="O24" s="9">
        <v>0.1</v>
      </c>
      <c r="P24" s="9">
        <v>5.0000000000000001E-3</v>
      </c>
      <c r="Q24" s="9">
        <v>0.01</v>
      </c>
      <c r="R24" s="9">
        <v>5.0000000000000001E-3</v>
      </c>
      <c r="S24" s="9">
        <v>0.1</v>
      </c>
      <c r="T24" s="9">
        <v>5.0000000000000001E-3</v>
      </c>
      <c r="U24" s="9">
        <v>1E-3</v>
      </c>
      <c r="V24" s="9">
        <v>5.0000000000000001E-3</v>
      </c>
      <c r="Y24" s="61" t="s">
        <v>362</v>
      </c>
      <c r="Z24" s="61" t="s">
        <v>6</v>
      </c>
    </row>
    <row r="25" spans="1:26">
      <c r="A25">
        <v>1</v>
      </c>
      <c r="B25" t="str">
        <f>VLOOKUP(F25,'TRA balance'!$BA$5:$BB$14,2,FALSE)</f>
        <v>TRAGSL</v>
      </c>
      <c r="C25" s="6" t="str">
        <f t="shared" si="0"/>
        <v>TR</v>
      </c>
      <c r="D25" s="7" t="s">
        <v>16</v>
      </c>
      <c r="E25" s="18" t="s">
        <v>67</v>
      </c>
      <c r="F25" s="8" t="str">
        <f t="shared" si="9"/>
        <v>Gasoline</v>
      </c>
      <c r="G25" s="6" t="s">
        <v>68</v>
      </c>
      <c r="H25" s="9">
        <v>0.35</v>
      </c>
      <c r="I25" s="9">
        <v>0.02</v>
      </c>
      <c r="J25" s="9">
        <v>1E-3</v>
      </c>
      <c r="K25" s="9">
        <v>0.3</v>
      </c>
      <c r="L25" s="9">
        <v>1.4999999999999999E-2</v>
      </c>
      <c r="M25" s="9">
        <v>1.4999999999999999E-2</v>
      </c>
      <c r="N25" s="9">
        <v>1.4999999999999999E-2</v>
      </c>
      <c r="O25" s="9">
        <v>0.4</v>
      </c>
      <c r="P25" s="9">
        <v>0.01</v>
      </c>
      <c r="Q25" s="9">
        <v>0.02</v>
      </c>
      <c r="R25" s="9">
        <v>6.5000000000000002E-2</v>
      </c>
      <c r="S25" s="9">
        <v>0.35</v>
      </c>
      <c r="T25" s="9">
        <v>1.4999999999999999E-2</v>
      </c>
      <c r="U25" s="9">
        <v>1E-3</v>
      </c>
      <c r="V25" s="9">
        <v>5.0000000000000001E-3</v>
      </c>
      <c r="Y25" s="61" t="s">
        <v>451</v>
      </c>
      <c r="Z25" s="61" t="s">
        <v>11</v>
      </c>
    </row>
    <row r="26" spans="1:26">
      <c r="A26">
        <v>1</v>
      </c>
      <c r="B26" t="str">
        <f>VLOOKUP(F26,'TRA balance'!$BA$5:$BB$14,2,FALSE)</f>
        <v>TRAGSL</v>
      </c>
      <c r="C26" s="6" t="str">
        <f t="shared" si="0"/>
        <v/>
      </c>
      <c r="D26" s="7"/>
      <c r="E26" s="19" t="s">
        <v>69</v>
      </c>
      <c r="F26" s="8" t="str">
        <f t="shared" si="9"/>
        <v>Gasoline</v>
      </c>
      <c r="G26" s="6"/>
      <c r="H26" s="20" t="str">
        <f>IF(SUM(H22:H25)=1,"-","&lt;&gt;1!!")</f>
        <v>-</v>
      </c>
      <c r="I26" s="20" t="str">
        <f t="shared" ref="I26:V26" si="10">IF(SUM(I22:I25)=1,"-","&lt;&gt;1!!")</f>
        <v>-</v>
      </c>
      <c r="J26" s="20" t="str">
        <f t="shared" si="10"/>
        <v>-</v>
      </c>
      <c r="K26" s="20" t="str">
        <f t="shared" si="10"/>
        <v>-</v>
      </c>
      <c r="L26" s="20" t="str">
        <f t="shared" si="10"/>
        <v>-</v>
      </c>
      <c r="M26" s="20" t="str">
        <f t="shared" si="10"/>
        <v>-</v>
      </c>
      <c r="N26" s="20" t="str">
        <f t="shared" si="10"/>
        <v>-</v>
      </c>
      <c r="O26" s="20" t="str">
        <f t="shared" si="10"/>
        <v>-</v>
      </c>
      <c r="P26" s="20" t="str">
        <f t="shared" si="10"/>
        <v>-</v>
      </c>
      <c r="Q26" s="20" t="str">
        <f t="shared" si="10"/>
        <v>-</v>
      </c>
      <c r="R26" s="20" t="str">
        <f t="shared" si="10"/>
        <v>-</v>
      </c>
      <c r="S26" s="20" t="str">
        <f t="shared" si="10"/>
        <v>-</v>
      </c>
      <c r="T26" s="20" t="str">
        <f t="shared" si="10"/>
        <v>-</v>
      </c>
      <c r="U26" s="20" t="str">
        <f t="shared" si="10"/>
        <v>-</v>
      </c>
      <c r="V26" s="20" t="str">
        <f t="shared" si="10"/>
        <v>-</v>
      </c>
      <c r="Y26" s="61" t="s">
        <v>411</v>
      </c>
      <c r="Z26" s="61" t="s">
        <v>5</v>
      </c>
    </row>
    <row r="27" spans="1:26">
      <c r="A27">
        <v>1</v>
      </c>
      <c r="B27" t="str">
        <f>VLOOKUP(F27,'TRA balance'!$BA$5:$BB$14,2,FALSE)</f>
        <v>TRAGSL</v>
      </c>
      <c r="C27" s="14">
        <v>2</v>
      </c>
      <c r="D27" s="15" t="s">
        <v>16</v>
      </c>
      <c r="E27" s="15" t="s">
        <v>70</v>
      </c>
      <c r="F27" s="16" t="str">
        <f>F26</f>
        <v>Gasoline</v>
      </c>
      <c r="G27" s="14"/>
      <c r="H27" s="21">
        <f>1-H21</f>
        <v>0</v>
      </c>
      <c r="I27" s="21">
        <f t="shared" ref="I27:V27" si="11">1-I21</f>
        <v>9.9999999999999978E-2</v>
      </c>
      <c r="J27" s="21">
        <f t="shared" si="11"/>
        <v>4.0000000000000036E-2</v>
      </c>
      <c r="K27" s="21">
        <f t="shared" si="11"/>
        <v>9.9999999999999978E-2</v>
      </c>
      <c r="L27" s="21">
        <f t="shared" si="11"/>
        <v>9.9999999999999978E-2</v>
      </c>
      <c r="M27" s="21">
        <f t="shared" si="11"/>
        <v>9.9999999999999978E-2</v>
      </c>
      <c r="N27" s="21">
        <f t="shared" si="11"/>
        <v>0.30000000000000004</v>
      </c>
      <c r="O27" s="21">
        <f t="shared" si="11"/>
        <v>0</v>
      </c>
      <c r="P27" s="21">
        <f t="shared" si="11"/>
        <v>9.9999999999999978E-2</v>
      </c>
      <c r="Q27" s="21">
        <f t="shared" si="11"/>
        <v>0.30000000000000004</v>
      </c>
      <c r="R27" s="21">
        <f t="shared" si="11"/>
        <v>5.0000000000000044E-2</v>
      </c>
      <c r="S27" s="21">
        <f t="shared" si="11"/>
        <v>0</v>
      </c>
      <c r="T27" s="21">
        <f t="shared" si="11"/>
        <v>1.0000000000000009E-2</v>
      </c>
      <c r="U27" s="21">
        <f t="shared" si="11"/>
        <v>0.19999999999999996</v>
      </c>
      <c r="V27" s="21">
        <f t="shared" si="11"/>
        <v>3.0000000000000027E-2</v>
      </c>
      <c r="Y27" s="61" t="s">
        <v>517</v>
      </c>
      <c r="Z27" s="61" t="s">
        <v>1</v>
      </c>
    </row>
    <row r="28" spans="1:26">
      <c r="A28">
        <v>2</v>
      </c>
      <c r="B28" t="str">
        <f>VLOOKUP(F28,'TRA balance'!$BA$5:$BB$14,2,FALSE)</f>
        <v>TRAGSL</v>
      </c>
      <c r="C28" s="6" t="str">
        <f t="shared" si="0"/>
        <v>TR</v>
      </c>
      <c r="D28" s="7" t="s">
        <v>16</v>
      </c>
      <c r="E28" s="18" t="s">
        <v>71</v>
      </c>
      <c r="F28" s="8" t="str">
        <f>F27</f>
        <v>Gasoline</v>
      </c>
      <c r="G28" s="6" t="s">
        <v>72</v>
      </c>
      <c r="H28" s="9">
        <v>0.05</v>
      </c>
      <c r="I28" s="9">
        <v>0.05</v>
      </c>
      <c r="J28" s="9">
        <v>0.05</v>
      </c>
      <c r="K28" s="9">
        <v>0.1</v>
      </c>
      <c r="L28" s="9">
        <v>0.12</v>
      </c>
      <c r="M28" s="9">
        <v>0.1</v>
      </c>
      <c r="N28" s="9">
        <v>0.05</v>
      </c>
      <c r="O28" s="9">
        <v>0</v>
      </c>
      <c r="P28" s="9">
        <v>0</v>
      </c>
      <c r="Q28" s="9">
        <v>0.1</v>
      </c>
      <c r="R28" s="9">
        <v>0.1</v>
      </c>
      <c r="S28" s="9">
        <v>0.15</v>
      </c>
      <c r="T28" s="9">
        <v>0.1</v>
      </c>
      <c r="U28" s="9">
        <v>5.0000000000000001E-3</v>
      </c>
      <c r="V28" s="9">
        <v>0.05</v>
      </c>
      <c r="Y28" s="61" t="s">
        <v>518</v>
      </c>
      <c r="Z28" s="61" t="s">
        <v>4</v>
      </c>
    </row>
    <row r="29" spans="1:26">
      <c r="A29">
        <v>2</v>
      </c>
      <c r="B29" t="str">
        <f>VLOOKUP(F29,'TRA balance'!$BA$5:$BB$14,2,FALSE)</f>
        <v>TRAGSL</v>
      </c>
      <c r="C29" s="6" t="str">
        <f t="shared" si="0"/>
        <v>TR</v>
      </c>
      <c r="D29" s="7" t="s">
        <v>16</v>
      </c>
      <c r="E29" s="18" t="s">
        <v>73</v>
      </c>
      <c r="F29" s="8" t="str">
        <f t="shared" ref="F29:F35" si="12">F28</f>
        <v>Gasoline</v>
      </c>
      <c r="G29" s="6" t="s">
        <v>74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  <c r="U29" s="9">
        <v>0</v>
      </c>
      <c r="V29" s="9">
        <v>0</v>
      </c>
      <c r="Y29" s="61" t="s">
        <v>414</v>
      </c>
      <c r="Z29" s="61" t="s">
        <v>12</v>
      </c>
    </row>
    <row r="30" spans="1:26">
      <c r="A30">
        <v>2</v>
      </c>
      <c r="B30" t="str">
        <f>VLOOKUP(F30,'TRA balance'!$BA$5:$BB$14,2,FALSE)</f>
        <v>TRAGSL</v>
      </c>
      <c r="C30" s="6" t="str">
        <f t="shared" si="0"/>
        <v>TR</v>
      </c>
      <c r="D30" s="7" t="s">
        <v>16</v>
      </c>
      <c r="E30" s="18" t="s">
        <v>75</v>
      </c>
      <c r="F30" s="8" t="str">
        <f t="shared" si="12"/>
        <v>Gasoline</v>
      </c>
      <c r="G30" s="6" t="s">
        <v>76</v>
      </c>
      <c r="H30" s="9">
        <v>0.4</v>
      </c>
      <c r="I30" s="9">
        <v>0</v>
      </c>
      <c r="J30" s="9">
        <v>0.05</v>
      </c>
      <c r="K30" s="9">
        <v>0.1</v>
      </c>
      <c r="L30" s="9">
        <v>0.3</v>
      </c>
      <c r="M30" s="9">
        <v>0.4</v>
      </c>
      <c r="N30" s="9">
        <v>0.4</v>
      </c>
      <c r="O30" s="9">
        <v>0.3</v>
      </c>
      <c r="P30" s="9">
        <v>0</v>
      </c>
      <c r="Q30" s="9">
        <v>0.35</v>
      </c>
      <c r="R30" s="9">
        <v>0.15</v>
      </c>
      <c r="S30" s="9">
        <v>0.35</v>
      </c>
      <c r="T30" s="9">
        <v>0.3</v>
      </c>
      <c r="U30" s="9">
        <v>0.3</v>
      </c>
      <c r="V30" s="9">
        <v>0</v>
      </c>
      <c r="Y30" s="61" t="s">
        <v>315</v>
      </c>
      <c r="Z30" s="61" t="s">
        <v>13</v>
      </c>
    </row>
    <row r="31" spans="1:26">
      <c r="A31">
        <v>2</v>
      </c>
      <c r="B31" t="str">
        <f>VLOOKUP(F31,'TRA balance'!$BA$5:$BB$14,2,FALSE)</f>
        <v>TRAGSL</v>
      </c>
      <c r="C31" s="6" t="str">
        <f t="shared" si="0"/>
        <v>TR</v>
      </c>
      <c r="D31" s="7" t="s">
        <v>16</v>
      </c>
      <c r="E31" s="18" t="s">
        <v>77</v>
      </c>
      <c r="F31" s="8" t="str">
        <f t="shared" si="12"/>
        <v>Gasoline</v>
      </c>
      <c r="G31" s="6" t="s">
        <v>78</v>
      </c>
      <c r="H31" s="96">
        <f>1-SUM(H28:H30)</f>
        <v>0.55000000000000004</v>
      </c>
      <c r="I31" s="96">
        <f t="shared" ref="I31:V31" si="13">1-SUM(I28:I30)</f>
        <v>0.95</v>
      </c>
      <c r="J31" s="96">
        <f t="shared" si="13"/>
        <v>0.9</v>
      </c>
      <c r="K31" s="96">
        <f t="shared" si="13"/>
        <v>0.8</v>
      </c>
      <c r="L31" s="96">
        <f t="shared" si="13"/>
        <v>0.58000000000000007</v>
      </c>
      <c r="M31" s="96">
        <f t="shared" si="13"/>
        <v>0.5</v>
      </c>
      <c r="N31" s="96">
        <f t="shared" si="13"/>
        <v>0.55000000000000004</v>
      </c>
      <c r="O31" s="96">
        <f t="shared" si="13"/>
        <v>0.7</v>
      </c>
      <c r="P31" s="96">
        <f t="shared" si="13"/>
        <v>1</v>
      </c>
      <c r="Q31" s="96">
        <f t="shared" si="13"/>
        <v>0.55000000000000004</v>
      </c>
      <c r="R31" s="96">
        <f t="shared" si="13"/>
        <v>0.75</v>
      </c>
      <c r="S31" s="96">
        <f t="shared" si="13"/>
        <v>0.5</v>
      </c>
      <c r="T31" s="96">
        <f t="shared" si="13"/>
        <v>0.6</v>
      </c>
      <c r="U31" s="96">
        <f t="shared" si="13"/>
        <v>0.69500000000000006</v>
      </c>
      <c r="V31" s="96">
        <f t="shared" si="13"/>
        <v>0.95</v>
      </c>
      <c r="Y31" s="61" t="s">
        <v>519</v>
      </c>
      <c r="Z31" s="61" t="s">
        <v>11</v>
      </c>
    </row>
    <row r="32" spans="1:26">
      <c r="A32">
        <v>1</v>
      </c>
      <c r="B32" t="str">
        <f>VLOOKUP(F32,'TRA balance'!$BA$5:$BB$14,2,FALSE)</f>
        <v>TRAGSL</v>
      </c>
      <c r="C32" s="6" t="str">
        <f t="shared" si="0"/>
        <v/>
      </c>
      <c r="D32" s="7"/>
      <c r="E32" s="19" t="s">
        <v>79</v>
      </c>
      <c r="F32" s="8" t="str">
        <f t="shared" si="12"/>
        <v>Gasoline</v>
      </c>
      <c r="G32" s="6"/>
      <c r="H32" s="22" t="str">
        <f>IF(SUM(H28:H31)=1,"-","&lt;&gt;1!!")</f>
        <v>-</v>
      </c>
      <c r="I32" s="22" t="str">
        <f t="shared" ref="I32:V32" si="14">IF(SUM(I28:I31)=1,"-","&lt;&gt;1!!")</f>
        <v>-</v>
      </c>
      <c r="J32" s="22" t="str">
        <f t="shared" si="14"/>
        <v>-</v>
      </c>
      <c r="K32" s="22" t="str">
        <f t="shared" si="14"/>
        <v>-</v>
      </c>
      <c r="L32" s="22" t="str">
        <f t="shared" si="14"/>
        <v>-</v>
      </c>
      <c r="M32" s="22" t="str">
        <f t="shared" si="14"/>
        <v>-</v>
      </c>
      <c r="N32" s="22" t="str">
        <f t="shared" si="14"/>
        <v>-</v>
      </c>
      <c r="O32" s="22" t="str">
        <f t="shared" si="14"/>
        <v>-</v>
      </c>
      <c r="P32" s="22" t="str">
        <f t="shared" si="14"/>
        <v>-</v>
      </c>
      <c r="Q32" s="22" t="str">
        <f t="shared" si="14"/>
        <v>-</v>
      </c>
      <c r="R32" s="22" t="str">
        <f t="shared" si="14"/>
        <v>-</v>
      </c>
      <c r="S32" s="22" t="str">
        <f t="shared" si="14"/>
        <v>-</v>
      </c>
      <c r="T32" s="22" t="str">
        <f t="shared" si="14"/>
        <v>-</v>
      </c>
      <c r="U32" s="22" t="str">
        <f t="shared" si="14"/>
        <v>-</v>
      </c>
      <c r="V32" s="22" t="str">
        <f t="shared" si="14"/>
        <v>-</v>
      </c>
      <c r="Y32" s="61" t="s">
        <v>520</v>
      </c>
      <c r="Z32" s="61" t="s">
        <v>9</v>
      </c>
    </row>
    <row r="33" spans="1:26">
      <c r="A33">
        <v>1</v>
      </c>
      <c r="B33" t="str">
        <f>VLOOKUP(F33,'TRA balance'!$BA$5:$BB$14,2,FALSE)</f>
        <v>TRAGSL</v>
      </c>
      <c r="C33" s="6" t="str">
        <f t="shared" si="0"/>
        <v>TT</v>
      </c>
      <c r="D33" s="7" t="s">
        <v>17</v>
      </c>
      <c r="E33" s="7" t="s">
        <v>53</v>
      </c>
      <c r="F33" s="8" t="str">
        <f t="shared" si="12"/>
        <v>Gasoline</v>
      </c>
      <c r="G33" s="6" t="s">
        <v>55</v>
      </c>
      <c r="H33" s="23">
        <v>0.5</v>
      </c>
      <c r="I33" s="9">
        <v>0.5</v>
      </c>
      <c r="J33" s="9">
        <v>1</v>
      </c>
      <c r="K33" s="9">
        <v>0.5</v>
      </c>
      <c r="L33" s="9">
        <v>1</v>
      </c>
      <c r="M33" s="9">
        <v>1</v>
      </c>
      <c r="N33" s="23">
        <v>0.5</v>
      </c>
      <c r="O33" s="9">
        <v>1</v>
      </c>
      <c r="P33" s="9">
        <v>7.0000000000000007E-2</v>
      </c>
      <c r="Q33" s="9">
        <v>1</v>
      </c>
      <c r="R33" s="9">
        <v>0.98</v>
      </c>
      <c r="S33" s="9">
        <v>0.5</v>
      </c>
      <c r="T33" s="9">
        <v>0.5</v>
      </c>
      <c r="U33" s="9">
        <v>0.5</v>
      </c>
      <c r="V33" s="9">
        <v>1</v>
      </c>
      <c r="Y33" s="61" t="s">
        <v>456</v>
      </c>
      <c r="Z33" s="61" t="s">
        <v>1</v>
      </c>
    </row>
    <row r="34" spans="1:26">
      <c r="A34">
        <v>1</v>
      </c>
      <c r="B34" t="str">
        <f>VLOOKUP(F34,'TRA balance'!$BA$5:$BB$14,2,FALSE)</f>
        <v>TRAGSL</v>
      </c>
      <c r="C34" s="6" t="str">
        <f t="shared" si="0"/>
        <v>TT</v>
      </c>
      <c r="D34" s="7" t="s">
        <v>17</v>
      </c>
      <c r="E34" s="7" t="s">
        <v>56</v>
      </c>
      <c r="F34" s="8" t="str">
        <f t="shared" si="12"/>
        <v>Gasoline</v>
      </c>
      <c r="G34" s="6" t="s">
        <v>57</v>
      </c>
      <c r="H34" s="23">
        <v>0.5</v>
      </c>
      <c r="I34" s="9">
        <v>0.5</v>
      </c>
      <c r="J34" s="9">
        <v>0</v>
      </c>
      <c r="K34" s="9">
        <v>0.5</v>
      </c>
      <c r="L34" s="9">
        <v>0</v>
      </c>
      <c r="M34" s="9">
        <v>0</v>
      </c>
      <c r="N34" s="23">
        <v>0.5</v>
      </c>
      <c r="O34" s="9">
        <v>0</v>
      </c>
      <c r="P34" s="9">
        <v>0.93</v>
      </c>
      <c r="Q34" s="9">
        <v>0</v>
      </c>
      <c r="R34" s="9">
        <v>0.02</v>
      </c>
      <c r="S34" s="9">
        <v>0.5</v>
      </c>
      <c r="T34" s="9">
        <v>0.5</v>
      </c>
      <c r="U34" s="9">
        <v>0.5</v>
      </c>
      <c r="V34" s="9">
        <v>0</v>
      </c>
      <c r="Y34" s="61" t="s">
        <v>457</v>
      </c>
      <c r="Z34" s="61" t="s">
        <v>1</v>
      </c>
    </row>
    <row r="35" spans="1:26">
      <c r="A35">
        <v>1</v>
      </c>
      <c r="B35" t="str">
        <f>VLOOKUP(F35,'TRA balance'!$BA$5:$BB$14,2,FALSE)</f>
        <v>TRAGSL</v>
      </c>
      <c r="C35" s="11"/>
      <c r="D35" s="11"/>
      <c r="E35" s="12" t="s">
        <v>58</v>
      </c>
      <c r="F35" s="13" t="str">
        <f t="shared" si="12"/>
        <v>Gasoline</v>
      </c>
      <c r="G35" s="11"/>
      <c r="H35" s="12" t="str">
        <f t="shared" ref="H35:V35" si="15">IF(SUM(H33:H34)=1,"-","&lt;&gt;1!!")</f>
        <v>-</v>
      </c>
      <c r="I35" s="12" t="str">
        <f t="shared" si="15"/>
        <v>-</v>
      </c>
      <c r="J35" s="12" t="str">
        <f t="shared" si="15"/>
        <v>-</v>
      </c>
      <c r="K35" s="12" t="str">
        <f t="shared" si="15"/>
        <v>-</v>
      </c>
      <c r="L35" s="12" t="str">
        <f t="shared" si="15"/>
        <v>-</v>
      </c>
      <c r="M35" s="12" t="str">
        <f t="shared" si="15"/>
        <v>-</v>
      </c>
      <c r="N35" s="12" t="str">
        <f t="shared" si="15"/>
        <v>-</v>
      </c>
      <c r="O35" s="12" t="str">
        <f t="shared" si="15"/>
        <v>-</v>
      </c>
      <c r="P35" s="12" t="str">
        <f t="shared" si="15"/>
        <v>-</v>
      </c>
      <c r="Q35" s="12" t="str">
        <f t="shared" si="15"/>
        <v>-</v>
      </c>
      <c r="R35" s="12" t="str">
        <f t="shared" si="15"/>
        <v>-</v>
      </c>
      <c r="S35" s="12" t="str">
        <f t="shared" si="15"/>
        <v>-</v>
      </c>
      <c r="T35" s="12" t="str">
        <f t="shared" si="15"/>
        <v>-</v>
      </c>
      <c r="U35" s="12" t="str">
        <f t="shared" si="15"/>
        <v>-</v>
      </c>
      <c r="V35" s="12" t="str">
        <f t="shared" si="15"/>
        <v>-</v>
      </c>
      <c r="Y35" s="61" t="s">
        <v>521</v>
      </c>
      <c r="Z35" s="61" t="s">
        <v>1</v>
      </c>
    </row>
    <row r="36" spans="1:26">
      <c r="A36">
        <v>1</v>
      </c>
      <c r="B36" t="str">
        <f>VLOOKUP(F36,'TRA balance'!$BA$5:$BB$14,2,FALSE)</f>
        <v>TRAHFO</v>
      </c>
      <c r="C36" s="6" t="str">
        <f t="shared" si="0"/>
        <v>TT</v>
      </c>
      <c r="D36" s="7" t="s">
        <v>17</v>
      </c>
      <c r="E36" s="7" t="s">
        <v>53</v>
      </c>
      <c r="F36" s="8" t="s">
        <v>81</v>
      </c>
      <c r="G36" s="6" t="s">
        <v>55</v>
      </c>
      <c r="H36" s="23">
        <f>H18</f>
        <v>0.7</v>
      </c>
      <c r="I36" s="9">
        <v>1</v>
      </c>
      <c r="J36" s="23">
        <f>J18</f>
        <v>0.95</v>
      </c>
      <c r="K36" s="9">
        <v>0.6</v>
      </c>
      <c r="L36" s="9">
        <v>1</v>
      </c>
      <c r="M36" s="23">
        <f>M18</f>
        <v>0.9</v>
      </c>
      <c r="N36" s="9">
        <v>0.9</v>
      </c>
      <c r="O36" s="9">
        <v>0.5</v>
      </c>
      <c r="P36" s="9">
        <v>0.9</v>
      </c>
      <c r="Q36" s="23">
        <f>Q18</f>
        <v>0.7</v>
      </c>
      <c r="R36" s="9">
        <v>1</v>
      </c>
      <c r="S36" s="9">
        <v>0.9</v>
      </c>
      <c r="T36" s="9">
        <v>0.9</v>
      </c>
      <c r="U36" s="9">
        <v>0.9</v>
      </c>
      <c r="V36" s="23">
        <f>V18</f>
        <v>0.9</v>
      </c>
      <c r="Y36" s="61" t="s">
        <v>522</v>
      </c>
      <c r="Z36" s="61" t="s">
        <v>11</v>
      </c>
    </row>
    <row r="37" spans="1:26">
      <c r="A37">
        <v>1</v>
      </c>
      <c r="B37" t="str">
        <f>VLOOKUP(F37,'TRA balance'!$BA$5:$BB$14,2,FALSE)</f>
        <v>TRAHFO</v>
      </c>
      <c r="C37" s="6" t="str">
        <f t="shared" si="0"/>
        <v>TT</v>
      </c>
      <c r="D37" s="7" t="s">
        <v>17</v>
      </c>
      <c r="E37" s="7" t="s">
        <v>56</v>
      </c>
      <c r="F37" s="8" t="str">
        <f t="shared" ref="F37:F38" si="16">F36</f>
        <v>Heavy Fuel Oil</v>
      </c>
      <c r="G37" s="6" t="s">
        <v>57</v>
      </c>
      <c r="H37" s="23">
        <f>H19</f>
        <v>0.3</v>
      </c>
      <c r="I37" s="9">
        <v>0</v>
      </c>
      <c r="J37" s="23">
        <f>J19</f>
        <v>0.05</v>
      </c>
      <c r="K37" s="9">
        <v>0.4</v>
      </c>
      <c r="L37" s="9">
        <v>0</v>
      </c>
      <c r="M37" s="23">
        <f>M19</f>
        <v>0.1</v>
      </c>
      <c r="N37" s="9">
        <v>0.1</v>
      </c>
      <c r="O37" s="9">
        <v>0.5</v>
      </c>
      <c r="P37" s="9">
        <v>0.1</v>
      </c>
      <c r="Q37" s="23">
        <f>Q19</f>
        <v>0.3</v>
      </c>
      <c r="R37" s="9">
        <v>0</v>
      </c>
      <c r="S37" s="9">
        <v>0.1</v>
      </c>
      <c r="T37" s="9">
        <v>0.1</v>
      </c>
      <c r="U37" s="9">
        <v>0.1</v>
      </c>
      <c r="V37" s="23">
        <f>V19</f>
        <v>0.1</v>
      </c>
      <c r="Y37" s="61" t="s">
        <v>523</v>
      </c>
      <c r="Z37" s="61" t="s">
        <v>1</v>
      </c>
    </row>
    <row r="38" spans="1:26">
      <c r="A38">
        <v>1</v>
      </c>
      <c r="B38" t="str">
        <f>VLOOKUP(F38,'TRA balance'!$BA$5:$BB$14,2,FALSE)</f>
        <v>TRAHFO</v>
      </c>
      <c r="C38" s="11"/>
      <c r="D38" s="11"/>
      <c r="E38" s="12" t="s">
        <v>58</v>
      </c>
      <c r="F38" s="13" t="str">
        <f t="shared" si="16"/>
        <v>Heavy Fuel Oil</v>
      </c>
      <c r="G38" s="11"/>
      <c r="H38" s="12" t="str">
        <f t="shared" ref="H38:V38" si="17">IF(SUM(H36:H37)=1,"-","&lt;&gt;1!!")</f>
        <v>-</v>
      </c>
      <c r="I38" s="12" t="str">
        <f t="shared" si="17"/>
        <v>-</v>
      </c>
      <c r="J38" s="12" t="str">
        <f t="shared" si="17"/>
        <v>-</v>
      </c>
      <c r="K38" s="12" t="str">
        <f t="shared" si="17"/>
        <v>-</v>
      </c>
      <c r="L38" s="12" t="str">
        <f t="shared" si="17"/>
        <v>-</v>
      </c>
      <c r="M38" s="12" t="str">
        <f t="shared" si="17"/>
        <v>-</v>
      </c>
      <c r="N38" s="12" t="str">
        <f t="shared" si="17"/>
        <v>-</v>
      </c>
      <c r="O38" s="12" t="str">
        <f t="shared" si="17"/>
        <v>-</v>
      </c>
      <c r="P38" s="12" t="str">
        <f t="shared" si="17"/>
        <v>-</v>
      </c>
      <c r="Q38" s="12" t="str">
        <f t="shared" si="17"/>
        <v>-</v>
      </c>
      <c r="R38" s="12" t="str">
        <f t="shared" si="17"/>
        <v>-</v>
      </c>
      <c r="S38" s="12" t="str">
        <f t="shared" si="17"/>
        <v>-</v>
      </c>
      <c r="T38" s="12" t="str">
        <f t="shared" si="17"/>
        <v>-</v>
      </c>
      <c r="U38" s="12" t="str">
        <f t="shared" si="17"/>
        <v>-</v>
      </c>
      <c r="V38" s="12" t="str">
        <f t="shared" si="17"/>
        <v>-</v>
      </c>
      <c r="Y38" s="61" t="s">
        <v>524</v>
      </c>
      <c r="Z38" s="61" t="s">
        <v>13</v>
      </c>
    </row>
    <row r="39" spans="1:26">
      <c r="A39">
        <v>1</v>
      </c>
      <c r="B39" t="str">
        <f>VLOOKUP(F39,'TRA balance'!$BA$5:$BB$14,2,FALSE)</f>
        <v>TRALPG</v>
      </c>
      <c r="C39" s="14">
        <v>1</v>
      </c>
      <c r="D39" s="15" t="s">
        <v>16</v>
      </c>
      <c r="E39" s="15" t="s">
        <v>59</v>
      </c>
      <c r="F39" s="16" t="s">
        <v>82</v>
      </c>
      <c r="G39" s="14"/>
      <c r="H39" s="17">
        <v>0.6</v>
      </c>
      <c r="I39" s="17">
        <v>0.25</v>
      </c>
      <c r="J39" s="17">
        <v>0.9</v>
      </c>
      <c r="K39" s="17">
        <v>0.4</v>
      </c>
      <c r="L39" s="17">
        <v>0.5</v>
      </c>
      <c r="M39" s="17">
        <v>0.56999999999999995</v>
      </c>
      <c r="N39" s="17">
        <v>0.56999999999999995</v>
      </c>
      <c r="O39" s="17">
        <v>0.25</v>
      </c>
      <c r="P39" s="17">
        <v>0.56999999999999995</v>
      </c>
      <c r="Q39" s="17">
        <v>0.6</v>
      </c>
      <c r="R39" s="17">
        <v>0.65</v>
      </c>
      <c r="S39" s="17">
        <v>0.7</v>
      </c>
      <c r="T39" s="17">
        <v>0.8</v>
      </c>
      <c r="U39" s="17">
        <v>0.71921471715562335</v>
      </c>
      <c r="V39" s="17">
        <v>0.75</v>
      </c>
      <c r="Y39" s="61" t="s">
        <v>459</v>
      </c>
      <c r="Z39" s="61" t="s">
        <v>4</v>
      </c>
    </row>
    <row r="40" spans="1:26">
      <c r="A40">
        <v>1</v>
      </c>
      <c r="B40" t="str">
        <f>VLOOKUP(F40,'TRA balance'!$BA$5:$BB$14,2,FALSE)</f>
        <v>TRALPG</v>
      </c>
      <c r="C40" s="6" t="str">
        <f t="shared" si="0"/>
        <v>TR</v>
      </c>
      <c r="D40" s="7" t="s">
        <v>16</v>
      </c>
      <c r="E40" s="18" t="s">
        <v>61</v>
      </c>
      <c r="F40" s="8" t="str">
        <f>F39</f>
        <v>Liquified Petroleum Gases</v>
      </c>
      <c r="G40" s="6" t="s">
        <v>62</v>
      </c>
      <c r="H40" s="9">
        <v>0.7</v>
      </c>
      <c r="I40" s="9">
        <v>0.5</v>
      </c>
      <c r="J40" s="9">
        <v>0.626</v>
      </c>
      <c r="K40" s="9">
        <v>0.67</v>
      </c>
      <c r="L40" s="9">
        <v>0.67</v>
      </c>
      <c r="M40" s="9">
        <v>0.67</v>
      </c>
      <c r="N40" s="9">
        <v>0.67</v>
      </c>
      <c r="O40" s="9">
        <v>0.5</v>
      </c>
      <c r="P40" s="9">
        <v>0.67</v>
      </c>
      <c r="Q40" s="9">
        <v>0.7</v>
      </c>
      <c r="R40" s="9">
        <v>0.2</v>
      </c>
      <c r="S40" s="9">
        <v>0.67</v>
      </c>
      <c r="T40" s="9">
        <v>0.6</v>
      </c>
      <c r="U40" s="9">
        <v>0.34971157676928805</v>
      </c>
      <c r="V40" s="9">
        <v>0.626</v>
      </c>
      <c r="Y40" s="61"/>
      <c r="Z40" s="61"/>
    </row>
    <row r="41" spans="1:26">
      <c r="A41">
        <v>1</v>
      </c>
      <c r="B41" t="str">
        <f>VLOOKUP(F41,'TRA balance'!$BA$5:$BB$14,2,FALSE)</f>
        <v>TRALPG</v>
      </c>
      <c r="C41" s="6" t="str">
        <f t="shared" si="0"/>
        <v>TR</v>
      </c>
      <c r="D41" s="7" t="s">
        <v>16</v>
      </c>
      <c r="E41" s="18" t="s">
        <v>63</v>
      </c>
      <c r="F41" s="8" t="str">
        <f t="shared" ref="F41" si="18">F40</f>
        <v>Liquified Petroleum Gases</v>
      </c>
      <c r="G41" s="6" t="s">
        <v>64</v>
      </c>
      <c r="H41" s="9">
        <v>0.3</v>
      </c>
      <c r="I41" s="9">
        <v>0.5</v>
      </c>
      <c r="J41" s="9">
        <v>0.374</v>
      </c>
      <c r="K41" s="9">
        <v>0.33</v>
      </c>
      <c r="L41" s="9">
        <v>0.33</v>
      </c>
      <c r="M41" s="9">
        <v>0.33</v>
      </c>
      <c r="N41" s="9">
        <v>0.33</v>
      </c>
      <c r="O41" s="9">
        <v>0.5</v>
      </c>
      <c r="P41" s="9">
        <v>0.33</v>
      </c>
      <c r="Q41" s="9">
        <v>0.3</v>
      </c>
      <c r="R41" s="9">
        <v>0.8</v>
      </c>
      <c r="S41" s="9">
        <v>0.33</v>
      </c>
      <c r="T41" s="9">
        <v>0.4</v>
      </c>
      <c r="U41" s="9">
        <v>0.65028842323071201</v>
      </c>
      <c r="V41" s="9">
        <v>0.374</v>
      </c>
      <c r="Y41" s="61"/>
      <c r="Z41" s="61"/>
    </row>
    <row r="42" spans="1:26">
      <c r="A42">
        <v>1</v>
      </c>
      <c r="B42" t="str">
        <f>VLOOKUP(F42,'TRA balance'!$BA$5:$BB$14,2,FALSE)</f>
        <v>TRALPG</v>
      </c>
      <c r="C42" s="6" t="str">
        <f t="shared" si="0"/>
        <v/>
      </c>
      <c r="D42" s="7"/>
      <c r="E42" s="19" t="s">
        <v>69</v>
      </c>
      <c r="F42" s="8" t="str">
        <f>F41</f>
        <v>Liquified Petroleum Gases</v>
      </c>
      <c r="G42" s="6"/>
      <c r="H42" s="20" t="str">
        <f>IF(SUM(H40:H41)=1,"-","&lt;&gt;1!!")</f>
        <v>-</v>
      </c>
      <c r="I42" s="20" t="str">
        <f t="shared" ref="I42:V42" si="19">IF(SUM(I40:I41)=1,"-","&lt;&gt;1!!")</f>
        <v>-</v>
      </c>
      <c r="J42" s="20" t="str">
        <f t="shared" si="19"/>
        <v>-</v>
      </c>
      <c r="K42" s="20" t="str">
        <f t="shared" si="19"/>
        <v>-</v>
      </c>
      <c r="L42" s="20" t="str">
        <f t="shared" si="19"/>
        <v>-</v>
      </c>
      <c r="M42" s="20" t="str">
        <f t="shared" si="19"/>
        <v>-</v>
      </c>
      <c r="N42" s="20" t="str">
        <f t="shared" si="19"/>
        <v>-</v>
      </c>
      <c r="O42" s="20" t="str">
        <f t="shared" si="19"/>
        <v>-</v>
      </c>
      <c r="P42" s="20" t="str">
        <f t="shared" si="19"/>
        <v>-</v>
      </c>
      <c r="Q42" s="20" t="str">
        <f t="shared" si="19"/>
        <v>-</v>
      </c>
      <c r="R42" s="20" t="str">
        <f t="shared" si="19"/>
        <v>-</v>
      </c>
      <c r="S42" s="20" t="str">
        <f t="shared" si="19"/>
        <v>-</v>
      </c>
      <c r="T42" s="20" t="str">
        <f t="shared" si="19"/>
        <v>-</v>
      </c>
      <c r="U42" s="20" t="str">
        <f t="shared" si="19"/>
        <v>-</v>
      </c>
      <c r="V42" s="20" t="str">
        <f t="shared" si="19"/>
        <v>-</v>
      </c>
      <c r="Y42" s="61"/>
      <c r="Z42" s="61"/>
    </row>
    <row r="43" spans="1:26">
      <c r="A43">
        <v>1</v>
      </c>
      <c r="B43" t="str">
        <f>VLOOKUP(F43,'TRA balance'!$BA$5:$BB$14,2,FALSE)</f>
        <v>TRALPG</v>
      </c>
      <c r="C43" s="14">
        <v>2</v>
      </c>
      <c r="D43" s="15" t="s">
        <v>16</v>
      </c>
      <c r="E43" s="15" t="s">
        <v>70</v>
      </c>
      <c r="F43" s="16" t="str">
        <f>F42</f>
        <v>Liquified Petroleum Gases</v>
      </c>
      <c r="G43" s="14"/>
      <c r="H43" s="21">
        <f t="shared" ref="H43:V43" si="20">1-H39</f>
        <v>0.4</v>
      </c>
      <c r="I43" s="21">
        <f t="shared" si="20"/>
        <v>0.75</v>
      </c>
      <c r="J43" s="21">
        <f t="shared" si="20"/>
        <v>9.9999999999999978E-2</v>
      </c>
      <c r="K43" s="21">
        <f t="shared" si="20"/>
        <v>0.6</v>
      </c>
      <c r="L43" s="21">
        <f t="shared" si="20"/>
        <v>0.5</v>
      </c>
      <c r="M43" s="21">
        <f t="shared" si="20"/>
        <v>0.43000000000000005</v>
      </c>
      <c r="N43" s="21">
        <f t="shared" si="20"/>
        <v>0.43000000000000005</v>
      </c>
      <c r="O43" s="21">
        <f t="shared" si="20"/>
        <v>0.75</v>
      </c>
      <c r="P43" s="21">
        <f t="shared" si="20"/>
        <v>0.43000000000000005</v>
      </c>
      <c r="Q43" s="21">
        <f t="shared" si="20"/>
        <v>0.4</v>
      </c>
      <c r="R43" s="21">
        <f t="shared" si="20"/>
        <v>0.35</v>
      </c>
      <c r="S43" s="21">
        <f t="shared" si="20"/>
        <v>0.30000000000000004</v>
      </c>
      <c r="T43" s="21">
        <f t="shared" si="20"/>
        <v>0.19999999999999996</v>
      </c>
      <c r="U43" s="21">
        <f t="shared" si="20"/>
        <v>0.28078528284437665</v>
      </c>
      <c r="V43" s="21">
        <f t="shared" si="20"/>
        <v>0.25</v>
      </c>
      <c r="Y43" s="61"/>
      <c r="Z43" s="61"/>
    </row>
    <row r="44" spans="1:26">
      <c r="A44">
        <v>2</v>
      </c>
      <c r="B44" t="str">
        <f>VLOOKUP(F44,'TRA balance'!$BA$5:$BB$14,2,FALSE)</f>
        <v>TRALPG</v>
      </c>
      <c r="C44" s="6" t="str">
        <f t="shared" si="0"/>
        <v>TR</v>
      </c>
      <c r="D44" s="7" t="s">
        <v>16</v>
      </c>
      <c r="E44" s="18" t="s">
        <v>71</v>
      </c>
      <c r="F44" s="8" t="str">
        <f>F43</f>
        <v>Liquified Petroleum Gases</v>
      </c>
      <c r="G44" s="6" t="s">
        <v>72</v>
      </c>
      <c r="H44" s="9">
        <v>0.3</v>
      </c>
      <c r="I44" s="9">
        <v>0.8</v>
      </c>
      <c r="J44" s="9">
        <v>0</v>
      </c>
      <c r="K44" s="9">
        <v>0.8</v>
      </c>
      <c r="L44" s="9">
        <v>1</v>
      </c>
      <c r="M44" s="9">
        <v>0</v>
      </c>
      <c r="N44" s="9">
        <v>0</v>
      </c>
      <c r="O44" s="9">
        <v>0.8</v>
      </c>
      <c r="P44" s="9">
        <v>0</v>
      </c>
      <c r="Q44" s="9">
        <v>0.3</v>
      </c>
      <c r="R44" s="9">
        <v>0.8</v>
      </c>
      <c r="S44" s="9">
        <v>0.7</v>
      </c>
      <c r="T44" s="9">
        <v>0</v>
      </c>
      <c r="U44" s="9">
        <v>0.02</v>
      </c>
      <c r="V44" s="9">
        <v>0</v>
      </c>
      <c r="Y44" s="61"/>
      <c r="Z44" s="61"/>
    </row>
    <row r="45" spans="1:26">
      <c r="A45">
        <v>2</v>
      </c>
      <c r="B45" t="str">
        <f>VLOOKUP(F45,'TRA balance'!$BA$5:$BB$14,2,FALSE)</f>
        <v>TRALPG</v>
      </c>
      <c r="C45" s="6" t="str">
        <f t="shared" si="0"/>
        <v>TR</v>
      </c>
      <c r="D45" s="7" t="s">
        <v>16</v>
      </c>
      <c r="E45" s="18" t="s">
        <v>73</v>
      </c>
      <c r="F45" s="8" t="str">
        <f t="shared" ref="F45:F51" si="21">F44</f>
        <v>Liquified Petroleum Gases</v>
      </c>
      <c r="G45" s="6" t="s">
        <v>74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Y45" s="61"/>
      <c r="Z45" s="61"/>
    </row>
    <row r="46" spans="1:26">
      <c r="A46">
        <v>2</v>
      </c>
      <c r="B46" t="str">
        <f>VLOOKUP(F46,'TRA balance'!$BA$5:$BB$14,2,FALSE)</f>
        <v>TRALPG</v>
      </c>
      <c r="C46" s="6" t="str">
        <f t="shared" si="0"/>
        <v>TR</v>
      </c>
      <c r="D46" s="7" t="s">
        <v>16</v>
      </c>
      <c r="E46" s="18" t="s">
        <v>75</v>
      </c>
      <c r="F46" s="8" t="str">
        <f t="shared" si="21"/>
        <v>Liquified Petroleum Gases</v>
      </c>
      <c r="G46" s="6" t="s">
        <v>76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  <c r="U46" s="9">
        <v>0</v>
      </c>
      <c r="V46" s="9">
        <v>0</v>
      </c>
      <c r="Y46" s="61"/>
      <c r="Z46" s="61"/>
    </row>
    <row r="47" spans="1:26">
      <c r="A47">
        <v>2</v>
      </c>
      <c r="B47" t="str">
        <f>VLOOKUP(F47,'TRA balance'!$BA$5:$BB$14,2,FALSE)</f>
        <v>TRALPG</v>
      </c>
      <c r="C47" s="6" t="str">
        <f t="shared" si="0"/>
        <v>TR</v>
      </c>
      <c r="D47" s="7" t="s">
        <v>16</v>
      </c>
      <c r="E47" s="18" t="s">
        <v>77</v>
      </c>
      <c r="F47" s="8" t="str">
        <f t="shared" si="21"/>
        <v>Liquified Petroleum Gases</v>
      </c>
      <c r="G47" s="6" t="s">
        <v>78</v>
      </c>
      <c r="H47" s="9">
        <f>1-SUM(H44:H46)</f>
        <v>0.7</v>
      </c>
      <c r="I47" s="9">
        <f t="shared" ref="I47:V47" si="22">1-SUM(I44:I46)</f>
        <v>0.19999999999999996</v>
      </c>
      <c r="J47" s="9">
        <f t="shared" si="22"/>
        <v>1</v>
      </c>
      <c r="K47" s="9">
        <f t="shared" si="22"/>
        <v>0.19999999999999996</v>
      </c>
      <c r="L47" s="9">
        <f t="shared" si="22"/>
        <v>0</v>
      </c>
      <c r="M47" s="9">
        <f t="shared" si="22"/>
        <v>1</v>
      </c>
      <c r="N47" s="9">
        <f t="shared" si="22"/>
        <v>1</v>
      </c>
      <c r="O47" s="9">
        <f t="shared" si="22"/>
        <v>0.19999999999999996</v>
      </c>
      <c r="P47" s="9">
        <f t="shared" si="22"/>
        <v>1</v>
      </c>
      <c r="Q47" s="9">
        <f t="shared" si="22"/>
        <v>0.7</v>
      </c>
      <c r="R47" s="9">
        <f t="shared" si="22"/>
        <v>0.19999999999999996</v>
      </c>
      <c r="S47" s="9">
        <f t="shared" si="22"/>
        <v>0.30000000000000004</v>
      </c>
      <c r="T47" s="9">
        <f t="shared" si="22"/>
        <v>1</v>
      </c>
      <c r="U47" s="9">
        <f t="shared" si="22"/>
        <v>0.98</v>
      </c>
      <c r="V47" s="9">
        <f t="shared" si="22"/>
        <v>1</v>
      </c>
      <c r="Y47" s="61"/>
      <c r="Z47" s="61"/>
    </row>
    <row r="48" spans="1:26">
      <c r="A48">
        <v>1</v>
      </c>
      <c r="B48" t="str">
        <f>VLOOKUP(F48,'TRA balance'!$BA$5:$BB$14,2,FALSE)</f>
        <v>TRALPG</v>
      </c>
      <c r="C48" s="6" t="str">
        <f t="shared" si="0"/>
        <v/>
      </c>
      <c r="D48" s="7"/>
      <c r="E48" s="19" t="s">
        <v>79</v>
      </c>
      <c r="F48" s="8" t="str">
        <f t="shared" si="21"/>
        <v>Liquified Petroleum Gases</v>
      </c>
      <c r="G48" s="6"/>
      <c r="H48" s="22" t="str">
        <f>IF(SUM(H44:H47)=1,"-",SUM(H44:H47))</f>
        <v>-</v>
      </c>
      <c r="I48" s="22" t="str">
        <f t="shared" ref="I48:V48" si="23">IF(SUM(I44:I47)=1,"-",SUM(I44:I47))</f>
        <v>-</v>
      </c>
      <c r="J48" s="22" t="str">
        <f t="shared" si="23"/>
        <v>-</v>
      </c>
      <c r="K48" s="22" t="str">
        <f t="shared" si="23"/>
        <v>-</v>
      </c>
      <c r="L48" s="22" t="str">
        <f t="shared" si="23"/>
        <v>-</v>
      </c>
      <c r="M48" s="22" t="str">
        <f t="shared" si="23"/>
        <v>-</v>
      </c>
      <c r="N48" s="22" t="str">
        <f t="shared" si="23"/>
        <v>-</v>
      </c>
      <c r="O48" s="22" t="str">
        <f t="shared" si="23"/>
        <v>-</v>
      </c>
      <c r="P48" s="22" t="str">
        <f t="shared" si="23"/>
        <v>-</v>
      </c>
      <c r="Q48" s="22" t="str">
        <f t="shared" si="23"/>
        <v>-</v>
      </c>
      <c r="R48" s="22" t="str">
        <f t="shared" si="23"/>
        <v>-</v>
      </c>
      <c r="S48" s="22" t="str">
        <f t="shared" si="23"/>
        <v>-</v>
      </c>
      <c r="T48" s="22" t="str">
        <f t="shared" si="23"/>
        <v>-</v>
      </c>
      <c r="U48" s="22" t="str">
        <f t="shared" si="23"/>
        <v>-</v>
      </c>
      <c r="V48" s="22" t="str">
        <f t="shared" si="23"/>
        <v>-</v>
      </c>
      <c r="Y48" s="61"/>
      <c r="Z48" s="61"/>
    </row>
    <row r="49" spans="1:26">
      <c r="A49">
        <v>1</v>
      </c>
      <c r="B49" t="str">
        <f>VLOOKUP(F49,'TRA balance'!$BA$5:$BB$14,2,FALSE)</f>
        <v>TRALPG</v>
      </c>
      <c r="C49" s="6" t="str">
        <f t="shared" si="0"/>
        <v>TT</v>
      </c>
      <c r="D49" s="7" t="s">
        <v>17</v>
      </c>
      <c r="E49" s="7" t="s">
        <v>53</v>
      </c>
      <c r="F49" s="8" t="str">
        <f t="shared" si="21"/>
        <v>Liquified Petroleum Gases</v>
      </c>
      <c r="G49" s="6" t="s">
        <v>55</v>
      </c>
      <c r="H49" s="9">
        <v>1</v>
      </c>
      <c r="I49" s="9">
        <v>0.5</v>
      </c>
      <c r="J49" s="9">
        <v>1</v>
      </c>
      <c r="K49" s="9">
        <v>0.5</v>
      </c>
      <c r="L49" s="9">
        <v>1</v>
      </c>
      <c r="M49" s="9">
        <v>1</v>
      </c>
      <c r="N49" s="9">
        <v>1</v>
      </c>
      <c r="O49" s="23">
        <v>0.5</v>
      </c>
      <c r="P49" s="9">
        <v>7.0000000000000007E-2</v>
      </c>
      <c r="Q49" s="9">
        <v>1</v>
      </c>
      <c r="R49" s="9">
        <v>0.98</v>
      </c>
      <c r="S49" s="9">
        <v>0.5</v>
      </c>
      <c r="T49" s="9">
        <v>0.5</v>
      </c>
      <c r="U49" s="9">
        <v>0.5</v>
      </c>
      <c r="V49" s="9">
        <v>1</v>
      </c>
      <c r="Y49" s="61"/>
      <c r="Z49" s="61"/>
    </row>
    <row r="50" spans="1:26">
      <c r="A50">
        <v>1</v>
      </c>
      <c r="B50" t="str">
        <f>VLOOKUP(F50,'TRA balance'!$BA$5:$BB$14,2,FALSE)</f>
        <v>TRALPG</v>
      </c>
      <c r="C50" s="6" t="str">
        <f t="shared" si="0"/>
        <v>TT</v>
      </c>
      <c r="D50" s="7" t="s">
        <v>17</v>
      </c>
      <c r="E50" s="7" t="s">
        <v>56</v>
      </c>
      <c r="F50" s="8" t="str">
        <f t="shared" si="21"/>
        <v>Liquified Petroleum Gases</v>
      </c>
      <c r="G50" s="6" t="s">
        <v>57</v>
      </c>
      <c r="H50" s="9">
        <v>0</v>
      </c>
      <c r="I50" s="9">
        <v>0.5</v>
      </c>
      <c r="J50" s="9">
        <v>0</v>
      </c>
      <c r="K50" s="9">
        <v>0.5</v>
      </c>
      <c r="L50" s="9">
        <v>0</v>
      </c>
      <c r="M50" s="9">
        <v>0</v>
      </c>
      <c r="N50" s="9">
        <v>0</v>
      </c>
      <c r="O50" s="23">
        <v>0.5</v>
      </c>
      <c r="P50" s="9">
        <v>0.93</v>
      </c>
      <c r="Q50" s="9">
        <v>0</v>
      </c>
      <c r="R50" s="9">
        <v>0.02</v>
      </c>
      <c r="S50" s="9">
        <v>0.5</v>
      </c>
      <c r="T50" s="9">
        <v>0.5</v>
      </c>
      <c r="U50" s="9">
        <v>0.5</v>
      </c>
      <c r="V50" s="9">
        <v>0</v>
      </c>
      <c r="Y50" s="61"/>
      <c r="Z50" s="61"/>
    </row>
    <row r="51" spans="1:26">
      <c r="A51">
        <v>1</v>
      </c>
      <c r="B51" t="str">
        <f>VLOOKUP(F51,'TRA balance'!$BA$5:$BB$14,2,FALSE)</f>
        <v>TRALPG</v>
      </c>
      <c r="C51" s="11"/>
      <c r="D51" s="11"/>
      <c r="E51" s="12" t="s">
        <v>58</v>
      </c>
      <c r="F51" s="13" t="str">
        <f t="shared" si="21"/>
        <v>Liquified Petroleum Gases</v>
      </c>
      <c r="G51" s="11"/>
      <c r="H51" s="12" t="str">
        <f t="shared" ref="H51:V51" si="24">IF(SUM(H49:H50)=1,"-","&lt;&gt;1!!")</f>
        <v>-</v>
      </c>
      <c r="I51" s="12" t="str">
        <f t="shared" si="24"/>
        <v>-</v>
      </c>
      <c r="J51" s="12" t="str">
        <f t="shared" si="24"/>
        <v>-</v>
      </c>
      <c r="K51" s="12" t="str">
        <f t="shared" si="24"/>
        <v>-</v>
      </c>
      <c r="L51" s="12" t="str">
        <f t="shared" si="24"/>
        <v>-</v>
      </c>
      <c r="M51" s="12" t="str">
        <f t="shared" si="24"/>
        <v>-</v>
      </c>
      <c r="N51" s="12" t="str">
        <f t="shared" si="24"/>
        <v>-</v>
      </c>
      <c r="O51" s="12" t="str">
        <f t="shared" si="24"/>
        <v>-</v>
      </c>
      <c r="P51" s="12" t="str">
        <f t="shared" si="24"/>
        <v>-</v>
      </c>
      <c r="Q51" s="12" t="str">
        <f t="shared" si="24"/>
        <v>-</v>
      </c>
      <c r="R51" s="12" t="str">
        <f t="shared" si="24"/>
        <v>-</v>
      </c>
      <c r="S51" s="12" t="str">
        <f t="shared" si="24"/>
        <v>-</v>
      </c>
      <c r="T51" s="12" t="str">
        <f t="shared" si="24"/>
        <v>-</v>
      </c>
      <c r="U51" s="12" t="str">
        <f t="shared" si="24"/>
        <v>-</v>
      </c>
      <c r="V51" s="12" t="str">
        <f t="shared" si="24"/>
        <v>-</v>
      </c>
      <c r="Y51" s="61"/>
      <c r="Z51" s="61"/>
    </row>
    <row r="52" spans="1:26">
      <c r="A52">
        <v>1</v>
      </c>
      <c r="B52" t="str">
        <f>VLOOKUP(F52,'TRA balance'!$BA$5:$BB$14,2,FALSE)</f>
        <v>TRANGA</v>
      </c>
      <c r="C52" s="14">
        <v>1</v>
      </c>
      <c r="D52" s="15" t="s">
        <v>16</v>
      </c>
      <c r="E52" s="15" t="s">
        <v>59</v>
      </c>
      <c r="F52" s="16" t="s">
        <v>83</v>
      </c>
      <c r="G52" s="14"/>
      <c r="H52" s="17">
        <v>0.25</v>
      </c>
      <c r="I52" s="17">
        <v>0.25</v>
      </c>
      <c r="J52" s="17">
        <v>0.68200000000000005</v>
      </c>
      <c r="K52" s="17">
        <v>0.4</v>
      </c>
      <c r="L52" s="17">
        <v>0.5</v>
      </c>
      <c r="M52" s="17">
        <v>0</v>
      </c>
      <c r="N52" s="17">
        <v>0.7</v>
      </c>
      <c r="O52" s="17">
        <v>0.25</v>
      </c>
      <c r="P52" s="17">
        <v>0.95</v>
      </c>
      <c r="Q52" s="24">
        <f>V52</f>
        <v>0.68200000000000005</v>
      </c>
      <c r="R52" s="17">
        <v>0.55000000000000004</v>
      </c>
      <c r="S52" s="17">
        <v>0.9</v>
      </c>
      <c r="T52" s="17">
        <v>1</v>
      </c>
      <c r="U52" s="17">
        <v>0.97916979455979025</v>
      </c>
      <c r="V52" s="17">
        <v>0.68200000000000005</v>
      </c>
      <c r="Y52" s="61"/>
      <c r="Z52" s="61"/>
    </row>
    <row r="53" spans="1:26">
      <c r="A53">
        <v>1</v>
      </c>
      <c r="B53" t="str">
        <f>VLOOKUP(F53,'TRA balance'!$BA$5:$BB$14,2,FALSE)</f>
        <v>TRANGA</v>
      </c>
      <c r="C53" s="6" t="str">
        <f t="shared" si="0"/>
        <v>TR</v>
      </c>
      <c r="D53" s="7" t="s">
        <v>16</v>
      </c>
      <c r="E53" s="18" t="s">
        <v>61</v>
      </c>
      <c r="F53" s="8" t="str">
        <f>F52</f>
        <v>Natural Gas</v>
      </c>
      <c r="G53" s="6" t="s">
        <v>62</v>
      </c>
      <c r="H53" s="9">
        <v>0.5</v>
      </c>
      <c r="I53" s="9">
        <v>0.5</v>
      </c>
      <c r="J53" s="9">
        <v>0.92</v>
      </c>
      <c r="K53" s="9">
        <v>0.67</v>
      </c>
      <c r="L53" s="9">
        <v>0.6</v>
      </c>
      <c r="M53" s="23">
        <f>V53</f>
        <v>0.92</v>
      </c>
      <c r="N53" s="9">
        <v>0.8</v>
      </c>
      <c r="O53" s="9">
        <v>0.5</v>
      </c>
      <c r="P53" s="9">
        <v>0.8</v>
      </c>
      <c r="Q53" s="23">
        <f>V53</f>
        <v>0.92</v>
      </c>
      <c r="R53" s="9">
        <v>0.2</v>
      </c>
      <c r="S53" s="9">
        <v>0.8</v>
      </c>
      <c r="T53" s="9">
        <v>0.6</v>
      </c>
      <c r="U53" s="9">
        <v>0.5236972745320454</v>
      </c>
      <c r="V53" s="9">
        <v>0.92</v>
      </c>
      <c r="Y53" s="61"/>
      <c r="Z53" s="61"/>
    </row>
    <row r="54" spans="1:26">
      <c r="A54">
        <v>1</v>
      </c>
      <c r="B54" t="str">
        <f>VLOOKUP(F54,'TRA balance'!$BA$5:$BB$14,2,FALSE)</f>
        <v>TRANGA</v>
      </c>
      <c r="C54" s="6" t="str">
        <f t="shared" si="0"/>
        <v>TR</v>
      </c>
      <c r="D54" s="7" t="s">
        <v>16</v>
      </c>
      <c r="E54" s="18" t="s">
        <v>63</v>
      </c>
      <c r="F54" s="8" t="str">
        <f t="shared" ref="F54" si="25">F53</f>
        <v>Natural Gas</v>
      </c>
      <c r="G54" s="6" t="s">
        <v>64</v>
      </c>
      <c r="H54" s="9">
        <v>0.5</v>
      </c>
      <c r="I54" s="9">
        <v>0.5</v>
      </c>
      <c r="J54" s="9">
        <v>0.08</v>
      </c>
      <c r="K54" s="9">
        <v>0.33</v>
      </c>
      <c r="L54" s="9">
        <v>0.4</v>
      </c>
      <c r="M54" s="23">
        <f t="shared" ref="M54" si="26">V54</f>
        <v>0.08</v>
      </c>
      <c r="N54" s="9">
        <v>0.2</v>
      </c>
      <c r="O54" s="9">
        <v>0.5</v>
      </c>
      <c r="P54" s="9">
        <v>0.2</v>
      </c>
      <c r="Q54" s="23">
        <f t="shared" ref="Q54" si="27">V54</f>
        <v>0.08</v>
      </c>
      <c r="R54" s="9">
        <v>0.8</v>
      </c>
      <c r="S54" s="9">
        <v>0.2</v>
      </c>
      <c r="T54" s="9">
        <v>0.4</v>
      </c>
      <c r="U54" s="9">
        <v>0.4763027254679546</v>
      </c>
      <c r="V54" s="9">
        <v>0.08</v>
      </c>
      <c r="Y54" s="61"/>
      <c r="Z54" s="61"/>
    </row>
    <row r="55" spans="1:26">
      <c r="A55">
        <v>1</v>
      </c>
      <c r="B55" t="str">
        <f>VLOOKUP(F55,'TRA balance'!$BA$5:$BB$14,2,FALSE)</f>
        <v>TRANGA</v>
      </c>
      <c r="C55" s="6" t="str">
        <f t="shared" si="0"/>
        <v/>
      </c>
      <c r="D55" s="7"/>
      <c r="E55" s="19" t="s">
        <v>69</v>
      </c>
      <c r="F55" s="8" t="str">
        <f>F54</f>
        <v>Natural Gas</v>
      </c>
      <c r="G55" s="6"/>
      <c r="H55" s="20" t="str">
        <f>IF(SUM(H53:H54)=1,"-","&lt;&gt;1!!")</f>
        <v>-</v>
      </c>
      <c r="I55" s="20" t="str">
        <f t="shared" ref="I55:V55" si="28">IF(SUM(I53:I54)=1,"-","&lt;&gt;1!!")</f>
        <v>-</v>
      </c>
      <c r="J55" s="20" t="str">
        <f t="shared" si="28"/>
        <v>-</v>
      </c>
      <c r="K55" s="20" t="str">
        <f t="shared" si="28"/>
        <v>-</v>
      </c>
      <c r="L55" s="20" t="str">
        <f t="shared" si="28"/>
        <v>-</v>
      </c>
      <c r="M55" s="20" t="str">
        <f t="shared" si="28"/>
        <v>-</v>
      </c>
      <c r="N55" s="20" t="str">
        <f t="shared" si="28"/>
        <v>-</v>
      </c>
      <c r="O55" s="20" t="str">
        <f t="shared" si="28"/>
        <v>-</v>
      </c>
      <c r="P55" s="20" t="str">
        <f t="shared" si="28"/>
        <v>-</v>
      </c>
      <c r="Q55" s="20" t="str">
        <f t="shared" si="28"/>
        <v>-</v>
      </c>
      <c r="R55" s="20" t="str">
        <f t="shared" si="28"/>
        <v>-</v>
      </c>
      <c r="S55" s="20" t="str">
        <f t="shared" si="28"/>
        <v>-</v>
      </c>
      <c r="T55" s="20" t="str">
        <f t="shared" si="28"/>
        <v>-</v>
      </c>
      <c r="U55" s="20" t="str">
        <f t="shared" si="28"/>
        <v>-</v>
      </c>
      <c r="V55" s="20" t="str">
        <f t="shared" si="28"/>
        <v>-</v>
      </c>
      <c r="Y55" s="61"/>
      <c r="Z55" s="61"/>
    </row>
    <row r="56" spans="1:26">
      <c r="A56">
        <v>1</v>
      </c>
      <c r="B56" t="str">
        <f>VLOOKUP(F56,'TRA balance'!$BA$5:$BB$14,2,FALSE)</f>
        <v>TRANGA</v>
      </c>
      <c r="C56" s="14">
        <v>2</v>
      </c>
      <c r="D56" s="15" t="s">
        <v>16</v>
      </c>
      <c r="E56" s="15" t="s">
        <v>70</v>
      </c>
      <c r="F56" s="16" t="str">
        <f>F55</f>
        <v>Natural Gas</v>
      </c>
      <c r="G56" s="14"/>
      <c r="H56" s="21">
        <f t="shared" ref="H56:V56" si="29">1-H52</f>
        <v>0.75</v>
      </c>
      <c r="I56" s="21">
        <f t="shared" si="29"/>
        <v>0.75</v>
      </c>
      <c r="J56" s="21">
        <f t="shared" si="29"/>
        <v>0.31799999999999995</v>
      </c>
      <c r="K56" s="21">
        <f t="shared" si="29"/>
        <v>0.6</v>
      </c>
      <c r="L56" s="21">
        <f t="shared" si="29"/>
        <v>0.5</v>
      </c>
      <c r="M56" s="21">
        <f t="shared" si="29"/>
        <v>1</v>
      </c>
      <c r="N56" s="21">
        <f t="shared" si="29"/>
        <v>0.30000000000000004</v>
      </c>
      <c r="O56" s="21">
        <f t="shared" si="29"/>
        <v>0.75</v>
      </c>
      <c r="P56" s="21">
        <f t="shared" si="29"/>
        <v>5.0000000000000044E-2</v>
      </c>
      <c r="Q56" s="21">
        <f t="shared" si="29"/>
        <v>0.31799999999999995</v>
      </c>
      <c r="R56" s="21">
        <f t="shared" si="29"/>
        <v>0.44999999999999996</v>
      </c>
      <c r="S56" s="21">
        <f t="shared" si="29"/>
        <v>9.9999999999999978E-2</v>
      </c>
      <c r="T56" s="21">
        <f t="shared" si="29"/>
        <v>0</v>
      </c>
      <c r="U56" s="21">
        <f t="shared" si="29"/>
        <v>2.0830205440209748E-2</v>
      </c>
      <c r="V56" s="21">
        <f t="shared" si="29"/>
        <v>0.31799999999999995</v>
      </c>
      <c r="Y56" s="61"/>
      <c r="Z56" s="61"/>
    </row>
    <row r="57" spans="1:26">
      <c r="A57">
        <v>2</v>
      </c>
      <c r="B57" t="str">
        <f>VLOOKUP(F57,'TRA balance'!$BA$5:$BB$14,2,FALSE)</f>
        <v>TRANGA</v>
      </c>
      <c r="C57" s="6" t="str">
        <f t="shared" si="0"/>
        <v>TR</v>
      </c>
      <c r="D57" s="7" t="s">
        <v>16</v>
      </c>
      <c r="E57" s="18" t="s">
        <v>71</v>
      </c>
      <c r="F57" s="8" t="str">
        <f>F56</f>
        <v>Natural Gas</v>
      </c>
      <c r="G57" s="6" t="s">
        <v>72</v>
      </c>
      <c r="H57" s="9">
        <v>0.8</v>
      </c>
      <c r="I57" s="9">
        <v>0.8</v>
      </c>
      <c r="J57" s="9">
        <v>1</v>
      </c>
      <c r="K57" s="9">
        <v>0.8</v>
      </c>
      <c r="L57" s="9">
        <v>0.6</v>
      </c>
      <c r="M57" s="23">
        <f>V57</f>
        <v>1</v>
      </c>
      <c r="N57" s="9">
        <v>0</v>
      </c>
      <c r="O57" s="9">
        <v>0.8</v>
      </c>
      <c r="P57" s="9">
        <v>0</v>
      </c>
      <c r="Q57" s="23">
        <f t="shared" ref="Q57" si="30">V57</f>
        <v>1</v>
      </c>
      <c r="R57" s="9">
        <v>0.8</v>
      </c>
      <c r="S57" s="9">
        <v>0.7</v>
      </c>
      <c r="T57" s="9">
        <v>0</v>
      </c>
      <c r="U57" s="9">
        <v>0.02</v>
      </c>
      <c r="V57" s="9">
        <v>1</v>
      </c>
      <c r="Y57" s="61"/>
      <c r="Z57" s="61"/>
    </row>
    <row r="58" spans="1:26">
      <c r="A58">
        <v>2</v>
      </c>
      <c r="B58" t="str">
        <f>VLOOKUP(F58,'TRA balance'!$BA$5:$BB$14,2,FALSE)</f>
        <v>TRANGA</v>
      </c>
      <c r="C58" s="6" t="str">
        <f t="shared" si="0"/>
        <v>TR</v>
      </c>
      <c r="D58" s="7" t="s">
        <v>16</v>
      </c>
      <c r="E58" s="18" t="s">
        <v>73</v>
      </c>
      <c r="F58" s="8" t="str">
        <f t="shared" ref="F58:F61" si="31">F57</f>
        <v>Natural Gas</v>
      </c>
      <c r="G58" s="6" t="s">
        <v>74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  <c r="U58" s="9">
        <v>0</v>
      </c>
      <c r="V58" s="9">
        <v>0</v>
      </c>
      <c r="Y58" s="61"/>
      <c r="Z58" s="61"/>
    </row>
    <row r="59" spans="1:26">
      <c r="A59">
        <v>2</v>
      </c>
      <c r="B59" t="str">
        <f>VLOOKUP(F59,'TRA balance'!$BA$5:$BB$14,2,FALSE)</f>
        <v>TRANGA</v>
      </c>
      <c r="C59" s="6" t="str">
        <f t="shared" si="0"/>
        <v>TR</v>
      </c>
      <c r="D59" s="7" t="s">
        <v>16</v>
      </c>
      <c r="E59" s="18" t="s">
        <v>75</v>
      </c>
      <c r="F59" s="8" t="str">
        <f t="shared" si="31"/>
        <v>Natural Gas</v>
      </c>
      <c r="G59" s="6" t="s">
        <v>76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U59" s="9">
        <v>0</v>
      </c>
      <c r="V59" s="9">
        <v>0</v>
      </c>
      <c r="Y59" s="61"/>
      <c r="Z59" s="61"/>
    </row>
    <row r="60" spans="1:26">
      <c r="A60">
        <v>2</v>
      </c>
      <c r="B60" t="str">
        <f>VLOOKUP(F60,'TRA balance'!$BA$5:$BB$14,2,FALSE)</f>
        <v>TRANGA</v>
      </c>
      <c r="C60" s="6" t="str">
        <f t="shared" si="0"/>
        <v>TR</v>
      </c>
      <c r="D60" s="7" t="s">
        <v>16</v>
      </c>
      <c r="E60" s="18" t="s">
        <v>77</v>
      </c>
      <c r="F60" s="8" t="str">
        <f t="shared" si="31"/>
        <v>Natural Gas</v>
      </c>
      <c r="G60" s="6" t="s">
        <v>78</v>
      </c>
      <c r="H60" s="9">
        <f>1-SUM(H57:H59)</f>
        <v>0.19999999999999996</v>
      </c>
      <c r="I60" s="9">
        <f t="shared" ref="I60" si="32">1-SUM(I57:I59)</f>
        <v>0.19999999999999996</v>
      </c>
      <c r="J60" s="9">
        <f t="shared" ref="J60" si="33">1-SUM(J57:J59)</f>
        <v>0</v>
      </c>
      <c r="K60" s="9">
        <f t="shared" ref="K60" si="34">1-SUM(K57:K59)</f>
        <v>0.19999999999999996</v>
      </c>
      <c r="L60" s="9">
        <f t="shared" ref="L60" si="35">1-SUM(L57:L59)</f>
        <v>0.4</v>
      </c>
      <c r="M60" s="9">
        <f t="shared" ref="M60" si="36">1-SUM(M57:M59)</f>
        <v>0</v>
      </c>
      <c r="N60" s="9">
        <f t="shared" ref="N60" si="37">1-SUM(N57:N59)</f>
        <v>1</v>
      </c>
      <c r="O60" s="9">
        <f t="shared" ref="O60" si="38">1-SUM(O57:O59)</f>
        <v>0.19999999999999996</v>
      </c>
      <c r="P60" s="9">
        <f t="shared" ref="P60" si="39">1-SUM(P57:P59)</f>
        <v>1</v>
      </c>
      <c r="Q60" s="9">
        <f t="shared" ref="Q60" si="40">1-SUM(Q57:Q59)</f>
        <v>0</v>
      </c>
      <c r="R60" s="9">
        <f t="shared" ref="R60" si="41">1-SUM(R57:R59)</f>
        <v>0.19999999999999996</v>
      </c>
      <c r="S60" s="9">
        <f t="shared" ref="S60" si="42">1-SUM(S57:S59)</f>
        <v>0.30000000000000004</v>
      </c>
      <c r="T60" s="9">
        <f t="shared" ref="T60" si="43">1-SUM(T57:T59)</f>
        <v>1</v>
      </c>
      <c r="U60" s="9">
        <f t="shared" ref="U60" si="44">1-SUM(U57:U59)</f>
        <v>0.98</v>
      </c>
      <c r="V60" s="9">
        <f t="shared" ref="V60" si="45">1-SUM(V57:V59)</f>
        <v>0</v>
      </c>
      <c r="Y60" s="61"/>
      <c r="Z60" s="61"/>
    </row>
    <row r="61" spans="1:26">
      <c r="A61">
        <v>1</v>
      </c>
      <c r="B61" t="str">
        <f>VLOOKUP(F61,'TRA balance'!$BA$5:$BB$14,2,FALSE)</f>
        <v>TRANGA</v>
      </c>
      <c r="C61" s="11" t="str">
        <f t="shared" si="0"/>
        <v/>
      </c>
      <c r="D61" s="25"/>
      <c r="E61" s="12" t="s">
        <v>79</v>
      </c>
      <c r="F61" s="13" t="str">
        <f t="shared" si="31"/>
        <v>Natural Gas</v>
      </c>
      <c r="G61" s="11"/>
      <c r="H61" s="22" t="str">
        <f>IF(SUM(H57:H60)=1,"-",SUM(H57:H60))</f>
        <v>-</v>
      </c>
      <c r="I61" s="22" t="str">
        <f t="shared" ref="I61" si="46">IF(SUM(I57:I60)=1,"-",SUM(I57:I60))</f>
        <v>-</v>
      </c>
      <c r="J61" s="22" t="str">
        <f t="shared" ref="J61" si="47">IF(SUM(J57:J60)=1,"-",SUM(J57:J60))</f>
        <v>-</v>
      </c>
      <c r="K61" s="22" t="str">
        <f t="shared" ref="K61" si="48">IF(SUM(K57:K60)=1,"-",SUM(K57:K60))</f>
        <v>-</v>
      </c>
      <c r="L61" s="22" t="str">
        <f t="shared" ref="L61" si="49">IF(SUM(L57:L60)=1,"-",SUM(L57:L60))</f>
        <v>-</v>
      </c>
      <c r="M61" s="22" t="str">
        <f t="shared" ref="M61" si="50">IF(SUM(M57:M60)=1,"-",SUM(M57:M60))</f>
        <v>-</v>
      </c>
      <c r="N61" s="22" t="str">
        <f t="shared" ref="N61" si="51">IF(SUM(N57:N60)=1,"-",SUM(N57:N60))</f>
        <v>-</v>
      </c>
      <c r="O61" s="22" t="str">
        <f t="shared" ref="O61" si="52">IF(SUM(O57:O60)=1,"-",SUM(O57:O60))</f>
        <v>-</v>
      </c>
      <c r="P61" s="22" t="str">
        <f t="shared" ref="P61" si="53">IF(SUM(P57:P60)=1,"-",SUM(P57:P60))</f>
        <v>-</v>
      </c>
      <c r="Q61" s="22" t="str">
        <f t="shared" ref="Q61" si="54">IF(SUM(Q57:Q60)=1,"-",SUM(Q57:Q60))</f>
        <v>-</v>
      </c>
      <c r="R61" s="22" t="str">
        <f t="shared" ref="R61" si="55">IF(SUM(R57:R60)=1,"-",SUM(R57:R60))</f>
        <v>-</v>
      </c>
      <c r="S61" s="22" t="str">
        <f t="shared" ref="S61" si="56">IF(SUM(S57:S60)=1,"-",SUM(S57:S60))</f>
        <v>-</v>
      </c>
      <c r="T61" s="22" t="str">
        <f t="shared" ref="T61" si="57">IF(SUM(T57:T60)=1,"-",SUM(T57:T60))</f>
        <v>-</v>
      </c>
      <c r="U61" s="22" t="str">
        <f t="shared" ref="U61" si="58">IF(SUM(U57:U60)=1,"-",SUM(U57:U60))</f>
        <v>-</v>
      </c>
      <c r="V61" s="22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14">
        <v>1</v>
      </c>
      <c r="D62" s="15" t="s">
        <v>16</v>
      </c>
      <c r="E62" s="15" t="s">
        <v>59</v>
      </c>
      <c r="F62" s="16" t="s">
        <v>84</v>
      </c>
      <c r="G62" s="14"/>
      <c r="H62" s="93">
        <f>H6</f>
        <v>0.1</v>
      </c>
      <c r="I62" s="93">
        <f t="shared" ref="I62:V62" si="60">I6</f>
        <v>0.02</v>
      </c>
      <c r="J62" s="93">
        <f t="shared" si="60"/>
        <v>0.02</v>
      </c>
      <c r="K62" s="93">
        <f t="shared" si="60"/>
        <v>0.1</v>
      </c>
      <c r="L62" s="93">
        <f t="shared" si="60"/>
        <v>7.0000000000000007E-2</v>
      </c>
      <c r="M62" s="93">
        <f t="shared" si="60"/>
        <v>0.2</v>
      </c>
      <c r="N62" s="93">
        <f t="shared" si="60"/>
        <v>0.05</v>
      </c>
      <c r="O62" s="93">
        <f t="shared" si="60"/>
        <v>0.25</v>
      </c>
      <c r="P62" s="93">
        <f t="shared" si="60"/>
        <v>0.05</v>
      </c>
      <c r="Q62" s="93">
        <f t="shared" si="60"/>
        <v>0.1</v>
      </c>
      <c r="R62" s="93">
        <f t="shared" si="60"/>
        <v>0.15</v>
      </c>
      <c r="S62" s="93">
        <f t="shared" si="60"/>
        <v>0.08</v>
      </c>
      <c r="T62" s="93">
        <f t="shared" si="60"/>
        <v>0.11</v>
      </c>
      <c r="U62" s="93">
        <f t="shared" si="60"/>
        <v>2.4406421822616497E-2</v>
      </c>
      <c r="V62" s="93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6" t="str">
        <f t="shared" si="0"/>
        <v>TR</v>
      </c>
      <c r="D63" s="7" t="s">
        <v>16</v>
      </c>
      <c r="E63" s="18" t="s">
        <v>61</v>
      </c>
      <c r="F63" s="8" t="str">
        <f>F62</f>
        <v>Bio Diesel</v>
      </c>
      <c r="G63" s="6" t="s">
        <v>62</v>
      </c>
      <c r="H63" s="93">
        <f t="shared" ref="H63:V63" si="61">H7</f>
        <v>0.5</v>
      </c>
      <c r="I63" s="93">
        <f t="shared" si="61"/>
        <v>0.3</v>
      </c>
      <c r="J63" s="93">
        <f t="shared" si="61"/>
        <v>0.4</v>
      </c>
      <c r="K63" s="93">
        <f t="shared" si="61"/>
        <v>0.2</v>
      </c>
      <c r="L63" s="93">
        <f t="shared" si="61"/>
        <v>0.3</v>
      </c>
      <c r="M63" s="93">
        <f t="shared" si="61"/>
        <v>0.51</v>
      </c>
      <c r="N63" s="93">
        <f t="shared" si="61"/>
        <v>0.51</v>
      </c>
      <c r="O63" s="93">
        <f t="shared" si="61"/>
        <v>0.4</v>
      </c>
      <c r="P63" s="93">
        <f t="shared" si="61"/>
        <v>0.46</v>
      </c>
      <c r="Q63" s="93">
        <f t="shared" si="61"/>
        <v>0.2</v>
      </c>
      <c r="R63" s="93">
        <f t="shared" si="61"/>
        <v>0.7</v>
      </c>
      <c r="S63" s="93">
        <f t="shared" si="61"/>
        <v>0.34</v>
      </c>
      <c r="T63" s="93">
        <f t="shared" si="61"/>
        <v>0.39</v>
      </c>
      <c r="U63" s="93">
        <f t="shared" si="61"/>
        <v>0.39173710207873419</v>
      </c>
      <c r="V63" s="93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6" t="str">
        <f t="shared" si="0"/>
        <v>TR</v>
      </c>
      <c r="D64" s="7" t="s">
        <v>16</v>
      </c>
      <c r="E64" s="18" t="s">
        <v>63</v>
      </c>
      <c r="F64" s="8" t="str">
        <f t="shared" ref="F64:F67" si="62">F63</f>
        <v>Bio Diesel</v>
      </c>
      <c r="G64" s="6" t="s">
        <v>64</v>
      </c>
      <c r="H64" s="93">
        <f t="shared" ref="H64:V64" si="63">H8</f>
        <v>0.5</v>
      </c>
      <c r="I64" s="93">
        <f t="shared" si="63"/>
        <v>0.7</v>
      </c>
      <c r="J64" s="93">
        <f t="shared" si="63"/>
        <v>0.6</v>
      </c>
      <c r="K64" s="93">
        <f t="shared" si="63"/>
        <v>0.2</v>
      </c>
      <c r="L64" s="93">
        <f t="shared" si="63"/>
        <v>0.69</v>
      </c>
      <c r="M64" s="93">
        <f t="shared" si="63"/>
        <v>0.49</v>
      </c>
      <c r="N64" s="93">
        <f t="shared" si="63"/>
        <v>0.49</v>
      </c>
      <c r="O64" s="93">
        <f t="shared" si="63"/>
        <v>0.35</v>
      </c>
      <c r="P64" s="93">
        <f t="shared" si="63"/>
        <v>0.53</v>
      </c>
      <c r="Q64" s="93">
        <f t="shared" si="63"/>
        <v>0.8</v>
      </c>
      <c r="R64" s="93">
        <f t="shared" si="63"/>
        <v>0.30000000000000004</v>
      </c>
      <c r="S64" s="93">
        <f t="shared" si="63"/>
        <v>0.66</v>
      </c>
      <c r="T64" s="93">
        <f t="shared" si="63"/>
        <v>0.61</v>
      </c>
      <c r="U64" s="93">
        <f t="shared" si="63"/>
        <v>0.60826289792126587</v>
      </c>
      <c r="V64" s="93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6" t="str">
        <f t="shared" si="0"/>
        <v>TR</v>
      </c>
      <c r="D65" s="7" t="s">
        <v>16</v>
      </c>
      <c r="E65" s="18" t="s">
        <v>65</v>
      </c>
      <c r="F65" s="8" t="str">
        <f t="shared" si="62"/>
        <v>Bio Diesel</v>
      </c>
      <c r="G65" s="6" t="s">
        <v>66</v>
      </c>
      <c r="H65" s="93">
        <f t="shared" ref="H65:V65" si="64">H9</f>
        <v>0</v>
      </c>
      <c r="I65" s="93">
        <f t="shared" si="64"/>
        <v>0</v>
      </c>
      <c r="J65" s="93">
        <f t="shared" si="64"/>
        <v>0</v>
      </c>
      <c r="K65" s="93">
        <f t="shared" si="64"/>
        <v>0.6</v>
      </c>
      <c r="L65" s="93">
        <f t="shared" si="64"/>
        <v>0.01</v>
      </c>
      <c r="M65" s="93">
        <f t="shared" si="64"/>
        <v>0</v>
      </c>
      <c r="N65" s="93">
        <f t="shared" si="64"/>
        <v>0</v>
      </c>
      <c r="O65" s="93">
        <f t="shared" si="64"/>
        <v>0.25</v>
      </c>
      <c r="P65" s="93">
        <f t="shared" si="64"/>
        <v>0.01</v>
      </c>
      <c r="Q65" s="93">
        <f t="shared" si="64"/>
        <v>0</v>
      </c>
      <c r="R65" s="93">
        <f t="shared" si="64"/>
        <v>0</v>
      </c>
      <c r="S65" s="93">
        <f t="shared" si="64"/>
        <v>0</v>
      </c>
      <c r="T65" s="93">
        <f t="shared" si="64"/>
        <v>0</v>
      </c>
      <c r="U65" s="93">
        <f t="shared" si="64"/>
        <v>0</v>
      </c>
      <c r="V65" s="93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6" t="str">
        <f t="shared" si="0"/>
        <v>TR</v>
      </c>
      <c r="D66" s="7" t="s">
        <v>16</v>
      </c>
      <c r="E66" s="18" t="s">
        <v>67</v>
      </c>
      <c r="F66" s="8" t="str">
        <f t="shared" si="62"/>
        <v>Bio Diesel</v>
      </c>
      <c r="G66" s="6" t="s">
        <v>68</v>
      </c>
      <c r="H66" s="93">
        <f t="shared" ref="H66:V66" si="65">H10</f>
        <v>0</v>
      </c>
      <c r="I66" s="93">
        <f t="shared" si="65"/>
        <v>0</v>
      </c>
      <c r="J66" s="93">
        <f t="shared" si="65"/>
        <v>0</v>
      </c>
      <c r="K66" s="93">
        <f t="shared" si="65"/>
        <v>0</v>
      </c>
      <c r="L66" s="93">
        <f t="shared" si="65"/>
        <v>0</v>
      </c>
      <c r="M66" s="93">
        <f t="shared" si="65"/>
        <v>0</v>
      </c>
      <c r="N66" s="93">
        <f t="shared" si="65"/>
        <v>0</v>
      </c>
      <c r="O66" s="93">
        <f t="shared" si="65"/>
        <v>0</v>
      </c>
      <c r="P66" s="93">
        <f t="shared" si="65"/>
        <v>0</v>
      </c>
      <c r="Q66" s="93">
        <f t="shared" si="65"/>
        <v>0</v>
      </c>
      <c r="R66" s="93">
        <f t="shared" si="65"/>
        <v>0</v>
      </c>
      <c r="S66" s="93">
        <f t="shared" si="65"/>
        <v>0</v>
      </c>
      <c r="T66" s="93">
        <f t="shared" si="65"/>
        <v>0</v>
      </c>
      <c r="U66" s="93">
        <f t="shared" si="65"/>
        <v>0</v>
      </c>
      <c r="V66" s="93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6" t="str">
        <f t="shared" si="0"/>
        <v/>
      </c>
      <c r="D67" s="7"/>
      <c r="E67" s="19" t="s">
        <v>69</v>
      </c>
      <c r="F67" s="8" t="str">
        <f t="shared" si="62"/>
        <v>Bio Diesel</v>
      </c>
      <c r="G67" s="6"/>
      <c r="H67" s="20" t="str">
        <f>IF(SUM(H63:H66)=1,"-","&lt;&gt;1!!")</f>
        <v>-</v>
      </c>
      <c r="I67" s="20" t="str">
        <f t="shared" ref="I67:V67" si="66">IF(SUM(I63:I66)=1,"-","&lt;&gt;1!!")</f>
        <v>-</v>
      </c>
      <c r="J67" s="20" t="str">
        <f t="shared" si="66"/>
        <v>-</v>
      </c>
      <c r="K67" s="20" t="str">
        <f t="shared" si="66"/>
        <v>-</v>
      </c>
      <c r="L67" s="20" t="str">
        <f t="shared" si="66"/>
        <v>-</v>
      </c>
      <c r="M67" s="20" t="str">
        <f t="shared" si="66"/>
        <v>-</v>
      </c>
      <c r="N67" s="20" t="str">
        <f t="shared" si="66"/>
        <v>-</v>
      </c>
      <c r="O67" s="20" t="str">
        <f t="shared" si="66"/>
        <v>-</v>
      </c>
      <c r="P67" s="20" t="str">
        <f t="shared" si="66"/>
        <v>-</v>
      </c>
      <c r="Q67" s="20" t="str">
        <f t="shared" si="66"/>
        <v>-</v>
      </c>
      <c r="R67" s="20" t="str">
        <f t="shared" si="66"/>
        <v>-</v>
      </c>
      <c r="S67" s="20" t="str">
        <f t="shared" si="66"/>
        <v>-</v>
      </c>
      <c r="T67" s="20" t="str">
        <f t="shared" si="66"/>
        <v>-</v>
      </c>
      <c r="U67" s="20" t="str">
        <f t="shared" si="66"/>
        <v>-</v>
      </c>
      <c r="V67" s="20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14">
        <v>2</v>
      </c>
      <c r="D68" s="15" t="s">
        <v>16</v>
      </c>
      <c r="E68" s="15" t="s">
        <v>70</v>
      </c>
      <c r="F68" s="16" t="str">
        <f>F67</f>
        <v>Bio Diesel</v>
      </c>
      <c r="G68" s="14"/>
      <c r="H68" s="21">
        <f>1-H62</f>
        <v>0.9</v>
      </c>
      <c r="I68" s="21">
        <f t="shared" ref="I68:V68" si="67">1-I62</f>
        <v>0.98</v>
      </c>
      <c r="J68" s="21">
        <f t="shared" si="67"/>
        <v>0.98</v>
      </c>
      <c r="K68" s="21">
        <f t="shared" si="67"/>
        <v>0.9</v>
      </c>
      <c r="L68" s="21">
        <f t="shared" si="67"/>
        <v>0.92999999999999994</v>
      </c>
      <c r="M68" s="21">
        <f t="shared" si="67"/>
        <v>0.8</v>
      </c>
      <c r="N68" s="21">
        <f t="shared" si="67"/>
        <v>0.95</v>
      </c>
      <c r="O68" s="21">
        <f t="shared" si="67"/>
        <v>0.75</v>
      </c>
      <c r="P68" s="21">
        <f t="shared" si="67"/>
        <v>0.95</v>
      </c>
      <c r="Q68" s="21">
        <f t="shared" si="67"/>
        <v>0.9</v>
      </c>
      <c r="R68" s="21">
        <f t="shared" si="67"/>
        <v>0.85</v>
      </c>
      <c r="S68" s="21">
        <f t="shared" si="67"/>
        <v>0.92</v>
      </c>
      <c r="T68" s="21">
        <f t="shared" si="67"/>
        <v>0.89</v>
      </c>
      <c r="U68" s="21">
        <f t="shared" si="67"/>
        <v>0.97559357817738346</v>
      </c>
      <c r="V68" s="21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6" t="str">
        <f t="shared" ref="C69:C102" si="68">LEFT(G69,2)</f>
        <v>TR</v>
      </c>
      <c r="D69" s="7" t="s">
        <v>16</v>
      </c>
      <c r="E69" s="18" t="s">
        <v>71</v>
      </c>
      <c r="F69" s="8" t="str">
        <f>F68</f>
        <v>Bio Diesel</v>
      </c>
      <c r="G69" s="6" t="s">
        <v>72</v>
      </c>
      <c r="H69" s="93">
        <f t="shared" ref="H69:V69" si="69">H13</f>
        <v>0.35</v>
      </c>
      <c r="I69" s="93">
        <f t="shared" si="69"/>
        <v>0.15</v>
      </c>
      <c r="J69" s="93">
        <f t="shared" si="69"/>
        <v>0.05</v>
      </c>
      <c r="K69" s="93">
        <f t="shared" si="69"/>
        <v>0.35</v>
      </c>
      <c r="L69" s="93">
        <f t="shared" si="69"/>
        <v>0.1</v>
      </c>
      <c r="M69" s="93">
        <f t="shared" si="69"/>
        <v>0.1</v>
      </c>
      <c r="N69" s="93">
        <f t="shared" si="69"/>
        <v>0.1</v>
      </c>
      <c r="O69" s="93">
        <f t="shared" si="69"/>
        <v>0.25</v>
      </c>
      <c r="P69" s="93">
        <f t="shared" si="69"/>
        <v>0.05</v>
      </c>
      <c r="Q69" s="93">
        <f t="shared" si="69"/>
        <v>0.1</v>
      </c>
      <c r="R69" s="93">
        <f t="shared" si="69"/>
        <v>0.1</v>
      </c>
      <c r="S69" s="93">
        <f t="shared" si="69"/>
        <v>0.15</v>
      </c>
      <c r="T69" s="93">
        <f t="shared" si="69"/>
        <v>0.22</v>
      </c>
      <c r="U69" s="93">
        <f t="shared" si="69"/>
        <v>0.04</v>
      </c>
      <c r="V69" s="93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6" t="str">
        <f t="shared" si="68"/>
        <v>TR</v>
      </c>
      <c r="D70" s="7" t="s">
        <v>16</v>
      </c>
      <c r="E70" s="18" t="s">
        <v>73</v>
      </c>
      <c r="F70" s="8" t="str">
        <f t="shared" ref="F70:F76" si="70">F69</f>
        <v>Bio Diesel</v>
      </c>
      <c r="G70" s="6" t="s">
        <v>74</v>
      </c>
      <c r="H70" s="93">
        <f t="shared" ref="H70:V70" si="71">H14</f>
        <v>0.35</v>
      </c>
      <c r="I70" s="93">
        <f t="shared" si="71"/>
        <v>0.35</v>
      </c>
      <c r="J70" s="93">
        <f t="shared" si="71"/>
        <v>0.6</v>
      </c>
      <c r="K70" s="93">
        <f t="shared" si="71"/>
        <v>0.35</v>
      </c>
      <c r="L70" s="93">
        <f t="shared" si="71"/>
        <v>0.5</v>
      </c>
      <c r="M70" s="93">
        <f t="shared" si="71"/>
        <v>0.5</v>
      </c>
      <c r="N70" s="93">
        <f t="shared" si="71"/>
        <v>0.6</v>
      </c>
      <c r="O70" s="93">
        <f t="shared" si="71"/>
        <v>0.3</v>
      </c>
      <c r="P70" s="93">
        <f t="shared" si="71"/>
        <v>0.5</v>
      </c>
      <c r="Q70" s="93">
        <f t="shared" si="71"/>
        <v>0.5</v>
      </c>
      <c r="R70" s="93">
        <f t="shared" si="71"/>
        <v>0.45</v>
      </c>
      <c r="S70" s="93">
        <f t="shared" si="71"/>
        <v>0.5</v>
      </c>
      <c r="T70" s="93">
        <f t="shared" si="71"/>
        <v>0.38</v>
      </c>
      <c r="U70" s="93">
        <f t="shared" si="71"/>
        <v>0.79999999999999993</v>
      </c>
      <c r="V70" s="93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6" t="str">
        <f t="shared" si="68"/>
        <v>TR</v>
      </c>
      <c r="D71" s="7" t="s">
        <v>16</v>
      </c>
      <c r="E71" s="18" t="s">
        <v>75</v>
      </c>
      <c r="F71" s="8" t="str">
        <f t="shared" si="70"/>
        <v>Bio Diesel</v>
      </c>
      <c r="G71" s="6" t="s">
        <v>76</v>
      </c>
      <c r="H71" s="93">
        <f t="shared" ref="H71:V71" si="72">H15</f>
        <v>0.1</v>
      </c>
      <c r="I71" s="93">
        <f t="shared" si="72"/>
        <v>0.3</v>
      </c>
      <c r="J71" s="93">
        <f t="shared" si="72"/>
        <v>0.25</v>
      </c>
      <c r="K71" s="93">
        <f t="shared" si="72"/>
        <v>0.2</v>
      </c>
      <c r="L71" s="93">
        <f t="shared" si="72"/>
        <v>0.3</v>
      </c>
      <c r="M71" s="93">
        <f t="shared" si="72"/>
        <v>0.25</v>
      </c>
      <c r="N71" s="93">
        <f t="shared" si="72"/>
        <v>0.2</v>
      </c>
      <c r="O71" s="93">
        <f t="shared" si="72"/>
        <v>0.2</v>
      </c>
      <c r="P71" s="93">
        <f t="shared" si="72"/>
        <v>0.3</v>
      </c>
      <c r="Q71" s="93">
        <f t="shared" si="72"/>
        <v>0.25</v>
      </c>
      <c r="R71" s="93">
        <f t="shared" si="72"/>
        <v>0.3</v>
      </c>
      <c r="S71" s="93">
        <f t="shared" si="72"/>
        <v>0.25</v>
      </c>
      <c r="T71" s="93">
        <f t="shared" si="72"/>
        <v>0.2</v>
      </c>
      <c r="U71" s="93">
        <f t="shared" si="72"/>
        <v>0.11</v>
      </c>
      <c r="V71" s="93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6" t="str">
        <f t="shared" si="68"/>
        <v>TR</v>
      </c>
      <c r="D72" s="7" t="s">
        <v>16</v>
      </c>
      <c r="E72" s="18" t="s">
        <v>77</v>
      </c>
      <c r="F72" s="8" t="str">
        <f t="shared" si="70"/>
        <v>Bio Diesel</v>
      </c>
      <c r="G72" s="6" t="s">
        <v>78</v>
      </c>
      <c r="H72" s="93">
        <f t="shared" ref="H72:V72" si="73">H16</f>
        <v>0.2</v>
      </c>
      <c r="I72" s="93">
        <f t="shared" si="73"/>
        <v>0.2</v>
      </c>
      <c r="J72" s="93">
        <f t="shared" si="73"/>
        <v>0.1</v>
      </c>
      <c r="K72" s="93">
        <f t="shared" si="73"/>
        <v>0.1</v>
      </c>
      <c r="L72" s="93">
        <f t="shared" si="73"/>
        <v>0.1</v>
      </c>
      <c r="M72" s="93">
        <f t="shared" si="73"/>
        <v>0.15</v>
      </c>
      <c r="N72" s="93">
        <f t="shared" si="73"/>
        <v>0.1</v>
      </c>
      <c r="O72" s="93">
        <f t="shared" si="73"/>
        <v>0.25</v>
      </c>
      <c r="P72" s="93">
        <f t="shared" si="73"/>
        <v>0.15</v>
      </c>
      <c r="Q72" s="93">
        <f t="shared" si="73"/>
        <v>0.15</v>
      </c>
      <c r="R72" s="93">
        <f t="shared" si="73"/>
        <v>0.15</v>
      </c>
      <c r="S72" s="93">
        <f t="shared" si="73"/>
        <v>0.1</v>
      </c>
      <c r="T72" s="93">
        <f t="shared" si="73"/>
        <v>0.2</v>
      </c>
      <c r="U72" s="93">
        <f t="shared" si="73"/>
        <v>0.05</v>
      </c>
      <c r="V72" s="93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6" t="str">
        <f t="shared" si="68"/>
        <v/>
      </c>
      <c r="D73" s="7"/>
      <c r="E73" s="19" t="s">
        <v>79</v>
      </c>
      <c r="F73" s="8" t="str">
        <f t="shared" si="70"/>
        <v>Bio Diesel</v>
      </c>
      <c r="G73" s="6"/>
      <c r="H73" s="22" t="str">
        <f>IF(SUM(H69:H72)=1,"-","&lt;&gt;1!!")</f>
        <v>-</v>
      </c>
      <c r="I73" s="22" t="str">
        <f t="shared" ref="I73:V73" si="74">IF(SUM(I69:I72)=1,"-","&lt;&gt;1!!")</f>
        <v>-</v>
      </c>
      <c r="J73" s="22" t="str">
        <f t="shared" si="74"/>
        <v>-</v>
      </c>
      <c r="K73" s="22" t="str">
        <f t="shared" si="74"/>
        <v>-</v>
      </c>
      <c r="L73" s="22" t="str">
        <f t="shared" si="74"/>
        <v>-</v>
      </c>
      <c r="M73" s="22" t="str">
        <f t="shared" si="74"/>
        <v>-</v>
      </c>
      <c r="N73" s="22" t="str">
        <f t="shared" si="74"/>
        <v>-</v>
      </c>
      <c r="O73" s="22" t="str">
        <f t="shared" si="74"/>
        <v>-</v>
      </c>
      <c r="P73" s="22" t="str">
        <f t="shared" si="74"/>
        <v>-</v>
      </c>
      <c r="Q73" s="22" t="str">
        <f t="shared" si="74"/>
        <v>-</v>
      </c>
      <c r="R73" s="22" t="str">
        <f t="shared" si="74"/>
        <v>-</v>
      </c>
      <c r="S73" s="22" t="str">
        <f t="shared" si="74"/>
        <v>-</v>
      </c>
      <c r="T73" s="22" t="str">
        <f t="shared" si="74"/>
        <v>-</v>
      </c>
      <c r="U73" s="22" t="str">
        <f t="shared" si="74"/>
        <v>-</v>
      </c>
      <c r="V73" s="22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6" t="str">
        <f t="shared" si="68"/>
        <v>TT</v>
      </c>
      <c r="D74" s="7" t="s">
        <v>17</v>
      </c>
      <c r="E74" s="7" t="s">
        <v>53</v>
      </c>
      <c r="F74" s="8" t="str">
        <f t="shared" si="70"/>
        <v>Bio Diesel</v>
      </c>
      <c r="G74" s="6" t="s">
        <v>55</v>
      </c>
      <c r="H74" s="93">
        <f t="shared" ref="H74:V74" si="75">H18</f>
        <v>0.7</v>
      </c>
      <c r="I74" s="93">
        <f t="shared" si="75"/>
        <v>0.7</v>
      </c>
      <c r="J74" s="93">
        <f t="shared" si="75"/>
        <v>0.95</v>
      </c>
      <c r="K74" s="93">
        <f t="shared" si="75"/>
        <v>0.6</v>
      </c>
      <c r="L74" s="93">
        <f t="shared" si="75"/>
        <v>0.8</v>
      </c>
      <c r="M74" s="93">
        <f t="shared" si="75"/>
        <v>0.9</v>
      </c>
      <c r="N74" s="93">
        <f t="shared" si="75"/>
        <v>0.9</v>
      </c>
      <c r="O74" s="93">
        <f t="shared" si="75"/>
        <v>0.5</v>
      </c>
      <c r="P74" s="93">
        <f t="shared" si="75"/>
        <v>0.3</v>
      </c>
      <c r="Q74" s="93">
        <f t="shared" si="75"/>
        <v>0.7</v>
      </c>
      <c r="R74" s="93">
        <f t="shared" si="75"/>
        <v>0.75</v>
      </c>
      <c r="S74" s="93">
        <f t="shared" si="75"/>
        <v>0.8</v>
      </c>
      <c r="T74" s="93">
        <f t="shared" si="75"/>
        <v>0.9</v>
      </c>
      <c r="U74" s="93">
        <f t="shared" si="75"/>
        <v>0.96032123091737276</v>
      </c>
      <c r="V74" s="93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6" t="str">
        <f t="shared" si="68"/>
        <v>TT</v>
      </c>
      <c r="D75" s="7" t="s">
        <v>17</v>
      </c>
      <c r="E75" s="7" t="s">
        <v>56</v>
      </c>
      <c r="F75" s="8" t="str">
        <f t="shared" si="70"/>
        <v>Bio Diesel</v>
      </c>
      <c r="G75" s="6" t="s">
        <v>57</v>
      </c>
      <c r="H75" s="93">
        <f t="shared" ref="H75:V75" si="76">H19</f>
        <v>0.3</v>
      </c>
      <c r="I75" s="93">
        <f t="shared" si="76"/>
        <v>0.3</v>
      </c>
      <c r="J75" s="93">
        <f t="shared" si="76"/>
        <v>0.05</v>
      </c>
      <c r="K75" s="93">
        <f t="shared" si="76"/>
        <v>0.4</v>
      </c>
      <c r="L75" s="93">
        <f t="shared" si="76"/>
        <v>0.2</v>
      </c>
      <c r="M75" s="93">
        <f t="shared" si="76"/>
        <v>0.1</v>
      </c>
      <c r="N75" s="93">
        <f t="shared" si="76"/>
        <v>0.1</v>
      </c>
      <c r="O75" s="93">
        <f t="shared" si="76"/>
        <v>0.5</v>
      </c>
      <c r="P75" s="93">
        <f t="shared" si="76"/>
        <v>0.7</v>
      </c>
      <c r="Q75" s="93">
        <f t="shared" si="76"/>
        <v>0.3</v>
      </c>
      <c r="R75" s="93">
        <f t="shared" si="76"/>
        <v>0.25</v>
      </c>
      <c r="S75" s="93">
        <f t="shared" si="76"/>
        <v>0.2</v>
      </c>
      <c r="T75" s="93">
        <f t="shared" si="76"/>
        <v>0.1</v>
      </c>
      <c r="U75" s="93">
        <f t="shared" si="76"/>
        <v>3.9678769082627241E-2</v>
      </c>
      <c r="V75" s="93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11"/>
      <c r="D76" s="11"/>
      <c r="E76" s="12" t="s">
        <v>58</v>
      </c>
      <c r="F76" s="13" t="str">
        <f t="shared" si="70"/>
        <v>Bio Diesel</v>
      </c>
      <c r="G76" s="11"/>
      <c r="H76" s="12" t="str">
        <f t="shared" ref="H76:V76" si="77">IF(SUM(H74:H75)=1,"-","&lt;&gt;1!!")</f>
        <v>-</v>
      </c>
      <c r="I76" s="12" t="str">
        <f t="shared" si="77"/>
        <v>-</v>
      </c>
      <c r="J76" s="12" t="str">
        <f t="shared" si="77"/>
        <v>-</v>
      </c>
      <c r="K76" s="12" t="str">
        <f t="shared" si="77"/>
        <v>-</v>
      </c>
      <c r="L76" s="12" t="str">
        <f t="shared" si="77"/>
        <v>-</v>
      </c>
      <c r="M76" s="12" t="str">
        <f t="shared" si="77"/>
        <v>-</v>
      </c>
      <c r="N76" s="12" t="str">
        <f t="shared" si="77"/>
        <v>-</v>
      </c>
      <c r="O76" s="12" t="str">
        <f t="shared" si="77"/>
        <v>-</v>
      </c>
      <c r="P76" s="12" t="str">
        <f t="shared" si="77"/>
        <v>-</v>
      </c>
      <c r="Q76" s="12" t="str">
        <f t="shared" si="77"/>
        <v>-</v>
      </c>
      <c r="R76" s="12" t="str">
        <f t="shared" si="77"/>
        <v>-</v>
      </c>
      <c r="S76" s="12" t="str">
        <f t="shared" si="77"/>
        <v>-</v>
      </c>
      <c r="T76" s="12" t="str">
        <f t="shared" si="77"/>
        <v>-</v>
      </c>
      <c r="U76" s="12" t="str">
        <f t="shared" si="77"/>
        <v>-</v>
      </c>
      <c r="V76" s="12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14">
        <v>1</v>
      </c>
      <c r="D77" s="15" t="s">
        <v>16</v>
      </c>
      <c r="E77" s="15" t="s">
        <v>59</v>
      </c>
      <c r="F77" s="16" t="s">
        <v>85</v>
      </c>
      <c r="G77" s="14"/>
      <c r="H77" s="93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</row>
    <row r="78" spans="1:22">
      <c r="A78">
        <v>1</v>
      </c>
      <c r="B78" t="str">
        <f>VLOOKUP(F78,'TRA balance'!$BA$5:$BB$14,2,FALSE)</f>
        <v>TRABGS</v>
      </c>
      <c r="C78" s="6" t="str">
        <f t="shared" si="68"/>
        <v>TR</v>
      </c>
      <c r="D78" s="7" t="s">
        <v>16</v>
      </c>
      <c r="E78" s="18" t="s">
        <v>61</v>
      </c>
      <c r="F78" s="8" t="str">
        <f>F77</f>
        <v>Bio Gasoline</v>
      </c>
      <c r="G78" s="6" t="s">
        <v>62</v>
      </c>
      <c r="H78" s="41">
        <v>1</v>
      </c>
      <c r="I78" s="41">
        <v>1</v>
      </c>
      <c r="J78" s="41">
        <v>1</v>
      </c>
      <c r="K78" s="41">
        <v>1</v>
      </c>
      <c r="L78" s="41">
        <v>1</v>
      </c>
      <c r="M78" s="41">
        <v>1</v>
      </c>
      <c r="N78" s="41">
        <v>1</v>
      </c>
      <c r="O78" s="41">
        <v>1</v>
      </c>
      <c r="P78" s="41">
        <v>1</v>
      </c>
      <c r="Q78" s="41">
        <v>1</v>
      </c>
      <c r="R78" s="41">
        <v>1</v>
      </c>
      <c r="S78" s="41">
        <v>1</v>
      </c>
      <c r="T78" s="41">
        <v>1</v>
      </c>
      <c r="U78" s="41">
        <v>1</v>
      </c>
      <c r="V78" s="41">
        <v>1</v>
      </c>
    </row>
    <row r="79" spans="1:22">
      <c r="A79">
        <v>1</v>
      </c>
      <c r="B79" t="str">
        <f>VLOOKUP(F79,'TRA balance'!$BA$5:$BB$14,2,FALSE)</f>
        <v>TRABGS</v>
      </c>
      <c r="C79" s="6" t="str">
        <f t="shared" si="68"/>
        <v>TR</v>
      </c>
      <c r="D79" s="7" t="s">
        <v>16</v>
      </c>
      <c r="E79" s="18" t="s">
        <v>63</v>
      </c>
      <c r="F79" s="8" t="str">
        <f t="shared" ref="F79:F82" si="78">F78</f>
        <v>Bio Gasoline</v>
      </c>
      <c r="G79" s="6" t="s">
        <v>64</v>
      </c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93"/>
    </row>
    <row r="80" spans="1:22">
      <c r="A80">
        <v>1</v>
      </c>
      <c r="B80" t="str">
        <f>VLOOKUP(F80,'TRA balance'!$BA$5:$BB$14,2,FALSE)</f>
        <v>TRABGS</v>
      </c>
      <c r="C80" s="6" t="str">
        <f t="shared" si="68"/>
        <v>TR</v>
      </c>
      <c r="D80" s="7" t="s">
        <v>16</v>
      </c>
      <c r="E80" s="18" t="s">
        <v>65</v>
      </c>
      <c r="F80" s="8" t="str">
        <f t="shared" si="78"/>
        <v>Bio Gasoline</v>
      </c>
      <c r="G80" s="6" t="s">
        <v>66</v>
      </c>
      <c r="H80" s="93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93"/>
    </row>
    <row r="81" spans="1:22">
      <c r="A81">
        <v>1</v>
      </c>
      <c r="B81" t="str">
        <f>VLOOKUP(F81,'TRA balance'!$BA$5:$BB$14,2,FALSE)</f>
        <v>TRABGS</v>
      </c>
      <c r="C81" s="6" t="str">
        <f t="shared" si="68"/>
        <v>TR</v>
      </c>
      <c r="D81" s="7" t="s">
        <v>16</v>
      </c>
      <c r="E81" s="18" t="s">
        <v>67</v>
      </c>
      <c r="F81" s="8" t="str">
        <f t="shared" si="78"/>
        <v>Bio Gasoline</v>
      </c>
      <c r="G81" s="6" t="s">
        <v>68</v>
      </c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</row>
    <row r="82" spans="1:22">
      <c r="A82">
        <v>1</v>
      </c>
      <c r="B82" t="str">
        <f>VLOOKUP(F82,'TRA balance'!$BA$5:$BB$14,2,FALSE)</f>
        <v>TRABGS</v>
      </c>
      <c r="C82" s="6" t="str">
        <f t="shared" si="68"/>
        <v/>
      </c>
      <c r="D82" s="7"/>
      <c r="E82" s="19" t="s">
        <v>69</v>
      </c>
      <c r="F82" s="8" t="str">
        <f t="shared" si="78"/>
        <v>Bio Gasoline</v>
      </c>
      <c r="G82" s="6"/>
      <c r="H82" s="20" t="str">
        <f>IF(SUM(H78:H81)=1,"-","&lt;&gt;1!!")</f>
        <v>-</v>
      </c>
      <c r="I82" s="20" t="str">
        <f t="shared" ref="I82:V82" si="79">IF(SUM(I78:I81)=1,"-","&lt;&gt;1!!")</f>
        <v>-</v>
      </c>
      <c r="J82" s="20" t="str">
        <f t="shared" si="79"/>
        <v>-</v>
      </c>
      <c r="K82" s="20" t="str">
        <f t="shared" si="79"/>
        <v>-</v>
      </c>
      <c r="L82" s="20" t="str">
        <f t="shared" si="79"/>
        <v>-</v>
      </c>
      <c r="M82" s="20" t="str">
        <f t="shared" si="79"/>
        <v>-</v>
      </c>
      <c r="N82" s="20" t="str">
        <f t="shared" si="79"/>
        <v>-</v>
      </c>
      <c r="O82" s="20" t="str">
        <f t="shared" si="79"/>
        <v>-</v>
      </c>
      <c r="P82" s="20" t="str">
        <f t="shared" si="79"/>
        <v>-</v>
      </c>
      <c r="Q82" s="20" t="str">
        <f t="shared" si="79"/>
        <v>-</v>
      </c>
      <c r="R82" s="20" t="str">
        <f t="shared" si="79"/>
        <v>-</v>
      </c>
      <c r="S82" s="20" t="str">
        <f t="shared" si="79"/>
        <v>-</v>
      </c>
      <c r="T82" s="20" t="str">
        <f t="shared" si="79"/>
        <v>-</v>
      </c>
      <c r="U82" s="20" t="str">
        <f t="shared" si="79"/>
        <v>-</v>
      </c>
      <c r="V82" s="20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14">
        <v>2</v>
      </c>
      <c r="D83" s="15" t="s">
        <v>16</v>
      </c>
      <c r="E83" s="15" t="s">
        <v>70</v>
      </c>
      <c r="F83" s="16" t="str">
        <f>F82</f>
        <v>Bio Gasoline</v>
      </c>
      <c r="G83" s="14"/>
      <c r="H83" s="21">
        <f>1-H77</f>
        <v>1</v>
      </c>
      <c r="I83" s="21">
        <f t="shared" ref="I83:V83" si="80">1-I77</f>
        <v>1</v>
      </c>
      <c r="J83" s="21">
        <f t="shared" si="80"/>
        <v>1</v>
      </c>
      <c r="K83" s="21">
        <f t="shared" si="80"/>
        <v>1</v>
      </c>
      <c r="L83" s="21">
        <f t="shared" si="80"/>
        <v>1</v>
      </c>
      <c r="M83" s="21">
        <f t="shared" si="80"/>
        <v>1</v>
      </c>
      <c r="N83" s="21">
        <f t="shared" si="80"/>
        <v>1</v>
      </c>
      <c r="O83" s="21">
        <f t="shared" si="80"/>
        <v>1</v>
      </c>
      <c r="P83" s="21">
        <f t="shared" si="80"/>
        <v>1</v>
      </c>
      <c r="Q83" s="21">
        <f t="shared" si="80"/>
        <v>1</v>
      </c>
      <c r="R83" s="21">
        <f t="shared" si="80"/>
        <v>1</v>
      </c>
      <c r="S83" s="21">
        <f t="shared" si="80"/>
        <v>1</v>
      </c>
      <c r="T83" s="21">
        <f t="shared" si="80"/>
        <v>1</v>
      </c>
      <c r="U83" s="21">
        <f t="shared" si="80"/>
        <v>1</v>
      </c>
      <c r="V83" s="21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6" t="str">
        <f t="shared" si="68"/>
        <v>TR</v>
      </c>
      <c r="D84" s="7" t="s">
        <v>16</v>
      </c>
      <c r="E84" s="18" t="s">
        <v>71</v>
      </c>
      <c r="F84" s="8" t="str">
        <f>F83</f>
        <v>Bio Gasoline</v>
      </c>
      <c r="G84" s="6" t="s">
        <v>72</v>
      </c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</row>
    <row r="85" spans="1:22">
      <c r="A85">
        <v>2</v>
      </c>
      <c r="B85" t="str">
        <f>VLOOKUP(F85,'TRA balance'!$BA$5:$BB$14,2,FALSE)</f>
        <v>TRABGS</v>
      </c>
      <c r="C85" s="6" t="str">
        <f t="shared" si="68"/>
        <v>TR</v>
      </c>
      <c r="D85" s="7" t="s">
        <v>16</v>
      </c>
      <c r="E85" s="18" t="s">
        <v>73</v>
      </c>
      <c r="F85" s="8" t="str">
        <f t="shared" ref="F85:F88" si="81">F84</f>
        <v>Bio Gasoline</v>
      </c>
      <c r="G85" s="6" t="s">
        <v>74</v>
      </c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</row>
    <row r="86" spans="1:22">
      <c r="A86">
        <v>2</v>
      </c>
      <c r="B86" t="str">
        <f>VLOOKUP(F86,'TRA balance'!$BA$5:$BB$14,2,FALSE)</f>
        <v>TRABGS</v>
      </c>
      <c r="C86" s="6" t="str">
        <f t="shared" si="68"/>
        <v>TR</v>
      </c>
      <c r="D86" s="7" t="s">
        <v>16</v>
      </c>
      <c r="E86" s="18" t="s">
        <v>75</v>
      </c>
      <c r="F86" s="8" t="str">
        <f t="shared" si="81"/>
        <v>Bio Gasoline</v>
      </c>
      <c r="G86" s="6" t="s">
        <v>76</v>
      </c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93"/>
    </row>
    <row r="87" spans="1:22">
      <c r="A87">
        <v>2</v>
      </c>
      <c r="B87" t="str">
        <f>VLOOKUP(F87,'TRA balance'!$BA$5:$BB$14,2,FALSE)</f>
        <v>TRABGS</v>
      </c>
      <c r="C87" s="6" t="str">
        <f t="shared" si="68"/>
        <v>TR</v>
      </c>
      <c r="D87" s="7" t="s">
        <v>16</v>
      </c>
      <c r="E87" s="18" t="s">
        <v>77</v>
      </c>
      <c r="F87" s="8" t="str">
        <f t="shared" si="81"/>
        <v>Bio Gasoline</v>
      </c>
      <c r="G87" s="6" t="s">
        <v>78</v>
      </c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</row>
    <row r="88" spans="1:22">
      <c r="A88">
        <v>1</v>
      </c>
      <c r="B88" t="str">
        <f>VLOOKUP(F88,'TRA balance'!$BA$5:$BB$14,2,FALSE)</f>
        <v>TRABGS</v>
      </c>
      <c r="C88" s="11" t="str">
        <f t="shared" si="68"/>
        <v/>
      </c>
      <c r="D88" s="25"/>
      <c r="E88" s="12" t="s">
        <v>79</v>
      </c>
      <c r="F88" s="13" t="str">
        <f t="shared" si="81"/>
        <v>Bio Gasoline</v>
      </c>
      <c r="G88" s="11"/>
      <c r="H88" s="26" t="str">
        <f>IF(SUM(H84:H87)=1,"-","&lt;&gt;1!!")</f>
        <v>&lt;&gt;1!!</v>
      </c>
      <c r="I88" s="26" t="str">
        <f t="shared" ref="I88:V88" si="82">IF(SUM(I84:I87)=1,"-","&lt;&gt;1!!")</f>
        <v>&lt;&gt;1!!</v>
      </c>
      <c r="J88" s="26" t="str">
        <f t="shared" si="82"/>
        <v>&lt;&gt;1!!</v>
      </c>
      <c r="K88" s="26" t="str">
        <f t="shared" si="82"/>
        <v>&lt;&gt;1!!</v>
      </c>
      <c r="L88" s="26" t="str">
        <f t="shared" si="82"/>
        <v>&lt;&gt;1!!</v>
      </c>
      <c r="M88" s="26" t="str">
        <f t="shared" si="82"/>
        <v>&lt;&gt;1!!</v>
      </c>
      <c r="N88" s="26" t="str">
        <f t="shared" si="82"/>
        <v>&lt;&gt;1!!</v>
      </c>
      <c r="O88" s="26" t="str">
        <f t="shared" si="82"/>
        <v>&lt;&gt;1!!</v>
      </c>
      <c r="P88" s="26" t="str">
        <f t="shared" si="82"/>
        <v>&lt;&gt;1!!</v>
      </c>
      <c r="Q88" s="26" t="str">
        <f t="shared" si="82"/>
        <v>&lt;&gt;1!!</v>
      </c>
      <c r="R88" s="26" t="str">
        <f t="shared" si="82"/>
        <v>&lt;&gt;1!!</v>
      </c>
      <c r="S88" s="26" t="str">
        <f t="shared" si="82"/>
        <v>&lt;&gt;1!!</v>
      </c>
      <c r="T88" s="26" t="str">
        <f t="shared" si="82"/>
        <v>&lt;&gt;1!!</v>
      </c>
      <c r="U88" s="26" t="str">
        <f t="shared" si="82"/>
        <v>&lt;&gt;1!!</v>
      </c>
      <c r="V88" s="26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14">
        <v>1</v>
      </c>
      <c r="D89" s="15" t="s">
        <v>16</v>
      </c>
      <c r="E89" s="15" t="s">
        <v>59</v>
      </c>
      <c r="F89" s="16" t="s">
        <v>86</v>
      </c>
      <c r="G89" s="14"/>
      <c r="H89" s="17">
        <v>0</v>
      </c>
      <c r="I89" s="17">
        <v>1</v>
      </c>
      <c r="J89" s="17">
        <v>1</v>
      </c>
      <c r="K89" s="17">
        <v>0.8</v>
      </c>
      <c r="L89" s="17">
        <v>0.5</v>
      </c>
      <c r="M89" s="17">
        <v>0</v>
      </c>
      <c r="N89" s="17">
        <v>0</v>
      </c>
      <c r="O89" s="17">
        <v>0</v>
      </c>
      <c r="P89" s="17">
        <v>1</v>
      </c>
      <c r="Q89" s="17">
        <v>0</v>
      </c>
      <c r="R89" s="17">
        <v>0.5</v>
      </c>
      <c r="S89" s="17">
        <v>1</v>
      </c>
      <c r="T89" s="17">
        <v>1</v>
      </c>
      <c r="U89" s="17">
        <v>1</v>
      </c>
      <c r="V89" s="17">
        <v>1</v>
      </c>
    </row>
    <row r="90" spans="1:22">
      <c r="A90">
        <v>1</v>
      </c>
      <c r="B90" t="str">
        <f>VLOOKUP(F90,'TRA balance'!$BA$5:$BB$14,2,FALSE)</f>
        <v>TRAELC</v>
      </c>
      <c r="C90" s="6" t="str">
        <f t="shared" si="68"/>
        <v>TR</v>
      </c>
      <c r="D90" s="7" t="s">
        <v>16</v>
      </c>
      <c r="E90" s="18" t="s">
        <v>61</v>
      </c>
      <c r="F90" s="8" t="str">
        <f>F89</f>
        <v>Electricity</v>
      </c>
      <c r="G90" s="6" t="s">
        <v>62</v>
      </c>
      <c r="H90" s="23">
        <f>L90</f>
        <v>0.7</v>
      </c>
      <c r="I90" s="9">
        <v>0.66005447497292435</v>
      </c>
      <c r="J90" s="9">
        <v>0.66005447497292435</v>
      </c>
      <c r="K90" s="9">
        <v>0.9</v>
      </c>
      <c r="L90" s="9">
        <v>0.7</v>
      </c>
      <c r="M90" s="23">
        <f>V90</f>
        <v>0.66</v>
      </c>
      <c r="N90" s="23">
        <f>V90</f>
        <v>0.66</v>
      </c>
      <c r="O90" s="9">
        <v>0.9</v>
      </c>
      <c r="P90" s="9">
        <v>0.9</v>
      </c>
      <c r="Q90" s="9">
        <v>0.9</v>
      </c>
      <c r="R90" s="9">
        <v>0.7</v>
      </c>
      <c r="S90" s="9">
        <v>0.9</v>
      </c>
      <c r="T90" s="9">
        <v>0.9</v>
      </c>
      <c r="U90" s="9">
        <v>0.66005447497292435</v>
      </c>
      <c r="V90" s="9">
        <v>0.66</v>
      </c>
    </row>
    <row r="91" spans="1:22">
      <c r="A91">
        <v>1</v>
      </c>
      <c r="B91" t="str">
        <f>VLOOKUP(F91,'TRA balance'!$BA$5:$BB$14,2,FALSE)</f>
        <v>TRAELC</v>
      </c>
      <c r="C91" s="6" t="str">
        <f t="shared" si="68"/>
        <v>TR</v>
      </c>
      <c r="D91" s="7" t="s">
        <v>16</v>
      </c>
      <c r="E91" s="18" t="s">
        <v>63</v>
      </c>
      <c r="F91" s="8" t="str">
        <f t="shared" ref="F91:F94" si="83">F90</f>
        <v>Electricity</v>
      </c>
      <c r="G91" s="6" t="s">
        <v>64</v>
      </c>
      <c r="H91" s="23">
        <f t="shared" ref="H91:H93" si="84">L91</f>
        <v>0.3</v>
      </c>
      <c r="I91" s="9">
        <v>0.33994552502707565</v>
      </c>
      <c r="J91" s="9">
        <v>0.33994552502707565</v>
      </c>
      <c r="K91" s="9">
        <v>0.1</v>
      </c>
      <c r="L91" s="9">
        <v>0.3</v>
      </c>
      <c r="M91" s="23">
        <f t="shared" ref="M91:M93" si="85">V91</f>
        <v>0.34</v>
      </c>
      <c r="N91" s="23">
        <f t="shared" ref="N91:N93" si="86">V91</f>
        <v>0.34</v>
      </c>
      <c r="O91" s="9">
        <v>0.1</v>
      </c>
      <c r="P91" s="9">
        <v>0.1</v>
      </c>
      <c r="Q91" s="9">
        <v>0.1</v>
      </c>
      <c r="R91" s="9">
        <v>0.30000000000000004</v>
      </c>
      <c r="S91" s="9">
        <v>0.1</v>
      </c>
      <c r="T91" s="9">
        <v>0.1</v>
      </c>
      <c r="U91" s="9">
        <v>0.33994552502707565</v>
      </c>
      <c r="V91" s="9">
        <v>0.34</v>
      </c>
    </row>
    <row r="92" spans="1:22">
      <c r="A92">
        <v>1</v>
      </c>
      <c r="B92" t="str">
        <f>VLOOKUP(F92,'TRA balance'!$BA$5:$BB$14,2,FALSE)</f>
        <v>TRAELC</v>
      </c>
      <c r="C92" s="6" t="str">
        <f t="shared" si="68"/>
        <v>TR</v>
      </c>
      <c r="D92" s="7" t="s">
        <v>16</v>
      </c>
      <c r="E92" s="18" t="s">
        <v>65</v>
      </c>
      <c r="F92" s="8" t="str">
        <f t="shared" si="83"/>
        <v>Electricity</v>
      </c>
      <c r="G92" s="6" t="s">
        <v>66</v>
      </c>
      <c r="H92" s="23">
        <f t="shared" si="84"/>
        <v>0</v>
      </c>
      <c r="I92" s="9">
        <v>0</v>
      </c>
      <c r="J92" s="9">
        <v>0</v>
      </c>
      <c r="K92" s="9">
        <v>0</v>
      </c>
      <c r="L92" s="9">
        <v>0</v>
      </c>
      <c r="M92" s="23">
        <f t="shared" si="85"/>
        <v>0</v>
      </c>
      <c r="N92" s="23">
        <f t="shared" si="86"/>
        <v>0</v>
      </c>
      <c r="O92" s="9">
        <v>0</v>
      </c>
      <c r="P92" s="9">
        <v>0</v>
      </c>
      <c r="Q92" s="9">
        <v>0</v>
      </c>
      <c r="R92" s="9">
        <v>0</v>
      </c>
      <c r="S92" s="9">
        <v>0</v>
      </c>
      <c r="T92" s="9">
        <v>0</v>
      </c>
      <c r="U92" s="9">
        <v>0</v>
      </c>
      <c r="V92" s="9">
        <v>0</v>
      </c>
    </row>
    <row r="93" spans="1:22">
      <c r="A93">
        <v>1</v>
      </c>
      <c r="B93" t="str">
        <f>VLOOKUP(F93,'TRA balance'!$BA$5:$BB$14,2,FALSE)</f>
        <v>TRAELC</v>
      </c>
      <c r="C93" s="6" t="str">
        <f t="shared" si="68"/>
        <v>TR</v>
      </c>
      <c r="D93" s="7" t="s">
        <v>16</v>
      </c>
      <c r="E93" s="18" t="s">
        <v>67</v>
      </c>
      <c r="F93" s="8" t="str">
        <f t="shared" si="83"/>
        <v>Electricity</v>
      </c>
      <c r="G93" s="6" t="s">
        <v>68</v>
      </c>
      <c r="H93" s="23">
        <f t="shared" si="84"/>
        <v>0</v>
      </c>
      <c r="I93" s="9">
        <v>0</v>
      </c>
      <c r="J93" s="9">
        <v>0</v>
      </c>
      <c r="K93" s="9">
        <v>0</v>
      </c>
      <c r="L93" s="9">
        <v>0</v>
      </c>
      <c r="M93" s="23">
        <f t="shared" si="85"/>
        <v>0</v>
      </c>
      <c r="N93" s="23">
        <f t="shared" si="86"/>
        <v>0</v>
      </c>
      <c r="O93" s="9">
        <v>0</v>
      </c>
      <c r="P93" s="9">
        <v>0</v>
      </c>
      <c r="Q93" s="9">
        <v>0</v>
      </c>
      <c r="R93" s="9">
        <v>0</v>
      </c>
      <c r="S93" s="9">
        <v>0</v>
      </c>
      <c r="T93" s="9">
        <v>0</v>
      </c>
      <c r="U93" s="9">
        <v>0</v>
      </c>
      <c r="V93" s="9">
        <v>0</v>
      </c>
    </row>
    <row r="94" spans="1:22">
      <c r="A94">
        <v>1</v>
      </c>
      <c r="B94" t="str">
        <f>VLOOKUP(F94,'TRA balance'!$BA$5:$BB$14,2,FALSE)</f>
        <v>TRAELC</v>
      </c>
      <c r="C94" s="6" t="str">
        <f t="shared" si="68"/>
        <v/>
      </c>
      <c r="D94" s="7"/>
      <c r="E94" s="19" t="s">
        <v>69</v>
      </c>
      <c r="F94" s="8" t="str">
        <f t="shared" si="83"/>
        <v>Electricity</v>
      </c>
      <c r="G94" s="6"/>
      <c r="H94" s="20" t="str">
        <f>IF(SUM(H90:H93)=1,"-","&lt;&gt;1!!")</f>
        <v>-</v>
      </c>
      <c r="I94" s="20" t="str">
        <f t="shared" ref="I94:V94" si="87">IF(SUM(I90:I93)=1,"-","&lt;&gt;1!!")</f>
        <v>-</v>
      </c>
      <c r="J94" s="20" t="str">
        <f t="shared" si="87"/>
        <v>-</v>
      </c>
      <c r="K94" s="20" t="str">
        <f t="shared" si="87"/>
        <v>-</v>
      </c>
      <c r="L94" s="20" t="str">
        <f t="shared" si="87"/>
        <v>-</v>
      </c>
      <c r="M94" s="20" t="str">
        <f t="shared" si="87"/>
        <v>-</v>
      </c>
      <c r="N94" s="20" t="str">
        <f t="shared" si="87"/>
        <v>-</v>
      </c>
      <c r="O94" s="20" t="str">
        <f t="shared" si="87"/>
        <v>-</v>
      </c>
      <c r="P94" s="20" t="str">
        <f t="shared" si="87"/>
        <v>-</v>
      </c>
      <c r="Q94" s="20" t="str">
        <f t="shared" si="87"/>
        <v>-</v>
      </c>
      <c r="R94" s="20" t="str">
        <f t="shared" si="87"/>
        <v>-</v>
      </c>
      <c r="S94" s="20" t="str">
        <f t="shared" si="87"/>
        <v>-</v>
      </c>
      <c r="T94" s="20" t="str">
        <f t="shared" si="87"/>
        <v>-</v>
      </c>
      <c r="U94" s="20" t="str">
        <f t="shared" si="87"/>
        <v>-</v>
      </c>
      <c r="V94" s="20" t="str">
        <f t="shared" si="87"/>
        <v>-</v>
      </c>
    </row>
    <row r="95" spans="1:22">
      <c r="A95">
        <v>1</v>
      </c>
      <c r="B95" t="str">
        <f>VLOOKUP(F95,'TRA balance'!$BA$5:$BB$14,2,FALSE)</f>
        <v>TRAELC</v>
      </c>
      <c r="C95" s="14">
        <v>2</v>
      </c>
      <c r="D95" s="15" t="s">
        <v>16</v>
      </c>
      <c r="E95" s="15" t="s">
        <v>70</v>
      </c>
      <c r="F95" s="16" t="str">
        <f>F94</f>
        <v>Electricity</v>
      </c>
      <c r="G95" s="14"/>
      <c r="H95" s="21">
        <f>1-H89</f>
        <v>1</v>
      </c>
      <c r="I95" s="21">
        <f t="shared" ref="I95:V95" si="88">1-I89</f>
        <v>0</v>
      </c>
      <c r="J95" s="21">
        <f t="shared" si="88"/>
        <v>0</v>
      </c>
      <c r="K95" s="21">
        <f t="shared" si="88"/>
        <v>0.19999999999999996</v>
      </c>
      <c r="L95" s="21">
        <f t="shared" si="88"/>
        <v>0.5</v>
      </c>
      <c r="M95" s="21">
        <f t="shared" si="88"/>
        <v>1</v>
      </c>
      <c r="N95" s="21">
        <f t="shared" si="88"/>
        <v>1</v>
      </c>
      <c r="O95" s="21">
        <f t="shared" si="88"/>
        <v>1</v>
      </c>
      <c r="P95" s="21">
        <f t="shared" si="88"/>
        <v>0</v>
      </c>
      <c r="Q95" s="21">
        <f t="shared" si="88"/>
        <v>1</v>
      </c>
      <c r="R95" s="21">
        <f t="shared" si="88"/>
        <v>0.5</v>
      </c>
      <c r="S95" s="21">
        <f t="shared" si="88"/>
        <v>0</v>
      </c>
      <c r="T95" s="21">
        <f t="shared" si="88"/>
        <v>0</v>
      </c>
      <c r="U95" s="21">
        <f t="shared" si="88"/>
        <v>0</v>
      </c>
      <c r="V95" s="21">
        <f t="shared" si="88"/>
        <v>0</v>
      </c>
    </row>
    <row r="96" spans="1:22">
      <c r="A96">
        <v>2</v>
      </c>
      <c r="B96" t="str">
        <f>VLOOKUP(F96,'TRA balance'!$BA$5:$BB$14,2,FALSE)</f>
        <v>TRAELC</v>
      </c>
      <c r="C96" s="6" t="str">
        <f t="shared" si="68"/>
        <v>TR</v>
      </c>
      <c r="D96" s="7" t="s">
        <v>16</v>
      </c>
      <c r="E96" s="18" t="s">
        <v>71</v>
      </c>
      <c r="F96" s="8" t="str">
        <f>F95</f>
        <v>Electricity</v>
      </c>
      <c r="G96" s="6" t="s">
        <v>72</v>
      </c>
      <c r="H96" s="23">
        <v>1</v>
      </c>
      <c r="I96" s="23">
        <v>1</v>
      </c>
      <c r="J96" s="23">
        <v>1</v>
      </c>
      <c r="K96" s="23">
        <v>0.5</v>
      </c>
      <c r="L96" s="9">
        <v>1</v>
      </c>
      <c r="M96" s="23">
        <v>1</v>
      </c>
      <c r="N96" s="23">
        <v>1</v>
      </c>
      <c r="O96" s="23">
        <v>1</v>
      </c>
      <c r="P96" s="23">
        <v>1</v>
      </c>
      <c r="Q96" s="23">
        <v>1</v>
      </c>
      <c r="R96" s="9">
        <v>1</v>
      </c>
      <c r="S96" s="23">
        <v>1</v>
      </c>
      <c r="T96" s="23">
        <v>1</v>
      </c>
      <c r="U96" s="23">
        <v>1</v>
      </c>
      <c r="V96" s="23">
        <v>1</v>
      </c>
    </row>
    <row r="97" spans="1:22">
      <c r="A97">
        <v>2</v>
      </c>
      <c r="B97" t="str">
        <f>VLOOKUP(F97,'TRA balance'!$BA$5:$BB$14,2,FALSE)</f>
        <v>TRAELC</v>
      </c>
      <c r="C97" s="6" t="str">
        <f t="shared" si="68"/>
        <v>TR</v>
      </c>
      <c r="D97" s="7" t="s">
        <v>16</v>
      </c>
      <c r="E97" s="18" t="s">
        <v>73</v>
      </c>
      <c r="F97" s="8" t="str">
        <f t="shared" ref="F97:F103" si="89">F96</f>
        <v>Electricity</v>
      </c>
      <c r="G97" s="6" t="s">
        <v>74</v>
      </c>
      <c r="H97" s="9">
        <v>0</v>
      </c>
      <c r="I97" s="9">
        <v>0</v>
      </c>
      <c r="J97" s="9">
        <v>0</v>
      </c>
      <c r="K97" s="9">
        <v>0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0</v>
      </c>
      <c r="S97" s="9">
        <v>0</v>
      </c>
      <c r="T97" s="9">
        <v>0</v>
      </c>
      <c r="U97" s="9">
        <v>0</v>
      </c>
      <c r="V97" s="9">
        <v>0</v>
      </c>
    </row>
    <row r="98" spans="1:22">
      <c r="A98">
        <v>2</v>
      </c>
      <c r="B98" t="str">
        <f>VLOOKUP(F98,'TRA balance'!$BA$5:$BB$14,2,FALSE)</f>
        <v>TRAELC</v>
      </c>
      <c r="C98" s="6" t="str">
        <f t="shared" si="68"/>
        <v>TR</v>
      </c>
      <c r="D98" s="7" t="s">
        <v>16</v>
      </c>
      <c r="E98" s="18" t="s">
        <v>75</v>
      </c>
      <c r="F98" s="8" t="str">
        <f t="shared" si="89"/>
        <v>Electricity</v>
      </c>
      <c r="G98" s="6" t="s">
        <v>76</v>
      </c>
      <c r="H98" s="9">
        <v>0</v>
      </c>
      <c r="I98" s="9">
        <v>0</v>
      </c>
      <c r="J98" s="9">
        <v>0</v>
      </c>
      <c r="K98" s="9">
        <v>0</v>
      </c>
      <c r="L98" s="9">
        <v>0</v>
      </c>
      <c r="M98" s="9">
        <v>0</v>
      </c>
      <c r="N98" s="9">
        <v>0</v>
      </c>
      <c r="O98" s="9">
        <v>0</v>
      </c>
      <c r="P98" s="9">
        <v>0</v>
      </c>
      <c r="Q98" s="9">
        <v>0</v>
      </c>
      <c r="R98" s="9">
        <v>0</v>
      </c>
      <c r="S98" s="9">
        <v>0</v>
      </c>
      <c r="T98" s="9">
        <v>0</v>
      </c>
      <c r="U98" s="9">
        <v>0</v>
      </c>
      <c r="V98" s="9">
        <v>0</v>
      </c>
    </row>
    <row r="99" spans="1:22">
      <c r="A99">
        <v>2</v>
      </c>
      <c r="B99" t="str">
        <f>VLOOKUP(F99,'TRA balance'!$BA$5:$BB$14,2,FALSE)</f>
        <v>TRAELC</v>
      </c>
      <c r="C99" s="6" t="str">
        <f t="shared" si="68"/>
        <v>TR</v>
      </c>
      <c r="D99" s="7" t="s">
        <v>16</v>
      </c>
      <c r="E99" s="18" t="s">
        <v>77</v>
      </c>
      <c r="F99" s="8" t="str">
        <f t="shared" si="89"/>
        <v>Electricity</v>
      </c>
      <c r="G99" s="6" t="s">
        <v>78</v>
      </c>
      <c r="H99" s="9">
        <v>0</v>
      </c>
      <c r="I99" s="9">
        <v>0</v>
      </c>
      <c r="J99" s="9">
        <v>0</v>
      </c>
      <c r="K99" s="9">
        <v>0.5</v>
      </c>
      <c r="L99" s="9">
        <v>0</v>
      </c>
      <c r="M99" s="9">
        <v>0</v>
      </c>
      <c r="N99" s="9">
        <v>0</v>
      </c>
      <c r="O99" s="9">
        <v>0</v>
      </c>
      <c r="P99" s="9">
        <v>0</v>
      </c>
      <c r="Q99" s="9">
        <v>0</v>
      </c>
      <c r="R99" s="9">
        <v>0</v>
      </c>
      <c r="S99" s="9">
        <v>0</v>
      </c>
      <c r="T99" s="9">
        <v>0</v>
      </c>
      <c r="U99" s="9">
        <v>0</v>
      </c>
      <c r="V99" s="9">
        <v>0</v>
      </c>
    </row>
    <row r="100" spans="1:22">
      <c r="A100">
        <v>1</v>
      </c>
      <c r="B100" t="str">
        <f>VLOOKUP(F100,'TRA balance'!$BA$5:$BB$14,2,FALSE)</f>
        <v>TRAELC</v>
      </c>
      <c r="C100" s="6" t="str">
        <f t="shared" si="68"/>
        <v/>
      </c>
      <c r="D100" s="7"/>
      <c r="E100" s="19" t="s">
        <v>79</v>
      </c>
      <c r="F100" s="8" t="str">
        <f t="shared" si="89"/>
        <v>Electricity</v>
      </c>
      <c r="G100" s="6"/>
      <c r="H100" s="22" t="str">
        <f>IF(SUM(H96:H99)=1,"-","&lt;&gt;1!!")</f>
        <v>-</v>
      </c>
      <c r="I100" s="22" t="str">
        <f t="shared" ref="I100:V100" si="90">IF(SUM(I96:I99)=1,"-","&lt;&gt;1!!")</f>
        <v>-</v>
      </c>
      <c r="J100" s="22" t="str">
        <f t="shared" si="90"/>
        <v>-</v>
      </c>
      <c r="K100" s="22" t="str">
        <f t="shared" si="90"/>
        <v>-</v>
      </c>
      <c r="L100" s="22" t="str">
        <f t="shared" si="90"/>
        <v>-</v>
      </c>
      <c r="M100" s="22" t="str">
        <f t="shared" si="90"/>
        <v>-</v>
      </c>
      <c r="N100" s="22" t="str">
        <f t="shared" si="90"/>
        <v>-</v>
      </c>
      <c r="O100" s="22" t="str">
        <f t="shared" si="90"/>
        <v>-</v>
      </c>
      <c r="P100" s="22" t="str">
        <f t="shared" si="90"/>
        <v>-</v>
      </c>
      <c r="Q100" s="22" t="str">
        <f t="shared" si="90"/>
        <v>-</v>
      </c>
      <c r="R100" s="22" t="str">
        <f t="shared" si="90"/>
        <v>-</v>
      </c>
      <c r="S100" s="22" t="str">
        <f t="shared" si="90"/>
        <v>-</v>
      </c>
      <c r="T100" s="22" t="str">
        <f t="shared" si="90"/>
        <v>-</v>
      </c>
      <c r="U100" s="22" t="str">
        <f t="shared" si="90"/>
        <v>-</v>
      </c>
      <c r="V100" s="22" t="str">
        <f t="shared" si="90"/>
        <v>-</v>
      </c>
    </row>
    <row r="101" spans="1:22">
      <c r="A101">
        <v>1</v>
      </c>
      <c r="B101" t="str">
        <f>VLOOKUP(F101,'TRA balance'!$BA$5:$BB$14,2,FALSE)</f>
        <v>TRAELC</v>
      </c>
      <c r="C101" s="6" t="str">
        <f t="shared" si="68"/>
        <v>TT</v>
      </c>
      <c r="D101" s="7" t="s">
        <v>17</v>
      </c>
      <c r="E101" s="7" t="s">
        <v>53</v>
      </c>
      <c r="F101" s="8" t="str">
        <f t="shared" si="89"/>
        <v>Electricity</v>
      </c>
      <c r="G101" s="6" t="s">
        <v>55</v>
      </c>
      <c r="H101" s="9">
        <v>0.3</v>
      </c>
      <c r="I101" s="9">
        <v>0.3</v>
      </c>
      <c r="J101" s="9">
        <v>0</v>
      </c>
      <c r="K101" s="9">
        <v>0.2</v>
      </c>
      <c r="L101" s="9">
        <v>0.05</v>
      </c>
      <c r="M101" s="9">
        <v>0.1</v>
      </c>
      <c r="N101" s="9">
        <v>0.2</v>
      </c>
      <c r="O101" s="9">
        <v>0.3</v>
      </c>
      <c r="P101" s="9">
        <v>0</v>
      </c>
      <c r="Q101" s="9">
        <v>0.1</v>
      </c>
      <c r="R101" s="9">
        <v>0.05</v>
      </c>
      <c r="S101" s="9">
        <v>0.05</v>
      </c>
      <c r="T101" s="9">
        <v>0.2</v>
      </c>
      <c r="U101" s="9">
        <v>0</v>
      </c>
      <c r="V101" s="9">
        <v>0</v>
      </c>
    </row>
    <row r="102" spans="1:22">
      <c r="A102">
        <v>1</v>
      </c>
      <c r="B102" t="str">
        <f>VLOOKUP(F102,'TRA balance'!$BA$5:$BB$14,2,FALSE)</f>
        <v>TRAELC</v>
      </c>
      <c r="C102" s="6" t="str">
        <f t="shared" si="68"/>
        <v>TT</v>
      </c>
      <c r="D102" s="7" t="s">
        <v>17</v>
      </c>
      <c r="E102" s="7" t="s">
        <v>56</v>
      </c>
      <c r="F102" s="8" t="str">
        <f t="shared" si="89"/>
        <v>Electricity</v>
      </c>
      <c r="G102" s="6" t="s">
        <v>57</v>
      </c>
      <c r="H102" s="9">
        <v>0.7</v>
      </c>
      <c r="I102" s="9">
        <v>0.7</v>
      </c>
      <c r="J102" s="9">
        <v>1</v>
      </c>
      <c r="K102" s="9">
        <v>0.8</v>
      </c>
      <c r="L102" s="9">
        <v>0.95</v>
      </c>
      <c r="M102" s="9">
        <v>0.9</v>
      </c>
      <c r="N102" s="9">
        <v>0.8</v>
      </c>
      <c r="O102" s="9">
        <v>0.7</v>
      </c>
      <c r="P102" s="9">
        <v>1</v>
      </c>
      <c r="Q102" s="9">
        <v>0.9</v>
      </c>
      <c r="R102" s="9">
        <v>0.95</v>
      </c>
      <c r="S102" s="9">
        <v>0.95</v>
      </c>
      <c r="T102" s="9">
        <v>0.8</v>
      </c>
      <c r="U102" s="9">
        <v>1</v>
      </c>
      <c r="V102" s="9">
        <v>1</v>
      </c>
    </row>
    <row r="103" spans="1:22">
      <c r="A103">
        <v>1</v>
      </c>
      <c r="B103" t="str">
        <f>VLOOKUP(F103,'TRA balance'!$BA$5:$BB$14,2,FALSE)</f>
        <v>TRAELC</v>
      </c>
      <c r="C103" s="11"/>
      <c r="D103" s="11"/>
      <c r="E103" s="12" t="s">
        <v>58</v>
      </c>
      <c r="F103" s="13" t="str">
        <f t="shared" si="89"/>
        <v>Electricity</v>
      </c>
      <c r="G103" s="11"/>
      <c r="H103" s="12" t="str">
        <f t="shared" ref="H103:V103" si="91">IF(SUM(H101:H102)=1,"-","&lt;&gt;1!!")</f>
        <v>-</v>
      </c>
      <c r="I103" s="12" t="str">
        <f t="shared" si="91"/>
        <v>-</v>
      </c>
      <c r="J103" s="12" t="str">
        <f t="shared" si="91"/>
        <v>-</v>
      </c>
      <c r="K103" s="12" t="str">
        <f t="shared" si="91"/>
        <v>-</v>
      </c>
      <c r="L103" s="12" t="str">
        <f t="shared" si="91"/>
        <v>-</v>
      </c>
      <c r="M103" s="12" t="str">
        <f t="shared" si="91"/>
        <v>-</v>
      </c>
      <c r="N103" s="12" t="str">
        <f t="shared" si="91"/>
        <v>-</v>
      </c>
      <c r="O103" s="12" t="str">
        <f t="shared" si="91"/>
        <v>-</v>
      </c>
      <c r="P103" s="12" t="str">
        <f t="shared" si="91"/>
        <v>-</v>
      </c>
      <c r="Q103" s="12" t="str">
        <f t="shared" si="91"/>
        <v>-</v>
      </c>
      <c r="R103" s="12" t="str">
        <f t="shared" si="91"/>
        <v>-</v>
      </c>
      <c r="S103" s="12" t="str">
        <f t="shared" si="91"/>
        <v>-</v>
      </c>
      <c r="T103" s="12" t="str">
        <f t="shared" si="91"/>
        <v>-</v>
      </c>
      <c r="U103" s="12" t="str">
        <f t="shared" si="91"/>
        <v>-</v>
      </c>
      <c r="V103" s="12" t="str">
        <f t="shared" si="91"/>
        <v>-</v>
      </c>
    </row>
  </sheetData>
  <pageMargins left="0.7" right="0.7" top="0.75" bottom="0.75" header="0.3" footer="0.3"/>
  <pageSetup paperSize="9" orientation="portrait" horizontalDpi="4294967293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8072C-E7DB-4908-9C50-139FC3414B0F}">
  <dimension ref="A1:AX771"/>
  <sheetViews>
    <sheetView zoomScaleNormal="100" workbookViewId="0">
      <selection activeCell="B45" sqref="B45"/>
    </sheetView>
  </sheetViews>
  <sheetFormatPr defaultRowHeight="14.25"/>
  <cols>
    <col min="2" max="2" width="4.73046875" bestFit="1" customWidth="1"/>
    <col min="3" max="3" width="12" bestFit="1" customWidth="1"/>
    <col min="6" max="6" width="13.1328125" bestFit="1" customWidth="1"/>
    <col min="7" max="7" width="16.265625" bestFit="1" customWidth="1"/>
    <col min="8" max="8" width="12.265625" bestFit="1" customWidth="1"/>
    <col min="9" max="9" width="8.86328125" bestFit="1" customWidth="1"/>
    <col min="10" max="10" width="7.265625" bestFit="1" customWidth="1"/>
    <col min="11" max="11" width="6.73046875" bestFit="1" customWidth="1"/>
    <col min="12" max="12" width="8.86328125" bestFit="1" customWidth="1"/>
    <col min="13" max="13" width="5.86328125" bestFit="1" customWidth="1"/>
    <col min="14" max="14" width="6" bestFit="1" customWidth="1"/>
    <col min="15" max="15" width="10" bestFit="1" customWidth="1"/>
    <col min="16" max="16" width="11.86328125" bestFit="1" customWidth="1"/>
    <col min="17" max="17" width="6.86328125" bestFit="1" customWidth="1"/>
    <col min="18" max="18" width="9.1328125" bestFit="1" customWidth="1"/>
    <col min="19" max="19" width="10.73046875" bestFit="1" customWidth="1"/>
    <col min="20" max="20" width="11.3984375" bestFit="1" customWidth="1"/>
    <col min="21" max="21" width="7.3984375" bestFit="1" customWidth="1"/>
    <col min="22" max="22" width="5.3984375" bestFit="1" customWidth="1"/>
    <col min="23" max="23" width="7.265625" bestFit="1" customWidth="1"/>
    <col min="24" max="24" width="8.265625" bestFit="1" customWidth="1"/>
    <col min="25" max="25" width="6" bestFit="1" customWidth="1"/>
    <col min="26" max="26" width="6.59765625" bestFit="1" customWidth="1"/>
    <col min="27" max="27" width="8.1328125" bestFit="1" customWidth="1"/>
    <col min="28" max="28" width="9.1328125" bestFit="1" customWidth="1"/>
    <col min="29" max="29" width="7.86328125" bestFit="1" customWidth="1"/>
    <col min="30" max="30" width="7.1328125" bestFit="1" customWidth="1"/>
    <col min="31" max="31" width="5.59765625" bestFit="1" customWidth="1"/>
    <col min="32" max="32" width="6.59765625" bestFit="1" customWidth="1"/>
    <col min="33" max="33" width="11.59765625" bestFit="1" customWidth="1"/>
    <col min="34" max="34" width="11.265625" bestFit="1" customWidth="1"/>
    <col min="35" max="35" width="8.86328125" bestFit="1" customWidth="1"/>
    <col min="36" max="36" width="11" bestFit="1" customWidth="1"/>
    <col min="37" max="37" width="11.3984375" bestFit="1" customWidth="1"/>
    <col min="38" max="38" width="7" bestFit="1" customWidth="1"/>
    <col min="39" max="39" width="4.59765625" bestFit="1" customWidth="1"/>
    <col min="40" max="40" width="8" bestFit="1" customWidth="1"/>
    <col min="41" max="41" width="12.3984375" bestFit="1" customWidth="1"/>
    <col min="42" max="42" width="4.86328125" bestFit="1" customWidth="1"/>
    <col min="43" max="43" width="5.1328125" bestFit="1" customWidth="1"/>
    <col min="44" max="44" width="5.86328125" bestFit="1" customWidth="1"/>
    <col min="45" max="46" width="3.86328125" bestFit="1" customWidth="1"/>
    <col min="47" max="47" width="4" bestFit="1" customWidth="1"/>
    <col min="48" max="48" width="4.265625" bestFit="1" customWidth="1"/>
    <col min="49" max="50" width="4.1328125" bestFit="1" customWidth="1"/>
  </cols>
  <sheetData>
    <row r="1" spans="1:41">
      <c r="A1" t="s">
        <v>316</v>
      </c>
      <c r="B1" t="s">
        <v>324</v>
      </c>
      <c r="C1" t="s">
        <v>317</v>
      </c>
      <c r="D1" t="s">
        <v>318</v>
      </c>
      <c r="F1" s="43" t="s">
        <v>322</v>
      </c>
      <c r="G1" s="43" t="s">
        <v>323</v>
      </c>
    </row>
    <row r="2" spans="1:41">
      <c r="A2" t="s">
        <v>319</v>
      </c>
      <c r="B2">
        <v>2005</v>
      </c>
      <c r="C2" t="s">
        <v>435</v>
      </c>
      <c r="D2">
        <v>7.4080000000000004</v>
      </c>
      <c r="F2" s="43" t="s">
        <v>321</v>
      </c>
      <c r="G2" t="s">
        <v>435</v>
      </c>
      <c r="H2" t="s">
        <v>436</v>
      </c>
      <c r="I2" t="s">
        <v>507</v>
      </c>
      <c r="J2" t="s">
        <v>508</v>
      </c>
      <c r="K2" t="s">
        <v>423</v>
      </c>
      <c r="L2" t="s">
        <v>439</v>
      </c>
      <c r="M2" t="s">
        <v>509</v>
      </c>
      <c r="N2" t="s">
        <v>510</v>
      </c>
      <c r="O2" t="s">
        <v>441</v>
      </c>
      <c r="P2" t="s">
        <v>442</v>
      </c>
      <c r="Q2" t="s">
        <v>511</v>
      </c>
      <c r="R2" t="s">
        <v>512</v>
      </c>
      <c r="S2" t="s">
        <v>445</v>
      </c>
      <c r="T2" t="s">
        <v>446</v>
      </c>
      <c r="U2" t="s">
        <v>513</v>
      </c>
      <c r="V2" t="s">
        <v>514</v>
      </c>
      <c r="W2" t="s">
        <v>515</v>
      </c>
      <c r="X2" t="s">
        <v>449</v>
      </c>
      <c r="Y2" t="s">
        <v>516</v>
      </c>
      <c r="Z2" t="s">
        <v>362</v>
      </c>
      <c r="AA2" t="s">
        <v>451</v>
      </c>
      <c r="AB2" t="s">
        <v>411</v>
      </c>
      <c r="AC2" t="s">
        <v>517</v>
      </c>
      <c r="AD2" t="s">
        <v>518</v>
      </c>
      <c r="AE2" t="s">
        <v>414</v>
      </c>
      <c r="AF2" t="s">
        <v>315</v>
      </c>
      <c r="AG2" t="s">
        <v>519</v>
      </c>
      <c r="AH2" t="s">
        <v>520</v>
      </c>
      <c r="AI2" t="s">
        <v>456</v>
      </c>
      <c r="AJ2" t="s">
        <v>457</v>
      </c>
      <c r="AK2" t="s">
        <v>521</v>
      </c>
      <c r="AL2" t="s">
        <v>522</v>
      </c>
      <c r="AM2" t="s">
        <v>523</v>
      </c>
      <c r="AN2" t="s">
        <v>524</v>
      </c>
      <c r="AO2" t="s">
        <v>459</v>
      </c>
    </row>
    <row r="3" spans="1:41">
      <c r="A3" t="s">
        <v>319</v>
      </c>
      <c r="B3">
        <v>2006</v>
      </c>
      <c r="C3" t="s">
        <v>435</v>
      </c>
      <c r="D3">
        <v>8.0644279999999995</v>
      </c>
      <c r="F3" s="44" t="s">
        <v>319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</row>
    <row r="4" spans="1:41">
      <c r="A4" t="s">
        <v>319</v>
      </c>
      <c r="B4">
        <v>2007</v>
      </c>
      <c r="C4" t="s">
        <v>435</v>
      </c>
      <c r="D4">
        <v>8.4715699999999998</v>
      </c>
      <c r="F4" s="45">
        <v>2005</v>
      </c>
      <c r="G4" s="40">
        <v>7.4080000000000004</v>
      </c>
      <c r="H4" s="40">
        <v>5.2352020000000001</v>
      </c>
      <c r="I4" s="40">
        <v>11.010999999999999</v>
      </c>
      <c r="J4" s="40">
        <v>4.157</v>
      </c>
      <c r="K4" s="40">
        <v>2.6915230000000001</v>
      </c>
      <c r="L4" s="40">
        <v>12.26</v>
      </c>
      <c r="M4" s="40">
        <v>18.925913524999999</v>
      </c>
      <c r="N4" s="40">
        <v>21.324999999999999</v>
      </c>
      <c r="O4" s="40">
        <v>2.3497810000000001</v>
      </c>
      <c r="P4" s="40">
        <v>5.2629999999999999</v>
      </c>
      <c r="Q4" s="40">
        <v>30.1</v>
      </c>
      <c r="R4" s="40">
        <v>46.09</v>
      </c>
      <c r="S4" s="40">
        <v>4.6581289999999997</v>
      </c>
      <c r="T4" s="40">
        <v>8.7910000000000004</v>
      </c>
      <c r="U4" s="40">
        <v>0.187</v>
      </c>
      <c r="V4" s="40">
        <v>7.6260000000000003</v>
      </c>
      <c r="W4" s="40">
        <v>1.6621570000000001</v>
      </c>
      <c r="X4" s="40">
        <v>34.872999999999998</v>
      </c>
      <c r="Y4" s="40">
        <v>57.091000000000001</v>
      </c>
      <c r="Z4" s="40">
        <v>18.345078000000001</v>
      </c>
      <c r="AA4" s="40">
        <v>14.902664</v>
      </c>
      <c r="AB4" s="40">
        <v>165.333</v>
      </c>
      <c r="AC4" s="40">
        <v>2.0289999999999999</v>
      </c>
      <c r="AD4" s="40">
        <v>12.339</v>
      </c>
      <c r="AE4" s="40">
        <v>43.529525999999997</v>
      </c>
      <c r="AF4" s="40">
        <v>27.393999999999998</v>
      </c>
      <c r="AG4" s="40">
        <v>2.16</v>
      </c>
      <c r="AH4" s="40">
        <v>4.5750000000000002</v>
      </c>
      <c r="AI4" s="40">
        <v>24.45</v>
      </c>
      <c r="AJ4" s="40">
        <v>8.5394769999999998</v>
      </c>
      <c r="AK4" s="40">
        <v>3.9060000000000001</v>
      </c>
      <c r="AL4" s="40">
        <v>5.7729999999999997</v>
      </c>
      <c r="AM4" s="40">
        <v>30.477058</v>
      </c>
      <c r="AN4" s="40">
        <v>5.8319939999999999</v>
      </c>
      <c r="AO4" s="40">
        <v>2.500543</v>
      </c>
    </row>
    <row r="5" spans="1:41">
      <c r="A5" t="s">
        <v>319</v>
      </c>
      <c r="B5">
        <v>2008</v>
      </c>
      <c r="C5" t="s">
        <v>435</v>
      </c>
      <c r="D5">
        <v>8.8680289999999999</v>
      </c>
      <c r="F5" s="45">
        <v>2006</v>
      </c>
      <c r="G5" s="40">
        <v>8.0644279999999995</v>
      </c>
      <c r="H5" s="40">
        <v>6.6282420000000002</v>
      </c>
      <c r="I5" s="40">
        <v>11.273</v>
      </c>
      <c r="J5" s="40">
        <v>4.2050000000000001</v>
      </c>
      <c r="K5" s="40">
        <v>2.9682490000000001</v>
      </c>
      <c r="L5" s="40">
        <v>12.474</v>
      </c>
      <c r="M5" s="40">
        <v>19.892111395000001</v>
      </c>
      <c r="N5" s="40">
        <v>26.196000000000002</v>
      </c>
      <c r="O5" s="40">
        <v>2.421567</v>
      </c>
      <c r="P5" s="40">
        <v>5.4429999999999996</v>
      </c>
      <c r="Q5" s="40">
        <v>30.4</v>
      </c>
      <c r="R5" s="40">
        <v>46.57</v>
      </c>
      <c r="S5" s="40">
        <v>4.9160159999999999</v>
      </c>
      <c r="T5" s="40">
        <v>7.9429999999999996</v>
      </c>
      <c r="U5" s="40">
        <v>0.19700000000000001</v>
      </c>
      <c r="V5" s="40">
        <v>8.5719999999999992</v>
      </c>
      <c r="W5" s="40">
        <v>1.778861</v>
      </c>
      <c r="X5" s="40">
        <v>35.509</v>
      </c>
      <c r="Y5" s="40">
        <v>57.521000000000001</v>
      </c>
      <c r="Z5" s="40">
        <v>19.311972999999998</v>
      </c>
      <c r="AA5" s="40">
        <v>15.721219</v>
      </c>
      <c r="AB5" s="40">
        <v>170.19800000000001</v>
      </c>
      <c r="AC5" s="40">
        <v>2.085</v>
      </c>
      <c r="AD5" s="40">
        <v>13.384</v>
      </c>
      <c r="AE5" s="40">
        <v>45.956477</v>
      </c>
      <c r="AF5" s="40">
        <v>28.821000000000002</v>
      </c>
      <c r="AG5" s="40">
        <v>2.29</v>
      </c>
      <c r="AH5" s="40">
        <v>4.8899999999999997</v>
      </c>
      <c r="AI5" s="40">
        <v>25.343</v>
      </c>
      <c r="AJ5" s="40">
        <v>8.7172870000000007</v>
      </c>
      <c r="AK5" s="40">
        <v>3.9460000000000002</v>
      </c>
      <c r="AL5" s="40">
        <v>6.141</v>
      </c>
      <c r="AM5" s="40">
        <v>30.817036000000002</v>
      </c>
      <c r="AN5" s="40">
        <v>5.923311</v>
      </c>
      <c r="AO5" s="40">
        <v>2.5730599999999999</v>
      </c>
    </row>
    <row r="6" spans="1:41">
      <c r="A6" t="s">
        <v>319</v>
      </c>
      <c r="B6">
        <v>2009</v>
      </c>
      <c r="C6" t="s">
        <v>435</v>
      </c>
      <c r="D6">
        <v>9.4617059999999995</v>
      </c>
      <c r="F6" s="45">
        <v>2007</v>
      </c>
      <c r="G6" s="40">
        <v>8.4715699999999998</v>
      </c>
      <c r="H6" s="40">
        <v>7.0369700000000002</v>
      </c>
      <c r="I6" s="40">
        <v>11.519</v>
      </c>
      <c r="J6" s="40">
        <v>4.2460000000000004</v>
      </c>
      <c r="K6" s="40">
        <v>3.016572</v>
      </c>
      <c r="L6" s="40">
        <v>12.72</v>
      </c>
      <c r="M6" s="40">
        <v>21.296756030000001</v>
      </c>
      <c r="N6" s="40">
        <v>31.96</v>
      </c>
      <c r="O6" s="40">
        <v>2.5111270000000001</v>
      </c>
      <c r="P6" s="40">
        <v>5.7140000000000004</v>
      </c>
      <c r="Q6" s="40">
        <v>30.7</v>
      </c>
      <c r="R6" s="40">
        <v>41.183999999999997</v>
      </c>
      <c r="S6" s="40">
        <v>5.20953</v>
      </c>
      <c r="T6" s="40">
        <v>8.6479999999999997</v>
      </c>
      <c r="U6" s="40">
        <v>0.20799999999999999</v>
      </c>
      <c r="V6" s="40">
        <v>9.4440000000000008</v>
      </c>
      <c r="W6" s="40">
        <v>1.8829009999999999</v>
      </c>
      <c r="X6" s="40">
        <v>35.898000000000003</v>
      </c>
      <c r="Y6" s="40">
        <v>57.624000000000002</v>
      </c>
      <c r="Z6" s="40">
        <v>20.724599999999999</v>
      </c>
      <c r="AA6" s="40">
        <v>16.676894999999998</v>
      </c>
      <c r="AB6" s="40">
        <v>172.11799999999999</v>
      </c>
      <c r="AC6" s="40">
        <v>2.1549999999999998</v>
      </c>
      <c r="AD6" s="40">
        <v>14.589</v>
      </c>
      <c r="AE6" s="40">
        <v>51.461047000000001</v>
      </c>
      <c r="AF6" s="40">
        <v>31.585000000000001</v>
      </c>
      <c r="AG6" s="40">
        <v>2.4500000000000002</v>
      </c>
      <c r="AH6" s="40">
        <v>5.1609999999999996</v>
      </c>
      <c r="AI6" s="40">
        <v>26.138999999999999</v>
      </c>
      <c r="AJ6" s="40">
        <v>8.8138799999999993</v>
      </c>
      <c r="AK6" s="40">
        <v>4.0025839999999997</v>
      </c>
      <c r="AL6" s="40">
        <v>6.4720000000000004</v>
      </c>
      <c r="AM6" s="40">
        <v>31.105988</v>
      </c>
      <c r="AN6" s="40">
        <v>6.2789440000000001</v>
      </c>
      <c r="AO6" s="40">
        <v>2.6019220000000001</v>
      </c>
    </row>
    <row r="7" spans="1:41">
      <c r="A7" t="s">
        <v>319</v>
      </c>
      <c r="B7">
        <v>2010</v>
      </c>
      <c r="C7" t="s">
        <v>435</v>
      </c>
      <c r="D7">
        <v>10.341404000000001</v>
      </c>
      <c r="F7" s="45">
        <v>2008</v>
      </c>
      <c r="G7" s="40">
        <v>8.8680289999999999</v>
      </c>
      <c r="H7" s="40">
        <v>7.5913899999999996</v>
      </c>
      <c r="I7" s="40">
        <v>11.804</v>
      </c>
      <c r="J7" s="40">
        <v>4.2850000000000001</v>
      </c>
      <c r="K7" s="40">
        <v>3.1556929999999999</v>
      </c>
      <c r="L7" s="40">
        <v>12.958</v>
      </c>
      <c r="M7" s="40">
        <v>22.91713966</v>
      </c>
      <c r="N7" s="40">
        <v>38.389000000000003</v>
      </c>
      <c r="O7" s="40">
        <v>2.5868359999999999</v>
      </c>
      <c r="P7" s="40">
        <v>5.968</v>
      </c>
      <c r="Q7" s="40">
        <v>30.85</v>
      </c>
      <c r="R7" s="40">
        <v>41.320999999999998</v>
      </c>
      <c r="S7" s="40">
        <v>5.4679440000000001</v>
      </c>
      <c r="T7" s="40">
        <v>9.4484270000000006</v>
      </c>
      <c r="U7" s="40">
        <v>0.21</v>
      </c>
      <c r="V7" s="40">
        <v>10.606</v>
      </c>
      <c r="W7" s="40">
        <v>1.9242809999999999</v>
      </c>
      <c r="X7" s="40">
        <v>36.326999999999998</v>
      </c>
      <c r="Y7" s="40">
        <v>57.865000000000002</v>
      </c>
      <c r="Z7" s="40">
        <v>22.407678000000001</v>
      </c>
      <c r="AA7" s="40">
        <v>17.986143666666699</v>
      </c>
      <c r="AB7" s="40">
        <v>174.916</v>
      </c>
      <c r="AC7" s="40">
        <v>2.198</v>
      </c>
      <c r="AD7" s="40">
        <v>16.079999999999998</v>
      </c>
      <c r="AE7" s="40">
        <v>52.066510000000001</v>
      </c>
      <c r="AF7" s="40">
        <v>34.314</v>
      </c>
      <c r="AG7" s="40">
        <v>2.62</v>
      </c>
      <c r="AH7" s="40">
        <v>5.2759999999999998</v>
      </c>
      <c r="AI7" s="40">
        <v>26.553000000000001</v>
      </c>
      <c r="AJ7" s="40">
        <v>8.8337219999999999</v>
      </c>
      <c r="AK7" s="40">
        <v>4.0312049999999999</v>
      </c>
      <c r="AL7" s="40">
        <v>6.7969999999999997</v>
      </c>
      <c r="AM7" s="40">
        <v>31.252476000000001</v>
      </c>
      <c r="AN7" s="40">
        <v>6.760351</v>
      </c>
      <c r="AO7" s="40">
        <v>2.7011219999999998</v>
      </c>
    </row>
    <row r="8" spans="1:41">
      <c r="A8" t="s">
        <v>319</v>
      </c>
      <c r="B8">
        <v>2011</v>
      </c>
      <c r="C8" t="s">
        <v>435</v>
      </c>
      <c r="D8">
        <v>10.914955000000001</v>
      </c>
      <c r="F8" s="45">
        <v>2009</v>
      </c>
      <c r="G8" s="40">
        <v>9.4617059999999995</v>
      </c>
      <c r="H8" s="40">
        <v>7.8151419999999998</v>
      </c>
      <c r="I8" s="40">
        <v>12.023</v>
      </c>
      <c r="J8" s="40">
        <v>4.3600000000000003</v>
      </c>
      <c r="K8" s="40">
        <v>3.1452939999999998</v>
      </c>
      <c r="L8" s="40">
        <v>13.114000000000001</v>
      </c>
      <c r="M8" s="40">
        <v>24.814742644999999</v>
      </c>
      <c r="N8" s="40">
        <v>48.451000000000001</v>
      </c>
      <c r="O8" s="40">
        <v>2.5989270000000002</v>
      </c>
      <c r="P8" s="40">
        <v>6.024</v>
      </c>
      <c r="Q8" s="40">
        <v>31.05</v>
      </c>
      <c r="R8" s="40">
        <v>41.738</v>
      </c>
      <c r="S8" s="40">
        <v>5.5929599999999997</v>
      </c>
      <c r="T8" s="40">
        <v>9.7607189999999999</v>
      </c>
      <c r="U8" s="40">
        <v>0.20499999999999999</v>
      </c>
      <c r="V8" s="40">
        <v>11.744</v>
      </c>
      <c r="W8" s="40">
        <v>1.9024289999999999</v>
      </c>
      <c r="X8" s="40">
        <v>36.598999999999997</v>
      </c>
      <c r="Y8" s="40">
        <v>58.02</v>
      </c>
      <c r="Z8" s="40">
        <v>23.186859999999999</v>
      </c>
      <c r="AA8" s="40">
        <v>18.880660333333299</v>
      </c>
      <c r="AB8" s="40">
        <v>172.89599999999999</v>
      </c>
      <c r="AC8" s="40">
        <v>2.2429999999999999</v>
      </c>
      <c r="AD8" s="40">
        <v>16.495000000000001</v>
      </c>
      <c r="AE8" s="40">
        <v>54.629550000000002</v>
      </c>
      <c r="AF8" s="40">
        <v>35.526620000000001</v>
      </c>
      <c r="AG8" s="40">
        <v>2.83</v>
      </c>
      <c r="AH8" s="40">
        <v>5.4109999999999996</v>
      </c>
      <c r="AI8" s="40">
        <v>26.44</v>
      </c>
      <c r="AJ8" s="40">
        <v>8.8766040000000004</v>
      </c>
      <c r="AK8" s="40">
        <v>4.0518320000000001</v>
      </c>
      <c r="AL8" s="40">
        <v>7.0940000000000003</v>
      </c>
      <c r="AM8" s="40">
        <v>31.035791</v>
      </c>
      <c r="AN8" s="40">
        <v>6.9053649999999998</v>
      </c>
      <c r="AO8" s="40">
        <v>2.9079090000000001</v>
      </c>
    </row>
    <row r="9" spans="1:41">
      <c r="A9" t="s">
        <v>319</v>
      </c>
      <c r="B9">
        <v>2012</v>
      </c>
      <c r="C9" t="s">
        <v>435</v>
      </c>
      <c r="D9">
        <v>11.497769999999999</v>
      </c>
      <c r="F9" s="45">
        <v>2010</v>
      </c>
      <c r="G9" s="40">
        <v>10.341404000000001</v>
      </c>
      <c r="H9" s="40">
        <v>8.1680989999999998</v>
      </c>
      <c r="I9" s="40">
        <v>12.269304999999999</v>
      </c>
      <c r="J9" s="40">
        <v>4.4409999999999998</v>
      </c>
      <c r="K9" s="40">
        <v>2.8812190000000002</v>
      </c>
      <c r="L9" s="40">
        <v>13.352</v>
      </c>
      <c r="M9" s="40">
        <v>26.887691905000001</v>
      </c>
      <c r="N9" s="40">
        <v>61.634</v>
      </c>
      <c r="O9" s="40">
        <v>2.5839319999999999</v>
      </c>
      <c r="P9" s="40">
        <v>6.165</v>
      </c>
      <c r="Q9" s="40">
        <v>31.3</v>
      </c>
      <c r="R9" s="40">
        <v>42.302</v>
      </c>
      <c r="S9" s="40">
        <v>5.6798729999999997</v>
      </c>
      <c r="T9" s="40">
        <v>9.9060629999999996</v>
      </c>
      <c r="U9" s="40">
        <v>0.20499999999999999</v>
      </c>
      <c r="V9" s="40">
        <v>13.268000000000001</v>
      </c>
      <c r="W9" s="40">
        <v>1.8727149999999999</v>
      </c>
      <c r="X9" s="40">
        <v>36.984999999999999</v>
      </c>
      <c r="Y9" s="40">
        <v>58.347000000000001</v>
      </c>
      <c r="Z9" s="40">
        <v>24.653383999999999</v>
      </c>
      <c r="AA9" s="40">
        <v>19.947797000000001</v>
      </c>
      <c r="AB9" s="40">
        <v>170.47399999999999</v>
      </c>
      <c r="AC9" s="40">
        <v>2.3050000000000002</v>
      </c>
      <c r="AD9" s="40">
        <v>17.239999999999998</v>
      </c>
      <c r="AE9" s="40">
        <v>58.298105999999997</v>
      </c>
      <c r="AF9" s="40">
        <v>36.955415000000002</v>
      </c>
      <c r="AG9" s="40">
        <v>3.11</v>
      </c>
      <c r="AH9" s="40">
        <v>5.3190689999999998</v>
      </c>
      <c r="AI9" s="40">
        <v>26.626999999999999</v>
      </c>
      <c r="AJ9" s="40">
        <v>8.9902829999999998</v>
      </c>
      <c r="AK9" s="40">
        <v>4.1196840000000003</v>
      </c>
      <c r="AL9" s="40">
        <v>7.5449999999999999</v>
      </c>
      <c r="AM9" s="40">
        <v>31.258196999999999</v>
      </c>
      <c r="AN9" s="40">
        <v>7.1742900000000001</v>
      </c>
      <c r="AO9" s="40">
        <v>2.8952969999999998</v>
      </c>
    </row>
    <row r="10" spans="1:41">
      <c r="A10" t="s">
        <v>319</v>
      </c>
      <c r="B10">
        <v>2013</v>
      </c>
      <c r="C10" t="s">
        <v>435</v>
      </c>
      <c r="D10">
        <v>12.123381</v>
      </c>
      <c r="F10" s="45">
        <v>2011</v>
      </c>
      <c r="G10" s="40">
        <v>10.914955000000001</v>
      </c>
      <c r="H10" s="40">
        <v>8.5718429999999994</v>
      </c>
      <c r="I10" s="40">
        <v>12.474</v>
      </c>
      <c r="J10" s="40">
        <v>4.5129999999999999</v>
      </c>
      <c r="K10" s="40">
        <v>2.899613</v>
      </c>
      <c r="L10" s="40">
        <v>13.564</v>
      </c>
      <c r="M10" s="40">
        <v>28.945932710000001</v>
      </c>
      <c r="N10" s="40">
        <v>74.849999999999994</v>
      </c>
      <c r="O10" s="40">
        <v>2.5921090000000002</v>
      </c>
      <c r="P10" s="40">
        <v>6.3319999999999999</v>
      </c>
      <c r="Q10" s="40">
        <v>31.55</v>
      </c>
      <c r="R10" s="40">
        <v>42.927999999999997</v>
      </c>
      <c r="S10" s="40">
        <v>5.6735910000000001</v>
      </c>
      <c r="T10" s="40">
        <v>9.9968079999999997</v>
      </c>
      <c r="U10" s="40">
        <v>0.20611199999999999</v>
      </c>
      <c r="V10" s="40">
        <v>15.026999999999999</v>
      </c>
      <c r="W10" s="40">
        <v>1.88781</v>
      </c>
      <c r="X10" s="40">
        <v>37.353000000000002</v>
      </c>
      <c r="Y10" s="40">
        <v>58.67</v>
      </c>
      <c r="Z10" s="40">
        <v>26.271432000000001</v>
      </c>
      <c r="AA10" s="40">
        <v>22.121991000000001</v>
      </c>
      <c r="AB10" s="40">
        <v>170.559</v>
      </c>
      <c r="AC10" s="40">
        <v>2.37</v>
      </c>
      <c r="AD10" s="40">
        <v>17.872</v>
      </c>
      <c r="AE10" s="40">
        <v>62.126663000000001</v>
      </c>
      <c r="AF10" s="40">
        <v>39.165548000000001</v>
      </c>
      <c r="AG10" s="40">
        <v>3.41</v>
      </c>
      <c r="AH10" s="40">
        <v>5.5069220000000003</v>
      </c>
      <c r="AI10" s="40">
        <v>26.798999999999999</v>
      </c>
      <c r="AJ10" s="40">
        <v>9.1364959999999993</v>
      </c>
      <c r="AK10" s="40">
        <v>4.2096720000000003</v>
      </c>
      <c r="AL10" s="40">
        <v>8.1129999999999995</v>
      </c>
      <c r="AM10" s="40">
        <v>31.362715999999999</v>
      </c>
      <c r="AN10" s="40">
        <v>7.3279730000000001</v>
      </c>
      <c r="AO10" s="40">
        <v>3.0268220000000001</v>
      </c>
    </row>
    <row r="11" spans="1:41">
      <c r="A11" t="s">
        <v>319</v>
      </c>
      <c r="B11">
        <v>2014</v>
      </c>
      <c r="C11" t="s">
        <v>435</v>
      </c>
      <c r="D11">
        <v>12.821766</v>
      </c>
      <c r="F11" s="45">
        <v>2012</v>
      </c>
      <c r="G11" s="40">
        <v>11.497769999999999</v>
      </c>
      <c r="H11" s="40">
        <v>9.0576910000000002</v>
      </c>
      <c r="I11" s="40">
        <v>12.714235</v>
      </c>
      <c r="J11" s="40">
        <v>4.5839999999999996</v>
      </c>
      <c r="K11" s="40">
        <v>2.973814</v>
      </c>
      <c r="L11" s="40">
        <v>13.664463</v>
      </c>
      <c r="M11" s="40">
        <v>31.122621939999998</v>
      </c>
      <c r="N11" s="40">
        <v>87.376000000000005</v>
      </c>
      <c r="O11" s="40">
        <v>2.5191870000000001</v>
      </c>
      <c r="P11" s="40">
        <v>6.5250000000000004</v>
      </c>
      <c r="Q11" s="40">
        <v>31.6</v>
      </c>
      <c r="R11" s="40">
        <v>43.430999999999997</v>
      </c>
      <c r="S11" s="40">
        <v>5.642557</v>
      </c>
      <c r="T11" s="40">
        <v>10.279842</v>
      </c>
      <c r="U11" s="40">
        <v>0.21007000000000001</v>
      </c>
      <c r="V11" s="40">
        <v>16.896000000000001</v>
      </c>
      <c r="W11" s="40">
        <v>1.8825499999999999</v>
      </c>
      <c r="X11" s="40">
        <v>37.327612000000002</v>
      </c>
      <c r="Y11" s="40">
        <v>59.420999999999999</v>
      </c>
      <c r="Z11" s="40">
        <v>27.725079999999998</v>
      </c>
      <c r="AA11" s="40">
        <v>24.065127</v>
      </c>
      <c r="AB11" s="40">
        <v>165.123628</v>
      </c>
      <c r="AC11" s="40">
        <v>2.4329999999999998</v>
      </c>
      <c r="AD11" s="40">
        <v>18.744</v>
      </c>
      <c r="AE11" s="40">
        <v>66.418843666666604</v>
      </c>
      <c r="AF11" s="40">
        <v>41.230575000000002</v>
      </c>
      <c r="AG11" s="40">
        <v>3.6890000000000001</v>
      </c>
      <c r="AH11" s="40">
        <v>5.733314</v>
      </c>
      <c r="AI11" s="40">
        <v>26.745000000000001</v>
      </c>
      <c r="AJ11" s="40">
        <v>9.2471899999999998</v>
      </c>
      <c r="AK11" s="40">
        <v>4.3000360000000004</v>
      </c>
      <c r="AL11" s="40">
        <v>8.6489999999999991</v>
      </c>
      <c r="AM11" s="40">
        <v>31.481999999999999</v>
      </c>
      <c r="AN11" s="40">
        <v>7.5923790000000002</v>
      </c>
      <c r="AO11" s="40">
        <v>2.9380630000000001</v>
      </c>
    </row>
    <row r="12" spans="1:41">
      <c r="A12" t="s">
        <v>319</v>
      </c>
      <c r="B12">
        <v>2015</v>
      </c>
      <c r="C12" t="s">
        <v>435</v>
      </c>
      <c r="D12">
        <v>13.794338</v>
      </c>
      <c r="F12" s="45">
        <v>2013</v>
      </c>
      <c r="G12" s="40">
        <v>12.123381</v>
      </c>
      <c r="H12" s="40">
        <v>9.5199680000000004</v>
      </c>
      <c r="I12" s="40">
        <v>13.000021</v>
      </c>
      <c r="J12" s="40">
        <v>4.6413080000000004</v>
      </c>
      <c r="K12" s="40">
        <v>3.072085</v>
      </c>
      <c r="L12" s="40">
        <v>13.956542000000001</v>
      </c>
      <c r="M12" s="40">
        <v>33.091826185000002</v>
      </c>
      <c r="N12" s="40">
        <v>101.3608</v>
      </c>
      <c r="O12" s="40">
        <v>2.5202209999999998</v>
      </c>
      <c r="P12" s="40">
        <v>6.7028759999999998</v>
      </c>
      <c r="Q12" s="40">
        <v>31.65</v>
      </c>
      <c r="R12" s="40">
        <v>43.851230000000001</v>
      </c>
      <c r="S12" s="40">
        <v>5.5987689999999999</v>
      </c>
      <c r="T12" s="40">
        <v>10.644617999999999</v>
      </c>
      <c r="U12" s="40">
        <v>0.213113</v>
      </c>
      <c r="V12" s="40">
        <v>18.917999999999999</v>
      </c>
      <c r="W12" s="40">
        <v>1.9101649999999999</v>
      </c>
      <c r="X12" s="40">
        <v>37.219029999999997</v>
      </c>
      <c r="Y12" s="40">
        <v>60.035848000000001</v>
      </c>
      <c r="Z12" s="40">
        <v>28.922757000000001</v>
      </c>
      <c r="AA12" s="40">
        <v>25.967972</v>
      </c>
      <c r="AB12" s="40">
        <v>166.29563300000001</v>
      </c>
      <c r="AC12" s="40">
        <v>2.4873530000000001</v>
      </c>
      <c r="AD12" s="40">
        <v>19.342120000000001</v>
      </c>
      <c r="AE12" s="40">
        <v>69.548970333333301</v>
      </c>
      <c r="AF12" s="40">
        <v>44.002445000000002</v>
      </c>
      <c r="AG12" s="40">
        <v>3.8675000000000002</v>
      </c>
      <c r="AH12" s="40">
        <v>5.9672219999999996</v>
      </c>
      <c r="AI12" s="40">
        <v>26.504538</v>
      </c>
      <c r="AJ12" s="40">
        <v>9.3512160000000009</v>
      </c>
      <c r="AK12" s="40">
        <v>4.3668950000000004</v>
      </c>
      <c r="AL12" s="40">
        <v>9.2839229999999997</v>
      </c>
      <c r="AM12" s="40">
        <v>32.103000000000002</v>
      </c>
      <c r="AN12" s="40">
        <v>7.8344180000000003</v>
      </c>
      <c r="AO12" s="40">
        <v>3.1317089999999999</v>
      </c>
    </row>
    <row r="13" spans="1:41">
      <c r="A13" t="s">
        <v>319</v>
      </c>
      <c r="B13">
        <v>2005</v>
      </c>
      <c r="C13" t="s">
        <v>436</v>
      </c>
      <c r="D13">
        <v>5.2352020000000001</v>
      </c>
      <c r="F13" s="45">
        <v>2014</v>
      </c>
      <c r="G13" s="40">
        <v>12.821766</v>
      </c>
      <c r="H13" s="40">
        <v>10.067513</v>
      </c>
      <c r="I13" s="40">
        <v>13.29726</v>
      </c>
      <c r="J13" s="40">
        <v>4.6949209999999999</v>
      </c>
      <c r="K13" s="40">
        <v>2.516467</v>
      </c>
      <c r="L13" s="40">
        <v>14.076907</v>
      </c>
      <c r="M13" s="40">
        <v>34.676231829999999</v>
      </c>
      <c r="N13" s="40">
        <v>117.48191300000001</v>
      </c>
      <c r="O13" s="40">
        <v>2.5514570000000001</v>
      </c>
      <c r="P13" s="40">
        <v>6.889208</v>
      </c>
      <c r="Q13" s="40">
        <v>31.8</v>
      </c>
      <c r="R13" s="40">
        <v>44.403123999999998</v>
      </c>
      <c r="S13" s="40">
        <v>5.5806950000000004</v>
      </c>
      <c r="T13" s="40">
        <v>11.027188000000001</v>
      </c>
      <c r="U13" s="40">
        <v>0.21745400000000001</v>
      </c>
      <c r="V13" s="40">
        <v>20.442</v>
      </c>
      <c r="W13" s="40">
        <v>1.9438679999999999</v>
      </c>
      <c r="X13" s="40">
        <v>37.346702999999998</v>
      </c>
      <c r="Y13" s="40">
        <v>60.66807</v>
      </c>
      <c r="Z13" s="40">
        <v>30.518965999999999</v>
      </c>
      <c r="AA13" s="40">
        <v>27.695111000000001</v>
      </c>
      <c r="AB13" s="40">
        <v>168.25731500000001</v>
      </c>
      <c r="AC13" s="40">
        <v>2.539552</v>
      </c>
      <c r="AD13" s="40">
        <v>19.978588999999999</v>
      </c>
      <c r="AE13" s="40">
        <v>74.737973999999994</v>
      </c>
      <c r="AF13" s="40">
        <v>46.326385999999999</v>
      </c>
      <c r="AG13" s="40">
        <v>4.1100000000000003</v>
      </c>
      <c r="AH13" s="40">
        <v>6.1883319999999999</v>
      </c>
      <c r="AI13" s="40">
        <v>26.525511999999999</v>
      </c>
      <c r="AJ13" s="40">
        <v>9.5025580000000005</v>
      </c>
      <c r="AK13" s="40">
        <v>4.4303749999999997</v>
      </c>
      <c r="AL13" s="40">
        <v>9.8579150000000002</v>
      </c>
      <c r="AM13" s="40">
        <v>32.612782000000003</v>
      </c>
      <c r="AN13" s="40">
        <v>7.8525609999999997</v>
      </c>
      <c r="AO13" s="40">
        <v>3.348007</v>
      </c>
    </row>
    <row r="14" spans="1:41">
      <c r="A14" t="s">
        <v>319</v>
      </c>
      <c r="B14">
        <v>2006</v>
      </c>
      <c r="C14" t="s">
        <v>436</v>
      </c>
      <c r="D14">
        <v>6.6282420000000002</v>
      </c>
      <c r="F14" s="45">
        <v>2015</v>
      </c>
      <c r="G14" s="40">
        <v>13.794338</v>
      </c>
      <c r="H14" s="40">
        <v>10.632235</v>
      </c>
      <c r="I14" s="40">
        <v>13.549448999999999</v>
      </c>
      <c r="J14" s="40">
        <v>4.7480479999999998</v>
      </c>
      <c r="K14" s="40">
        <v>2.5997110000000001</v>
      </c>
      <c r="L14" s="40">
        <v>14.304275000000001</v>
      </c>
      <c r="M14" s="40">
        <v>35.471423000000001</v>
      </c>
      <c r="N14" s="40">
        <v>135.804833</v>
      </c>
      <c r="O14" s="40">
        <v>2.587488</v>
      </c>
      <c r="P14" s="40">
        <v>7.196288</v>
      </c>
      <c r="Q14" s="40">
        <v>32</v>
      </c>
      <c r="R14" s="40">
        <v>45.071209000000003</v>
      </c>
      <c r="S14" s="40">
        <v>5.5926</v>
      </c>
      <c r="T14" s="40">
        <v>11.512074999999999</v>
      </c>
      <c r="U14" s="40">
        <v>0.22632099999999999</v>
      </c>
      <c r="V14" s="40">
        <v>22.468</v>
      </c>
      <c r="W14" s="40">
        <v>1.9851300000000001</v>
      </c>
      <c r="X14" s="40">
        <v>37.626612999999999</v>
      </c>
      <c r="Y14" s="40">
        <v>60.987882999999997</v>
      </c>
      <c r="Z14" s="40">
        <v>31.461389</v>
      </c>
      <c r="AA14" s="40">
        <v>29.563624999999998</v>
      </c>
      <c r="AB14" s="40">
        <v>171.327125</v>
      </c>
      <c r="AC14" s="40">
        <v>2.59239</v>
      </c>
      <c r="AD14" s="40">
        <v>20.688174</v>
      </c>
      <c r="AE14" s="40">
        <v>78.497225</v>
      </c>
      <c r="AF14" s="40">
        <v>47.290320999999999</v>
      </c>
      <c r="AG14" s="40">
        <v>4.4000000000000004</v>
      </c>
      <c r="AH14" s="40">
        <v>6.383756</v>
      </c>
      <c r="AI14" s="40">
        <v>26.948705</v>
      </c>
      <c r="AJ14" s="40">
        <v>9.6740639999999996</v>
      </c>
      <c r="AK14" s="40">
        <v>4.5038650000000002</v>
      </c>
      <c r="AL14" s="40">
        <v>10.589337</v>
      </c>
      <c r="AM14" s="40">
        <v>33.542448</v>
      </c>
      <c r="AN14" s="40">
        <v>7.9298130000000002</v>
      </c>
      <c r="AO14" s="40">
        <v>3.449462</v>
      </c>
    </row>
    <row r="15" spans="1:41">
      <c r="A15" t="s">
        <v>319</v>
      </c>
      <c r="B15">
        <v>2007</v>
      </c>
      <c r="C15" t="s">
        <v>436</v>
      </c>
      <c r="D15">
        <v>7.0369700000000002</v>
      </c>
      <c r="F15" s="44" t="s">
        <v>320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</row>
    <row r="16" spans="1:41">
      <c r="A16" t="s">
        <v>319</v>
      </c>
      <c r="B16">
        <v>2008</v>
      </c>
      <c r="C16" t="s">
        <v>436</v>
      </c>
      <c r="D16">
        <v>7.5913899999999996</v>
      </c>
      <c r="F16" s="45">
        <v>2005</v>
      </c>
      <c r="G16" s="40">
        <v>2.8679999999999999</v>
      </c>
      <c r="H16" s="40">
        <v>3.34293</v>
      </c>
      <c r="I16" s="40">
        <v>2.601</v>
      </c>
      <c r="J16" s="40">
        <v>0.36699999999999999</v>
      </c>
      <c r="K16" s="40">
        <v>0.352157</v>
      </c>
      <c r="L16" s="40">
        <v>1.77607</v>
      </c>
      <c r="M16" s="40">
        <v>4.1126820000000004</v>
      </c>
      <c r="N16" s="40">
        <v>10.272</v>
      </c>
      <c r="O16" s="40">
        <v>0.23628199999999999</v>
      </c>
      <c r="P16" s="40">
        <v>0.73599999999999999</v>
      </c>
      <c r="Q16" s="40">
        <v>6.1980000000000004</v>
      </c>
      <c r="R16" s="40">
        <v>3.133</v>
      </c>
      <c r="S16" s="40">
        <v>1.3353120000000001</v>
      </c>
      <c r="T16" s="40">
        <v>1.3340000000000001</v>
      </c>
      <c r="U16" s="40">
        <v>2.7E-2</v>
      </c>
      <c r="V16" s="40">
        <v>2.706</v>
      </c>
      <c r="W16" s="40">
        <v>0.28654800000000002</v>
      </c>
      <c r="X16" s="40">
        <v>4.468</v>
      </c>
      <c r="Y16" s="40">
        <v>18.596</v>
      </c>
      <c r="Z16" s="40">
        <v>8.2463730000000002</v>
      </c>
      <c r="AA16" s="40">
        <v>5.0019879999999999</v>
      </c>
      <c r="AB16" s="40">
        <v>112.824</v>
      </c>
      <c r="AC16" s="40">
        <v>0.49399999999999999</v>
      </c>
      <c r="AD16" s="40">
        <v>2.4809999999999999</v>
      </c>
      <c r="AE16" s="40">
        <v>18.875892935286998</v>
      </c>
      <c r="AF16" s="40">
        <v>6.0060000000000002</v>
      </c>
      <c r="AG16" s="40">
        <v>1.42</v>
      </c>
      <c r="AH16" s="40">
        <v>2.2970000000000002</v>
      </c>
      <c r="AI16" s="40">
        <v>6.2309999999999999</v>
      </c>
      <c r="AJ16" s="40">
        <v>1.0406899999999999</v>
      </c>
      <c r="AK16" s="40">
        <v>0.33600000000000002</v>
      </c>
      <c r="AL16" s="40">
        <v>2.6539999999999999</v>
      </c>
      <c r="AM16" s="40">
        <v>3.9167649999999998</v>
      </c>
      <c r="AN16" s="40">
        <v>1.295623</v>
      </c>
      <c r="AO16" s="40">
        <v>0.27474100000000001</v>
      </c>
    </row>
    <row r="17" spans="1:50">
      <c r="A17" t="s">
        <v>319</v>
      </c>
      <c r="B17">
        <v>2009</v>
      </c>
      <c r="C17" t="s">
        <v>436</v>
      </c>
      <c r="D17">
        <v>7.8151419999999998</v>
      </c>
      <c r="F17" s="45">
        <v>2006</v>
      </c>
      <c r="G17" s="40">
        <v>2.9976430000000001</v>
      </c>
      <c r="H17" s="40">
        <v>3.513242</v>
      </c>
      <c r="I17" s="40">
        <v>2.706</v>
      </c>
      <c r="J17" s="40">
        <v>0.374</v>
      </c>
      <c r="K17" s="40">
        <v>0.38094800000000001</v>
      </c>
      <c r="L17" s="40">
        <v>1.7879400000000001</v>
      </c>
      <c r="M17" s="40">
        <v>4.192272</v>
      </c>
      <c r="N17" s="40">
        <v>10.778</v>
      </c>
      <c r="O17" s="40">
        <v>0.24627499999999999</v>
      </c>
      <c r="P17" s="40">
        <v>0.79900000000000004</v>
      </c>
      <c r="Q17" s="40">
        <v>6.2610000000000001</v>
      </c>
      <c r="R17" s="40">
        <v>3.1720000000000002</v>
      </c>
      <c r="S17" s="40">
        <v>1.3658269999999999</v>
      </c>
      <c r="T17" s="40">
        <v>1.262</v>
      </c>
      <c r="U17" s="40">
        <v>0.03</v>
      </c>
      <c r="V17" s="40">
        <v>2.948</v>
      </c>
      <c r="W17" s="40">
        <v>0.318604</v>
      </c>
      <c r="X17" s="40">
        <v>4.6269999999999998</v>
      </c>
      <c r="Y17" s="40">
        <v>18.338000000000001</v>
      </c>
      <c r="Z17" s="40">
        <v>8.7851219999999994</v>
      </c>
      <c r="AA17" s="40">
        <v>5.2311310000000004</v>
      </c>
      <c r="AB17" s="40">
        <v>118.21</v>
      </c>
      <c r="AC17" s="40">
        <v>0.51500000000000001</v>
      </c>
      <c r="AD17" s="40">
        <v>2.58</v>
      </c>
      <c r="AE17" s="40">
        <v>19.321482875240299</v>
      </c>
      <c r="AF17" s="40">
        <v>6.1349999999999998</v>
      </c>
      <c r="AG17" s="40">
        <v>1.44</v>
      </c>
      <c r="AH17" s="40">
        <v>2.4820000000000002</v>
      </c>
      <c r="AI17" s="40">
        <v>6.51</v>
      </c>
      <c r="AJ17" s="40">
        <v>1.1029249999999999</v>
      </c>
      <c r="AK17" s="40">
        <v>0.34300000000000003</v>
      </c>
      <c r="AL17" s="40">
        <v>2.9390000000000001</v>
      </c>
      <c r="AM17" s="40">
        <v>4.1179870000000003</v>
      </c>
      <c r="AN17" s="40">
        <v>1.363143</v>
      </c>
      <c r="AO17" s="40">
        <v>0.28351199999999999</v>
      </c>
    </row>
    <row r="18" spans="1:50">
      <c r="A18" t="s">
        <v>319</v>
      </c>
      <c r="B18">
        <v>2010</v>
      </c>
      <c r="C18" t="s">
        <v>436</v>
      </c>
      <c r="D18">
        <v>8.1680989999999998</v>
      </c>
      <c r="F18" s="45">
        <v>2007</v>
      </c>
      <c r="G18" s="40">
        <v>3.1997300000000002</v>
      </c>
      <c r="H18" s="40">
        <v>3.8583750000000001</v>
      </c>
      <c r="I18" s="40">
        <v>2.8010000000000002</v>
      </c>
      <c r="J18" s="40">
        <v>0.38200000000000001</v>
      </c>
      <c r="K18" s="40">
        <v>0.38673800000000003</v>
      </c>
      <c r="L18" s="40">
        <v>1.828794</v>
      </c>
      <c r="M18" s="40">
        <v>4.3458259999999997</v>
      </c>
      <c r="N18" s="40">
        <v>11.624000000000001</v>
      </c>
      <c r="O18" s="40">
        <v>0.25379099999999999</v>
      </c>
      <c r="P18" s="40">
        <v>0.89600000000000002</v>
      </c>
      <c r="Q18" s="40">
        <v>6.3330000000000002</v>
      </c>
      <c r="R18" s="40">
        <v>2.8370000000000002</v>
      </c>
      <c r="S18" s="40">
        <v>1.404047</v>
      </c>
      <c r="T18" s="40">
        <v>1.37</v>
      </c>
      <c r="U18" s="40">
        <v>3.3000000000000002E-2</v>
      </c>
      <c r="V18" s="40">
        <v>3.6419999999999999</v>
      </c>
      <c r="W18" s="40">
        <v>0.34587400000000001</v>
      </c>
      <c r="X18" s="40">
        <v>4.7359999999999998</v>
      </c>
      <c r="Y18" s="40">
        <v>18.091000000000001</v>
      </c>
      <c r="Z18" s="40">
        <v>9.5040610000000001</v>
      </c>
      <c r="AA18" s="40">
        <v>5.5350000000000001</v>
      </c>
      <c r="AB18" s="40">
        <v>122.523</v>
      </c>
      <c r="AC18" s="40">
        <v>0.53800000000000003</v>
      </c>
      <c r="AD18" s="40">
        <v>2.7189999999999999</v>
      </c>
      <c r="AE18" s="40">
        <v>21.291811725490199</v>
      </c>
      <c r="AF18" s="40">
        <v>6.4329999999999998</v>
      </c>
      <c r="AG18" s="40">
        <v>1.54</v>
      </c>
      <c r="AH18" s="40">
        <v>2.6419999999999999</v>
      </c>
      <c r="AI18" s="40">
        <v>6.7619999999999996</v>
      </c>
      <c r="AJ18" s="40">
        <v>1.155745</v>
      </c>
      <c r="AK18" s="40">
        <v>0.354126</v>
      </c>
      <c r="AL18" s="40">
        <v>3.181</v>
      </c>
      <c r="AM18" s="40">
        <v>4.2479880000000003</v>
      </c>
      <c r="AN18" s="40">
        <v>1.4009229999999999</v>
      </c>
      <c r="AO18" s="40">
        <v>0.31031500000000001</v>
      </c>
    </row>
    <row r="19" spans="1:50">
      <c r="A19" t="s">
        <v>319</v>
      </c>
      <c r="B19">
        <v>2011</v>
      </c>
      <c r="C19" t="s">
        <v>436</v>
      </c>
      <c r="D19">
        <v>8.5718429999999994</v>
      </c>
      <c r="F19" s="45">
        <v>2008</v>
      </c>
      <c r="G19" s="40">
        <v>3.5495649999999999</v>
      </c>
      <c r="H19" s="40">
        <v>4.3895970000000002</v>
      </c>
      <c r="I19" s="40">
        <v>2.9249999999999998</v>
      </c>
      <c r="J19" s="40">
        <v>0.39100000000000001</v>
      </c>
      <c r="K19" s="40">
        <v>0.39194800000000002</v>
      </c>
      <c r="L19" s="40">
        <v>1.868128</v>
      </c>
      <c r="M19" s="40">
        <v>4.592854</v>
      </c>
      <c r="N19" s="40">
        <v>12.606999999999999</v>
      </c>
      <c r="O19" s="40">
        <v>0.27738299999999999</v>
      </c>
      <c r="P19" s="40">
        <v>0.99</v>
      </c>
      <c r="Q19" s="40">
        <v>6.3620000000000001</v>
      </c>
      <c r="R19" s="40">
        <v>2.859</v>
      </c>
      <c r="S19" s="40">
        <v>1.441711</v>
      </c>
      <c r="T19" s="40">
        <v>1.4848859999999999</v>
      </c>
      <c r="U19" s="40">
        <v>3.4000000000000002E-2</v>
      </c>
      <c r="V19" s="40">
        <v>3.9540000000000002</v>
      </c>
      <c r="W19" s="40">
        <v>0.35130699999999998</v>
      </c>
      <c r="X19" s="40">
        <v>4.8380000000000001</v>
      </c>
      <c r="Y19" s="40">
        <v>17.663</v>
      </c>
      <c r="Z19" s="40">
        <v>10.341381</v>
      </c>
      <c r="AA19" s="40">
        <v>5.8105226666666701</v>
      </c>
      <c r="AB19" s="40">
        <v>123.625</v>
      </c>
      <c r="AC19" s="40">
        <v>0.54600000000000004</v>
      </c>
      <c r="AD19" s="40">
        <v>2.9260000000000002</v>
      </c>
      <c r="AE19" s="40">
        <v>21.861615</v>
      </c>
      <c r="AF19" s="40">
        <v>6.6559999999999997</v>
      </c>
      <c r="AG19" s="40">
        <v>1.61</v>
      </c>
      <c r="AH19" s="40">
        <v>2.7410000000000001</v>
      </c>
      <c r="AI19" s="40">
        <v>6.8170000000000002</v>
      </c>
      <c r="AJ19" s="40">
        <v>1.158004</v>
      </c>
      <c r="AK19" s="40">
        <v>0.35403099999999998</v>
      </c>
      <c r="AL19" s="40">
        <v>3.3940000000000001</v>
      </c>
      <c r="AM19" s="40">
        <v>4.2852059999999996</v>
      </c>
      <c r="AN19" s="40">
        <v>1.5144580000000001</v>
      </c>
      <c r="AO19" s="40">
        <v>0.32632699999999998</v>
      </c>
    </row>
    <row r="20" spans="1:50">
      <c r="A20" t="s">
        <v>319</v>
      </c>
      <c r="B20">
        <v>2012</v>
      </c>
      <c r="C20" t="s">
        <v>436</v>
      </c>
      <c r="D20">
        <v>9.0576910000000002</v>
      </c>
      <c r="F20" s="45">
        <v>2009</v>
      </c>
      <c r="G20" s="40">
        <v>3.7944529999999999</v>
      </c>
      <c r="H20" s="40">
        <v>4.5615139999999998</v>
      </c>
      <c r="I20" s="40">
        <v>3.0270000000000001</v>
      </c>
      <c r="J20" s="40">
        <v>0.39800000000000002</v>
      </c>
      <c r="K20" s="40">
        <v>0.37545800000000001</v>
      </c>
      <c r="L20" s="40">
        <v>1.8749340000000001</v>
      </c>
      <c r="M20" s="40">
        <v>4.8525640000000001</v>
      </c>
      <c r="N20" s="40">
        <v>14.355</v>
      </c>
      <c r="O20" s="40">
        <v>0.27263100000000001</v>
      </c>
      <c r="P20" s="40">
        <v>1.004</v>
      </c>
      <c r="Q20" s="40">
        <v>6.3879999999999999</v>
      </c>
      <c r="R20" s="40">
        <v>2.8929999999999998</v>
      </c>
      <c r="S20" s="40">
        <v>1.457754</v>
      </c>
      <c r="T20" s="40">
        <v>1.5132429999999999</v>
      </c>
      <c r="U20" s="40">
        <v>3.5999999999999997E-2</v>
      </c>
      <c r="V20" s="40">
        <v>4.4329999999999998</v>
      </c>
      <c r="W20" s="40">
        <v>0.34394000000000002</v>
      </c>
      <c r="X20" s="40">
        <v>4.8890000000000002</v>
      </c>
      <c r="Y20" s="40">
        <v>17.305</v>
      </c>
      <c r="Z20" s="40">
        <v>10.729044</v>
      </c>
      <c r="AA20" s="40">
        <v>6.0245273333333298</v>
      </c>
      <c r="AB20" s="40">
        <v>126.56</v>
      </c>
      <c r="AC20" s="40">
        <v>0.54700000000000004</v>
      </c>
      <c r="AD20" s="40">
        <v>3.0249999999999999</v>
      </c>
      <c r="AE20" s="40">
        <v>22.335357999999999</v>
      </c>
      <c r="AF20" s="40">
        <v>6.6487540000000003</v>
      </c>
      <c r="AG20" s="40">
        <v>1.68</v>
      </c>
      <c r="AH20" s="40">
        <v>2.81</v>
      </c>
      <c r="AI20" s="40">
        <v>6.7590000000000003</v>
      </c>
      <c r="AJ20" s="40">
        <v>1.1382810000000001</v>
      </c>
      <c r="AK20" s="40">
        <v>0.35586099999999998</v>
      </c>
      <c r="AL20" s="40">
        <v>3.5169999999999999</v>
      </c>
      <c r="AM20" s="40">
        <v>4.1815189999999998</v>
      </c>
      <c r="AN20" s="40">
        <v>1.4885200000000001</v>
      </c>
      <c r="AO20" s="40">
        <v>0.34952499999999997</v>
      </c>
    </row>
    <row r="21" spans="1:50">
      <c r="A21" t="s">
        <v>319</v>
      </c>
      <c r="B21">
        <v>2013</v>
      </c>
      <c r="C21" t="s">
        <v>436</v>
      </c>
      <c r="D21">
        <v>9.5199680000000004</v>
      </c>
      <c r="F21" s="45">
        <v>2010</v>
      </c>
      <c r="G21" s="40">
        <v>3.9928439999999998</v>
      </c>
      <c r="H21" s="40">
        <v>4.6867809999999999</v>
      </c>
      <c r="I21" s="40">
        <v>3.1320000000000001</v>
      </c>
      <c r="J21" s="40">
        <v>0.40600000000000003</v>
      </c>
      <c r="K21" s="40">
        <v>0.30935200000000002</v>
      </c>
      <c r="L21" s="40">
        <v>1.8793139999999999</v>
      </c>
      <c r="M21" s="40">
        <v>5.222702</v>
      </c>
      <c r="N21" s="40">
        <v>16.384</v>
      </c>
      <c r="O21" s="40">
        <v>0.26258100000000001</v>
      </c>
      <c r="P21" s="40">
        <v>1.0029999999999999</v>
      </c>
      <c r="Q21" s="40">
        <v>6.444</v>
      </c>
      <c r="R21" s="40">
        <v>2.96</v>
      </c>
      <c r="S21" s="40">
        <v>1.470172</v>
      </c>
      <c r="T21" s="40">
        <v>1.5349619999999999</v>
      </c>
      <c r="U21" s="40">
        <v>3.7999999999999999E-2</v>
      </c>
      <c r="V21" s="40">
        <v>4.6820000000000004</v>
      </c>
      <c r="W21" s="40">
        <v>0.327096</v>
      </c>
      <c r="X21" s="40">
        <v>4.9459999999999997</v>
      </c>
      <c r="Y21" s="40">
        <v>17.013999999999999</v>
      </c>
      <c r="Z21" s="40">
        <v>11.491415999999999</v>
      </c>
      <c r="AA21" s="40">
        <v>6.3115170000000003</v>
      </c>
      <c r="AB21" s="40">
        <v>129.471</v>
      </c>
      <c r="AC21" s="40">
        <v>0.55100000000000005</v>
      </c>
      <c r="AD21" s="40">
        <v>3.2189999999999999</v>
      </c>
      <c r="AE21" s="40">
        <v>22.976013999999999</v>
      </c>
      <c r="AF21" s="40">
        <v>6.7500349999999996</v>
      </c>
      <c r="AG21" s="40">
        <v>1.76</v>
      </c>
      <c r="AH21" s="40">
        <v>2.8375349999999999</v>
      </c>
      <c r="AI21" s="40">
        <v>6.7190000000000003</v>
      </c>
      <c r="AJ21" s="40">
        <v>1.1293340000000001</v>
      </c>
      <c r="AK21" s="40">
        <v>0.36348900000000001</v>
      </c>
      <c r="AL21" s="40">
        <v>3.7210000000000001</v>
      </c>
      <c r="AM21" s="40">
        <v>4.2204550000000003</v>
      </c>
      <c r="AN21" s="40">
        <v>1.5106379999999999</v>
      </c>
      <c r="AO21" s="40">
        <v>0.36693399999999998</v>
      </c>
    </row>
    <row r="22" spans="1:50">
      <c r="A22" t="s">
        <v>319</v>
      </c>
      <c r="B22">
        <v>2014</v>
      </c>
      <c r="C22" t="s">
        <v>436</v>
      </c>
      <c r="D22">
        <v>10.067513</v>
      </c>
      <c r="F22" s="45">
        <v>2011</v>
      </c>
      <c r="G22" s="40">
        <v>4.1577570000000001</v>
      </c>
      <c r="H22" s="40">
        <v>4.8195699999999997</v>
      </c>
      <c r="I22" s="40">
        <v>2.7160000000000002</v>
      </c>
      <c r="J22" s="40">
        <v>0.41699999999999998</v>
      </c>
      <c r="K22" s="40">
        <v>0.316301</v>
      </c>
      <c r="L22" s="40">
        <v>1.8836839999999999</v>
      </c>
      <c r="M22" s="40">
        <v>5.7636240000000001</v>
      </c>
      <c r="N22" s="40">
        <v>18.713000000000001</v>
      </c>
      <c r="O22" s="40">
        <v>0.25947599999999998</v>
      </c>
      <c r="P22" s="40">
        <v>1.0109999999999999</v>
      </c>
      <c r="Q22" s="40">
        <v>6.5170000000000003</v>
      </c>
      <c r="R22" s="40">
        <v>3.056</v>
      </c>
      <c r="S22" s="40">
        <v>1.469881</v>
      </c>
      <c r="T22" s="40">
        <v>1.5781289999999999</v>
      </c>
      <c r="U22" s="40">
        <v>3.2181000000000001E-2</v>
      </c>
      <c r="V22" s="40">
        <v>5.0860000000000003</v>
      </c>
      <c r="W22" s="40">
        <v>0.32096599999999997</v>
      </c>
      <c r="X22" s="40">
        <v>5.0010000000000003</v>
      </c>
      <c r="Y22" s="40">
        <v>16.843</v>
      </c>
      <c r="Z22" s="40">
        <v>12.212654000000001</v>
      </c>
      <c r="AA22" s="40">
        <v>6.7776536666666702</v>
      </c>
      <c r="AB22" s="40">
        <v>131.95400000000001</v>
      </c>
      <c r="AC22" s="40">
        <v>0.56000000000000005</v>
      </c>
      <c r="AD22" s="40">
        <v>3.3809999999999998</v>
      </c>
      <c r="AE22" s="40">
        <v>23.795397000000001</v>
      </c>
      <c r="AF22" s="40">
        <v>6.8883140000000003</v>
      </c>
      <c r="AG22" s="40">
        <v>1.87</v>
      </c>
      <c r="AH22" s="40">
        <v>2.8975650000000002</v>
      </c>
      <c r="AI22" s="40">
        <v>6.67</v>
      </c>
      <c r="AJ22" s="40">
        <v>1.137864</v>
      </c>
      <c r="AK22" s="40">
        <v>0.37727500000000003</v>
      </c>
      <c r="AL22" s="40">
        <v>3.9489999999999998</v>
      </c>
      <c r="AM22" s="40">
        <v>4.269641</v>
      </c>
      <c r="AN22" s="40">
        <v>1.521045</v>
      </c>
      <c r="AO22" s="40">
        <v>0.36038599999999998</v>
      </c>
    </row>
    <row r="23" spans="1:50">
      <c r="A23" t="s">
        <v>319</v>
      </c>
      <c r="B23">
        <v>2015</v>
      </c>
      <c r="C23" t="s">
        <v>436</v>
      </c>
      <c r="D23">
        <v>10.632235</v>
      </c>
      <c r="F23" s="45">
        <v>2012</v>
      </c>
      <c r="G23" s="40">
        <v>4.4210079999999996</v>
      </c>
      <c r="H23" s="40">
        <v>4.9413140000000002</v>
      </c>
      <c r="I23" s="40">
        <v>3.3181210000000001</v>
      </c>
      <c r="J23" s="40">
        <v>0.42599999999999999</v>
      </c>
      <c r="K23" s="40">
        <v>0.32570300000000002</v>
      </c>
      <c r="L23" s="40">
        <v>1.8739870000000001</v>
      </c>
      <c r="M23" s="40">
        <v>6.2080700000000002</v>
      </c>
      <c r="N23" s="40">
        <v>21.844000000000001</v>
      </c>
      <c r="O23" s="40">
        <v>0.245563</v>
      </c>
      <c r="P23" s="40">
        <v>1.0058499999999999</v>
      </c>
      <c r="Q23" s="40">
        <v>6.5380000000000003</v>
      </c>
      <c r="R23" s="40">
        <v>3.1070000000000002</v>
      </c>
      <c r="S23" s="40">
        <v>1.4631799999999999</v>
      </c>
      <c r="T23" s="40">
        <v>1.623437</v>
      </c>
      <c r="U23" s="40">
        <v>3.2421999999999999E-2</v>
      </c>
      <c r="V23" s="40">
        <v>5.726</v>
      </c>
      <c r="W23" s="40">
        <v>0.30921900000000002</v>
      </c>
      <c r="X23" s="40">
        <v>4.9690000000000003</v>
      </c>
      <c r="Y23" s="40">
        <v>16.704999999999998</v>
      </c>
      <c r="Z23" s="40">
        <v>12.920811</v>
      </c>
      <c r="AA23" s="40">
        <v>7.3034853333333301</v>
      </c>
      <c r="AB23" s="40">
        <v>141.37145899999999</v>
      </c>
      <c r="AC23" s="40">
        <v>0.57099999999999995</v>
      </c>
      <c r="AD23" s="40">
        <v>3.4289999999999998</v>
      </c>
      <c r="AE23" s="40">
        <v>24.846935999999999</v>
      </c>
      <c r="AF23" s="40">
        <v>7.3897389999999996</v>
      </c>
      <c r="AG23" s="40">
        <v>2.0138889999999998</v>
      </c>
      <c r="AH23" s="40">
        <v>2.9663689999999998</v>
      </c>
      <c r="AI23" s="40">
        <v>6.5430000000000001</v>
      </c>
      <c r="AJ23" s="40">
        <v>1.132714</v>
      </c>
      <c r="AK23" s="40">
        <v>0.39066800000000002</v>
      </c>
      <c r="AL23" s="40">
        <v>4.1779999999999999</v>
      </c>
      <c r="AM23" s="40">
        <v>4.2789999999999999</v>
      </c>
      <c r="AN23" s="40">
        <v>1.9442630000000001</v>
      </c>
      <c r="AO23" s="40">
        <v>0.32133899999999999</v>
      </c>
    </row>
    <row r="24" spans="1:50">
      <c r="A24" t="s">
        <v>319</v>
      </c>
      <c r="B24">
        <v>2005</v>
      </c>
      <c r="C24" t="s">
        <v>507</v>
      </c>
      <c r="D24">
        <v>11.010999999999999</v>
      </c>
      <c r="F24" s="45">
        <v>2013</v>
      </c>
      <c r="G24" s="40">
        <v>4.6194930000000003</v>
      </c>
      <c r="H24" s="40">
        <v>5.1137920000000001</v>
      </c>
      <c r="I24" s="40">
        <v>3.4358430000000002</v>
      </c>
      <c r="J24" s="40">
        <v>0.43433100000000002</v>
      </c>
      <c r="K24" s="40">
        <v>0.33723199999999998</v>
      </c>
      <c r="L24" s="40">
        <v>1.8945080000000001</v>
      </c>
      <c r="M24" s="40">
        <v>6.6792470000000002</v>
      </c>
      <c r="N24" s="40">
        <v>25.340199999999999</v>
      </c>
      <c r="O24" s="40">
        <v>0.24709400000000001</v>
      </c>
      <c r="P24" s="40">
        <v>1.0164960000000001</v>
      </c>
      <c r="Q24" s="40">
        <v>6.55</v>
      </c>
      <c r="R24" s="40">
        <v>3.1634690000000001</v>
      </c>
      <c r="S24" s="40">
        <v>1.4551829999999999</v>
      </c>
      <c r="T24" s="40">
        <v>1.639114</v>
      </c>
      <c r="U24" s="40">
        <v>3.2835999999999997E-2</v>
      </c>
      <c r="V24" s="40">
        <v>5.9080000000000004</v>
      </c>
      <c r="W24" s="40">
        <v>0.31784899999999999</v>
      </c>
      <c r="X24" s="40">
        <v>4.9149669999999999</v>
      </c>
      <c r="Y24" s="40">
        <v>16.583217999999999</v>
      </c>
      <c r="Z24" s="40">
        <v>13.35392</v>
      </c>
      <c r="AA24" s="40">
        <v>7.5937799999999998</v>
      </c>
      <c r="AB24" s="40">
        <v>143.62317300000001</v>
      </c>
      <c r="AC24" s="40">
        <v>0.57853100000000002</v>
      </c>
      <c r="AD24" s="40">
        <v>3.508</v>
      </c>
      <c r="AE24" s="40">
        <v>25.916250999999999</v>
      </c>
      <c r="AF24" s="40">
        <v>7.3677830000000002</v>
      </c>
      <c r="AG24" s="40">
        <v>2.0825</v>
      </c>
      <c r="AH24" s="40">
        <v>3.0454659999999998</v>
      </c>
      <c r="AI24" s="40">
        <v>6.4032660000000003</v>
      </c>
      <c r="AJ24" s="40">
        <v>1.1273390000000001</v>
      </c>
      <c r="AK24" s="40">
        <v>0.39932200000000001</v>
      </c>
      <c r="AL24" s="40">
        <v>4.3668810000000002</v>
      </c>
      <c r="AM24" s="40">
        <v>4.3647179999999999</v>
      </c>
      <c r="AN24" s="40">
        <v>2.0615070000000002</v>
      </c>
      <c r="AO24" s="40">
        <v>0.33330300000000002</v>
      </c>
    </row>
    <row r="25" spans="1:50">
      <c r="A25" t="s">
        <v>319</v>
      </c>
      <c r="B25">
        <v>2006</v>
      </c>
      <c r="C25" t="s">
        <v>507</v>
      </c>
      <c r="D25">
        <v>11.273</v>
      </c>
      <c r="F25" s="45">
        <v>2014</v>
      </c>
      <c r="G25" s="40">
        <v>4.8339270000000001</v>
      </c>
      <c r="H25" s="40">
        <v>5.3239979999999996</v>
      </c>
      <c r="I25" s="40">
        <v>3.5560589999999999</v>
      </c>
      <c r="J25" s="40">
        <v>0.44450000000000001</v>
      </c>
      <c r="K25" s="40">
        <v>0.29586600000000002</v>
      </c>
      <c r="L25" s="40">
        <v>1.90259</v>
      </c>
      <c r="M25" s="40">
        <v>7.1111019999999998</v>
      </c>
      <c r="N25" s="40">
        <v>28.499162999999999</v>
      </c>
      <c r="O25" s="40">
        <v>0.25270399999999998</v>
      </c>
      <c r="P25" s="40">
        <v>1.0388440000000001</v>
      </c>
      <c r="Q25" s="40">
        <v>6.6079999999999997</v>
      </c>
      <c r="R25" s="40">
        <v>3.2444570000000001</v>
      </c>
      <c r="S25" s="40">
        <v>1.4316629999999999</v>
      </c>
      <c r="T25" s="40">
        <v>1.730313</v>
      </c>
      <c r="U25" s="40">
        <v>3.3663999999999999E-2</v>
      </c>
      <c r="V25" s="40">
        <v>6.0679999999999996</v>
      </c>
      <c r="W25" s="40">
        <v>0.31737799999999999</v>
      </c>
      <c r="X25" s="40">
        <v>4.9139530000000002</v>
      </c>
      <c r="Y25" s="40">
        <v>16.520396000000002</v>
      </c>
      <c r="Z25" s="40">
        <v>14.08419</v>
      </c>
      <c r="AA25" s="40">
        <v>7.8313959999999998</v>
      </c>
      <c r="AB25" s="40">
        <v>148.37384399999999</v>
      </c>
      <c r="AC25" s="40">
        <v>0.58483799999999997</v>
      </c>
      <c r="AD25" s="40">
        <v>3.469014</v>
      </c>
      <c r="AE25" s="40">
        <v>27.174536</v>
      </c>
      <c r="AF25" s="40">
        <v>7.5846200000000001</v>
      </c>
      <c r="AG25" s="40">
        <v>2.13</v>
      </c>
      <c r="AH25" s="40">
        <v>3.130862</v>
      </c>
      <c r="AI25" s="40">
        <v>6.336843</v>
      </c>
      <c r="AJ25" s="40">
        <v>1.1379729999999999</v>
      </c>
      <c r="AK25" s="40">
        <v>0.41011799999999998</v>
      </c>
      <c r="AL25" s="40">
        <v>4.5154019999999999</v>
      </c>
      <c r="AM25" s="40">
        <v>4.5005759999999997</v>
      </c>
      <c r="AN25" s="40">
        <v>2.0015580000000002</v>
      </c>
      <c r="AO25" s="40">
        <v>0.39556599999999997</v>
      </c>
    </row>
    <row r="26" spans="1:50">
      <c r="A26" t="s">
        <v>319</v>
      </c>
      <c r="B26">
        <v>2007</v>
      </c>
      <c r="C26" t="s">
        <v>507</v>
      </c>
      <c r="D26">
        <v>11.519</v>
      </c>
      <c r="F26" s="45">
        <v>2015</v>
      </c>
      <c r="G26" s="40">
        <v>5.2694720000000004</v>
      </c>
      <c r="H26" s="40">
        <v>5.5067769999999996</v>
      </c>
      <c r="I26" s="40">
        <v>3.651103</v>
      </c>
      <c r="J26" s="40">
        <v>0.45370199999999999</v>
      </c>
      <c r="K26" s="40">
        <v>0.307147</v>
      </c>
      <c r="L26" s="40">
        <v>1.939395</v>
      </c>
      <c r="M26" s="40">
        <v>7.2719009999999997</v>
      </c>
      <c r="N26" s="40">
        <v>27.039667999999999</v>
      </c>
      <c r="O26" s="40">
        <v>0.26298700000000003</v>
      </c>
      <c r="P26" s="40">
        <v>1.0720130000000001</v>
      </c>
      <c r="Q26" s="40">
        <v>6.6520000000000001</v>
      </c>
      <c r="R26" s="40">
        <v>3.3558849999999998</v>
      </c>
      <c r="S26" s="40">
        <v>1.206896</v>
      </c>
      <c r="T26" s="40">
        <v>1.838336</v>
      </c>
      <c r="U26" s="40">
        <v>3.5425999999999999E-2</v>
      </c>
      <c r="V26" s="40">
        <v>6.3920000000000003</v>
      </c>
      <c r="W26" s="40">
        <v>0.33054099999999997</v>
      </c>
      <c r="X26" s="40">
        <v>4.939838</v>
      </c>
      <c r="Y26" s="40">
        <v>16.416447999999999</v>
      </c>
      <c r="Z26" s="40">
        <v>14.757721</v>
      </c>
      <c r="AA26" s="40">
        <v>8.1383279999999996</v>
      </c>
      <c r="AB26" s="40">
        <v>153.435383</v>
      </c>
      <c r="AC26" s="40">
        <v>0.59087199999999995</v>
      </c>
      <c r="AD26" s="40">
        <v>3.5621990000000001</v>
      </c>
      <c r="AE26" s="40">
        <v>28.039458</v>
      </c>
      <c r="AF26" s="40">
        <v>7.5670460000000004</v>
      </c>
      <c r="AG26" s="40">
        <v>2.2000000000000002</v>
      </c>
      <c r="AH26" s="40">
        <v>3.216656</v>
      </c>
      <c r="AI26" s="40">
        <v>6.3859709999999996</v>
      </c>
      <c r="AJ26" s="40">
        <v>1.1517170000000001</v>
      </c>
      <c r="AK26" s="40">
        <v>0.42061300000000001</v>
      </c>
      <c r="AL26" s="40">
        <v>4.7716190000000003</v>
      </c>
      <c r="AM26" s="40">
        <v>4.677162</v>
      </c>
      <c r="AN26" s="40">
        <v>1.885667</v>
      </c>
      <c r="AO26" s="40">
        <v>0.41006199999999998</v>
      </c>
    </row>
    <row r="27" spans="1:50">
      <c r="A27" t="s">
        <v>319</v>
      </c>
      <c r="B27">
        <v>2008</v>
      </c>
      <c r="C27" t="s">
        <v>507</v>
      </c>
      <c r="D27">
        <v>11.804</v>
      </c>
    </row>
    <row r="28" spans="1:50">
      <c r="A28" t="s">
        <v>319</v>
      </c>
      <c r="B28">
        <v>2009</v>
      </c>
      <c r="C28" t="s">
        <v>507</v>
      </c>
      <c r="D28">
        <v>12.023</v>
      </c>
    </row>
    <row r="29" spans="1:50">
      <c r="A29" t="s">
        <v>319</v>
      </c>
      <c r="B29">
        <v>2010</v>
      </c>
      <c r="C29" t="s">
        <v>507</v>
      </c>
      <c r="D29">
        <v>12.269304999999999</v>
      </c>
    </row>
    <row r="30" spans="1:50">
      <c r="A30" t="s">
        <v>319</v>
      </c>
      <c r="B30">
        <v>2011</v>
      </c>
      <c r="C30" t="s">
        <v>507</v>
      </c>
      <c r="D30">
        <v>12.474</v>
      </c>
    </row>
    <row r="31" spans="1:50">
      <c r="A31" t="s">
        <v>319</v>
      </c>
      <c r="B31">
        <v>2012</v>
      </c>
      <c r="C31" t="s">
        <v>507</v>
      </c>
      <c r="D31">
        <v>12.714235</v>
      </c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1"/>
      <c r="Y31" s="1"/>
      <c r="Z31" s="1"/>
      <c r="AA31" s="1"/>
      <c r="AB31" s="1"/>
      <c r="AC31" s="1"/>
      <c r="AD31" s="1"/>
      <c r="AE31" s="1"/>
    </row>
    <row r="32" spans="1:50" ht="14.65" thickBot="1">
      <c r="A32" t="s">
        <v>319</v>
      </c>
      <c r="B32">
        <v>2013</v>
      </c>
      <c r="C32" t="s">
        <v>507</v>
      </c>
      <c r="D32">
        <v>13.000021</v>
      </c>
      <c r="F32" s="55"/>
      <c r="G32" s="64" t="str">
        <f>'TRA balance'!E4</f>
        <v>Africa_North</v>
      </c>
      <c r="H32" s="64" t="str">
        <f>'TRA balance'!F4</f>
        <v>Africa_Other</v>
      </c>
      <c r="I32" s="64" t="str">
        <f>'TRA balance'!G4</f>
        <v>Australia</v>
      </c>
      <c r="J32" s="64" t="str">
        <f>'TRA balance'!H4</f>
        <v>Austria</v>
      </c>
      <c r="K32" s="64" t="str">
        <f>'TRA balance'!I4</f>
        <v>Baltics</v>
      </c>
      <c r="L32" s="64" t="str">
        <f>'TRA balance'!J4</f>
        <v>BeNeLux</v>
      </c>
      <c r="M32" s="64" t="str">
        <f>'TRA balance'!K4</f>
        <v>Brazil</v>
      </c>
      <c r="N32" s="64" t="str">
        <f>'TRA balance'!L4</f>
        <v>China</v>
      </c>
      <c r="O32" s="64" t="str">
        <f>'TRA balance'!M4</f>
        <v>CroSloven</v>
      </c>
      <c r="P32" s="64" t="str">
        <f>'TRA balance'!N4</f>
        <v>CzechSlovak</v>
      </c>
      <c r="Q32" s="64" t="str">
        <f>'TRA balance'!O4</f>
        <v>France</v>
      </c>
      <c r="R32" s="64" t="str">
        <f>'TRA balance'!P4</f>
        <v>Germany</v>
      </c>
      <c r="S32" s="64" t="str">
        <f>'TRA balance'!Q4</f>
        <v>GreeceCyp</v>
      </c>
      <c r="T32" s="64" t="str">
        <f>'TRA balance'!R4</f>
        <v>HunRomBul</v>
      </c>
      <c r="U32" s="64" t="str">
        <f>'TRA balance'!S4</f>
        <v>Iceland</v>
      </c>
      <c r="V32" s="64" t="str">
        <f>'TRA balance'!T4</f>
        <v>India</v>
      </c>
      <c r="W32" s="64" t="str">
        <f>'TRA balance'!U4</f>
        <v>Ireland</v>
      </c>
      <c r="X32" s="64" t="str">
        <f>'TRA balance'!V4</f>
        <v>ItalyMal</v>
      </c>
      <c r="Y32" s="64" t="str">
        <f>'TRA balance'!W4</f>
        <v>Japan</v>
      </c>
      <c r="Z32" s="64" t="str">
        <f>'TRA balance'!X4</f>
        <v>LatAm</v>
      </c>
      <c r="AA32" s="64" t="str">
        <f>'TRA balance'!Y4</f>
        <v>MidEast</v>
      </c>
      <c r="AB32" s="64" t="str">
        <f>'TRA balance'!Z4</f>
        <v>NorthAm</v>
      </c>
      <c r="AC32" s="64" t="str">
        <f>'TRA balance'!AA4</f>
        <v>Norway</v>
      </c>
      <c r="AD32" s="64" t="str">
        <f>'TRA balance'!AB4</f>
        <v>Poland</v>
      </c>
      <c r="AE32" s="64" t="str">
        <f>'TRA balance'!AC4</f>
        <v>ROW</v>
      </c>
      <c r="AF32" s="64" t="str">
        <f>'TRA balance'!AD4</f>
        <v>Russia</v>
      </c>
      <c r="AG32" s="64" t="str">
        <f>'TRA balance'!AE4</f>
        <v>SaudiArabia</v>
      </c>
      <c r="AH32" s="64" t="str">
        <f>'TRA balance'!AF4</f>
        <v>SouthAfrica</v>
      </c>
      <c r="AI32" s="64" t="str">
        <f>'TRA balance'!AG4</f>
        <v>SpainPor</v>
      </c>
      <c r="AJ32" s="64" t="str">
        <f>'TRA balance'!AH4</f>
        <v>SweFinDen</v>
      </c>
      <c r="AK32" s="64" t="str">
        <f>'TRA balance'!AI4</f>
        <v>Switzerland</v>
      </c>
      <c r="AL32" s="64" t="str">
        <f>'TRA balance'!AJ4</f>
        <v>Turkey</v>
      </c>
      <c r="AM32" s="64" t="str">
        <f>'TRA balance'!AK4</f>
        <v>UK</v>
      </c>
      <c r="AN32" s="64" t="str">
        <f>'TRA balance'!AL4</f>
        <v>Ukraine</v>
      </c>
      <c r="AO32" s="64" t="str">
        <f>'TRA balance'!AM4</f>
        <v>WestBalkans</v>
      </c>
      <c r="AP32" s="64" t="str">
        <f>'TRA balance'!AN4</f>
        <v>\I:</v>
      </c>
      <c r="AQ32" s="64" t="str">
        <f>'TRA balance'!AO4</f>
        <v>\I:</v>
      </c>
      <c r="AR32" s="64" t="str">
        <f>'TRA balance'!AP4</f>
        <v>\I:</v>
      </c>
      <c r="AS32" s="64" t="str">
        <f>'TRA balance'!AQ4</f>
        <v>\I:</v>
      </c>
      <c r="AT32" s="64" t="str">
        <f>'TRA balance'!AR4</f>
        <v>\I:</v>
      </c>
      <c r="AU32" s="64" t="str">
        <f>'TRA balance'!AS4</f>
        <v>\I:</v>
      </c>
      <c r="AV32" s="64" t="str">
        <f>'TRA balance'!AT4</f>
        <v>\I:</v>
      </c>
      <c r="AW32" s="64" t="str">
        <f>'TRA balance'!AU4</f>
        <v>\I:</v>
      </c>
      <c r="AX32" s="64" t="str">
        <f>'TRA balance'!AV4</f>
        <v>\I:</v>
      </c>
    </row>
    <row r="33" spans="1:50">
      <c r="A33" t="s">
        <v>319</v>
      </c>
      <c r="B33">
        <v>2014</v>
      </c>
      <c r="C33" t="s">
        <v>507</v>
      </c>
      <c r="D33">
        <v>13.29726</v>
      </c>
      <c r="F33" s="54" t="s">
        <v>319</v>
      </c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5"/>
      <c r="AW33" s="55"/>
      <c r="AX33" s="55"/>
    </row>
    <row r="34" spans="1:50">
      <c r="A34" t="s">
        <v>319</v>
      </c>
      <c r="B34">
        <v>2015</v>
      </c>
      <c r="C34" t="s">
        <v>507</v>
      </c>
      <c r="D34">
        <v>13.549448999999999</v>
      </c>
      <c r="F34" s="60">
        <v>2005</v>
      </c>
      <c r="G34" s="2">
        <f>GETPIVOTDATA("mVeh",$F$1,"veh_type",$F$33,"year",$F34,"ActiveReg",G$32)</f>
        <v>7.4080000000000004</v>
      </c>
      <c r="H34" s="2">
        <f t="shared" ref="H34:AX40" si="0">GETPIVOTDATA("mVeh",$F$1,"veh_type",$F$33,"year",$F34,"ActiveReg",H$32)</f>
        <v>5.2352020000000001</v>
      </c>
      <c r="I34" s="2">
        <f t="shared" si="0"/>
        <v>11.010999999999999</v>
      </c>
      <c r="J34" s="2">
        <f t="shared" si="0"/>
        <v>4.157</v>
      </c>
      <c r="K34" s="2">
        <f t="shared" si="0"/>
        <v>2.6915230000000001</v>
      </c>
      <c r="L34" s="2">
        <f t="shared" si="0"/>
        <v>12.26</v>
      </c>
      <c r="M34" s="2">
        <f t="shared" si="0"/>
        <v>18.925913524999999</v>
      </c>
      <c r="N34" s="2">
        <f t="shared" si="0"/>
        <v>21.324999999999999</v>
      </c>
      <c r="O34" s="2">
        <f t="shared" si="0"/>
        <v>2.3497810000000001</v>
      </c>
      <c r="P34" s="2">
        <f t="shared" si="0"/>
        <v>5.2629999999999999</v>
      </c>
      <c r="Q34" s="2">
        <f t="shared" si="0"/>
        <v>30.1</v>
      </c>
      <c r="R34" s="2">
        <f t="shared" si="0"/>
        <v>46.09</v>
      </c>
      <c r="S34" s="2">
        <f t="shared" si="0"/>
        <v>4.6581289999999997</v>
      </c>
      <c r="T34" s="2">
        <f t="shared" si="0"/>
        <v>8.7910000000000004</v>
      </c>
      <c r="U34" s="2">
        <f t="shared" si="0"/>
        <v>0.187</v>
      </c>
      <c r="V34" s="2">
        <f t="shared" si="0"/>
        <v>7.6260000000000003</v>
      </c>
      <c r="W34" s="2">
        <f t="shared" si="0"/>
        <v>1.6621570000000001</v>
      </c>
      <c r="X34" s="2">
        <f t="shared" si="0"/>
        <v>34.872999999999998</v>
      </c>
      <c r="Y34" s="2">
        <f t="shared" si="0"/>
        <v>57.091000000000001</v>
      </c>
      <c r="Z34" s="2">
        <f t="shared" si="0"/>
        <v>18.345078000000001</v>
      </c>
      <c r="AA34" s="2">
        <f t="shared" si="0"/>
        <v>14.902664</v>
      </c>
      <c r="AB34" s="2">
        <f t="shared" si="0"/>
        <v>165.333</v>
      </c>
      <c r="AC34" s="2">
        <f t="shared" si="0"/>
        <v>2.0289999999999999</v>
      </c>
      <c r="AD34" s="2">
        <f t="shared" si="0"/>
        <v>12.339</v>
      </c>
      <c r="AE34" s="2">
        <f t="shared" si="0"/>
        <v>43.529525999999997</v>
      </c>
      <c r="AF34" s="2">
        <f t="shared" si="0"/>
        <v>27.393999999999998</v>
      </c>
      <c r="AG34" s="2">
        <f t="shared" si="0"/>
        <v>2.16</v>
      </c>
      <c r="AH34" s="2">
        <f t="shared" si="0"/>
        <v>4.5750000000000002</v>
      </c>
      <c r="AI34" s="2">
        <f t="shared" si="0"/>
        <v>24.45</v>
      </c>
      <c r="AJ34" s="2">
        <f t="shared" si="0"/>
        <v>8.5394769999999998</v>
      </c>
      <c r="AK34" s="2">
        <f t="shared" si="0"/>
        <v>3.9060000000000001</v>
      </c>
      <c r="AL34" s="2">
        <f t="shared" si="0"/>
        <v>5.7729999999999997</v>
      </c>
      <c r="AM34" s="2">
        <f t="shared" si="0"/>
        <v>30.477058</v>
      </c>
      <c r="AN34" s="2">
        <f t="shared" si="0"/>
        <v>5.8319939999999999</v>
      </c>
      <c r="AO34" s="2">
        <f t="shared" si="0"/>
        <v>2.500543</v>
      </c>
      <c r="AP34" s="2" t="e">
        <f t="shared" si="0"/>
        <v>#REF!</v>
      </c>
      <c r="AQ34" s="2" t="e">
        <f t="shared" si="0"/>
        <v>#REF!</v>
      </c>
      <c r="AR34" s="2" t="e">
        <f t="shared" si="0"/>
        <v>#REF!</v>
      </c>
      <c r="AS34" s="2" t="e">
        <f t="shared" si="0"/>
        <v>#REF!</v>
      </c>
      <c r="AT34" s="2" t="e">
        <f t="shared" si="0"/>
        <v>#REF!</v>
      </c>
      <c r="AU34" s="2" t="e">
        <f t="shared" si="0"/>
        <v>#REF!</v>
      </c>
      <c r="AV34" s="2" t="e">
        <f t="shared" si="0"/>
        <v>#REF!</v>
      </c>
      <c r="AW34" s="2" t="e">
        <f t="shared" si="0"/>
        <v>#REF!</v>
      </c>
      <c r="AX34" s="2" t="e">
        <f t="shared" si="0"/>
        <v>#REF!</v>
      </c>
    </row>
    <row r="35" spans="1:50">
      <c r="A35" t="s">
        <v>319</v>
      </c>
      <c r="B35">
        <v>2005</v>
      </c>
      <c r="C35" t="s">
        <v>508</v>
      </c>
      <c r="D35">
        <v>4.157</v>
      </c>
      <c r="F35" s="60">
        <v>2006</v>
      </c>
      <c r="G35" s="2">
        <f t="shared" ref="G35:V44" si="1">GETPIVOTDATA("mVeh",$F$1,"veh_type",$F$33,"year",$F35,"ActiveReg",G$32)</f>
        <v>8.0644279999999995</v>
      </c>
      <c r="H35" s="2">
        <f t="shared" si="1"/>
        <v>6.6282420000000002</v>
      </c>
      <c r="I35" s="2">
        <f t="shared" si="1"/>
        <v>11.273</v>
      </c>
      <c r="J35" s="2">
        <f t="shared" si="1"/>
        <v>4.2050000000000001</v>
      </c>
      <c r="K35" s="2">
        <f t="shared" si="1"/>
        <v>2.9682490000000001</v>
      </c>
      <c r="L35" s="2">
        <f t="shared" si="1"/>
        <v>12.474</v>
      </c>
      <c r="M35" s="2">
        <f t="shared" si="1"/>
        <v>19.892111395000001</v>
      </c>
      <c r="N35" s="2">
        <f t="shared" si="1"/>
        <v>26.196000000000002</v>
      </c>
      <c r="O35" s="2">
        <f t="shared" si="1"/>
        <v>2.421567</v>
      </c>
      <c r="P35" s="2">
        <f t="shared" si="1"/>
        <v>5.4429999999999996</v>
      </c>
      <c r="Q35" s="2">
        <f t="shared" si="1"/>
        <v>30.4</v>
      </c>
      <c r="R35" s="2">
        <f t="shared" si="1"/>
        <v>46.57</v>
      </c>
      <c r="S35" s="2">
        <f t="shared" si="1"/>
        <v>4.9160159999999999</v>
      </c>
      <c r="T35" s="2">
        <f t="shared" si="1"/>
        <v>7.9429999999999996</v>
      </c>
      <c r="U35" s="2">
        <f t="shared" si="1"/>
        <v>0.19700000000000001</v>
      </c>
      <c r="V35" s="2">
        <f t="shared" si="1"/>
        <v>8.5719999999999992</v>
      </c>
      <c r="W35" s="2">
        <f t="shared" si="0"/>
        <v>1.778861</v>
      </c>
      <c r="X35" s="2">
        <f t="shared" si="0"/>
        <v>35.509</v>
      </c>
      <c r="Y35" s="2">
        <f t="shared" si="0"/>
        <v>57.521000000000001</v>
      </c>
      <c r="Z35" s="2">
        <f t="shared" si="0"/>
        <v>19.311972999999998</v>
      </c>
      <c r="AA35" s="2">
        <f t="shared" si="0"/>
        <v>15.721219</v>
      </c>
      <c r="AB35" s="2">
        <f t="shared" si="0"/>
        <v>170.19800000000001</v>
      </c>
      <c r="AC35" s="2">
        <f t="shared" si="0"/>
        <v>2.085</v>
      </c>
      <c r="AD35" s="2">
        <f t="shared" si="0"/>
        <v>13.384</v>
      </c>
      <c r="AE35" s="2">
        <f t="shared" si="0"/>
        <v>45.956477</v>
      </c>
      <c r="AF35" s="2">
        <f t="shared" si="0"/>
        <v>28.821000000000002</v>
      </c>
      <c r="AG35" s="2">
        <f t="shared" si="0"/>
        <v>2.29</v>
      </c>
      <c r="AH35" s="2">
        <f t="shared" si="0"/>
        <v>4.8899999999999997</v>
      </c>
      <c r="AI35" s="2">
        <f t="shared" si="0"/>
        <v>25.343</v>
      </c>
      <c r="AJ35" s="2">
        <f t="shared" si="0"/>
        <v>8.7172870000000007</v>
      </c>
      <c r="AK35" s="2">
        <f t="shared" si="0"/>
        <v>3.9460000000000002</v>
      </c>
      <c r="AL35" s="2">
        <f t="shared" si="0"/>
        <v>6.141</v>
      </c>
      <c r="AM35" s="2">
        <f t="shared" si="0"/>
        <v>30.817036000000002</v>
      </c>
      <c r="AN35" s="2">
        <f t="shared" si="0"/>
        <v>5.923311</v>
      </c>
      <c r="AO35" s="2">
        <f t="shared" si="0"/>
        <v>2.5730599999999999</v>
      </c>
      <c r="AP35" s="2" t="e">
        <f t="shared" si="0"/>
        <v>#REF!</v>
      </c>
      <c r="AQ35" s="2" t="e">
        <f t="shared" si="0"/>
        <v>#REF!</v>
      </c>
      <c r="AR35" s="2" t="e">
        <f t="shared" si="0"/>
        <v>#REF!</v>
      </c>
      <c r="AS35" s="2" t="e">
        <f t="shared" si="0"/>
        <v>#REF!</v>
      </c>
      <c r="AT35" s="2" t="e">
        <f t="shared" si="0"/>
        <v>#REF!</v>
      </c>
      <c r="AU35" s="2" t="e">
        <f t="shared" si="0"/>
        <v>#REF!</v>
      </c>
      <c r="AV35" s="2" t="e">
        <f t="shared" si="0"/>
        <v>#REF!</v>
      </c>
      <c r="AW35" s="2" t="e">
        <f t="shared" si="0"/>
        <v>#REF!</v>
      </c>
      <c r="AX35" s="2" t="e">
        <f t="shared" si="0"/>
        <v>#REF!</v>
      </c>
    </row>
    <row r="36" spans="1:50">
      <c r="A36" t="s">
        <v>319</v>
      </c>
      <c r="B36">
        <v>2006</v>
      </c>
      <c r="C36" t="s">
        <v>508</v>
      </c>
      <c r="D36">
        <v>4.2050000000000001</v>
      </c>
      <c r="F36" s="60">
        <v>2007</v>
      </c>
      <c r="G36" s="2">
        <f t="shared" si="1"/>
        <v>8.4715699999999998</v>
      </c>
      <c r="H36" s="2">
        <f t="shared" si="0"/>
        <v>7.0369700000000002</v>
      </c>
      <c r="I36" s="2">
        <f t="shared" si="0"/>
        <v>11.519</v>
      </c>
      <c r="J36" s="2">
        <f t="shared" si="0"/>
        <v>4.2460000000000004</v>
      </c>
      <c r="K36" s="2">
        <f t="shared" si="0"/>
        <v>3.016572</v>
      </c>
      <c r="L36" s="2">
        <f t="shared" si="0"/>
        <v>12.72</v>
      </c>
      <c r="M36" s="2">
        <f t="shared" si="0"/>
        <v>21.296756030000001</v>
      </c>
      <c r="N36" s="2">
        <f t="shared" si="0"/>
        <v>31.96</v>
      </c>
      <c r="O36" s="2">
        <f t="shared" si="0"/>
        <v>2.5111270000000001</v>
      </c>
      <c r="P36" s="2">
        <f t="shared" si="0"/>
        <v>5.7140000000000004</v>
      </c>
      <c r="Q36" s="2">
        <f t="shared" si="0"/>
        <v>30.7</v>
      </c>
      <c r="R36" s="2">
        <f t="shared" si="0"/>
        <v>41.183999999999997</v>
      </c>
      <c r="S36" s="2">
        <f t="shared" si="0"/>
        <v>5.20953</v>
      </c>
      <c r="T36" s="2">
        <f t="shared" si="0"/>
        <v>8.6479999999999997</v>
      </c>
      <c r="U36" s="2">
        <f t="shared" si="0"/>
        <v>0.20799999999999999</v>
      </c>
      <c r="V36" s="2">
        <f t="shared" si="0"/>
        <v>9.4440000000000008</v>
      </c>
      <c r="W36" s="2">
        <f t="shared" si="0"/>
        <v>1.8829009999999999</v>
      </c>
      <c r="X36" s="2">
        <f t="shared" si="0"/>
        <v>35.898000000000003</v>
      </c>
      <c r="Y36" s="2">
        <f t="shared" si="0"/>
        <v>57.624000000000002</v>
      </c>
      <c r="Z36" s="2">
        <f t="shared" si="0"/>
        <v>20.724599999999999</v>
      </c>
      <c r="AA36" s="2">
        <f t="shared" si="0"/>
        <v>16.676894999999998</v>
      </c>
      <c r="AB36" s="2">
        <f t="shared" si="0"/>
        <v>172.11799999999999</v>
      </c>
      <c r="AC36" s="2">
        <f t="shared" si="0"/>
        <v>2.1549999999999998</v>
      </c>
      <c r="AD36" s="2">
        <f t="shared" si="0"/>
        <v>14.589</v>
      </c>
      <c r="AE36" s="2">
        <f t="shared" si="0"/>
        <v>51.461047000000001</v>
      </c>
      <c r="AF36" s="2">
        <f t="shared" si="0"/>
        <v>31.585000000000001</v>
      </c>
      <c r="AG36" s="2">
        <f t="shared" si="0"/>
        <v>2.4500000000000002</v>
      </c>
      <c r="AH36" s="2">
        <f t="shared" si="0"/>
        <v>5.1609999999999996</v>
      </c>
      <c r="AI36" s="2">
        <f t="shared" si="0"/>
        <v>26.138999999999999</v>
      </c>
      <c r="AJ36" s="2">
        <f t="shared" si="0"/>
        <v>8.8138799999999993</v>
      </c>
      <c r="AK36" s="2">
        <f t="shared" si="0"/>
        <v>4.0025839999999997</v>
      </c>
      <c r="AL36" s="2">
        <f t="shared" si="0"/>
        <v>6.4720000000000004</v>
      </c>
      <c r="AM36" s="2">
        <f t="shared" si="0"/>
        <v>31.105988</v>
      </c>
      <c r="AN36" s="2">
        <f t="shared" si="0"/>
        <v>6.2789440000000001</v>
      </c>
      <c r="AO36" s="2">
        <f t="shared" si="0"/>
        <v>2.6019220000000001</v>
      </c>
      <c r="AP36" s="2" t="e">
        <f t="shared" si="0"/>
        <v>#REF!</v>
      </c>
      <c r="AQ36" s="2" t="e">
        <f t="shared" si="0"/>
        <v>#REF!</v>
      </c>
      <c r="AR36" s="2" t="e">
        <f t="shared" si="0"/>
        <v>#REF!</v>
      </c>
      <c r="AS36" s="2" t="e">
        <f t="shared" si="0"/>
        <v>#REF!</v>
      </c>
      <c r="AT36" s="2" t="e">
        <f t="shared" si="0"/>
        <v>#REF!</v>
      </c>
      <c r="AU36" s="2" t="e">
        <f t="shared" si="0"/>
        <v>#REF!</v>
      </c>
      <c r="AV36" s="2" t="e">
        <f t="shared" si="0"/>
        <v>#REF!</v>
      </c>
      <c r="AW36" s="2" t="e">
        <f t="shared" si="0"/>
        <v>#REF!</v>
      </c>
      <c r="AX36" s="2" t="e">
        <f t="shared" si="0"/>
        <v>#REF!</v>
      </c>
    </row>
    <row r="37" spans="1:50">
      <c r="A37" t="s">
        <v>319</v>
      </c>
      <c r="B37">
        <v>2007</v>
      </c>
      <c r="C37" t="s">
        <v>508</v>
      </c>
      <c r="D37">
        <v>4.2460000000000004</v>
      </c>
      <c r="F37" s="60">
        <v>2008</v>
      </c>
      <c r="G37" s="2">
        <f t="shared" si="1"/>
        <v>8.8680289999999999</v>
      </c>
      <c r="H37" s="2">
        <f t="shared" si="0"/>
        <v>7.5913899999999996</v>
      </c>
      <c r="I37" s="2">
        <f t="shared" si="0"/>
        <v>11.804</v>
      </c>
      <c r="J37" s="2">
        <f t="shared" si="0"/>
        <v>4.2850000000000001</v>
      </c>
      <c r="K37" s="2">
        <f t="shared" si="0"/>
        <v>3.1556929999999999</v>
      </c>
      <c r="L37" s="2">
        <f t="shared" si="0"/>
        <v>12.958</v>
      </c>
      <c r="M37" s="2">
        <f t="shared" si="0"/>
        <v>22.91713966</v>
      </c>
      <c r="N37" s="2">
        <f t="shared" si="0"/>
        <v>38.389000000000003</v>
      </c>
      <c r="O37" s="2">
        <f t="shared" si="0"/>
        <v>2.5868359999999999</v>
      </c>
      <c r="P37" s="2">
        <f t="shared" si="0"/>
        <v>5.968</v>
      </c>
      <c r="Q37" s="2">
        <f t="shared" si="0"/>
        <v>30.85</v>
      </c>
      <c r="R37" s="2">
        <f t="shared" si="0"/>
        <v>41.320999999999998</v>
      </c>
      <c r="S37" s="2">
        <f t="shared" si="0"/>
        <v>5.4679440000000001</v>
      </c>
      <c r="T37" s="2">
        <f t="shared" si="0"/>
        <v>9.4484270000000006</v>
      </c>
      <c r="U37" s="2">
        <f t="shared" si="0"/>
        <v>0.21</v>
      </c>
      <c r="V37" s="2">
        <f t="shared" si="0"/>
        <v>10.606</v>
      </c>
      <c r="W37" s="2">
        <f t="shared" si="0"/>
        <v>1.9242809999999999</v>
      </c>
      <c r="X37" s="2">
        <f t="shared" si="0"/>
        <v>36.326999999999998</v>
      </c>
      <c r="Y37" s="2">
        <f t="shared" si="0"/>
        <v>57.865000000000002</v>
      </c>
      <c r="Z37" s="2">
        <f t="shared" si="0"/>
        <v>22.407678000000001</v>
      </c>
      <c r="AA37" s="2">
        <f t="shared" si="0"/>
        <v>17.986143666666699</v>
      </c>
      <c r="AB37" s="2">
        <f t="shared" si="0"/>
        <v>174.916</v>
      </c>
      <c r="AC37" s="2">
        <f t="shared" si="0"/>
        <v>2.198</v>
      </c>
      <c r="AD37" s="2">
        <f t="shared" si="0"/>
        <v>16.079999999999998</v>
      </c>
      <c r="AE37" s="2">
        <f t="shared" si="0"/>
        <v>52.066510000000001</v>
      </c>
      <c r="AF37" s="2">
        <f t="shared" si="0"/>
        <v>34.314</v>
      </c>
      <c r="AG37" s="2">
        <f t="shared" si="0"/>
        <v>2.62</v>
      </c>
      <c r="AH37" s="2">
        <f t="shared" si="0"/>
        <v>5.2759999999999998</v>
      </c>
      <c r="AI37" s="2">
        <f t="shared" si="0"/>
        <v>26.553000000000001</v>
      </c>
      <c r="AJ37" s="2">
        <f t="shared" si="0"/>
        <v>8.8337219999999999</v>
      </c>
      <c r="AK37" s="2">
        <f t="shared" si="0"/>
        <v>4.0312049999999999</v>
      </c>
      <c r="AL37" s="2">
        <f t="shared" si="0"/>
        <v>6.7969999999999997</v>
      </c>
      <c r="AM37" s="2">
        <f t="shared" si="0"/>
        <v>31.252476000000001</v>
      </c>
      <c r="AN37" s="2">
        <f t="shared" si="0"/>
        <v>6.760351</v>
      </c>
      <c r="AO37" s="2">
        <f t="shared" si="0"/>
        <v>2.7011219999999998</v>
      </c>
      <c r="AP37" s="2" t="e">
        <f t="shared" si="0"/>
        <v>#REF!</v>
      </c>
      <c r="AQ37" s="2" t="e">
        <f t="shared" si="0"/>
        <v>#REF!</v>
      </c>
      <c r="AR37" s="2" t="e">
        <f t="shared" si="0"/>
        <v>#REF!</v>
      </c>
      <c r="AS37" s="2" t="e">
        <f t="shared" si="0"/>
        <v>#REF!</v>
      </c>
      <c r="AT37" s="2" t="e">
        <f t="shared" si="0"/>
        <v>#REF!</v>
      </c>
      <c r="AU37" s="2" t="e">
        <f t="shared" si="0"/>
        <v>#REF!</v>
      </c>
      <c r="AV37" s="2" t="e">
        <f t="shared" si="0"/>
        <v>#REF!</v>
      </c>
      <c r="AW37" s="2" t="e">
        <f t="shared" si="0"/>
        <v>#REF!</v>
      </c>
      <c r="AX37" s="2" t="e">
        <f t="shared" si="0"/>
        <v>#REF!</v>
      </c>
    </row>
    <row r="38" spans="1:50">
      <c r="A38" t="s">
        <v>319</v>
      </c>
      <c r="B38">
        <v>2008</v>
      </c>
      <c r="C38" t="s">
        <v>508</v>
      </c>
      <c r="D38">
        <v>4.2850000000000001</v>
      </c>
      <c r="F38" s="60">
        <v>2009</v>
      </c>
      <c r="G38" s="2">
        <f t="shared" si="1"/>
        <v>9.4617059999999995</v>
      </c>
      <c r="H38" s="2">
        <f t="shared" si="0"/>
        <v>7.8151419999999998</v>
      </c>
      <c r="I38" s="2">
        <f t="shared" si="0"/>
        <v>12.023</v>
      </c>
      <c r="J38" s="2">
        <f t="shared" si="0"/>
        <v>4.3600000000000003</v>
      </c>
      <c r="K38" s="2">
        <f t="shared" si="0"/>
        <v>3.1452939999999998</v>
      </c>
      <c r="L38" s="2">
        <f t="shared" si="0"/>
        <v>13.114000000000001</v>
      </c>
      <c r="M38" s="2">
        <f t="shared" si="0"/>
        <v>24.814742644999999</v>
      </c>
      <c r="N38" s="2">
        <f t="shared" si="0"/>
        <v>48.451000000000001</v>
      </c>
      <c r="O38" s="2">
        <f t="shared" si="0"/>
        <v>2.5989270000000002</v>
      </c>
      <c r="P38" s="2">
        <f t="shared" si="0"/>
        <v>6.024</v>
      </c>
      <c r="Q38" s="2">
        <f t="shared" si="0"/>
        <v>31.05</v>
      </c>
      <c r="R38" s="2">
        <f t="shared" si="0"/>
        <v>41.738</v>
      </c>
      <c r="S38" s="2">
        <f t="shared" si="0"/>
        <v>5.5929599999999997</v>
      </c>
      <c r="T38" s="2">
        <f t="shared" si="0"/>
        <v>9.7607189999999999</v>
      </c>
      <c r="U38" s="2">
        <f t="shared" si="0"/>
        <v>0.20499999999999999</v>
      </c>
      <c r="V38" s="2">
        <f t="shared" si="0"/>
        <v>11.744</v>
      </c>
      <c r="W38" s="2">
        <f t="shared" si="0"/>
        <v>1.9024289999999999</v>
      </c>
      <c r="X38" s="2">
        <f t="shared" si="0"/>
        <v>36.598999999999997</v>
      </c>
      <c r="Y38" s="2">
        <f t="shared" si="0"/>
        <v>58.02</v>
      </c>
      <c r="Z38" s="2">
        <f t="shared" si="0"/>
        <v>23.186859999999999</v>
      </c>
      <c r="AA38" s="2">
        <f t="shared" si="0"/>
        <v>18.880660333333299</v>
      </c>
      <c r="AB38" s="2">
        <f t="shared" si="0"/>
        <v>172.89599999999999</v>
      </c>
      <c r="AC38" s="2">
        <f t="shared" si="0"/>
        <v>2.2429999999999999</v>
      </c>
      <c r="AD38" s="2">
        <f t="shared" si="0"/>
        <v>16.495000000000001</v>
      </c>
      <c r="AE38" s="2">
        <f t="shared" si="0"/>
        <v>54.629550000000002</v>
      </c>
      <c r="AF38" s="2">
        <f t="shared" si="0"/>
        <v>35.526620000000001</v>
      </c>
      <c r="AG38" s="2">
        <f t="shared" si="0"/>
        <v>2.83</v>
      </c>
      <c r="AH38" s="2">
        <f t="shared" si="0"/>
        <v>5.4109999999999996</v>
      </c>
      <c r="AI38" s="2">
        <f t="shared" si="0"/>
        <v>26.44</v>
      </c>
      <c r="AJ38" s="2">
        <f t="shared" si="0"/>
        <v>8.8766040000000004</v>
      </c>
      <c r="AK38" s="2">
        <f t="shared" si="0"/>
        <v>4.0518320000000001</v>
      </c>
      <c r="AL38" s="2">
        <f t="shared" si="0"/>
        <v>7.0940000000000003</v>
      </c>
      <c r="AM38" s="2">
        <f t="shared" si="0"/>
        <v>31.035791</v>
      </c>
      <c r="AN38" s="2">
        <f t="shared" si="0"/>
        <v>6.9053649999999998</v>
      </c>
      <c r="AO38" s="2">
        <f t="shared" si="0"/>
        <v>2.9079090000000001</v>
      </c>
      <c r="AP38" s="2" t="e">
        <f t="shared" si="0"/>
        <v>#REF!</v>
      </c>
      <c r="AQ38" s="2" t="e">
        <f t="shared" si="0"/>
        <v>#REF!</v>
      </c>
      <c r="AR38" s="2" t="e">
        <f t="shared" si="0"/>
        <v>#REF!</v>
      </c>
      <c r="AS38" s="2" t="e">
        <f t="shared" si="0"/>
        <v>#REF!</v>
      </c>
      <c r="AT38" s="2" t="e">
        <f t="shared" si="0"/>
        <v>#REF!</v>
      </c>
      <c r="AU38" s="2" t="e">
        <f t="shared" si="0"/>
        <v>#REF!</v>
      </c>
      <c r="AV38" s="2" t="e">
        <f t="shared" si="0"/>
        <v>#REF!</v>
      </c>
      <c r="AW38" s="2" t="e">
        <f t="shared" si="0"/>
        <v>#REF!</v>
      </c>
      <c r="AX38" s="2" t="e">
        <f t="shared" si="0"/>
        <v>#REF!</v>
      </c>
    </row>
    <row r="39" spans="1:50">
      <c r="A39" t="s">
        <v>319</v>
      </c>
      <c r="B39">
        <v>2009</v>
      </c>
      <c r="C39" t="s">
        <v>508</v>
      </c>
      <c r="D39">
        <v>4.3600000000000003</v>
      </c>
      <c r="F39" s="60">
        <v>2010</v>
      </c>
      <c r="G39" s="2">
        <f t="shared" si="1"/>
        <v>10.341404000000001</v>
      </c>
      <c r="H39" s="2">
        <f t="shared" si="0"/>
        <v>8.1680989999999998</v>
      </c>
      <c r="I39" s="2">
        <f t="shared" si="0"/>
        <v>12.269304999999999</v>
      </c>
      <c r="J39" s="2">
        <f t="shared" si="0"/>
        <v>4.4409999999999998</v>
      </c>
      <c r="K39" s="2">
        <f t="shared" si="0"/>
        <v>2.8812190000000002</v>
      </c>
      <c r="L39" s="2">
        <f t="shared" si="0"/>
        <v>13.352</v>
      </c>
      <c r="M39" s="2">
        <f t="shared" si="0"/>
        <v>26.887691905000001</v>
      </c>
      <c r="N39" s="2">
        <f t="shared" si="0"/>
        <v>61.634</v>
      </c>
      <c r="O39" s="2">
        <f t="shared" si="0"/>
        <v>2.5839319999999999</v>
      </c>
      <c r="P39" s="2">
        <f t="shared" si="0"/>
        <v>6.165</v>
      </c>
      <c r="Q39" s="2">
        <f t="shared" si="0"/>
        <v>31.3</v>
      </c>
      <c r="R39" s="2">
        <f t="shared" si="0"/>
        <v>42.302</v>
      </c>
      <c r="S39" s="2">
        <f t="shared" si="0"/>
        <v>5.6798729999999997</v>
      </c>
      <c r="T39" s="2">
        <f t="shared" si="0"/>
        <v>9.9060629999999996</v>
      </c>
      <c r="U39" s="2">
        <f t="shared" si="0"/>
        <v>0.20499999999999999</v>
      </c>
      <c r="V39" s="2">
        <f t="shared" si="0"/>
        <v>13.268000000000001</v>
      </c>
      <c r="W39" s="2">
        <f t="shared" si="0"/>
        <v>1.8727149999999999</v>
      </c>
      <c r="X39" s="2">
        <f t="shared" si="0"/>
        <v>36.984999999999999</v>
      </c>
      <c r="Y39" s="2">
        <f t="shared" si="0"/>
        <v>58.347000000000001</v>
      </c>
      <c r="Z39" s="2">
        <f t="shared" si="0"/>
        <v>24.653383999999999</v>
      </c>
      <c r="AA39" s="2">
        <f t="shared" si="0"/>
        <v>19.947797000000001</v>
      </c>
      <c r="AB39" s="2">
        <f t="shared" si="0"/>
        <v>170.47399999999999</v>
      </c>
      <c r="AC39" s="2">
        <f t="shared" si="0"/>
        <v>2.3050000000000002</v>
      </c>
      <c r="AD39" s="2">
        <f t="shared" si="0"/>
        <v>17.239999999999998</v>
      </c>
      <c r="AE39" s="2">
        <f t="shared" si="0"/>
        <v>58.298105999999997</v>
      </c>
      <c r="AF39" s="2">
        <f t="shared" si="0"/>
        <v>36.955415000000002</v>
      </c>
      <c r="AG39" s="2">
        <f t="shared" si="0"/>
        <v>3.11</v>
      </c>
      <c r="AH39" s="2">
        <f t="shared" si="0"/>
        <v>5.3190689999999998</v>
      </c>
      <c r="AI39" s="2">
        <f t="shared" si="0"/>
        <v>26.626999999999999</v>
      </c>
      <c r="AJ39" s="2">
        <f t="shared" si="0"/>
        <v>8.9902829999999998</v>
      </c>
      <c r="AK39" s="2">
        <f t="shared" si="0"/>
        <v>4.1196840000000003</v>
      </c>
      <c r="AL39" s="2">
        <f t="shared" si="0"/>
        <v>7.5449999999999999</v>
      </c>
      <c r="AM39" s="2">
        <f t="shared" si="0"/>
        <v>31.258196999999999</v>
      </c>
      <c r="AN39" s="2">
        <f t="shared" si="0"/>
        <v>7.1742900000000001</v>
      </c>
      <c r="AO39" s="2">
        <f t="shared" si="0"/>
        <v>2.8952969999999998</v>
      </c>
      <c r="AP39" s="2" t="e">
        <f t="shared" si="0"/>
        <v>#REF!</v>
      </c>
      <c r="AQ39" s="2" t="e">
        <f t="shared" si="0"/>
        <v>#REF!</v>
      </c>
      <c r="AR39" s="2" t="e">
        <f t="shared" si="0"/>
        <v>#REF!</v>
      </c>
      <c r="AS39" s="2" t="e">
        <f t="shared" si="0"/>
        <v>#REF!</v>
      </c>
      <c r="AT39" s="2" t="e">
        <f t="shared" si="0"/>
        <v>#REF!</v>
      </c>
      <c r="AU39" s="2" t="e">
        <f t="shared" si="0"/>
        <v>#REF!</v>
      </c>
      <c r="AV39" s="2" t="e">
        <f t="shared" si="0"/>
        <v>#REF!</v>
      </c>
      <c r="AW39" s="2" t="e">
        <f t="shared" si="0"/>
        <v>#REF!</v>
      </c>
      <c r="AX39" s="2" t="e">
        <f t="shared" si="0"/>
        <v>#REF!</v>
      </c>
    </row>
    <row r="40" spans="1:50">
      <c r="A40" t="s">
        <v>319</v>
      </c>
      <c r="B40">
        <v>2010</v>
      </c>
      <c r="C40" t="s">
        <v>508</v>
      </c>
      <c r="D40">
        <v>4.4409999999999998</v>
      </c>
      <c r="F40" s="60">
        <v>2011</v>
      </c>
      <c r="G40" s="2">
        <f t="shared" si="1"/>
        <v>10.914955000000001</v>
      </c>
      <c r="H40" s="2">
        <f t="shared" si="0"/>
        <v>8.5718429999999994</v>
      </c>
      <c r="I40" s="2">
        <f t="shared" si="0"/>
        <v>12.474</v>
      </c>
      <c r="J40" s="2">
        <f t="shared" si="0"/>
        <v>4.5129999999999999</v>
      </c>
      <c r="K40" s="2">
        <f t="shared" si="0"/>
        <v>2.899613</v>
      </c>
      <c r="L40" s="2">
        <f t="shared" si="0"/>
        <v>13.564</v>
      </c>
      <c r="M40" s="2">
        <f t="shared" si="0"/>
        <v>28.945932710000001</v>
      </c>
      <c r="N40" s="2">
        <f t="shared" si="0"/>
        <v>74.849999999999994</v>
      </c>
      <c r="O40" s="2">
        <f t="shared" si="0"/>
        <v>2.5921090000000002</v>
      </c>
      <c r="P40" s="2">
        <f t="shared" si="0"/>
        <v>6.3319999999999999</v>
      </c>
      <c r="Q40" s="2">
        <f t="shared" si="0"/>
        <v>31.55</v>
      </c>
      <c r="R40" s="2">
        <f t="shared" si="0"/>
        <v>42.927999999999997</v>
      </c>
      <c r="S40" s="2">
        <f t="shared" si="0"/>
        <v>5.6735910000000001</v>
      </c>
      <c r="T40" s="2">
        <f t="shared" ref="H40:AX44" si="2">GETPIVOTDATA("mVeh",$F$1,"veh_type",$F$33,"year",$F40,"ActiveReg",T$32)</f>
        <v>9.9968079999999997</v>
      </c>
      <c r="U40" s="2">
        <f t="shared" si="2"/>
        <v>0.20611199999999999</v>
      </c>
      <c r="V40" s="2">
        <f t="shared" si="2"/>
        <v>15.026999999999999</v>
      </c>
      <c r="W40" s="2">
        <f t="shared" si="2"/>
        <v>1.88781</v>
      </c>
      <c r="X40" s="2">
        <f t="shared" si="2"/>
        <v>37.353000000000002</v>
      </c>
      <c r="Y40" s="2">
        <f t="shared" si="2"/>
        <v>58.67</v>
      </c>
      <c r="Z40" s="2">
        <f t="shared" si="2"/>
        <v>26.271432000000001</v>
      </c>
      <c r="AA40" s="2">
        <f t="shared" si="2"/>
        <v>22.121991000000001</v>
      </c>
      <c r="AB40" s="2">
        <f t="shared" si="2"/>
        <v>170.559</v>
      </c>
      <c r="AC40" s="2">
        <f t="shared" si="2"/>
        <v>2.37</v>
      </c>
      <c r="AD40" s="2">
        <f t="shared" si="2"/>
        <v>17.872</v>
      </c>
      <c r="AE40" s="2">
        <f t="shared" si="2"/>
        <v>62.126663000000001</v>
      </c>
      <c r="AF40" s="2">
        <f t="shared" si="2"/>
        <v>39.165548000000001</v>
      </c>
      <c r="AG40" s="2">
        <f t="shared" si="2"/>
        <v>3.41</v>
      </c>
      <c r="AH40" s="2">
        <f t="shared" si="2"/>
        <v>5.5069220000000003</v>
      </c>
      <c r="AI40" s="2">
        <f t="shared" si="2"/>
        <v>26.798999999999999</v>
      </c>
      <c r="AJ40" s="2">
        <f t="shared" si="2"/>
        <v>9.1364959999999993</v>
      </c>
      <c r="AK40" s="2">
        <f t="shared" si="2"/>
        <v>4.2096720000000003</v>
      </c>
      <c r="AL40" s="2">
        <f t="shared" si="2"/>
        <v>8.1129999999999995</v>
      </c>
      <c r="AM40" s="2">
        <f t="shared" si="2"/>
        <v>31.362715999999999</v>
      </c>
      <c r="AN40" s="2">
        <f t="shared" si="2"/>
        <v>7.3279730000000001</v>
      </c>
      <c r="AO40" s="2">
        <f t="shared" si="2"/>
        <v>3.0268220000000001</v>
      </c>
      <c r="AP40" s="2" t="e">
        <f t="shared" si="2"/>
        <v>#REF!</v>
      </c>
      <c r="AQ40" s="2" t="e">
        <f t="shared" si="2"/>
        <v>#REF!</v>
      </c>
      <c r="AR40" s="2" t="e">
        <f t="shared" si="2"/>
        <v>#REF!</v>
      </c>
      <c r="AS40" s="2" t="e">
        <f t="shared" si="2"/>
        <v>#REF!</v>
      </c>
      <c r="AT40" s="2" t="e">
        <f t="shared" si="2"/>
        <v>#REF!</v>
      </c>
      <c r="AU40" s="2" t="e">
        <f t="shared" si="2"/>
        <v>#REF!</v>
      </c>
      <c r="AV40" s="2" t="e">
        <f t="shared" si="2"/>
        <v>#REF!</v>
      </c>
      <c r="AW40" s="2" t="e">
        <f t="shared" si="2"/>
        <v>#REF!</v>
      </c>
      <c r="AX40" s="2" t="e">
        <f t="shared" si="2"/>
        <v>#REF!</v>
      </c>
    </row>
    <row r="41" spans="1:50">
      <c r="A41" t="s">
        <v>319</v>
      </c>
      <c r="B41">
        <v>2011</v>
      </c>
      <c r="C41" t="s">
        <v>508</v>
      </c>
      <c r="D41">
        <v>4.5129999999999999</v>
      </c>
      <c r="F41" s="60">
        <v>2012</v>
      </c>
      <c r="G41" s="2">
        <f t="shared" si="1"/>
        <v>11.497769999999999</v>
      </c>
      <c r="H41" s="2">
        <f t="shared" si="2"/>
        <v>9.0576910000000002</v>
      </c>
      <c r="I41" s="2">
        <f t="shared" si="2"/>
        <v>12.714235</v>
      </c>
      <c r="J41" s="2">
        <f t="shared" si="2"/>
        <v>4.5839999999999996</v>
      </c>
      <c r="K41" s="2">
        <f t="shared" si="2"/>
        <v>2.973814</v>
      </c>
      <c r="L41" s="2">
        <f t="shared" si="2"/>
        <v>13.664463</v>
      </c>
      <c r="M41" s="2">
        <f t="shared" si="2"/>
        <v>31.122621939999998</v>
      </c>
      <c r="N41" s="2">
        <f t="shared" si="2"/>
        <v>87.376000000000005</v>
      </c>
      <c r="O41" s="2">
        <f t="shared" si="2"/>
        <v>2.5191870000000001</v>
      </c>
      <c r="P41" s="2">
        <f t="shared" si="2"/>
        <v>6.5250000000000004</v>
      </c>
      <c r="Q41" s="2">
        <f t="shared" si="2"/>
        <v>31.6</v>
      </c>
      <c r="R41" s="2">
        <f t="shared" si="2"/>
        <v>43.430999999999997</v>
      </c>
      <c r="S41" s="2">
        <f t="shared" si="2"/>
        <v>5.642557</v>
      </c>
      <c r="T41" s="2">
        <f t="shared" si="2"/>
        <v>10.279842</v>
      </c>
      <c r="U41" s="2">
        <f t="shared" si="2"/>
        <v>0.21007000000000001</v>
      </c>
      <c r="V41" s="2">
        <f t="shared" si="2"/>
        <v>16.896000000000001</v>
      </c>
      <c r="W41" s="2">
        <f t="shared" si="2"/>
        <v>1.8825499999999999</v>
      </c>
      <c r="X41" s="2">
        <f t="shared" si="2"/>
        <v>37.327612000000002</v>
      </c>
      <c r="Y41" s="2">
        <f t="shared" si="2"/>
        <v>59.420999999999999</v>
      </c>
      <c r="Z41" s="2">
        <f t="shared" si="2"/>
        <v>27.725079999999998</v>
      </c>
      <c r="AA41" s="2">
        <f t="shared" si="2"/>
        <v>24.065127</v>
      </c>
      <c r="AB41" s="2">
        <f t="shared" si="2"/>
        <v>165.123628</v>
      </c>
      <c r="AC41" s="2">
        <f t="shared" si="2"/>
        <v>2.4329999999999998</v>
      </c>
      <c r="AD41" s="2">
        <f t="shared" si="2"/>
        <v>18.744</v>
      </c>
      <c r="AE41" s="2">
        <f t="shared" si="2"/>
        <v>66.418843666666604</v>
      </c>
      <c r="AF41" s="2">
        <f t="shared" si="2"/>
        <v>41.230575000000002</v>
      </c>
      <c r="AG41" s="2">
        <f t="shared" si="2"/>
        <v>3.6890000000000001</v>
      </c>
      <c r="AH41" s="2">
        <f t="shared" si="2"/>
        <v>5.733314</v>
      </c>
      <c r="AI41" s="2">
        <f t="shared" si="2"/>
        <v>26.745000000000001</v>
      </c>
      <c r="AJ41" s="2">
        <f t="shared" si="2"/>
        <v>9.2471899999999998</v>
      </c>
      <c r="AK41" s="2">
        <f t="shared" si="2"/>
        <v>4.3000360000000004</v>
      </c>
      <c r="AL41" s="2">
        <f t="shared" si="2"/>
        <v>8.6489999999999991</v>
      </c>
      <c r="AM41" s="2">
        <f t="shared" si="2"/>
        <v>31.481999999999999</v>
      </c>
      <c r="AN41" s="2">
        <f t="shared" si="2"/>
        <v>7.5923790000000002</v>
      </c>
      <c r="AO41" s="2">
        <f t="shared" si="2"/>
        <v>2.9380630000000001</v>
      </c>
      <c r="AP41" s="2" t="e">
        <f t="shared" si="2"/>
        <v>#REF!</v>
      </c>
      <c r="AQ41" s="2" t="e">
        <f t="shared" si="2"/>
        <v>#REF!</v>
      </c>
      <c r="AR41" s="2" t="e">
        <f t="shared" si="2"/>
        <v>#REF!</v>
      </c>
      <c r="AS41" s="2" t="e">
        <f t="shared" si="2"/>
        <v>#REF!</v>
      </c>
      <c r="AT41" s="2" t="e">
        <f t="shared" si="2"/>
        <v>#REF!</v>
      </c>
      <c r="AU41" s="2" t="e">
        <f t="shared" si="2"/>
        <v>#REF!</v>
      </c>
      <c r="AV41" s="2" t="e">
        <f t="shared" si="2"/>
        <v>#REF!</v>
      </c>
      <c r="AW41" s="2" t="e">
        <f t="shared" si="2"/>
        <v>#REF!</v>
      </c>
      <c r="AX41" s="2" t="e">
        <f t="shared" si="2"/>
        <v>#REF!</v>
      </c>
    </row>
    <row r="42" spans="1:50">
      <c r="A42" t="s">
        <v>319</v>
      </c>
      <c r="B42">
        <v>2012</v>
      </c>
      <c r="C42" t="s">
        <v>508</v>
      </c>
      <c r="D42">
        <v>4.5839999999999996</v>
      </c>
      <c r="F42" s="60">
        <v>2013</v>
      </c>
      <c r="G42" s="2">
        <f t="shared" si="1"/>
        <v>12.123381</v>
      </c>
      <c r="H42" s="2">
        <f t="shared" si="2"/>
        <v>9.5199680000000004</v>
      </c>
      <c r="I42" s="2">
        <f t="shared" si="2"/>
        <v>13.000021</v>
      </c>
      <c r="J42" s="2">
        <f t="shared" si="2"/>
        <v>4.6413080000000004</v>
      </c>
      <c r="K42" s="2">
        <f t="shared" si="2"/>
        <v>3.072085</v>
      </c>
      <c r="L42" s="2">
        <f t="shared" si="2"/>
        <v>13.956542000000001</v>
      </c>
      <c r="M42" s="2">
        <f t="shared" si="2"/>
        <v>33.091826185000002</v>
      </c>
      <c r="N42" s="2">
        <f t="shared" si="2"/>
        <v>101.3608</v>
      </c>
      <c r="O42" s="2">
        <f t="shared" si="2"/>
        <v>2.5202209999999998</v>
      </c>
      <c r="P42" s="2">
        <f t="shared" si="2"/>
        <v>6.7028759999999998</v>
      </c>
      <c r="Q42" s="2">
        <f t="shared" si="2"/>
        <v>31.65</v>
      </c>
      <c r="R42" s="2">
        <f t="shared" si="2"/>
        <v>43.851230000000001</v>
      </c>
      <c r="S42" s="2">
        <f t="shared" si="2"/>
        <v>5.5987689999999999</v>
      </c>
      <c r="T42" s="2">
        <f t="shared" si="2"/>
        <v>10.644617999999999</v>
      </c>
      <c r="U42" s="2">
        <f t="shared" si="2"/>
        <v>0.213113</v>
      </c>
      <c r="V42" s="2">
        <f t="shared" si="2"/>
        <v>18.917999999999999</v>
      </c>
      <c r="W42" s="2">
        <f t="shared" si="2"/>
        <v>1.9101649999999999</v>
      </c>
      <c r="X42" s="2">
        <f t="shared" si="2"/>
        <v>37.219029999999997</v>
      </c>
      <c r="Y42" s="2">
        <f t="shared" si="2"/>
        <v>60.035848000000001</v>
      </c>
      <c r="Z42" s="2">
        <f t="shared" si="2"/>
        <v>28.922757000000001</v>
      </c>
      <c r="AA42" s="2">
        <f t="shared" si="2"/>
        <v>25.967972</v>
      </c>
      <c r="AB42" s="2">
        <f t="shared" si="2"/>
        <v>166.29563300000001</v>
      </c>
      <c r="AC42" s="2">
        <f t="shared" si="2"/>
        <v>2.4873530000000001</v>
      </c>
      <c r="AD42" s="2">
        <f t="shared" si="2"/>
        <v>19.342120000000001</v>
      </c>
      <c r="AE42" s="2">
        <f t="shared" si="2"/>
        <v>69.548970333333301</v>
      </c>
      <c r="AF42" s="2">
        <f t="shared" si="2"/>
        <v>44.002445000000002</v>
      </c>
      <c r="AG42" s="2">
        <f t="shared" si="2"/>
        <v>3.8675000000000002</v>
      </c>
      <c r="AH42" s="2">
        <f t="shared" si="2"/>
        <v>5.9672219999999996</v>
      </c>
      <c r="AI42" s="2">
        <f t="shared" si="2"/>
        <v>26.504538</v>
      </c>
      <c r="AJ42" s="2">
        <f t="shared" si="2"/>
        <v>9.3512160000000009</v>
      </c>
      <c r="AK42" s="2">
        <f t="shared" si="2"/>
        <v>4.3668950000000004</v>
      </c>
      <c r="AL42" s="2">
        <f t="shared" si="2"/>
        <v>9.2839229999999997</v>
      </c>
      <c r="AM42" s="2">
        <f t="shared" si="2"/>
        <v>32.103000000000002</v>
      </c>
      <c r="AN42" s="2">
        <f t="shared" si="2"/>
        <v>7.8344180000000003</v>
      </c>
      <c r="AO42" s="2">
        <f t="shared" si="2"/>
        <v>3.1317089999999999</v>
      </c>
      <c r="AP42" s="2" t="e">
        <f t="shared" si="2"/>
        <v>#REF!</v>
      </c>
      <c r="AQ42" s="2" t="e">
        <f t="shared" si="2"/>
        <v>#REF!</v>
      </c>
      <c r="AR42" s="2" t="e">
        <f t="shared" si="2"/>
        <v>#REF!</v>
      </c>
      <c r="AS42" s="2" t="e">
        <f t="shared" si="2"/>
        <v>#REF!</v>
      </c>
      <c r="AT42" s="2" t="e">
        <f t="shared" si="2"/>
        <v>#REF!</v>
      </c>
      <c r="AU42" s="2" t="e">
        <f t="shared" si="2"/>
        <v>#REF!</v>
      </c>
      <c r="AV42" s="2" t="e">
        <f t="shared" si="2"/>
        <v>#REF!</v>
      </c>
      <c r="AW42" s="2" t="e">
        <f t="shared" si="2"/>
        <v>#REF!</v>
      </c>
      <c r="AX42" s="2" t="e">
        <f t="shared" si="2"/>
        <v>#REF!</v>
      </c>
    </row>
    <row r="43" spans="1:50">
      <c r="A43" t="s">
        <v>319</v>
      </c>
      <c r="B43">
        <v>2013</v>
      </c>
      <c r="C43" t="s">
        <v>508</v>
      </c>
      <c r="D43">
        <v>4.6413080000000004</v>
      </c>
      <c r="F43" s="60">
        <v>2014</v>
      </c>
      <c r="G43" s="2">
        <f t="shared" si="1"/>
        <v>12.821766</v>
      </c>
      <c r="H43" s="2">
        <f t="shared" si="2"/>
        <v>10.067513</v>
      </c>
      <c r="I43" s="2">
        <f t="shared" si="2"/>
        <v>13.29726</v>
      </c>
      <c r="J43" s="2">
        <f t="shared" si="2"/>
        <v>4.6949209999999999</v>
      </c>
      <c r="K43" s="2">
        <f t="shared" si="2"/>
        <v>2.516467</v>
      </c>
      <c r="L43" s="2">
        <f t="shared" si="2"/>
        <v>14.076907</v>
      </c>
      <c r="M43" s="2">
        <f t="shared" si="2"/>
        <v>34.676231829999999</v>
      </c>
      <c r="N43" s="2">
        <f t="shared" si="2"/>
        <v>117.48191300000001</v>
      </c>
      <c r="O43" s="2">
        <f t="shared" si="2"/>
        <v>2.5514570000000001</v>
      </c>
      <c r="P43" s="2">
        <f t="shared" si="2"/>
        <v>6.889208</v>
      </c>
      <c r="Q43" s="2">
        <f t="shared" si="2"/>
        <v>31.8</v>
      </c>
      <c r="R43" s="2">
        <f t="shared" si="2"/>
        <v>44.403123999999998</v>
      </c>
      <c r="S43" s="2">
        <f t="shared" si="2"/>
        <v>5.5806950000000004</v>
      </c>
      <c r="T43" s="2">
        <f t="shared" si="2"/>
        <v>11.027188000000001</v>
      </c>
      <c r="U43" s="2">
        <f t="shared" si="2"/>
        <v>0.21745400000000001</v>
      </c>
      <c r="V43" s="2">
        <f t="shared" si="2"/>
        <v>20.442</v>
      </c>
      <c r="W43" s="2">
        <f t="shared" si="2"/>
        <v>1.9438679999999999</v>
      </c>
      <c r="X43" s="2">
        <f t="shared" si="2"/>
        <v>37.346702999999998</v>
      </c>
      <c r="Y43" s="2">
        <f t="shared" si="2"/>
        <v>60.66807</v>
      </c>
      <c r="Z43" s="2">
        <f t="shared" si="2"/>
        <v>30.518965999999999</v>
      </c>
      <c r="AA43" s="2">
        <f t="shared" si="2"/>
        <v>27.695111000000001</v>
      </c>
      <c r="AB43" s="2">
        <f t="shared" si="2"/>
        <v>168.25731500000001</v>
      </c>
      <c r="AC43" s="2">
        <f t="shared" si="2"/>
        <v>2.539552</v>
      </c>
      <c r="AD43" s="2">
        <f t="shared" si="2"/>
        <v>19.978588999999999</v>
      </c>
      <c r="AE43" s="2">
        <f t="shared" si="2"/>
        <v>74.737973999999994</v>
      </c>
      <c r="AF43" s="2">
        <f t="shared" si="2"/>
        <v>46.326385999999999</v>
      </c>
      <c r="AG43" s="2">
        <f t="shared" si="2"/>
        <v>4.1100000000000003</v>
      </c>
      <c r="AH43" s="2">
        <f t="shared" si="2"/>
        <v>6.1883319999999999</v>
      </c>
      <c r="AI43" s="2">
        <f t="shared" si="2"/>
        <v>26.525511999999999</v>
      </c>
      <c r="AJ43" s="2">
        <f t="shared" si="2"/>
        <v>9.5025580000000005</v>
      </c>
      <c r="AK43" s="2">
        <f t="shared" si="2"/>
        <v>4.4303749999999997</v>
      </c>
      <c r="AL43" s="2">
        <f t="shared" si="2"/>
        <v>9.8579150000000002</v>
      </c>
      <c r="AM43" s="2">
        <f t="shared" si="2"/>
        <v>32.612782000000003</v>
      </c>
      <c r="AN43" s="2">
        <f t="shared" si="2"/>
        <v>7.8525609999999997</v>
      </c>
      <c r="AO43" s="2">
        <f t="shared" si="2"/>
        <v>3.348007</v>
      </c>
      <c r="AP43" s="2" t="e">
        <f t="shared" si="2"/>
        <v>#REF!</v>
      </c>
      <c r="AQ43" s="2" t="e">
        <f t="shared" si="2"/>
        <v>#REF!</v>
      </c>
      <c r="AR43" s="2" t="e">
        <f t="shared" si="2"/>
        <v>#REF!</v>
      </c>
      <c r="AS43" s="2" t="e">
        <f t="shared" si="2"/>
        <v>#REF!</v>
      </c>
      <c r="AT43" s="2" t="e">
        <f t="shared" si="2"/>
        <v>#REF!</v>
      </c>
      <c r="AU43" s="2" t="e">
        <f t="shared" si="2"/>
        <v>#REF!</v>
      </c>
      <c r="AV43" s="2" t="e">
        <f t="shared" si="2"/>
        <v>#REF!</v>
      </c>
      <c r="AW43" s="2" t="e">
        <f t="shared" si="2"/>
        <v>#REF!</v>
      </c>
      <c r="AX43" s="2" t="e">
        <f t="shared" si="2"/>
        <v>#REF!</v>
      </c>
    </row>
    <row r="44" spans="1:50">
      <c r="A44" t="s">
        <v>319</v>
      </c>
      <c r="B44">
        <v>2014</v>
      </c>
      <c r="C44" t="s">
        <v>508</v>
      </c>
      <c r="D44">
        <v>4.6949209999999999</v>
      </c>
      <c r="F44" s="60">
        <v>2015</v>
      </c>
      <c r="G44" s="2">
        <f t="shared" si="1"/>
        <v>13.794338</v>
      </c>
      <c r="H44" s="2">
        <f t="shared" si="2"/>
        <v>10.632235</v>
      </c>
      <c r="I44" s="2">
        <f t="shared" si="2"/>
        <v>13.549448999999999</v>
      </c>
      <c r="J44" s="2">
        <f t="shared" si="2"/>
        <v>4.7480479999999998</v>
      </c>
      <c r="K44" s="2">
        <f t="shared" si="2"/>
        <v>2.5997110000000001</v>
      </c>
      <c r="L44" s="2">
        <f t="shared" si="2"/>
        <v>14.304275000000001</v>
      </c>
      <c r="M44" s="2">
        <f t="shared" si="2"/>
        <v>35.471423000000001</v>
      </c>
      <c r="N44" s="2">
        <f t="shared" si="2"/>
        <v>135.804833</v>
      </c>
      <c r="O44" s="2">
        <f t="shared" si="2"/>
        <v>2.587488</v>
      </c>
      <c r="P44" s="2">
        <f t="shared" si="2"/>
        <v>7.196288</v>
      </c>
      <c r="Q44" s="2">
        <f t="shared" si="2"/>
        <v>32</v>
      </c>
      <c r="R44" s="2">
        <f t="shared" si="2"/>
        <v>45.071209000000003</v>
      </c>
      <c r="S44" s="2">
        <f t="shared" si="2"/>
        <v>5.5926</v>
      </c>
      <c r="T44" s="2">
        <f t="shared" si="2"/>
        <v>11.512074999999999</v>
      </c>
      <c r="U44" s="2">
        <f t="shared" si="2"/>
        <v>0.22632099999999999</v>
      </c>
      <c r="V44" s="2">
        <f t="shared" si="2"/>
        <v>22.468</v>
      </c>
      <c r="W44" s="2">
        <f t="shared" si="2"/>
        <v>1.9851300000000001</v>
      </c>
      <c r="X44" s="2">
        <f t="shared" si="2"/>
        <v>37.626612999999999</v>
      </c>
      <c r="Y44" s="2">
        <f t="shared" si="2"/>
        <v>60.987882999999997</v>
      </c>
      <c r="Z44" s="2">
        <f t="shared" si="2"/>
        <v>31.461389</v>
      </c>
      <c r="AA44" s="2">
        <f t="shared" si="2"/>
        <v>29.563624999999998</v>
      </c>
      <c r="AB44" s="2">
        <f t="shared" si="2"/>
        <v>171.327125</v>
      </c>
      <c r="AC44" s="2">
        <f t="shared" si="2"/>
        <v>2.59239</v>
      </c>
      <c r="AD44" s="2">
        <f t="shared" si="2"/>
        <v>20.688174</v>
      </c>
      <c r="AE44" s="2">
        <f t="shared" si="2"/>
        <v>78.497225</v>
      </c>
      <c r="AF44" s="2">
        <f t="shared" si="2"/>
        <v>47.290320999999999</v>
      </c>
      <c r="AG44" s="2">
        <f t="shared" si="2"/>
        <v>4.4000000000000004</v>
      </c>
      <c r="AH44" s="2">
        <f t="shared" si="2"/>
        <v>6.383756</v>
      </c>
      <c r="AI44" s="2">
        <f t="shared" si="2"/>
        <v>26.948705</v>
      </c>
      <c r="AJ44" s="2">
        <f t="shared" si="2"/>
        <v>9.6740639999999996</v>
      </c>
      <c r="AK44" s="2">
        <f t="shared" si="2"/>
        <v>4.5038650000000002</v>
      </c>
      <c r="AL44" s="2">
        <f t="shared" si="2"/>
        <v>10.589337</v>
      </c>
      <c r="AM44" s="2">
        <f t="shared" si="2"/>
        <v>33.542448</v>
      </c>
      <c r="AN44" s="2">
        <f t="shared" si="2"/>
        <v>7.9298130000000002</v>
      </c>
      <c r="AO44" s="2">
        <f t="shared" si="2"/>
        <v>3.449462</v>
      </c>
      <c r="AP44" s="2" t="e">
        <f t="shared" si="2"/>
        <v>#REF!</v>
      </c>
      <c r="AQ44" s="2" t="e">
        <f t="shared" si="2"/>
        <v>#REF!</v>
      </c>
      <c r="AR44" s="2" t="e">
        <f t="shared" si="2"/>
        <v>#REF!</v>
      </c>
      <c r="AS44" s="2" t="e">
        <f t="shared" si="2"/>
        <v>#REF!</v>
      </c>
      <c r="AT44" s="2" t="e">
        <f t="shared" si="2"/>
        <v>#REF!</v>
      </c>
      <c r="AU44" s="2" t="e">
        <f t="shared" si="2"/>
        <v>#REF!</v>
      </c>
      <c r="AV44" s="2" t="e">
        <f t="shared" si="2"/>
        <v>#REF!</v>
      </c>
      <c r="AW44" s="2" t="e">
        <f t="shared" si="2"/>
        <v>#REF!</v>
      </c>
      <c r="AX44" s="2" t="e">
        <f t="shared" si="2"/>
        <v>#REF!</v>
      </c>
    </row>
    <row r="45" spans="1:50">
      <c r="A45" t="s">
        <v>319</v>
      </c>
      <c r="B45">
        <v>2015</v>
      </c>
      <c r="C45" t="s">
        <v>508</v>
      </c>
      <c r="D45">
        <v>4.7480479999999998</v>
      </c>
      <c r="F45" s="47">
        <v>2019</v>
      </c>
      <c r="G45" s="62" cm="1">
        <f t="array" ref="G45">TREND(G40:G44,$F$40:$F$44,$F45)</f>
        <v>16.480099200000041</v>
      </c>
      <c r="H45" s="62" cm="1">
        <f t="array" ref="H45">TREND(H40:H44,$F$40:$F$44,$F45)</f>
        <v>12.648213599999849</v>
      </c>
      <c r="I45" s="62" cm="1">
        <f t="array" ref="I45">TREND(I40:I44,$F$40:$F$44,$F45)</f>
        <v>14.647346800000037</v>
      </c>
      <c r="J45" s="62" cm="1">
        <f t="array" ref="J45">TREND(J40:J44,$F$40:$F$44,$F45)</f>
        <v>4.984865599999992</v>
      </c>
      <c r="K45" s="62" cm="1">
        <f t="array" ref="K45">TREND(K40:K44,$F$40:$F$44,$F45)</f>
        <v>2.178047399999997</v>
      </c>
      <c r="L45" s="62" cm="1">
        <f t="array" ref="L45">TREND(L40:L44,$F$40:$F$44,$F45)</f>
        <v>15.049033800000018</v>
      </c>
      <c r="M45" s="62" cm="1">
        <f t="array" ref="M45">TREND(M40:M44,$F$40:$F$44,$F45)</f>
        <v>42.624361414999839</v>
      </c>
      <c r="N45" s="62" cm="1">
        <f t="array" ref="N45">TREND(N40:N44,$F$40:$F$44,$F45)</f>
        <v>194.58405660000062</v>
      </c>
      <c r="O45" s="62" cm="1">
        <f t="array" ref="O45">TREND(O40:O44,$F$40:$F$44,$F45)</f>
        <v>2.5679092000000003</v>
      </c>
      <c r="P45" s="62" cm="1">
        <f t="array" ref="P45">TREND(P40:P44,$F$40:$F$44,$F45)</f>
        <v>7.9847447999999872</v>
      </c>
      <c r="Q45" s="62" cm="1">
        <f t="array" ref="Q45">TREND(Q40:Q44,$F$40:$F$44,$F45)</f>
        <v>32.379999999999995</v>
      </c>
      <c r="R45" s="62" cm="1">
        <f t="array" ref="R45">TREND(R40:R44,$F$40:$F$44,$F45)</f>
        <v>47.092037800000185</v>
      </c>
      <c r="S45" s="62" cm="1">
        <f t="array" ref="S45">TREND(S40:S44,$F$40:$F$44,$F45)</f>
        <v>5.4833360000000013</v>
      </c>
      <c r="T45" s="62" cm="1">
        <f t="array" ref="T45">TREND(T40:T44,$F$40:$F$44,$F45)</f>
        <v>12.958834199999956</v>
      </c>
      <c r="U45" s="62" cm="1">
        <f t="array" ref="U45">TREND(U40:U44,$F$40:$F$44,$F45)</f>
        <v>0.2432951999999986</v>
      </c>
      <c r="V45" s="62" cm="1">
        <f t="array" ref="V45">TREND(V40:V44,$F$40:$F$44,$F45)</f>
        <v>29.806999999999789</v>
      </c>
      <c r="W45" s="62" cm="1">
        <f t="array" ref="W45">TREND(W40:W44,$F$40:$F$44,$F45)</f>
        <v>2.075479399999999</v>
      </c>
      <c r="X45" s="62" cm="1">
        <f t="array" ref="X45">TREND(X40:X44,$F$40:$F$44,$F45)</f>
        <v>37.714381799999998</v>
      </c>
      <c r="Y45" s="62" cm="1">
        <f t="array" ref="Y45">TREND(Y40:Y44,$F$40:$F$44,$F45)</f>
        <v>63.486261799999966</v>
      </c>
      <c r="Z45" s="62" cm="1">
        <f t="array" ref="Z45">TREND(Z40:Z44,$F$40:$F$44,$F45)</f>
        <v>36.884204799999679</v>
      </c>
      <c r="AA45" s="62" cm="1">
        <f t="array" ref="AA45">TREND(AA40:AA44,$F$40:$F$44,$F45)</f>
        <v>36.99071640000011</v>
      </c>
      <c r="AB45" s="62" cm="1">
        <f t="array" ref="AB45">TREND(AB40:AB44,$F$40:$F$44,$F45)</f>
        <v>171.11450239999988</v>
      </c>
      <c r="AC45" s="62" cm="1">
        <f t="array" ref="AC45">TREND(AC40:AC44,$F$40:$F$44,$F45)</f>
        <v>2.8152581999999882</v>
      </c>
      <c r="AD45" s="62" cm="1">
        <f t="array" ref="AD45">TREND(AD40:AD44,$F$40:$F$44,$F45)</f>
        <v>23.445138799999768</v>
      </c>
      <c r="AE45" s="62" cm="1">
        <f t="array" ref="AE45">TREND(AE40:AE44,$F$40:$F$44,$F45)</f>
        <v>94.902087799999208</v>
      </c>
      <c r="AF45" s="62" cm="1">
        <f t="array" ref="AF45">TREND(AF40:AF44,$F$40:$F$44,$F45)</f>
        <v>56.410269199999675</v>
      </c>
      <c r="AG45" s="62" cm="1">
        <f t="array" ref="AG45">TREND(AG40:AG44,$F$40:$F$44,$F45)</f>
        <v>5.3359000000000378</v>
      </c>
      <c r="AH45" s="62" cm="1">
        <f t="array" ref="AH45">TREND(AH40:AH44,$F$40:$F$44,$F45)</f>
        <v>7.2811207999999965</v>
      </c>
      <c r="AI45" s="62" cm="1">
        <f t="array" ref="AI45">TREND(AI40:AI44,$F$40:$F$44,$F45)</f>
        <v>26.752504199999997</v>
      </c>
      <c r="AJ45" s="62" cm="1">
        <f t="array" ref="AJ45">TREND(AJ40:AJ44,$F$40:$F$44,$F45)</f>
        <v>10.180607199999997</v>
      </c>
      <c r="AK45" s="62" cm="1">
        <f t="array" ref="AK45">TREND(AK40:AK44,$F$40:$F$44,$F45)</f>
        <v>4.7934035999999764</v>
      </c>
      <c r="AL45" s="62" cm="1">
        <f t="array" ref="AL45">TREND(AL40:AL44,$F$40:$F$44,$F45)</f>
        <v>12.995588400000088</v>
      </c>
      <c r="AM45" s="62" cm="1">
        <f t="array" ref="AM45">TREND(AM40:AM44,$F$40:$F$44,$F45)</f>
        <v>35.514736800000037</v>
      </c>
      <c r="AN45" s="62" cm="1">
        <f t="array" ref="AN45">TREND(AN40:AN44,$F$40:$F$44,$F45)</f>
        <v>8.5857459999999719</v>
      </c>
      <c r="AO45" s="62" cm="1">
        <f t="array" ref="AO45">TREND(AO40:AO44,$F$40:$F$44,$F45)</f>
        <v>3.9319469999999797</v>
      </c>
      <c r="AP45" s="62" t="e" cm="1">
        <f t="array" ref="AP45">TREND(AP40:AP44,$F$40:$F$44,$F45)</f>
        <v>#VALUE!</v>
      </c>
      <c r="AQ45" s="62" t="e" cm="1">
        <f t="array" ref="AQ45">TREND(AQ40:AQ44,$F$40:$F$44,$F45)</f>
        <v>#VALUE!</v>
      </c>
      <c r="AR45" s="62" t="e" cm="1">
        <f t="array" ref="AR45">TREND(AR40:AR44,$F$40:$F$44,$F45)</f>
        <v>#VALUE!</v>
      </c>
      <c r="AS45" s="62" t="e" cm="1">
        <f t="array" ref="AS45">TREND(AS40:AS44,$F$40:$F$44,$F45)</f>
        <v>#VALUE!</v>
      </c>
      <c r="AT45" s="62" t="e" cm="1">
        <f t="array" ref="AT45">TREND(AT40:AT44,$F$40:$F$44,$F45)</f>
        <v>#VALUE!</v>
      </c>
      <c r="AU45" s="62" t="e" cm="1">
        <f t="array" ref="AU45">TREND(AU40:AU44,$F$40:$F$44,$F45)</f>
        <v>#VALUE!</v>
      </c>
      <c r="AV45" s="62" t="e" cm="1">
        <f t="array" ref="AV45">TREND(AV40:AV44,$F$40:$F$44,$F45)</f>
        <v>#VALUE!</v>
      </c>
      <c r="AW45" s="62" t="e" cm="1">
        <f t="array" ref="AW45">TREND(AW40:AW44,$F$40:$F$44,$F45)</f>
        <v>#VALUE!</v>
      </c>
      <c r="AX45" s="62" t="e" cm="1">
        <f t="array" ref="AX45">TREND(AX40:AX44,$F$40:$F$44,$F45)</f>
        <v>#VALUE!</v>
      </c>
    </row>
    <row r="46" spans="1:50">
      <c r="A46" t="s">
        <v>319</v>
      </c>
      <c r="B46">
        <v>2005</v>
      </c>
      <c r="C46" t="s">
        <v>423</v>
      </c>
      <c r="D46">
        <v>2.6915230000000001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</row>
    <row r="47" spans="1:50">
      <c r="A47" t="s">
        <v>319</v>
      </c>
      <c r="B47">
        <v>2006</v>
      </c>
      <c r="C47" t="s">
        <v>423</v>
      </c>
      <c r="D47">
        <v>2.9682490000000001</v>
      </c>
      <c r="F47" s="46" t="s">
        <v>320</v>
      </c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AL47" s="63"/>
      <c r="AM47" s="63"/>
      <c r="AN47" s="63"/>
      <c r="AO47" s="63"/>
      <c r="AP47" s="63"/>
      <c r="AQ47" s="63"/>
      <c r="AR47" s="63"/>
      <c r="AS47" s="63"/>
      <c r="AT47" s="63"/>
      <c r="AU47" s="63"/>
      <c r="AV47" s="63"/>
      <c r="AW47" s="63"/>
      <c r="AX47" s="63"/>
    </row>
    <row r="48" spans="1:50">
      <c r="A48" t="s">
        <v>319</v>
      </c>
      <c r="B48">
        <v>2007</v>
      </c>
      <c r="C48" t="s">
        <v>423</v>
      </c>
      <c r="D48">
        <v>3.016572</v>
      </c>
      <c r="F48" s="45">
        <v>2005</v>
      </c>
      <c r="G48" s="2">
        <f>GETPIVOTDATA("mVeh",$F$1,"veh_type",$F$47,"year",$F48,"ActiveReg",G$32)</f>
        <v>2.8679999999999999</v>
      </c>
      <c r="H48" s="2">
        <f t="shared" ref="H48:AX54" si="3">GETPIVOTDATA("mVeh",$F$1,"veh_type",$F$47,"year",$F48,"ActiveReg",H$32)</f>
        <v>3.34293</v>
      </c>
      <c r="I48" s="2">
        <f t="shared" si="3"/>
        <v>2.601</v>
      </c>
      <c r="J48" s="2">
        <f t="shared" si="3"/>
        <v>0.36699999999999999</v>
      </c>
      <c r="K48" s="2">
        <f t="shared" si="3"/>
        <v>0.352157</v>
      </c>
      <c r="L48" s="2">
        <f t="shared" si="3"/>
        <v>1.77607</v>
      </c>
      <c r="M48" s="2">
        <f t="shared" si="3"/>
        <v>4.1126820000000004</v>
      </c>
      <c r="N48" s="2">
        <f t="shared" si="3"/>
        <v>10.272</v>
      </c>
      <c r="O48" s="2">
        <f t="shared" si="3"/>
        <v>0.23628199999999999</v>
      </c>
      <c r="P48" s="2">
        <f t="shared" si="3"/>
        <v>0.73599999999999999</v>
      </c>
      <c r="Q48" s="2">
        <f t="shared" si="3"/>
        <v>6.1980000000000004</v>
      </c>
      <c r="R48" s="2">
        <f t="shared" si="3"/>
        <v>3.133</v>
      </c>
      <c r="S48" s="2">
        <f t="shared" si="3"/>
        <v>1.3353120000000001</v>
      </c>
      <c r="T48" s="2">
        <f t="shared" si="3"/>
        <v>1.3340000000000001</v>
      </c>
      <c r="U48" s="2">
        <f t="shared" si="3"/>
        <v>2.7E-2</v>
      </c>
      <c r="V48" s="2">
        <f t="shared" si="3"/>
        <v>2.706</v>
      </c>
      <c r="W48" s="2">
        <f t="shared" si="3"/>
        <v>0.28654800000000002</v>
      </c>
      <c r="X48" s="2">
        <f t="shared" si="3"/>
        <v>4.468</v>
      </c>
      <c r="Y48" s="2">
        <f t="shared" si="3"/>
        <v>18.596</v>
      </c>
      <c r="Z48" s="2">
        <f t="shared" si="3"/>
        <v>8.2463730000000002</v>
      </c>
      <c r="AA48" s="2">
        <f t="shared" si="3"/>
        <v>5.0019879999999999</v>
      </c>
      <c r="AB48" s="2">
        <f t="shared" si="3"/>
        <v>112.824</v>
      </c>
      <c r="AC48" s="2">
        <f t="shared" si="3"/>
        <v>0.49399999999999999</v>
      </c>
      <c r="AD48" s="2">
        <f t="shared" si="3"/>
        <v>2.4809999999999999</v>
      </c>
      <c r="AE48" s="2">
        <f t="shared" si="3"/>
        <v>18.875892935286998</v>
      </c>
      <c r="AF48" s="2">
        <f t="shared" si="3"/>
        <v>6.0060000000000002</v>
      </c>
      <c r="AG48" s="2">
        <f t="shared" si="3"/>
        <v>1.42</v>
      </c>
      <c r="AH48" s="2">
        <f t="shared" si="3"/>
        <v>2.2970000000000002</v>
      </c>
      <c r="AI48" s="2">
        <f t="shared" si="3"/>
        <v>6.2309999999999999</v>
      </c>
      <c r="AJ48" s="2">
        <f t="shared" si="3"/>
        <v>1.0406899999999999</v>
      </c>
      <c r="AK48" s="2">
        <f t="shared" si="3"/>
        <v>0.33600000000000002</v>
      </c>
      <c r="AL48" s="2">
        <f t="shared" si="3"/>
        <v>2.6539999999999999</v>
      </c>
      <c r="AM48" s="2">
        <f t="shared" si="3"/>
        <v>3.9167649999999998</v>
      </c>
      <c r="AN48" s="2">
        <f t="shared" si="3"/>
        <v>1.295623</v>
      </c>
      <c r="AO48" s="2">
        <f t="shared" si="3"/>
        <v>0.27474100000000001</v>
      </c>
      <c r="AP48" s="2" t="e">
        <f t="shared" si="3"/>
        <v>#REF!</v>
      </c>
      <c r="AQ48" s="2" t="e">
        <f t="shared" si="3"/>
        <v>#REF!</v>
      </c>
      <c r="AR48" s="2" t="e">
        <f t="shared" si="3"/>
        <v>#REF!</v>
      </c>
      <c r="AS48" s="2" t="e">
        <f t="shared" si="3"/>
        <v>#REF!</v>
      </c>
      <c r="AT48" s="2" t="e">
        <f t="shared" si="3"/>
        <v>#REF!</v>
      </c>
      <c r="AU48" s="2" t="e">
        <f t="shared" si="3"/>
        <v>#REF!</v>
      </c>
      <c r="AV48" s="2" t="e">
        <f t="shared" si="3"/>
        <v>#REF!</v>
      </c>
      <c r="AW48" s="2" t="e">
        <f t="shared" si="3"/>
        <v>#REF!</v>
      </c>
      <c r="AX48" s="2" t="e">
        <f t="shared" si="3"/>
        <v>#REF!</v>
      </c>
    </row>
    <row r="49" spans="1:50">
      <c r="A49" t="s">
        <v>319</v>
      </c>
      <c r="B49">
        <v>2008</v>
      </c>
      <c r="C49" t="s">
        <v>423</v>
      </c>
      <c r="D49">
        <v>3.1556929999999999</v>
      </c>
      <c r="F49" s="45">
        <v>2006</v>
      </c>
      <c r="G49" s="2">
        <f t="shared" ref="G49:V58" si="4">GETPIVOTDATA("mVeh",$F$1,"veh_type",$F$47,"year",$F49,"ActiveReg",G$32)</f>
        <v>2.9976430000000001</v>
      </c>
      <c r="H49" s="2">
        <f t="shared" si="4"/>
        <v>3.513242</v>
      </c>
      <c r="I49" s="2">
        <f t="shared" si="4"/>
        <v>2.706</v>
      </c>
      <c r="J49" s="2">
        <f t="shared" si="4"/>
        <v>0.374</v>
      </c>
      <c r="K49" s="2">
        <f t="shared" si="4"/>
        <v>0.38094800000000001</v>
      </c>
      <c r="L49" s="2">
        <f t="shared" si="4"/>
        <v>1.7879400000000001</v>
      </c>
      <c r="M49" s="2">
        <f t="shared" si="4"/>
        <v>4.192272</v>
      </c>
      <c r="N49" s="2">
        <f t="shared" si="4"/>
        <v>10.778</v>
      </c>
      <c r="O49" s="2">
        <f t="shared" si="4"/>
        <v>0.24627499999999999</v>
      </c>
      <c r="P49" s="2">
        <f t="shared" si="4"/>
        <v>0.79900000000000004</v>
      </c>
      <c r="Q49" s="2">
        <f t="shared" si="4"/>
        <v>6.2610000000000001</v>
      </c>
      <c r="R49" s="2">
        <f t="shared" si="4"/>
        <v>3.1720000000000002</v>
      </c>
      <c r="S49" s="2">
        <f t="shared" si="4"/>
        <v>1.3658269999999999</v>
      </c>
      <c r="T49" s="2">
        <f t="shared" si="4"/>
        <v>1.262</v>
      </c>
      <c r="U49" s="2">
        <f t="shared" si="4"/>
        <v>0.03</v>
      </c>
      <c r="V49" s="2">
        <f t="shared" si="4"/>
        <v>2.948</v>
      </c>
      <c r="W49" s="2">
        <f t="shared" si="3"/>
        <v>0.318604</v>
      </c>
      <c r="X49" s="2">
        <f t="shared" si="3"/>
        <v>4.6269999999999998</v>
      </c>
      <c r="Y49" s="2">
        <f t="shared" si="3"/>
        <v>18.338000000000001</v>
      </c>
      <c r="Z49" s="2">
        <f t="shared" si="3"/>
        <v>8.7851219999999994</v>
      </c>
      <c r="AA49" s="2">
        <f t="shared" si="3"/>
        <v>5.2311310000000004</v>
      </c>
      <c r="AB49" s="2">
        <f t="shared" si="3"/>
        <v>118.21</v>
      </c>
      <c r="AC49" s="2">
        <f t="shared" si="3"/>
        <v>0.51500000000000001</v>
      </c>
      <c r="AD49" s="2">
        <f t="shared" si="3"/>
        <v>2.58</v>
      </c>
      <c r="AE49" s="2">
        <f t="shared" si="3"/>
        <v>19.321482875240299</v>
      </c>
      <c r="AF49" s="2">
        <f t="shared" si="3"/>
        <v>6.1349999999999998</v>
      </c>
      <c r="AG49" s="2">
        <f t="shared" si="3"/>
        <v>1.44</v>
      </c>
      <c r="AH49" s="2">
        <f t="shared" si="3"/>
        <v>2.4820000000000002</v>
      </c>
      <c r="AI49" s="2">
        <f t="shared" si="3"/>
        <v>6.51</v>
      </c>
      <c r="AJ49" s="2">
        <f t="shared" si="3"/>
        <v>1.1029249999999999</v>
      </c>
      <c r="AK49" s="2">
        <f t="shared" si="3"/>
        <v>0.34300000000000003</v>
      </c>
      <c r="AL49" s="2">
        <f t="shared" si="3"/>
        <v>2.9390000000000001</v>
      </c>
      <c r="AM49" s="2">
        <f t="shared" si="3"/>
        <v>4.1179870000000003</v>
      </c>
      <c r="AN49" s="2">
        <f t="shared" si="3"/>
        <v>1.363143</v>
      </c>
      <c r="AO49" s="2">
        <f t="shared" si="3"/>
        <v>0.28351199999999999</v>
      </c>
      <c r="AP49" s="2" t="e">
        <f t="shared" si="3"/>
        <v>#REF!</v>
      </c>
      <c r="AQ49" s="2" t="e">
        <f t="shared" si="3"/>
        <v>#REF!</v>
      </c>
      <c r="AR49" s="2" t="e">
        <f t="shared" si="3"/>
        <v>#REF!</v>
      </c>
      <c r="AS49" s="2" t="e">
        <f t="shared" si="3"/>
        <v>#REF!</v>
      </c>
      <c r="AT49" s="2" t="e">
        <f t="shared" si="3"/>
        <v>#REF!</v>
      </c>
      <c r="AU49" s="2" t="e">
        <f t="shared" si="3"/>
        <v>#REF!</v>
      </c>
      <c r="AV49" s="2" t="e">
        <f t="shared" si="3"/>
        <v>#REF!</v>
      </c>
      <c r="AW49" s="2" t="e">
        <f t="shared" si="3"/>
        <v>#REF!</v>
      </c>
      <c r="AX49" s="2" t="e">
        <f t="shared" si="3"/>
        <v>#REF!</v>
      </c>
    </row>
    <row r="50" spans="1:50">
      <c r="A50" t="s">
        <v>319</v>
      </c>
      <c r="B50">
        <v>2009</v>
      </c>
      <c r="C50" t="s">
        <v>423</v>
      </c>
      <c r="D50">
        <v>3.1452939999999998</v>
      </c>
      <c r="F50" s="45">
        <v>2007</v>
      </c>
      <c r="G50" s="2">
        <f t="shared" si="4"/>
        <v>3.1997300000000002</v>
      </c>
      <c r="H50" s="2">
        <f t="shared" si="3"/>
        <v>3.8583750000000001</v>
      </c>
      <c r="I50" s="2">
        <f t="shared" si="3"/>
        <v>2.8010000000000002</v>
      </c>
      <c r="J50" s="2">
        <f t="shared" si="3"/>
        <v>0.38200000000000001</v>
      </c>
      <c r="K50" s="2">
        <f t="shared" si="3"/>
        <v>0.38673800000000003</v>
      </c>
      <c r="L50" s="2">
        <f t="shared" si="3"/>
        <v>1.828794</v>
      </c>
      <c r="M50" s="2">
        <f t="shared" si="3"/>
        <v>4.3458259999999997</v>
      </c>
      <c r="N50" s="2">
        <f t="shared" si="3"/>
        <v>11.624000000000001</v>
      </c>
      <c r="O50" s="2">
        <f t="shared" si="3"/>
        <v>0.25379099999999999</v>
      </c>
      <c r="P50" s="2">
        <f t="shared" si="3"/>
        <v>0.89600000000000002</v>
      </c>
      <c r="Q50" s="2">
        <f t="shared" si="3"/>
        <v>6.3330000000000002</v>
      </c>
      <c r="R50" s="2">
        <f t="shared" si="3"/>
        <v>2.8370000000000002</v>
      </c>
      <c r="S50" s="2">
        <f t="shared" si="3"/>
        <v>1.404047</v>
      </c>
      <c r="T50" s="2">
        <f t="shared" si="3"/>
        <v>1.37</v>
      </c>
      <c r="U50" s="2">
        <f t="shared" si="3"/>
        <v>3.3000000000000002E-2</v>
      </c>
      <c r="V50" s="2">
        <f t="shared" si="3"/>
        <v>3.6419999999999999</v>
      </c>
      <c r="W50" s="2">
        <f t="shared" si="3"/>
        <v>0.34587400000000001</v>
      </c>
      <c r="X50" s="2">
        <f t="shared" si="3"/>
        <v>4.7359999999999998</v>
      </c>
      <c r="Y50" s="2">
        <f t="shared" si="3"/>
        <v>18.091000000000001</v>
      </c>
      <c r="Z50" s="2">
        <f t="shared" si="3"/>
        <v>9.5040610000000001</v>
      </c>
      <c r="AA50" s="2">
        <f t="shared" si="3"/>
        <v>5.5350000000000001</v>
      </c>
      <c r="AB50" s="2">
        <f t="shared" si="3"/>
        <v>122.523</v>
      </c>
      <c r="AC50" s="2">
        <f t="shared" si="3"/>
        <v>0.53800000000000003</v>
      </c>
      <c r="AD50" s="2">
        <f t="shared" si="3"/>
        <v>2.7189999999999999</v>
      </c>
      <c r="AE50" s="2">
        <f t="shared" si="3"/>
        <v>21.291811725490199</v>
      </c>
      <c r="AF50" s="2">
        <f t="shared" si="3"/>
        <v>6.4329999999999998</v>
      </c>
      <c r="AG50" s="2">
        <f t="shared" si="3"/>
        <v>1.54</v>
      </c>
      <c r="AH50" s="2">
        <f t="shared" si="3"/>
        <v>2.6419999999999999</v>
      </c>
      <c r="AI50" s="2">
        <f t="shared" si="3"/>
        <v>6.7619999999999996</v>
      </c>
      <c r="AJ50" s="2">
        <f t="shared" si="3"/>
        <v>1.155745</v>
      </c>
      <c r="AK50" s="2">
        <f t="shared" si="3"/>
        <v>0.354126</v>
      </c>
      <c r="AL50" s="2">
        <f t="shared" si="3"/>
        <v>3.181</v>
      </c>
      <c r="AM50" s="2">
        <f t="shared" si="3"/>
        <v>4.2479880000000003</v>
      </c>
      <c r="AN50" s="2">
        <f t="shared" si="3"/>
        <v>1.4009229999999999</v>
      </c>
      <c r="AO50" s="2">
        <f t="shared" si="3"/>
        <v>0.31031500000000001</v>
      </c>
      <c r="AP50" s="2" t="e">
        <f t="shared" si="3"/>
        <v>#REF!</v>
      </c>
      <c r="AQ50" s="2" t="e">
        <f t="shared" si="3"/>
        <v>#REF!</v>
      </c>
      <c r="AR50" s="2" t="e">
        <f t="shared" si="3"/>
        <v>#REF!</v>
      </c>
      <c r="AS50" s="2" t="e">
        <f t="shared" si="3"/>
        <v>#REF!</v>
      </c>
      <c r="AT50" s="2" t="e">
        <f t="shared" si="3"/>
        <v>#REF!</v>
      </c>
      <c r="AU50" s="2" t="e">
        <f t="shared" si="3"/>
        <v>#REF!</v>
      </c>
      <c r="AV50" s="2" t="e">
        <f t="shared" si="3"/>
        <v>#REF!</v>
      </c>
      <c r="AW50" s="2" t="e">
        <f t="shared" si="3"/>
        <v>#REF!</v>
      </c>
      <c r="AX50" s="2" t="e">
        <f t="shared" si="3"/>
        <v>#REF!</v>
      </c>
    </row>
    <row r="51" spans="1:50">
      <c r="A51" t="s">
        <v>319</v>
      </c>
      <c r="B51">
        <v>2010</v>
      </c>
      <c r="C51" t="s">
        <v>423</v>
      </c>
      <c r="D51">
        <v>2.8812190000000002</v>
      </c>
      <c r="F51" s="45">
        <v>2008</v>
      </c>
      <c r="G51" s="2">
        <f t="shared" si="4"/>
        <v>3.5495649999999999</v>
      </c>
      <c r="H51" s="2">
        <f t="shared" si="3"/>
        <v>4.3895970000000002</v>
      </c>
      <c r="I51" s="2">
        <f t="shared" si="3"/>
        <v>2.9249999999999998</v>
      </c>
      <c r="J51" s="2">
        <f t="shared" si="3"/>
        <v>0.39100000000000001</v>
      </c>
      <c r="K51" s="2">
        <f t="shared" si="3"/>
        <v>0.39194800000000002</v>
      </c>
      <c r="L51" s="2">
        <f t="shared" si="3"/>
        <v>1.868128</v>
      </c>
      <c r="M51" s="2">
        <f t="shared" si="3"/>
        <v>4.592854</v>
      </c>
      <c r="N51" s="2">
        <f t="shared" si="3"/>
        <v>12.606999999999999</v>
      </c>
      <c r="O51" s="2">
        <f t="shared" si="3"/>
        <v>0.27738299999999999</v>
      </c>
      <c r="P51" s="2">
        <f t="shared" si="3"/>
        <v>0.99</v>
      </c>
      <c r="Q51" s="2">
        <f t="shared" si="3"/>
        <v>6.3620000000000001</v>
      </c>
      <c r="R51" s="2">
        <f t="shared" si="3"/>
        <v>2.859</v>
      </c>
      <c r="S51" s="2">
        <f t="shared" si="3"/>
        <v>1.441711</v>
      </c>
      <c r="T51" s="2">
        <f t="shared" si="3"/>
        <v>1.4848859999999999</v>
      </c>
      <c r="U51" s="2">
        <f t="shared" si="3"/>
        <v>3.4000000000000002E-2</v>
      </c>
      <c r="V51" s="2">
        <f t="shared" si="3"/>
        <v>3.9540000000000002</v>
      </c>
      <c r="W51" s="2">
        <f t="shared" si="3"/>
        <v>0.35130699999999998</v>
      </c>
      <c r="X51" s="2">
        <f t="shared" si="3"/>
        <v>4.8380000000000001</v>
      </c>
      <c r="Y51" s="2">
        <f t="shared" si="3"/>
        <v>17.663</v>
      </c>
      <c r="Z51" s="2">
        <f t="shared" si="3"/>
        <v>10.341381</v>
      </c>
      <c r="AA51" s="2">
        <f t="shared" si="3"/>
        <v>5.8105226666666701</v>
      </c>
      <c r="AB51" s="2">
        <f t="shared" si="3"/>
        <v>123.625</v>
      </c>
      <c r="AC51" s="2">
        <f t="shared" si="3"/>
        <v>0.54600000000000004</v>
      </c>
      <c r="AD51" s="2">
        <f t="shared" si="3"/>
        <v>2.9260000000000002</v>
      </c>
      <c r="AE51" s="2">
        <f t="shared" si="3"/>
        <v>21.861615</v>
      </c>
      <c r="AF51" s="2">
        <f t="shared" si="3"/>
        <v>6.6559999999999997</v>
      </c>
      <c r="AG51" s="2">
        <f t="shared" si="3"/>
        <v>1.61</v>
      </c>
      <c r="AH51" s="2">
        <f t="shared" si="3"/>
        <v>2.7410000000000001</v>
      </c>
      <c r="AI51" s="2">
        <f t="shared" si="3"/>
        <v>6.8170000000000002</v>
      </c>
      <c r="AJ51" s="2">
        <f t="shared" si="3"/>
        <v>1.158004</v>
      </c>
      <c r="AK51" s="2">
        <f t="shared" si="3"/>
        <v>0.35403099999999998</v>
      </c>
      <c r="AL51" s="2">
        <f t="shared" si="3"/>
        <v>3.3940000000000001</v>
      </c>
      <c r="AM51" s="2">
        <f t="shared" si="3"/>
        <v>4.2852059999999996</v>
      </c>
      <c r="AN51" s="2">
        <f t="shared" si="3"/>
        <v>1.5144580000000001</v>
      </c>
      <c r="AO51" s="2">
        <f t="shared" si="3"/>
        <v>0.32632699999999998</v>
      </c>
      <c r="AP51" s="2" t="e">
        <f t="shared" si="3"/>
        <v>#REF!</v>
      </c>
      <c r="AQ51" s="2" t="e">
        <f t="shared" si="3"/>
        <v>#REF!</v>
      </c>
      <c r="AR51" s="2" t="e">
        <f t="shared" si="3"/>
        <v>#REF!</v>
      </c>
      <c r="AS51" s="2" t="e">
        <f t="shared" si="3"/>
        <v>#REF!</v>
      </c>
      <c r="AT51" s="2" t="e">
        <f t="shared" si="3"/>
        <v>#REF!</v>
      </c>
      <c r="AU51" s="2" t="e">
        <f t="shared" si="3"/>
        <v>#REF!</v>
      </c>
      <c r="AV51" s="2" t="e">
        <f t="shared" si="3"/>
        <v>#REF!</v>
      </c>
      <c r="AW51" s="2" t="e">
        <f t="shared" si="3"/>
        <v>#REF!</v>
      </c>
      <c r="AX51" s="2" t="e">
        <f t="shared" si="3"/>
        <v>#REF!</v>
      </c>
    </row>
    <row r="52" spans="1:50">
      <c r="A52" t="s">
        <v>319</v>
      </c>
      <c r="B52">
        <v>2011</v>
      </c>
      <c r="C52" t="s">
        <v>423</v>
      </c>
      <c r="D52">
        <v>2.899613</v>
      </c>
      <c r="F52" s="45">
        <v>2009</v>
      </c>
      <c r="G52" s="2">
        <f t="shared" si="4"/>
        <v>3.7944529999999999</v>
      </c>
      <c r="H52" s="2">
        <f t="shared" si="3"/>
        <v>4.5615139999999998</v>
      </c>
      <c r="I52" s="2">
        <f t="shared" si="3"/>
        <v>3.0270000000000001</v>
      </c>
      <c r="J52" s="2">
        <f t="shared" si="3"/>
        <v>0.39800000000000002</v>
      </c>
      <c r="K52" s="2">
        <f t="shared" si="3"/>
        <v>0.37545800000000001</v>
      </c>
      <c r="L52" s="2">
        <f t="shared" si="3"/>
        <v>1.8749340000000001</v>
      </c>
      <c r="M52" s="2">
        <f t="shared" si="3"/>
        <v>4.8525640000000001</v>
      </c>
      <c r="N52" s="2">
        <f t="shared" si="3"/>
        <v>14.355</v>
      </c>
      <c r="O52" s="2">
        <f t="shared" si="3"/>
        <v>0.27263100000000001</v>
      </c>
      <c r="P52" s="2">
        <f t="shared" si="3"/>
        <v>1.004</v>
      </c>
      <c r="Q52" s="2">
        <f t="shared" si="3"/>
        <v>6.3879999999999999</v>
      </c>
      <c r="R52" s="2">
        <f t="shared" si="3"/>
        <v>2.8929999999999998</v>
      </c>
      <c r="S52" s="2">
        <f t="shared" si="3"/>
        <v>1.457754</v>
      </c>
      <c r="T52" s="2">
        <f t="shared" si="3"/>
        <v>1.5132429999999999</v>
      </c>
      <c r="U52" s="2">
        <f t="shared" si="3"/>
        <v>3.5999999999999997E-2</v>
      </c>
      <c r="V52" s="2">
        <f t="shared" si="3"/>
        <v>4.4329999999999998</v>
      </c>
      <c r="W52" s="2">
        <f t="shared" si="3"/>
        <v>0.34394000000000002</v>
      </c>
      <c r="X52" s="2">
        <f t="shared" si="3"/>
        <v>4.8890000000000002</v>
      </c>
      <c r="Y52" s="2">
        <f t="shared" si="3"/>
        <v>17.305</v>
      </c>
      <c r="Z52" s="2">
        <f t="shared" si="3"/>
        <v>10.729044</v>
      </c>
      <c r="AA52" s="2">
        <f t="shared" si="3"/>
        <v>6.0245273333333298</v>
      </c>
      <c r="AB52" s="2">
        <f t="shared" si="3"/>
        <v>126.56</v>
      </c>
      <c r="AC52" s="2">
        <f t="shared" si="3"/>
        <v>0.54700000000000004</v>
      </c>
      <c r="AD52" s="2">
        <f t="shared" si="3"/>
        <v>3.0249999999999999</v>
      </c>
      <c r="AE52" s="2">
        <f t="shared" si="3"/>
        <v>22.335357999999999</v>
      </c>
      <c r="AF52" s="2">
        <f t="shared" si="3"/>
        <v>6.6487540000000003</v>
      </c>
      <c r="AG52" s="2">
        <f t="shared" si="3"/>
        <v>1.68</v>
      </c>
      <c r="AH52" s="2">
        <f t="shared" si="3"/>
        <v>2.81</v>
      </c>
      <c r="AI52" s="2">
        <f t="shared" si="3"/>
        <v>6.7590000000000003</v>
      </c>
      <c r="AJ52" s="2">
        <f t="shared" si="3"/>
        <v>1.1382810000000001</v>
      </c>
      <c r="AK52" s="2">
        <f t="shared" si="3"/>
        <v>0.35586099999999998</v>
      </c>
      <c r="AL52" s="2">
        <f t="shared" si="3"/>
        <v>3.5169999999999999</v>
      </c>
      <c r="AM52" s="2">
        <f t="shared" si="3"/>
        <v>4.1815189999999998</v>
      </c>
      <c r="AN52" s="2">
        <f t="shared" si="3"/>
        <v>1.4885200000000001</v>
      </c>
      <c r="AO52" s="2">
        <f t="shared" si="3"/>
        <v>0.34952499999999997</v>
      </c>
      <c r="AP52" s="2" t="e">
        <f t="shared" si="3"/>
        <v>#REF!</v>
      </c>
      <c r="AQ52" s="2" t="e">
        <f t="shared" si="3"/>
        <v>#REF!</v>
      </c>
      <c r="AR52" s="2" t="e">
        <f t="shared" si="3"/>
        <v>#REF!</v>
      </c>
      <c r="AS52" s="2" t="e">
        <f t="shared" si="3"/>
        <v>#REF!</v>
      </c>
      <c r="AT52" s="2" t="e">
        <f t="shared" si="3"/>
        <v>#REF!</v>
      </c>
      <c r="AU52" s="2" t="e">
        <f t="shared" si="3"/>
        <v>#REF!</v>
      </c>
      <c r="AV52" s="2" t="e">
        <f t="shared" si="3"/>
        <v>#REF!</v>
      </c>
      <c r="AW52" s="2" t="e">
        <f t="shared" si="3"/>
        <v>#REF!</v>
      </c>
      <c r="AX52" s="2" t="e">
        <f t="shared" si="3"/>
        <v>#REF!</v>
      </c>
    </row>
    <row r="53" spans="1:50">
      <c r="A53" t="s">
        <v>319</v>
      </c>
      <c r="B53">
        <v>2012</v>
      </c>
      <c r="C53" t="s">
        <v>423</v>
      </c>
      <c r="D53">
        <v>2.973814</v>
      </c>
      <c r="F53" s="45">
        <v>2010</v>
      </c>
      <c r="G53" s="2">
        <f t="shared" si="4"/>
        <v>3.9928439999999998</v>
      </c>
      <c r="H53" s="2">
        <f t="shared" si="3"/>
        <v>4.6867809999999999</v>
      </c>
      <c r="I53" s="2">
        <f t="shared" si="3"/>
        <v>3.1320000000000001</v>
      </c>
      <c r="J53" s="2">
        <f t="shared" si="3"/>
        <v>0.40600000000000003</v>
      </c>
      <c r="K53" s="2">
        <f t="shared" si="3"/>
        <v>0.30935200000000002</v>
      </c>
      <c r="L53" s="2">
        <f t="shared" si="3"/>
        <v>1.8793139999999999</v>
      </c>
      <c r="M53" s="2">
        <f t="shared" si="3"/>
        <v>5.222702</v>
      </c>
      <c r="N53" s="2">
        <f t="shared" si="3"/>
        <v>16.384</v>
      </c>
      <c r="O53" s="2">
        <f t="shared" si="3"/>
        <v>0.26258100000000001</v>
      </c>
      <c r="P53" s="2">
        <f t="shared" si="3"/>
        <v>1.0029999999999999</v>
      </c>
      <c r="Q53" s="2">
        <f t="shared" si="3"/>
        <v>6.444</v>
      </c>
      <c r="R53" s="2">
        <f t="shared" si="3"/>
        <v>2.96</v>
      </c>
      <c r="S53" s="2">
        <f t="shared" si="3"/>
        <v>1.470172</v>
      </c>
      <c r="T53" s="2">
        <f t="shared" si="3"/>
        <v>1.5349619999999999</v>
      </c>
      <c r="U53" s="2">
        <f t="shared" si="3"/>
        <v>3.7999999999999999E-2</v>
      </c>
      <c r="V53" s="2">
        <f t="shared" si="3"/>
        <v>4.6820000000000004</v>
      </c>
      <c r="W53" s="2">
        <f t="shared" si="3"/>
        <v>0.327096</v>
      </c>
      <c r="X53" s="2">
        <f t="shared" si="3"/>
        <v>4.9459999999999997</v>
      </c>
      <c r="Y53" s="2">
        <f t="shared" si="3"/>
        <v>17.013999999999999</v>
      </c>
      <c r="Z53" s="2">
        <f t="shared" si="3"/>
        <v>11.491415999999999</v>
      </c>
      <c r="AA53" s="2">
        <f t="shared" si="3"/>
        <v>6.3115170000000003</v>
      </c>
      <c r="AB53" s="2">
        <f t="shared" si="3"/>
        <v>129.471</v>
      </c>
      <c r="AC53" s="2">
        <f t="shared" si="3"/>
        <v>0.55100000000000005</v>
      </c>
      <c r="AD53" s="2">
        <f t="shared" si="3"/>
        <v>3.2189999999999999</v>
      </c>
      <c r="AE53" s="2">
        <f t="shared" si="3"/>
        <v>22.976013999999999</v>
      </c>
      <c r="AF53" s="2">
        <f t="shared" si="3"/>
        <v>6.7500349999999996</v>
      </c>
      <c r="AG53" s="2">
        <f t="shared" si="3"/>
        <v>1.76</v>
      </c>
      <c r="AH53" s="2">
        <f t="shared" si="3"/>
        <v>2.8375349999999999</v>
      </c>
      <c r="AI53" s="2">
        <f t="shared" si="3"/>
        <v>6.7190000000000003</v>
      </c>
      <c r="AJ53" s="2">
        <f t="shared" si="3"/>
        <v>1.1293340000000001</v>
      </c>
      <c r="AK53" s="2">
        <f t="shared" si="3"/>
        <v>0.36348900000000001</v>
      </c>
      <c r="AL53" s="2">
        <f t="shared" si="3"/>
        <v>3.7210000000000001</v>
      </c>
      <c r="AM53" s="2">
        <f t="shared" si="3"/>
        <v>4.2204550000000003</v>
      </c>
      <c r="AN53" s="2">
        <f t="shared" si="3"/>
        <v>1.5106379999999999</v>
      </c>
      <c r="AO53" s="2">
        <f t="shared" si="3"/>
        <v>0.36693399999999998</v>
      </c>
      <c r="AP53" s="2" t="e">
        <f t="shared" si="3"/>
        <v>#REF!</v>
      </c>
      <c r="AQ53" s="2" t="e">
        <f t="shared" si="3"/>
        <v>#REF!</v>
      </c>
      <c r="AR53" s="2" t="e">
        <f t="shared" si="3"/>
        <v>#REF!</v>
      </c>
      <c r="AS53" s="2" t="e">
        <f t="shared" si="3"/>
        <v>#REF!</v>
      </c>
      <c r="AT53" s="2" t="e">
        <f t="shared" si="3"/>
        <v>#REF!</v>
      </c>
      <c r="AU53" s="2" t="e">
        <f t="shared" si="3"/>
        <v>#REF!</v>
      </c>
      <c r="AV53" s="2" t="e">
        <f t="shared" si="3"/>
        <v>#REF!</v>
      </c>
      <c r="AW53" s="2" t="e">
        <f t="shared" si="3"/>
        <v>#REF!</v>
      </c>
      <c r="AX53" s="2" t="e">
        <f t="shared" si="3"/>
        <v>#REF!</v>
      </c>
    </row>
    <row r="54" spans="1:50">
      <c r="A54" t="s">
        <v>319</v>
      </c>
      <c r="B54">
        <v>2013</v>
      </c>
      <c r="C54" t="s">
        <v>423</v>
      </c>
      <c r="D54">
        <v>3.072085</v>
      </c>
      <c r="F54" s="45">
        <v>2011</v>
      </c>
      <c r="G54" s="2">
        <f t="shared" si="4"/>
        <v>4.1577570000000001</v>
      </c>
      <c r="H54" s="2">
        <f t="shared" si="3"/>
        <v>4.8195699999999997</v>
      </c>
      <c r="I54" s="2">
        <f t="shared" si="3"/>
        <v>2.7160000000000002</v>
      </c>
      <c r="J54" s="2">
        <f t="shared" si="3"/>
        <v>0.41699999999999998</v>
      </c>
      <c r="K54" s="2">
        <f t="shared" si="3"/>
        <v>0.316301</v>
      </c>
      <c r="L54" s="2">
        <f t="shared" si="3"/>
        <v>1.8836839999999999</v>
      </c>
      <c r="M54" s="2">
        <f t="shared" si="3"/>
        <v>5.7636240000000001</v>
      </c>
      <c r="N54" s="2">
        <f t="shared" si="3"/>
        <v>18.713000000000001</v>
      </c>
      <c r="O54" s="2">
        <f t="shared" si="3"/>
        <v>0.25947599999999998</v>
      </c>
      <c r="P54" s="2">
        <f t="shared" si="3"/>
        <v>1.0109999999999999</v>
      </c>
      <c r="Q54" s="2">
        <f t="shared" si="3"/>
        <v>6.5170000000000003</v>
      </c>
      <c r="R54" s="2">
        <f t="shared" si="3"/>
        <v>3.056</v>
      </c>
      <c r="S54" s="2">
        <f t="shared" si="3"/>
        <v>1.469881</v>
      </c>
      <c r="T54" s="2">
        <f t="shared" ref="H54:AX58" si="5">GETPIVOTDATA("mVeh",$F$1,"veh_type",$F$47,"year",$F54,"ActiveReg",T$32)</f>
        <v>1.5781289999999999</v>
      </c>
      <c r="U54" s="2">
        <f t="shared" si="5"/>
        <v>3.2181000000000001E-2</v>
      </c>
      <c r="V54" s="2">
        <f t="shared" si="5"/>
        <v>5.0860000000000003</v>
      </c>
      <c r="W54" s="2">
        <f t="shared" si="5"/>
        <v>0.32096599999999997</v>
      </c>
      <c r="X54" s="2">
        <f t="shared" si="5"/>
        <v>5.0010000000000003</v>
      </c>
      <c r="Y54" s="2">
        <f t="shared" si="5"/>
        <v>16.843</v>
      </c>
      <c r="Z54" s="2">
        <f t="shared" si="5"/>
        <v>12.212654000000001</v>
      </c>
      <c r="AA54" s="2">
        <f t="shared" si="5"/>
        <v>6.7776536666666702</v>
      </c>
      <c r="AB54" s="2">
        <f t="shared" si="5"/>
        <v>131.95400000000001</v>
      </c>
      <c r="AC54" s="2">
        <f t="shared" si="5"/>
        <v>0.56000000000000005</v>
      </c>
      <c r="AD54" s="2">
        <f t="shared" si="5"/>
        <v>3.3809999999999998</v>
      </c>
      <c r="AE54" s="2">
        <f t="shared" si="5"/>
        <v>23.795397000000001</v>
      </c>
      <c r="AF54" s="2">
        <f t="shared" si="5"/>
        <v>6.8883140000000003</v>
      </c>
      <c r="AG54" s="2">
        <f t="shared" si="5"/>
        <v>1.87</v>
      </c>
      <c r="AH54" s="2">
        <f t="shared" si="5"/>
        <v>2.8975650000000002</v>
      </c>
      <c r="AI54" s="2">
        <f t="shared" si="5"/>
        <v>6.67</v>
      </c>
      <c r="AJ54" s="2">
        <f t="shared" si="5"/>
        <v>1.137864</v>
      </c>
      <c r="AK54" s="2">
        <f t="shared" si="5"/>
        <v>0.37727500000000003</v>
      </c>
      <c r="AL54" s="2">
        <f t="shared" si="5"/>
        <v>3.9489999999999998</v>
      </c>
      <c r="AM54" s="2">
        <f t="shared" si="5"/>
        <v>4.269641</v>
      </c>
      <c r="AN54" s="2">
        <f t="shared" si="5"/>
        <v>1.521045</v>
      </c>
      <c r="AO54" s="2">
        <f t="shared" si="5"/>
        <v>0.36038599999999998</v>
      </c>
      <c r="AP54" s="2" t="e">
        <f t="shared" si="5"/>
        <v>#REF!</v>
      </c>
      <c r="AQ54" s="2" t="e">
        <f t="shared" si="5"/>
        <v>#REF!</v>
      </c>
      <c r="AR54" s="2" t="e">
        <f t="shared" si="5"/>
        <v>#REF!</v>
      </c>
      <c r="AS54" s="2" t="e">
        <f t="shared" si="5"/>
        <v>#REF!</v>
      </c>
      <c r="AT54" s="2" t="e">
        <f t="shared" si="5"/>
        <v>#REF!</v>
      </c>
      <c r="AU54" s="2" t="e">
        <f t="shared" si="5"/>
        <v>#REF!</v>
      </c>
      <c r="AV54" s="2" t="e">
        <f t="shared" si="5"/>
        <v>#REF!</v>
      </c>
      <c r="AW54" s="2" t="e">
        <f t="shared" si="5"/>
        <v>#REF!</v>
      </c>
      <c r="AX54" s="2" t="e">
        <f t="shared" si="5"/>
        <v>#REF!</v>
      </c>
    </row>
    <row r="55" spans="1:50">
      <c r="A55" t="s">
        <v>319</v>
      </c>
      <c r="B55">
        <v>2014</v>
      </c>
      <c r="C55" t="s">
        <v>423</v>
      </c>
      <c r="D55">
        <v>2.516467</v>
      </c>
      <c r="F55" s="45">
        <v>2012</v>
      </c>
      <c r="G55" s="2">
        <f t="shared" si="4"/>
        <v>4.4210079999999996</v>
      </c>
      <c r="H55" s="2">
        <f t="shared" si="5"/>
        <v>4.9413140000000002</v>
      </c>
      <c r="I55" s="2">
        <f t="shared" si="5"/>
        <v>3.3181210000000001</v>
      </c>
      <c r="J55" s="2">
        <f t="shared" si="5"/>
        <v>0.42599999999999999</v>
      </c>
      <c r="K55" s="2">
        <f t="shared" si="5"/>
        <v>0.32570300000000002</v>
      </c>
      <c r="L55" s="2">
        <f t="shared" si="5"/>
        <v>1.8739870000000001</v>
      </c>
      <c r="M55" s="2">
        <f t="shared" si="5"/>
        <v>6.2080700000000002</v>
      </c>
      <c r="N55" s="2">
        <f t="shared" si="5"/>
        <v>21.844000000000001</v>
      </c>
      <c r="O55" s="2">
        <f t="shared" si="5"/>
        <v>0.245563</v>
      </c>
      <c r="P55" s="2">
        <f t="shared" si="5"/>
        <v>1.0058499999999999</v>
      </c>
      <c r="Q55" s="2">
        <f t="shared" si="5"/>
        <v>6.5380000000000003</v>
      </c>
      <c r="R55" s="2">
        <f t="shared" si="5"/>
        <v>3.1070000000000002</v>
      </c>
      <c r="S55" s="2">
        <f t="shared" si="5"/>
        <v>1.4631799999999999</v>
      </c>
      <c r="T55" s="2">
        <f t="shared" si="5"/>
        <v>1.623437</v>
      </c>
      <c r="U55" s="2">
        <f t="shared" si="5"/>
        <v>3.2421999999999999E-2</v>
      </c>
      <c r="V55" s="2">
        <f t="shared" si="5"/>
        <v>5.726</v>
      </c>
      <c r="W55" s="2">
        <f t="shared" si="5"/>
        <v>0.30921900000000002</v>
      </c>
      <c r="X55" s="2">
        <f t="shared" si="5"/>
        <v>4.9690000000000003</v>
      </c>
      <c r="Y55" s="2">
        <f t="shared" si="5"/>
        <v>16.704999999999998</v>
      </c>
      <c r="Z55" s="2">
        <f t="shared" si="5"/>
        <v>12.920811</v>
      </c>
      <c r="AA55" s="2">
        <f t="shared" si="5"/>
        <v>7.3034853333333301</v>
      </c>
      <c r="AB55" s="2">
        <f t="shared" si="5"/>
        <v>141.37145899999999</v>
      </c>
      <c r="AC55" s="2">
        <f t="shared" si="5"/>
        <v>0.57099999999999995</v>
      </c>
      <c r="AD55" s="2">
        <f t="shared" si="5"/>
        <v>3.4289999999999998</v>
      </c>
      <c r="AE55" s="2">
        <f t="shared" si="5"/>
        <v>24.846935999999999</v>
      </c>
      <c r="AF55" s="2">
        <f t="shared" si="5"/>
        <v>7.3897389999999996</v>
      </c>
      <c r="AG55" s="2">
        <f t="shared" si="5"/>
        <v>2.0138889999999998</v>
      </c>
      <c r="AH55" s="2">
        <f t="shared" si="5"/>
        <v>2.9663689999999998</v>
      </c>
      <c r="AI55" s="2">
        <f t="shared" si="5"/>
        <v>6.5430000000000001</v>
      </c>
      <c r="AJ55" s="2">
        <f t="shared" si="5"/>
        <v>1.132714</v>
      </c>
      <c r="AK55" s="2">
        <f t="shared" si="5"/>
        <v>0.39066800000000002</v>
      </c>
      <c r="AL55" s="2">
        <f t="shared" si="5"/>
        <v>4.1779999999999999</v>
      </c>
      <c r="AM55" s="2">
        <f t="shared" si="5"/>
        <v>4.2789999999999999</v>
      </c>
      <c r="AN55" s="2">
        <f t="shared" si="5"/>
        <v>1.9442630000000001</v>
      </c>
      <c r="AO55" s="2">
        <f t="shared" si="5"/>
        <v>0.32133899999999999</v>
      </c>
      <c r="AP55" s="2" t="e">
        <f t="shared" si="5"/>
        <v>#REF!</v>
      </c>
      <c r="AQ55" s="2" t="e">
        <f t="shared" si="5"/>
        <v>#REF!</v>
      </c>
      <c r="AR55" s="2" t="e">
        <f t="shared" si="5"/>
        <v>#REF!</v>
      </c>
      <c r="AS55" s="2" t="e">
        <f t="shared" si="5"/>
        <v>#REF!</v>
      </c>
      <c r="AT55" s="2" t="e">
        <f t="shared" si="5"/>
        <v>#REF!</v>
      </c>
      <c r="AU55" s="2" t="e">
        <f t="shared" si="5"/>
        <v>#REF!</v>
      </c>
      <c r="AV55" s="2" t="e">
        <f t="shared" si="5"/>
        <v>#REF!</v>
      </c>
      <c r="AW55" s="2" t="e">
        <f t="shared" si="5"/>
        <v>#REF!</v>
      </c>
      <c r="AX55" s="2" t="e">
        <f t="shared" si="5"/>
        <v>#REF!</v>
      </c>
    </row>
    <row r="56" spans="1:50">
      <c r="A56" t="s">
        <v>319</v>
      </c>
      <c r="B56">
        <v>2015</v>
      </c>
      <c r="C56" t="s">
        <v>423</v>
      </c>
      <c r="D56">
        <v>2.5997110000000001</v>
      </c>
      <c r="F56" s="45">
        <v>2013</v>
      </c>
      <c r="G56" s="2">
        <f t="shared" si="4"/>
        <v>4.6194930000000003</v>
      </c>
      <c r="H56" s="2">
        <f t="shared" si="5"/>
        <v>5.1137920000000001</v>
      </c>
      <c r="I56" s="2">
        <f t="shared" si="5"/>
        <v>3.4358430000000002</v>
      </c>
      <c r="J56" s="2">
        <f t="shared" si="5"/>
        <v>0.43433100000000002</v>
      </c>
      <c r="K56" s="2">
        <f t="shared" si="5"/>
        <v>0.33723199999999998</v>
      </c>
      <c r="L56" s="2">
        <f t="shared" si="5"/>
        <v>1.8945080000000001</v>
      </c>
      <c r="M56" s="2">
        <f t="shared" si="5"/>
        <v>6.6792470000000002</v>
      </c>
      <c r="N56" s="2">
        <f t="shared" si="5"/>
        <v>25.340199999999999</v>
      </c>
      <c r="O56" s="2">
        <f t="shared" si="5"/>
        <v>0.24709400000000001</v>
      </c>
      <c r="P56" s="2">
        <f t="shared" si="5"/>
        <v>1.0164960000000001</v>
      </c>
      <c r="Q56" s="2">
        <f t="shared" si="5"/>
        <v>6.55</v>
      </c>
      <c r="R56" s="2">
        <f t="shared" si="5"/>
        <v>3.1634690000000001</v>
      </c>
      <c r="S56" s="2">
        <f t="shared" si="5"/>
        <v>1.4551829999999999</v>
      </c>
      <c r="T56" s="2">
        <f t="shared" si="5"/>
        <v>1.639114</v>
      </c>
      <c r="U56" s="2">
        <f t="shared" si="5"/>
        <v>3.2835999999999997E-2</v>
      </c>
      <c r="V56" s="2">
        <f t="shared" si="5"/>
        <v>5.9080000000000004</v>
      </c>
      <c r="W56" s="2">
        <f t="shared" si="5"/>
        <v>0.31784899999999999</v>
      </c>
      <c r="X56" s="2">
        <f t="shared" si="5"/>
        <v>4.9149669999999999</v>
      </c>
      <c r="Y56" s="2">
        <f t="shared" si="5"/>
        <v>16.583217999999999</v>
      </c>
      <c r="Z56" s="2">
        <f t="shared" si="5"/>
        <v>13.35392</v>
      </c>
      <c r="AA56" s="2">
        <f t="shared" si="5"/>
        <v>7.5937799999999998</v>
      </c>
      <c r="AB56" s="2">
        <f t="shared" si="5"/>
        <v>143.62317300000001</v>
      </c>
      <c r="AC56" s="2">
        <f t="shared" si="5"/>
        <v>0.57853100000000002</v>
      </c>
      <c r="AD56" s="2">
        <f t="shared" si="5"/>
        <v>3.508</v>
      </c>
      <c r="AE56" s="2">
        <f t="shared" si="5"/>
        <v>25.916250999999999</v>
      </c>
      <c r="AF56" s="2">
        <f t="shared" si="5"/>
        <v>7.3677830000000002</v>
      </c>
      <c r="AG56" s="2">
        <f t="shared" si="5"/>
        <v>2.0825</v>
      </c>
      <c r="AH56" s="2">
        <f t="shared" si="5"/>
        <v>3.0454659999999998</v>
      </c>
      <c r="AI56" s="2">
        <f t="shared" si="5"/>
        <v>6.4032660000000003</v>
      </c>
      <c r="AJ56" s="2">
        <f t="shared" si="5"/>
        <v>1.1273390000000001</v>
      </c>
      <c r="AK56" s="2">
        <f t="shared" si="5"/>
        <v>0.39932200000000001</v>
      </c>
      <c r="AL56" s="2">
        <f t="shared" si="5"/>
        <v>4.3668810000000002</v>
      </c>
      <c r="AM56" s="2">
        <f t="shared" si="5"/>
        <v>4.3647179999999999</v>
      </c>
      <c r="AN56" s="2">
        <f t="shared" si="5"/>
        <v>2.0615070000000002</v>
      </c>
      <c r="AO56" s="2">
        <f t="shared" si="5"/>
        <v>0.33330300000000002</v>
      </c>
      <c r="AP56" s="2" t="e">
        <f t="shared" si="5"/>
        <v>#REF!</v>
      </c>
      <c r="AQ56" s="2" t="e">
        <f t="shared" si="5"/>
        <v>#REF!</v>
      </c>
      <c r="AR56" s="2" t="e">
        <f t="shared" si="5"/>
        <v>#REF!</v>
      </c>
      <c r="AS56" s="2" t="e">
        <f t="shared" si="5"/>
        <v>#REF!</v>
      </c>
      <c r="AT56" s="2" t="e">
        <f t="shared" si="5"/>
        <v>#REF!</v>
      </c>
      <c r="AU56" s="2" t="e">
        <f t="shared" si="5"/>
        <v>#REF!</v>
      </c>
      <c r="AV56" s="2" t="e">
        <f t="shared" si="5"/>
        <v>#REF!</v>
      </c>
      <c r="AW56" s="2" t="e">
        <f t="shared" si="5"/>
        <v>#REF!</v>
      </c>
      <c r="AX56" s="2" t="e">
        <f t="shared" si="5"/>
        <v>#REF!</v>
      </c>
    </row>
    <row r="57" spans="1:50">
      <c r="A57" t="s">
        <v>319</v>
      </c>
      <c r="B57">
        <v>2005</v>
      </c>
      <c r="C57" t="s">
        <v>439</v>
      </c>
      <c r="D57">
        <v>12.26</v>
      </c>
      <c r="F57" s="45">
        <v>2014</v>
      </c>
      <c r="G57" s="2">
        <f t="shared" si="4"/>
        <v>4.8339270000000001</v>
      </c>
      <c r="H57" s="2">
        <f t="shared" si="5"/>
        <v>5.3239979999999996</v>
      </c>
      <c r="I57" s="2">
        <f t="shared" si="5"/>
        <v>3.5560589999999999</v>
      </c>
      <c r="J57" s="2">
        <f t="shared" si="5"/>
        <v>0.44450000000000001</v>
      </c>
      <c r="K57" s="2">
        <f t="shared" si="5"/>
        <v>0.29586600000000002</v>
      </c>
      <c r="L57" s="2">
        <f t="shared" si="5"/>
        <v>1.90259</v>
      </c>
      <c r="M57" s="2">
        <f t="shared" si="5"/>
        <v>7.1111019999999998</v>
      </c>
      <c r="N57" s="2">
        <f t="shared" si="5"/>
        <v>28.499162999999999</v>
      </c>
      <c r="O57" s="2">
        <f t="shared" si="5"/>
        <v>0.25270399999999998</v>
      </c>
      <c r="P57" s="2">
        <f t="shared" si="5"/>
        <v>1.0388440000000001</v>
      </c>
      <c r="Q57" s="2">
        <f t="shared" si="5"/>
        <v>6.6079999999999997</v>
      </c>
      <c r="R57" s="2">
        <f t="shared" si="5"/>
        <v>3.2444570000000001</v>
      </c>
      <c r="S57" s="2">
        <f t="shared" si="5"/>
        <v>1.4316629999999999</v>
      </c>
      <c r="T57" s="2">
        <f t="shared" si="5"/>
        <v>1.730313</v>
      </c>
      <c r="U57" s="2">
        <f t="shared" si="5"/>
        <v>3.3663999999999999E-2</v>
      </c>
      <c r="V57" s="2">
        <f t="shared" si="5"/>
        <v>6.0679999999999996</v>
      </c>
      <c r="W57" s="2">
        <f t="shared" si="5"/>
        <v>0.31737799999999999</v>
      </c>
      <c r="X57" s="2">
        <f t="shared" si="5"/>
        <v>4.9139530000000002</v>
      </c>
      <c r="Y57" s="2">
        <f t="shared" si="5"/>
        <v>16.520396000000002</v>
      </c>
      <c r="Z57" s="2">
        <f t="shared" si="5"/>
        <v>14.08419</v>
      </c>
      <c r="AA57" s="2">
        <f t="shared" si="5"/>
        <v>7.8313959999999998</v>
      </c>
      <c r="AB57" s="2">
        <f t="shared" si="5"/>
        <v>148.37384399999999</v>
      </c>
      <c r="AC57" s="2">
        <f t="shared" si="5"/>
        <v>0.58483799999999997</v>
      </c>
      <c r="AD57" s="2">
        <f t="shared" si="5"/>
        <v>3.469014</v>
      </c>
      <c r="AE57" s="2">
        <f t="shared" si="5"/>
        <v>27.174536</v>
      </c>
      <c r="AF57" s="2">
        <f t="shared" si="5"/>
        <v>7.5846200000000001</v>
      </c>
      <c r="AG57" s="2">
        <f t="shared" si="5"/>
        <v>2.13</v>
      </c>
      <c r="AH57" s="2">
        <f t="shared" si="5"/>
        <v>3.130862</v>
      </c>
      <c r="AI57" s="2">
        <f t="shared" si="5"/>
        <v>6.336843</v>
      </c>
      <c r="AJ57" s="2">
        <f t="shared" si="5"/>
        <v>1.1379729999999999</v>
      </c>
      <c r="AK57" s="2">
        <f t="shared" si="5"/>
        <v>0.41011799999999998</v>
      </c>
      <c r="AL57" s="2">
        <f t="shared" si="5"/>
        <v>4.5154019999999999</v>
      </c>
      <c r="AM57" s="2">
        <f t="shared" si="5"/>
        <v>4.5005759999999997</v>
      </c>
      <c r="AN57" s="2">
        <f t="shared" si="5"/>
        <v>2.0015580000000002</v>
      </c>
      <c r="AO57" s="2">
        <f t="shared" si="5"/>
        <v>0.39556599999999997</v>
      </c>
      <c r="AP57" s="2" t="e">
        <f t="shared" si="5"/>
        <v>#REF!</v>
      </c>
      <c r="AQ57" s="2" t="e">
        <f t="shared" si="5"/>
        <v>#REF!</v>
      </c>
      <c r="AR57" s="2" t="e">
        <f t="shared" si="5"/>
        <v>#REF!</v>
      </c>
      <c r="AS57" s="2" t="e">
        <f t="shared" si="5"/>
        <v>#REF!</v>
      </c>
      <c r="AT57" s="2" t="e">
        <f t="shared" si="5"/>
        <v>#REF!</v>
      </c>
      <c r="AU57" s="2" t="e">
        <f t="shared" si="5"/>
        <v>#REF!</v>
      </c>
      <c r="AV57" s="2" t="e">
        <f t="shared" si="5"/>
        <v>#REF!</v>
      </c>
      <c r="AW57" s="2" t="e">
        <f t="shared" si="5"/>
        <v>#REF!</v>
      </c>
      <c r="AX57" s="2" t="e">
        <f t="shared" si="5"/>
        <v>#REF!</v>
      </c>
    </row>
    <row r="58" spans="1:50">
      <c r="A58" t="s">
        <v>319</v>
      </c>
      <c r="B58">
        <v>2006</v>
      </c>
      <c r="C58" t="s">
        <v>439</v>
      </c>
      <c r="D58">
        <v>12.474</v>
      </c>
      <c r="F58" s="45">
        <v>2015</v>
      </c>
      <c r="G58" s="2">
        <f t="shared" si="4"/>
        <v>5.2694720000000004</v>
      </c>
      <c r="H58" s="2">
        <f t="shared" si="5"/>
        <v>5.5067769999999996</v>
      </c>
      <c r="I58" s="2">
        <f t="shared" si="5"/>
        <v>3.651103</v>
      </c>
      <c r="J58" s="2">
        <f t="shared" si="5"/>
        <v>0.45370199999999999</v>
      </c>
      <c r="K58" s="2">
        <f t="shared" si="5"/>
        <v>0.307147</v>
      </c>
      <c r="L58" s="2">
        <f t="shared" si="5"/>
        <v>1.939395</v>
      </c>
      <c r="M58" s="2">
        <f t="shared" si="5"/>
        <v>7.2719009999999997</v>
      </c>
      <c r="N58" s="2">
        <f t="shared" si="5"/>
        <v>27.039667999999999</v>
      </c>
      <c r="O58" s="2">
        <f t="shared" si="5"/>
        <v>0.26298700000000003</v>
      </c>
      <c r="P58" s="2">
        <f t="shared" si="5"/>
        <v>1.0720130000000001</v>
      </c>
      <c r="Q58" s="2">
        <f t="shared" si="5"/>
        <v>6.6520000000000001</v>
      </c>
      <c r="R58" s="2">
        <f t="shared" si="5"/>
        <v>3.3558849999999998</v>
      </c>
      <c r="S58" s="2">
        <f t="shared" si="5"/>
        <v>1.206896</v>
      </c>
      <c r="T58" s="2">
        <f t="shared" si="5"/>
        <v>1.838336</v>
      </c>
      <c r="U58" s="2">
        <f t="shared" si="5"/>
        <v>3.5425999999999999E-2</v>
      </c>
      <c r="V58" s="2">
        <f t="shared" si="5"/>
        <v>6.3920000000000003</v>
      </c>
      <c r="W58" s="2">
        <f t="shared" si="5"/>
        <v>0.33054099999999997</v>
      </c>
      <c r="X58" s="2">
        <f t="shared" si="5"/>
        <v>4.939838</v>
      </c>
      <c r="Y58" s="2">
        <f t="shared" si="5"/>
        <v>16.416447999999999</v>
      </c>
      <c r="Z58" s="2">
        <f t="shared" si="5"/>
        <v>14.757721</v>
      </c>
      <c r="AA58" s="2">
        <f t="shared" si="5"/>
        <v>8.1383279999999996</v>
      </c>
      <c r="AB58" s="2">
        <f t="shared" si="5"/>
        <v>153.435383</v>
      </c>
      <c r="AC58" s="2">
        <f t="shared" si="5"/>
        <v>0.59087199999999995</v>
      </c>
      <c r="AD58" s="2">
        <f t="shared" si="5"/>
        <v>3.5621990000000001</v>
      </c>
      <c r="AE58" s="2">
        <f t="shared" si="5"/>
        <v>28.039458</v>
      </c>
      <c r="AF58" s="2">
        <f t="shared" si="5"/>
        <v>7.5670460000000004</v>
      </c>
      <c r="AG58" s="2">
        <f t="shared" si="5"/>
        <v>2.2000000000000002</v>
      </c>
      <c r="AH58" s="2">
        <f t="shared" si="5"/>
        <v>3.216656</v>
      </c>
      <c r="AI58" s="2">
        <f t="shared" si="5"/>
        <v>6.3859709999999996</v>
      </c>
      <c r="AJ58" s="2">
        <f t="shared" si="5"/>
        <v>1.1517170000000001</v>
      </c>
      <c r="AK58" s="2">
        <f t="shared" si="5"/>
        <v>0.42061300000000001</v>
      </c>
      <c r="AL58" s="2">
        <f t="shared" si="5"/>
        <v>4.7716190000000003</v>
      </c>
      <c r="AM58" s="2">
        <f t="shared" si="5"/>
        <v>4.677162</v>
      </c>
      <c r="AN58" s="2">
        <f t="shared" si="5"/>
        <v>1.885667</v>
      </c>
      <c r="AO58" s="2">
        <f t="shared" si="5"/>
        <v>0.41006199999999998</v>
      </c>
      <c r="AP58" s="2" t="e">
        <f t="shared" si="5"/>
        <v>#REF!</v>
      </c>
      <c r="AQ58" s="2" t="e">
        <f t="shared" si="5"/>
        <v>#REF!</v>
      </c>
      <c r="AR58" s="2" t="e">
        <f t="shared" si="5"/>
        <v>#REF!</v>
      </c>
      <c r="AS58" s="2" t="e">
        <f t="shared" si="5"/>
        <v>#REF!</v>
      </c>
      <c r="AT58" s="2" t="e">
        <f t="shared" si="5"/>
        <v>#REF!</v>
      </c>
      <c r="AU58" s="2" t="e">
        <f t="shared" si="5"/>
        <v>#REF!</v>
      </c>
      <c r="AV58" s="2" t="e">
        <f t="shared" si="5"/>
        <v>#REF!</v>
      </c>
      <c r="AW58" s="2" t="e">
        <f t="shared" si="5"/>
        <v>#REF!</v>
      </c>
      <c r="AX58" s="2" t="e">
        <f t="shared" si="5"/>
        <v>#REF!</v>
      </c>
    </row>
    <row r="59" spans="1:50">
      <c r="A59" t="s">
        <v>319</v>
      </c>
      <c r="B59">
        <v>2007</v>
      </c>
      <c r="C59" t="s">
        <v>439</v>
      </c>
      <c r="D59">
        <v>12.72</v>
      </c>
      <c r="F59" s="47">
        <v>2019</v>
      </c>
      <c r="G59" s="62" cm="1">
        <f t="array" ref="G59">TREND(G54:G58,$F$40:$F$44,$F59)</f>
        <v>6.2421408000000156</v>
      </c>
      <c r="H59" s="62" cm="1">
        <f t="array" ref="H59">TREND(H54:H58,$F$40:$F$44,$F59)</f>
        <v>6.1953489999999647</v>
      </c>
      <c r="I59" s="62" cm="1">
        <f t="array" ref="I59">TREND(I54:I58,$F$40:$F$44,$F59)</f>
        <v>4.6003115999999977</v>
      </c>
      <c r="J59" s="62" cm="1">
        <f t="array" ref="J59">TREND(J54:J58,$F$40:$F$44,$F59)</f>
        <v>0.4902489999999986</v>
      </c>
      <c r="K59" s="62" cm="1">
        <f t="array" ref="K59">TREND(K54:K58,$F$40:$F$44,$F59)</f>
        <v>0.28756279999999812</v>
      </c>
      <c r="L59" s="62" cm="1">
        <f t="array" ref="L59">TREND(L54:L58,$F$40:$F$44,$F59)</f>
        <v>1.9828478000000018</v>
      </c>
      <c r="M59" s="62" cm="1">
        <f t="array" ref="M59">TREND(M54:M58,$F$40:$F$44,$F59)</f>
        <v>8.9585404000000608</v>
      </c>
      <c r="N59" s="62" cm="1">
        <f t="array" ref="N59">TREND(N54:N58,$F$40:$F$44,$F59)</f>
        <v>38.272305599999527</v>
      </c>
      <c r="O59" s="62" cm="1">
        <f t="array" ref="O59">TREND(O54:O58,$F$40:$F$44,$F59)</f>
        <v>0.26206260000000015</v>
      </c>
      <c r="P59" s="62" cm="1">
        <f t="array" ref="P59">TREND(P54:P58,$F$40:$F$44,$F59)</f>
        <v>1.1218525999999969</v>
      </c>
      <c r="Q59" s="62" cm="1">
        <f t="array" ref="Q59">TREND(Q54:Q58,$F$40:$F$44,$F59)</f>
        <v>6.7770000000000081</v>
      </c>
      <c r="R59" s="62" cm="1">
        <f t="array" ref="R59">TREND(R54:R58,$F$40:$F$44,$F59)</f>
        <v>3.6276983999999857</v>
      </c>
      <c r="S59" s="62" cm="1">
        <f t="array" ref="S59">TREND(S54:S58,$F$40:$F$44,$F59)</f>
        <v>1.0708683999999948</v>
      </c>
      <c r="T59" s="62" cm="1">
        <f t="array" ref="T59">TREND(T54:T58,$F$40:$F$44,$F59)</f>
        <v>2.0582397999999955</v>
      </c>
      <c r="U59" s="62" cm="1">
        <f t="array" ref="U59">TREND(U54:U58,$F$40:$F$44,$F59)</f>
        <v>3.7944999999999895E-2</v>
      </c>
      <c r="V59" s="62" cm="1">
        <f t="array" ref="V59">TREND(V54:V58,$F$40:$F$44,$F59)</f>
        <v>7.6083999999999605</v>
      </c>
      <c r="W59" s="62" cm="1">
        <f t="array" ref="W59">TREND(W54:W58,$F$40:$F$44,$F59)</f>
        <v>0.33557599999999965</v>
      </c>
      <c r="X59" s="62" cm="1">
        <f t="array" ref="X59">TREND(X54:X58,$F$40:$F$44,$F59)</f>
        <v>4.8413290000000018</v>
      </c>
      <c r="Y59" s="62" cm="1">
        <f t="array" ref="Y59">TREND(Y54:Y58,$F$40:$F$44,$F59)</f>
        <v>15.990987599999983</v>
      </c>
      <c r="Z59" s="62" cm="1">
        <f t="array" ref="Z59">TREND(Z54:Z58,$F$40:$F$44,$F59)</f>
        <v>17.217967000000044</v>
      </c>
      <c r="AA59" s="62" cm="1">
        <f t="array" ref="AA59">TREND(AA54:AA58,$F$40:$F$44,$F59)</f>
        <v>9.4784841999999117</v>
      </c>
      <c r="AB59" s="62" cm="1">
        <f t="array" ref="AB59">TREND(AB54:AB58,$F$40:$F$44,$F59)</f>
        <v>173.73066239999935</v>
      </c>
      <c r="AC59" s="62" cm="1">
        <f t="array" ref="AC59">TREND(AC54:AC58,$F$40:$F$44,$F59)</f>
        <v>0.62239739999999877</v>
      </c>
      <c r="AD59" s="62" cm="1">
        <f t="array" ref="AD59">TREND(AD54:AD58,$F$40:$F$44,$F59)</f>
        <v>3.711289800000003</v>
      </c>
      <c r="AE59" s="62" cm="1">
        <f t="array" ref="AE59">TREND(AE54:AE58,$F$40:$F$44,$F59)</f>
        <v>32.443948799999816</v>
      </c>
      <c r="AF59" s="62" cm="1">
        <f t="array" ref="AF59">TREND(AF54:AF58,$F$40:$F$44,$F59)</f>
        <v>8.2909073999999805</v>
      </c>
      <c r="AG59" s="62" cm="1">
        <f t="array" ref="AG59">TREND(AG54:AG58,$F$40:$F$44,$F59)</f>
        <v>2.5249443999999812</v>
      </c>
      <c r="AH59" s="62" cm="1">
        <f t="array" ref="AH59">TREND(AH54:AH58,$F$40:$F$44,$F59)</f>
        <v>3.5329886000000101</v>
      </c>
      <c r="AI59" s="62" cm="1">
        <f t="array" ref="AI59">TREND(AI54:AI58,$F$40:$F$44,$F59)</f>
        <v>6.0032870000000003</v>
      </c>
      <c r="AJ59" s="62" cm="1">
        <f t="array" ref="AJ59">TREND(AJ54:AJ58,$F$40:$F$44,$F59)</f>
        <v>1.1573003999999996</v>
      </c>
      <c r="AK59" s="62" cm="1">
        <f t="array" ref="AK59">TREND(AK54:AK58,$F$40:$F$44,$F59)</f>
        <v>0.46327480000000065</v>
      </c>
      <c r="AL59" s="62" cm="1">
        <f t="array" ref="AL59">TREND(AL54:AL58,$F$40:$F$44,$F59)</f>
        <v>5.5457643999999959</v>
      </c>
      <c r="AM59" s="62" cm="1">
        <f t="array" ref="AM59">TREND(AM54:AM58,$F$40:$F$44,$F59)</f>
        <v>5.0401902000000121</v>
      </c>
      <c r="AN59" s="62" cm="1">
        <f t="array" ref="AN59">TREND(AN54:AN58,$F$40:$F$44,$F59)</f>
        <v>2.3547313999999915</v>
      </c>
      <c r="AO59" s="62" cm="1">
        <f t="array" ref="AO59">TREND(AO54:AO58,$F$40:$F$44,$F59)</f>
        <v>0.46827860000000499</v>
      </c>
      <c r="AP59" s="62" t="e" cm="1">
        <f t="array" ref="AP59">TREND(AP54:AP58,$F$40:$F$44,$F59)</f>
        <v>#VALUE!</v>
      </c>
      <c r="AQ59" s="62" t="e" cm="1">
        <f t="array" ref="AQ59">TREND(AQ54:AQ58,$F$40:$F$44,$F59)</f>
        <v>#VALUE!</v>
      </c>
      <c r="AR59" s="62" t="e" cm="1">
        <f t="array" ref="AR59">TREND(AR54:AR58,$F$40:$F$44,$F59)</f>
        <v>#VALUE!</v>
      </c>
      <c r="AS59" s="62" t="e" cm="1">
        <f t="array" ref="AS59">TREND(AS54:AS58,$F$40:$F$44,$F59)</f>
        <v>#VALUE!</v>
      </c>
      <c r="AT59" s="62" t="e" cm="1">
        <f t="array" ref="AT59">TREND(AT54:AT58,$F$40:$F$44,$F59)</f>
        <v>#VALUE!</v>
      </c>
      <c r="AU59" s="62" t="e" cm="1">
        <f t="array" ref="AU59">TREND(AU54:AU58,$F$40:$F$44,$F59)</f>
        <v>#VALUE!</v>
      </c>
      <c r="AV59" s="62" t="e" cm="1">
        <f t="array" ref="AV59">TREND(AV54:AV58,$F$40:$F$44,$F59)</f>
        <v>#VALUE!</v>
      </c>
      <c r="AW59" s="62" t="e" cm="1">
        <f t="array" ref="AW59">TREND(AW54:AW58,$F$40:$F$44,$F59)</f>
        <v>#VALUE!</v>
      </c>
      <c r="AX59" s="62" t="e" cm="1">
        <f t="array" ref="AX59">TREND(AX54:AX58,$F$40:$F$44,$F59)</f>
        <v>#VALUE!</v>
      </c>
    </row>
    <row r="60" spans="1:50">
      <c r="A60" t="s">
        <v>319</v>
      </c>
      <c r="B60">
        <v>2008</v>
      </c>
      <c r="C60" t="s">
        <v>439</v>
      </c>
      <c r="D60">
        <v>12.958</v>
      </c>
    </row>
    <row r="61" spans="1:50">
      <c r="A61" t="s">
        <v>319</v>
      </c>
      <c r="B61">
        <v>2009</v>
      </c>
      <c r="C61" t="s">
        <v>439</v>
      </c>
      <c r="D61">
        <v>13.114000000000001</v>
      </c>
    </row>
    <row r="62" spans="1:50">
      <c r="A62" t="s">
        <v>319</v>
      </c>
      <c r="B62">
        <v>2010</v>
      </c>
      <c r="C62" t="s">
        <v>439</v>
      </c>
      <c r="D62">
        <v>13.352</v>
      </c>
    </row>
    <row r="63" spans="1:50">
      <c r="A63" t="s">
        <v>319</v>
      </c>
      <c r="B63">
        <v>2011</v>
      </c>
      <c r="C63" t="s">
        <v>439</v>
      </c>
      <c r="D63">
        <v>13.564</v>
      </c>
    </row>
    <row r="64" spans="1:50">
      <c r="A64" t="s">
        <v>319</v>
      </c>
      <c r="B64">
        <v>2012</v>
      </c>
      <c r="C64" t="s">
        <v>439</v>
      </c>
      <c r="D64">
        <v>13.664463</v>
      </c>
    </row>
    <row r="65" spans="1:4">
      <c r="A65" t="s">
        <v>319</v>
      </c>
      <c r="B65">
        <v>2013</v>
      </c>
      <c r="C65" t="s">
        <v>439</v>
      </c>
      <c r="D65">
        <v>13.956542000000001</v>
      </c>
    </row>
    <row r="66" spans="1:4">
      <c r="A66" t="s">
        <v>319</v>
      </c>
      <c r="B66">
        <v>2014</v>
      </c>
      <c r="C66" t="s">
        <v>439</v>
      </c>
      <c r="D66">
        <v>14.076907</v>
      </c>
    </row>
    <row r="67" spans="1:4">
      <c r="A67" t="s">
        <v>319</v>
      </c>
      <c r="B67">
        <v>2015</v>
      </c>
      <c r="C67" t="s">
        <v>439</v>
      </c>
      <c r="D67">
        <v>14.304275000000001</v>
      </c>
    </row>
    <row r="68" spans="1:4">
      <c r="A68" t="s">
        <v>319</v>
      </c>
      <c r="B68">
        <v>2005</v>
      </c>
      <c r="C68" t="s">
        <v>509</v>
      </c>
      <c r="D68">
        <v>18.925913524999999</v>
      </c>
    </row>
    <row r="69" spans="1:4">
      <c r="A69" t="s">
        <v>319</v>
      </c>
      <c r="B69">
        <v>2006</v>
      </c>
      <c r="C69" t="s">
        <v>509</v>
      </c>
      <c r="D69">
        <v>19.892111395000001</v>
      </c>
    </row>
    <row r="70" spans="1:4">
      <c r="A70" t="s">
        <v>319</v>
      </c>
      <c r="B70">
        <v>2007</v>
      </c>
      <c r="C70" t="s">
        <v>509</v>
      </c>
      <c r="D70">
        <v>21.296756030000001</v>
      </c>
    </row>
    <row r="71" spans="1:4">
      <c r="A71" t="s">
        <v>319</v>
      </c>
      <c r="B71">
        <v>2008</v>
      </c>
      <c r="C71" t="s">
        <v>509</v>
      </c>
      <c r="D71">
        <v>22.91713966</v>
      </c>
    </row>
    <row r="72" spans="1:4">
      <c r="A72" t="s">
        <v>319</v>
      </c>
      <c r="B72">
        <v>2009</v>
      </c>
      <c r="C72" t="s">
        <v>509</v>
      </c>
      <c r="D72">
        <v>24.814742644999999</v>
      </c>
    </row>
    <row r="73" spans="1:4">
      <c r="A73" t="s">
        <v>319</v>
      </c>
      <c r="B73">
        <v>2010</v>
      </c>
      <c r="C73" t="s">
        <v>509</v>
      </c>
      <c r="D73">
        <v>26.887691905000001</v>
      </c>
    </row>
    <row r="74" spans="1:4">
      <c r="A74" t="s">
        <v>319</v>
      </c>
      <c r="B74">
        <v>2011</v>
      </c>
      <c r="C74" t="s">
        <v>509</v>
      </c>
      <c r="D74">
        <v>28.945932710000001</v>
      </c>
    </row>
    <row r="75" spans="1:4">
      <c r="A75" t="s">
        <v>319</v>
      </c>
      <c r="B75">
        <v>2012</v>
      </c>
      <c r="C75" t="s">
        <v>509</v>
      </c>
      <c r="D75">
        <v>31.122621939999998</v>
      </c>
    </row>
    <row r="76" spans="1:4">
      <c r="A76" t="s">
        <v>319</v>
      </c>
      <c r="B76">
        <v>2013</v>
      </c>
      <c r="C76" t="s">
        <v>509</v>
      </c>
      <c r="D76">
        <v>33.091826185000002</v>
      </c>
    </row>
    <row r="77" spans="1:4">
      <c r="A77" t="s">
        <v>319</v>
      </c>
      <c r="B77">
        <v>2014</v>
      </c>
      <c r="C77" t="s">
        <v>509</v>
      </c>
      <c r="D77">
        <v>34.676231829999999</v>
      </c>
    </row>
    <row r="78" spans="1:4">
      <c r="A78" t="s">
        <v>319</v>
      </c>
      <c r="B78">
        <v>2015</v>
      </c>
      <c r="C78" t="s">
        <v>509</v>
      </c>
      <c r="D78">
        <v>35.471423000000001</v>
      </c>
    </row>
    <row r="79" spans="1:4">
      <c r="A79" t="s">
        <v>319</v>
      </c>
      <c r="B79">
        <v>2005</v>
      </c>
      <c r="C79" t="s">
        <v>510</v>
      </c>
      <c r="D79">
        <v>21.324999999999999</v>
      </c>
    </row>
    <row r="80" spans="1:4">
      <c r="A80" t="s">
        <v>319</v>
      </c>
      <c r="B80">
        <v>2006</v>
      </c>
      <c r="C80" t="s">
        <v>510</v>
      </c>
      <c r="D80">
        <v>26.196000000000002</v>
      </c>
    </row>
    <row r="81" spans="1:4">
      <c r="A81" t="s">
        <v>319</v>
      </c>
      <c r="B81">
        <v>2007</v>
      </c>
      <c r="C81" t="s">
        <v>510</v>
      </c>
      <c r="D81">
        <v>31.96</v>
      </c>
    </row>
    <row r="82" spans="1:4">
      <c r="A82" t="s">
        <v>319</v>
      </c>
      <c r="B82">
        <v>2008</v>
      </c>
      <c r="C82" t="s">
        <v>510</v>
      </c>
      <c r="D82">
        <v>38.389000000000003</v>
      </c>
    </row>
    <row r="83" spans="1:4">
      <c r="A83" t="s">
        <v>319</v>
      </c>
      <c r="B83">
        <v>2009</v>
      </c>
      <c r="C83" t="s">
        <v>510</v>
      </c>
      <c r="D83">
        <v>48.451000000000001</v>
      </c>
    </row>
    <row r="84" spans="1:4">
      <c r="A84" t="s">
        <v>319</v>
      </c>
      <c r="B84">
        <v>2010</v>
      </c>
      <c r="C84" t="s">
        <v>510</v>
      </c>
      <c r="D84">
        <v>61.634</v>
      </c>
    </row>
    <row r="85" spans="1:4">
      <c r="A85" t="s">
        <v>319</v>
      </c>
      <c r="B85">
        <v>2011</v>
      </c>
      <c r="C85" t="s">
        <v>510</v>
      </c>
      <c r="D85">
        <v>74.849999999999994</v>
      </c>
    </row>
    <row r="86" spans="1:4">
      <c r="A86" t="s">
        <v>319</v>
      </c>
      <c r="B86">
        <v>2012</v>
      </c>
      <c r="C86" t="s">
        <v>510</v>
      </c>
      <c r="D86">
        <v>87.376000000000005</v>
      </c>
    </row>
    <row r="87" spans="1:4">
      <c r="A87" t="s">
        <v>319</v>
      </c>
      <c r="B87">
        <v>2013</v>
      </c>
      <c r="C87" t="s">
        <v>510</v>
      </c>
      <c r="D87">
        <v>101.3608</v>
      </c>
    </row>
    <row r="88" spans="1:4">
      <c r="A88" t="s">
        <v>319</v>
      </c>
      <c r="B88">
        <v>2014</v>
      </c>
      <c r="C88" t="s">
        <v>510</v>
      </c>
      <c r="D88">
        <v>117.48191300000001</v>
      </c>
    </row>
    <row r="89" spans="1:4">
      <c r="A89" t="s">
        <v>319</v>
      </c>
      <c r="B89">
        <v>2015</v>
      </c>
      <c r="C89" t="s">
        <v>510</v>
      </c>
      <c r="D89">
        <v>135.804833</v>
      </c>
    </row>
    <row r="90" spans="1:4">
      <c r="A90" t="s">
        <v>319</v>
      </c>
      <c r="B90">
        <v>2005</v>
      </c>
      <c r="C90" t="s">
        <v>441</v>
      </c>
      <c r="D90">
        <v>2.3497810000000001</v>
      </c>
    </row>
    <row r="91" spans="1:4">
      <c r="A91" t="s">
        <v>319</v>
      </c>
      <c r="B91">
        <v>2006</v>
      </c>
      <c r="C91" t="s">
        <v>441</v>
      </c>
      <c r="D91">
        <v>2.421567</v>
      </c>
    </row>
    <row r="92" spans="1:4">
      <c r="A92" t="s">
        <v>319</v>
      </c>
      <c r="B92">
        <v>2007</v>
      </c>
      <c r="C92" t="s">
        <v>441</v>
      </c>
      <c r="D92">
        <v>2.5111270000000001</v>
      </c>
    </row>
    <row r="93" spans="1:4">
      <c r="A93" t="s">
        <v>319</v>
      </c>
      <c r="B93">
        <v>2008</v>
      </c>
      <c r="C93" t="s">
        <v>441</v>
      </c>
      <c r="D93">
        <v>2.5868359999999999</v>
      </c>
    </row>
    <row r="94" spans="1:4">
      <c r="A94" t="s">
        <v>319</v>
      </c>
      <c r="B94">
        <v>2009</v>
      </c>
      <c r="C94" t="s">
        <v>441</v>
      </c>
      <c r="D94">
        <v>2.5989270000000002</v>
      </c>
    </row>
    <row r="95" spans="1:4">
      <c r="A95" t="s">
        <v>319</v>
      </c>
      <c r="B95">
        <v>2010</v>
      </c>
      <c r="C95" t="s">
        <v>441</v>
      </c>
      <c r="D95">
        <v>2.5839319999999999</v>
      </c>
    </row>
    <row r="96" spans="1:4">
      <c r="A96" t="s">
        <v>319</v>
      </c>
      <c r="B96">
        <v>2011</v>
      </c>
      <c r="C96" t="s">
        <v>441</v>
      </c>
      <c r="D96">
        <v>2.5921090000000002</v>
      </c>
    </row>
    <row r="97" spans="1:4">
      <c r="A97" t="s">
        <v>319</v>
      </c>
      <c r="B97">
        <v>2012</v>
      </c>
      <c r="C97" t="s">
        <v>441</v>
      </c>
      <c r="D97">
        <v>2.5191870000000001</v>
      </c>
    </row>
    <row r="98" spans="1:4">
      <c r="A98" t="s">
        <v>319</v>
      </c>
      <c r="B98">
        <v>2013</v>
      </c>
      <c r="C98" t="s">
        <v>441</v>
      </c>
      <c r="D98">
        <v>2.5202209999999998</v>
      </c>
    </row>
    <row r="99" spans="1:4">
      <c r="A99" t="s">
        <v>319</v>
      </c>
      <c r="B99">
        <v>2014</v>
      </c>
      <c r="C99" t="s">
        <v>441</v>
      </c>
      <c r="D99">
        <v>2.5514570000000001</v>
      </c>
    </row>
    <row r="100" spans="1:4">
      <c r="A100" t="s">
        <v>319</v>
      </c>
      <c r="B100">
        <v>2015</v>
      </c>
      <c r="C100" t="s">
        <v>441</v>
      </c>
      <c r="D100">
        <v>2.587488</v>
      </c>
    </row>
    <row r="101" spans="1:4">
      <c r="A101" t="s">
        <v>319</v>
      </c>
      <c r="B101">
        <v>2005</v>
      </c>
      <c r="C101" t="s">
        <v>442</v>
      </c>
      <c r="D101">
        <v>5.2629999999999999</v>
      </c>
    </row>
    <row r="102" spans="1:4">
      <c r="A102" t="s">
        <v>319</v>
      </c>
      <c r="B102">
        <v>2006</v>
      </c>
      <c r="C102" t="s">
        <v>442</v>
      </c>
      <c r="D102">
        <v>5.4429999999999996</v>
      </c>
    </row>
    <row r="103" spans="1:4">
      <c r="A103" t="s">
        <v>319</v>
      </c>
      <c r="B103">
        <v>2007</v>
      </c>
      <c r="C103" t="s">
        <v>442</v>
      </c>
      <c r="D103">
        <v>5.7140000000000004</v>
      </c>
    </row>
    <row r="104" spans="1:4">
      <c r="A104" t="s">
        <v>319</v>
      </c>
      <c r="B104">
        <v>2008</v>
      </c>
      <c r="C104" t="s">
        <v>442</v>
      </c>
      <c r="D104">
        <v>5.968</v>
      </c>
    </row>
    <row r="105" spans="1:4">
      <c r="A105" t="s">
        <v>319</v>
      </c>
      <c r="B105">
        <v>2009</v>
      </c>
      <c r="C105" t="s">
        <v>442</v>
      </c>
      <c r="D105">
        <v>6.024</v>
      </c>
    </row>
    <row r="106" spans="1:4">
      <c r="A106" t="s">
        <v>319</v>
      </c>
      <c r="B106">
        <v>2010</v>
      </c>
      <c r="C106" t="s">
        <v>442</v>
      </c>
      <c r="D106">
        <v>6.165</v>
      </c>
    </row>
    <row r="107" spans="1:4">
      <c r="A107" t="s">
        <v>319</v>
      </c>
      <c r="B107">
        <v>2011</v>
      </c>
      <c r="C107" t="s">
        <v>442</v>
      </c>
      <c r="D107">
        <v>6.3319999999999999</v>
      </c>
    </row>
    <row r="108" spans="1:4">
      <c r="A108" t="s">
        <v>319</v>
      </c>
      <c r="B108">
        <v>2012</v>
      </c>
      <c r="C108" t="s">
        <v>442</v>
      </c>
      <c r="D108">
        <v>6.5250000000000004</v>
      </c>
    </row>
    <row r="109" spans="1:4">
      <c r="A109" t="s">
        <v>319</v>
      </c>
      <c r="B109">
        <v>2013</v>
      </c>
      <c r="C109" t="s">
        <v>442</v>
      </c>
      <c r="D109">
        <v>6.7028759999999998</v>
      </c>
    </row>
    <row r="110" spans="1:4">
      <c r="A110" t="s">
        <v>319</v>
      </c>
      <c r="B110">
        <v>2014</v>
      </c>
      <c r="C110" t="s">
        <v>442</v>
      </c>
      <c r="D110">
        <v>6.889208</v>
      </c>
    </row>
    <row r="111" spans="1:4">
      <c r="A111" t="s">
        <v>319</v>
      </c>
      <c r="B111">
        <v>2015</v>
      </c>
      <c r="C111" t="s">
        <v>442</v>
      </c>
      <c r="D111">
        <v>7.196288</v>
      </c>
    </row>
    <row r="112" spans="1:4">
      <c r="A112" t="s">
        <v>319</v>
      </c>
      <c r="B112">
        <v>2005</v>
      </c>
      <c r="C112" t="s">
        <v>511</v>
      </c>
      <c r="D112">
        <v>30.1</v>
      </c>
    </row>
    <row r="113" spans="1:4">
      <c r="A113" t="s">
        <v>319</v>
      </c>
      <c r="B113">
        <v>2006</v>
      </c>
      <c r="C113" t="s">
        <v>511</v>
      </c>
      <c r="D113">
        <v>30.4</v>
      </c>
    </row>
    <row r="114" spans="1:4">
      <c r="A114" t="s">
        <v>319</v>
      </c>
      <c r="B114">
        <v>2007</v>
      </c>
      <c r="C114" t="s">
        <v>511</v>
      </c>
      <c r="D114">
        <v>30.7</v>
      </c>
    </row>
    <row r="115" spans="1:4">
      <c r="A115" t="s">
        <v>319</v>
      </c>
      <c r="B115">
        <v>2008</v>
      </c>
      <c r="C115" t="s">
        <v>511</v>
      </c>
      <c r="D115">
        <v>30.85</v>
      </c>
    </row>
    <row r="116" spans="1:4">
      <c r="A116" t="s">
        <v>319</v>
      </c>
      <c r="B116">
        <v>2009</v>
      </c>
      <c r="C116" t="s">
        <v>511</v>
      </c>
      <c r="D116">
        <v>31.05</v>
      </c>
    </row>
    <row r="117" spans="1:4">
      <c r="A117" t="s">
        <v>319</v>
      </c>
      <c r="B117">
        <v>2010</v>
      </c>
      <c r="C117" t="s">
        <v>511</v>
      </c>
      <c r="D117">
        <v>31.3</v>
      </c>
    </row>
    <row r="118" spans="1:4">
      <c r="A118" t="s">
        <v>319</v>
      </c>
      <c r="B118">
        <v>2011</v>
      </c>
      <c r="C118" t="s">
        <v>511</v>
      </c>
      <c r="D118">
        <v>31.55</v>
      </c>
    </row>
    <row r="119" spans="1:4">
      <c r="A119" t="s">
        <v>319</v>
      </c>
      <c r="B119">
        <v>2012</v>
      </c>
      <c r="C119" t="s">
        <v>511</v>
      </c>
      <c r="D119">
        <v>31.6</v>
      </c>
    </row>
    <row r="120" spans="1:4">
      <c r="A120" t="s">
        <v>319</v>
      </c>
      <c r="B120">
        <v>2013</v>
      </c>
      <c r="C120" t="s">
        <v>511</v>
      </c>
      <c r="D120">
        <v>31.65</v>
      </c>
    </row>
    <row r="121" spans="1:4">
      <c r="A121" t="s">
        <v>319</v>
      </c>
      <c r="B121">
        <v>2014</v>
      </c>
      <c r="C121" t="s">
        <v>511</v>
      </c>
      <c r="D121">
        <v>31.8</v>
      </c>
    </row>
    <row r="122" spans="1:4">
      <c r="A122" t="s">
        <v>319</v>
      </c>
      <c r="B122">
        <v>2015</v>
      </c>
      <c r="C122" t="s">
        <v>511</v>
      </c>
      <c r="D122">
        <v>32</v>
      </c>
    </row>
    <row r="123" spans="1:4">
      <c r="A123" t="s">
        <v>319</v>
      </c>
      <c r="B123">
        <v>2005</v>
      </c>
      <c r="C123" t="s">
        <v>512</v>
      </c>
      <c r="D123">
        <v>46.09</v>
      </c>
    </row>
    <row r="124" spans="1:4">
      <c r="A124" t="s">
        <v>319</v>
      </c>
      <c r="B124">
        <v>2006</v>
      </c>
      <c r="C124" t="s">
        <v>512</v>
      </c>
      <c r="D124">
        <v>46.57</v>
      </c>
    </row>
    <row r="125" spans="1:4">
      <c r="A125" t="s">
        <v>319</v>
      </c>
      <c r="B125">
        <v>2007</v>
      </c>
      <c r="C125" t="s">
        <v>512</v>
      </c>
      <c r="D125">
        <v>41.183999999999997</v>
      </c>
    </row>
    <row r="126" spans="1:4">
      <c r="A126" t="s">
        <v>319</v>
      </c>
      <c r="B126">
        <v>2008</v>
      </c>
      <c r="C126" t="s">
        <v>512</v>
      </c>
      <c r="D126">
        <v>41.320999999999998</v>
      </c>
    </row>
    <row r="127" spans="1:4">
      <c r="A127" t="s">
        <v>319</v>
      </c>
      <c r="B127">
        <v>2009</v>
      </c>
      <c r="C127" t="s">
        <v>512</v>
      </c>
      <c r="D127">
        <v>41.738</v>
      </c>
    </row>
    <row r="128" spans="1:4">
      <c r="A128" t="s">
        <v>319</v>
      </c>
      <c r="B128">
        <v>2010</v>
      </c>
      <c r="C128" t="s">
        <v>512</v>
      </c>
      <c r="D128">
        <v>42.302</v>
      </c>
    </row>
    <row r="129" spans="1:4">
      <c r="A129" t="s">
        <v>319</v>
      </c>
      <c r="B129">
        <v>2011</v>
      </c>
      <c r="C129" t="s">
        <v>512</v>
      </c>
      <c r="D129">
        <v>42.927999999999997</v>
      </c>
    </row>
    <row r="130" spans="1:4">
      <c r="A130" t="s">
        <v>319</v>
      </c>
      <c r="B130">
        <v>2012</v>
      </c>
      <c r="C130" t="s">
        <v>512</v>
      </c>
      <c r="D130">
        <v>43.430999999999997</v>
      </c>
    </row>
    <row r="131" spans="1:4">
      <c r="A131" t="s">
        <v>319</v>
      </c>
      <c r="B131">
        <v>2013</v>
      </c>
      <c r="C131" t="s">
        <v>512</v>
      </c>
      <c r="D131">
        <v>43.851230000000001</v>
      </c>
    </row>
    <row r="132" spans="1:4">
      <c r="A132" t="s">
        <v>319</v>
      </c>
      <c r="B132">
        <v>2014</v>
      </c>
      <c r="C132" t="s">
        <v>512</v>
      </c>
      <c r="D132">
        <v>44.403123999999998</v>
      </c>
    </row>
    <row r="133" spans="1:4">
      <c r="A133" t="s">
        <v>319</v>
      </c>
      <c r="B133">
        <v>2015</v>
      </c>
      <c r="C133" t="s">
        <v>512</v>
      </c>
      <c r="D133">
        <v>45.071209000000003</v>
      </c>
    </row>
    <row r="134" spans="1:4">
      <c r="A134" t="s">
        <v>319</v>
      </c>
      <c r="B134">
        <v>2005</v>
      </c>
      <c r="C134" t="s">
        <v>445</v>
      </c>
      <c r="D134">
        <v>4.6581289999999997</v>
      </c>
    </row>
    <row r="135" spans="1:4">
      <c r="A135" t="s">
        <v>319</v>
      </c>
      <c r="B135">
        <v>2006</v>
      </c>
      <c r="C135" t="s">
        <v>445</v>
      </c>
      <c r="D135">
        <v>4.9160159999999999</v>
      </c>
    </row>
    <row r="136" spans="1:4">
      <c r="A136" t="s">
        <v>319</v>
      </c>
      <c r="B136">
        <v>2007</v>
      </c>
      <c r="C136" t="s">
        <v>445</v>
      </c>
      <c r="D136">
        <v>5.20953</v>
      </c>
    </row>
    <row r="137" spans="1:4">
      <c r="A137" t="s">
        <v>319</v>
      </c>
      <c r="B137">
        <v>2008</v>
      </c>
      <c r="C137" t="s">
        <v>445</v>
      </c>
      <c r="D137">
        <v>5.4679440000000001</v>
      </c>
    </row>
    <row r="138" spans="1:4">
      <c r="A138" t="s">
        <v>319</v>
      </c>
      <c r="B138">
        <v>2009</v>
      </c>
      <c r="C138" t="s">
        <v>445</v>
      </c>
      <c r="D138">
        <v>5.5929599999999997</v>
      </c>
    </row>
    <row r="139" spans="1:4">
      <c r="A139" t="s">
        <v>319</v>
      </c>
      <c r="B139">
        <v>2010</v>
      </c>
      <c r="C139" t="s">
        <v>445</v>
      </c>
      <c r="D139">
        <v>5.6798729999999997</v>
      </c>
    </row>
    <row r="140" spans="1:4">
      <c r="A140" t="s">
        <v>319</v>
      </c>
      <c r="B140">
        <v>2011</v>
      </c>
      <c r="C140" t="s">
        <v>445</v>
      </c>
      <c r="D140">
        <v>5.6735910000000001</v>
      </c>
    </row>
    <row r="141" spans="1:4">
      <c r="A141" t="s">
        <v>319</v>
      </c>
      <c r="B141">
        <v>2012</v>
      </c>
      <c r="C141" t="s">
        <v>445</v>
      </c>
      <c r="D141">
        <v>5.642557</v>
      </c>
    </row>
    <row r="142" spans="1:4">
      <c r="A142" t="s">
        <v>319</v>
      </c>
      <c r="B142">
        <v>2013</v>
      </c>
      <c r="C142" t="s">
        <v>445</v>
      </c>
      <c r="D142">
        <v>5.5987689999999999</v>
      </c>
    </row>
    <row r="143" spans="1:4">
      <c r="A143" t="s">
        <v>319</v>
      </c>
      <c r="B143">
        <v>2014</v>
      </c>
      <c r="C143" t="s">
        <v>445</v>
      </c>
      <c r="D143">
        <v>5.5806950000000004</v>
      </c>
    </row>
    <row r="144" spans="1:4">
      <c r="A144" t="s">
        <v>319</v>
      </c>
      <c r="B144">
        <v>2015</v>
      </c>
      <c r="C144" t="s">
        <v>445</v>
      </c>
      <c r="D144">
        <v>5.5926</v>
      </c>
    </row>
    <row r="145" spans="1:4">
      <c r="A145" t="s">
        <v>319</v>
      </c>
      <c r="B145">
        <v>2005</v>
      </c>
      <c r="C145" t="s">
        <v>446</v>
      </c>
      <c r="D145">
        <v>8.7910000000000004</v>
      </c>
    </row>
    <row r="146" spans="1:4">
      <c r="A146" t="s">
        <v>319</v>
      </c>
      <c r="B146">
        <v>2006</v>
      </c>
      <c r="C146" t="s">
        <v>446</v>
      </c>
      <c r="D146">
        <v>7.9429999999999996</v>
      </c>
    </row>
    <row r="147" spans="1:4">
      <c r="A147" t="s">
        <v>319</v>
      </c>
      <c r="B147">
        <v>2007</v>
      </c>
      <c r="C147" t="s">
        <v>446</v>
      </c>
      <c r="D147">
        <v>8.6479999999999997</v>
      </c>
    </row>
    <row r="148" spans="1:4">
      <c r="A148" t="s">
        <v>319</v>
      </c>
      <c r="B148">
        <v>2008</v>
      </c>
      <c r="C148" t="s">
        <v>446</v>
      </c>
      <c r="D148">
        <v>9.4484270000000006</v>
      </c>
    </row>
    <row r="149" spans="1:4">
      <c r="A149" t="s">
        <v>319</v>
      </c>
      <c r="B149">
        <v>2009</v>
      </c>
      <c r="C149" t="s">
        <v>446</v>
      </c>
      <c r="D149">
        <v>9.7607189999999999</v>
      </c>
    </row>
    <row r="150" spans="1:4">
      <c r="A150" t="s">
        <v>319</v>
      </c>
      <c r="B150">
        <v>2010</v>
      </c>
      <c r="C150" t="s">
        <v>446</v>
      </c>
      <c r="D150">
        <v>9.9060629999999996</v>
      </c>
    </row>
    <row r="151" spans="1:4">
      <c r="A151" t="s">
        <v>319</v>
      </c>
      <c r="B151">
        <v>2011</v>
      </c>
      <c r="C151" t="s">
        <v>446</v>
      </c>
      <c r="D151">
        <v>9.9968079999999997</v>
      </c>
    </row>
    <row r="152" spans="1:4">
      <c r="A152" t="s">
        <v>319</v>
      </c>
      <c r="B152">
        <v>2012</v>
      </c>
      <c r="C152" t="s">
        <v>446</v>
      </c>
      <c r="D152">
        <v>10.279842</v>
      </c>
    </row>
    <row r="153" spans="1:4">
      <c r="A153" t="s">
        <v>319</v>
      </c>
      <c r="B153">
        <v>2013</v>
      </c>
      <c r="C153" t="s">
        <v>446</v>
      </c>
      <c r="D153">
        <v>10.644617999999999</v>
      </c>
    </row>
    <row r="154" spans="1:4">
      <c r="A154" t="s">
        <v>319</v>
      </c>
      <c r="B154">
        <v>2014</v>
      </c>
      <c r="C154" t="s">
        <v>446</v>
      </c>
      <c r="D154">
        <v>11.027188000000001</v>
      </c>
    </row>
    <row r="155" spans="1:4">
      <c r="A155" t="s">
        <v>319</v>
      </c>
      <c r="B155">
        <v>2015</v>
      </c>
      <c r="C155" t="s">
        <v>446</v>
      </c>
      <c r="D155">
        <v>11.512074999999999</v>
      </c>
    </row>
    <row r="156" spans="1:4">
      <c r="A156" t="s">
        <v>319</v>
      </c>
      <c r="B156">
        <v>2005</v>
      </c>
      <c r="C156" t="s">
        <v>513</v>
      </c>
      <c r="D156">
        <v>0.187</v>
      </c>
    </row>
    <row r="157" spans="1:4">
      <c r="A157" t="s">
        <v>319</v>
      </c>
      <c r="B157">
        <v>2006</v>
      </c>
      <c r="C157" t="s">
        <v>513</v>
      </c>
      <c r="D157">
        <v>0.19700000000000001</v>
      </c>
    </row>
    <row r="158" spans="1:4">
      <c r="A158" t="s">
        <v>319</v>
      </c>
      <c r="B158">
        <v>2007</v>
      </c>
      <c r="C158" t="s">
        <v>513</v>
      </c>
      <c r="D158">
        <v>0.20799999999999999</v>
      </c>
    </row>
    <row r="159" spans="1:4">
      <c r="A159" t="s">
        <v>319</v>
      </c>
      <c r="B159">
        <v>2008</v>
      </c>
      <c r="C159" t="s">
        <v>513</v>
      </c>
      <c r="D159">
        <v>0.21</v>
      </c>
    </row>
    <row r="160" spans="1:4">
      <c r="A160" t="s">
        <v>319</v>
      </c>
      <c r="B160">
        <v>2009</v>
      </c>
      <c r="C160" t="s">
        <v>513</v>
      </c>
      <c r="D160">
        <v>0.20499999999999999</v>
      </c>
    </row>
    <row r="161" spans="1:4">
      <c r="A161" t="s">
        <v>319</v>
      </c>
      <c r="B161">
        <v>2010</v>
      </c>
      <c r="C161" t="s">
        <v>513</v>
      </c>
      <c r="D161">
        <v>0.20499999999999999</v>
      </c>
    </row>
    <row r="162" spans="1:4">
      <c r="A162" t="s">
        <v>319</v>
      </c>
      <c r="B162">
        <v>2011</v>
      </c>
      <c r="C162" t="s">
        <v>513</v>
      </c>
      <c r="D162">
        <v>0.20611199999999999</v>
      </c>
    </row>
    <row r="163" spans="1:4">
      <c r="A163" t="s">
        <v>319</v>
      </c>
      <c r="B163">
        <v>2012</v>
      </c>
      <c r="C163" t="s">
        <v>513</v>
      </c>
      <c r="D163">
        <v>0.21007000000000001</v>
      </c>
    </row>
    <row r="164" spans="1:4">
      <c r="A164" t="s">
        <v>319</v>
      </c>
      <c r="B164">
        <v>2013</v>
      </c>
      <c r="C164" t="s">
        <v>513</v>
      </c>
      <c r="D164">
        <v>0.213113</v>
      </c>
    </row>
    <row r="165" spans="1:4">
      <c r="A165" t="s">
        <v>319</v>
      </c>
      <c r="B165">
        <v>2014</v>
      </c>
      <c r="C165" t="s">
        <v>513</v>
      </c>
      <c r="D165">
        <v>0.21745400000000001</v>
      </c>
    </row>
    <row r="166" spans="1:4">
      <c r="A166" t="s">
        <v>319</v>
      </c>
      <c r="B166">
        <v>2015</v>
      </c>
      <c r="C166" t="s">
        <v>513</v>
      </c>
      <c r="D166">
        <v>0.22632099999999999</v>
      </c>
    </row>
    <row r="167" spans="1:4">
      <c r="A167" t="s">
        <v>319</v>
      </c>
      <c r="B167">
        <v>2005</v>
      </c>
      <c r="C167" t="s">
        <v>514</v>
      </c>
      <c r="D167">
        <v>7.6260000000000003</v>
      </c>
    </row>
    <row r="168" spans="1:4">
      <c r="A168" t="s">
        <v>319</v>
      </c>
      <c r="B168">
        <v>2006</v>
      </c>
      <c r="C168" t="s">
        <v>514</v>
      </c>
      <c r="D168">
        <v>8.5719999999999992</v>
      </c>
    </row>
    <row r="169" spans="1:4">
      <c r="A169" t="s">
        <v>319</v>
      </c>
      <c r="B169">
        <v>2007</v>
      </c>
      <c r="C169" t="s">
        <v>514</v>
      </c>
      <c r="D169">
        <v>9.4440000000000008</v>
      </c>
    </row>
    <row r="170" spans="1:4">
      <c r="A170" t="s">
        <v>319</v>
      </c>
      <c r="B170">
        <v>2008</v>
      </c>
      <c r="C170" t="s">
        <v>514</v>
      </c>
      <c r="D170">
        <v>10.606</v>
      </c>
    </row>
    <row r="171" spans="1:4">
      <c r="A171" t="s">
        <v>319</v>
      </c>
      <c r="B171">
        <v>2009</v>
      </c>
      <c r="C171" t="s">
        <v>514</v>
      </c>
      <c r="D171">
        <v>11.744</v>
      </c>
    </row>
    <row r="172" spans="1:4">
      <c r="A172" t="s">
        <v>319</v>
      </c>
      <c r="B172">
        <v>2010</v>
      </c>
      <c r="C172" t="s">
        <v>514</v>
      </c>
      <c r="D172">
        <v>13.268000000000001</v>
      </c>
    </row>
    <row r="173" spans="1:4">
      <c r="A173" t="s">
        <v>319</v>
      </c>
      <c r="B173">
        <v>2011</v>
      </c>
      <c r="C173" t="s">
        <v>514</v>
      </c>
      <c r="D173">
        <v>15.026999999999999</v>
      </c>
    </row>
    <row r="174" spans="1:4">
      <c r="A174" t="s">
        <v>319</v>
      </c>
      <c r="B174">
        <v>2012</v>
      </c>
      <c r="C174" t="s">
        <v>514</v>
      </c>
      <c r="D174">
        <v>16.896000000000001</v>
      </c>
    </row>
    <row r="175" spans="1:4">
      <c r="A175" t="s">
        <v>319</v>
      </c>
      <c r="B175">
        <v>2013</v>
      </c>
      <c r="C175" t="s">
        <v>514</v>
      </c>
      <c r="D175">
        <v>18.917999999999999</v>
      </c>
    </row>
    <row r="176" spans="1:4">
      <c r="A176" t="s">
        <v>319</v>
      </c>
      <c r="B176">
        <v>2014</v>
      </c>
      <c r="C176" t="s">
        <v>514</v>
      </c>
      <c r="D176">
        <v>20.442</v>
      </c>
    </row>
    <row r="177" spans="1:4">
      <c r="A177" t="s">
        <v>319</v>
      </c>
      <c r="B177">
        <v>2015</v>
      </c>
      <c r="C177" t="s">
        <v>514</v>
      </c>
      <c r="D177">
        <v>22.468</v>
      </c>
    </row>
    <row r="178" spans="1:4">
      <c r="A178" t="s">
        <v>319</v>
      </c>
      <c r="B178">
        <v>2005</v>
      </c>
      <c r="C178" t="s">
        <v>515</v>
      </c>
      <c r="D178">
        <v>1.6621570000000001</v>
      </c>
    </row>
    <row r="179" spans="1:4">
      <c r="A179" t="s">
        <v>319</v>
      </c>
      <c r="B179">
        <v>2006</v>
      </c>
      <c r="C179" t="s">
        <v>515</v>
      </c>
      <c r="D179">
        <v>1.778861</v>
      </c>
    </row>
    <row r="180" spans="1:4">
      <c r="A180" t="s">
        <v>319</v>
      </c>
      <c r="B180">
        <v>2007</v>
      </c>
      <c r="C180" t="s">
        <v>515</v>
      </c>
      <c r="D180">
        <v>1.8829009999999999</v>
      </c>
    </row>
    <row r="181" spans="1:4">
      <c r="A181" t="s">
        <v>319</v>
      </c>
      <c r="B181">
        <v>2008</v>
      </c>
      <c r="C181" t="s">
        <v>515</v>
      </c>
      <c r="D181">
        <v>1.9242809999999999</v>
      </c>
    </row>
    <row r="182" spans="1:4">
      <c r="A182" t="s">
        <v>319</v>
      </c>
      <c r="B182">
        <v>2009</v>
      </c>
      <c r="C182" t="s">
        <v>515</v>
      </c>
      <c r="D182">
        <v>1.9024289999999999</v>
      </c>
    </row>
    <row r="183" spans="1:4">
      <c r="A183" t="s">
        <v>319</v>
      </c>
      <c r="B183">
        <v>2010</v>
      </c>
      <c r="C183" t="s">
        <v>515</v>
      </c>
      <c r="D183">
        <v>1.8727149999999999</v>
      </c>
    </row>
    <row r="184" spans="1:4">
      <c r="A184" t="s">
        <v>319</v>
      </c>
      <c r="B184">
        <v>2011</v>
      </c>
      <c r="C184" t="s">
        <v>515</v>
      </c>
      <c r="D184">
        <v>1.88781</v>
      </c>
    </row>
    <row r="185" spans="1:4">
      <c r="A185" t="s">
        <v>319</v>
      </c>
      <c r="B185">
        <v>2012</v>
      </c>
      <c r="C185" t="s">
        <v>515</v>
      </c>
      <c r="D185">
        <v>1.8825499999999999</v>
      </c>
    </row>
    <row r="186" spans="1:4">
      <c r="A186" t="s">
        <v>319</v>
      </c>
      <c r="B186">
        <v>2013</v>
      </c>
      <c r="C186" t="s">
        <v>515</v>
      </c>
      <c r="D186">
        <v>1.9101649999999999</v>
      </c>
    </row>
    <row r="187" spans="1:4">
      <c r="A187" t="s">
        <v>319</v>
      </c>
      <c r="B187">
        <v>2014</v>
      </c>
      <c r="C187" t="s">
        <v>515</v>
      </c>
      <c r="D187">
        <v>1.9438679999999999</v>
      </c>
    </row>
    <row r="188" spans="1:4">
      <c r="A188" t="s">
        <v>319</v>
      </c>
      <c r="B188">
        <v>2015</v>
      </c>
      <c r="C188" t="s">
        <v>515</v>
      </c>
      <c r="D188">
        <v>1.9851300000000001</v>
      </c>
    </row>
    <row r="189" spans="1:4">
      <c r="A189" t="s">
        <v>319</v>
      </c>
      <c r="B189">
        <v>2005</v>
      </c>
      <c r="C189" t="s">
        <v>449</v>
      </c>
      <c r="D189">
        <v>34.872999999999998</v>
      </c>
    </row>
    <row r="190" spans="1:4">
      <c r="A190" t="s">
        <v>319</v>
      </c>
      <c r="B190">
        <v>2006</v>
      </c>
      <c r="C190" t="s">
        <v>449</v>
      </c>
      <c r="D190">
        <v>35.509</v>
      </c>
    </row>
    <row r="191" spans="1:4">
      <c r="A191" t="s">
        <v>319</v>
      </c>
      <c r="B191">
        <v>2007</v>
      </c>
      <c r="C191" t="s">
        <v>449</v>
      </c>
      <c r="D191">
        <v>35.898000000000003</v>
      </c>
    </row>
    <row r="192" spans="1:4">
      <c r="A192" t="s">
        <v>319</v>
      </c>
      <c r="B192">
        <v>2008</v>
      </c>
      <c r="C192" t="s">
        <v>449</v>
      </c>
      <c r="D192">
        <v>36.326999999999998</v>
      </c>
    </row>
    <row r="193" spans="1:4">
      <c r="A193" t="s">
        <v>319</v>
      </c>
      <c r="B193">
        <v>2009</v>
      </c>
      <c r="C193" t="s">
        <v>449</v>
      </c>
      <c r="D193">
        <v>36.598999999999997</v>
      </c>
    </row>
    <row r="194" spans="1:4">
      <c r="A194" t="s">
        <v>319</v>
      </c>
      <c r="B194">
        <v>2010</v>
      </c>
      <c r="C194" t="s">
        <v>449</v>
      </c>
      <c r="D194">
        <v>36.984999999999999</v>
      </c>
    </row>
    <row r="195" spans="1:4">
      <c r="A195" t="s">
        <v>319</v>
      </c>
      <c r="B195">
        <v>2011</v>
      </c>
      <c r="C195" t="s">
        <v>449</v>
      </c>
      <c r="D195">
        <v>37.353000000000002</v>
      </c>
    </row>
    <row r="196" spans="1:4">
      <c r="A196" t="s">
        <v>319</v>
      </c>
      <c r="B196">
        <v>2012</v>
      </c>
      <c r="C196" t="s">
        <v>449</v>
      </c>
      <c r="D196">
        <v>37.327612000000002</v>
      </c>
    </row>
    <row r="197" spans="1:4">
      <c r="A197" t="s">
        <v>319</v>
      </c>
      <c r="B197">
        <v>2013</v>
      </c>
      <c r="C197" t="s">
        <v>449</v>
      </c>
      <c r="D197">
        <v>37.219029999999997</v>
      </c>
    </row>
    <row r="198" spans="1:4">
      <c r="A198" t="s">
        <v>319</v>
      </c>
      <c r="B198">
        <v>2014</v>
      </c>
      <c r="C198" t="s">
        <v>449</v>
      </c>
      <c r="D198">
        <v>37.346702999999998</v>
      </c>
    </row>
    <row r="199" spans="1:4">
      <c r="A199" t="s">
        <v>319</v>
      </c>
      <c r="B199">
        <v>2015</v>
      </c>
      <c r="C199" t="s">
        <v>449</v>
      </c>
      <c r="D199">
        <v>37.626612999999999</v>
      </c>
    </row>
    <row r="200" spans="1:4">
      <c r="A200" t="s">
        <v>319</v>
      </c>
      <c r="B200">
        <v>2005</v>
      </c>
      <c r="C200" t="s">
        <v>516</v>
      </c>
      <c r="D200">
        <v>57.091000000000001</v>
      </c>
    </row>
    <row r="201" spans="1:4">
      <c r="A201" t="s">
        <v>319</v>
      </c>
      <c r="B201">
        <v>2006</v>
      </c>
      <c r="C201" t="s">
        <v>516</v>
      </c>
      <c r="D201">
        <v>57.521000000000001</v>
      </c>
    </row>
    <row r="202" spans="1:4">
      <c r="A202" t="s">
        <v>319</v>
      </c>
      <c r="B202">
        <v>2007</v>
      </c>
      <c r="C202" t="s">
        <v>516</v>
      </c>
      <c r="D202">
        <v>57.624000000000002</v>
      </c>
    </row>
    <row r="203" spans="1:4">
      <c r="A203" t="s">
        <v>319</v>
      </c>
      <c r="B203">
        <v>2008</v>
      </c>
      <c r="C203" t="s">
        <v>516</v>
      </c>
      <c r="D203">
        <v>57.865000000000002</v>
      </c>
    </row>
    <row r="204" spans="1:4">
      <c r="A204" t="s">
        <v>319</v>
      </c>
      <c r="B204">
        <v>2009</v>
      </c>
      <c r="C204" t="s">
        <v>516</v>
      </c>
      <c r="D204">
        <v>58.02</v>
      </c>
    </row>
    <row r="205" spans="1:4">
      <c r="A205" t="s">
        <v>319</v>
      </c>
      <c r="B205">
        <v>2010</v>
      </c>
      <c r="C205" t="s">
        <v>516</v>
      </c>
      <c r="D205">
        <v>58.347000000000001</v>
      </c>
    </row>
    <row r="206" spans="1:4">
      <c r="A206" t="s">
        <v>319</v>
      </c>
      <c r="B206">
        <v>2011</v>
      </c>
      <c r="C206" t="s">
        <v>516</v>
      </c>
      <c r="D206">
        <v>58.67</v>
      </c>
    </row>
    <row r="207" spans="1:4">
      <c r="A207" t="s">
        <v>319</v>
      </c>
      <c r="B207">
        <v>2012</v>
      </c>
      <c r="C207" t="s">
        <v>516</v>
      </c>
      <c r="D207">
        <v>59.420999999999999</v>
      </c>
    </row>
    <row r="208" spans="1:4">
      <c r="A208" t="s">
        <v>319</v>
      </c>
      <c r="B208">
        <v>2013</v>
      </c>
      <c r="C208" t="s">
        <v>516</v>
      </c>
      <c r="D208">
        <v>60.035848000000001</v>
      </c>
    </row>
    <row r="209" spans="1:4">
      <c r="A209" t="s">
        <v>319</v>
      </c>
      <c r="B209">
        <v>2014</v>
      </c>
      <c r="C209" t="s">
        <v>516</v>
      </c>
      <c r="D209">
        <v>60.66807</v>
      </c>
    </row>
    <row r="210" spans="1:4">
      <c r="A210" t="s">
        <v>319</v>
      </c>
      <c r="B210">
        <v>2015</v>
      </c>
      <c r="C210" t="s">
        <v>516</v>
      </c>
      <c r="D210">
        <v>60.987882999999997</v>
      </c>
    </row>
    <row r="211" spans="1:4">
      <c r="A211" t="s">
        <v>319</v>
      </c>
      <c r="B211">
        <v>2005</v>
      </c>
      <c r="C211" t="s">
        <v>362</v>
      </c>
      <c r="D211">
        <v>18.345078000000001</v>
      </c>
    </row>
    <row r="212" spans="1:4">
      <c r="A212" t="s">
        <v>319</v>
      </c>
      <c r="B212">
        <v>2006</v>
      </c>
      <c r="C212" t="s">
        <v>362</v>
      </c>
      <c r="D212">
        <v>19.311972999999998</v>
      </c>
    </row>
    <row r="213" spans="1:4">
      <c r="A213" t="s">
        <v>319</v>
      </c>
      <c r="B213">
        <v>2007</v>
      </c>
      <c r="C213" t="s">
        <v>362</v>
      </c>
      <c r="D213">
        <v>20.724599999999999</v>
      </c>
    </row>
    <row r="214" spans="1:4">
      <c r="A214" t="s">
        <v>319</v>
      </c>
      <c r="B214">
        <v>2008</v>
      </c>
      <c r="C214" t="s">
        <v>362</v>
      </c>
      <c r="D214">
        <v>22.407678000000001</v>
      </c>
    </row>
    <row r="215" spans="1:4">
      <c r="A215" t="s">
        <v>319</v>
      </c>
      <c r="B215">
        <v>2009</v>
      </c>
      <c r="C215" t="s">
        <v>362</v>
      </c>
      <c r="D215">
        <v>23.186859999999999</v>
      </c>
    </row>
    <row r="216" spans="1:4">
      <c r="A216" t="s">
        <v>319</v>
      </c>
      <c r="B216">
        <v>2010</v>
      </c>
      <c r="C216" t="s">
        <v>362</v>
      </c>
      <c r="D216">
        <v>24.653383999999999</v>
      </c>
    </row>
    <row r="217" spans="1:4">
      <c r="A217" t="s">
        <v>319</v>
      </c>
      <c r="B217">
        <v>2011</v>
      </c>
      <c r="C217" t="s">
        <v>362</v>
      </c>
      <c r="D217">
        <v>26.271432000000001</v>
      </c>
    </row>
    <row r="218" spans="1:4">
      <c r="A218" t="s">
        <v>319</v>
      </c>
      <c r="B218">
        <v>2012</v>
      </c>
      <c r="C218" t="s">
        <v>362</v>
      </c>
      <c r="D218">
        <v>27.725079999999998</v>
      </c>
    </row>
    <row r="219" spans="1:4">
      <c r="A219" t="s">
        <v>319</v>
      </c>
      <c r="B219">
        <v>2013</v>
      </c>
      <c r="C219" t="s">
        <v>362</v>
      </c>
      <c r="D219">
        <v>28.922757000000001</v>
      </c>
    </row>
    <row r="220" spans="1:4">
      <c r="A220" t="s">
        <v>319</v>
      </c>
      <c r="B220">
        <v>2014</v>
      </c>
      <c r="C220" t="s">
        <v>362</v>
      </c>
      <c r="D220">
        <v>30.518965999999999</v>
      </c>
    </row>
    <row r="221" spans="1:4">
      <c r="A221" t="s">
        <v>319</v>
      </c>
      <c r="B221">
        <v>2015</v>
      </c>
      <c r="C221" t="s">
        <v>362</v>
      </c>
      <c r="D221">
        <v>31.461389</v>
      </c>
    </row>
    <row r="222" spans="1:4">
      <c r="A222" t="s">
        <v>319</v>
      </c>
      <c r="B222">
        <v>2005</v>
      </c>
      <c r="C222" t="s">
        <v>451</v>
      </c>
      <c r="D222">
        <v>14.902664</v>
      </c>
    </row>
    <row r="223" spans="1:4">
      <c r="A223" t="s">
        <v>319</v>
      </c>
      <c r="B223">
        <v>2006</v>
      </c>
      <c r="C223" t="s">
        <v>451</v>
      </c>
      <c r="D223">
        <v>15.721219</v>
      </c>
    </row>
    <row r="224" spans="1:4">
      <c r="A224" t="s">
        <v>319</v>
      </c>
      <c r="B224">
        <v>2007</v>
      </c>
      <c r="C224" t="s">
        <v>451</v>
      </c>
      <c r="D224">
        <v>16.676894999999998</v>
      </c>
    </row>
    <row r="225" spans="1:4">
      <c r="A225" t="s">
        <v>319</v>
      </c>
      <c r="B225">
        <v>2008</v>
      </c>
      <c r="C225" t="s">
        <v>451</v>
      </c>
      <c r="D225">
        <v>17.986143666666699</v>
      </c>
    </row>
    <row r="226" spans="1:4">
      <c r="A226" t="s">
        <v>319</v>
      </c>
      <c r="B226">
        <v>2009</v>
      </c>
      <c r="C226" t="s">
        <v>451</v>
      </c>
      <c r="D226">
        <v>18.880660333333299</v>
      </c>
    </row>
    <row r="227" spans="1:4">
      <c r="A227" t="s">
        <v>319</v>
      </c>
      <c r="B227">
        <v>2010</v>
      </c>
      <c r="C227" t="s">
        <v>451</v>
      </c>
      <c r="D227">
        <v>19.947797000000001</v>
      </c>
    </row>
    <row r="228" spans="1:4">
      <c r="A228" t="s">
        <v>319</v>
      </c>
      <c r="B228">
        <v>2011</v>
      </c>
      <c r="C228" t="s">
        <v>451</v>
      </c>
      <c r="D228">
        <v>22.121991000000001</v>
      </c>
    </row>
    <row r="229" spans="1:4">
      <c r="A229" t="s">
        <v>319</v>
      </c>
      <c r="B229">
        <v>2012</v>
      </c>
      <c r="C229" t="s">
        <v>451</v>
      </c>
      <c r="D229">
        <v>24.065127</v>
      </c>
    </row>
    <row r="230" spans="1:4">
      <c r="A230" t="s">
        <v>319</v>
      </c>
      <c r="B230">
        <v>2013</v>
      </c>
      <c r="C230" t="s">
        <v>451</v>
      </c>
      <c r="D230">
        <v>25.967972</v>
      </c>
    </row>
    <row r="231" spans="1:4">
      <c r="A231" t="s">
        <v>319</v>
      </c>
      <c r="B231">
        <v>2014</v>
      </c>
      <c r="C231" t="s">
        <v>451</v>
      </c>
      <c r="D231">
        <v>27.695111000000001</v>
      </c>
    </row>
    <row r="232" spans="1:4">
      <c r="A232" t="s">
        <v>319</v>
      </c>
      <c r="B232">
        <v>2015</v>
      </c>
      <c r="C232" t="s">
        <v>451</v>
      </c>
      <c r="D232">
        <v>29.563624999999998</v>
      </c>
    </row>
    <row r="233" spans="1:4">
      <c r="A233" t="s">
        <v>319</v>
      </c>
      <c r="B233">
        <v>2005</v>
      </c>
      <c r="C233" t="s">
        <v>411</v>
      </c>
      <c r="D233">
        <v>165.333</v>
      </c>
    </row>
    <row r="234" spans="1:4">
      <c r="A234" t="s">
        <v>319</v>
      </c>
      <c r="B234">
        <v>2006</v>
      </c>
      <c r="C234" t="s">
        <v>411</v>
      </c>
      <c r="D234">
        <v>170.19800000000001</v>
      </c>
    </row>
    <row r="235" spans="1:4">
      <c r="A235" t="s">
        <v>319</v>
      </c>
      <c r="B235">
        <v>2007</v>
      </c>
      <c r="C235" t="s">
        <v>411</v>
      </c>
      <c r="D235">
        <v>172.11799999999999</v>
      </c>
    </row>
    <row r="236" spans="1:4">
      <c r="A236" t="s">
        <v>319</v>
      </c>
      <c r="B236">
        <v>2008</v>
      </c>
      <c r="C236" t="s">
        <v>411</v>
      </c>
      <c r="D236">
        <v>174.916</v>
      </c>
    </row>
    <row r="237" spans="1:4">
      <c r="A237" t="s">
        <v>319</v>
      </c>
      <c r="B237">
        <v>2009</v>
      </c>
      <c r="C237" t="s">
        <v>411</v>
      </c>
      <c r="D237">
        <v>172.89599999999999</v>
      </c>
    </row>
    <row r="238" spans="1:4">
      <c r="A238" t="s">
        <v>319</v>
      </c>
      <c r="B238">
        <v>2010</v>
      </c>
      <c r="C238" t="s">
        <v>411</v>
      </c>
      <c r="D238">
        <v>170.47399999999999</v>
      </c>
    </row>
    <row r="239" spans="1:4">
      <c r="A239" t="s">
        <v>319</v>
      </c>
      <c r="B239">
        <v>2011</v>
      </c>
      <c r="C239" t="s">
        <v>411</v>
      </c>
      <c r="D239">
        <v>170.559</v>
      </c>
    </row>
    <row r="240" spans="1:4">
      <c r="A240" t="s">
        <v>319</v>
      </c>
      <c r="B240">
        <v>2012</v>
      </c>
      <c r="C240" t="s">
        <v>411</v>
      </c>
      <c r="D240">
        <v>165.123628</v>
      </c>
    </row>
    <row r="241" spans="1:4">
      <c r="A241" t="s">
        <v>319</v>
      </c>
      <c r="B241">
        <v>2013</v>
      </c>
      <c r="C241" t="s">
        <v>411</v>
      </c>
      <c r="D241">
        <v>166.29563300000001</v>
      </c>
    </row>
    <row r="242" spans="1:4">
      <c r="A242" t="s">
        <v>319</v>
      </c>
      <c r="B242">
        <v>2014</v>
      </c>
      <c r="C242" t="s">
        <v>411</v>
      </c>
      <c r="D242">
        <v>168.25731500000001</v>
      </c>
    </row>
    <row r="243" spans="1:4">
      <c r="A243" t="s">
        <v>319</v>
      </c>
      <c r="B243">
        <v>2015</v>
      </c>
      <c r="C243" t="s">
        <v>411</v>
      </c>
      <c r="D243">
        <v>171.327125</v>
      </c>
    </row>
    <row r="244" spans="1:4">
      <c r="A244" t="s">
        <v>319</v>
      </c>
      <c r="B244">
        <v>2005</v>
      </c>
      <c r="C244" t="s">
        <v>517</v>
      </c>
      <c r="D244">
        <v>2.0289999999999999</v>
      </c>
    </row>
    <row r="245" spans="1:4">
      <c r="A245" t="s">
        <v>319</v>
      </c>
      <c r="B245">
        <v>2006</v>
      </c>
      <c r="C245" t="s">
        <v>517</v>
      </c>
      <c r="D245">
        <v>2.085</v>
      </c>
    </row>
    <row r="246" spans="1:4">
      <c r="A246" t="s">
        <v>319</v>
      </c>
      <c r="B246">
        <v>2007</v>
      </c>
      <c r="C246" t="s">
        <v>517</v>
      </c>
      <c r="D246">
        <v>2.1549999999999998</v>
      </c>
    </row>
    <row r="247" spans="1:4">
      <c r="A247" t="s">
        <v>319</v>
      </c>
      <c r="B247">
        <v>2008</v>
      </c>
      <c r="C247" t="s">
        <v>517</v>
      </c>
      <c r="D247">
        <v>2.198</v>
      </c>
    </row>
    <row r="248" spans="1:4">
      <c r="A248" t="s">
        <v>319</v>
      </c>
      <c r="B248">
        <v>2009</v>
      </c>
      <c r="C248" t="s">
        <v>517</v>
      </c>
      <c r="D248">
        <v>2.2429999999999999</v>
      </c>
    </row>
    <row r="249" spans="1:4">
      <c r="A249" t="s">
        <v>319</v>
      </c>
      <c r="B249">
        <v>2010</v>
      </c>
      <c r="C249" t="s">
        <v>517</v>
      </c>
      <c r="D249">
        <v>2.3050000000000002</v>
      </c>
    </row>
    <row r="250" spans="1:4">
      <c r="A250" t="s">
        <v>319</v>
      </c>
      <c r="B250">
        <v>2011</v>
      </c>
      <c r="C250" t="s">
        <v>517</v>
      </c>
      <c r="D250">
        <v>2.37</v>
      </c>
    </row>
    <row r="251" spans="1:4">
      <c r="A251" t="s">
        <v>319</v>
      </c>
      <c r="B251">
        <v>2012</v>
      </c>
      <c r="C251" t="s">
        <v>517</v>
      </c>
      <c r="D251">
        <v>2.4329999999999998</v>
      </c>
    </row>
    <row r="252" spans="1:4">
      <c r="A252" t="s">
        <v>319</v>
      </c>
      <c r="B252">
        <v>2013</v>
      </c>
      <c r="C252" t="s">
        <v>517</v>
      </c>
      <c r="D252">
        <v>2.4873530000000001</v>
      </c>
    </row>
    <row r="253" spans="1:4">
      <c r="A253" t="s">
        <v>319</v>
      </c>
      <c r="B253">
        <v>2014</v>
      </c>
      <c r="C253" t="s">
        <v>517</v>
      </c>
      <c r="D253">
        <v>2.539552</v>
      </c>
    </row>
    <row r="254" spans="1:4">
      <c r="A254" t="s">
        <v>319</v>
      </c>
      <c r="B254">
        <v>2015</v>
      </c>
      <c r="C254" t="s">
        <v>517</v>
      </c>
      <c r="D254">
        <v>2.59239</v>
      </c>
    </row>
    <row r="255" spans="1:4">
      <c r="A255" t="s">
        <v>319</v>
      </c>
      <c r="B255">
        <v>2005</v>
      </c>
      <c r="C255" t="s">
        <v>518</v>
      </c>
      <c r="D255">
        <v>12.339</v>
      </c>
    </row>
    <row r="256" spans="1:4">
      <c r="A256" t="s">
        <v>319</v>
      </c>
      <c r="B256">
        <v>2006</v>
      </c>
      <c r="C256" t="s">
        <v>518</v>
      </c>
      <c r="D256">
        <v>13.384</v>
      </c>
    </row>
    <row r="257" spans="1:4">
      <c r="A257" t="s">
        <v>319</v>
      </c>
      <c r="B257">
        <v>2007</v>
      </c>
      <c r="C257" t="s">
        <v>518</v>
      </c>
      <c r="D257">
        <v>14.589</v>
      </c>
    </row>
    <row r="258" spans="1:4">
      <c r="A258" t="s">
        <v>319</v>
      </c>
      <c r="B258">
        <v>2008</v>
      </c>
      <c r="C258" t="s">
        <v>518</v>
      </c>
      <c r="D258">
        <v>16.079999999999998</v>
      </c>
    </row>
    <row r="259" spans="1:4">
      <c r="A259" t="s">
        <v>319</v>
      </c>
      <c r="B259">
        <v>2009</v>
      </c>
      <c r="C259" t="s">
        <v>518</v>
      </c>
      <c r="D259">
        <v>16.495000000000001</v>
      </c>
    </row>
    <row r="260" spans="1:4">
      <c r="A260" t="s">
        <v>319</v>
      </c>
      <c r="B260">
        <v>2010</v>
      </c>
      <c r="C260" t="s">
        <v>518</v>
      </c>
      <c r="D260">
        <v>17.239999999999998</v>
      </c>
    </row>
    <row r="261" spans="1:4">
      <c r="A261" t="s">
        <v>319</v>
      </c>
      <c r="B261">
        <v>2011</v>
      </c>
      <c r="C261" t="s">
        <v>518</v>
      </c>
      <c r="D261">
        <v>17.872</v>
      </c>
    </row>
    <row r="262" spans="1:4">
      <c r="A262" t="s">
        <v>319</v>
      </c>
      <c r="B262">
        <v>2012</v>
      </c>
      <c r="C262" t="s">
        <v>518</v>
      </c>
      <c r="D262">
        <v>18.744</v>
      </c>
    </row>
    <row r="263" spans="1:4">
      <c r="A263" t="s">
        <v>319</v>
      </c>
      <c r="B263">
        <v>2013</v>
      </c>
      <c r="C263" t="s">
        <v>518</v>
      </c>
      <c r="D263">
        <v>19.342120000000001</v>
      </c>
    </row>
    <row r="264" spans="1:4">
      <c r="A264" t="s">
        <v>319</v>
      </c>
      <c r="B264">
        <v>2014</v>
      </c>
      <c r="C264" t="s">
        <v>518</v>
      </c>
      <c r="D264">
        <v>19.978588999999999</v>
      </c>
    </row>
    <row r="265" spans="1:4">
      <c r="A265" t="s">
        <v>319</v>
      </c>
      <c r="B265">
        <v>2015</v>
      </c>
      <c r="C265" t="s">
        <v>518</v>
      </c>
      <c r="D265">
        <v>20.688174</v>
      </c>
    </row>
    <row r="266" spans="1:4">
      <c r="A266" t="s">
        <v>319</v>
      </c>
      <c r="B266">
        <v>2005</v>
      </c>
      <c r="C266" t="s">
        <v>414</v>
      </c>
      <c r="D266">
        <v>43.529525999999997</v>
      </c>
    </row>
    <row r="267" spans="1:4">
      <c r="A267" t="s">
        <v>319</v>
      </c>
      <c r="B267">
        <v>2006</v>
      </c>
      <c r="C267" t="s">
        <v>414</v>
      </c>
      <c r="D267">
        <v>45.956477</v>
      </c>
    </row>
    <row r="268" spans="1:4">
      <c r="A268" t="s">
        <v>319</v>
      </c>
      <c r="B268">
        <v>2007</v>
      </c>
      <c r="C268" t="s">
        <v>414</v>
      </c>
      <c r="D268">
        <v>51.461047000000001</v>
      </c>
    </row>
    <row r="269" spans="1:4">
      <c r="A269" t="s">
        <v>319</v>
      </c>
      <c r="B269">
        <v>2008</v>
      </c>
      <c r="C269" t="s">
        <v>414</v>
      </c>
      <c r="D269">
        <v>52.066510000000001</v>
      </c>
    </row>
    <row r="270" spans="1:4">
      <c r="A270" t="s">
        <v>319</v>
      </c>
      <c r="B270">
        <v>2009</v>
      </c>
      <c r="C270" t="s">
        <v>414</v>
      </c>
      <c r="D270">
        <v>54.629550000000002</v>
      </c>
    </row>
    <row r="271" spans="1:4">
      <c r="A271" t="s">
        <v>319</v>
      </c>
      <c r="B271">
        <v>2010</v>
      </c>
      <c r="C271" t="s">
        <v>414</v>
      </c>
      <c r="D271">
        <v>58.298105999999997</v>
      </c>
    </row>
    <row r="272" spans="1:4">
      <c r="A272" t="s">
        <v>319</v>
      </c>
      <c r="B272">
        <v>2011</v>
      </c>
      <c r="C272" t="s">
        <v>414</v>
      </c>
      <c r="D272">
        <v>62.126663000000001</v>
      </c>
    </row>
    <row r="273" spans="1:4">
      <c r="A273" t="s">
        <v>319</v>
      </c>
      <c r="B273">
        <v>2012</v>
      </c>
      <c r="C273" t="s">
        <v>414</v>
      </c>
      <c r="D273">
        <v>66.418843666666604</v>
      </c>
    </row>
    <row r="274" spans="1:4">
      <c r="A274" t="s">
        <v>319</v>
      </c>
      <c r="B274">
        <v>2013</v>
      </c>
      <c r="C274" t="s">
        <v>414</v>
      </c>
      <c r="D274">
        <v>69.548970333333301</v>
      </c>
    </row>
    <row r="275" spans="1:4">
      <c r="A275" t="s">
        <v>319</v>
      </c>
      <c r="B275">
        <v>2014</v>
      </c>
      <c r="C275" t="s">
        <v>414</v>
      </c>
      <c r="D275">
        <v>74.737973999999994</v>
      </c>
    </row>
    <row r="276" spans="1:4">
      <c r="A276" t="s">
        <v>319</v>
      </c>
      <c r="B276">
        <v>2015</v>
      </c>
      <c r="C276" t="s">
        <v>414</v>
      </c>
      <c r="D276">
        <v>78.497225</v>
      </c>
    </row>
    <row r="277" spans="1:4">
      <c r="A277" t="s">
        <v>319</v>
      </c>
      <c r="B277">
        <v>2005</v>
      </c>
      <c r="C277" t="s">
        <v>315</v>
      </c>
      <c r="D277">
        <v>27.393999999999998</v>
      </c>
    </row>
    <row r="278" spans="1:4">
      <c r="A278" t="s">
        <v>319</v>
      </c>
      <c r="B278">
        <v>2006</v>
      </c>
      <c r="C278" t="s">
        <v>315</v>
      </c>
      <c r="D278">
        <v>28.821000000000002</v>
      </c>
    </row>
    <row r="279" spans="1:4">
      <c r="A279" t="s">
        <v>319</v>
      </c>
      <c r="B279">
        <v>2007</v>
      </c>
      <c r="C279" t="s">
        <v>315</v>
      </c>
      <c r="D279">
        <v>31.585000000000001</v>
      </c>
    </row>
    <row r="280" spans="1:4">
      <c r="A280" t="s">
        <v>319</v>
      </c>
      <c r="B280">
        <v>2008</v>
      </c>
      <c r="C280" t="s">
        <v>315</v>
      </c>
      <c r="D280">
        <v>34.314</v>
      </c>
    </row>
    <row r="281" spans="1:4">
      <c r="A281" t="s">
        <v>319</v>
      </c>
      <c r="B281">
        <v>2009</v>
      </c>
      <c r="C281" t="s">
        <v>315</v>
      </c>
      <c r="D281">
        <v>35.526620000000001</v>
      </c>
    </row>
    <row r="282" spans="1:4">
      <c r="A282" t="s">
        <v>319</v>
      </c>
      <c r="B282">
        <v>2010</v>
      </c>
      <c r="C282" t="s">
        <v>315</v>
      </c>
      <c r="D282">
        <v>36.955415000000002</v>
      </c>
    </row>
    <row r="283" spans="1:4">
      <c r="A283" t="s">
        <v>319</v>
      </c>
      <c r="B283">
        <v>2011</v>
      </c>
      <c r="C283" t="s">
        <v>315</v>
      </c>
      <c r="D283">
        <v>39.165548000000001</v>
      </c>
    </row>
    <row r="284" spans="1:4">
      <c r="A284" t="s">
        <v>319</v>
      </c>
      <c r="B284">
        <v>2012</v>
      </c>
      <c r="C284" t="s">
        <v>315</v>
      </c>
      <c r="D284">
        <v>41.230575000000002</v>
      </c>
    </row>
    <row r="285" spans="1:4">
      <c r="A285" t="s">
        <v>319</v>
      </c>
      <c r="B285">
        <v>2013</v>
      </c>
      <c r="C285" t="s">
        <v>315</v>
      </c>
      <c r="D285">
        <v>44.002445000000002</v>
      </c>
    </row>
    <row r="286" spans="1:4">
      <c r="A286" t="s">
        <v>319</v>
      </c>
      <c r="B286">
        <v>2014</v>
      </c>
      <c r="C286" t="s">
        <v>315</v>
      </c>
      <c r="D286">
        <v>46.326385999999999</v>
      </c>
    </row>
    <row r="287" spans="1:4">
      <c r="A287" t="s">
        <v>319</v>
      </c>
      <c r="B287">
        <v>2015</v>
      </c>
      <c r="C287" t="s">
        <v>315</v>
      </c>
      <c r="D287">
        <v>47.290320999999999</v>
      </c>
    </row>
    <row r="288" spans="1:4">
      <c r="A288" t="s">
        <v>319</v>
      </c>
      <c r="B288">
        <v>2005</v>
      </c>
      <c r="C288" t="s">
        <v>519</v>
      </c>
      <c r="D288">
        <v>2.16</v>
      </c>
    </row>
    <row r="289" spans="1:4">
      <c r="A289" t="s">
        <v>319</v>
      </c>
      <c r="B289">
        <v>2006</v>
      </c>
      <c r="C289" t="s">
        <v>519</v>
      </c>
      <c r="D289">
        <v>2.29</v>
      </c>
    </row>
    <row r="290" spans="1:4">
      <c r="A290" t="s">
        <v>319</v>
      </c>
      <c r="B290">
        <v>2007</v>
      </c>
      <c r="C290" t="s">
        <v>519</v>
      </c>
      <c r="D290">
        <v>2.4500000000000002</v>
      </c>
    </row>
    <row r="291" spans="1:4">
      <c r="A291" t="s">
        <v>319</v>
      </c>
      <c r="B291">
        <v>2008</v>
      </c>
      <c r="C291" t="s">
        <v>519</v>
      </c>
      <c r="D291">
        <v>2.62</v>
      </c>
    </row>
    <row r="292" spans="1:4">
      <c r="A292" t="s">
        <v>319</v>
      </c>
      <c r="B292">
        <v>2009</v>
      </c>
      <c r="C292" t="s">
        <v>519</v>
      </c>
      <c r="D292">
        <v>2.83</v>
      </c>
    </row>
    <row r="293" spans="1:4">
      <c r="A293" t="s">
        <v>319</v>
      </c>
      <c r="B293">
        <v>2010</v>
      </c>
      <c r="C293" t="s">
        <v>519</v>
      </c>
      <c r="D293">
        <v>3.11</v>
      </c>
    </row>
    <row r="294" spans="1:4">
      <c r="A294" t="s">
        <v>319</v>
      </c>
      <c r="B294">
        <v>2011</v>
      </c>
      <c r="C294" t="s">
        <v>519</v>
      </c>
      <c r="D294">
        <v>3.41</v>
      </c>
    </row>
    <row r="295" spans="1:4">
      <c r="A295" t="s">
        <v>319</v>
      </c>
      <c r="B295">
        <v>2012</v>
      </c>
      <c r="C295" t="s">
        <v>519</v>
      </c>
      <c r="D295">
        <v>3.6890000000000001</v>
      </c>
    </row>
    <row r="296" spans="1:4">
      <c r="A296" t="s">
        <v>319</v>
      </c>
      <c r="B296">
        <v>2013</v>
      </c>
      <c r="C296" t="s">
        <v>519</v>
      </c>
      <c r="D296">
        <v>3.8675000000000002</v>
      </c>
    </row>
    <row r="297" spans="1:4">
      <c r="A297" t="s">
        <v>319</v>
      </c>
      <c r="B297">
        <v>2014</v>
      </c>
      <c r="C297" t="s">
        <v>519</v>
      </c>
      <c r="D297">
        <v>4.1100000000000003</v>
      </c>
    </row>
    <row r="298" spans="1:4">
      <c r="A298" t="s">
        <v>319</v>
      </c>
      <c r="B298">
        <v>2015</v>
      </c>
      <c r="C298" t="s">
        <v>519</v>
      </c>
      <c r="D298">
        <v>4.4000000000000004</v>
      </c>
    </row>
    <row r="299" spans="1:4">
      <c r="A299" t="s">
        <v>319</v>
      </c>
      <c r="B299">
        <v>2005</v>
      </c>
      <c r="C299" t="s">
        <v>520</v>
      </c>
      <c r="D299">
        <v>4.5750000000000002</v>
      </c>
    </row>
    <row r="300" spans="1:4">
      <c r="A300" t="s">
        <v>319</v>
      </c>
      <c r="B300">
        <v>2006</v>
      </c>
      <c r="C300" t="s">
        <v>520</v>
      </c>
      <c r="D300">
        <v>4.8899999999999997</v>
      </c>
    </row>
    <row r="301" spans="1:4">
      <c r="A301" t="s">
        <v>319</v>
      </c>
      <c r="B301">
        <v>2007</v>
      </c>
      <c r="C301" t="s">
        <v>520</v>
      </c>
      <c r="D301">
        <v>5.1609999999999996</v>
      </c>
    </row>
    <row r="302" spans="1:4">
      <c r="A302" t="s">
        <v>319</v>
      </c>
      <c r="B302">
        <v>2008</v>
      </c>
      <c r="C302" t="s">
        <v>520</v>
      </c>
      <c r="D302">
        <v>5.2759999999999998</v>
      </c>
    </row>
    <row r="303" spans="1:4">
      <c r="A303" t="s">
        <v>319</v>
      </c>
      <c r="B303">
        <v>2009</v>
      </c>
      <c r="C303" t="s">
        <v>520</v>
      </c>
      <c r="D303">
        <v>5.4109999999999996</v>
      </c>
    </row>
    <row r="304" spans="1:4">
      <c r="A304" t="s">
        <v>319</v>
      </c>
      <c r="B304">
        <v>2010</v>
      </c>
      <c r="C304" t="s">
        <v>520</v>
      </c>
      <c r="D304">
        <v>5.3190689999999998</v>
      </c>
    </row>
    <row r="305" spans="1:4">
      <c r="A305" t="s">
        <v>319</v>
      </c>
      <c r="B305">
        <v>2011</v>
      </c>
      <c r="C305" t="s">
        <v>520</v>
      </c>
      <c r="D305">
        <v>5.5069220000000003</v>
      </c>
    </row>
    <row r="306" spans="1:4">
      <c r="A306" t="s">
        <v>319</v>
      </c>
      <c r="B306">
        <v>2012</v>
      </c>
      <c r="C306" t="s">
        <v>520</v>
      </c>
      <c r="D306">
        <v>5.733314</v>
      </c>
    </row>
    <row r="307" spans="1:4">
      <c r="A307" t="s">
        <v>319</v>
      </c>
      <c r="B307">
        <v>2013</v>
      </c>
      <c r="C307" t="s">
        <v>520</v>
      </c>
      <c r="D307">
        <v>5.9672219999999996</v>
      </c>
    </row>
    <row r="308" spans="1:4">
      <c r="A308" t="s">
        <v>319</v>
      </c>
      <c r="B308">
        <v>2014</v>
      </c>
      <c r="C308" t="s">
        <v>520</v>
      </c>
      <c r="D308">
        <v>6.1883319999999999</v>
      </c>
    </row>
    <row r="309" spans="1:4">
      <c r="A309" t="s">
        <v>319</v>
      </c>
      <c r="B309">
        <v>2015</v>
      </c>
      <c r="C309" t="s">
        <v>520</v>
      </c>
      <c r="D309">
        <v>6.383756</v>
      </c>
    </row>
    <row r="310" spans="1:4">
      <c r="A310" t="s">
        <v>319</v>
      </c>
      <c r="B310">
        <v>2005</v>
      </c>
      <c r="C310" t="s">
        <v>456</v>
      </c>
      <c r="D310">
        <v>24.45</v>
      </c>
    </row>
    <row r="311" spans="1:4">
      <c r="A311" t="s">
        <v>319</v>
      </c>
      <c r="B311">
        <v>2006</v>
      </c>
      <c r="C311" t="s">
        <v>456</v>
      </c>
      <c r="D311">
        <v>25.343</v>
      </c>
    </row>
    <row r="312" spans="1:4">
      <c r="A312" t="s">
        <v>319</v>
      </c>
      <c r="B312">
        <v>2007</v>
      </c>
      <c r="C312" t="s">
        <v>456</v>
      </c>
      <c r="D312">
        <v>26.138999999999999</v>
      </c>
    </row>
    <row r="313" spans="1:4">
      <c r="A313" t="s">
        <v>319</v>
      </c>
      <c r="B313">
        <v>2008</v>
      </c>
      <c r="C313" t="s">
        <v>456</v>
      </c>
      <c r="D313">
        <v>26.553000000000001</v>
      </c>
    </row>
    <row r="314" spans="1:4">
      <c r="A314" t="s">
        <v>319</v>
      </c>
      <c r="B314">
        <v>2009</v>
      </c>
      <c r="C314" t="s">
        <v>456</v>
      </c>
      <c r="D314">
        <v>26.44</v>
      </c>
    </row>
    <row r="315" spans="1:4">
      <c r="A315" t="s">
        <v>319</v>
      </c>
      <c r="B315">
        <v>2010</v>
      </c>
      <c r="C315" t="s">
        <v>456</v>
      </c>
      <c r="D315">
        <v>26.626999999999999</v>
      </c>
    </row>
    <row r="316" spans="1:4">
      <c r="A316" t="s">
        <v>319</v>
      </c>
      <c r="B316">
        <v>2011</v>
      </c>
      <c r="C316" t="s">
        <v>456</v>
      </c>
      <c r="D316">
        <v>26.798999999999999</v>
      </c>
    </row>
    <row r="317" spans="1:4">
      <c r="A317" t="s">
        <v>319</v>
      </c>
      <c r="B317">
        <v>2012</v>
      </c>
      <c r="C317" t="s">
        <v>456</v>
      </c>
      <c r="D317">
        <v>26.745000000000001</v>
      </c>
    </row>
    <row r="318" spans="1:4">
      <c r="A318" t="s">
        <v>319</v>
      </c>
      <c r="B318">
        <v>2013</v>
      </c>
      <c r="C318" t="s">
        <v>456</v>
      </c>
      <c r="D318">
        <v>26.504538</v>
      </c>
    </row>
    <row r="319" spans="1:4">
      <c r="A319" t="s">
        <v>319</v>
      </c>
      <c r="B319">
        <v>2014</v>
      </c>
      <c r="C319" t="s">
        <v>456</v>
      </c>
      <c r="D319">
        <v>26.525511999999999</v>
      </c>
    </row>
    <row r="320" spans="1:4">
      <c r="A320" t="s">
        <v>319</v>
      </c>
      <c r="B320">
        <v>2015</v>
      </c>
      <c r="C320" t="s">
        <v>456</v>
      </c>
      <c r="D320">
        <v>26.948705</v>
      </c>
    </row>
    <row r="321" spans="1:4">
      <c r="A321" t="s">
        <v>319</v>
      </c>
      <c r="B321">
        <v>2005</v>
      </c>
      <c r="C321" t="s">
        <v>457</v>
      </c>
      <c r="D321">
        <v>8.5394769999999998</v>
      </c>
    </row>
    <row r="322" spans="1:4">
      <c r="A322" t="s">
        <v>319</v>
      </c>
      <c r="B322">
        <v>2006</v>
      </c>
      <c r="C322" t="s">
        <v>457</v>
      </c>
      <c r="D322">
        <v>8.7172870000000007</v>
      </c>
    </row>
    <row r="323" spans="1:4">
      <c r="A323" t="s">
        <v>319</v>
      </c>
      <c r="B323">
        <v>2007</v>
      </c>
      <c r="C323" t="s">
        <v>457</v>
      </c>
      <c r="D323">
        <v>8.8138799999999993</v>
      </c>
    </row>
    <row r="324" spans="1:4">
      <c r="A324" t="s">
        <v>319</v>
      </c>
      <c r="B324">
        <v>2008</v>
      </c>
      <c r="C324" t="s">
        <v>457</v>
      </c>
      <c r="D324">
        <v>8.8337219999999999</v>
      </c>
    </row>
    <row r="325" spans="1:4">
      <c r="A325" t="s">
        <v>319</v>
      </c>
      <c r="B325">
        <v>2009</v>
      </c>
      <c r="C325" t="s">
        <v>457</v>
      </c>
      <c r="D325">
        <v>8.8766040000000004</v>
      </c>
    </row>
    <row r="326" spans="1:4">
      <c r="A326" t="s">
        <v>319</v>
      </c>
      <c r="B326">
        <v>2010</v>
      </c>
      <c r="C326" t="s">
        <v>457</v>
      </c>
      <c r="D326">
        <v>8.9902829999999998</v>
      </c>
    </row>
    <row r="327" spans="1:4">
      <c r="A327" t="s">
        <v>319</v>
      </c>
      <c r="B327">
        <v>2011</v>
      </c>
      <c r="C327" t="s">
        <v>457</v>
      </c>
      <c r="D327">
        <v>9.1364959999999993</v>
      </c>
    </row>
    <row r="328" spans="1:4">
      <c r="A328" t="s">
        <v>319</v>
      </c>
      <c r="B328">
        <v>2012</v>
      </c>
      <c r="C328" t="s">
        <v>457</v>
      </c>
      <c r="D328">
        <v>9.2471899999999998</v>
      </c>
    </row>
    <row r="329" spans="1:4">
      <c r="A329" t="s">
        <v>319</v>
      </c>
      <c r="B329">
        <v>2013</v>
      </c>
      <c r="C329" t="s">
        <v>457</v>
      </c>
      <c r="D329">
        <v>9.3512160000000009</v>
      </c>
    </row>
    <row r="330" spans="1:4">
      <c r="A330" t="s">
        <v>319</v>
      </c>
      <c r="B330">
        <v>2014</v>
      </c>
      <c r="C330" t="s">
        <v>457</v>
      </c>
      <c r="D330">
        <v>9.5025580000000005</v>
      </c>
    </row>
    <row r="331" spans="1:4">
      <c r="A331" t="s">
        <v>319</v>
      </c>
      <c r="B331">
        <v>2015</v>
      </c>
      <c r="C331" t="s">
        <v>457</v>
      </c>
      <c r="D331">
        <v>9.6740639999999996</v>
      </c>
    </row>
    <row r="332" spans="1:4">
      <c r="A332" t="s">
        <v>319</v>
      </c>
      <c r="B332">
        <v>2005</v>
      </c>
      <c r="C332" t="s">
        <v>521</v>
      </c>
      <c r="D332">
        <v>3.9060000000000001</v>
      </c>
    </row>
    <row r="333" spans="1:4">
      <c r="A333" t="s">
        <v>319</v>
      </c>
      <c r="B333">
        <v>2006</v>
      </c>
      <c r="C333" t="s">
        <v>521</v>
      </c>
      <c r="D333">
        <v>3.9460000000000002</v>
      </c>
    </row>
    <row r="334" spans="1:4">
      <c r="A334" t="s">
        <v>319</v>
      </c>
      <c r="B334">
        <v>2007</v>
      </c>
      <c r="C334" t="s">
        <v>521</v>
      </c>
      <c r="D334">
        <v>4.0025839999999997</v>
      </c>
    </row>
    <row r="335" spans="1:4">
      <c r="A335" t="s">
        <v>319</v>
      </c>
      <c r="B335">
        <v>2008</v>
      </c>
      <c r="C335" t="s">
        <v>521</v>
      </c>
      <c r="D335">
        <v>4.0312049999999999</v>
      </c>
    </row>
    <row r="336" spans="1:4">
      <c r="A336" t="s">
        <v>319</v>
      </c>
      <c r="B336">
        <v>2009</v>
      </c>
      <c r="C336" t="s">
        <v>521</v>
      </c>
      <c r="D336">
        <v>4.0518320000000001</v>
      </c>
    </row>
    <row r="337" spans="1:4">
      <c r="A337" t="s">
        <v>319</v>
      </c>
      <c r="B337">
        <v>2010</v>
      </c>
      <c r="C337" t="s">
        <v>521</v>
      </c>
      <c r="D337">
        <v>4.1196840000000003</v>
      </c>
    </row>
    <row r="338" spans="1:4">
      <c r="A338" t="s">
        <v>319</v>
      </c>
      <c r="B338">
        <v>2011</v>
      </c>
      <c r="C338" t="s">
        <v>521</v>
      </c>
      <c r="D338">
        <v>4.2096720000000003</v>
      </c>
    </row>
    <row r="339" spans="1:4">
      <c r="A339" t="s">
        <v>319</v>
      </c>
      <c r="B339">
        <v>2012</v>
      </c>
      <c r="C339" t="s">
        <v>521</v>
      </c>
      <c r="D339">
        <v>4.3000360000000004</v>
      </c>
    </row>
    <row r="340" spans="1:4">
      <c r="A340" t="s">
        <v>319</v>
      </c>
      <c r="B340">
        <v>2013</v>
      </c>
      <c r="C340" t="s">
        <v>521</v>
      </c>
      <c r="D340">
        <v>4.3668950000000004</v>
      </c>
    </row>
    <row r="341" spans="1:4">
      <c r="A341" t="s">
        <v>319</v>
      </c>
      <c r="B341">
        <v>2014</v>
      </c>
      <c r="C341" t="s">
        <v>521</v>
      </c>
      <c r="D341">
        <v>4.4303749999999997</v>
      </c>
    </row>
    <row r="342" spans="1:4">
      <c r="A342" t="s">
        <v>319</v>
      </c>
      <c r="B342">
        <v>2015</v>
      </c>
      <c r="C342" t="s">
        <v>521</v>
      </c>
      <c r="D342">
        <v>4.5038650000000002</v>
      </c>
    </row>
    <row r="343" spans="1:4">
      <c r="A343" t="s">
        <v>319</v>
      </c>
      <c r="B343">
        <v>2005</v>
      </c>
      <c r="C343" t="s">
        <v>522</v>
      </c>
      <c r="D343">
        <v>5.7729999999999997</v>
      </c>
    </row>
    <row r="344" spans="1:4">
      <c r="A344" t="s">
        <v>319</v>
      </c>
      <c r="B344">
        <v>2006</v>
      </c>
      <c r="C344" t="s">
        <v>522</v>
      </c>
      <c r="D344">
        <v>6.141</v>
      </c>
    </row>
    <row r="345" spans="1:4">
      <c r="A345" t="s">
        <v>319</v>
      </c>
      <c r="B345">
        <v>2007</v>
      </c>
      <c r="C345" t="s">
        <v>522</v>
      </c>
      <c r="D345">
        <v>6.4720000000000004</v>
      </c>
    </row>
    <row r="346" spans="1:4">
      <c r="A346" t="s">
        <v>319</v>
      </c>
      <c r="B346">
        <v>2008</v>
      </c>
      <c r="C346" t="s">
        <v>522</v>
      </c>
      <c r="D346">
        <v>6.7969999999999997</v>
      </c>
    </row>
    <row r="347" spans="1:4">
      <c r="A347" t="s">
        <v>319</v>
      </c>
      <c r="B347">
        <v>2009</v>
      </c>
      <c r="C347" t="s">
        <v>522</v>
      </c>
      <c r="D347">
        <v>7.0940000000000003</v>
      </c>
    </row>
    <row r="348" spans="1:4">
      <c r="A348" t="s">
        <v>319</v>
      </c>
      <c r="B348">
        <v>2010</v>
      </c>
      <c r="C348" t="s">
        <v>522</v>
      </c>
      <c r="D348">
        <v>7.5449999999999999</v>
      </c>
    </row>
    <row r="349" spans="1:4">
      <c r="A349" t="s">
        <v>319</v>
      </c>
      <c r="B349">
        <v>2011</v>
      </c>
      <c r="C349" t="s">
        <v>522</v>
      </c>
      <c r="D349">
        <v>8.1129999999999995</v>
      </c>
    </row>
    <row r="350" spans="1:4">
      <c r="A350" t="s">
        <v>319</v>
      </c>
      <c r="B350">
        <v>2012</v>
      </c>
      <c r="C350" t="s">
        <v>522</v>
      </c>
      <c r="D350">
        <v>8.6489999999999991</v>
      </c>
    </row>
    <row r="351" spans="1:4">
      <c r="A351" t="s">
        <v>319</v>
      </c>
      <c r="B351">
        <v>2013</v>
      </c>
      <c r="C351" t="s">
        <v>522</v>
      </c>
      <c r="D351">
        <v>9.2839229999999997</v>
      </c>
    </row>
    <row r="352" spans="1:4">
      <c r="A352" t="s">
        <v>319</v>
      </c>
      <c r="B352">
        <v>2014</v>
      </c>
      <c r="C352" t="s">
        <v>522</v>
      </c>
      <c r="D352">
        <v>9.8579150000000002</v>
      </c>
    </row>
    <row r="353" spans="1:4">
      <c r="A353" t="s">
        <v>319</v>
      </c>
      <c r="B353">
        <v>2015</v>
      </c>
      <c r="C353" t="s">
        <v>522</v>
      </c>
      <c r="D353">
        <v>10.589337</v>
      </c>
    </row>
    <row r="354" spans="1:4">
      <c r="A354" t="s">
        <v>319</v>
      </c>
      <c r="B354">
        <v>2005</v>
      </c>
      <c r="C354" t="s">
        <v>523</v>
      </c>
      <c r="D354">
        <v>30.477058</v>
      </c>
    </row>
    <row r="355" spans="1:4">
      <c r="A355" t="s">
        <v>319</v>
      </c>
      <c r="B355">
        <v>2006</v>
      </c>
      <c r="C355" t="s">
        <v>523</v>
      </c>
      <c r="D355">
        <v>30.817036000000002</v>
      </c>
    </row>
    <row r="356" spans="1:4">
      <c r="A356" t="s">
        <v>319</v>
      </c>
      <c r="B356">
        <v>2007</v>
      </c>
      <c r="C356" t="s">
        <v>523</v>
      </c>
      <c r="D356">
        <v>31.105988</v>
      </c>
    </row>
    <row r="357" spans="1:4">
      <c r="A357" t="s">
        <v>319</v>
      </c>
      <c r="B357">
        <v>2008</v>
      </c>
      <c r="C357" t="s">
        <v>523</v>
      </c>
      <c r="D357">
        <v>31.252476000000001</v>
      </c>
    </row>
    <row r="358" spans="1:4">
      <c r="A358" t="s">
        <v>319</v>
      </c>
      <c r="B358">
        <v>2009</v>
      </c>
      <c r="C358" t="s">
        <v>523</v>
      </c>
      <c r="D358">
        <v>31.035791</v>
      </c>
    </row>
    <row r="359" spans="1:4">
      <c r="A359" t="s">
        <v>319</v>
      </c>
      <c r="B359">
        <v>2010</v>
      </c>
      <c r="C359" t="s">
        <v>523</v>
      </c>
      <c r="D359">
        <v>31.258196999999999</v>
      </c>
    </row>
    <row r="360" spans="1:4">
      <c r="A360" t="s">
        <v>319</v>
      </c>
      <c r="B360">
        <v>2011</v>
      </c>
      <c r="C360" t="s">
        <v>523</v>
      </c>
      <c r="D360">
        <v>31.362715999999999</v>
      </c>
    </row>
    <row r="361" spans="1:4">
      <c r="A361" t="s">
        <v>319</v>
      </c>
      <c r="B361">
        <v>2012</v>
      </c>
      <c r="C361" t="s">
        <v>523</v>
      </c>
      <c r="D361">
        <v>31.481999999999999</v>
      </c>
    </row>
    <row r="362" spans="1:4">
      <c r="A362" t="s">
        <v>319</v>
      </c>
      <c r="B362">
        <v>2013</v>
      </c>
      <c r="C362" t="s">
        <v>523</v>
      </c>
      <c r="D362">
        <v>32.103000000000002</v>
      </c>
    </row>
    <row r="363" spans="1:4">
      <c r="A363" t="s">
        <v>319</v>
      </c>
      <c r="B363">
        <v>2014</v>
      </c>
      <c r="C363" t="s">
        <v>523</v>
      </c>
      <c r="D363">
        <v>32.612782000000003</v>
      </c>
    </row>
    <row r="364" spans="1:4">
      <c r="A364" t="s">
        <v>319</v>
      </c>
      <c r="B364">
        <v>2015</v>
      </c>
      <c r="C364" t="s">
        <v>523</v>
      </c>
      <c r="D364">
        <v>33.542448</v>
      </c>
    </row>
    <row r="365" spans="1:4">
      <c r="A365" t="s">
        <v>319</v>
      </c>
      <c r="B365">
        <v>2005</v>
      </c>
      <c r="C365" t="s">
        <v>524</v>
      </c>
      <c r="D365">
        <v>5.8319939999999999</v>
      </c>
    </row>
    <row r="366" spans="1:4">
      <c r="A366" t="s">
        <v>319</v>
      </c>
      <c r="B366">
        <v>2006</v>
      </c>
      <c r="C366" t="s">
        <v>524</v>
      </c>
      <c r="D366">
        <v>5.923311</v>
      </c>
    </row>
    <row r="367" spans="1:4">
      <c r="A367" t="s">
        <v>319</v>
      </c>
      <c r="B367">
        <v>2007</v>
      </c>
      <c r="C367" t="s">
        <v>524</v>
      </c>
      <c r="D367">
        <v>6.2789440000000001</v>
      </c>
    </row>
    <row r="368" spans="1:4">
      <c r="A368" t="s">
        <v>319</v>
      </c>
      <c r="B368">
        <v>2008</v>
      </c>
      <c r="C368" t="s">
        <v>524</v>
      </c>
      <c r="D368">
        <v>6.760351</v>
      </c>
    </row>
    <row r="369" spans="1:4">
      <c r="A369" t="s">
        <v>319</v>
      </c>
      <c r="B369">
        <v>2009</v>
      </c>
      <c r="C369" t="s">
        <v>524</v>
      </c>
      <c r="D369">
        <v>6.9053649999999998</v>
      </c>
    </row>
    <row r="370" spans="1:4">
      <c r="A370" t="s">
        <v>319</v>
      </c>
      <c r="B370">
        <v>2010</v>
      </c>
      <c r="C370" t="s">
        <v>524</v>
      </c>
      <c r="D370">
        <v>7.1742900000000001</v>
      </c>
    </row>
    <row r="371" spans="1:4">
      <c r="A371" t="s">
        <v>319</v>
      </c>
      <c r="B371">
        <v>2011</v>
      </c>
      <c r="C371" t="s">
        <v>524</v>
      </c>
      <c r="D371">
        <v>7.3279730000000001</v>
      </c>
    </row>
    <row r="372" spans="1:4">
      <c r="A372" t="s">
        <v>319</v>
      </c>
      <c r="B372">
        <v>2012</v>
      </c>
      <c r="C372" t="s">
        <v>524</v>
      </c>
      <c r="D372">
        <v>7.5923790000000002</v>
      </c>
    </row>
    <row r="373" spans="1:4">
      <c r="A373" t="s">
        <v>319</v>
      </c>
      <c r="B373">
        <v>2013</v>
      </c>
      <c r="C373" t="s">
        <v>524</v>
      </c>
      <c r="D373">
        <v>7.8344180000000003</v>
      </c>
    </row>
    <row r="374" spans="1:4">
      <c r="A374" t="s">
        <v>319</v>
      </c>
      <c r="B374">
        <v>2014</v>
      </c>
      <c r="C374" t="s">
        <v>524</v>
      </c>
      <c r="D374">
        <v>7.8525609999999997</v>
      </c>
    </row>
    <row r="375" spans="1:4">
      <c r="A375" t="s">
        <v>319</v>
      </c>
      <c r="B375">
        <v>2015</v>
      </c>
      <c r="C375" t="s">
        <v>524</v>
      </c>
      <c r="D375">
        <v>7.9298130000000002</v>
      </c>
    </row>
    <row r="376" spans="1:4">
      <c r="A376" t="s">
        <v>319</v>
      </c>
      <c r="B376">
        <v>2005</v>
      </c>
      <c r="C376" t="s">
        <v>459</v>
      </c>
      <c r="D376">
        <v>2.500543</v>
      </c>
    </row>
    <row r="377" spans="1:4">
      <c r="A377" t="s">
        <v>319</v>
      </c>
      <c r="B377">
        <v>2006</v>
      </c>
      <c r="C377" t="s">
        <v>459</v>
      </c>
      <c r="D377">
        <v>2.5730599999999999</v>
      </c>
    </row>
    <row r="378" spans="1:4">
      <c r="A378" t="s">
        <v>319</v>
      </c>
      <c r="B378">
        <v>2007</v>
      </c>
      <c r="C378" t="s">
        <v>459</v>
      </c>
      <c r="D378">
        <v>2.6019220000000001</v>
      </c>
    </row>
    <row r="379" spans="1:4">
      <c r="A379" t="s">
        <v>319</v>
      </c>
      <c r="B379">
        <v>2008</v>
      </c>
      <c r="C379" t="s">
        <v>459</v>
      </c>
      <c r="D379">
        <v>2.7011219999999998</v>
      </c>
    </row>
    <row r="380" spans="1:4">
      <c r="A380" t="s">
        <v>319</v>
      </c>
      <c r="B380">
        <v>2009</v>
      </c>
      <c r="C380" t="s">
        <v>459</v>
      </c>
      <c r="D380">
        <v>2.9079090000000001</v>
      </c>
    </row>
    <row r="381" spans="1:4">
      <c r="A381" t="s">
        <v>319</v>
      </c>
      <c r="B381">
        <v>2010</v>
      </c>
      <c r="C381" t="s">
        <v>459</v>
      </c>
      <c r="D381">
        <v>2.8952969999999998</v>
      </c>
    </row>
    <row r="382" spans="1:4">
      <c r="A382" t="s">
        <v>319</v>
      </c>
      <c r="B382">
        <v>2011</v>
      </c>
      <c r="C382" t="s">
        <v>459</v>
      </c>
      <c r="D382">
        <v>3.0268220000000001</v>
      </c>
    </row>
    <row r="383" spans="1:4">
      <c r="A383" t="s">
        <v>319</v>
      </c>
      <c r="B383">
        <v>2012</v>
      </c>
      <c r="C383" t="s">
        <v>459</v>
      </c>
      <c r="D383">
        <v>2.9380630000000001</v>
      </c>
    </row>
    <row r="384" spans="1:4">
      <c r="A384" t="s">
        <v>319</v>
      </c>
      <c r="B384">
        <v>2013</v>
      </c>
      <c r="C384" t="s">
        <v>459</v>
      </c>
      <c r="D384">
        <v>3.1317089999999999</v>
      </c>
    </row>
    <row r="385" spans="1:4">
      <c r="A385" t="s">
        <v>319</v>
      </c>
      <c r="B385">
        <v>2014</v>
      </c>
      <c r="C385" t="s">
        <v>459</v>
      </c>
      <c r="D385">
        <v>3.348007</v>
      </c>
    </row>
    <row r="386" spans="1:4">
      <c r="A386" t="s">
        <v>319</v>
      </c>
      <c r="B386">
        <v>2015</v>
      </c>
      <c r="C386" t="s">
        <v>459</v>
      </c>
      <c r="D386">
        <v>3.449462</v>
      </c>
    </row>
    <row r="387" spans="1:4">
      <c r="A387" t="s">
        <v>320</v>
      </c>
      <c r="B387">
        <v>2005</v>
      </c>
      <c r="C387" t="s">
        <v>435</v>
      </c>
      <c r="D387">
        <v>2.8679999999999999</v>
      </c>
    </row>
    <row r="388" spans="1:4">
      <c r="A388" t="s">
        <v>320</v>
      </c>
      <c r="B388">
        <v>2006</v>
      </c>
      <c r="C388" t="s">
        <v>435</v>
      </c>
      <c r="D388">
        <v>2.9976430000000001</v>
      </c>
    </row>
    <row r="389" spans="1:4">
      <c r="A389" t="s">
        <v>320</v>
      </c>
      <c r="B389">
        <v>2007</v>
      </c>
      <c r="C389" t="s">
        <v>435</v>
      </c>
      <c r="D389">
        <v>3.1997300000000002</v>
      </c>
    </row>
    <row r="390" spans="1:4">
      <c r="A390" t="s">
        <v>320</v>
      </c>
      <c r="B390">
        <v>2008</v>
      </c>
      <c r="C390" t="s">
        <v>435</v>
      </c>
      <c r="D390">
        <v>3.5495649999999999</v>
      </c>
    </row>
    <row r="391" spans="1:4">
      <c r="A391" t="s">
        <v>320</v>
      </c>
      <c r="B391">
        <v>2009</v>
      </c>
      <c r="C391" t="s">
        <v>435</v>
      </c>
      <c r="D391">
        <v>3.7944529999999999</v>
      </c>
    </row>
    <row r="392" spans="1:4">
      <c r="A392" t="s">
        <v>320</v>
      </c>
      <c r="B392">
        <v>2010</v>
      </c>
      <c r="C392" t="s">
        <v>435</v>
      </c>
      <c r="D392">
        <v>3.9928439999999998</v>
      </c>
    </row>
    <row r="393" spans="1:4">
      <c r="A393" t="s">
        <v>320</v>
      </c>
      <c r="B393">
        <v>2011</v>
      </c>
      <c r="C393" t="s">
        <v>435</v>
      </c>
      <c r="D393">
        <v>4.1577570000000001</v>
      </c>
    </row>
    <row r="394" spans="1:4">
      <c r="A394" t="s">
        <v>320</v>
      </c>
      <c r="B394">
        <v>2012</v>
      </c>
      <c r="C394" t="s">
        <v>435</v>
      </c>
      <c r="D394">
        <v>4.4210079999999996</v>
      </c>
    </row>
    <row r="395" spans="1:4">
      <c r="A395" t="s">
        <v>320</v>
      </c>
      <c r="B395">
        <v>2013</v>
      </c>
      <c r="C395" t="s">
        <v>435</v>
      </c>
      <c r="D395">
        <v>4.6194930000000003</v>
      </c>
    </row>
    <row r="396" spans="1:4">
      <c r="A396" t="s">
        <v>320</v>
      </c>
      <c r="B396">
        <v>2014</v>
      </c>
      <c r="C396" t="s">
        <v>435</v>
      </c>
      <c r="D396">
        <v>4.8339270000000001</v>
      </c>
    </row>
    <row r="397" spans="1:4">
      <c r="A397" t="s">
        <v>320</v>
      </c>
      <c r="B397">
        <v>2015</v>
      </c>
      <c r="C397" t="s">
        <v>435</v>
      </c>
      <c r="D397">
        <v>5.2694720000000004</v>
      </c>
    </row>
    <row r="398" spans="1:4">
      <c r="A398" t="s">
        <v>320</v>
      </c>
      <c r="B398">
        <v>2005</v>
      </c>
      <c r="C398" t="s">
        <v>436</v>
      </c>
      <c r="D398">
        <v>3.34293</v>
      </c>
    </row>
    <row r="399" spans="1:4">
      <c r="A399" t="s">
        <v>320</v>
      </c>
      <c r="B399">
        <v>2006</v>
      </c>
      <c r="C399" t="s">
        <v>436</v>
      </c>
      <c r="D399">
        <v>3.513242</v>
      </c>
    </row>
    <row r="400" spans="1:4">
      <c r="A400" t="s">
        <v>320</v>
      </c>
      <c r="B400">
        <v>2007</v>
      </c>
      <c r="C400" t="s">
        <v>436</v>
      </c>
      <c r="D400">
        <v>3.8583750000000001</v>
      </c>
    </row>
    <row r="401" spans="1:4">
      <c r="A401" t="s">
        <v>320</v>
      </c>
      <c r="B401">
        <v>2008</v>
      </c>
      <c r="C401" t="s">
        <v>436</v>
      </c>
      <c r="D401">
        <v>4.3895970000000002</v>
      </c>
    </row>
    <row r="402" spans="1:4">
      <c r="A402" t="s">
        <v>320</v>
      </c>
      <c r="B402">
        <v>2009</v>
      </c>
      <c r="C402" t="s">
        <v>436</v>
      </c>
      <c r="D402">
        <v>4.5615139999999998</v>
      </c>
    </row>
    <row r="403" spans="1:4">
      <c r="A403" t="s">
        <v>320</v>
      </c>
      <c r="B403">
        <v>2010</v>
      </c>
      <c r="C403" t="s">
        <v>436</v>
      </c>
      <c r="D403">
        <v>4.6867809999999999</v>
      </c>
    </row>
    <row r="404" spans="1:4">
      <c r="A404" t="s">
        <v>320</v>
      </c>
      <c r="B404">
        <v>2011</v>
      </c>
      <c r="C404" t="s">
        <v>436</v>
      </c>
      <c r="D404">
        <v>4.8195699999999997</v>
      </c>
    </row>
    <row r="405" spans="1:4">
      <c r="A405" t="s">
        <v>320</v>
      </c>
      <c r="B405">
        <v>2012</v>
      </c>
      <c r="C405" t="s">
        <v>436</v>
      </c>
      <c r="D405">
        <v>4.9413140000000002</v>
      </c>
    </row>
    <row r="406" spans="1:4">
      <c r="A406" t="s">
        <v>320</v>
      </c>
      <c r="B406">
        <v>2013</v>
      </c>
      <c r="C406" t="s">
        <v>436</v>
      </c>
      <c r="D406">
        <v>5.1137920000000001</v>
      </c>
    </row>
    <row r="407" spans="1:4">
      <c r="A407" t="s">
        <v>320</v>
      </c>
      <c r="B407">
        <v>2014</v>
      </c>
      <c r="C407" t="s">
        <v>436</v>
      </c>
      <c r="D407">
        <v>5.3239979999999996</v>
      </c>
    </row>
    <row r="408" spans="1:4">
      <c r="A408" t="s">
        <v>320</v>
      </c>
      <c r="B408">
        <v>2015</v>
      </c>
      <c r="C408" t="s">
        <v>436</v>
      </c>
      <c r="D408">
        <v>5.5067769999999996</v>
      </c>
    </row>
    <row r="409" spans="1:4">
      <c r="A409" t="s">
        <v>320</v>
      </c>
      <c r="B409">
        <v>2005</v>
      </c>
      <c r="C409" t="s">
        <v>507</v>
      </c>
      <c r="D409">
        <v>2.601</v>
      </c>
    </row>
    <row r="410" spans="1:4">
      <c r="A410" t="s">
        <v>320</v>
      </c>
      <c r="B410">
        <v>2006</v>
      </c>
      <c r="C410" t="s">
        <v>507</v>
      </c>
      <c r="D410">
        <v>2.706</v>
      </c>
    </row>
    <row r="411" spans="1:4">
      <c r="A411" t="s">
        <v>320</v>
      </c>
      <c r="B411">
        <v>2007</v>
      </c>
      <c r="C411" t="s">
        <v>507</v>
      </c>
      <c r="D411">
        <v>2.8010000000000002</v>
      </c>
    </row>
    <row r="412" spans="1:4">
      <c r="A412" t="s">
        <v>320</v>
      </c>
      <c r="B412">
        <v>2008</v>
      </c>
      <c r="C412" t="s">
        <v>507</v>
      </c>
      <c r="D412">
        <v>2.9249999999999998</v>
      </c>
    </row>
    <row r="413" spans="1:4">
      <c r="A413" t="s">
        <v>320</v>
      </c>
      <c r="B413">
        <v>2009</v>
      </c>
      <c r="C413" t="s">
        <v>507</v>
      </c>
      <c r="D413">
        <v>3.0270000000000001</v>
      </c>
    </row>
    <row r="414" spans="1:4">
      <c r="A414" t="s">
        <v>320</v>
      </c>
      <c r="B414">
        <v>2010</v>
      </c>
      <c r="C414" t="s">
        <v>507</v>
      </c>
      <c r="D414">
        <v>3.1320000000000001</v>
      </c>
    </row>
    <row r="415" spans="1:4">
      <c r="A415" t="s">
        <v>320</v>
      </c>
      <c r="B415">
        <v>2011</v>
      </c>
      <c r="C415" t="s">
        <v>507</v>
      </c>
      <c r="D415">
        <v>2.7160000000000002</v>
      </c>
    </row>
    <row r="416" spans="1:4">
      <c r="A416" t="s">
        <v>320</v>
      </c>
      <c r="B416">
        <v>2012</v>
      </c>
      <c r="C416" t="s">
        <v>507</v>
      </c>
      <c r="D416">
        <v>3.3181210000000001</v>
      </c>
    </row>
    <row r="417" spans="1:4">
      <c r="A417" t="s">
        <v>320</v>
      </c>
      <c r="B417">
        <v>2013</v>
      </c>
      <c r="C417" t="s">
        <v>507</v>
      </c>
      <c r="D417">
        <v>3.4358430000000002</v>
      </c>
    </row>
    <row r="418" spans="1:4">
      <c r="A418" t="s">
        <v>320</v>
      </c>
      <c r="B418">
        <v>2014</v>
      </c>
      <c r="C418" t="s">
        <v>507</v>
      </c>
      <c r="D418">
        <v>3.5560589999999999</v>
      </c>
    </row>
    <row r="419" spans="1:4">
      <c r="A419" t="s">
        <v>320</v>
      </c>
      <c r="B419">
        <v>2015</v>
      </c>
      <c r="C419" t="s">
        <v>507</v>
      </c>
      <c r="D419">
        <v>3.651103</v>
      </c>
    </row>
    <row r="420" spans="1:4">
      <c r="A420" t="s">
        <v>320</v>
      </c>
      <c r="B420">
        <v>2005</v>
      </c>
      <c r="C420" t="s">
        <v>508</v>
      </c>
      <c r="D420">
        <v>0.36699999999999999</v>
      </c>
    </row>
    <row r="421" spans="1:4">
      <c r="A421" t="s">
        <v>320</v>
      </c>
      <c r="B421">
        <v>2006</v>
      </c>
      <c r="C421" t="s">
        <v>508</v>
      </c>
      <c r="D421">
        <v>0.374</v>
      </c>
    </row>
    <row r="422" spans="1:4">
      <c r="A422" t="s">
        <v>320</v>
      </c>
      <c r="B422">
        <v>2007</v>
      </c>
      <c r="C422" t="s">
        <v>508</v>
      </c>
      <c r="D422">
        <v>0.38200000000000001</v>
      </c>
    </row>
    <row r="423" spans="1:4">
      <c r="A423" t="s">
        <v>320</v>
      </c>
      <c r="B423">
        <v>2008</v>
      </c>
      <c r="C423" t="s">
        <v>508</v>
      </c>
      <c r="D423">
        <v>0.39100000000000001</v>
      </c>
    </row>
    <row r="424" spans="1:4">
      <c r="A424" t="s">
        <v>320</v>
      </c>
      <c r="B424">
        <v>2009</v>
      </c>
      <c r="C424" t="s">
        <v>508</v>
      </c>
      <c r="D424">
        <v>0.39800000000000002</v>
      </c>
    </row>
    <row r="425" spans="1:4">
      <c r="A425" t="s">
        <v>320</v>
      </c>
      <c r="B425">
        <v>2010</v>
      </c>
      <c r="C425" t="s">
        <v>508</v>
      </c>
      <c r="D425">
        <v>0.40600000000000003</v>
      </c>
    </row>
    <row r="426" spans="1:4">
      <c r="A426" t="s">
        <v>320</v>
      </c>
      <c r="B426">
        <v>2011</v>
      </c>
      <c r="C426" t="s">
        <v>508</v>
      </c>
      <c r="D426">
        <v>0.41699999999999998</v>
      </c>
    </row>
    <row r="427" spans="1:4">
      <c r="A427" t="s">
        <v>320</v>
      </c>
      <c r="B427">
        <v>2012</v>
      </c>
      <c r="C427" t="s">
        <v>508</v>
      </c>
      <c r="D427">
        <v>0.42599999999999999</v>
      </c>
    </row>
    <row r="428" spans="1:4">
      <c r="A428" t="s">
        <v>320</v>
      </c>
      <c r="B428">
        <v>2013</v>
      </c>
      <c r="C428" t="s">
        <v>508</v>
      </c>
      <c r="D428">
        <v>0.43433100000000002</v>
      </c>
    </row>
    <row r="429" spans="1:4">
      <c r="A429" t="s">
        <v>320</v>
      </c>
      <c r="B429">
        <v>2014</v>
      </c>
      <c r="C429" t="s">
        <v>508</v>
      </c>
      <c r="D429">
        <v>0.44450000000000001</v>
      </c>
    </row>
    <row r="430" spans="1:4">
      <c r="A430" t="s">
        <v>320</v>
      </c>
      <c r="B430">
        <v>2015</v>
      </c>
      <c r="C430" t="s">
        <v>508</v>
      </c>
      <c r="D430">
        <v>0.45370199999999999</v>
      </c>
    </row>
    <row r="431" spans="1:4">
      <c r="A431" t="s">
        <v>320</v>
      </c>
      <c r="B431">
        <v>2005</v>
      </c>
      <c r="C431" t="s">
        <v>423</v>
      </c>
      <c r="D431">
        <v>0.352157</v>
      </c>
    </row>
    <row r="432" spans="1:4">
      <c r="A432" t="s">
        <v>320</v>
      </c>
      <c r="B432">
        <v>2006</v>
      </c>
      <c r="C432" t="s">
        <v>423</v>
      </c>
      <c r="D432">
        <v>0.38094800000000001</v>
      </c>
    </row>
    <row r="433" spans="1:4">
      <c r="A433" t="s">
        <v>320</v>
      </c>
      <c r="B433">
        <v>2007</v>
      </c>
      <c r="C433" t="s">
        <v>423</v>
      </c>
      <c r="D433">
        <v>0.38673800000000003</v>
      </c>
    </row>
    <row r="434" spans="1:4">
      <c r="A434" t="s">
        <v>320</v>
      </c>
      <c r="B434">
        <v>2008</v>
      </c>
      <c r="C434" t="s">
        <v>423</v>
      </c>
      <c r="D434">
        <v>0.39194800000000002</v>
      </c>
    </row>
    <row r="435" spans="1:4">
      <c r="A435" t="s">
        <v>320</v>
      </c>
      <c r="B435">
        <v>2009</v>
      </c>
      <c r="C435" t="s">
        <v>423</v>
      </c>
      <c r="D435">
        <v>0.37545800000000001</v>
      </c>
    </row>
    <row r="436" spans="1:4">
      <c r="A436" t="s">
        <v>320</v>
      </c>
      <c r="B436">
        <v>2010</v>
      </c>
      <c r="C436" t="s">
        <v>423</v>
      </c>
      <c r="D436">
        <v>0.30935200000000002</v>
      </c>
    </row>
    <row r="437" spans="1:4">
      <c r="A437" t="s">
        <v>320</v>
      </c>
      <c r="B437">
        <v>2011</v>
      </c>
      <c r="C437" t="s">
        <v>423</v>
      </c>
      <c r="D437">
        <v>0.316301</v>
      </c>
    </row>
    <row r="438" spans="1:4">
      <c r="A438" t="s">
        <v>320</v>
      </c>
      <c r="B438">
        <v>2012</v>
      </c>
      <c r="C438" t="s">
        <v>423</v>
      </c>
      <c r="D438">
        <v>0.32570300000000002</v>
      </c>
    </row>
    <row r="439" spans="1:4">
      <c r="A439" t="s">
        <v>320</v>
      </c>
      <c r="B439">
        <v>2013</v>
      </c>
      <c r="C439" t="s">
        <v>423</v>
      </c>
      <c r="D439">
        <v>0.33723199999999998</v>
      </c>
    </row>
    <row r="440" spans="1:4">
      <c r="A440" t="s">
        <v>320</v>
      </c>
      <c r="B440">
        <v>2014</v>
      </c>
      <c r="C440" t="s">
        <v>423</v>
      </c>
      <c r="D440">
        <v>0.29586600000000002</v>
      </c>
    </row>
    <row r="441" spans="1:4">
      <c r="A441" t="s">
        <v>320</v>
      </c>
      <c r="B441">
        <v>2015</v>
      </c>
      <c r="C441" t="s">
        <v>423</v>
      </c>
      <c r="D441">
        <v>0.307147</v>
      </c>
    </row>
    <row r="442" spans="1:4">
      <c r="A442" t="s">
        <v>320</v>
      </c>
      <c r="B442">
        <v>2005</v>
      </c>
      <c r="C442" t="s">
        <v>439</v>
      </c>
      <c r="D442">
        <v>1.77607</v>
      </c>
    </row>
    <row r="443" spans="1:4">
      <c r="A443" t="s">
        <v>320</v>
      </c>
      <c r="B443">
        <v>2006</v>
      </c>
      <c r="C443" t="s">
        <v>439</v>
      </c>
      <c r="D443">
        <v>1.7879400000000001</v>
      </c>
    </row>
    <row r="444" spans="1:4">
      <c r="A444" t="s">
        <v>320</v>
      </c>
      <c r="B444">
        <v>2007</v>
      </c>
      <c r="C444" t="s">
        <v>439</v>
      </c>
      <c r="D444">
        <v>1.828794</v>
      </c>
    </row>
    <row r="445" spans="1:4">
      <c r="A445" t="s">
        <v>320</v>
      </c>
      <c r="B445">
        <v>2008</v>
      </c>
      <c r="C445" t="s">
        <v>439</v>
      </c>
      <c r="D445">
        <v>1.868128</v>
      </c>
    </row>
    <row r="446" spans="1:4">
      <c r="A446" t="s">
        <v>320</v>
      </c>
      <c r="B446">
        <v>2009</v>
      </c>
      <c r="C446" t="s">
        <v>439</v>
      </c>
      <c r="D446">
        <v>1.8749340000000001</v>
      </c>
    </row>
    <row r="447" spans="1:4">
      <c r="A447" t="s">
        <v>320</v>
      </c>
      <c r="B447">
        <v>2010</v>
      </c>
      <c r="C447" t="s">
        <v>439</v>
      </c>
      <c r="D447">
        <v>1.8793139999999999</v>
      </c>
    </row>
    <row r="448" spans="1:4">
      <c r="A448" t="s">
        <v>320</v>
      </c>
      <c r="B448">
        <v>2011</v>
      </c>
      <c r="C448" t="s">
        <v>439</v>
      </c>
      <c r="D448">
        <v>1.8836839999999999</v>
      </c>
    </row>
    <row r="449" spans="1:4">
      <c r="A449" t="s">
        <v>320</v>
      </c>
      <c r="B449">
        <v>2012</v>
      </c>
      <c r="C449" t="s">
        <v>439</v>
      </c>
      <c r="D449">
        <v>1.8739870000000001</v>
      </c>
    </row>
    <row r="450" spans="1:4">
      <c r="A450" t="s">
        <v>320</v>
      </c>
      <c r="B450">
        <v>2013</v>
      </c>
      <c r="C450" t="s">
        <v>439</v>
      </c>
      <c r="D450">
        <v>1.8945080000000001</v>
      </c>
    </row>
    <row r="451" spans="1:4">
      <c r="A451" t="s">
        <v>320</v>
      </c>
      <c r="B451">
        <v>2014</v>
      </c>
      <c r="C451" t="s">
        <v>439</v>
      </c>
      <c r="D451">
        <v>1.90259</v>
      </c>
    </row>
    <row r="452" spans="1:4">
      <c r="A452" t="s">
        <v>320</v>
      </c>
      <c r="B452">
        <v>2015</v>
      </c>
      <c r="C452" t="s">
        <v>439</v>
      </c>
      <c r="D452">
        <v>1.939395</v>
      </c>
    </row>
    <row r="453" spans="1:4">
      <c r="A453" t="s">
        <v>320</v>
      </c>
      <c r="B453">
        <v>2005</v>
      </c>
      <c r="C453" t="s">
        <v>509</v>
      </c>
      <c r="D453">
        <v>4.1126820000000004</v>
      </c>
    </row>
    <row r="454" spans="1:4">
      <c r="A454" t="s">
        <v>320</v>
      </c>
      <c r="B454">
        <v>2006</v>
      </c>
      <c r="C454" t="s">
        <v>509</v>
      </c>
      <c r="D454">
        <v>4.192272</v>
      </c>
    </row>
    <row r="455" spans="1:4">
      <c r="A455" t="s">
        <v>320</v>
      </c>
      <c r="B455">
        <v>2007</v>
      </c>
      <c r="C455" t="s">
        <v>509</v>
      </c>
      <c r="D455">
        <v>4.3458259999999997</v>
      </c>
    </row>
    <row r="456" spans="1:4">
      <c r="A456" t="s">
        <v>320</v>
      </c>
      <c r="B456">
        <v>2008</v>
      </c>
      <c r="C456" t="s">
        <v>509</v>
      </c>
      <c r="D456">
        <v>4.592854</v>
      </c>
    </row>
    <row r="457" spans="1:4">
      <c r="A457" t="s">
        <v>320</v>
      </c>
      <c r="B457">
        <v>2009</v>
      </c>
      <c r="C457" t="s">
        <v>509</v>
      </c>
      <c r="D457">
        <v>4.8525640000000001</v>
      </c>
    </row>
    <row r="458" spans="1:4">
      <c r="A458" t="s">
        <v>320</v>
      </c>
      <c r="B458">
        <v>2010</v>
      </c>
      <c r="C458" t="s">
        <v>509</v>
      </c>
      <c r="D458">
        <v>5.222702</v>
      </c>
    </row>
    <row r="459" spans="1:4">
      <c r="A459" t="s">
        <v>320</v>
      </c>
      <c r="B459">
        <v>2011</v>
      </c>
      <c r="C459" t="s">
        <v>509</v>
      </c>
      <c r="D459">
        <v>5.7636240000000001</v>
      </c>
    </row>
    <row r="460" spans="1:4">
      <c r="A460" t="s">
        <v>320</v>
      </c>
      <c r="B460">
        <v>2012</v>
      </c>
      <c r="C460" t="s">
        <v>509</v>
      </c>
      <c r="D460">
        <v>6.2080700000000002</v>
      </c>
    </row>
    <row r="461" spans="1:4">
      <c r="A461" t="s">
        <v>320</v>
      </c>
      <c r="B461">
        <v>2013</v>
      </c>
      <c r="C461" t="s">
        <v>509</v>
      </c>
      <c r="D461">
        <v>6.6792470000000002</v>
      </c>
    </row>
    <row r="462" spans="1:4">
      <c r="A462" t="s">
        <v>320</v>
      </c>
      <c r="B462">
        <v>2014</v>
      </c>
      <c r="C462" t="s">
        <v>509</v>
      </c>
      <c r="D462">
        <v>7.1111019999999998</v>
      </c>
    </row>
    <row r="463" spans="1:4">
      <c r="A463" t="s">
        <v>320</v>
      </c>
      <c r="B463">
        <v>2015</v>
      </c>
      <c r="C463" t="s">
        <v>509</v>
      </c>
      <c r="D463">
        <v>7.2719009999999997</v>
      </c>
    </row>
    <row r="464" spans="1:4">
      <c r="A464" t="s">
        <v>320</v>
      </c>
      <c r="B464">
        <v>2005</v>
      </c>
      <c r="C464" t="s">
        <v>510</v>
      </c>
      <c r="D464">
        <v>10.272</v>
      </c>
    </row>
    <row r="465" spans="1:4">
      <c r="A465" t="s">
        <v>320</v>
      </c>
      <c r="B465">
        <v>2006</v>
      </c>
      <c r="C465" t="s">
        <v>510</v>
      </c>
      <c r="D465">
        <v>10.778</v>
      </c>
    </row>
    <row r="466" spans="1:4">
      <c r="A466" t="s">
        <v>320</v>
      </c>
      <c r="B466">
        <v>2007</v>
      </c>
      <c r="C466" t="s">
        <v>510</v>
      </c>
      <c r="D466">
        <v>11.624000000000001</v>
      </c>
    </row>
    <row r="467" spans="1:4">
      <c r="A467" t="s">
        <v>320</v>
      </c>
      <c r="B467">
        <v>2008</v>
      </c>
      <c r="C467" t="s">
        <v>510</v>
      </c>
      <c r="D467">
        <v>12.606999999999999</v>
      </c>
    </row>
    <row r="468" spans="1:4">
      <c r="A468" t="s">
        <v>320</v>
      </c>
      <c r="B468">
        <v>2009</v>
      </c>
      <c r="C468" t="s">
        <v>510</v>
      </c>
      <c r="D468">
        <v>14.355</v>
      </c>
    </row>
    <row r="469" spans="1:4">
      <c r="A469" t="s">
        <v>320</v>
      </c>
      <c r="B469">
        <v>2010</v>
      </c>
      <c r="C469" t="s">
        <v>510</v>
      </c>
      <c r="D469">
        <v>16.384</v>
      </c>
    </row>
    <row r="470" spans="1:4">
      <c r="A470" t="s">
        <v>320</v>
      </c>
      <c r="B470">
        <v>2011</v>
      </c>
      <c r="C470" t="s">
        <v>510</v>
      </c>
      <c r="D470">
        <v>18.713000000000001</v>
      </c>
    </row>
    <row r="471" spans="1:4">
      <c r="A471" t="s">
        <v>320</v>
      </c>
      <c r="B471">
        <v>2012</v>
      </c>
      <c r="C471" t="s">
        <v>510</v>
      </c>
      <c r="D471">
        <v>21.844000000000001</v>
      </c>
    </row>
    <row r="472" spans="1:4">
      <c r="A472" t="s">
        <v>320</v>
      </c>
      <c r="B472">
        <v>2013</v>
      </c>
      <c r="C472" t="s">
        <v>510</v>
      </c>
      <c r="D472">
        <v>25.340199999999999</v>
      </c>
    </row>
    <row r="473" spans="1:4">
      <c r="A473" t="s">
        <v>320</v>
      </c>
      <c r="B473">
        <v>2014</v>
      </c>
      <c r="C473" t="s">
        <v>510</v>
      </c>
      <c r="D473">
        <v>28.499162999999999</v>
      </c>
    </row>
    <row r="474" spans="1:4">
      <c r="A474" t="s">
        <v>320</v>
      </c>
      <c r="B474">
        <v>2015</v>
      </c>
      <c r="C474" t="s">
        <v>510</v>
      </c>
      <c r="D474">
        <v>27.039667999999999</v>
      </c>
    </row>
    <row r="475" spans="1:4">
      <c r="A475" t="s">
        <v>320</v>
      </c>
      <c r="B475">
        <v>2005</v>
      </c>
      <c r="C475" t="s">
        <v>441</v>
      </c>
      <c r="D475">
        <v>0.23628199999999999</v>
      </c>
    </row>
    <row r="476" spans="1:4">
      <c r="A476" t="s">
        <v>320</v>
      </c>
      <c r="B476">
        <v>2006</v>
      </c>
      <c r="C476" t="s">
        <v>441</v>
      </c>
      <c r="D476">
        <v>0.24627499999999999</v>
      </c>
    </row>
    <row r="477" spans="1:4">
      <c r="A477" t="s">
        <v>320</v>
      </c>
      <c r="B477">
        <v>2007</v>
      </c>
      <c r="C477" t="s">
        <v>441</v>
      </c>
      <c r="D477">
        <v>0.25379099999999999</v>
      </c>
    </row>
    <row r="478" spans="1:4">
      <c r="A478" t="s">
        <v>320</v>
      </c>
      <c r="B478">
        <v>2008</v>
      </c>
      <c r="C478" t="s">
        <v>441</v>
      </c>
      <c r="D478">
        <v>0.27738299999999999</v>
      </c>
    </row>
    <row r="479" spans="1:4">
      <c r="A479" t="s">
        <v>320</v>
      </c>
      <c r="B479">
        <v>2009</v>
      </c>
      <c r="C479" t="s">
        <v>441</v>
      </c>
      <c r="D479">
        <v>0.27263100000000001</v>
      </c>
    </row>
    <row r="480" spans="1:4">
      <c r="A480" t="s">
        <v>320</v>
      </c>
      <c r="B480">
        <v>2010</v>
      </c>
      <c r="C480" t="s">
        <v>441</v>
      </c>
      <c r="D480">
        <v>0.26258100000000001</v>
      </c>
    </row>
    <row r="481" spans="1:4">
      <c r="A481" t="s">
        <v>320</v>
      </c>
      <c r="B481">
        <v>2011</v>
      </c>
      <c r="C481" t="s">
        <v>441</v>
      </c>
      <c r="D481">
        <v>0.25947599999999998</v>
      </c>
    </row>
    <row r="482" spans="1:4">
      <c r="A482" t="s">
        <v>320</v>
      </c>
      <c r="B482">
        <v>2012</v>
      </c>
      <c r="C482" t="s">
        <v>441</v>
      </c>
      <c r="D482">
        <v>0.245563</v>
      </c>
    </row>
    <row r="483" spans="1:4">
      <c r="A483" t="s">
        <v>320</v>
      </c>
      <c r="B483">
        <v>2013</v>
      </c>
      <c r="C483" t="s">
        <v>441</v>
      </c>
      <c r="D483">
        <v>0.24709400000000001</v>
      </c>
    </row>
    <row r="484" spans="1:4">
      <c r="A484" t="s">
        <v>320</v>
      </c>
      <c r="B484">
        <v>2014</v>
      </c>
      <c r="C484" t="s">
        <v>441</v>
      </c>
      <c r="D484">
        <v>0.25270399999999998</v>
      </c>
    </row>
    <row r="485" spans="1:4">
      <c r="A485" t="s">
        <v>320</v>
      </c>
      <c r="B485">
        <v>2015</v>
      </c>
      <c r="C485" t="s">
        <v>441</v>
      </c>
      <c r="D485">
        <v>0.26298700000000003</v>
      </c>
    </row>
    <row r="486" spans="1:4">
      <c r="A486" t="s">
        <v>320</v>
      </c>
      <c r="B486">
        <v>2005</v>
      </c>
      <c r="C486" t="s">
        <v>442</v>
      </c>
      <c r="D486">
        <v>0.73599999999999999</v>
      </c>
    </row>
    <row r="487" spans="1:4">
      <c r="A487" t="s">
        <v>320</v>
      </c>
      <c r="B487">
        <v>2006</v>
      </c>
      <c r="C487" t="s">
        <v>442</v>
      </c>
      <c r="D487">
        <v>0.79900000000000004</v>
      </c>
    </row>
    <row r="488" spans="1:4">
      <c r="A488" t="s">
        <v>320</v>
      </c>
      <c r="B488">
        <v>2007</v>
      </c>
      <c r="C488" t="s">
        <v>442</v>
      </c>
      <c r="D488">
        <v>0.89600000000000002</v>
      </c>
    </row>
    <row r="489" spans="1:4">
      <c r="A489" t="s">
        <v>320</v>
      </c>
      <c r="B489">
        <v>2008</v>
      </c>
      <c r="C489" t="s">
        <v>442</v>
      </c>
      <c r="D489">
        <v>0.99</v>
      </c>
    </row>
    <row r="490" spans="1:4">
      <c r="A490" t="s">
        <v>320</v>
      </c>
      <c r="B490">
        <v>2009</v>
      </c>
      <c r="C490" t="s">
        <v>442</v>
      </c>
      <c r="D490">
        <v>1.004</v>
      </c>
    </row>
    <row r="491" spans="1:4">
      <c r="A491" t="s">
        <v>320</v>
      </c>
      <c r="B491">
        <v>2010</v>
      </c>
      <c r="C491" t="s">
        <v>442</v>
      </c>
      <c r="D491">
        <v>1.0029999999999999</v>
      </c>
    </row>
    <row r="492" spans="1:4">
      <c r="A492" t="s">
        <v>320</v>
      </c>
      <c r="B492">
        <v>2011</v>
      </c>
      <c r="C492" t="s">
        <v>442</v>
      </c>
      <c r="D492">
        <v>1.0109999999999999</v>
      </c>
    </row>
    <row r="493" spans="1:4">
      <c r="A493" t="s">
        <v>320</v>
      </c>
      <c r="B493">
        <v>2012</v>
      </c>
      <c r="C493" t="s">
        <v>442</v>
      </c>
      <c r="D493">
        <v>1.0058499999999999</v>
      </c>
    </row>
    <row r="494" spans="1:4">
      <c r="A494" t="s">
        <v>320</v>
      </c>
      <c r="B494">
        <v>2013</v>
      </c>
      <c r="C494" t="s">
        <v>442</v>
      </c>
      <c r="D494">
        <v>1.0164960000000001</v>
      </c>
    </row>
    <row r="495" spans="1:4">
      <c r="A495" t="s">
        <v>320</v>
      </c>
      <c r="B495">
        <v>2014</v>
      </c>
      <c r="C495" t="s">
        <v>442</v>
      </c>
      <c r="D495">
        <v>1.0388440000000001</v>
      </c>
    </row>
    <row r="496" spans="1:4">
      <c r="A496" t="s">
        <v>320</v>
      </c>
      <c r="B496">
        <v>2015</v>
      </c>
      <c r="C496" t="s">
        <v>442</v>
      </c>
      <c r="D496">
        <v>1.0720130000000001</v>
      </c>
    </row>
    <row r="497" spans="1:4">
      <c r="A497" t="s">
        <v>320</v>
      </c>
      <c r="B497">
        <v>2005</v>
      </c>
      <c r="C497" t="s">
        <v>511</v>
      </c>
      <c r="D497">
        <v>6.1980000000000004</v>
      </c>
    </row>
    <row r="498" spans="1:4">
      <c r="A498" t="s">
        <v>320</v>
      </c>
      <c r="B498">
        <v>2006</v>
      </c>
      <c r="C498" t="s">
        <v>511</v>
      </c>
      <c r="D498">
        <v>6.2610000000000001</v>
      </c>
    </row>
    <row r="499" spans="1:4">
      <c r="A499" t="s">
        <v>320</v>
      </c>
      <c r="B499">
        <v>2007</v>
      </c>
      <c r="C499" t="s">
        <v>511</v>
      </c>
      <c r="D499">
        <v>6.3330000000000002</v>
      </c>
    </row>
    <row r="500" spans="1:4">
      <c r="A500" t="s">
        <v>320</v>
      </c>
      <c r="B500">
        <v>2008</v>
      </c>
      <c r="C500" t="s">
        <v>511</v>
      </c>
      <c r="D500">
        <v>6.3620000000000001</v>
      </c>
    </row>
    <row r="501" spans="1:4">
      <c r="A501" t="s">
        <v>320</v>
      </c>
      <c r="B501">
        <v>2009</v>
      </c>
      <c r="C501" t="s">
        <v>511</v>
      </c>
      <c r="D501">
        <v>6.3879999999999999</v>
      </c>
    </row>
    <row r="502" spans="1:4">
      <c r="A502" t="s">
        <v>320</v>
      </c>
      <c r="B502">
        <v>2010</v>
      </c>
      <c r="C502" t="s">
        <v>511</v>
      </c>
      <c r="D502">
        <v>6.444</v>
      </c>
    </row>
    <row r="503" spans="1:4">
      <c r="A503" t="s">
        <v>320</v>
      </c>
      <c r="B503">
        <v>2011</v>
      </c>
      <c r="C503" t="s">
        <v>511</v>
      </c>
      <c r="D503">
        <v>6.5170000000000003</v>
      </c>
    </row>
    <row r="504" spans="1:4">
      <c r="A504" t="s">
        <v>320</v>
      </c>
      <c r="B504">
        <v>2012</v>
      </c>
      <c r="C504" t="s">
        <v>511</v>
      </c>
      <c r="D504">
        <v>6.5380000000000003</v>
      </c>
    </row>
    <row r="505" spans="1:4">
      <c r="A505" t="s">
        <v>320</v>
      </c>
      <c r="B505">
        <v>2013</v>
      </c>
      <c r="C505" t="s">
        <v>511</v>
      </c>
      <c r="D505">
        <v>6.55</v>
      </c>
    </row>
    <row r="506" spans="1:4">
      <c r="A506" t="s">
        <v>320</v>
      </c>
      <c r="B506">
        <v>2014</v>
      </c>
      <c r="C506" t="s">
        <v>511</v>
      </c>
      <c r="D506">
        <v>6.6079999999999997</v>
      </c>
    </row>
    <row r="507" spans="1:4">
      <c r="A507" t="s">
        <v>320</v>
      </c>
      <c r="B507">
        <v>2015</v>
      </c>
      <c r="C507" t="s">
        <v>511</v>
      </c>
      <c r="D507">
        <v>6.6520000000000001</v>
      </c>
    </row>
    <row r="508" spans="1:4">
      <c r="A508" t="s">
        <v>320</v>
      </c>
      <c r="B508">
        <v>2005</v>
      </c>
      <c r="C508" t="s">
        <v>512</v>
      </c>
      <c r="D508">
        <v>3.133</v>
      </c>
    </row>
    <row r="509" spans="1:4">
      <c r="A509" t="s">
        <v>320</v>
      </c>
      <c r="B509">
        <v>2006</v>
      </c>
      <c r="C509" t="s">
        <v>512</v>
      </c>
      <c r="D509">
        <v>3.1720000000000002</v>
      </c>
    </row>
    <row r="510" spans="1:4">
      <c r="A510" t="s">
        <v>320</v>
      </c>
      <c r="B510">
        <v>2007</v>
      </c>
      <c r="C510" t="s">
        <v>512</v>
      </c>
      <c r="D510">
        <v>2.8370000000000002</v>
      </c>
    </row>
    <row r="511" spans="1:4">
      <c r="A511" t="s">
        <v>320</v>
      </c>
      <c r="B511">
        <v>2008</v>
      </c>
      <c r="C511" t="s">
        <v>512</v>
      </c>
      <c r="D511">
        <v>2.859</v>
      </c>
    </row>
    <row r="512" spans="1:4">
      <c r="A512" t="s">
        <v>320</v>
      </c>
      <c r="B512">
        <v>2009</v>
      </c>
      <c r="C512" t="s">
        <v>512</v>
      </c>
      <c r="D512">
        <v>2.8929999999999998</v>
      </c>
    </row>
    <row r="513" spans="1:4">
      <c r="A513" t="s">
        <v>320</v>
      </c>
      <c r="B513">
        <v>2010</v>
      </c>
      <c r="C513" t="s">
        <v>512</v>
      </c>
      <c r="D513">
        <v>2.96</v>
      </c>
    </row>
    <row r="514" spans="1:4">
      <c r="A514" t="s">
        <v>320</v>
      </c>
      <c r="B514">
        <v>2011</v>
      </c>
      <c r="C514" t="s">
        <v>512</v>
      </c>
      <c r="D514">
        <v>3.056</v>
      </c>
    </row>
    <row r="515" spans="1:4">
      <c r="A515" t="s">
        <v>320</v>
      </c>
      <c r="B515">
        <v>2012</v>
      </c>
      <c r="C515" t="s">
        <v>512</v>
      </c>
      <c r="D515">
        <v>3.1070000000000002</v>
      </c>
    </row>
    <row r="516" spans="1:4">
      <c r="A516" t="s">
        <v>320</v>
      </c>
      <c r="B516">
        <v>2013</v>
      </c>
      <c r="C516" t="s">
        <v>512</v>
      </c>
      <c r="D516">
        <v>3.1634690000000001</v>
      </c>
    </row>
    <row r="517" spans="1:4">
      <c r="A517" t="s">
        <v>320</v>
      </c>
      <c r="B517">
        <v>2014</v>
      </c>
      <c r="C517" t="s">
        <v>512</v>
      </c>
      <c r="D517">
        <v>3.2444570000000001</v>
      </c>
    </row>
    <row r="518" spans="1:4">
      <c r="A518" t="s">
        <v>320</v>
      </c>
      <c r="B518">
        <v>2015</v>
      </c>
      <c r="C518" t="s">
        <v>512</v>
      </c>
      <c r="D518">
        <v>3.3558849999999998</v>
      </c>
    </row>
    <row r="519" spans="1:4">
      <c r="A519" t="s">
        <v>320</v>
      </c>
      <c r="B519">
        <v>2005</v>
      </c>
      <c r="C519" t="s">
        <v>445</v>
      </c>
      <c r="D519">
        <v>1.3353120000000001</v>
      </c>
    </row>
    <row r="520" spans="1:4">
      <c r="A520" t="s">
        <v>320</v>
      </c>
      <c r="B520">
        <v>2006</v>
      </c>
      <c r="C520" t="s">
        <v>445</v>
      </c>
      <c r="D520">
        <v>1.3658269999999999</v>
      </c>
    </row>
    <row r="521" spans="1:4">
      <c r="A521" t="s">
        <v>320</v>
      </c>
      <c r="B521">
        <v>2007</v>
      </c>
      <c r="C521" t="s">
        <v>445</v>
      </c>
      <c r="D521">
        <v>1.404047</v>
      </c>
    </row>
    <row r="522" spans="1:4">
      <c r="A522" t="s">
        <v>320</v>
      </c>
      <c r="B522">
        <v>2008</v>
      </c>
      <c r="C522" t="s">
        <v>445</v>
      </c>
      <c r="D522">
        <v>1.441711</v>
      </c>
    </row>
    <row r="523" spans="1:4">
      <c r="A523" t="s">
        <v>320</v>
      </c>
      <c r="B523">
        <v>2009</v>
      </c>
      <c r="C523" t="s">
        <v>445</v>
      </c>
      <c r="D523">
        <v>1.457754</v>
      </c>
    </row>
    <row r="524" spans="1:4">
      <c r="A524" t="s">
        <v>320</v>
      </c>
      <c r="B524">
        <v>2010</v>
      </c>
      <c r="C524" t="s">
        <v>445</v>
      </c>
      <c r="D524">
        <v>1.470172</v>
      </c>
    </row>
    <row r="525" spans="1:4">
      <c r="A525" t="s">
        <v>320</v>
      </c>
      <c r="B525">
        <v>2011</v>
      </c>
      <c r="C525" t="s">
        <v>445</v>
      </c>
      <c r="D525">
        <v>1.469881</v>
      </c>
    </row>
    <row r="526" spans="1:4">
      <c r="A526" t="s">
        <v>320</v>
      </c>
      <c r="B526">
        <v>2012</v>
      </c>
      <c r="C526" t="s">
        <v>445</v>
      </c>
      <c r="D526">
        <v>1.4631799999999999</v>
      </c>
    </row>
    <row r="527" spans="1:4">
      <c r="A527" t="s">
        <v>320</v>
      </c>
      <c r="B527">
        <v>2013</v>
      </c>
      <c r="C527" t="s">
        <v>445</v>
      </c>
      <c r="D527">
        <v>1.4551829999999999</v>
      </c>
    </row>
    <row r="528" spans="1:4">
      <c r="A528" t="s">
        <v>320</v>
      </c>
      <c r="B528">
        <v>2014</v>
      </c>
      <c r="C528" t="s">
        <v>445</v>
      </c>
      <c r="D528">
        <v>1.4316629999999999</v>
      </c>
    </row>
    <row r="529" spans="1:4">
      <c r="A529" t="s">
        <v>320</v>
      </c>
      <c r="B529">
        <v>2015</v>
      </c>
      <c r="C529" t="s">
        <v>445</v>
      </c>
      <c r="D529">
        <v>1.206896</v>
      </c>
    </row>
    <row r="530" spans="1:4">
      <c r="A530" t="s">
        <v>320</v>
      </c>
      <c r="B530">
        <v>2005</v>
      </c>
      <c r="C530" t="s">
        <v>446</v>
      </c>
      <c r="D530">
        <v>1.3340000000000001</v>
      </c>
    </row>
    <row r="531" spans="1:4">
      <c r="A531" t="s">
        <v>320</v>
      </c>
      <c r="B531">
        <v>2006</v>
      </c>
      <c r="C531" t="s">
        <v>446</v>
      </c>
      <c r="D531">
        <v>1.262</v>
      </c>
    </row>
    <row r="532" spans="1:4">
      <c r="A532" t="s">
        <v>320</v>
      </c>
      <c r="B532">
        <v>2007</v>
      </c>
      <c r="C532" t="s">
        <v>446</v>
      </c>
      <c r="D532">
        <v>1.37</v>
      </c>
    </row>
    <row r="533" spans="1:4">
      <c r="A533" t="s">
        <v>320</v>
      </c>
      <c r="B533">
        <v>2008</v>
      </c>
      <c r="C533" t="s">
        <v>446</v>
      </c>
      <c r="D533">
        <v>1.4848859999999999</v>
      </c>
    </row>
    <row r="534" spans="1:4">
      <c r="A534" t="s">
        <v>320</v>
      </c>
      <c r="B534">
        <v>2009</v>
      </c>
      <c r="C534" t="s">
        <v>446</v>
      </c>
      <c r="D534">
        <v>1.5132429999999999</v>
      </c>
    </row>
    <row r="535" spans="1:4">
      <c r="A535" t="s">
        <v>320</v>
      </c>
      <c r="B535">
        <v>2010</v>
      </c>
      <c r="C535" t="s">
        <v>446</v>
      </c>
      <c r="D535">
        <v>1.5349619999999999</v>
      </c>
    </row>
    <row r="536" spans="1:4">
      <c r="A536" t="s">
        <v>320</v>
      </c>
      <c r="B536">
        <v>2011</v>
      </c>
      <c r="C536" t="s">
        <v>446</v>
      </c>
      <c r="D536">
        <v>1.5781289999999999</v>
      </c>
    </row>
    <row r="537" spans="1:4">
      <c r="A537" t="s">
        <v>320</v>
      </c>
      <c r="B537">
        <v>2012</v>
      </c>
      <c r="C537" t="s">
        <v>446</v>
      </c>
      <c r="D537">
        <v>1.623437</v>
      </c>
    </row>
    <row r="538" spans="1:4">
      <c r="A538" t="s">
        <v>320</v>
      </c>
      <c r="B538">
        <v>2013</v>
      </c>
      <c r="C538" t="s">
        <v>446</v>
      </c>
      <c r="D538">
        <v>1.639114</v>
      </c>
    </row>
    <row r="539" spans="1:4">
      <c r="A539" t="s">
        <v>320</v>
      </c>
      <c r="B539">
        <v>2014</v>
      </c>
      <c r="C539" t="s">
        <v>446</v>
      </c>
      <c r="D539">
        <v>1.730313</v>
      </c>
    </row>
    <row r="540" spans="1:4">
      <c r="A540" t="s">
        <v>320</v>
      </c>
      <c r="B540">
        <v>2015</v>
      </c>
      <c r="C540" t="s">
        <v>446</v>
      </c>
      <c r="D540">
        <v>1.838336</v>
      </c>
    </row>
    <row r="541" spans="1:4">
      <c r="A541" t="s">
        <v>320</v>
      </c>
      <c r="B541">
        <v>2005</v>
      </c>
      <c r="C541" t="s">
        <v>513</v>
      </c>
      <c r="D541">
        <v>2.7E-2</v>
      </c>
    </row>
    <row r="542" spans="1:4">
      <c r="A542" t="s">
        <v>320</v>
      </c>
      <c r="B542">
        <v>2006</v>
      </c>
      <c r="C542" t="s">
        <v>513</v>
      </c>
      <c r="D542">
        <v>0.03</v>
      </c>
    </row>
    <row r="543" spans="1:4">
      <c r="A543" t="s">
        <v>320</v>
      </c>
      <c r="B543">
        <v>2007</v>
      </c>
      <c r="C543" t="s">
        <v>513</v>
      </c>
      <c r="D543">
        <v>3.3000000000000002E-2</v>
      </c>
    </row>
    <row r="544" spans="1:4">
      <c r="A544" t="s">
        <v>320</v>
      </c>
      <c r="B544">
        <v>2008</v>
      </c>
      <c r="C544" t="s">
        <v>513</v>
      </c>
      <c r="D544">
        <v>3.4000000000000002E-2</v>
      </c>
    </row>
    <row r="545" spans="1:4">
      <c r="A545" t="s">
        <v>320</v>
      </c>
      <c r="B545">
        <v>2009</v>
      </c>
      <c r="C545" t="s">
        <v>513</v>
      </c>
      <c r="D545">
        <v>3.5999999999999997E-2</v>
      </c>
    </row>
    <row r="546" spans="1:4">
      <c r="A546" t="s">
        <v>320</v>
      </c>
      <c r="B546">
        <v>2010</v>
      </c>
      <c r="C546" t="s">
        <v>513</v>
      </c>
      <c r="D546">
        <v>3.7999999999999999E-2</v>
      </c>
    </row>
    <row r="547" spans="1:4">
      <c r="A547" t="s">
        <v>320</v>
      </c>
      <c r="B547">
        <v>2011</v>
      </c>
      <c r="C547" t="s">
        <v>513</v>
      </c>
      <c r="D547">
        <v>3.2181000000000001E-2</v>
      </c>
    </row>
    <row r="548" spans="1:4">
      <c r="A548" t="s">
        <v>320</v>
      </c>
      <c r="B548">
        <v>2012</v>
      </c>
      <c r="C548" t="s">
        <v>513</v>
      </c>
      <c r="D548">
        <v>3.2421999999999999E-2</v>
      </c>
    </row>
    <row r="549" spans="1:4">
      <c r="A549" t="s">
        <v>320</v>
      </c>
      <c r="B549">
        <v>2013</v>
      </c>
      <c r="C549" t="s">
        <v>513</v>
      </c>
      <c r="D549">
        <v>3.2835999999999997E-2</v>
      </c>
    </row>
    <row r="550" spans="1:4">
      <c r="A550" t="s">
        <v>320</v>
      </c>
      <c r="B550">
        <v>2014</v>
      </c>
      <c r="C550" t="s">
        <v>513</v>
      </c>
      <c r="D550">
        <v>3.3663999999999999E-2</v>
      </c>
    </row>
    <row r="551" spans="1:4">
      <c r="A551" t="s">
        <v>320</v>
      </c>
      <c r="B551">
        <v>2015</v>
      </c>
      <c r="C551" t="s">
        <v>513</v>
      </c>
      <c r="D551">
        <v>3.5425999999999999E-2</v>
      </c>
    </row>
    <row r="552" spans="1:4">
      <c r="A552" t="s">
        <v>320</v>
      </c>
      <c r="B552">
        <v>2005</v>
      </c>
      <c r="C552" t="s">
        <v>514</v>
      </c>
      <c r="D552">
        <v>2.706</v>
      </c>
    </row>
    <row r="553" spans="1:4">
      <c r="A553" t="s">
        <v>320</v>
      </c>
      <c r="B553">
        <v>2006</v>
      </c>
      <c r="C553" t="s">
        <v>514</v>
      </c>
      <c r="D553">
        <v>2.948</v>
      </c>
    </row>
    <row r="554" spans="1:4">
      <c r="A554" t="s">
        <v>320</v>
      </c>
      <c r="B554">
        <v>2007</v>
      </c>
      <c r="C554" t="s">
        <v>514</v>
      </c>
      <c r="D554">
        <v>3.6419999999999999</v>
      </c>
    </row>
    <row r="555" spans="1:4">
      <c r="A555" t="s">
        <v>320</v>
      </c>
      <c r="B555">
        <v>2008</v>
      </c>
      <c r="C555" t="s">
        <v>514</v>
      </c>
      <c r="D555">
        <v>3.9540000000000002</v>
      </c>
    </row>
    <row r="556" spans="1:4">
      <c r="A556" t="s">
        <v>320</v>
      </c>
      <c r="B556">
        <v>2009</v>
      </c>
      <c r="C556" t="s">
        <v>514</v>
      </c>
      <c r="D556">
        <v>4.4329999999999998</v>
      </c>
    </row>
    <row r="557" spans="1:4">
      <c r="A557" t="s">
        <v>320</v>
      </c>
      <c r="B557">
        <v>2010</v>
      </c>
      <c r="C557" t="s">
        <v>514</v>
      </c>
      <c r="D557">
        <v>4.6820000000000004</v>
      </c>
    </row>
    <row r="558" spans="1:4">
      <c r="A558" t="s">
        <v>320</v>
      </c>
      <c r="B558">
        <v>2011</v>
      </c>
      <c r="C558" t="s">
        <v>514</v>
      </c>
      <c r="D558">
        <v>5.0860000000000003</v>
      </c>
    </row>
    <row r="559" spans="1:4">
      <c r="A559" t="s">
        <v>320</v>
      </c>
      <c r="B559">
        <v>2012</v>
      </c>
      <c r="C559" t="s">
        <v>514</v>
      </c>
      <c r="D559">
        <v>5.726</v>
      </c>
    </row>
    <row r="560" spans="1:4">
      <c r="A560" t="s">
        <v>320</v>
      </c>
      <c r="B560">
        <v>2013</v>
      </c>
      <c r="C560" t="s">
        <v>514</v>
      </c>
      <c r="D560">
        <v>5.9080000000000004</v>
      </c>
    </row>
    <row r="561" spans="1:4">
      <c r="A561" t="s">
        <v>320</v>
      </c>
      <c r="B561">
        <v>2014</v>
      </c>
      <c r="C561" t="s">
        <v>514</v>
      </c>
      <c r="D561">
        <v>6.0679999999999996</v>
      </c>
    </row>
    <row r="562" spans="1:4">
      <c r="A562" t="s">
        <v>320</v>
      </c>
      <c r="B562">
        <v>2015</v>
      </c>
      <c r="C562" t="s">
        <v>514</v>
      </c>
      <c r="D562">
        <v>6.3920000000000003</v>
      </c>
    </row>
    <row r="563" spans="1:4">
      <c r="A563" t="s">
        <v>320</v>
      </c>
      <c r="B563">
        <v>2005</v>
      </c>
      <c r="C563" t="s">
        <v>515</v>
      </c>
      <c r="D563">
        <v>0.28654800000000002</v>
      </c>
    </row>
    <row r="564" spans="1:4">
      <c r="A564" t="s">
        <v>320</v>
      </c>
      <c r="B564">
        <v>2006</v>
      </c>
      <c r="C564" t="s">
        <v>515</v>
      </c>
      <c r="D564">
        <v>0.318604</v>
      </c>
    </row>
    <row r="565" spans="1:4">
      <c r="A565" t="s">
        <v>320</v>
      </c>
      <c r="B565">
        <v>2007</v>
      </c>
      <c r="C565" t="s">
        <v>515</v>
      </c>
      <c r="D565">
        <v>0.34587400000000001</v>
      </c>
    </row>
    <row r="566" spans="1:4">
      <c r="A566" t="s">
        <v>320</v>
      </c>
      <c r="B566">
        <v>2008</v>
      </c>
      <c r="C566" t="s">
        <v>515</v>
      </c>
      <c r="D566">
        <v>0.35130699999999998</v>
      </c>
    </row>
    <row r="567" spans="1:4">
      <c r="A567" t="s">
        <v>320</v>
      </c>
      <c r="B567">
        <v>2009</v>
      </c>
      <c r="C567" t="s">
        <v>515</v>
      </c>
      <c r="D567">
        <v>0.34394000000000002</v>
      </c>
    </row>
    <row r="568" spans="1:4">
      <c r="A568" t="s">
        <v>320</v>
      </c>
      <c r="B568">
        <v>2010</v>
      </c>
      <c r="C568" t="s">
        <v>515</v>
      </c>
      <c r="D568">
        <v>0.327096</v>
      </c>
    </row>
    <row r="569" spans="1:4">
      <c r="A569" t="s">
        <v>320</v>
      </c>
      <c r="B569">
        <v>2011</v>
      </c>
      <c r="C569" t="s">
        <v>515</v>
      </c>
      <c r="D569">
        <v>0.32096599999999997</v>
      </c>
    </row>
    <row r="570" spans="1:4">
      <c r="A570" t="s">
        <v>320</v>
      </c>
      <c r="B570">
        <v>2012</v>
      </c>
      <c r="C570" t="s">
        <v>515</v>
      </c>
      <c r="D570">
        <v>0.30921900000000002</v>
      </c>
    </row>
    <row r="571" spans="1:4">
      <c r="A571" t="s">
        <v>320</v>
      </c>
      <c r="B571">
        <v>2013</v>
      </c>
      <c r="C571" t="s">
        <v>515</v>
      </c>
      <c r="D571">
        <v>0.31784899999999999</v>
      </c>
    </row>
    <row r="572" spans="1:4">
      <c r="A572" t="s">
        <v>320</v>
      </c>
      <c r="B572">
        <v>2014</v>
      </c>
      <c r="C572" t="s">
        <v>515</v>
      </c>
      <c r="D572">
        <v>0.31737799999999999</v>
      </c>
    </row>
    <row r="573" spans="1:4">
      <c r="A573" t="s">
        <v>320</v>
      </c>
      <c r="B573">
        <v>2015</v>
      </c>
      <c r="C573" t="s">
        <v>515</v>
      </c>
      <c r="D573">
        <v>0.33054099999999997</v>
      </c>
    </row>
    <row r="574" spans="1:4">
      <c r="A574" t="s">
        <v>320</v>
      </c>
      <c r="B574">
        <v>2005</v>
      </c>
      <c r="C574" t="s">
        <v>449</v>
      </c>
      <c r="D574">
        <v>4.468</v>
      </c>
    </row>
    <row r="575" spans="1:4">
      <c r="A575" t="s">
        <v>320</v>
      </c>
      <c r="B575">
        <v>2006</v>
      </c>
      <c r="C575" t="s">
        <v>449</v>
      </c>
      <c r="D575">
        <v>4.6269999999999998</v>
      </c>
    </row>
    <row r="576" spans="1:4">
      <c r="A576" t="s">
        <v>320</v>
      </c>
      <c r="B576">
        <v>2007</v>
      </c>
      <c r="C576" t="s">
        <v>449</v>
      </c>
      <c r="D576">
        <v>4.7359999999999998</v>
      </c>
    </row>
    <row r="577" spans="1:4">
      <c r="A577" t="s">
        <v>320</v>
      </c>
      <c r="B577">
        <v>2008</v>
      </c>
      <c r="C577" t="s">
        <v>449</v>
      </c>
      <c r="D577">
        <v>4.8380000000000001</v>
      </c>
    </row>
    <row r="578" spans="1:4">
      <c r="A578" t="s">
        <v>320</v>
      </c>
      <c r="B578">
        <v>2009</v>
      </c>
      <c r="C578" t="s">
        <v>449</v>
      </c>
      <c r="D578">
        <v>4.8890000000000002</v>
      </c>
    </row>
    <row r="579" spans="1:4">
      <c r="A579" t="s">
        <v>320</v>
      </c>
      <c r="B579">
        <v>2010</v>
      </c>
      <c r="C579" t="s">
        <v>449</v>
      </c>
      <c r="D579">
        <v>4.9459999999999997</v>
      </c>
    </row>
    <row r="580" spans="1:4">
      <c r="A580" t="s">
        <v>320</v>
      </c>
      <c r="B580">
        <v>2011</v>
      </c>
      <c r="C580" t="s">
        <v>449</v>
      </c>
      <c r="D580">
        <v>5.0010000000000003</v>
      </c>
    </row>
    <row r="581" spans="1:4">
      <c r="A581" t="s">
        <v>320</v>
      </c>
      <c r="B581">
        <v>2012</v>
      </c>
      <c r="C581" t="s">
        <v>449</v>
      </c>
      <c r="D581">
        <v>4.9690000000000003</v>
      </c>
    </row>
    <row r="582" spans="1:4">
      <c r="A582" t="s">
        <v>320</v>
      </c>
      <c r="B582">
        <v>2013</v>
      </c>
      <c r="C582" t="s">
        <v>449</v>
      </c>
      <c r="D582">
        <v>4.9149669999999999</v>
      </c>
    </row>
    <row r="583" spans="1:4">
      <c r="A583" t="s">
        <v>320</v>
      </c>
      <c r="B583">
        <v>2014</v>
      </c>
      <c r="C583" t="s">
        <v>449</v>
      </c>
      <c r="D583">
        <v>4.9139530000000002</v>
      </c>
    </row>
    <row r="584" spans="1:4">
      <c r="A584" t="s">
        <v>320</v>
      </c>
      <c r="B584">
        <v>2015</v>
      </c>
      <c r="C584" t="s">
        <v>449</v>
      </c>
      <c r="D584">
        <v>4.939838</v>
      </c>
    </row>
    <row r="585" spans="1:4">
      <c r="A585" t="s">
        <v>320</v>
      </c>
      <c r="B585">
        <v>2005</v>
      </c>
      <c r="C585" t="s">
        <v>516</v>
      </c>
      <c r="D585">
        <v>18.596</v>
      </c>
    </row>
    <row r="586" spans="1:4">
      <c r="A586" t="s">
        <v>320</v>
      </c>
      <c r="B586">
        <v>2006</v>
      </c>
      <c r="C586" t="s">
        <v>516</v>
      </c>
      <c r="D586">
        <v>18.338000000000001</v>
      </c>
    </row>
    <row r="587" spans="1:4">
      <c r="A587" t="s">
        <v>320</v>
      </c>
      <c r="B587">
        <v>2007</v>
      </c>
      <c r="C587" t="s">
        <v>516</v>
      </c>
      <c r="D587">
        <v>18.091000000000001</v>
      </c>
    </row>
    <row r="588" spans="1:4">
      <c r="A588" t="s">
        <v>320</v>
      </c>
      <c r="B588">
        <v>2008</v>
      </c>
      <c r="C588" t="s">
        <v>516</v>
      </c>
      <c r="D588">
        <v>17.663</v>
      </c>
    </row>
    <row r="589" spans="1:4">
      <c r="A589" t="s">
        <v>320</v>
      </c>
      <c r="B589">
        <v>2009</v>
      </c>
      <c r="C589" t="s">
        <v>516</v>
      </c>
      <c r="D589">
        <v>17.305</v>
      </c>
    </row>
    <row r="590" spans="1:4">
      <c r="A590" t="s">
        <v>320</v>
      </c>
      <c r="B590">
        <v>2010</v>
      </c>
      <c r="C590" t="s">
        <v>516</v>
      </c>
      <c r="D590">
        <v>17.013999999999999</v>
      </c>
    </row>
    <row r="591" spans="1:4">
      <c r="A591" t="s">
        <v>320</v>
      </c>
      <c r="B591">
        <v>2011</v>
      </c>
      <c r="C591" t="s">
        <v>516</v>
      </c>
      <c r="D591">
        <v>16.843</v>
      </c>
    </row>
    <row r="592" spans="1:4">
      <c r="A592" t="s">
        <v>320</v>
      </c>
      <c r="B592">
        <v>2012</v>
      </c>
      <c r="C592" t="s">
        <v>516</v>
      </c>
      <c r="D592">
        <v>16.704999999999998</v>
      </c>
    </row>
    <row r="593" spans="1:4">
      <c r="A593" t="s">
        <v>320</v>
      </c>
      <c r="B593">
        <v>2013</v>
      </c>
      <c r="C593" t="s">
        <v>516</v>
      </c>
      <c r="D593">
        <v>16.583217999999999</v>
      </c>
    </row>
    <row r="594" spans="1:4">
      <c r="A594" t="s">
        <v>320</v>
      </c>
      <c r="B594">
        <v>2014</v>
      </c>
      <c r="C594" t="s">
        <v>516</v>
      </c>
      <c r="D594">
        <v>16.520396000000002</v>
      </c>
    </row>
    <row r="595" spans="1:4">
      <c r="A595" t="s">
        <v>320</v>
      </c>
      <c r="B595">
        <v>2015</v>
      </c>
      <c r="C595" t="s">
        <v>516</v>
      </c>
      <c r="D595">
        <v>16.416447999999999</v>
      </c>
    </row>
    <row r="596" spans="1:4">
      <c r="A596" t="s">
        <v>320</v>
      </c>
      <c r="B596">
        <v>2005</v>
      </c>
      <c r="C596" t="s">
        <v>362</v>
      </c>
      <c r="D596">
        <v>8.2463730000000002</v>
      </c>
    </row>
    <row r="597" spans="1:4">
      <c r="A597" t="s">
        <v>320</v>
      </c>
      <c r="B597">
        <v>2006</v>
      </c>
      <c r="C597" t="s">
        <v>362</v>
      </c>
      <c r="D597">
        <v>8.7851219999999994</v>
      </c>
    </row>
    <row r="598" spans="1:4">
      <c r="A598" t="s">
        <v>320</v>
      </c>
      <c r="B598">
        <v>2007</v>
      </c>
      <c r="C598" t="s">
        <v>362</v>
      </c>
      <c r="D598">
        <v>9.5040610000000001</v>
      </c>
    </row>
    <row r="599" spans="1:4">
      <c r="A599" t="s">
        <v>320</v>
      </c>
      <c r="B599">
        <v>2008</v>
      </c>
      <c r="C599" t="s">
        <v>362</v>
      </c>
      <c r="D599">
        <v>10.341381</v>
      </c>
    </row>
    <row r="600" spans="1:4">
      <c r="A600" t="s">
        <v>320</v>
      </c>
      <c r="B600">
        <v>2009</v>
      </c>
      <c r="C600" t="s">
        <v>362</v>
      </c>
      <c r="D600">
        <v>10.729044</v>
      </c>
    </row>
    <row r="601" spans="1:4">
      <c r="A601" t="s">
        <v>320</v>
      </c>
      <c r="B601">
        <v>2010</v>
      </c>
      <c r="C601" t="s">
        <v>362</v>
      </c>
      <c r="D601">
        <v>11.491415999999999</v>
      </c>
    </row>
    <row r="602" spans="1:4">
      <c r="A602" t="s">
        <v>320</v>
      </c>
      <c r="B602">
        <v>2011</v>
      </c>
      <c r="C602" t="s">
        <v>362</v>
      </c>
      <c r="D602">
        <v>12.212654000000001</v>
      </c>
    </row>
    <row r="603" spans="1:4">
      <c r="A603" t="s">
        <v>320</v>
      </c>
      <c r="B603">
        <v>2012</v>
      </c>
      <c r="C603" t="s">
        <v>362</v>
      </c>
      <c r="D603">
        <v>12.920811</v>
      </c>
    </row>
    <row r="604" spans="1:4">
      <c r="A604" t="s">
        <v>320</v>
      </c>
      <c r="B604">
        <v>2013</v>
      </c>
      <c r="C604" t="s">
        <v>362</v>
      </c>
      <c r="D604">
        <v>13.35392</v>
      </c>
    </row>
    <row r="605" spans="1:4">
      <c r="A605" t="s">
        <v>320</v>
      </c>
      <c r="B605">
        <v>2014</v>
      </c>
      <c r="C605" t="s">
        <v>362</v>
      </c>
      <c r="D605">
        <v>14.08419</v>
      </c>
    </row>
    <row r="606" spans="1:4">
      <c r="A606" t="s">
        <v>320</v>
      </c>
      <c r="B606">
        <v>2015</v>
      </c>
      <c r="C606" t="s">
        <v>362</v>
      </c>
      <c r="D606">
        <v>14.757721</v>
      </c>
    </row>
    <row r="607" spans="1:4">
      <c r="A607" t="s">
        <v>320</v>
      </c>
      <c r="B607">
        <v>2005</v>
      </c>
      <c r="C607" t="s">
        <v>451</v>
      </c>
      <c r="D607">
        <v>5.0019879999999999</v>
      </c>
    </row>
    <row r="608" spans="1:4">
      <c r="A608" t="s">
        <v>320</v>
      </c>
      <c r="B608">
        <v>2006</v>
      </c>
      <c r="C608" t="s">
        <v>451</v>
      </c>
      <c r="D608">
        <v>5.2311310000000004</v>
      </c>
    </row>
    <row r="609" spans="1:4">
      <c r="A609" t="s">
        <v>320</v>
      </c>
      <c r="B609">
        <v>2007</v>
      </c>
      <c r="C609" t="s">
        <v>451</v>
      </c>
      <c r="D609">
        <v>5.5350000000000001</v>
      </c>
    </row>
    <row r="610" spans="1:4">
      <c r="A610" t="s">
        <v>320</v>
      </c>
      <c r="B610">
        <v>2008</v>
      </c>
      <c r="C610" t="s">
        <v>451</v>
      </c>
      <c r="D610">
        <v>5.8105226666666701</v>
      </c>
    </row>
    <row r="611" spans="1:4">
      <c r="A611" t="s">
        <v>320</v>
      </c>
      <c r="B611">
        <v>2009</v>
      </c>
      <c r="C611" t="s">
        <v>451</v>
      </c>
      <c r="D611">
        <v>6.0245273333333298</v>
      </c>
    </row>
    <row r="612" spans="1:4">
      <c r="A612" t="s">
        <v>320</v>
      </c>
      <c r="B612">
        <v>2010</v>
      </c>
      <c r="C612" t="s">
        <v>451</v>
      </c>
      <c r="D612">
        <v>6.3115170000000003</v>
      </c>
    </row>
    <row r="613" spans="1:4">
      <c r="A613" t="s">
        <v>320</v>
      </c>
      <c r="B613">
        <v>2011</v>
      </c>
      <c r="C613" t="s">
        <v>451</v>
      </c>
      <c r="D613">
        <v>6.7776536666666702</v>
      </c>
    </row>
    <row r="614" spans="1:4">
      <c r="A614" t="s">
        <v>320</v>
      </c>
      <c r="B614">
        <v>2012</v>
      </c>
      <c r="C614" t="s">
        <v>451</v>
      </c>
      <c r="D614">
        <v>7.3034853333333301</v>
      </c>
    </row>
    <row r="615" spans="1:4">
      <c r="A615" t="s">
        <v>320</v>
      </c>
      <c r="B615">
        <v>2013</v>
      </c>
      <c r="C615" t="s">
        <v>451</v>
      </c>
      <c r="D615">
        <v>7.5937799999999998</v>
      </c>
    </row>
    <row r="616" spans="1:4">
      <c r="A616" t="s">
        <v>320</v>
      </c>
      <c r="B616">
        <v>2014</v>
      </c>
      <c r="C616" t="s">
        <v>451</v>
      </c>
      <c r="D616">
        <v>7.8313959999999998</v>
      </c>
    </row>
    <row r="617" spans="1:4">
      <c r="A617" t="s">
        <v>320</v>
      </c>
      <c r="B617">
        <v>2015</v>
      </c>
      <c r="C617" t="s">
        <v>451</v>
      </c>
      <c r="D617">
        <v>8.1383279999999996</v>
      </c>
    </row>
    <row r="618" spans="1:4">
      <c r="A618" t="s">
        <v>320</v>
      </c>
      <c r="B618">
        <v>2005</v>
      </c>
      <c r="C618" t="s">
        <v>411</v>
      </c>
      <c r="D618">
        <v>112.824</v>
      </c>
    </row>
    <row r="619" spans="1:4">
      <c r="A619" t="s">
        <v>320</v>
      </c>
      <c r="B619">
        <v>2006</v>
      </c>
      <c r="C619" t="s">
        <v>411</v>
      </c>
      <c r="D619">
        <v>118.21</v>
      </c>
    </row>
    <row r="620" spans="1:4">
      <c r="A620" t="s">
        <v>320</v>
      </c>
      <c r="B620">
        <v>2007</v>
      </c>
      <c r="C620" t="s">
        <v>411</v>
      </c>
      <c r="D620">
        <v>122.523</v>
      </c>
    </row>
    <row r="621" spans="1:4">
      <c r="A621" t="s">
        <v>320</v>
      </c>
      <c r="B621">
        <v>2008</v>
      </c>
      <c r="C621" t="s">
        <v>411</v>
      </c>
      <c r="D621">
        <v>123.625</v>
      </c>
    </row>
    <row r="622" spans="1:4">
      <c r="A622" t="s">
        <v>320</v>
      </c>
      <c r="B622">
        <v>2009</v>
      </c>
      <c r="C622" t="s">
        <v>411</v>
      </c>
      <c r="D622">
        <v>126.56</v>
      </c>
    </row>
    <row r="623" spans="1:4">
      <c r="A623" t="s">
        <v>320</v>
      </c>
      <c r="B623">
        <v>2010</v>
      </c>
      <c r="C623" t="s">
        <v>411</v>
      </c>
      <c r="D623">
        <v>129.471</v>
      </c>
    </row>
    <row r="624" spans="1:4">
      <c r="A624" t="s">
        <v>320</v>
      </c>
      <c r="B624">
        <v>2011</v>
      </c>
      <c r="C624" t="s">
        <v>411</v>
      </c>
      <c r="D624">
        <v>131.95400000000001</v>
      </c>
    </row>
    <row r="625" spans="1:4">
      <c r="A625" t="s">
        <v>320</v>
      </c>
      <c r="B625">
        <v>2012</v>
      </c>
      <c r="C625" t="s">
        <v>411</v>
      </c>
      <c r="D625">
        <v>141.37145899999999</v>
      </c>
    </row>
    <row r="626" spans="1:4">
      <c r="A626" t="s">
        <v>320</v>
      </c>
      <c r="B626">
        <v>2013</v>
      </c>
      <c r="C626" t="s">
        <v>411</v>
      </c>
      <c r="D626">
        <v>143.62317300000001</v>
      </c>
    </row>
    <row r="627" spans="1:4">
      <c r="A627" t="s">
        <v>320</v>
      </c>
      <c r="B627">
        <v>2014</v>
      </c>
      <c r="C627" t="s">
        <v>411</v>
      </c>
      <c r="D627">
        <v>148.37384399999999</v>
      </c>
    </row>
    <row r="628" spans="1:4">
      <c r="A628" t="s">
        <v>320</v>
      </c>
      <c r="B628">
        <v>2015</v>
      </c>
      <c r="C628" t="s">
        <v>411</v>
      </c>
      <c r="D628">
        <v>153.435383</v>
      </c>
    </row>
    <row r="629" spans="1:4">
      <c r="A629" t="s">
        <v>320</v>
      </c>
      <c r="B629">
        <v>2005</v>
      </c>
      <c r="C629" t="s">
        <v>517</v>
      </c>
      <c r="D629">
        <v>0.49399999999999999</v>
      </c>
    </row>
    <row r="630" spans="1:4">
      <c r="A630" t="s">
        <v>320</v>
      </c>
      <c r="B630">
        <v>2006</v>
      </c>
      <c r="C630" t="s">
        <v>517</v>
      </c>
      <c r="D630">
        <v>0.51500000000000001</v>
      </c>
    </row>
    <row r="631" spans="1:4">
      <c r="A631" t="s">
        <v>320</v>
      </c>
      <c r="B631">
        <v>2007</v>
      </c>
      <c r="C631" t="s">
        <v>517</v>
      </c>
      <c r="D631">
        <v>0.53800000000000003</v>
      </c>
    </row>
    <row r="632" spans="1:4">
      <c r="A632" t="s">
        <v>320</v>
      </c>
      <c r="B632">
        <v>2008</v>
      </c>
      <c r="C632" t="s">
        <v>517</v>
      </c>
      <c r="D632">
        <v>0.54600000000000004</v>
      </c>
    </row>
    <row r="633" spans="1:4">
      <c r="A633" t="s">
        <v>320</v>
      </c>
      <c r="B633">
        <v>2009</v>
      </c>
      <c r="C633" t="s">
        <v>517</v>
      </c>
      <c r="D633">
        <v>0.54700000000000004</v>
      </c>
    </row>
    <row r="634" spans="1:4">
      <c r="A634" t="s">
        <v>320</v>
      </c>
      <c r="B634">
        <v>2010</v>
      </c>
      <c r="C634" t="s">
        <v>517</v>
      </c>
      <c r="D634">
        <v>0.55100000000000005</v>
      </c>
    </row>
    <row r="635" spans="1:4">
      <c r="A635" t="s">
        <v>320</v>
      </c>
      <c r="B635">
        <v>2011</v>
      </c>
      <c r="C635" t="s">
        <v>517</v>
      </c>
      <c r="D635">
        <v>0.56000000000000005</v>
      </c>
    </row>
    <row r="636" spans="1:4">
      <c r="A636" t="s">
        <v>320</v>
      </c>
      <c r="B636">
        <v>2012</v>
      </c>
      <c r="C636" t="s">
        <v>517</v>
      </c>
      <c r="D636">
        <v>0.57099999999999995</v>
      </c>
    </row>
    <row r="637" spans="1:4">
      <c r="A637" t="s">
        <v>320</v>
      </c>
      <c r="B637">
        <v>2013</v>
      </c>
      <c r="C637" t="s">
        <v>517</v>
      </c>
      <c r="D637">
        <v>0.57853100000000002</v>
      </c>
    </row>
    <row r="638" spans="1:4">
      <c r="A638" t="s">
        <v>320</v>
      </c>
      <c r="B638">
        <v>2014</v>
      </c>
      <c r="C638" t="s">
        <v>517</v>
      </c>
      <c r="D638">
        <v>0.58483799999999997</v>
      </c>
    </row>
    <row r="639" spans="1:4">
      <c r="A639" t="s">
        <v>320</v>
      </c>
      <c r="B639">
        <v>2015</v>
      </c>
      <c r="C639" t="s">
        <v>517</v>
      </c>
      <c r="D639">
        <v>0.59087199999999995</v>
      </c>
    </row>
    <row r="640" spans="1:4">
      <c r="A640" t="s">
        <v>320</v>
      </c>
      <c r="B640">
        <v>2005</v>
      </c>
      <c r="C640" t="s">
        <v>518</v>
      </c>
      <c r="D640">
        <v>2.4809999999999999</v>
      </c>
    </row>
    <row r="641" spans="1:4">
      <c r="A641" t="s">
        <v>320</v>
      </c>
      <c r="B641">
        <v>2006</v>
      </c>
      <c r="C641" t="s">
        <v>518</v>
      </c>
      <c r="D641">
        <v>2.58</v>
      </c>
    </row>
    <row r="642" spans="1:4">
      <c r="A642" t="s">
        <v>320</v>
      </c>
      <c r="B642">
        <v>2007</v>
      </c>
      <c r="C642" t="s">
        <v>518</v>
      </c>
      <c r="D642">
        <v>2.7189999999999999</v>
      </c>
    </row>
    <row r="643" spans="1:4">
      <c r="A643" t="s">
        <v>320</v>
      </c>
      <c r="B643">
        <v>2008</v>
      </c>
      <c r="C643" t="s">
        <v>518</v>
      </c>
      <c r="D643">
        <v>2.9260000000000002</v>
      </c>
    </row>
    <row r="644" spans="1:4">
      <c r="A644" t="s">
        <v>320</v>
      </c>
      <c r="B644">
        <v>2009</v>
      </c>
      <c r="C644" t="s">
        <v>518</v>
      </c>
      <c r="D644">
        <v>3.0249999999999999</v>
      </c>
    </row>
    <row r="645" spans="1:4">
      <c r="A645" t="s">
        <v>320</v>
      </c>
      <c r="B645">
        <v>2010</v>
      </c>
      <c r="C645" t="s">
        <v>518</v>
      </c>
      <c r="D645">
        <v>3.2189999999999999</v>
      </c>
    </row>
    <row r="646" spans="1:4">
      <c r="A646" t="s">
        <v>320</v>
      </c>
      <c r="B646">
        <v>2011</v>
      </c>
      <c r="C646" t="s">
        <v>518</v>
      </c>
      <c r="D646">
        <v>3.3809999999999998</v>
      </c>
    </row>
    <row r="647" spans="1:4">
      <c r="A647" t="s">
        <v>320</v>
      </c>
      <c r="B647">
        <v>2012</v>
      </c>
      <c r="C647" t="s">
        <v>518</v>
      </c>
      <c r="D647">
        <v>3.4289999999999998</v>
      </c>
    </row>
    <row r="648" spans="1:4">
      <c r="A648" t="s">
        <v>320</v>
      </c>
      <c r="B648">
        <v>2013</v>
      </c>
      <c r="C648" t="s">
        <v>518</v>
      </c>
      <c r="D648">
        <v>3.508</v>
      </c>
    </row>
    <row r="649" spans="1:4">
      <c r="A649" t="s">
        <v>320</v>
      </c>
      <c r="B649">
        <v>2014</v>
      </c>
      <c r="C649" t="s">
        <v>518</v>
      </c>
      <c r="D649">
        <v>3.469014</v>
      </c>
    </row>
    <row r="650" spans="1:4">
      <c r="A650" t="s">
        <v>320</v>
      </c>
      <c r="B650">
        <v>2015</v>
      </c>
      <c r="C650" t="s">
        <v>518</v>
      </c>
      <c r="D650">
        <v>3.5621990000000001</v>
      </c>
    </row>
    <row r="651" spans="1:4">
      <c r="A651" t="s">
        <v>320</v>
      </c>
      <c r="B651">
        <v>2005</v>
      </c>
      <c r="C651" t="s">
        <v>414</v>
      </c>
      <c r="D651">
        <v>18.875892935286998</v>
      </c>
    </row>
    <row r="652" spans="1:4">
      <c r="A652" t="s">
        <v>320</v>
      </c>
      <c r="B652">
        <v>2006</v>
      </c>
      <c r="C652" t="s">
        <v>414</v>
      </c>
      <c r="D652">
        <v>19.321482875240299</v>
      </c>
    </row>
    <row r="653" spans="1:4">
      <c r="A653" t="s">
        <v>320</v>
      </c>
      <c r="B653">
        <v>2007</v>
      </c>
      <c r="C653" t="s">
        <v>414</v>
      </c>
      <c r="D653">
        <v>21.291811725490199</v>
      </c>
    </row>
    <row r="654" spans="1:4">
      <c r="A654" t="s">
        <v>320</v>
      </c>
      <c r="B654">
        <v>2008</v>
      </c>
      <c r="C654" t="s">
        <v>414</v>
      </c>
      <c r="D654">
        <v>21.861615</v>
      </c>
    </row>
    <row r="655" spans="1:4">
      <c r="A655" t="s">
        <v>320</v>
      </c>
      <c r="B655">
        <v>2009</v>
      </c>
      <c r="C655" t="s">
        <v>414</v>
      </c>
      <c r="D655">
        <v>22.335357999999999</v>
      </c>
    </row>
    <row r="656" spans="1:4">
      <c r="A656" t="s">
        <v>320</v>
      </c>
      <c r="B656">
        <v>2010</v>
      </c>
      <c r="C656" t="s">
        <v>414</v>
      </c>
      <c r="D656">
        <v>22.976013999999999</v>
      </c>
    </row>
    <row r="657" spans="1:4">
      <c r="A657" t="s">
        <v>320</v>
      </c>
      <c r="B657">
        <v>2011</v>
      </c>
      <c r="C657" t="s">
        <v>414</v>
      </c>
      <c r="D657">
        <v>23.795397000000001</v>
      </c>
    </row>
    <row r="658" spans="1:4">
      <c r="A658" t="s">
        <v>320</v>
      </c>
      <c r="B658">
        <v>2012</v>
      </c>
      <c r="C658" t="s">
        <v>414</v>
      </c>
      <c r="D658">
        <v>24.846935999999999</v>
      </c>
    </row>
    <row r="659" spans="1:4">
      <c r="A659" t="s">
        <v>320</v>
      </c>
      <c r="B659">
        <v>2013</v>
      </c>
      <c r="C659" t="s">
        <v>414</v>
      </c>
      <c r="D659">
        <v>25.916250999999999</v>
      </c>
    </row>
    <row r="660" spans="1:4">
      <c r="A660" t="s">
        <v>320</v>
      </c>
      <c r="B660">
        <v>2014</v>
      </c>
      <c r="C660" t="s">
        <v>414</v>
      </c>
      <c r="D660">
        <v>27.174536</v>
      </c>
    </row>
    <row r="661" spans="1:4">
      <c r="A661" t="s">
        <v>320</v>
      </c>
      <c r="B661">
        <v>2015</v>
      </c>
      <c r="C661" t="s">
        <v>414</v>
      </c>
      <c r="D661">
        <v>28.039458</v>
      </c>
    </row>
    <row r="662" spans="1:4">
      <c r="A662" t="s">
        <v>320</v>
      </c>
      <c r="B662">
        <v>2005</v>
      </c>
      <c r="C662" t="s">
        <v>315</v>
      </c>
      <c r="D662">
        <v>6.0060000000000002</v>
      </c>
    </row>
    <row r="663" spans="1:4">
      <c r="A663" t="s">
        <v>320</v>
      </c>
      <c r="B663">
        <v>2006</v>
      </c>
      <c r="C663" t="s">
        <v>315</v>
      </c>
      <c r="D663">
        <v>6.1349999999999998</v>
      </c>
    </row>
    <row r="664" spans="1:4">
      <c r="A664" t="s">
        <v>320</v>
      </c>
      <c r="B664">
        <v>2007</v>
      </c>
      <c r="C664" t="s">
        <v>315</v>
      </c>
      <c r="D664">
        <v>6.4329999999999998</v>
      </c>
    </row>
    <row r="665" spans="1:4">
      <c r="A665" t="s">
        <v>320</v>
      </c>
      <c r="B665">
        <v>2008</v>
      </c>
      <c r="C665" t="s">
        <v>315</v>
      </c>
      <c r="D665">
        <v>6.6559999999999997</v>
      </c>
    </row>
    <row r="666" spans="1:4">
      <c r="A666" t="s">
        <v>320</v>
      </c>
      <c r="B666">
        <v>2009</v>
      </c>
      <c r="C666" t="s">
        <v>315</v>
      </c>
      <c r="D666">
        <v>6.6487540000000003</v>
      </c>
    </row>
    <row r="667" spans="1:4">
      <c r="A667" t="s">
        <v>320</v>
      </c>
      <c r="B667">
        <v>2010</v>
      </c>
      <c r="C667" t="s">
        <v>315</v>
      </c>
      <c r="D667">
        <v>6.7500349999999996</v>
      </c>
    </row>
    <row r="668" spans="1:4">
      <c r="A668" t="s">
        <v>320</v>
      </c>
      <c r="B668">
        <v>2011</v>
      </c>
      <c r="C668" t="s">
        <v>315</v>
      </c>
      <c r="D668">
        <v>6.8883140000000003</v>
      </c>
    </row>
    <row r="669" spans="1:4">
      <c r="A669" t="s">
        <v>320</v>
      </c>
      <c r="B669">
        <v>2012</v>
      </c>
      <c r="C669" t="s">
        <v>315</v>
      </c>
      <c r="D669">
        <v>7.3897389999999996</v>
      </c>
    </row>
    <row r="670" spans="1:4">
      <c r="A670" t="s">
        <v>320</v>
      </c>
      <c r="B670">
        <v>2013</v>
      </c>
      <c r="C670" t="s">
        <v>315</v>
      </c>
      <c r="D670">
        <v>7.3677830000000002</v>
      </c>
    </row>
    <row r="671" spans="1:4">
      <c r="A671" t="s">
        <v>320</v>
      </c>
      <c r="B671">
        <v>2014</v>
      </c>
      <c r="C671" t="s">
        <v>315</v>
      </c>
      <c r="D671">
        <v>7.5846200000000001</v>
      </c>
    </row>
    <row r="672" spans="1:4">
      <c r="A672" t="s">
        <v>320</v>
      </c>
      <c r="B672">
        <v>2015</v>
      </c>
      <c r="C672" t="s">
        <v>315</v>
      </c>
      <c r="D672">
        <v>7.5670460000000004</v>
      </c>
    </row>
    <row r="673" spans="1:4">
      <c r="A673" t="s">
        <v>320</v>
      </c>
      <c r="B673">
        <v>2005</v>
      </c>
      <c r="C673" t="s">
        <v>519</v>
      </c>
      <c r="D673">
        <v>1.42</v>
      </c>
    </row>
    <row r="674" spans="1:4">
      <c r="A674" t="s">
        <v>320</v>
      </c>
      <c r="B674">
        <v>2006</v>
      </c>
      <c r="C674" t="s">
        <v>519</v>
      </c>
      <c r="D674">
        <v>1.44</v>
      </c>
    </row>
    <row r="675" spans="1:4">
      <c r="A675" t="s">
        <v>320</v>
      </c>
      <c r="B675">
        <v>2007</v>
      </c>
      <c r="C675" t="s">
        <v>519</v>
      </c>
      <c r="D675">
        <v>1.54</v>
      </c>
    </row>
    <row r="676" spans="1:4">
      <c r="A676" t="s">
        <v>320</v>
      </c>
      <c r="B676">
        <v>2008</v>
      </c>
      <c r="C676" t="s">
        <v>519</v>
      </c>
      <c r="D676">
        <v>1.61</v>
      </c>
    </row>
    <row r="677" spans="1:4">
      <c r="A677" t="s">
        <v>320</v>
      </c>
      <c r="B677">
        <v>2009</v>
      </c>
      <c r="C677" t="s">
        <v>519</v>
      </c>
      <c r="D677">
        <v>1.68</v>
      </c>
    </row>
    <row r="678" spans="1:4">
      <c r="A678" t="s">
        <v>320</v>
      </c>
      <c r="B678">
        <v>2010</v>
      </c>
      <c r="C678" t="s">
        <v>519</v>
      </c>
      <c r="D678">
        <v>1.76</v>
      </c>
    </row>
    <row r="679" spans="1:4">
      <c r="A679" t="s">
        <v>320</v>
      </c>
      <c r="B679">
        <v>2011</v>
      </c>
      <c r="C679" t="s">
        <v>519</v>
      </c>
      <c r="D679">
        <v>1.87</v>
      </c>
    </row>
    <row r="680" spans="1:4">
      <c r="A680" t="s">
        <v>320</v>
      </c>
      <c r="B680">
        <v>2012</v>
      </c>
      <c r="C680" t="s">
        <v>519</v>
      </c>
      <c r="D680">
        <v>2.0138889999999998</v>
      </c>
    </row>
    <row r="681" spans="1:4">
      <c r="A681" t="s">
        <v>320</v>
      </c>
      <c r="B681">
        <v>2013</v>
      </c>
      <c r="C681" t="s">
        <v>519</v>
      </c>
      <c r="D681">
        <v>2.0825</v>
      </c>
    </row>
    <row r="682" spans="1:4">
      <c r="A682" t="s">
        <v>320</v>
      </c>
      <c r="B682">
        <v>2014</v>
      </c>
      <c r="C682" t="s">
        <v>519</v>
      </c>
      <c r="D682">
        <v>2.13</v>
      </c>
    </row>
    <row r="683" spans="1:4">
      <c r="A683" t="s">
        <v>320</v>
      </c>
      <c r="B683">
        <v>2015</v>
      </c>
      <c r="C683" t="s">
        <v>519</v>
      </c>
      <c r="D683">
        <v>2.2000000000000002</v>
      </c>
    </row>
    <row r="684" spans="1:4">
      <c r="A684" t="s">
        <v>320</v>
      </c>
      <c r="B684">
        <v>2005</v>
      </c>
      <c r="C684" t="s">
        <v>520</v>
      </c>
      <c r="D684">
        <v>2.2970000000000002</v>
      </c>
    </row>
    <row r="685" spans="1:4">
      <c r="A685" t="s">
        <v>320</v>
      </c>
      <c r="B685">
        <v>2006</v>
      </c>
      <c r="C685" t="s">
        <v>520</v>
      </c>
      <c r="D685">
        <v>2.4820000000000002</v>
      </c>
    </row>
    <row r="686" spans="1:4">
      <c r="A686" t="s">
        <v>320</v>
      </c>
      <c r="B686">
        <v>2007</v>
      </c>
      <c r="C686" t="s">
        <v>520</v>
      </c>
      <c r="D686">
        <v>2.6419999999999999</v>
      </c>
    </row>
    <row r="687" spans="1:4">
      <c r="A687" t="s">
        <v>320</v>
      </c>
      <c r="B687">
        <v>2008</v>
      </c>
      <c r="C687" t="s">
        <v>520</v>
      </c>
      <c r="D687">
        <v>2.7410000000000001</v>
      </c>
    </row>
    <row r="688" spans="1:4">
      <c r="A688" t="s">
        <v>320</v>
      </c>
      <c r="B688">
        <v>2009</v>
      </c>
      <c r="C688" t="s">
        <v>520</v>
      </c>
      <c r="D688">
        <v>2.81</v>
      </c>
    </row>
    <row r="689" spans="1:4">
      <c r="A689" t="s">
        <v>320</v>
      </c>
      <c r="B689">
        <v>2010</v>
      </c>
      <c r="C689" t="s">
        <v>520</v>
      </c>
      <c r="D689">
        <v>2.8375349999999999</v>
      </c>
    </row>
    <row r="690" spans="1:4">
      <c r="A690" t="s">
        <v>320</v>
      </c>
      <c r="B690">
        <v>2011</v>
      </c>
      <c r="C690" t="s">
        <v>520</v>
      </c>
      <c r="D690">
        <v>2.8975650000000002</v>
      </c>
    </row>
    <row r="691" spans="1:4">
      <c r="A691" t="s">
        <v>320</v>
      </c>
      <c r="B691">
        <v>2012</v>
      </c>
      <c r="C691" t="s">
        <v>520</v>
      </c>
      <c r="D691">
        <v>2.9663689999999998</v>
      </c>
    </row>
    <row r="692" spans="1:4">
      <c r="A692" t="s">
        <v>320</v>
      </c>
      <c r="B692">
        <v>2013</v>
      </c>
      <c r="C692" t="s">
        <v>520</v>
      </c>
      <c r="D692">
        <v>3.0454659999999998</v>
      </c>
    </row>
    <row r="693" spans="1:4">
      <c r="A693" t="s">
        <v>320</v>
      </c>
      <c r="B693">
        <v>2014</v>
      </c>
      <c r="C693" t="s">
        <v>520</v>
      </c>
      <c r="D693">
        <v>3.130862</v>
      </c>
    </row>
    <row r="694" spans="1:4">
      <c r="A694" t="s">
        <v>320</v>
      </c>
      <c r="B694">
        <v>2015</v>
      </c>
      <c r="C694" t="s">
        <v>520</v>
      </c>
      <c r="D694">
        <v>3.216656</v>
      </c>
    </row>
    <row r="695" spans="1:4">
      <c r="A695" t="s">
        <v>320</v>
      </c>
      <c r="B695">
        <v>2005</v>
      </c>
      <c r="C695" t="s">
        <v>456</v>
      </c>
      <c r="D695">
        <v>6.2309999999999999</v>
      </c>
    </row>
    <row r="696" spans="1:4">
      <c r="A696" t="s">
        <v>320</v>
      </c>
      <c r="B696">
        <v>2006</v>
      </c>
      <c r="C696" t="s">
        <v>456</v>
      </c>
      <c r="D696">
        <v>6.51</v>
      </c>
    </row>
    <row r="697" spans="1:4">
      <c r="A697" t="s">
        <v>320</v>
      </c>
      <c r="B697">
        <v>2007</v>
      </c>
      <c r="C697" t="s">
        <v>456</v>
      </c>
      <c r="D697">
        <v>6.7619999999999996</v>
      </c>
    </row>
    <row r="698" spans="1:4">
      <c r="A698" t="s">
        <v>320</v>
      </c>
      <c r="B698">
        <v>2008</v>
      </c>
      <c r="C698" t="s">
        <v>456</v>
      </c>
      <c r="D698">
        <v>6.8170000000000002</v>
      </c>
    </row>
    <row r="699" spans="1:4">
      <c r="A699" t="s">
        <v>320</v>
      </c>
      <c r="B699">
        <v>2009</v>
      </c>
      <c r="C699" t="s">
        <v>456</v>
      </c>
      <c r="D699">
        <v>6.7590000000000003</v>
      </c>
    </row>
    <row r="700" spans="1:4">
      <c r="A700" t="s">
        <v>320</v>
      </c>
      <c r="B700">
        <v>2010</v>
      </c>
      <c r="C700" t="s">
        <v>456</v>
      </c>
      <c r="D700">
        <v>6.7190000000000003</v>
      </c>
    </row>
    <row r="701" spans="1:4">
      <c r="A701" t="s">
        <v>320</v>
      </c>
      <c r="B701">
        <v>2011</v>
      </c>
      <c r="C701" t="s">
        <v>456</v>
      </c>
      <c r="D701">
        <v>6.67</v>
      </c>
    </row>
    <row r="702" spans="1:4">
      <c r="A702" t="s">
        <v>320</v>
      </c>
      <c r="B702">
        <v>2012</v>
      </c>
      <c r="C702" t="s">
        <v>456</v>
      </c>
      <c r="D702">
        <v>6.5430000000000001</v>
      </c>
    </row>
    <row r="703" spans="1:4">
      <c r="A703" t="s">
        <v>320</v>
      </c>
      <c r="B703">
        <v>2013</v>
      </c>
      <c r="C703" t="s">
        <v>456</v>
      </c>
      <c r="D703">
        <v>6.4032660000000003</v>
      </c>
    </row>
    <row r="704" spans="1:4">
      <c r="A704" t="s">
        <v>320</v>
      </c>
      <c r="B704">
        <v>2014</v>
      </c>
      <c r="C704" t="s">
        <v>456</v>
      </c>
      <c r="D704">
        <v>6.336843</v>
      </c>
    </row>
    <row r="705" spans="1:4">
      <c r="A705" t="s">
        <v>320</v>
      </c>
      <c r="B705">
        <v>2015</v>
      </c>
      <c r="C705" t="s">
        <v>456</v>
      </c>
      <c r="D705">
        <v>6.3859709999999996</v>
      </c>
    </row>
    <row r="706" spans="1:4">
      <c r="A706" t="s">
        <v>320</v>
      </c>
      <c r="B706">
        <v>2005</v>
      </c>
      <c r="C706" t="s">
        <v>457</v>
      </c>
      <c r="D706">
        <v>1.0406899999999999</v>
      </c>
    </row>
    <row r="707" spans="1:4">
      <c r="A707" t="s">
        <v>320</v>
      </c>
      <c r="B707">
        <v>2006</v>
      </c>
      <c r="C707" t="s">
        <v>457</v>
      </c>
      <c r="D707">
        <v>1.1029249999999999</v>
      </c>
    </row>
    <row r="708" spans="1:4">
      <c r="A708" t="s">
        <v>320</v>
      </c>
      <c r="B708">
        <v>2007</v>
      </c>
      <c r="C708" t="s">
        <v>457</v>
      </c>
      <c r="D708">
        <v>1.155745</v>
      </c>
    </row>
    <row r="709" spans="1:4">
      <c r="A709" t="s">
        <v>320</v>
      </c>
      <c r="B709">
        <v>2008</v>
      </c>
      <c r="C709" t="s">
        <v>457</v>
      </c>
      <c r="D709">
        <v>1.158004</v>
      </c>
    </row>
    <row r="710" spans="1:4">
      <c r="A710" t="s">
        <v>320</v>
      </c>
      <c r="B710">
        <v>2009</v>
      </c>
      <c r="C710" t="s">
        <v>457</v>
      </c>
      <c r="D710">
        <v>1.1382810000000001</v>
      </c>
    </row>
    <row r="711" spans="1:4">
      <c r="A711" t="s">
        <v>320</v>
      </c>
      <c r="B711">
        <v>2010</v>
      </c>
      <c r="C711" t="s">
        <v>457</v>
      </c>
      <c r="D711">
        <v>1.1293340000000001</v>
      </c>
    </row>
    <row r="712" spans="1:4">
      <c r="A712" t="s">
        <v>320</v>
      </c>
      <c r="B712">
        <v>2011</v>
      </c>
      <c r="C712" t="s">
        <v>457</v>
      </c>
      <c r="D712">
        <v>1.137864</v>
      </c>
    </row>
    <row r="713" spans="1:4">
      <c r="A713" t="s">
        <v>320</v>
      </c>
      <c r="B713">
        <v>2012</v>
      </c>
      <c r="C713" t="s">
        <v>457</v>
      </c>
      <c r="D713">
        <v>1.132714</v>
      </c>
    </row>
    <row r="714" spans="1:4">
      <c r="A714" t="s">
        <v>320</v>
      </c>
      <c r="B714">
        <v>2013</v>
      </c>
      <c r="C714" t="s">
        <v>457</v>
      </c>
      <c r="D714">
        <v>1.1273390000000001</v>
      </c>
    </row>
    <row r="715" spans="1:4">
      <c r="A715" t="s">
        <v>320</v>
      </c>
      <c r="B715">
        <v>2014</v>
      </c>
      <c r="C715" t="s">
        <v>457</v>
      </c>
      <c r="D715">
        <v>1.1379729999999999</v>
      </c>
    </row>
    <row r="716" spans="1:4">
      <c r="A716" t="s">
        <v>320</v>
      </c>
      <c r="B716">
        <v>2015</v>
      </c>
      <c r="C716" t="s">
        <v>457</v>
      </c>
      <c r="D716">
        <v>1.1517170000000001</v>
      </c>
    </row>
    <row r="717" spans="1:4">
      <c r="A717" t="s">
        <v>320</v>
      </c>
      <c r="B717">
        <v>2005</v>
      </c>
      <c r="C717" t="s">
        <v>521</v>
      </c>
      <c r="D717">
        <v>0.33600000000000002</v>
      </c>
    </row>
    <row r="718" spans="1:4">
      <c r="A718" t="s">
        <v>320</v>
      </c>
      <c r="B718">
        <v>2006</v>
      </c>
      <c r="C718" t="s">
        <v>521</v>
      </c>
      <c r="D718">
        <v>0.34300000000000003</v>
      </c>
    </row>
    <row r="719" spans="1:4">
      <c r="A719" t="s">
        <v>320</v>
      </c>
      <c r="B719">
        <v>2007</v>
      </c>
      <c r="C719" t="s">
        <v>521</v>
      </c>
      <c r="D719">
        <v>0.354126</v>
      </c>
    </row>
    <row r="720" spans="1:4">
      <c r="A720" t="s">
        <v>320</v>
      </c>
      <c r="B720">
        <v>2008</v>
      </c>
      <c r="C720" t="s">
        <v>521</v>
      </c>
      <c r="D720">
        <v>0.35403099999999998</v>
      </c>
    </row>
    <row r="721" spans="1:4">
      <c r="A721" t="s">
        <v>320</v>
      </c>
      <c r="B721">
        <v>2009</v>
      </c>
      <c r="C721" t="s">
        <v>521</v>
      </c>
      <c r="D721">
        <v>0.35586099999999998</v>
      </c>
    </row>
    <row r="722" spans="1:4">
      <c r="A722" t="s">
        <v>320</v>
      </c>
      <c r="B722">
        <v>2010</v>
      </c>
      <c r="C722" t="s">
        <v>521</v>
      </c>
      <c r="D722">
        <v>0.36348900000000001</v>
      </c>
    </row>
    <row r="723" spans="1:4">
      <c r="A723" t="s">
        <v>320</v>
      </c>
      <c r="B723">
        <v>2011</v>
      </c>
      <c r="C723" t="s">
        <v>521</v>
      </c>
      <c r="D723">
        <v>0.37727500000000003</v>
      </c>
    </row>
    <row r="724" spans="1:4">
      <c r="A724" t="s">
        <v>320</v>
      </c>
      <c r="B724">
        <v>2012</v>
      </c>
      <c r="C724" t="s">
        <v>521</v>
      </c>
      <c r="D724">
        <v>0.39066800000000002</v>
      </c>
    </row>
    <row r="725" spans="1:4">
      <c r="A725" t="s">
        <v>320</v>
      </c>
      <c r="B725">
        <v>2013</v>
      </c>
      <c r="C725" t="s">
        <v>521</v>
      </c>
      <c r="D725">
        <v>0.39932200000000001</v>
      </c>
    </row>
    <row r="726" spans="1:4">
      <c r="A726" t="s">
        <v>320</v>
      </c>
      <c r="B726">
        <v>2014</v>
      </c>
      <c r="C726" t="s">
        <v>521</v>
      </c>
      <c r="D726">
        <v>0.41011799999999998</v>
      </c>
    </row>
    <row r="727" spans="1:4">
      <c r="A727" t="s">
        <v>320</v>
      </c>
      <c r="B727">
        <v>2015</v>
      </c>
      <c r="C727" t="s">
        <v>521</v>
      </c>
      <c r="D727">
        <v>0.42061300000000001</v>
      </c>
    </row>
    <row r="728" spans="1:4">
      <c r="A728" t="s">
        <v>320</v>
      </c>
      <c r="B728">
        <v>2005</v>
      </c>
      <c r="C728" t="s">
        <v>522</v>
      </c>
      <c r="D728">
        <v>2.6539999999999999</v>
      </c>
    </row>
    <row r="729" spans="1:4">
      <c r="A729" t="s">
        <v>320</v>
      </c>
      <c r="B729">
        <v>2006</v>
      </c>
      <c r="C729" t="s">
        <v>522</v>
      </c>
      <c r="D729">
        <v>2.9390000000000001</v>
      </c>
    </row>
    <row r="730" spans="1:4">
      <c r="A730" t="s">
        <v>320</v>
      </c>
      <c r="B730">
        <v>2007</v>
      </c>
      <c r="C730" t="s">
        <v>522</v>
      </c>
      <c r="D730">
        <v>3.181</v>
      </c>
    </row>
    <row r="731" spans="1:4">
      <c r="A731" t="s">
        <v>320</v>
      </c>
      <c r="B731">
        <v>2008</v>
      </c>
      <c r="C731" t="s">
        <v>522</v>
      </c>
      <c r="D731">
        <v>3.3940000000000001</v>
      </c>
    </row>
    <row r="732" spans="1:4">
      <c r="A732" t="s">
        <v>320</v>
      </c>
      <c r="B732">
        <v>2009</v>
      </c>
      <c r="C732" t="s">
        <v>522</v>
      </c>
      <c r="D732">
        <v>3.5169999999999999</v>
      </c>
    </row>
    <row r="733" spans="1:4">
      <c r="A733" t="s">
        <v>320</v>
      </c>
      <c r="B733">
        <v>2010</v>
      </c>
      <c r="C733" t="s">
        <v>522</v>
      </c>
      <c r="D733">
        <v>3.7210000000000001</v>
      </c>
    </row>
    <row r="734" spans="1:4">
      <c r="A734" t="s">
        <v>320</v>
      </c>
      <c r="B734">
        <v>2011</v>
      </c>
      <c r="C734" t="s">
        <v>522</v>
      </c>
      <c r="D734">
        <v>3.9489999999999998</v>
      </c>
    </row>
    <row r="735" spans="1:4">
      <c r="A735" t="s">
        <v>320</v>
      </c>
      <c r="B735">
        <v>2012</v>
      </c>
      <c r="C735" t="s">
        <v>522</v>
      </c>
      <c r="D735">
        <v>4.1779999999999999</v>
      </c>
    </row>
    <row r="736" spans="1:4">
      <c r="A736" t="s">
        <v>320</v>
      </c>
      <c r="B736">
        <v>2013</v>
      </c>
      <c r="C736" t="s">
        <v>522</v>
      </c>
      <c r="D736">
        <v>4.3668810000000002</v>
      </c>
    </row>
    <row r="737" spans="1:4">
      <c r="A737" t="s">
        <v>320</v>
      </c>
      <c r="B737">
        <v>2014</v>
      </c>
      <c r="C737" t="s">
        <v>522</v>
      </c>
      <c r="D737">
        <v>4.5154019999999999</v>
      </c>
    </row>
    <row r="738" spans="1:4">
      <c r="A738" t="s">
        <v>320</v>
      </c>
      <c r="B738">
        <v>2015</v>
      </c>
      <c r="C738" t="s">
        <v>522</v>
      </c>
      <c r="D738">
        <v>4.7716190000000003</v>
      </c>
    </row>
    <row r="739" spans="1:4">
      <c r="A739" t="s">
        <v>320</v>
      </c>
      <c r="B739">
        <v>2005</v>
      </c>
      <c r="C739" t="s">
        <v>523</v>
      </c>
      <c r="D739">
        <v>3.9167649999999998</v>
      </c>
    </row>
    <row r="740" spans="1:4">
      <c r="A740" t="s">
        <v>320</v>
      </c>
      <c r="B740">
        <v>2006</v>
      </c>
      <c r="C740" t="s">
        <v>523</v>
      </c>
      <c r="D740">
        <v>4.1179870000000003</v>
      </c>
    </row>
    <row r="741" spans="1:4">
      <c r="A741" t="s">
        <v>320</v>
      </c>
      <c r="B741">
        <v>2007</v>
      </c>
      <c r="C741" t="s">
        <v>523</v>
      </c>
      <c r="D741">
        <v>4.2479880000000003</v>
      </c>
    </row>
    <row r="742" spans="1:4">
      <c r="A742" t="s">
        <v>320</v>
      </c>
      <c r="B742">
        <v>2008</v>
      </c>
      <c r="C742" t="s">
        <v>523</v>
      </c>
      <c r="D742">
        <v>4.2852059999999996</v>
      </c>
    </row>
    <row r="743" spans="1:4">
      <c r="A743" t="s">
        <v>320</v>
      </c>
      <c r="B743">
        <v>2009</v>
      </c>
      <c r="C743" t="s">
        <v>523</v>
      </c>
      <c r="D743">
        <v>4.1815189999999998</v>
      </c>
    </row>
    <row r="744" spans="1:4">
      <c r="A744" t="s">
        <v>320</v>
      </c>
      <c r="B744">
        <v>2010</v>
      </c>
      <c r="C744" t="s">
        <v>523</v>
      </c>
      <c r="D744">
        <v>4.2204550000000003</v>
      </c>
    </row>
    <row r="745" spans="1:4">
      <c r="A745" t="s">
        <v>320</v>
      </c>
      <c r="B745">
        <v>2011</v>
      </c>
      <c r="C745" t="s">
        <v>523</v>
      </c>
      <c r="D745">
        <v>4.269641</v>
      </c>
    </row>
    <row r="746" spans="1:4">
      <c r="A746" t="s">
        <v>320</v>
      </c>
      <c r="B746">
        <v>2012</v>
      </c>
      <c r="C746" t="s">
        <v>523</v>
      </c>
      <c r="D746">
        <v>4.2789999999999999</v>
      </c>
    </row>
    <row r="747" spans="1:4">
      <c r="A747" t="s">
        <v>320</v>
      </c>
      <c r="B747">
        <v>2013</v>
      </c>
      <c r="C747" t="s">
        <v>523</v>
      </c>
      <c r="D747">
        <v>4.3647179999999999</v>
      </c>
    </row>
    <row r="748" spans="1:4">
      <c r="A748" t="s">
        <v>320</v>
      </c>
      <c r="B748">
        <v>2014</v>
      </c>
      <c r="C748" t="s">
        <v>523</v>
      </c>
      <c r="D748">
        <v>4.5005759999999997</v>
      </c>
    </row>
    <row r="749" spans="1:4">
      <c r="A749" t="s">
        <v>320</v>
      </c>
      <c r="B749">
        <v>2015</v>
      </c>
      <c r="C749" t="s">
        <v>523</v>
      </c>
      <c r="D749">
        <v>4.677162</v>
      </c>
    </row>
    <row r="750" spans="1:4">
      <c r="A750" t="s">
        <v>320</v>
      </c>
      <c r="B750">
        <v>2005</v>
      </c>
      <c r="C750" t="s">
        <v>524</v>
      </c>
      <c r="D750">
        <v>1.295623</v>
      </c>
    </row>
    <row r="751" spans="1:4">
      <c r="A751" t="s">
        <v>320</v>
      </c>
      <c r="B751">
        <v>2006</v>
      </c>
      <c r="C751" t="s">
        <v>524</v>
      </c>
      <c r="D751">
        <v>1.363143</v>
      </c>
    </row>
    <row r="752" spans="1:4">
      <c r="A752" t="s">
        <v>320</v>
      </c>
      <c r="B752">
        <v>2007</v>
      </c>
      <c r="C752" t="s">
        <v>524</v>
      </c>
      <c r="D752">
        <v>1.4009229999999999</v>
      </c>
    </row>
    <row r="753" spans="1:4">
      <c r="A753" t="s">
        <v>320</v>
      </c>
      <c r="B753">
        <v>2008</v>
      </c>
      <c r="C753" t="s">
        <v>524</v>
      </c>
      <c r="D753">
        <v>1.5144580000000001</v>
      </c>
    </row>
    <row r="754" spans="1:4">
      <c r="A754" t="s">
        <v>320</v>
      </c>
      <c r="B754">
        <v>2009</v>
      </c>
      <c r="C754" t="s">
        <v>524</v>
      </c>
      <c r="D754">
        <v>1.4885200000000001</v>
      </c>
    </row>
    <row r="755" spans="1:4">
      <c r="A755" t="s">
        <v>320</v>
      </c>
      <c r="B755">
        <v>2010</v>
      </c>
      <c r="C755" t="s">
        <v>524</v>
      </c>
      <c r="D755">
        <v>1.5106379999999999</v>
      </c>
    </row>
    <row r="756" spans="1:4">
      <c r="A756" t="s">
        <v>320</v>
      </c>
      <c r="B756">
        <v>2011</v>
      </c>
      <c r="C756" t="s">
        <v>524</v>
      </c>
      <c r="D756">
        <v>1.521045</v>
      </c>
    </row>
    <row r="757" spans="1:4">
      <c r="A757" t="s">
        <v>320</v>
      </c>
      <c r="B757">
        <v>2012</v>
      </c>
      <c r="C757" t="s">
        <v>524</v>
      </c>
      <c r="D757">
        <v>1.9442630000000001</v>
      </c>
    </row>
    <row r="758" spans="1:4">
      <c r="A758" t="s">
        <v>320</v>
      </c>
      <c r="B758">
        <v>2013</v>
      </c>
      <c r="C758" t="s">
        <v>524</v>
      </c>
      <c r="D758">
        <v>2.0615070000000002</v>
      </c>
    </row>
    <row r="759" spans="1:4">
      <c r="A759" t="s">
        <v>320</v>
      </c>
      <c r="B759">
        <v>2014</v>
      </c>
      <c r="C759" t="s">
        <v>524</v>
      </c>
      <c r="D759">
        <v>2.0015580000000002</v>
      </c>
    </row>
    <row r="760" spans="1:4">
      <c r="A760" t="s">
        <v>320</v>
      </c>
      <c r="B760">
        <v>2015</v>
      </c>
      <c r="C760" t="s">
        <v>524</v>
      </c>
      <c r="D760">
        <v>1.885667</v>
      </c>
    </row>
    <row r="761" spans="1:4">
      <c r="A761" t="s">
        <v>320</v>
      </c>
      <c r="B761">
        <v>2005</v>
      </c>
      <c r="C761" t="s">
        <v>459</v>
      </c>
      <c r="D761">
        <v>0.27474100000000001</v>
      </c>
    </row>
    <row r="762" spans="1:4">
      <c r="A762" t="s">
        <v>320</v>
      </c>
      <c r="B762">
        <v>2006</v>
      </c>
      <c r="C762" t="s">
        <v>459</v>
      </c>
      <c r="D762">
        <v>0.28351199999999999</v>
      </c>
    </row>
    <row r="763" spans="1:4">
      <c r="A763" t="s">
        <v>320</v>
      </c>
      <c r="B763">
        <v>2007</v>
      </c>
      <c r="C763" t="s">
        <v>459</v>
      </c>
      <c r="D763">
        <v>0.31031500000000001</v>
      </c>
    </row>
    <row r="764" spans="1:4">
      <c r="A764" t="s">
        <v>320</v>
      </c>
      <c r="B764">
        <v>2008</v>
      </c>
      <c r="C764" t="s">
        <v>459</v>
      </c>
      <c r="D764">
        <v>0.32632699999999998</v>
      </c>
    </row>
    <row r="765" spans="1:4">
      <c r="A765" t="s">
        <v>320</v>
      </c>
      <c r="B765">
        <v>2009</v>
      </c>
      <c r="C765" t="s">
        <v>459</v>
      </c>
      <c r="D765">
        <v>0.34952499999999997</v>
      </c>
    </row>
    <row r="766" spans="1:4">
      <c r="A766" t="s">
        <v>320</v>
      </c>
      <c r="B766">
        <v>2010</v>
      </c>
      <c r="C766" t="s">
        <v>459</v>
      </c>
      <c r="D766">
        <v>0.36693399999999998</v>
      </c>
    </row>
    <row r="767" spans="1:4">
      <c r="A767" t="s">
        <v>320</v>
      </c>
      <c r="B767">
        <v>2011</v>
      </c>
      <c r="C767" t="s">
        <v>459</v>
      </c>
      <c r="D767">
        <v>0.36038599999999998</v>
      </c>
    </row>
    <row r="768" spans="1:4">
      <c r="A768" t="s">
        <v>320</v>
      </c>
      <c r="B768">
        <v>2012</v>
      </c>
      <c r="C768" t="s">
        <v>459</v>
      </c>
      <c r="D768">
        <v>0.32133899999999999</v>
      </c>
    </row>
    <row r="769" spans="1:4">
      <c r="A769" t="s">
        <v>320</v>
      </c>
      <c r="B769">
        <v>2013</v>
      </c>
      <c r="C769" t="s">
        <v>459</v>
      </c>
      <c r="D769">
        <v>0.33330300000000002</v>
      </c>
    </row>
    <row r="770" spans="1:4">
      <c r="A770" t="s">
        <v>320</v>
      </c>
      <c r="B770">
        <v>2014</v>
      </c>
      <c r="C770" t="s">
        <v>459</v>
      </c>
      <c r="D770">
        <v>0.39556599999999997</v>
      </c>
    </row>
    <row r="771" spans="1:4">
      <c r="A771" t="s">
        <v>320</v>
      </c>
      <c r="B771">
        <v>2015</v>
      </c>
      <c r="C771" t="s">
        <v>459</v>
      </c>
      <c r="D771">
        <v>0.41006199999999998</v>
      </c>
    </row>
  </sheetData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D4FE-6C06-42D8-8074-909216D02A2B}">
  <dimension ref="A1:FD77"/>
  <sheetViews>
    <sheetView topLeftCell="CH1" zoomScaleNormal="100" workbookViewId="0">
      <selection activeCell="DB36" sqref="DB36"/>
    </sheetView>
  </sheetViews>
  <sheetFormatPr defaultRowHeight="14.25"/>
  <cols>
    <col min="1" max="1" width="5" bestFit="1" customWidth="1"/>
    <col min="3" max="3" width="18.59765625" bestFit="1" customWidth="1"/>
    <col min="4" max="4" width="9.3984375" bestFit="1" customWidth="1"/>
    <col min="5" max="5" width="9.3984375" customWidth="1"/>
    <col min="6" max="6" width="11.1328125" bestFit="1" customWidth="1"/>
    <col min="7" max="7" width="4.3984375" bestFit="1" customWidth="1"/>
    <col min="8" max="23" width="4.3984375" customWidth="1"/>
    <col min="24" max="24" width="4.59765625" bestFit="1" customWidth="1"/>
    <col min="25" max="25" width="4.86328125" bestFit="1" customWidth="1"/>
    <col min="26" max="31" width="4.59765625" bestFit="1" customWidth="1"/>
    <col min="32" max="32" width="5" bestFit="1" customWidth="1"/>
    <col min="33" max="33" width="4.86328125" bestFit="1" customWidth="1"/>
    <col min="34" max="34" width="5" bestFit="1" customWidth="1"/>
    <col min="35" max="36" width="4.59765625" bestFit="1" customWidth="1"/>
    <col min="37" max="37" width="5.1328125" bestFit="1" customWidth="1"/>
    <col min="38" max="38" width="6.86328125" bestFit="1" customWidth="1"/>
    <col min="39" max="52" width="5.1328125" customWidth="1"/>
    <col min="53" max="53" width="5.59765625" bestFit="1" customWidth="1"/>
    <col min="54" max="54" width="8.1328125" bestFit="1" customWidth="1"/>
    <col min="56" max="56" width="16.3984375" bestFit="1" customWidth="1"/>
    <col min="57" max="57" width="6.59765625" bestFit="1" customWidth="1"/>
    <col min="58" max="73" width="6.59765625" customWidth="1"/>
    <col min="74" max="77" width="6.59765625" bestFit="1" customWidth="1"/>
    <col min="78" max="78" width="5.59765625" bestFit="1" customWidth="1"/>
    <col min="79" max="79" width="6.59765625" bestFit="1" customWidth="1"/>
    <col min="80" max="80" width="6.3984375" bestFit="1" customWidth="1"/>
    <col min="81" max="84" width="6.59765625" bestFit="1" customWidth="1"/>
    <col min="85" max="85" width="5.59765625" bestFit="1" customWidth="1"/>
    <col min="86" max="86" width="7.59765625" bestFit="1" customWidth="1"/>
    <col min="87" max="87" width="6.59765625" bestFit="1" customWidth="1"/>
    <col min="88" max="102" width="6.59765625" customWidth="1"/>
    <col min="106" max="106" width="6.59765625" bestFit="1" customWidth="1"/>
    <col min="107" max="122" width="6.59765625" customWidth="1"/>
    <col min="123" max="133" width="6.59765625" bestFit="1" customWidth="1"/>
    <col min="134" max="134" width="6" bestFit="1" customWidth="1"/>
    <col min="135" max="135" width="7.59765625" bestFit="1" customWidth="1"/>
    <col min="136" max="136" width="6.59765625" bestFit="1" customWidth="1"/>
    <col min="137" max="151" width="6.59765625" customWidth="1"/>
    <col min="154" max="154" width="18.59765625" bestFit="1" customWidth="1"/>
    <col min="155" max="155" width="42.73046875" bestFit="1" customWidth="1"/>
    <col min="156" max="156" width="5.86328125" bestFit="1" customWidth="1"/>
    <col min="157" max="157" width="7.86328125" bestFit="1" customWidth="1"/>
    <col min="158" max="158" width="5" bestFit="1" customWidth="1"/>
    <col min="159" max="159" width="10.265625" bestFit="1" customWidth="1"/>
    <col min="160" max="160" width="7.86328125" bestFit="1" customWidth="1"/>
  </cols>
  <sheetData>
    <row r="1" spans="1:160">
      <c r="A1" s="27"/>
      <c r="B1" s="27"/>
      <c r="C1" s="27"/>
      <c r="D1" s="27"/>
      <c r="E1" s="27"/>
      <c r="F1" s="27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4"/>
      <c r="BB1" s="33"/>
      <c r="BC1" s="33"/>
      <c r="BD1" s="27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  <c r="CP1" s="33"/>
      <c r="CQ1" s="33"/>
      <c r="CR1" s="33"/>
      <c r="CS1" s="33"/>
      <c r="CT1" s="33"/>
      <c r="CU1" s="33"/>
      <c r="CV1" s="33"/>
      <c r="CW1" s="33"/>
      <c r="CX1" s="33"/>
      <c r="CY1" s="27"/>
      <c r="CZ1" s="27"/>
      <c r="DA1" s="27" t="s">
        <v>147</v>
      </c>
      <c r="DB1" s="27"/>
      <c r="DC1" s="27"/>
      <c r="DD1" s="27"/>
      <c r="DE1" s="27"/>
      <c r="DF1" s="27"/>
      <c r="DG1" s="27"/>
      <c r="DH1" s="27"/>
      <c r="DI1" s="27"/>
      <c r="DJ1" s="27"/>
      <c r="DK1" s="27"/>
      <c r="DL1" s="27"/>
      <c r="DM1" s="27"/>
      <c r="DN1" s="27"/>
      <c r="DO1" s="27"/>
      <c r="DP1" s="27"/>
      <c r="DQ1" s="27"/>
      <c r="DR1" s="27"/>
      <c r="DS1" s="27"/>
      <c r="DT1" s="27"/>
      <c r="DU1" s="27"/>
      <c r="DV1" s="27"/>
      <c r="DW1" s="27"/>
      <c r="DX1" s="27"/>
      <c r="DY1" s="27"/>
      <c r="DZ1" s="27"/>
      <c r="EA1" s="27"/>
      <c r="EB1" s="27"/>
      <c r="EC1" s="27"/>
      <c r="ED1" s="27"/>
      <c r="EE1" s="27"/>
      <c r="EF1" s="27"/>
      <c r="EG1" s="27"/>
      <c r="EH1" s="27"/>
      <c r="EI1" s="27"/>
      <c r="EJ1" s="27"/>
      <c r="EK1" s="27"/>
      <c r="EL1" s="27"/>
      <c r="EM1" s="27"/>
      <c r="EN1" s="27"/>
      <c r="EO1" s="27"/>
      <c r="EP1" s="27"/>
      <c r="EQ1" s="27"/>
      <c r="ER1" s="27"/>
      <c r="ES1" s="27"/>
      <c r="ET1" s="27"/>
      <c r="EU1" s="27"/>
      <c r="EV1" s="27"/>
      <c r="EW1" s="27" t="s">
        <v>148</v>
      </c>
      <c r="EX1" s="27"/>
      <c r="EY1" s="27"/>
      <c r="EZ1" s="27"/>
      <c r="FA1" s="27"/>
      <c r="FB1" s="27"/>
      <c r="FC1" s="27"/>
      <c r="FD1" s="27"/>
    </row>
    <row r="2" spans="1:160">
      <c r="A2" s="27"/>
      <c r="B2" s="27"/>
      <c r="C2" s="27"/>
      <c r="D2" s="27"/>
      <c r="E2" s="27"/>
      <c r="F2" s="27" t="s">
        <v>397</v>
      </c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 t="s">
        <v>142</v>
      </c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36" t="s">
        <v>146</v>
      </c>
      <c r="DB2" s="36" t="str">
        <f>G3</f>
        <v>Africa_North</v>
      </c>
      <c r="DC2" s="36" t="str">
        <f t="shared" ref="DC2:EU2" si="0">H3</f>
        <v>Africa_Other</v>
      </c>
      <c r="DD2" s="36" t="str">
        <f t="shared" si="0"/>
        <v>Australia</v>
      </c>
      <c r="DE2" s="36" t="str">
        <f t="shared" si="0"/>
        <v>Austria</v>
      </c>
      <c r="DF2" s="36" t="str">
        <f t="shared" si="0"/>
        <v>Baltics</v>
      </c>
      <c r="DG2" s="36" t="str">
        <f t="shared" si="0"/>
        <v>BeNeLux</v>
      </c>
      <c r="DH2" s="36" t="str">
        <f t="shared" si="0"/>
        <v>Brazil</v>
      </c>
      <c r="DI2" s="36" t="str">
        <f t="shared" si="0"/>
        <v>China</v>
      </c>
      <c r="DJ2" s="36" t="str">
        <f t="shared" si="0"/>
        <v>CroSloven</v>
      </c>
      <c r="DK2" s="36" t="str">
        <f t="shared" si="0"/>
        <v>CzechSlovak</v>
      </c>
      <c r="DL2" s="36" t="str">
        <f t="shared" si="0"/>
        <v>France</v>
      </c>
      <c r="DM2" s="36" t="str">
        <f t="shared" si="0"/>
        <v>Germany</v>
      </c>
      <c r="DN2" s="36" t="str">
        <f t="shared" si="0"/>
        <v>GreeceCyp</v>
      </c>
      <c r="DO2" s="36" t="str">
        <f t="shared" si="0"/>
        <v>HunRomBul</v>
      </c>
      <c r="DP2" s="36" t="str">
        <f t="shared" si="0"/>
        <v>Iceland</v>
      </c>
      <c r="DQ2" s="36" t="str">
        <f t="shared" si="0"/>
        <v>India</v>
      </c>
      <c r="DR2" s="36" t="str">
        <f t="shared" si="0"/>
        <v>Ireland</v>
      </c>
      <c r="DS2" s="36" t="str">
        <f t="shared" si="0"/>
        <v>ItalyMal</v>
      </c>
      <c r="DT2" s="36" t="str">
        <f t="shared" si="0"/>
        <v>Japan</v>
      </c>
      <c r="DU2" s="36" t="str">
        <f t="shared" si="0"/>
        <v>LatAm</v>
      </c>
      <c r="DV2" s="36" t="str">
        <f t="shared" si="0"/>
        <v>MidEast</v>
      </c>
      <c r="DW2" s="36" t="str">
        <f t="shared" si="0"/>
        <v>NorthAm</v>
      </c>
      <c r="DX2" s="36" t="str">
        <f t="shared" si="0"/>
        <v>Norway</v>
      </c>
      <c r="DY2" s="36" t="str">
        <f t="shared" si="0"/>
        <v>Poland</v>
      </c>
      <c r="DZ2" s="36" t="str">
        <f t="shared" si="0"/>
        <v>ROW</v>
      </c>
      <c r="EA2" s="36" t="str">
        <f t="shared" si="0"/>
        <v>Russia</v>
      </c>
      <c r="EB2" s="36" t="str">
        <f t="shared" si="0"/>
        <v>SaudiArabia</v>
      </c>
      <c r="EC2" s="36" t="str">
        <f t="shared" si="0"/>
        <v>SouthAfrica</v>
      </c>
      <c r="ED2" s="36" t="str">
        <f t="shared" si="0"/>
        <v>SpainPor</v>
      </c>
      <c r="EE2" s="36" t="str">
        <f t="shared" si="0"/>
        <v>SweFinDen</v>
      </c>
      <c r="EF2" s="36" t="str">
        <f t="shared" si="0"/>
        <v>Switzerland</v>
      </c>
      <c r="EG2" s="36" t="str">
        <f t="shared" si="0"/>
        <v>Turkey</v>
      </c>
      <c r="EH2" s="36" t="str">
        <f t="shared" si="0"/>
        <v>UK</v>
      </c>
      <c r="EI2" s="36" t="str">
        <f t="shared" si="0"/>
        <v>Ukraine</v>
      </c>
      <c r="EJ2" s="36" t="str">
        <f t="shared" si="0"/>
        <v>WestBalkans</v>
      </c>
      <c r="EK2" s="36" t="str">
        <f t="shared" si="0"/>
        <v>\I:</v>
      </c>
      <c r="EL2" s="36" t="str">
        <f t="shared" si="0"/>
        <v>\I:</v>
      </c>
      <c r="EM2" s="36" t="str">
        <f t="shared" si="0"/>
        <v>\I:</v>
      </c>
      <c r="EN2" s="36" t="str">
        <f t="shared" si="0"/>
        <v>\I:</v>
      </c>
      <c r="EO2" s="36" t="str">
        <f t="shared" si="0"/>
        <v>\I:</v>
      </c>
      <c r="EP2" s="36" t="str">
        <f t="shared" si="0"/>
        <v>\I:</v>
      </c>
      <c r="EQ2" s="36" t="str">
        <f t="shared" si="0"/>
        <v>\I:</v>
      </c>
      <c r="ER2" s="36" t="str">
        <f t="shared" si="0"/>
        <v>\I:</v>
      </c>
      <c r="ES2" s="36" t="str">
        <f t="shared" si="0"/>
        <v>\I:</v>
      </c>
      <c r="ET2" s="36" t="str">
        <f t="shared" si="0"/>
        <v>\I:</v>
      </c>
      <c r="EU2" s="36" t="str">
        <f t="shared" si="0"/>
        <v>\I:</v>
      </c>
      <c r="EV2" s="27"/>
      <c r="EW2" s="36" t="s">
        <v>149</v>
      </c>
      <c r="EX2" s="36" t="s">
        <v>139</v>
      </c>
      <c r="EY2" s="36" t="s">
        <v>150</v>
      </c>
      <c r="EZ2" s="36" t="s">
        <v>151</v>
      </c>
      <c r="FA2" s="36" t="s">
        <v>152</v>
      </c>
      <c r="FB2" s="36" t="s">
        <v>153</v>
      </c>
      <c r="FC2" s="36" t="s">
        <v>154</v>
      </c>
      <c r="FD2" s="36" t="s">
        <v>155</v>
      </c>
    </row>
    <row r="3" spans="1:160">
      <c r="A3" s="27"/>
      <c r="B3" s="27"/>
      <c r="C3" s="36" t="s">
        <v>145</v>
      </c>
      <c r="D3" s="36" t="s">
        <v>140</v>
      </c>
      <c r="E3" s="36" t="s">
        <v>396</v>
      </c>
      <c r="F3" s="36" t="s">
        <v>141</v>
      </c>
      <c r="G3" s="36" t="str">
        <f>'TRA balance'!E4</f>
        <v>Africa_North</v>
      </c>
      <c r="H3" s="36" t="str">
        <f>'TRA balance'!F4</f>
        <v>Africa_Other</v>
      </c>
      <c r="I3" s="36" t="str">
        <f>'TRA balance'!G4</f>
        <v>Australia</v>
      </c>
      <c r="J3" s="36" t="str">
        <f>'TRA balance'!H4</f>
        <v>Austria</v>
      </c>
      <c r="K3" s="36" t="str">
        <f>'TRA balance'!I4</f>
        <v>Baltics</v>
      </c>
      <c r="L3" s="36" t="str">
        <f>'TRA balance'!J4</f>
        <v>BeNeLux</v>
      </c>
      <c r="M3" s="36" t="str">
        <f>'TRA balance'!K4</f>
        <v>Brazil</v>
      </c>
      <c r="N3" s="36" t="str">
        <f>'TRA balance'!L4</f>
        <v>China</v>
      </c>
      <c r="O3" s="36" t="str">
        <f>'TRA balance'!M4</f>
        <v>CroSloven</v>
      </c>
      <c r="P3" s="36" t="str">
        <f>'TRA balance'!N4</f>
        <v>CzechSlovak</v>
      </c>
      <c r="Q3" s="36" t="str">
        <f>'TRA balance'!O4</f>
        <v>France</v>
      </c>
      <c r="R3" s="36" t="str">
        <f>'TRA balance'!P4</f>
        <v>Germany</v>
      </c>
      <c r="S3" s="36" t="str">
        <f>'TRA balance'!Q4</f>
        <v>GreeceCyp</v>
      </c>
      <c r="T3" s="36" t="str">
        <f>'TRA balance'!R4</f>
        <v>HunRomBul</v>
      </c>
      <c r="U3" s="36" t="str">
        <f>'TRA balance'!S4</f>
        <v>Iceland</v>
      </c>
      <c r="V3" s="36" t="str">
        <f>'TRA balance'!T4</f>
        <v>India</v>
      </c>
      <c r="W3" s="36" t="str">
        <f>'TRA balance'!U4</f>
        <v>Ireland</v>
      </c>
      <c r="X3" s="36" t="str">
        <f>'TRA balance'!V4</f>
        <v>ItalyMal</v>
      </c>
      <c r="Y3" s="36" t="str">
        <f>'TRA balance'!W4</f>
        <v>Japan</v>
      </c>
      <c r="Z3" s="36" t="str">
        <f>'TRA balance'!X4</f>
        <v>LatAm</v>
      </c>
      <c r="AA3" s="36" t="str">
        <f>'TRA balance'!Y4</f>
        <v>MidEast</v>
      </c>
      <c r="AB3" s="36" t="str">
        <f>'TRA balance'!Z4</f>
        <v>NorthAm</v>
      </c>
      <c r="AC3" s="36" t="str">
        <f>'TRA balance'!AA4</f>
        <v>Norway</v>
      </c>
      <c r="AD3" s="36" t="str">
        <f>'TRA balance'!AB4</f>
        <v>Poland</v>
      </c>
      <c r="AE3" s="36" t="str">
        <f>'TRA balance'!AC4</f>
        <v>ROW</v>
      </c>
      <c r="AF3" s="36" t="str">
        <f>'TRA balance'!AD4</f>
        <v>Russia</v>
      </c>
      <c r="AG3" s="36" t="str">
        <f>'TRA balance'!AE4</f>
        <v>SaudiArabia</v>
      </c>
      <c r="AH3" s="36" t="str">
        <f>'TRA balance'!AF4</f>
        <v>SouthAfrica</v>
      </c>
      <c r="AI3" s="36" t="str">
        <f>'TRA balance'!AG4</f>
        <v>SpainPor</v>
      </c>
      <c r="AJ3" s="36" t="str">
        <f>'TRA balance'!AH4</f>
        <v>SweFinDen</v>
      </c>
      <c r="AK3" s="36" t="str">
        <f>'TRA balance'!AI4</f>
        <v>Switzerland</v>
      </c>
      <c r="AL3" s="36" t="str">
        <f>'TRA balance'!AJ4</f>
        <v>Turkey</v>
      </c>
      <c r="AM3" s="36" t="str">
        <f>'TRA balance'!AK4</f>
        <v>UK</v>
      </c>
      <c r="AN3" s="36" t="str">
        <f>'TRA balance'!AL4</f>
        <v>Ukraine</v>
      </c>
      <c r="AO3" s="36" t="str">
        <f>'TRA balance'!AM4</f>
        <v>WestBalkans</v>
      </c>
      <c r="AP3" s="36" t="str">
        <f>'TRA balance'!AN4</f>
        <v>\I:</v>
      </c>
      <c r="AQ3" s="36" t="str">
        <f>'TRA balance'!AO4</f>
        <v>\I:</v>
      </c>
      <c r="AR3" s="36" t="str">
        <f>'TRA balance'!AP4</f>
        <v>\I:</v>
      </c>
      <c r="AS3" s="36" t="str">
        <f>'TRA balance'!AQ4</f>
        <v>\I:</v>
      </c>
      <c r="AT3" s="36" t="str">
        <f>'TRA balance'!AR4</f>
        <v>\I:</v>
      </c>
      <c r="AU3" s="36" t="str">
        <f>'TRA balance'!AS4</f>
        <v>\I:</v>
      </c>
      <c r="AV3" s="36" t="str">
        <f>'TRA balance'!AT4</f>
        <v>\I:</v>
      </c>
      <c r="AW3" s="36" t="str">
        <f>'TRA balance'!AU4</f>
        <v>\I:</v>
      </c>
      <c r="AX3" s="36" t="str">
        <f>'TRA balance'!AV4</f>
        <v>\I:</v>
      </c>
      <c r="AY3" s="36" t="str">
        <f>'TRA balance'!AW4</f>
        <v>\I:</v>
      </c>
      <c r="AZ3" s="36" t="str">
        <f>'TRA balance'!AX4</f>
        <v>\I:</v>
      </c>
      <c r="BC3" s="27"/>
      <c r="BD3" s="36" t="s">
        <v>139</v>
      </c>
      <c r="BE3" s="36" t="str">
        <f t="shared" ref="BE3" si="1">G3</f>
        <v>Africa_North</v>
      </c>
      <c r="BF3" s="36" t="str">
        <f t="shared" ref="BF3" si="2">H3</f>
        <v>Africa_Other</v>
      </c>
      <c r="BG3" s="36" t="str">
        <f t="shared" ref="BG3" si="3">I3</f>
        <v>Australia</v>
      </c>
      <c r="BH3" s="36" t="str">
        <f t="shared" ref="BH3" si="4">J3</f>
        <v>Austria</v>
      </c>
      <c r="BI3" s="36" t="str">
        <f t="shared" ref="BI3" si="5">K3</f>
        <v>Baltics</v>
      </c>
      <c r="BJ3" s="36" t="str">
        <f t="shared" ref="BJ3" si="6">L3</f>
        <v>BeNeLux</v>
      </c>
      <c r="BK3" s="36" t="str">
        <f t="shared" ref="BK3" si="7">M3</f>
        <v>Brazil</v>
      </c>
      <c r="BL3" s="36" t="str">
        <f t="shared" ref="BL3" si="8">N3</f>
        <v>China</v>
      </c>
      <c r="BM3" s="36" t="str">
        <f t="shared" ref="BM3" si="9">O3</f>
        <v>CroSloven</v>
      </c>
      <c r="BN3" s="36" t="str">
        <f t="shared" ref="BN3" si="10">P3</f>
        <v>CzechSlovak</v>
      </c>
      <c r="BO3" s="36" t="str">
        <f t="shared" ref="BO3" si="11">Q3</f>
        <v>France</v>
      </c>
      <c r="BP3" s="36" t="str">
        <f t="shared" ref="BP3" si="12">R3</f>
        <v>Germany</v>
      </c>
      <c r="BQ3" s="36" t="str">
        <f t="shared" ref="BQ3" si="13">S3</f>
        <v>GreeceCyp</v>
      </c>
      <c r="BR3" s="36" t="str">
        <f t="shared" ref="BR3" si="14">T3</f>
        <v>HunRomBul</v>
      </c>
      <c r="BS3" s="36" t="str">
        <f t="shared" ref="BS3" si="15">U3</f>
        <v>Iceland</v>
      </c>
      <c r="BT3" s="36" t="str">
        <f t="shared" ref="BT3" si="16">V3</f>
        <v>India</v>
      </c>
      <c r="BU3" s="36" t="str">
        <f t="shared" ref="BU3" si="17">W3</f>
        <v>Ireland</v>
      </c>
      <c r="BV3" s="36" t="str">
        <f t="shared" ref="BV3" si="18">X3</f>
        <v>ItalyMal</v>
      </c>
      <c r="BW3" s="36" t="str">
        <f t="shared" ref="BW3" si="19">Y3</f>
        <v>Japan</v>
      </c>
      <c r="BX3" s="36" t="str">
        <f t="shared" ref="BX3" si="20">Z3</f>
        <v>LatAm</v>
      </c>
      <c r="BY3" s="36" t="str">
        <f t="shared" ref="BY3" si="21">AA3</f>
        <v>MidEast</v>
      </c>
      <c r="BZ3" s="36" t="str">
        <f t="shared" ref="BZ3" si="22">AB3</f>
        <v>NorthAm</v>
      </c>
      <c r="CA3" s="36" t="str">
        <f t="shared" ref="CA3" si="23">AC3</f>
        <v>Norway</v>
      </c>
      <c r="CB3" s="36" t="str">
        <f t="shared" ref="CB3" si="24">AD3</f>
        <v>Poland</v>
      </c>
      <c r="CC3" s="36" t="str">
        <f t="shared" ref="CC3" si="25">AE3</f>
        <v>ROW</v>
      </c>
      <c r="CD3" s="36" t="str">
        <f t="shared" ref="CD3" si="26">AF3</f>
        <v>Russia</v>
      </c>
      <c r="CE3" s="36" t="str">
        <f t="shared" ref="CE3" si="27">AG3</f>
        <v>SaudiArabia</v>
      </c>
      <c r="CF3" s="36" t="str">
        <f t="shared" ref="CF3" si="28">AH3</f>
        <v>SouthAfrica</v>
      </c>
      <c r="CG3" s="36" t="str">
        <f t="shared" ref="CG3" si="29">AI3</f>
        <v>SpainPor</v>
      </c>
      <c r="CH3" s="36" t="str">
        <f t="shared" ref="CH3" si="30">AJ3</f>
        <v>SweFinDen</v>
      </c>
      <c r="CI3" s="36" t="str">
        <f t="shared" ref="CI3" si="31">AK3</f>
        <v>Switzerland</v>
      </c>
      <c r="CJ3" s="36" t="str">
        <f t="shared" ref="CJ3" si="32">AL3</f>
        <v>Turkey</v>
      </c>
      <c r="CK3" s="36" t="str">
        <f t="shared" ref="CK3" si="33">AM3</f>
        <v>UK</v>
      </c>
      <c r="CL3" s="36" t="str">
        <f t="shared" ref="CL3" si="34">AN3</f>
        <v>Ukraine</v>
      </c>
      <c r="CM3" s="36" t="str">
        <f t="shared" ref="CM3" si="35">AO3</f>
        <v>WestBalkans</v>
      </c>
      <c r="CN3" s="36" t="str">
        <f t="shared" ref="CN3" si="36">AP3</f>
        <v>\I:</v>
      </c>
      <c r="CO3" s="36" t="str">
        <f t="shared" ref="CO3" si="37">AQ3</f>
        <v>\I:</v>
      </c>
      <c r="CP3" s="36" t="str">
        <f t="shared" ref="CP3" si="38">AR3</f>
        <v>\I:</v>
      </c>
      <c r="CQ3" s="36" t="str">
        <f t="shared" ref="CQ3" si="39">AS3</f>
        <v>\I:</v>
      </c>
      <c r="CR3" s="36" t="str">
        <f t="shared" ref="CR3" si="40">AT3</f>
        <v>\I:</v>
      </c>
      <c r="CS3" s="36" t="str">
        <f t="shared" ref="CS3" si="41">AU3</f>
        <v>\I:</v>
      </c>
      <c r="CT3" s="36" t="str">
        <f t="shared" ref="CT3" si="42">AV3</f>
        <v>\I:</v>
      </c>
      <c r="CU3" s="36" t="str">
        <f t="shared" ref="CU3" si="43">AW3</f>
        <v>\I:</v>
      </c>
      <c r="CV3" s="36" t="str">
        <f t="shared" ref="CV3" si="44">AX3</f>
        <v>\I:</v>
      </c>
      <c r="CW3" s="36" t="str">
        <f t="shared" ref="CW3" si="45">AY3</f>
        <v>\I:</v>
      </c>
      <c r="CX3" s="36" t="str">
        <f t="shared" ref="CX3" si="46">AZ3</f>
        <v>\I:</v>
      </c>
      <c r="CY3" s="27"/>
      <c r="CZ3" s="27"/>
      <c r="DA3" s="27" t="s">
        <v>55</v>
      </c>
      <c r="DB3" s="35">
        <f ca="1">SUMIF(Assumptions!$G$3:$G$103,'non-road'!$DA3,Assumptions!BD$3:BD$103)</f>
        <v>7.1712979966799999</v>
      </c>
      <c r="DC3" s="35">
        <f ca="1">SUMIF(Assumptions!$G$3:$G$103,'non-road'!$DA3,Assumptions!BE$3:BE$103)</f>
        <v>10.730680058520001</v>
      </c>
      <c r="DD3" s="35">
        <f ca="1">SUMIF(Assumptions!$G$3:$G$103,'non-road'!$DA3,Assumptions!BF$3:BF$103)</f>
        <v>36.890987136119989</v>
      </c>
      <c r="DE3" s="35">
        <f ca="1">SUMIF(Assumptions!$G$3:$G$103,'non-road'!$DA3,Assumptions!BG$3:BG$103)</f>
        <v>1.2678635231999997</v>
      </c>
      <c r="DF3" s="35">
        <f ca="1">SUMIF(Assumptions!$G$3:$G$103,'non-road'!$DA3,Assumptions!BH$3:BH$103)</f>
        <v>4.3332710111999999</v>
      </c>
      <c r="DG3" s="35">
        <f ca="1">SUMIF(Assumptions!$G$3:$G$103,'non-road'!$DA3,Assumptions!BI$3:BI$103)</f>
        <v>1.77212715804</v>
      </c>
      <c r="DH3" s="35">
        <f ca="1">SUMIF(Assumptions!$G$3:$G$103,'non-road'!$DA3,Assumptions!BJ$3:BJ$103)</f>
        <v>36.547546025520006</v>
      </c>
      <c r="DI3" s="35">
        <f ca="1">SUMIF(Assumptions!$G$3:$G$103,'non-road'!$DA3,Assumptions!BK$3:BK$103)</f>
        <v>138.68937280367999</v>
      </c>
      <c r="DJ3" s="35">
        <f ca="1">SUMIF(Assumptions!$G$3:$G$103,'non-road'!$DA3,Assumptions!BL$3:BL$103)</f>
        <v>0.99851076935999994</v>
      </c>
      <c r="DK3" s="35">
        <f ca="1">SUMIF(Assumptions!$G$3:$G$103,'non-road'!$DA3,Assumptions!BM$3:BM$103)</f>
        <v>3.8768168642399998</v>
      </c>
      <c r="DL3" s="35">
        <f ca="1">SUMIF(Assumptions!$G$3:$G$103,'non-road'!$DA3,Assumptions!BN$3:BN$103)</f>
        <v>4.7294540787599999</v>
      </c>
      <c r="DM3" s="35">
        <f ca="1">SUMIF(Assumptions!$G$3:$G$103,'non-road'!$DA3,Assumptions!BO$3:BO$103)</f>
        <v>10.19603156004</v>
      </c>
      <c r="DN3" s="35">
        <f ca="1">SUMIF(Assumptions!$G$3:$G$103,'non-road'!$DA3,Assumptions!BP$3:BP$103)</f>
        <v>0.40984459596</v>
      </c>
      <c r="DO3" s="35">
        <f ca="1">SUMIF(Assumptions!$G$3:$G$103,'non-road'!$DA3,Assumptions!BQ$3:BQ$103)</f>
        <v>7.5946374864000008</v>
      </c>
      <c r="DP3" s="35">
        <f ca="1">SUMIF(Assumptions!$G$3:$G$103,'non-road'!$DA3,Assumptions!BR$3:BR$103)</f>
        <v>0</v>
      </c>
      <c r="DQ3" s="35">
        <f ca="1">SUMIF(Assumptions!$G$3:$G$103,'non-road'!$DA3,Assumptions!BS$3:BS$103)</f>
        <v>75.657849078239991</v>
      </c>
      <c r="DR3" s="35">
        <f ca="1">SUMIF(Assumptions!$G$3:$G$103,'non-road'!$DA3,Assumptions!BT$3:BT$103)</f>
        <v>1.47555434268</v>
      </c>
      <c r="DS3" s="35">
        <f ca="1">SUMIF(Assumptions!$G$3:$G$103,'non-road'!$DA3,Assumptions!BU$3:BU$103)</f>
        <v>1.6486203261600001</v>
      </c>
      <c r="DT3" s="35">
        <f ca="1">SUMIF(Assumptions!$G$3:$G$103,'non-road'!$DA3,Assumptions!BV$3:BV$103)</f>
        <v>2.0095795103760001</v>
      </c>
      <c r="DU3" s="35">
        <f ca="1">SUMIF(Assumptions!$G$3:$G$103,'non-road'!$DA3,Assumptions!BW$3:BW$103)</f>
        <v>1.8450105537600003</v>
      </c>
      <c r="DV3" s="35">
        <f ca="1">SUMIF(Assumptions!$G$3:$G$103,'non-road'!$DA3,Assumptions!BX$3:BX$103)</f>
        <v>2.40085514592</v>
      </c>
      <c r="DW3" s="35">
        <f ca="1">SUMIF(Assumptions!$G$3:$G$103,'non-road'!$DA3,Assumptions!BY$3:BY$103)</f>
        <v>673.27787733289369</v>
      </c>
      <c r="DX3" s="35">
        <f ca="1">SUMIF(Assumptions!$G$3:$G$103,'non-road'!$DA3,Assumptions!BZ$3:BZ$103)</f>
        <v>0.51252837803999995</v>
      </c>
      <c r="DY3" s="35">
        <f ca="1">SUMIF(Assumptions!$G$3:$G$103,'non-road'!$DA3,Assumptions!CA$3:CA$103)</f>
        <v>4.3567505856000004</v>
      </c>
      <c r="DZ3" s="35">
        <f ca="1">SUMIF(Assumptions!$G$3:$G$103,'non-road'!$DA3,Assumptions!CB$3:CB$103)</f>
        <v>66.026571620759995</v>
      </c>
      <c r="EA3" s="35">
        <f ca="1">SUMIF(Assumptions!$G$3:$G$103,'non-road'!$DA3,Assumptions!CC$3:CC$103)</f>
        <v>194.24876774148004</v>
      </c>
      <c r="EB3" s="35">
        <f ca="1">SUMIF(Assumptions!$G$3:$G$103,'non-road'!$DA3,Assumptions!CD$3:CD$103)</f>
        <v>0</v>
      </c>
      <c r="EC3" s="35">
        <f ca="1">SUMIF(Assumptions!$G$3:$G$103,'non-road'!$DA3,Assumptions!CE$3:CE$103)</f>
        <v>9.1734291061199986</v>
      </c>
      <c r="ED3" s="35">
        <f ca="1">SUMIF(Assumptions!$G$3:$G$103,'non-road'!$DA3,Assumptions!CF$3:CF$103)</f>
        <v>3.4793162107200004</v>
      </c>
      <c r="EE3" s="35">
        <f ca="1">SUMIF(Assumptions!$G$3:$G$103,'non-road'!$DA3,Assumptions!CG$3:CG$103)</f>
        <v>4.0980201620399992</v>
      </c>
      <c r="EF3" s="35">
        <f ca="1">SUMIF(Assumptions!$G$3:$G$103,'non-road'!$DA3,Assumptions!CH$3:CH$103)</f>
        <v>0.35317835135999998</v>
      </c>
      <c r="EG3" s="35">
        <f ca="1">SUMIF(Assumptions!$G$3:$G$103,'non-road'!$DA3,Assumptions!CI$3:CI$103)</f>
        <v>3.8630414548799998</v>
      </c>
      <c r="EH3" s="35">
        <f ca="1">SUMIF(Assumptions!$G$3:$G$103,'non-road'!$DA3,Assumptions!CJ$3:CJ$103)</f>
        <v>24.738562744559999</v>
      </c>
      <c r="EI3" s="35">
        <f ca="1">SUMIF(Assumptions!$G$3:$G$103,'non-road'!$DA3,Assumptions!CK$3:CK$103)</f>
        <v>5.2899958418399997</v>
      </c>
      <c r="EJ3" s="35">
        <f ca="1">SUMIF(Assumptions!$G$3:$G$103,'non-road'!$DA3,Assumptions!CL$3:CL$103)</f>
        <v>0.87357288924000009</v>
      </c>
      <c r="EK3" s="35">
        <f ca="1">SUMIF(Assumptions!$G$3:$G$103,'non-road'!$DA3,Assumptions!CM$3:CM$103)</f>
        <v>0</v>
      </c>
      <c r="EL3" s="35">
        <f ca="1">SUMIF(Assumptions!$G$3:$G$103,'non-road'!$DA3,Assumptions!CN$3:CN$103)</f>
        <v>0</v>
      </c>
      <c r="EM3" s="35">
        <f ca="1">SUMIF(Assumptions!$G$3:$G$103,'non-road'!$DA3,Assumptions!CO$3:CO$103)</f>
        <v>0</v>
      </c>
      <c r="EN3" s="35">
        <f ca="1">SUMIF(Assumptions!$G$3:$G$103,'non-road'!$DA3,Assumptions!CP$3:CP$103)</f>
        <v>0</v>
      </c>
      <c r="EO3" s="35">
        <f ca="1">SUMIF(Assumptions!$G$3:$G$103,'non-road'!$DA3,Assumptions!CQ$3:CQ$103)</f>
        <v>0</v>
      </c>
      <c r="EP3" s="35">
        <f ca="1">SUMIF(Assumptions!$G$3:$G$103,'non-road'!$DA3,Assumptions!CR$3:CR$103)</f>
        <v>0</v>
      </c>
      <c r="EQ3" s="35">
        <f ca="1">SUMIF(Assumptions!$G$3:$G$103,'non-road'!$DA3,Assumptions!CS$3:CS$103)</f>
        <v>0</v>
      </c>
      <c r="ER3" s="35">
        <f ca="1">SUMIF(Assumptions!$G$3:$G$103,'non-road'!$DA3,Assumptions!CT$3:CT$103)</f>
        <v>0</v>
      </c>
      <c r="ES3" s="35">
        <f ca="1">SUMIF(Assumptions!$G$3:$G$103,'non-road'!$DA3,Assumptions!CU$3:CU$103)</f>
        <v>0</v>
      </c>
      <c r="ET3" s="35">
        <f ca="1">SUMIF(Assumptions!$G$3:$G$103,'non-road'!$DA3,Assumptions!CV$3:CV$103)</f>
        <v>0</v>
      </c>
      <c r="EU3" s="35">
        <f ca="1">SUMIF(Assumptions!$G$3:$G$103,'non-road'!$DA3,Assumptions!CW$3:CW$103)</f>
        <v>0</v>
      </c>
      <c r="EV3" s="27"/>
      <c r="EW3" s="27" t="str">
        <f>IF(EX3="","\I:","DMD")</f>
        <v>DMD</v>
      </c>
      <c r="EX3" s="27" t="str">
        <f t="shared" ref="EX3:EX9" si="47">C4</f>
        <v>TTF_Generic</v>
      </c>
      <c r="EY3" s="27" t="s">
        <v>165</v>
      </c>
      <c r="EZ3" s="27" t="s">
        <v>160</v>
      </c>
      <c r="FA3" s="27" t="s">
        <v>161</v>
      </c>
      <c r="FB3" s="27"/>
      <c r="FC3" s="27"/>
      <c r="FD3" s="27"/>
    </row>
    <row r="4" spans="1:160">
      <c r="A4" s="27" t="s">
        <v>28</v>
      </c>
      <c r="B4" s="27"/>
      <c r="C4" s="27" t="str">
        <f>IF(F4&lt;&gt;F3,F4&amp;"_Generic","")</f>
        <v>TTF_Generic</v>
      </c>
      <c r="D4" s="27" t="s">
        <v>29</v>
      </c>
      <c r="E4" s="27"/>
      <c r="F4" s="27" t="s">
        <v>55</v>
      </c>
      <c r="G4" s="33">
        <f ca="1">SUMIFS(Assumptions!BD$3:BD$103,Assumptions!$G$3:$G$103,'non-road'!$F4,Assumptions!$B$3:$B$103,'non-road'!$D4)/SUMIF(Assumptions!$G$3:$G$103,'non-road'!$F4,Assumptions!BD$3:BD$103)</f>
        <v>0</v>
      </c>
      <c r="H4" s="33">
        <f ca="1">SUMIFS(Assumptions!BE$3:BE$103,Assumptions!$G$3:$G$103,'non-road'!$F4,Assumptions!$B$3:$B$103,'non-road'!$D4)/SUMIF(Assumptions!$G$3:$G$103,'non-road'!$F4,Assumptions!BE$3:BE$103)</f>
        <v>1.0896383111074381E-2</v>
      </c>
      <c r="I4" s="33">
        <f ca="1">SUMIFS(Assumptions!BF$3:BF$103,Assumptions!$G$3:$G$103,'non-road'!$F4,Assumptions!$B$3:$B$103,'non-road'!$D4)/SUMIF(Assumptions!$G$3:$G$103,'non-road'!$F4,Assumptions!BF$3:BF$103)</f>
        <v>0</v>
      </c>
      <c r="J4" s="33">
        <f ca="1">SUMIFS(Assumptions!BG$3:BG$103,Assumptions!$G$3:$G$103,'non-road'!$F4,Assumptions!$B$3:$B$103,'non-road'!$D4)/SUMIF(Assumptions!$G$3:$G$103,'non-road'!$F4,Assumptions!BG$3:BG$103)</f>
        <v>3.391408871159486E-3</v>
      </c>
      <c r="K4" s="33">
        <f ca="1">SUMIFS(Assumptions!BH$3:BH$103,Assumptions!$G$3:$G$103,'non-road'!$F4,Assumptions!$B$3:$B$103,'non-road'!$D4)/SUMIF(Assumptions!$G$3:$G$103,'non-road'!$F4,Assumptions!BH$3:BH$103)</f>
        <v>0</v>
      </c>
      <c r="L4" s="33">
        <f ca="1">SUMIFS(Assumptions!BI$3:BI$103,Assumptions!$G$3:$G$103,'non-road'!$F4,Assumptions!$B$3:$B$103,'non-road'!$D4)/SUMIF(Assumptions!$G$3:$G$103,'non-road'!$F4,Assumptions!BI$3:BI$103)</f>
        <v>1.4837030108539489E-3</v>
      </c>
      <c r="M4" s="33">
        <f ca="1">SUMIFS(Assumptions!BJ$3:BJ$103,Assumptions!$G$3:$G$103,'non-road'!$F4,Assumptions!$B$3:$B$103,'non-road'!$D4)/SUMIF(Assumptions!$G$3:$G$103,'non-road'!$F4,Assumptions!BJ$3:BJ$103)</f>
        <v>0</v>
      </c>
      <c r="N4" s="33">
        <f ca="1">SUMIFS(Assumptions!BK$3:BK$103,Assumptions!$G$3:$G$103,'non-road'!$F4,Assumptions!$B$3:$B$103,'non-road'!$D4)/SUMIF(Assumptions!$G$3:$G$103,'non-road'!$F4,Assumptions!BK$3:BK$103)</f>
        <v>0</v>
      </c>
      <c r="O4" s="33">
        <f ca="1">SUMIFS(Assumptions!BL$3:BL$103,Assumptions!$G$3:$G$103,'non-road'!$F4,Assumptions!$B$3:$B$103,'non-road'!$D4)/SUMIF(Assumptions!$G$3:$G$103,'non-road'!$F4,Assumptions!BL$3:BL$103)</f>
        <v>3.4450052874290013E-3</v>
      </c>
      <c r="P4" s="33">
        <f ca="1">SUMIFS(Assumptions!BM$3:BM$103,Assumptions!$G$3:$G$103,'non-road'!$F4,Assumptions!$B$3:$B$103,'non-road'!$D4)/SUMIF(Assumptions!$G$3:$G$103,'non-road'!$F4,Assumptions!BM$3:BM$103)</f>
        <v>2.7163107592559441E-3</v>
      </c>
      <c r="Q4" s="33">
        <f ca="1">SUMIFS(Assumptions!BN$3:BN$103,Assumptions!$G$3:$G$103,'non-road'!$F4,Assumptions!$B$3:$B$103,'non-road'!$D4)/SUMIF(Assumptions!$G$3:$G$103,'non-road'!$F4,Assumptions!BN$3:BN$103)</f>
        <v>0</v>
      </c>
      <c r="R4" s="33">
        <f ca="1">SUMIFS(Assumptions!BO$3:BO$103,Assumptions!$G$3:$G$103,'non-road'!$F4,Assumptions!$B$3:$B$103,'non-road'!$D4)/SUMIF(Assumptions!$G$3:$G$103,'non-road'!$F4,Assumptions!BO$3:BO$103)</f>
        <v>0</v>
      </c>
      <c r="S4" s="33">
        <f ca="1">SUMIFS(Assumptions!BP$3:BP$103,Assumptions!$G$3:$G$103,'non-road'!$F4,Assumptions!$B$3:$B$103,'non-road'!$D4)/SUMIF(Assumptions!$G$3:$G$103,'non-road'!$F4,Assumptions!BP$3:BP$103)</f>
        <v>0</v>
      </c>
      <c r="T4" s="33">
        <f ca="1">SUMIFS(Assumptions!BQ$3:BQ$103,Assumptions!$G$3:$G$103,'non-road'!$F4,Assumptions!$B$3:$B$103,'non-road'!$D4)/SUMIF(Assumptions!$G$3:$G$103,'non-road'!$F4,Assumptions!BQ$3:BQ$103)</f>
        <v>0</v>
      </c>
      <c r="U4" s="33" t="e">
        <f ca="1">SUMIFS(Assumptions!BR$3:BR$103,Assumptions!$G$3:$G$103,'non-road'!$F4,Assumptions!$B$3:$B$103,'non-road'!$D4)/SUMIF(Assumptions!$G$3:$G$103,'non-road'!$F4,Assumptions!BR$3:BR$103)</f>
        <v>#DIV/0!</v>
      </c>
      <c r="V4" s="33">
        <f ca="1">SUMIFS(Assumptions!BS$3:BS$103,Assumptions!$G$3:$G$103,'non-road'!$F4,Assumptions!$B$3:$B$103,'non-road'!$D4)/SUMIF(Assumptions!$G$3:$G$103,'non-road'!$F4,Assumptions!BS$3:BS$103)</f>
        <v>0</v>
      </c>
      <c r="W4" s="33">
        <f ca="1">SUMIFS(Assumptions!BT$3:BT$103,Assumptions!$G$3:$G$103,'non-road'!$F4,Assumptions!$B$3:$B$103,'non-road'!$D4)/SUMIF(Assumptions!$G$3:$G$103,'non-road'!$F4,Assumptions!BT$3:BT$103)</f>
        <v>0</v>
      </c>
      <c r="X4" s="33">
        <f ca="1">SUMIFS(Assumptions!BU$3:BU$103,Assumptions!$G$3:$G$103,'non-road'!$F4,Assumptions!$B$3:$B$103,'non-road'!$D4)/SUMIF(Assumptions!$G$3:$G$103,'non-road'!$F4,Assumptions!BU$3:BU$103)</f>
        <v>0</v>
      </c>
      <c r="Y4" s="33">
        <f ca="1">SUMIFS(Assumptions!BV$3:BV$103,Assumptions!$G$3:$G$103,'non-road'!$F4,Assumptions!$B$3:$B$103,'non-road'!$D4)/SUMIF(Assumptions!$G$3:$G$103,'non-road'!$F4,Assumptions!BV$3:BV$103)</f>
        <v>1.253636038281776E-3</v>
      </c>
      <c r="Z4" s="33">
        <f ca="1">SUMIFS(Assumptions!BW$3:BW$103,Assumptions!$G$3:$G$103,'non-road'!$F4,Assumptions!$B$3:$B$103,'non-road'!$D4)/SUMIF(Assumptions!$G$3:$G$103,'non-road'!$F4,Assumptions!BW$3:BW$103)</f>
        <v>0</v>
      </c>
      <c r="AA4" s="33">
        <f ca="1">SUMIFS(Assumptions!BX$3:BX$103,Assumptions!$G$3:$G$103,'non-road'!$F4,Assumptions!$B$3:$B$103,'non-road'!$D4)/SUMIF(Assumptions!$G$3:$G$103,'non-road'!$F4,Assumptions!BX$3:BX$103)</f>
        <v>0</v>
      </c>
      <c r="AB4" s="33">
        <f ca="1">SUMIFS(Assumptions!BY$3:BY$103,Assumptions!$G$3:$G$103,'non-road'!$F4,Assumptions!$B$3:$B$103,'non-road'!$D4)/SUMIF(Assumptions!$G$3:$G$103,'non-road'!$F4,Assumptions!BY$3:BY$103)</f>
        <v>0</v>
      </c>
      <c r="AC4" s="33">
        <f ca="1">SUMIFS(Assumptions!BZ$3:BZ$103,Assumptions!$G$3:$G$103,'non-road'!$F4,Assumptions!$B$3:$B$103,'non-road'!$D4)/SUMIF(Assumptions!$G$3:$G$103,'non-road'!$F4,Assumptions!BZ$3:BZ$103)</f>
        <v>0</v>
      </c>
      <c r="AD4" s="33">
        <f ca="1">SUMIFS(Assumptions!CA$3:CA$103,Assumptions!$G$3:$G$103,'non-road'!$F4,Assumptions!$B$3:$B$103,'non-road'!$D4)/SUMIF(Assumptions!$G$3:$G$103,'non-road'!$F4,Assumptions!CA$3:CA$103)</f>
        <v>0</v>
      </c>
      <c r="AE4" s="33">
        <f ca="1">SUMIFS(Assumptions!CB$3:CB$103,Assumptions!$G$3:$G$103,'non-road'!$F4,Assumptions!$B$3:$B$103,'non-road'!$D4)/SUMIF(Assumptions!$G$3:$G$103,'non-road'!$F4,Assumptions!CB$3:CB$103)</f>
        <v>1.7711001152637761E-2</v>
      </c>
      <c r="AF4" s="33">
        <f ca="1">SUMIFS(Assumptions!CC$3:CC$103,Assumptions!$G$3:$G$103,'non-road'!$F4,Assumptions!$B$3:$B$103,'non-road'!$D4)/SUMIF(Assumptions!$G$3:$G$103,'non-road'!$F4,Assumptions!CC$3:CC$103)</f>
        <v>9.9882055209850849E-4</v>
      </c>
      <c r="AG4" s="33" t="e">
        <f ca="1">SUMIFS(Assumptions!CD$3:CD$103,Assumptions!$G$3:$G$103,'non-road'!$F4,Assumptions!$B$3:$B$103,'non-road'!$D4)/SUMIF(Assumptions!$G$3:$G$103,'non-road'!$F4,Assumptions!CD$3:CD$103)</f>
        <v>#DIV/0!</v>
      </c>
      <c r="AH4" s="33">
        <f ca="1">SUMIFS(Assumptions!CE$3:CE$103,Assumptions!$G$3:$G$103,'non-road'!$F4,Assumptions!$B$3:$B$103,'non-road'!$D4)/SUMIF(Assumptions!$G$3:$G$103,'non-road'!$F4,Assumptions!CE$3:CE$103)</f>
        <v>0</v>
      </c>
      <c r="AI4" s="33">
        <f ca="1">SUMIFS(Assumptions!CF$3:CF$103,Assumptions!$G$3:$G$103,'non-road'!$F4,Assumptions!$B$3:$B$103,'non-road'!$D4)/SUMIF(Assumptions!$G$3:$G$103,'non-road'!$F4,Assumptions!CF$3:CF$103)</f>
        <v>0</v>
      </c>
      <c r="AJ4" s="33">
        <f ca="1">SUMIFS(Assumptions!CG$3:CG$103,Assumptions!$G$3:$G$103,'non-road'!$F4,Assumptions!$B$3:$B$103,'non-road'!$D4)/SUMIF(Assumptions!$G$3:$G$103,'non-road'!$F4,Assumptions!CG$3:CG$103)</f>
        <v>0</v>
      </c>
      <c r="AK4" s="33">
        <f ca="1">SUMIFS(Assumptions!CH$3:CH$103,Assumptions!$G$3:$G$103,'non-road'!$F4,Assumptions!$B$3:$B$103,'non-road'!$D4)/SUMIF(Assumptions!$G$3:$G$103,'non-road'!$F4,Assumptions!CH$3:CH$103)</f>
        <v>0</v>
      </c>
      <c r="AL4" s="33">
        <f ca="1">SUMIFS(Assumptions!CI$3:CI$103,Assumptions!$G$3:$G$103,'non-road'!$F4,Assumptions!$B$3:$B$103,'non-road'!$D4)/SUMIF(Assumptions!$G$3:$G$103,'non-road'!$F4,Assumptions!CI$3:CI$103)</f>
        <v>0</v>
      </c>
      <c r="AM4" s="33">
        <f ca="1">SUMIFS(Assumptions!CJ$3:CJ$103,Assumptions!$G$3:$G$103,'non-road'!$F4,Assumptions!$B$3:$B$103,'non-road'!$D4)/SUMIF(Assumptions!$G$3:$G$103,'non-road'!$F4,Assumptions!CJ$3:CJ$103)</f>
        <v>1.6600932569953326E-2</v>
      </c>
      <c r="AN4" s="33">
        <f ca="1">SUMIFS(Assumptions!CK$3:CK$103,Assumptions!$G$3:$G$103,'non-road'!$F4,Assumptions!$B$3:$B$103,'non-road'!$D4)/SUMIF(Assumptions!$G$3:$G$103,'non-road'!$F4,Assumptions!CK$3:CK$103)</f>
        <v>2.992021013478658E-2</v>
      </c>
      <c r="AO4" s="33">
        <f ca="1">SUMIFS(Assumptions!CL$3:CL$103,Assumptions!$G$3:$G$103,'non-road'!$F4,Assumptions!$B$3:$B$103,'non-road'!$D4)/SUMIF(Assumptions!$G$3:$G$103,'non-road'!$F4,Assumptions!CL$3:CL$103)</f>
        <v>0</v>
      </c>
      <c r="AP4" s="33" t="e">
        <f ca="1">SUMIFS(Assumptions!CM$3:CM$103,Assumptions!$G$3:$G$103,'non-road'!$F4,Assumptions!$B$3:$B$103,'non-road'!$D4)/SUMIF(Assumptions!$G$3:$G$103,'non-road'!$F4,Assumptions!CM$3:CM$103)</f>
        <v>#DIV/0!</v>
      </c>
      <c r="AQ4" s="33" t="e">
        <f ca="1">SUMIFS(Assumptions!CN$3:CN$103,Assumptions!$G$3:$G$103,'non-road'!$F4,Assumptions!$B$3:$B$103,'non-road'!$D4)/SUMIF(Assumptions!$G$3:$G$103,'non-road'!$F4,Assumptions!CN$3:CN$103)</f>
        <v>#DIV/0!</v>
      </c>
      <c r="AR4" s="33" t="e">
        <f ca="1">SUMIFS(Assumptions!CO$3:CO$103,Assumptions!$G$3:$G$103,'non-road'!$F4,Assumptions!$B$3:$B$103,'non-road'!$D4)/SUMIF(Assumptions!$G$3:$G$103,'non-road'!$F4,Assumptions!CO$3:CO$103)</f>
        <v>#DIV/0!</v>
      </c>
      <c r="AS4" s="33" t="e">
        <f ca="1">SUMIFS(Assumptions!CP$3:CP$103,Assumptions!$G$3:$G$103,'non-road'!$F4,Assumptions!$B$3:$B$103,'non-road'!$D4)/SUMIF(Assumptions!$G$3:$G$103,'non-road'!$F4,Assumptions!CP$3:CP$103)</f>
        <v>#DIV/0!</v>
      </c>
      <c r="AT4" s="33" t="e">
        <f ca="1">SUMIFS(Assumptions!CQ$3:CQ$103,Assumptions!$G$3:$G$103,'non-road'!$F4,Assumptions!$B$3:$B$103,'non-road'!$D4)/SUMIF(Assumptions!$G$3:$G$103,'non-road'!$F4,Assumptions!CQ$3:CQ$103)</f>
        <v>#DIV/0!</v>
      </c>
      <c r="AU4" s="33" t="e">
        <f ca="1">SUMIFS(Assumptions!CR$3:CR$103,Assumptions!$G$3:$G$103,'non-road'!$F4,Assumptions!$B$3:$B$103,'non-road'!$D4)/SUMIF(Assumptions!$G$3:$G$103,'non-road'!$F4,Assumptions!CR$3:CR$103)</f>
        <v>#DIV/0!</v>
      </c>
      <c r="AV4" s="33" t="e">
        <f ca="1">SUMIFS(Assumptions!CS$3:CS$103,Assumptions!$G$3:$G$103,'non-road'!$F4,Assumptions!$B$3:$B$103,'non-road'!$D4)/SUMIF(Assumptions!$G$3:$G$103,'non-road'!$F4,Assumptions!CS$3:CS$103)</f>
        <v>#DIV/0!</v>
      </c>
      <c r="AW4" s="33" t="e">
        <f ca="1">SUMIFS(Assumptions!CT$3:CT$103,Assumptions!$G$3:$G$103,'non-road'!$F4,Assumptions!$B$3:$B$103,'non-road'!$D4)/SUMIF(Assumptions!$G$3:$G$103,'non-road'!$F4,Assumptions!CT$3:CT$103)</f>
        <v>#DIV/0!</v>
      </c>
      <c r="AX4" s="33" t="e">
        <f ca="1">SUMIFS(Assumptions!CU$3:CU$103,Assumptions!$G$3:$G$103,'non-road'!$F4,Assumptions!$B$3:$B$103,'non-road'!$D4)/SUMIF(Assumptions!$G$3:$G$103,'non-road'!$F4,Assumptions!CU$3:CU$103)</f>
        <v>#DIV/0!</v>
      </c>
      <c r="AY4" s="33" t="e">
        <f ca="1">SUMIFS(Assumptions!CV$3:CV$103,Assumptions!$G$3:$G$103,'non-road'!$F4,Assumptions!$B$3:$B$103,'non-road'!$D4)/SUMIF(Assumptions!$G$3:$G$103,'non-road'!$F4,Assumptions!CV$3:CV$103)</f>
        <v>#DIV/0!</v>
      </c>
      <c r="AZ4" s="33" t="e">
        <f ca="1">SUMIFS(Assumptions!CW$3:CW$103,Assumptions!$G$3:$G$103,'non-road'!$F4,Assumptions!$B$3:$B$103,'non-road'!$D4)/SUMIF(Assumptions!$G$3:$G$103,'non-road'!$F4,Assumptions!CW$3:CW$103)</f>
        <v>#DIV/0!</v>
      </c>
      <c r="BA4" s="34"/>
      <c r="BB4" s="33"/>
      <c r="BC4" s="33"/>
      <c r="BD4" s="27" t="str">
        <f>IF(C4="","\I:",C4)</f>
        <v>TTF_Generic</v>
      </c>
      <c r="BE4" s="33">
        <f>VLOOKUP($F4,Assumptions!$E$152:$BC$157,COLUMN()-COLUMN($BC$4),FALSE)</f>
        <v>1</v>
      </c>
      <c r="BF4" s="33">
        <f>VLOOKUP($F4,Assumptions!$E$152:$BC$157,COLUMN()-COLUMN($BC$4),FALSE)</f>
        <v>1</v>
      </c>
      <c r="BG4" s="33">
        <f>VLOOKUP($F4,Assumptions!$E$152:$BC$157,COLUMN()-COLUMN($BC$4),FALSE)</f>
        <v>1</v>
      </c>
      <c r="BH4" s="33">
        <f>VLOOKUP($F4,Assumptions!$E$152:$BC$157,COLUMN()-COLUMN($BC$4),FALSE)</f>
        <v>1</v>
      </c>
      <c r="BI4" s="33">
        <f>VLOOKUP($F4,Assumptions!$E$152:$BC$157,COLUMN()-COLUMN($BC$4),FALSE)</f>
        <v>1</v>
      </c>
      <c r="BJ4" s="33">
        <f>VLOOKUP($F4,Assumptions!$E$152:$BC$157,COLUMN()-COLUMN($BC$4),FALSE)</f>
        <v>1</v>
      </c>
      <c r="BK4" s="33">
        <f>VLOOKUP($F4,Assumptions!$E$152:$BC$157,COLUMN()-COLUMN($BC$4),FALSE)</f>
        <v>1</v>
      </c>
      <c r="BL4" s="33">
        <f>VLOOKUP($F4,Assumptions!$E$152:$BC$157,COLUMN()-COLUMN($BC$4),FALSE)</f>
        <v>1</v>
      </c>
      <c r="BM4" s="33">
        <f>VLOOKUP($F4,Assumptions!$E$152:$BC$157,COLUMN()-COLUMN($BC$4),FALSE)</f>
        <v>1</v>
      </c>
      <c r="BN4" s="33">
        <f>VLOOKUP($F4,Assumptions!$E$152:$BC$157,COLUMN()-COLUMN($BC$4),FALSE)</f>
        <v>1</v>
      </c>
      <c r="BO4" s="33">
        <f>VLOOKUP($F4,Assumptions!$E$152:$BC$157,COLUMN()-COLUMN($BC$4),FALSE)</f>
        <v>1</v>
      </c>
      <c r="BP4" s="33">
        <f>VLOOKUP($F4,Assumptions!$E$152:$BC$157,COLUMN()-COLUMN($BC$4),FALSE)</f>
        <v>1</v>
      </c>
      <c r="BQ4" s="33">
        <f>VLOOKUP($F4,Assumptions!$E$152:$BC$157,COLUMN()-COLUMN($BC$4),FALSE)</f>
        <v>1</v>
      </c>
      <c r="BR4" s="33">
        <f>VLOOKUP($F4,Assumptions!$E$152:$BC$157,COLUMN()-COLUMN($BC$4),FALSE)</f>
        <v>1</v>
      </c>
      <c r="BS4" s="33">
        <f>VLOOKUP($F4,Assumptions!$E$152:$BC$157,COLUMN()-COLUMN($BC$4),FALSE)</f>
        <v>1</v>
      </c>
      <c r="BT4" s="33">
        <f>VLOOKUP($F4,Assumptions!$E$152:$BC$157,COLUMN()-COLUMN($BC$4),FALSE)</f>
        <v>1</v>
      </c>
      <c r="BU4" s="33">
        <f>VLOOKUP($F4,Assumptions!$E$152:$BC$157,COLUMN()-COLUMN($BC$4),FALSE)</f>
        <v>1</v>
      </c>
      <c r="BV4" s="33">
        <f>VLOOKUP($F4,Assumptions!$E$152:$BC$157,COLUMN()-COLUMN($BC$4),FALSE)</f>
        <v>1</v>
      </c>
      <c r="BW4" s="33">
        <f>VLOOKUP($F4,Assumptions!$E$152:$BC$157,COLUMN()-COLUMN($BC$4),FALSE)</f>
        <v>1</v>
      </c>
      <c r="BX4" s="33">
        <f>VLOOKUP($F4,Assumptions!$E$152:$BC$157,COLUMN()-COLUMN($BC$4),FALSE)</f>
        <v>1</v>
      </c>
      <c r="BY4" s="33">
        <f>VLOOKUP($F4,Assumptions!$E$152:$BC$157,COLUMN()-COLUMN($BC$4),FALSE)</f>
        <v>1</v>
      </c>
      <c r="BZ4" s="33">
        <f>VLOOKUP($F4,Assumptions!$E$152:$BC$157,COLUMN()-COLUMN($BC$4),FALSE)</f>
        <v>1</v>
      </c>
      <c r="CA4" s="33">
        <f>VLOOKUP($F4,Assumptions!$E$152:$BC$157,COLUMN()-COLUMN($BC$4),FALSE)</f>
        <v>1</v>
      </c>
      <c r="CB4" s="33">
        <f>VLOOKUP($F4,Assumptions!$E$152:$BC$157,COLUMN()-COLUMN($BC$4),FALSE)</f>
        <v>1</v>
      </c>
      <c r="CC4" s="33">
        <f>VLOOKUP($F4,Assumptions!$E$152:$BC$157,COLUMN()-COLUMN($BC$4),FALSE)</f>
        <v>1</v>
      </c>
      <c r="CD4" s="33">
        <f>VLOOKUP($F4,Assumptions!$E$152:$BC$157,COLUMN()-COLUMN($BC$4),FALSE)</f>
        <v>1</v>
      </c>
      <c r="CE4" s="33">
        <f>VLOOKUP($F4,Assumptions!$E$152:$BC$157,COLUMN()-COLUMN($BC$4),FALSE)</f>
        <v>1</v>
      </c>
      <c r="CF4" s="33">
        <f>VLOOKUP($F4,Assumptions!$E$152:$BC$157,COLUMN()-COLUMN($BC$4),FALSE)</f>
        <v>1</v>
      </c>
      <c r="CG4" s="33">
        <f>VLOOKUP($F4,Assumptions!$E$152:$BC$157,COLUMN()-COLUMN($BC$4),FALSE)</f>
        <v>1</v>
      </c>
      <c r="CH4" s="33">
        <f>VLOOKUP($F4,Assumptions!$E$152:$BC$157,COLUMN()-COLUMN($BC$4),FALSE)</f>
        <v>1</v>
      </c>
      <c r="CI4" s="33">
        <f>VLOOKUP($F4,Assumptions!$E$152:$BC$157,COLUMN()-COLUMN($BC$4),FALSE)</f>
        <v>1</v>
      </c>
      <c r="CJ4" s="33">
        <f>VLOOKUP($F4,Assumptions!$E$152:$BC$157,COLUMN()-COLUMN($BC$4),FALSE)</f>
        <v>1</v>
      </c>
      <c r="CK4" s="33">
        <f>VLOOKUP($F4,Assumptions!$E$152:$BC$157,COLUMN()-COLUMN($BC$4),FALSE)</f>
        <v>1</v>
      </c>
      <c r="CL4" s="33">
        <f>VLOOKUP($F4,Assumptions!$E$152:$BC$157,COLUMN()-COLUMN($BC$4),FALSE)</f>
        <v>1</v>
      </c>
      <c r="CM4" s="33">
        <f>VLOOKUP($F4,Assumptions!$E$152:$BC$157,COLUMN()-COLUMN($BC$4),FALSE)</f>
        <v>1</v>
      </c>
      <c r="CN4" s="33">
        <f>VLOOKUP($F4,Assumptions!$E$152:$BC$157,COLUMN()-COLUMN($BC$4),FALSE)</f>
        <v>1</v>
      </c>
      <c r="CO4" s="33">
        <f>VLOOKUP($F4,Assumptions!$E$152:$BC$157,COLUMN()-COLUMN($BC$4),FALSE)</f>
        <v>1</v>
      </c>
      <c r="CP4" s="33">
        <f>VLOOKUP($F4,Assumptions!$E$152:$BC$157,COLUMN()-COLUMN($BC$4),FALSE)</f>
        <v>1</v>
      </c>
      <c r="CQ4" s="33">
        <f>VLOOKUP($F4,Assumptions!$E$152:$BC$157,COLUMN()-COLUMN($BC$4),FALSE)</f>
        <v>1</v>
      </c>
      <c r="CR4" s="33">
        <f>VLOOKUP($F4,Assumptions!$E$152:$BC$157,COLUMN()-COLUMN($BC$4),FALSE)</f>
        <v>1</v>
      </c>
      <c r="CS4" s="33">
        <f>VLOOKUP($F4,Assumptions!$E$152:$BC$157,COLUMN()-COLUMN($BC$4),FALSE)</f>
        <v>1</v>
      </c>
      <c r="CT4" s="33">
        <f>VLOOKUP($F4,Assumptions!$E$152:$BC$157,COLUMN()-COLUMN($BC$4),FALSE)</f>
        <v>1</v>
      </c>
      <c r="CU4" s="33">
        <f>VLOOKUP($F4,Assumptions!$E$152:$BC$157,COLUMN()-COLUMN($BC$4),FALSE)</f>
        <v>1</v>
      </c>
      <c r="CV4" s="33">
        <f>VLOOKUP($F4,Assumptions!$E$152:$BC$157,COLUMN()-COLUMN($BC$4),FALSE)</f>
        <v>1</v>
      </c>
      <c r="CW4" s="33">
        <f>VLOOKUP($F4,Assumptions!$E$152:$BC$157,COLUMN()-COLUMN($BC$4),FALSE)</f>
        <v>1</v>
      </c>
      <c r="CX4" s="33">
        <f>VLOOKUP($F4,Assumptions!$E$152:$BC$157,COLUMN()-COLUMN($BC$4),FALSE)</f>
        <v>1</v>
      </c>
      <c r="CY4" s="27"/>
      <c r="CZ4" s="27"/>
      <c r="DA4" s="27" t="s">
        <v>57</v>
      </c>
      <c r="DB4" s="35">
        <f ca="1">SUMIF(Assumptions!$G$3:$G$103,'non-road'!$DA4,Assumptions!BD$3:BD$103)</f>
        <v>7.5225989869200003</v>
      </c>
      <c r="DC4" s="35">
        <f ca="1">SUMIF(Assumptions!$G$3:$G$103,'non-road'!$DA4,Assumptions!BE$3:BE$103)</f>
        <v>4.6819188262799996</v>
      </c>
      <c r="DD4" s="35">
        <f ca="1">SUMIF(Assumptions!$G$3:$G$103,'non-road'!$DA4,Assumptions!BF$3:BF$103)</f>
        <v>22.487566987080001</v>
      </c>
      <c r="DE4" s="35">
        <f ca="1">SUMIF(Assumptions!$G$3:$G$103,'non-road'!$DA4,Assumptions!BG$3:BG$103)</f>
        <v>7.2926017343999998</v>
      </c>
      <c r="DF4" s="35">
        <f ca="1">SUMIF(Assumptions!$G$3:$G$103,'non-road'!$DA4,Assumptions!BH$3:BH$103)</f>
        <v>0.74647713240000002</v>
      </c>
      <c r="DG4" s="35">
        <f ca="1">SUMIF(Assumptions!$G$3:$G$103,'non-road'!$DA4,Assumptions!BI$3:BI$103)</f>
        <v>12.35651414436</v>
      </c>
      <c r="DH4" s="35">
        <f ca="1">SUMIF(Assumptions!$G$3:$G$103,'non-road'!$DA4,Assumptions!BJ$3:BJ$103)</f>
        <v>16.732552898880002</v>
      </c>
      <c r="DI4" s="35">
        <f ca="1">SUMIF(Assumptions!$G$3:$G$103,'non-road'!$DA4,Assumptions!BK$3:BK$103)</f>
        <v>326.52113141232002</v>
      </c>
      <c r="DJ4" s="35">
        <f ca="1">SUMIF(Assumptions!$G$3:$G$103,'non-road'!$DA4,Assumptions!BL$3:BL$103)</f>
        <v>1.5901416158400001</v>
      </c>
      <c r="DK4" s="35">
        <f ca="1">SUMIF(Assumptions!$G$3:$G$103,'non-road'!$DA4,Assumptions!BM$3:BM$103)</f>
        <v>7.0776355125600006</v>
      </c>
      <c r="DL4" s="35">
        <f ca="1">SUMIF(Assumptions!$G$3:$G$103,'non-road'!$DA4,Assumptions!BN$3:BN$103)</f>
        <v>31.01840309844</v>
      </c>
      <c r="DM4" s="35">
        <f ca="1">SUMIF(Assumptions!$G$3:$G$103,'non-road'!$DA4,Assumptions!BO$3:BO$103)</f>
        <v>41.701292928359997</v>
      </c>
      <c r="DN4" s="35">
        <f ca="1">SUMIF(Assumptions!$G$3:$G$103,'non-road'!$DA4,Assumptions!BP$3:BP$103)</f>
        <v>0.70057431324000008</v>
      </c>
      <c r="DO4" s="35">
        <f ca="1">SUMIF(Assumptions!$G$3:$G$103,'non-road'!$DA4,Assumptions!BQ$3:BQ$103)</f>
        <v>8.7175707408000012</v>
      </c>
      <c r="DP4" s="35">
        <f ca="1">SUMIF(Assumptions!$G$3:$G$103,'non-road'!$DA4,Assumptions!BR$3:BR$103)</f>
        <v>0</v>
      </c>
      <c r="DQ4" s="35">
        <f ca="1">SUMIF(Assumptions!$G$3:$G$103,'non-road'!$DA4,Assumptions!BS$3:BS$103)</f>
        <v>103.23096836975999</v>
      </c>
      <c r="DR4" s="35">
        <f ca="1">SUMIF(Assumptions!$G$3:$G$103,'non-road'!$DA4,Assumptions!BT$3:BT$103)</f>
        <v>0.35056034532000002</v>
      </c>
      <c r="DS4" s="35">
        <f ca="1">SUMIF(Assumptions!$G$3:$G$103,'non-road'!$DA4,Assumptions!BU$3:BU$103)</f>
        <v>20.16264825144</v>
      </c>
      <c r="DT4" s="35">
        <f ca="1">SUMIF(Assumptions!$G$3:$G$103,'non-road'!$DA4,Assumptions!BV$3:BV$103)</f>
        <v>67.010814948023992</v>
      </c>
      <c r="DU4" s="35">
        <f ca="1">SUMIF(Assumptions!$G$3:$G$103,'non-road'!$DA4,Assumptions!BW$3:BW$103)</f>
        <v>5.334832283039999</v>
      </c>
      <c r="DV4" s="35">
        <f ca="1">SUMIF(Assumptions!$G$3:$G$103,'non-road'!$DA4,Assumptions!BX$3:BX$103)</f>
        <v>1.0289379196799999</v>
      </c>
      <c r="DW4" s="35">
        <f ca="1">SUMIF(Assumptions!$G$3:$G$103,'non-road'!$DA4,Assumptions!BY$3:BY$103)</f>
        <v>58.201769028706366</v>
      </c>
      <c r="DX4" s="35">
        <f ca="1">SUMIF(Assumptions!$G$3:$G$103,'non-road'!$DA4,Assumptions!BZ$3:BZ$103)</f>
        <v>2.1701469747599997</v>
      </c>
      <c r="DY4" s="35">
        <f ca="1">SUMIF(Assumptions!$G$3:$G$103,'non-road'!$DA4,Assumptions!CA$3:CA$103)</f>
        <v>10.553214585600001</v>
      </c>
      <c r="DZ4" s="35">
        <f ca="1">SUMIF(Assumptions!$G$3:$G$103,'non-road'!$DA4,Assumptions!CB$3:CB$103)</f>
        <v>64.300921710839987</v>
      </c>
      <c r="EA4" s="35">
        <f ca="1">SUMIF(Assumptions!$G$3:$G$103,'non-road'!$DA4,Assumptions!CC$3:CC$103)</f>
        <v>172.11817527732001</v>
      </c>
      <c r="EB4" s="35">
        <f ca="1">SUMIF(Assumptions!$G$3:$G$103,'non-road'!$DA4,Assumptions!CD$3:CD$103)</f>
        <v>0</v>
      </c>
      <c r="EC4" s="35">
        <f ca="1">SUMIF(Assumptions!$G$3:$G$103,'non-road'!$DA4,Assumptions!CE$3:CE$103)</f>
        <v>9.6621006790799999</v>
      </c>
      <c r="ED4" s="35">
        <f ca="1">SUMIF(Assumptions!$G$3:$G$103,'non-road'!$DA4,Assumptions!CF$3:CF$103)</f>
        <v>14.619332587680001</v>
      </c>
      <c r="EE4" s="35">
        <f ca="1">SUMIF(Assumptions!$G$3:$G$103,'non-road'!$DA4,Assumptions!CG$3:CG$103)</f>
        <v>13.709968419959999</v>
      </c>
      <c r="EF4" s="35">
        <f ca="1">SUMIF(Assumptions!$G$3:$G$103,'non-road'!$DA4,Assumptions!CH$3:CH$103)</f>
        <v>10.989243847439999</v>
      </c>
      <c r="EG4" s="35">
        <f ca="1">SUMIF(Assumptions!$G$3:$G$103,'non-road'!$DA4,Assumptions!CI$3:CI$103)</f>
        <v>5.62897842912</v>
      </c>
      <c r="EH4" s="35">
        <f ca="1">SUMIF(Assumptions!$G$3:$G$103,'non-road'!$DA4,Assumptions!CJ$3:CJ$103)</f>
        <v>23.059871983440001</v>
      </c>
      <c r="EI4" s="35">
        <f ca="1">SUMIF(Assumptions!$G$3:$G$103,'non-road'!$DA4,Assumptions!CK$3:CK$103)</f>
        <v>15.59563824456</v>
      </c>
      <c r="EJ4" s="35">
        <f ca="1">SUMIF(Assumptions!$G$3:$G$103,'non-road'!$DA4,Assumptions!CL$3:CL$103)</f>
        <v>1.5964925727600001</v>
      </c>
      <c r="EK4" s="35">
        <f ca="1">SUMIF(Assumptions!$G$3:$G$103,'non-road'!$DA4,Assumptions!CM$3:CM$103)</f>
        <v>0</v>
      </c>
      <c r="EL4" s="35">
        <f ca="1">SUMIF(Assumptions!$G$3:$G$103,'non-road'!$DA4,Assumptions!CN$3:CN$103)</f>
        <v>0</v>
      </c>
      <c r="EM4" s="35">
        <f ca="1">SUMIF(Assumptions!$G$3:$G$103,'non-road'!$DA4,Assumptions!CO$3:CO$103)</f>
        <v>0</v>
      </c>
      <c r="EN4" s="35">
        <f ca="1">SUMIF(Assumptions!$G$3:$G$103,'non-road'!$DA4,Assumptions!CP$3:CP$103)</f>
        <v>0</v>
      </c>
      <c r="EO4" s="35">
        <f ca="1">SUMIF(Assumptions!$G$3:$G$103,'non-road'!$DA4,Assumptions!CQ$3:CQ$103)</f>
        <v>0</v>
      </c>
      <c r="EP4" s="35">
        <f ca="1">SUMIF(Assumptions!$G$3:$G$103,'non-road'!$DA4,Assumptions!CR$3:CR$103)</f>
        <v>0</v>
      </c>
      <c r="EQ4" s="35">
        <f ca="1">SUMIF(Assumptions!$G$3:$G$103,'non-road'!$DA4,Assumptions!CS$3:CS$103)</f>
        <v>0</v>
      </c>
      <c r="ER4" s="35">
        <f ca="1">SUMIF(Assumptions!$G$3:$G$103,'non-road'!$DA4,Assumptions!CT$3:CT$103)</f>
        <v>0</v>
      </c>
      <c r="ES4" s="35">
        <f ca="1">SUMIF(Assumptions!$G$3:$G$103,'non-road'!$DA4,Assumptions!CU$3:CU$103)</f>
        <v>0</v>
      </c>
      <c r="ET4" s="35">
        <f ca="1">SUMIF(Assumptions!$G$3:$G$103,'non-road'!$DA4,Assumptions!CV$3:CV$103)</f>
        <v>0</v>
      </c>
      <c r="EU4" s="35">
        <f ca="1">SUMIF(Assumptions!$G$3:$G$103,'non-road'!$DA4,Assumptions!CW$3:CW$103)</f>
        <v>0</v>
      </c>
      <c r="EV4" s="27"/>
      <c r="EW4" s="27" t="str">
        <f t="shared" ref="EW4:EW40" si="48">IF(EX4="","\I:","DMD")</f>
        <v>\I:</v>
      </c>
      <c r="EX4" s="27" t="str">
        <f t="shared" si="47"/>
        <v/>
      </c>
      <c r="EY4" s="27" t="s">
        <v>169</v>
      </c>
      <c r="EZ4" s="27" t="s">
        <v>160</v>
      </c>
      <c r="FA4" s="27" t="s">
        <v>161</v>
      </c>
      <c r="FB4" s="27"/>
      <c r="FC4" s="27"/>
      <c r="FD4" s="27"/>
    </row>
    <row r="5" spans="1:160">
      <c r="A5" s="27" t="s">
        <v>30</v>
      </c>
      <c r="B5" s="27"/>
      <c r="C5" s="27" t="str">
        <f t="shared" ref="C5:C10" si="49">IF(F5&lt;&gt;F4,F5&amp;"_Generic","")</f>
        <v/>
      </c>
      <c r="D5" s="27" t="s">
        <v>41</v>
      </c>
      <c r="E5" s="27"/>
      <c r="F5" s="27" t="s">
        <v>55</v>
      </c>
      <c r="G5" s="33">
        <f ca="1">SUMIFS(Assumptions!BD$3:BD$103,Assumptions!$G$3:$G$103,'non-road'!$F5,Assumptions!$B$3:$B$103,'non-road'!$D5)/SUMIF(Assumptions!$G$3:$G$103,'non-road'!$F5,Assumptions!BD$3:BD$103)</f>
        <v>0.26040953971576131</v>
      </c>
      <c r="H5" s="33">
        <f ca="1">SUMIFS(Assumptions!BE$3:BE$103,Assumptions!$G$3:$G$103,'non-road'!$F5,Assumptions!$B$3:$B$103,'non-road'!$D5)/SUMIF(Assumptions!$G$3:$G$103,'non-road'!$F5,Assumptions!BE$3:BE$103)</f>
        <v>0.98401855746842071</v>
      </c>
      <c r="I5" s="33">
        <f ca="1">SUMIFS(Assumptions!BF$3:BF$103,Assumptions!$G$3:$G$103,'non-road'!$F5,Assumptions!$B$3:$B$103,'non-road'!$D5)/SUMIF(Assumptions!$G$3:$G$103,'non-road'!$F5,Assumptions!BF$3:BF$103)</f>
        <v>0.90449747095787414</v>
      </c>
      <c r="J5" s="33">
        <f ca="1">SUMIFS(Assumptions!BG$3:BG$103,Assumptions!$G$3:$G$103,'non-road'!$F5,Assumptions!$B$3:$B$103,'non-road'!$D5)/SUMIF(Assumptions!$G$3:$G$103,'non-road'!$F5,Assumptions!BG$3:BG$103)</f>
        <v>0.94194119356457884</v>
      </c>
      <c r="K5" s="33">
        <f ca="1">SUMIFS(Assumptions!BH$3:BH$103,Assumptions!$G$3:$G$103,'non-road'!$F5,Assumptions!$B$3:$B$103,'non-road'!$D5)/SUMIF(Assumptions!$G$3:$G$103,'non-road'!$F5,Assumptions!BH$3:BH$103)</f>
        <v>0.95760871665648928</v>
      </c>
      <c r="L5" s="33">
        <f ca="1">SUMIFS(Assumptions!BI$3:BI$103,Assumptions!$G$3:$G$103,'non-road'!$F5,Assumptions!$B$3:$B$103,'non-road'!$D5)/SUMIF(Assumptions!$G$3:$G$103,'non-road'!$F5,Assumptions!BI$3:BI$103)</f>
        <v>0.96329795993198586</v>
      </c>
      <c r="M5" s="33">
        <f ca="1">SUMIFS(Assumptions!BJ$3:BJ$103,Assumptions!$G$3:$G$103,'non-road'!$F5,Assumptions!$B$3:$B$103,'non-road'!$D5)/SUMIF(Assumptions!$G$3:$G$103,'non-road'!$F5,Assumptions!BJ$3:BJ$103)</f>
        <v>0.89277175078667292</v>
      </c>
      <c r="N5" s="33">
        <f ca="1">SUMIFS(Assumptions!BK$3:BK$103,Assumptions!$G$3:$G$103,'non-road'!$F5,Assumptions!$B$3:$B$103,'non-road'!$D5)/SUMIF(Assumptions!$G$3:$G$103,'non-road'!$F5,Assumptions!BK$3:BK$103)</f>
        <v>0.49369974466351607</v>
      </c>
      <c r="O5" s="33">
        <f ca="1">SUMIFS(Assumptions!BL$3:BL$103,Assumptions!$G$3:$G$103,'non-road'!$F5,Assumptions!$B$3:$B$103,'non-road'!$D5)/SUMIF(Assumptions!$G$3:$G$103,'non-road'!$F5,Assumptions!BL$3:BL$103)</f>
        <v>0.82995108394391048</v>
      </c>
      <c r="P5" s="33">
        <f ca="1">SUMIFS(Assumptions!BM$3:BM$103,Assumptions!$G$3:$G$103,'non-road'!$F5,Assumptions!$B$3:$B$103,'non-road'!$D5)/SUMIF(Assumptions!$G$3:$G$103,'non-road'!$F5,Assumptions!BM$3:BM$103)</f>
        <v>0.76149556061599954</v>
      </c>
      <c r="Q5" s="33">
        <f ca="1">SUMIFS(Assumptions!BN$3:BN$103,Assumptions!$G$3:$G$103,'non-road'!$F5,Assumptions!$B$3:$B$103,'non-road'!$D5)/SUMIF(Assumptions!$G$3:$G$103,'non-road'!$F5,Assumptions!BN$3:BN$103)</f>
        <v>0.93493147683533806</v>
      </c>
      <c r="R5" s="33">
        <f ca="1">SUMIFS(Assumptions!BO$3:BO$103,Assumptions!$G$3:$G$103,'non-road'!$F5,Assumptions!$B$3:$B$103,'non-road'!$D5)/SUMIF(Assumptions!$G$3:$G$103,'non-road'!$F5,Assumptions!BO$3:BO$103)</f>
        <v>0.94759202872868475</v>
      </c>
      <c r="S5" s="33">
        <f ca="1">SUMIFS(Assumptions!BP$3:BP$103,Assumptions!$G$3:$G$103,'non-road'!$F5,Assumptions!$B$3:$B$103,'non-road'!$D5)/SUMIF(Assumptions!$G$3:$G$103,'non-road'!$F5,Assumptions!BP$3:BP$103)</f>
        <v>0.97532937581788492</v>
      </c>
      <c r="T5" s="33">
        <f ca="1">SUMIFS(Assumptions!BQ$3:BQ$103,Assumptions!$G$3:$G$103,'non-road'!$F5,Assumptions!$B$3:$B$103,'non-road'!$D5)/SUMIF(Assumptions!$G$3:$G$103,'non-road'!$F5,Assumptions!BQ$3:BQ$103)</f>
        <v>0.88336589582501812</v>
      </c>
      <c r="U5" s="33" t="e">
        <f ca="1">SUMIFS(Assumptions!BR$3:BR$103,Assumptions!$G$3:$G$103,'non-road'!$F5,Assumptions!$B$3:$B$103,'non-road'!$D5)/SUMIF(Assumptions!$G$3:$G$103,'non-road'!$F5,Assumptions!BR$3:BR$103)</f>
        <v>#DIV/0!</v>
      </c>
      <c r="V5" s="33">
        <f ca="1">SUMIFS(Assumptions!BS$3:BS$103,Assumptions!$G$3:$G$103,'non-road'!$F5,Assumptions!$B$3:$B$103,'non-road'!$D5)/SUMIF(Assumptions!$G$3:$G$103,'non-road'!$F5,Assumptions!BS$3:BS$103)</f>
        <v>0.72666630467839011</v>
      </c>
      <c r="W5" s="33">
        <f ca="1">SUMIFS(Assumptions!BT$3:BT$103,Assumptions!$G$3:$G$103,'non-road'!$F5,Assumptions!$B$3:$B$103,'non-road'!$D5)/SUMIF(Assumptions!$G$3:$G$103,'non-road'!$F5,Assumptions!BT$3:BT$103)</f>
        <v>1</v>
      </c>
      <c r="X5" s="33">
        <f ca="1">SUMIFS(Assumptions!BU$3:BU$103,Assumptions!$G$3:$G$103,'non-road'!$F5,Assumptions!$B$3:$B$103,'non-road'!$D5)/SUMIF(Assumptions!$G$3:$G$103,'non-road'!$F5,Assumptions!BU$3:BU$103)</f>
        <v>1</v>
      </c>
      <c r="Y5" s="33">
        <f ca="1">SUMIFS(Assumptions!BV$3:BV$103,Assumptions!$G$3:$G$103,'non-road'!$F5,Assumptions!$B$3:$B$103,'non-road'!$D5)/SUMIF(Assumptions!$G$3:$G$103,'non-road'!$F5,Assumptions!BV$3:BV$103)</f>
        <v>0.99874636396171812</v>
      </c>
      <c r="Z5" s="33">
        <f ca="1">SUMIFS(Assumptions!BW$3:BW$103,Assumptions!$G$3:$G$103,'non-road'!$F5,Assumptions!$B$3:$B$103,'non-road'!$D5)/SUMIF(Assumptions!$G$3:$G$103,'non-road'!$F5,Assumptions!BW$3:BW$103)</f>
        <v>0.84691694434787501</v>
      </c>
      <c r="AA5" s="33">
        <f ca="1">SUMIFS(Assumptions!BX$3:BX$103,Assumptions!$G$3:$G$103,'non-road'!$F5,Assumptions!$B$3:$B$103,'non-road'!$D5)/SUMIF(Assumptions!$G$3:$G$103,'non-road'!$F5,Assumptions!BX$3:BX$103)</f>
        <v>1</v>
      </c>
      <c r="AB5" s="33">
        <f ca="1">SUMIFS(Assumptions!BY$3:BY$103,Assumptions!$G$3:$G$103,'non-road'!$F5,Assumptions!$B$3:$B$103,'non-road'!$D5)/SUMIF(Assumptions!$G$3:$G$103,'non-road'!$F5,Assumptions!BY$3:BY$103)</f>
        <v>0.97545411687558803</v>
      </c>
      <c r="AC5" s="33">
        <f ca="1">SUMIFS(Assumptions!BZ$3:BZ$103,Assumptions!$G$3:$G$103,'non-road'!$F5,Assumptions!$B$3:$B$103,'non-road'!$D5)/SUMIF(Assumptions!$G$3:$G$103,'non-road'!$F5,Assumptions!BZ$3:BZ$103)</f>
        <v>1</v>
      </c>
      <c r="AD5" s="33">
        <f ca="1">SUMIFS(Assumptions!CA$3:CA$103,Assumptions!$G$3:$G$103,'non-road'!$F5,Assumptions!$B$3:$B$103,'non-road'!$D5)/SUMIF(Assumptions!$G$3:$G$103,'non-road'!$F5,Assumptions!CA$3:CA$103)</f>
        <v>0.73999492596521976</v>
      </c>
      <c r="AE5" s="33">
        <f ca="1">SUMIFS(Assumptions!CB$3:CB$103,Assumptions!$G$3:$G$103,'non-road'!$F5,Assumptions!$B$3:$B$103,'non-road'!$D5)/SUMIF(Assumptions!$G$3:$G$103,'non-road'!$F5,Assumptions!CB$3:CB$103)</f>
        <v>0.94276032701398504</v>
      </c>
      <c r="AF5" s="33">
        <f ca="1">SUMIFS(Assumptions!CC$3:CC$103,Assumptions!$G$3:$G$103,'non-road'!$F5,Assumptions!$B$3:$B$103,'non-road'!$D5)/SUMIF(Assumptions!$G$3:$G$103,'non-road'!$F5,Assumptions!CC$3:CC$103)</f>
        <v>0.79698101935964671</v>
      </c>
      <c r="AG5" s="33" t="e">
        <f ca="1">SUMIFS(Assumptions!CD$3:CD$103,Assumptions!$G$3:$G$103,'non-road'!$F5,Assumptions!$B$3:$B$103,'non-road'!$D5)/SUMIF(Assumptions!$G$3:$G$103,'non-road'!$F5,Assumptions!CD$3:CD$103)</f>
        <v>#DIV/0!</v>
      </c>
      <c r="AH5" s="33">
        <f ca="1">SUMIFS(Assumptions!CE$3:CE$103,Assumptions!$G$3:$G$103,'non-road'!$F5,Assumptions!$B$3:$B$103,'non-road'!$D5)/SUMIF(Assumptions!$G$3:$G$103,'non-road'!$F5,Assumptions!CE$3:CE$103)</f>
        <v>0.38520327302715579</v>
      </c>
      <c r="AI5" s="33">
        <f ca="1">SUMIFS(Assumptions!CF$3:CF$103,Assumptions!$G$3:$G$103,'non-road'!$F5,Assumptions!$B$3:$B$103,'non-road'!$D5)/SUMIF(Assumptions!$G$3:$G$103,'non-road'!$F5,Assumptions!CF$3:CF$103)</f>
        <v>1</v>
      </c>
      <c r="AJ5" s="33">
        <f ca="1">SUMIFS(Assumptions!CG$3:CG$103,Assumptions!$G$3:$G$103,'non-road'!$F5,Assumptions!$B$3:$B$103,'non-road'!$D5)/SUMIF(Assumptions!$G$3:$G$103,'non-road'!$F5,Assumptions!CG$3:CG$103)</f>
        <v>0.99997854505431327</v>
      </c>
      <c r="AK5" s="33">
        <f ca="1">SUMIFS(Assumptions!CH$3:CH$103,Assumptions!$G$3:$G$103,'non-road'!$F5,Assumptions!$B$3:$B$103,'non-road'!$D5)/SUMIF(Assumptions!$G$3:$G$103,'non-road'!$F5,Assumptions!CH$3:CH$103)</f>
        <v>0.96691490269716629</v>
      </c>
      <c r="AL5" s="33">
        <f ca="1">SUMIFS(Assumptions!CI$3:CI$103,Assumptions!$G$3:$G$103,'non-road'!$F5,Assumptions!$B$3:$B$103,'non-road'!$D5)/SUMIF(Assumptions!$G$3:$G$103,'non-road'!$F5,Assumptions!CI$3:CI$103)</f>
        <v>0.88000074999598987</v>
      </c>
      <c r="AM5" s="33">
        <f ca="1">SUMIFS(Assumptions!CJ$3:CJ$103,Assumptions!$G$3:$G$103,'non-road'!$F5,Assumptions!$B$3:$B$103,'non-road'!$D5)/SUMIF(Assumptions!$G$3:$G$103,'non-road'!$F5,Assumptions!CJ$3:CJ$103)</f>
        <v>0.98339906743004668</v>
      </c>
      <c r="AN5" s="33">
        <f ca="1">SUMIFS(Assumptions!CK$3:CK$103,Assumptions!$G$3:$G$103,'non-road'!$F5,Assumptions!$B$3:$B$103,'non-road'!$D5)/SUMIF(Assumptions!$G$3:$G$103,'non-road'!$F5,Assumptions!CK$3:CK$103)</f>
        <v>0.24162714530138574</v>
      </c>
      <c r="AO5" s="33">
        <f ca="1">SUMIFS(Assumptions!CL$3:CL$103,Assumptions!$G$3:$G$103,'non-road'!$F5,Assumptions!$B$3:$B$103,'non-road'!$D5)/SUMIF(Assumptions!$G$3:$G$103,'non-road'!$F5,Assumptions!CL$3:CL$103)</f>
        <v>0.80690134114995837</v>
      </c>
      <c r="AP5" s="33" t="e">
        <f ca="1">SUMIFS(Assumptions!CM$3:CM$103,Assumptions!$G$3:$G$103,'non-road'!$F5,Assumptions!$B$3:$B$103,'non-road'!$D5)/SUMIF(Assumptions!$G$3:$G$103,'non-road'!$F5,Assumptions!CM$3:CM$103)</f>
        <v>#DIV/0!</v>
      </c>
      <c r="AQ5" s="33" t="e">
        <f ca="1">SUMIFS(Assumptions!CN$3:CN$103,Assumptions!$G$3:$G$103,'non-road'!$F5,Assumptions!$B$3:$B$103,'non-road'!$D5)/SUMIF(Assumptions!$G$3:$G$103,'non-road'!$F5,Assumptions!CN$3:CN$103)</f>
        <v>#DIV/0!</v>
      </c>
      <c r="AR5" s="33" t="e">
        <f ca="1">SUMIFS(Assumptions!CO$3:CO$103,Assumptions!$G$3:$G$103,'non-road'!$F5,Assumptions!$B$3:$B$103,'non-road'!$D5)/SUMIF(Assumptions!$G$3:$G$103,'non-road'!$F5,Assumptions!CO$3:CO$103)</f>
        <v>#DIV/0!</v>
      </c>
      <c r="AS5" s="33" t="e">
        <f ca="1">SUMIFS(Assumptions!CP$3:CP$103,Assumptions!$G$3:$G$103,'non-road'!$F5,Assumptions!$B$3:$B$103,'non-road'!$D5)/SUMIF(Assumptions!$G$3:$G$103,'non-road'!$F5,Assumptions!CP$3:CP$103)</f>
        <v>#DIV/0!</v>
      </c>
      <c r="AT5" s="33" t="e">
        <f ca="1">SUMIFS(Assumptions!CQ$3:CQ$103,Assumptions!$G$3:$G$103,'non-road'!$F5,Assumptions!$B$3:$B$103,'non-road'!$D5)/SUMIF(Assumptions!$G$3:$G$103,'non-road'!$F5,Assumptions!CQ$3:CQ$103)</f>
        <v>#DIV/0!</v>
      </c>
      <c r="AU5" s="33" t="e">
        <f ca="1">SUMIFS(Assumptions!CR$3:CR$103,Assumptions!$G$3:$G$103,'non-road'!$F5,Assumptions!$B$3:$B$103,'non-road'!$D5)/SUMIF(Assumptions!$G$3:$G$103,'non-road'!$F5,Assumptions!CR$3:CR$103)</f>
        <v>#DIV/0!</v>
      </c>
      <c r="AV5" s="33" t="e">
        <f ca="1">SUMIFS(Assumptions!CS$3:CS$103,Assumptions!$G$3:$G$103,'non-road'!$F5,Assumptions!$B$3:$B$103,'non-road'!$D5)/SUMIF(Assumptions!$G$3:$G$103,'non-road'!$F5,Assumptions!CS$3:CS$103)</f>
        <v>#DIV/0!</v>
      </c>
      <c r="AW5" s="33" t="e">
        <f ca="1">SUMIFS(Assumptions!CT$3:CT$103,Assumptions!$G$3:$G$103,'non-road'!$F5,Assumptions!$B$3:$B$103,'non-road'!$D5)/SUMIF(Assumptions!$G$3:$G$103,'non-road'!$F5,Assumptions!CT$3:CT$103)</f>
        <v>#DIV/0!</v>
      </c>
      <c r="AX5" s="33" t="e">
        <f ca="1">SUMIFS(Assumptions!CU$3:CU$103,Assumptions!$G$3:$G$103,'non-road'!$F5,Assumptions!$B$3:$B$103,'non-road'!$D5)/SUMIF(Assumptions!$G$3:$G$103,'non-road'!$F5,Assumptions!CU$3:CU$103)</f>
        <v>#DIV/0!</v>
      </c>
      <c r="AY5" s="33" t="e">
        <f ca="1">SUMIFS(Assumptions!CV$3:CV$103,Assumptions!$G$3:$G$103,'non-road'!$F5,Assumptions!$B$3:$B$103,'non-road'!$D5)/SUMIF(Assumptions!$G$3:$G$103,'non-road'!$F5,Assumptions!CV$3:CV$103)</f>
        <v>#DIV/0!</v>
      </c>
      <c r="AZ5" s="33" t="e">
        <f ca="1">SUMIFS(Assumptions!CW$3:CW$103,Assumptions!$G$3:$G$103,'non-road'!$F5,Assumptions!$B$3:$B$103,'non-road'!$D5)/SUMIF(Assumptions!$G$3:$G$103,'non-road'!$F5,Assumptions!CW$3:CW$103)</f>
        <v>#DIV/0!</v>
      </c>
      <c r="BA5" s="34"/>
      <c r="BB5" s="33"/>
      <c r="BC5" s="33"/>
      <c r="BD5" s="27" t="str">
        <f t="shared" ref="BD5:BD11" si="50">IF(C5="","\I:",C5)</f>
        <v>\I:</v>
      </c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27"/>
      <c r="CZ5" s="27"/>
      <c r="DA5" s="27" t="s">
        <v>18</v>
      </c>
      <c r="DB5" s="27">
        <f>SUMIF(Assumptions!$BB$105:$BB$128,'non-road'!$DA5,Assumptions!BD$105:BD$128)</f>
        <v>99.123030097200001</v>
      </c>
      <c r="DC5" s="27">
        <f>SUMIF(Assumptions!$BB$105:$BB$128,'non-road'!$DA5,Assumptions!BE$105:BE$128)</f>
        <v>192.09280397040001</v>
      </c>
      <c r="DD5" s="27">
        <f>SUMIF(Assumptions!$BB$105:$BB$128,'non-road'!$DA5,Assumptions!BF$105:BF$128)</f>
        <v>211.35653453879999</v>
      </c>
      <c r="DE5" s="27">
        <f>SUMIF(Assumptions!$BB$105:$BB$128,'non-road'!$DA5,Assumptions!BG$105:BG$128)</f>
        <v>39.6794089152</v>
      </c>
      <c r="DF5" s="27">
        <f>SUMIF(Assumptions!$BB$105:$BB$128,'non-road'!$DA5,Assumptions!BH$105:BH$128)</f>
        <v>14.533446247200001</v>
      </c>
      <c r="DG5" s="27">
        <f>SUMIF(Assumptions!$BB$105:$BB$128,'non-road'!$DA5,Assumptions!BI$105:BI$128)</f>
        <v>260.82316623240001</v>
      </c>
      <c r="DH5" s="27">
        <f>SUMIF(Assumptions!$BB$105:$BB$128,'non-road'!$DA5,Assumptions!BJ$105:BJ$128)</f>
        <v>101.4462184284</v>
      </c>
      <c r="DI5" s="27">
        <f>SUMIF(Assumptions!$BB$105:$BB$128,'non-road'!$DA5,Assumptions!BK$105:BK$128)</f>
        <v>449.18389436400003</v>
      </c>
      <c r="DJ5" s="27">
        <f>SUMIF(Assumptions!$BB$105:$BB$128,'non-road'!$DA5,Assumptions!BL$105:BL$128)</f>
        <v>9.4939499987999998</v>
      </c>
      <c r="DK5" s="27">
        <f>SUMIF(Assumptions!$BB$105:$BB$128,'non-road'!$DA5,Assumptions!BM$105:BM$128)</f>
        <v>19.306996959599999</v>
      </c>
      <c r="DL5" s="27">
        <f>SUMIF(Assumptions!$BB$105:$BB$128,'non-road'!$DA5,Assumptions!BN$105:BN$128)</f>
        <v>260.04602497680003</v>
      </c>
      <c r="DM5" s="27">
        <f>SUMIF(Assumptions!$BB$105:$BB$128,'non-road'!$DA5,Assumptions!BO$105:BO$128)</f>
        <v>409.87600114679998</v>
      </c>
      <c r="DN5" s="27">
        <f>SUMIF(Assumptions!$BB$105:$BB$128,'non-road'!$DA5,Assumptions!BP$105:BP$128)</f>
        <v>60.355719748799999</v>
      </c>
      <c r="DO5" s="27">
        <f>SUMIF(Assumptions!$BB$105:$BB$128,'non-road'!$DA5,Assumptions!BQ$105:BQ$128)</f>
        <v>28.180048705200001</v>
      </c>
      <c r="DP5" s="27">
        <f>SUMIF(Assumptions!$BB$105:$BB$128,'non-road'!$DA5,Assumptions!BR$105:BR$128)</f>
        <v>13.0422420648</v>
      </c>
      <c r="DQ5" s="27">
        <f>SUMIF(Assumptions!$BB$105:$BB$128,'non-road'!$DA5,Assumptions!BS$105:BS$128)</f>
        <v>177.46910706240001</v>
      </c>
      <c r="DR5" s="27">
        <f>SUMIF(Assumptions!$BB$105:$BB$128,'non-road'!$DA5,Assumptions!BT$105:BT$128)</f>
        <v>45.331459124399998</v>
      </c>
      <c r="DS5" s="27">
        <f>SUMIF(Assumptions!$BB$105:$BB$128,'non-road'!$DA5,Assumptions!BU$105:BU$128)</f>
        <v>173.05437767039999</v>
      </c>
      <c r="DT5" s="27">
        <f>SUMIF(Assumptions!$BB$105:$BB$128,'non-road'!$DA5,Assumptions!BV$105:BV$128)</f>
        <v>305.523649476</v>
      </c>
      <c r="DU5" s="27">
        <f>SUMIF(Assumptions!$BB$105:$BB$128,'non-road'!$DA5,Assumptions!BW$105:BW$128)</f>
        <v>322.41766380479999</v>
      </c>
      <c r="DV5" s="27">
        <f>SUMIF(Assumptions!$BB$105:$BB$128,'non-road'!$DA5,Assumptions!BX$105:BX$128)</f>
        <v>762.82424179199995</v>
      </c>
      <c r="DW5" s="27">
        <f>SUMIF(Assumptions!$BB$105:$BB$128,'non-road'!$DA5,Assumptions!BY$105:BY$128)</f>
        <v>1284.8589878795999</v>
      </c>
      <c r="DX5" s="27">
        <f>SUMIF(Assumptions!$BB$105:$BB$128,'non-road'!$DA5,Assumptions!BZ$105:BZ$128)</f>
        <v>22.9425293772</v>
      </c>
      <c r="DY5" s="27">
        <f>SUMIF(Assumptions!$BB$105:$BB$128,'non-road'!$DA5,Assumptions!CA$105:CA$128)</f>
        <v>45.054661402800001</v>
      </c>
      <c r="DZ5" s="27">
        <f>SUMIF(Assumptions!$BB$105:$BB$128,'non-road'!$DA5,Assumptions!CB$105:CB$128)</f>
        <v>1737.5925643272001</v>
      </c>
      <c r="EA5" s="27">
        <f>SUMIF(Assumptions!$BB$105:$BB$128,'non-road'!$DA5,Assumptions!CC$105:CC$128)</f>
        <v>253.11288095640001</v>
      </c>
      <c r="EB5" s="27">
        <f>SUMIF(Assumptions!$BB$105:$BB$128,'non-road'!$DA5,Assumptions!CD$105:CD$128)</f>
        <v>153.09619095959999</v>
      </c>
      <c r="EC5" s="27">
        <f>SUMIF(Assumptions!$BB$105:$BB$128,'non-road'!$DA5,Assumptions!CE$105:CE$128)</f>
        <v>46.072598086799999</v>
      </c>
      <c r="ED5" s="27">
        <f>SUMIF(Assumptions!$BB$105:$BB$128,'non-road'!$DA5,Assumptions!CF$105:CF$128)</f>
        <v>260.69910716160001</v>
      </c>
      <c r="EE5" s="27">
        <f>SUMIF(Assumptions!$BB$105:$BB$128,'non-road'!$DA5,Assumptions!CG$105:CG$128)</f>
        <v>115.4657935908</v>
      </c>
      <c r="EF5" s="27">
        <f>SUMIF(Assumptions!$BB$105:$BB$128,'non-road'!$DA5,Assumptions!CH$105:CH$128)</f>
        <v>77.950185717599993</v>
      </c>
      <c r="EG5" s="27">
        <f>SUMIF(Assumptions!$BB$105:$BB$128,'non-road'!$DA5,Assumptions!CI$105:CI$128)</f>
        <v>184.42699925759999</v>
      </c>
      <c r="EH5" s="27">
        <f>SUMIF(Assumptions!$BB$105:$BB$128,'non-road'!$DA5,Assumptions!CJ$105:CJ$128)</f>
        <v>493.23921266159999</v>
      </c>
      <c r="EI5" s="27">
        <f>SUMIF(Assumptions!$BB$105:$BB$128,'non-road'!$DA5,Assumptions!CK$105:CK$128)</f>
        <v>7.2917392535999994</v>
      </c>
      <c r="EJ5" s="27">
        <f>SUMIF(Assumptions!$BB$105:$BB$128,'non-road'!$DA5,Assumptions!CL$105:CL$128)</f>
        <v>9.5715565236</v>
      </c>
      <c r="EK5" s="27">
        <f>SUMIF(Assumptions!$BB$105:$BB$128,'non-road'!$DA5,Assumptions!CM$105:CM$128)</f>
        <v>0</v>
      </c>
      <c r="EL5" s="27">
        <f>SUMIF(Assumptions!$BB$105:$BB$128,'non-road'!$DA5,Assumptions!CN$105:CN$128)</f>
        <v>0</v>
      </c>
      <c r="EM5" s="27">
        <f>SUMIF(Assumptions!$BB$105:$BB$128,'non-road'!$DA5,Assumptions!CO$105:CO$128)</f>
        <v>0</v>
      </c>
      <c r="EN5" s="27">
        <f>SUMIF(Assumptions!$BB$105:$BB$128,'non-road'!$DA5,Assumptions!CP$105:CP$128)</f>
        <v>0</v>
      </c>
      <c r="EO5" s="27">
        <f>SUMIF(Assumptions!$BB$105:$BB$128,'non-road'!$DA5,Assumptions!CQ$105:CQ$128)</f>
        <v>0</v>
      </c>
      <c r="EP5" s="27">
        <f>SUMIF(Assumptions!$BB$105:$BB$128,'non-road'!$DA5,Assumptions!CR$105:CR$128)</f>
        <v>0</v>
      </c>
      <c r="EQ5" s="27">
        <f>SUMIF(Assumptions!$BB$105:$BB$128,'non-road'!$DA5,Assumptions!CS$105:CS$128)</f>
        <v>0</v>
      </c>
      <c r="ER5" s="27">
        <f>SUMIF(Assumptions!$BB$105:$BB$128,'non-road'!$DA5,Assumptions!CT$105:CT$128)</f>
        <v>0</v>
      </c>
      <c r="ES5" s="27">
        <f>SUMIF(Assumptions!$BB$105:$BB$128,'non-road'!$DA5,Assumptions!CU$105:CU$128)</f>
        <v>0</v>
      </c>
      <c r="ET5" s="27">
        <f>SUMIF(Assumptions!$BB$105:$BB$128,'non-road'!$DA5,Assumptions!CV$105:CV$128)</f>
        <v>0</v>
      </c>
      <c r="EU5" s="27">
        <f>SUMIF(Assumptions!$BB$105:$BB$128,'non-road'!$DA5,Assumptions!CW$105:CW$128)</f>
        <v>0</v>
      </c>
      <c r="EV5" s="27"/>
      <c r="EW5" s="27" t="str">
        <f t="shared" si="48"/>
        <v>\I:</v>
      </c>
      <c r="EX5" s="27" t="str">
        <f t="shared" si="47"/>
        <v/>
      </c>
      <c r="EY5" s="27" t="s">
        <v>169</v>
      </c>
      <c r="EZ5" s="27" t="s">
        <v>160</v>
      </c>
      <c r="FA5" s="27" t="s">
        <v>161</v>
      </c>
      <c r="FB5" s="27"/>
      <c r="FC5" s="27"/>
      <c r="FD5" s="27"/>
    </row>
    <row r="6" spans="1:160">
      <c r="A6" s="27" t="s">
        <v>144</v>
      </c>
      <c r="B6" s="27"/>
      <c r="C6" s="27" t="str">
        <f t="shared" si="49"/>
        <v/>
      </c>
      <c r="D6" s="27" t="s">
        <v>42</v>
      </c>
      <c r="E6" s="27"/>
      <c r="F6" s="27" t="s">
        <v>55</v>
      </c>
      <c r="G6" s="33">
        <f ca="1">SUMIFS(Assumptions!BD$3:BD$103,Assumptions!$G$3:$G$103,'non-road'!$F6,Assumptions!$B$3:$B$103,'non-road'!$D6)/SUMIF(Assumptions!$G$3:$G$103,'non-road'!$F6,Assumptions!BD$3:BD$103)</f>
        <v>0</v>
      </c>
      <c r="H6" s="33">
        <f ca="1">SUMIFS(Assumptions!BE$3:BE$103,Assumptions!$G$3:$G$103,'non-road'!$F6,Assumptions!$B$3:$B$103,'non-road'!$D6)/SUMIF(Assumptions!$G$3:$G$103,'non-road'!$F6,Assumptions!BE$3:BE$103)</f>
        <v>0</v>
      </c>
      <c r="I6" s="33">
        <f ca="1">SUMIFS(Assumptions!BF$3:BF$103,Assumptions!$G$3:$G$103,'non-road'!$F6,Assumptions!$B$3:$B$103,'non-road'!$D6)/SUMIF(Assumptions!$G$3:$G$103,'non-road'!$F6,Assumptions!BF$3:BF$103)</f>
        <v>6.0388632914047538E-4</v>
      </c>
      <c r="J6" s="33">
        <f ca="1">SUMIFS(Assumptions!BG$3:BG$103,Assumptions!$G$3:$G$103,'non-road'!$F6,Assumptions!$B$3:$B$103,'non-road'!$D6)/SUMIF(Assumptions!$G$3:$G$103,'non-road'!$F6,Assumptions!BG$3:BG$103)</f>
        <v>0</v>
      </c>
      <c r="K6" s="33">
        <f ca="1">SUMIFS(Assumptions!BH$3:BH$103,Assumptions!$G$3:$G$103,'non-road'!$F6,Assumptions!$B$3:$B$103,'non-road'!$D6)/SUMIF(Assumptions!$G$3:$G$103,'non-road'!$F6,Assumptions!BH$3:BH$103)</f>
        <v>0</v>
      </c>
      <c r="L6" s="33">
        <f ca="1">SUMIFS(Assumptions!BI$3:BI$103,Assumptions!$G$3:$G$103,'non-road'!$F6,Assumptions!$B$3:$B$103,'non-road'!$D6)/SUMIF(Assumptions!$G$3:$G$103,'non-road'!$F6,Assumptions!BI$3:BI$103)</f>
        <v>0</v>
      </c>
      <c r="M6" s="33">
        <f ca="1">SUMIFS(Assumptions!BJ$3:BJ$103,Assumptions!$G$3:$G$103,'non-road'!$F6,Assumptions!$B$3:$B$103,'non-road'!$D6)/SUMIF(Assumptions!$G$3:$G$103,'non-road'!$F6,Assumptions!BJ$3:BJ$103)</f>
        <v>0</v>
      </c>
      <c r="N6" s="33">
        <f ca="1">SUMIFS(Assumptions!BK$3:BK$103,Assumptions!$G$3:$G$103,'non-road'!$F6,Assumptions!$B$3:$B$103,'non-road'!$D6)/SUMIF(Assumptions!$G$3:$G$103,'non-road'!$F6,Assumptions!BK$3:BK$103)</f>
        <v>0</v>
      </c>
      <c r="O6" s="33">
        <f ca="1">SUMIFS(Assumptions!BL$3:BL$103,Assumptions!$G$3:$G$103,'non-road'!$F6,Assumptions!$B$3:$B$103,'non-road'!$D6)/SUMIF(Assumptions!$G$3:$G$103,'non-road'!$F6,Assumptions!BL$3:BL$103)</f>
        <v>0</v>
      </c>
      <c r="P6" s="33">
        <f ca="1">SUMIFS(Assumptions!BM$3:BM$103,Assumptions!$G$3:$G$103,'non-road'!$F6,Assumptions!$B$3:$B$103,'non-road'!$D6)/SUMIF(Assumptions!$G$3:$G$103,'non-road'!$F6,Assumptions!BM$3:BM$103)</f>
        <v>0</v>
      </c>
      <c r="Q6" s="33">
        <f ca="1">SUMIFS(Assumptions!BN$3:BN$103,Assumptions!$G$3:$G$103,'non-road'!$F6,Assumptions!$B$3:$B$103,'non-road'!$D6)/SUMIF(Assumptions!$G$3:$G$103,'non-road'!$F6,Assumptions!BN$3:BN$103)</f>
        <v>0</v>
      </c>
      <c r="R6" s="33">
        <f ca="1">SUMIFS(Assumptions!BO$3:BO$103,Assumptions!$G$3:$G$103,'non-road'!$F6,Assumptions!$B$3:$B$103,'non-road'!$D6)/SUMIF(Assumptions!$G$3:$G$103,'non-road'!$F6,Assumptions!BO$3:BO$103)</f>
        <v>0</v>
      </c>
      <c r="S6" s="33">
        <f ca="1">SUMIFS(Assumptions!BP$3:BP$103,Assumptions!$G$3:$G$103,'non-road'!$F6,Assumptions!$B$3:$B$103,'non-road'!$D6)/SUMIF(Assumptions!$G$3:$G$103,'non-road'!$F6,Assumptions!BP$3:BP$103)</f>
        <v>2.4670624182115176E-2</v>
      </c>
      <c r="T6" s="33">
        <f ca="1">SUMIFS(Assumptions!BQ$3:BQ$103,Assumptions!$G$3:$G$103,'non-road'!$F6,Assumptions!$B$3:$B$103,'non-road'!$D6)/SUMIF(Assumptions!$G$3:$G$103,'non-road'!$F6,Assumptions!BQ$3:BQ$103)</f>
        <v>0</v>
      </c>
      <c r="U6" s="33" t="e">
        <f ca="1">SUMIFS(Assumptions!BR$3:BR$103,Assumptions!$G$3:$G$103,'non-road'!$F6,Assumptions!$B$3:$B$103,'non-road'!$D6)/SUMIF(Assumptions!$G$3:$G$103,'non-road'!$F6,Assumptions!BR$3:BR$103)</f>
        <v>#DIV/0!</v>
      </c>
      <c r="V6" s="33">
        <f ca="1">SUMIFS(Assumptions!BS$3:BS$103,Assumptions!$G$3:$G$103,'non-road'!$F6,Assumptions!$B$3:$B$103,'non-road'!$D6)/SUMIF(Assumptions!$G$3:$G$103,'non-road'!$F6,Assumptions!BS$3:BS$103)</f>
        <v>0</v>
      </c>
      <c r="W6" s="33">
        <f ca="1">SUMIFS(Assumptions!BT$3:BT$103,Assumptions!$G$3:$G$103,'non-road'!$F6,Assumptions!$B$3:$B$103,'non-road'!$D6)/SUMIF(Assumptions!$G$3:$G$103,'non-road'!$F6,Assumptions!BT$3:BT$103)</f>
        <v>0</v>
      </c>
      <c r="X6" s="33">
        <f ca="1">SUMIFS(Assumptions!BU$3:BU$103,Assumptions!$G$3:$G$103,'non-road'!$F6,Assumptions!$B$3:$B$103,'non-road'!$D6)/SUMIF(Assumptions!$G$3:$G$103,'non-road'!$F6,Assumptions!BU$3:BU$103)</f>
        <v>0</v>
      </c>
      <c r="Y6" s="33">
        <f ca="1">SUMIFS(Assumptions!BV$3:BV$103,Assumptions!$G$3:$G$103,'non-road'!$F6,Assumptions!$B$3:$B$103,'non-road'!$D6)/SUMIF(Assumptions!$G$3:$G$103,'non-road'!$F6,Assumptions!BV$3:BV$103)</f>
        <v>0</v>
      </c>
      <c r="Z6" s="33">
        <f ca="1">SUMIFS(Assumptions!BW$3:BW$103,Assumptions!$G$3:$G$103,'non-road'!$F6,Assumptions!$B$3:$B$103,'non-road'!$D6)/SUMIF(Assumptions!$G$3:$G$103,'non-road'!$F6,Assumptions!BW$3:BW$103)</f>
        <v>1.2042937941313425E-2</v>
      </c>
      <c r="AA6" s="33">
        <f ca="1">SUMIFS(Assumptions!BX$3:BX$103,Assumptions!$G$3:$G$103,'non-road'!$F6,Assumptions!$B$3:$B$103,'non-road'!$D6)/SUMIF(Assumptions!$G$3:$G$103,'non-road'!$F6,Assumptions!BX$3:BX$103)</f>
        <v>0</v>
      </c>
      <c r="AB6" s="33">
        <f ca="1">SUMIFS(Assumptions!BY$3:BY$103,Assumptions!$G$3:$G$103,'non-road'!$F6,Assumptions!$B$3:$B$103,'non-road'!$D6)/SUMIF(Assumptions!$G$3:$G$103,'non-road'!$F6,Assumptions!BY$3:BY$103)</f>
        <v>0</v>
      </c>
      <c r="AC6" s="33">
        <f ca="1">SUMIFS(Assumptions!BZ$3:BZ$103,Assumptions!$G$3:$G$103,'non-road'!$F6,Assumptions!$B$3:$B$103,'non-road'!$D6)/SUMIF(Assumptions!$G$3:$G$103,'non-road'!$F6,Assumptions!BZ$3:BZ$103)</f>
        <v>0</v>
      </c>
      <c r="AD6" s="33">
        <f ca="1">SUMIFS(Assumptions!CA$3:CA$103,Assumptions!$G$3:$G$103,'non-road'!$F6,Assumptions!$B$3:$B$103,'non-road'!$D6)/SUMIF(Assumptions!$G$3:$G$103,'non-road'!$F6,Assumptions!CA$3:CA$103)</f>
        <v>0</v>
      </c>
      <c r="AE6" s="33">
        <f ca="1">SUMIFS(Assumptions!CB$3:CB$103,Assumptions!$G$3:$G$103,'non-road'!$F6,Assumptions!$B$3:$B$103,'non-road'!$D6)/SUMIF(Assumptions!$G$3:$G$103,'non-road'!$F6,Assumptions!CB$3:CB$103)</f>
        <v>6.2608687359139571E-4</v>
      </c>
      <c r="AF6" s="33">
        <f ca="1">SUMIFS(Assumptions!CC$3:CC$103,Assumptions!$G$3:$G$103,'non-road'!$F6,Assumptions!$B$3:$B$103,'non-road'!$D6)/SUMIF(Assumptions!$G$3:$G$103,'non-road'!$F6,Assumptions!CC$3:CC$103)</f>
        <v>3.0805883113574936E-3</v>
      </c>
      <c r="AG6" s="33" t="e">
        <f ca="1">SUMIFS(Assumptions!CD$3:CD$103,Assumptions!$G$3:$G$103,'non-road'!$F6,Assumptions!$B$3:$B$103,'non-road'!$D6)/SUMIF(Assumptions!$G$3:$G$103,'non-road'!$F6,Assumptions!CD$3:CD$103)</f>
        <v>#DIV/0!</v>
      </c>
      <c r="AH6" s="33">
        <f ca="1">SUMIFS(Assumptions!CE$3:CE$103,Assumptions!$G$3:$G$103,'non-road'!$F6,Assumptions!$B$3:$B$103,'non-road'!$D6)/SUMIF(Assumptions!$G$3:$G$103,'non-road'!$F6,Assumptions!CE$3:CE$103)</f>
        <v>7.2884702619432223E-2</v>
      </c>
      <c r="AI6" s="33">
        <f ca="1">SUMIFS(Assumptions!CF$3:CF$103,Assumptions!$G$3:$G$103,'non-road'!$F6,Assumptions!$B$3:$B$103,'non-road'!$D6)/SUMIF(Assumptions!$G$3:$G$103,'non-road'!$F6,Assumptions!CF$3:CF$103)</f>
        <v>0</v>
      </c>
      <c r="AJ6" s="33">
        <f ca="1">SUMIFS(Assumptions!CG$3:CG$103,Assumptions!$G$3:$G$103,'non-road'!$F6,Assumptions!$B$3:$B$103,'non-road'!$D6)/SUMIF(Assumptions!$G$3:$G$103,'non-road'!$F6,Assumptions!CG$3:CG$103)</f>
        <v>2.1454945686805E-5</v>
      </c>
      <c r="AK6" s="33">
        <f ca="1">SUMIFS(Assumptions!CH$3:CH$103,Assumptions!$G$3:$G$103,'non-road'!$F6,Assumptions!$B$3:$B$103,'non-road'!$D6)/SUMIF(Assumptions!$G$3:$G$103,'non-road'!$F6,Assumptions!CH$3:CH$103)</f>
        <v>0</v>
      </c>
      <c r="AL6" s="33">
        <f ca="1">SUMIFS(Assumptions!CI$3:CI$103,Assumptions!$G$3:$G$103,'non-road'!$F6,Assumptions!$B$3:$B$103,'non-road'!$D6)/SUMIF(Assumptions!$G$3:$G$103,'non-road'!$F6,Assumptions!CI$3:CI$103)</f>
        <v>0</v>
      </c>
      <c r="AM6" s="33">
        <f ca="1">SUMIFS(Assumptions!CJ$3:CJ$103,Assumptions!$G$3:$G$103,'non-road'!$F6,Assumptions!$B$3:$B$103,'non-road'!$D6)/SUMIF(Assumptions!$G$3:$G$103,'non-road'!$F6,Assumptions!CJ$3:CJ$103)</f>
        <v>0</v>
      </c>
      <c r="AN6" s="33">
        <f ca="1">SUMIFS(Assumptions!CK$3:CK$103,Assumptions!$G$3:$G$103,'non-road'!$F6,Assumptions!$B$3:$B$103,'non-road'!$D6)/SUMIF(Assumptions!$G$3:$G$103,'non-road'!$F6,Assumptions!CK$3:CK$103)</f>
        <v>0</v>
      </c>
      <c r="AO6" s="33">
        <f ca="1">SUMIFS(Assumptions!CL$3:CL$103,Assumptions!$G$3:$G$103,'non-road'!$F6,Assumptions!$B$3:$B$103,'non-road'!$D6)/SUMIF(Assumptions!$G$3:$G$103,'non-road'!$F6,Assumptions!CL$3:CL$103)</f>
        <v>0</v>
      </c>
      <c r="AP6" s="33" t="e">
        <f ca="1">SUMIFS(Assumptions!CM$3:CM$103,Assumptions!$G$3:$G$103,'non-road'!$F6,Assumptions!$B$3:$B$103,'non-road'!$D6)/SUMIF(Assumptions!$G$3:$G$103,'non-road'!$F6,Assumptions!CM$3:CM$103)</f>
        <v>#DIV/0!</v>
      </c>
      <c r="AQ6" s="33" t="e">
        <f ca="1">SUMIFS(Assumptions!CN$3:CN$103,Assumptions!$G$3:$G$103,'non-road'!$F6,Assumptions!$B$3:$B$103,'non-road'!$D6)/SUMIF(Assumptions!$G$3:$G$103,'non-road'!$F6,Assumptions!CN$3:CN$103)</f>
        <v>#DIV/0!</v>
      </c>
      <c r="AR6" s="33" t="e">
        <f ca="1">SUMIFS(Assumptions!CO$3:CO$103,Assumptions!$G$3:$G$103,'non-road'!$F6,Assumptions!$B$3:$B$103,'non-road'!$D6)/SUMIF(Assumptions!$G$3:$G$103,'non-road'!$F6,Assumptions!CO$3:CO$103)</f>
        <v>#DIV/0!</v>
      </c>
      <c r="AS6" s="33" t="e">
        <f ca="1">SUMIFS(Assumptions!CP$3:CP$103,Assumptions!$G$3:$G$103,'non-road'!$F6,Assumptions!$B$3:$B$103,'non-road'!$D6)/SUMIF(Assumptions!$G$3:$G$103,'non-road'!$F6,Assumptions!CP$3:CP$103)</f>
        <v>#DIV/0!</v>
      </c>
      <c r="AT6" s="33" t="e">
        <f ca="1">SUMIFS(Assumptions!CQ$3:CQ$103,Assumptions!$G$3:$G$103,'non-road'!$F6,Assumptions!$B$3:$B$103,'non-road'!$D6)/SUMIF(Assumptions!$G$3:$G$103,'non-road'!$F6,Assumptions!CQ$3:CQ$103)</f>
        <v>#DIV/0!</v>
      </c>
      <c r="AU6" s="33" t="e">
        <f ca="1">SUMIFS(Assumptions!CR$3:CR$103,Assumptions!$G$3:$G$103,'non-road'!$F6,Assumptions!$B$3:$B$103,'non-road'!$D6)/SUMIF(Assumptions!$G$3:$G$103,'non-road'!$F6,Assumptions!CR$3:CR$103)</f>
        <v>#DIV/0!</v>
      </c>
      <c r="AV6" s="33" t="e">
        <f ca="1">SUMIFS(Assumptions!CS$3:CS$103,Assumptions!$G$3:$G$103,'non-road'!$F6,Assumptions!$B$3:$B$103,'non-road'!$D6)/SUMIF(Assumptions!$G$3:$G$103,'non-road'!$F6,Assumptions!CS$3:CS$103)</f>
        <v>#DIV/0!</v>
      </c>
      <c r="AW6" s="33" t="e">
        <f ca="1">SUMIFS(Assumptions!CT$3:CT$103,Assumptions!$G$3:$G$103,'non-road'!$F6,Assumptions!$B$3:$B$103,'non-road'!$D6)/SUMIF(Assumptions!$G$3:$G$103,'non-road'!$F6,Assumptions!CT$3:CT$103)</f>
        <v>#DIV/0!</v>
      </c>
      <c r="AX6" s="33" t="e">
        <f ca="1">SUMIFS(Assumptions!CU$3:CU$103,Assumptions!$G$3:$G$103,'non-road'!$F6,Assumptions!$B$3:$B$103,'non-road'!$D6)/SUMIF(Assumptions!$G$3:$G$103,'non-road'!$F6,Assumptions!CU$3:CU$103)</f>
        <v>#DIV/0!</v>
      </c>
      <c r="AY6" s="33" t="e">
        <f ca="1">SUMIFS(Assumptions!CV$3:CV$103,Assumptions!$G$3:$G$103,'non-road'!$F6,Assumptions!$B$3:$B$103,'non-road'!$D6)/SUMIF(Assumptions!$G$3:$G$103,'non-road'!$F6,Assumptions!CV$3:CV$103)</f>
        <v>#DIV/0!</v>
      </c>
      <c r="AZ6" s="33" t="e">
        <f ca="1">SUMIFS(Assumptions!CW$3:CW$103,Assumptions!$G$3:$G$103,'non-road'!$F6,Assumptions!$B$3:$B$103,'non-road'!$D6)/SUMIF(Assumptions!$G$3:$G$103,'non-road'!$F6,Assumptions!CW$3:CW$103)</f>
        <v>#DIV/0!</v>
      </c>
      <c r="BA6" s="34"/>
      <c r="BB6" s="33"/>
      <c r="BC6" s="33"/>
      <c r="BD6" s="27" t="str">
        <f t="shared" si="50"/>
        <v>\I:</v>
      </c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27"/>
      <c r="CZ6" s="27"/>
      <c r="DA6" s="27" t="s">
        <v>20</v>
      </c>
      <c r="DB6" s="27">
        <f>SUMIF(Assumptions!$BB$105:$BB$128,'non-road'!$DA6,Assumptions!BD$105:BD$128)</f>
        <v>28.904666554800002</v>
      </c>
      <c r="DC6" s="27">
        <f>SUMIF(Assumptions!$BB$105:$BB$128,'non-road'!$DA6,Assumptions!BE$105:BE$128)</f>
        <v>22.6721667672</v>
      </c>
      <c r="DD6" s="27">
        <f>SUMIF(Assumptions!$BB$105:$BB$128,'non-road'!$DA6,Assumptions!BF$105:BF$128)</f>
        <v>123.7186965204</v>
      </c>
      <c r="DE6" s="27">
        <f>SUMIF(Assumptions!$BB$105:$BB$128,'non-road'!$DA6,Assumptions!BG$105:BG$128)</f>
        <v>1.3079814407999999</v>
      </c>
      <c r="DF6" s="27">
        <f>SUMIF(Assumptions!$BB$105:$BB$128,'non-road'!$DA6,Assumptions!BH$105:BH$128)</f>
        <v>8.8663863600000004E-2</v>
      </c>
      <c r="DG6" s="27">
        <f>SUMIF(Assumptions!$BB$105:$BB$128,'non-road'!$DA6,Assumptions!BI$105:BI$128)</f>
        <v>0.55253199600000003</v>
      </c>
      <c r="DH6" s="27">
        <f>SUMIF(Assumptions!$BB$105:$BB$128,'non-road'!$DA6,Assumptions!BJ$105:BJ$128)</f>
        <v>140.16918637800001</v>
      </c>
      <c r="DI6" s="27">
        <f>SUMIF(Assumptions!$BB$105:$BB$128,'non-road'!$DA6,Assumptions!BK$105:BK$128)</f>
        <v>1141.7510237796</v>
      </c>
      <c r="DJ6" s="27">
        <f>SUMIF(Assumptions!$BB$105:$BB$128,'non-road'!$DA6,Assumptions!BL$105:BL$128)</f>
        <v>0.469675224</v>
      </c>
      <c r="DK6" s="27">
        <f>SUMIF(Assumptions!$BB$105:$BB$128,'non-road'!$DA6,Assumptions!BM$105:BM$128)</f>
        <v>1.9810011672000001</v>
      </c>
      <c r="DL6" s="27">
        <f>SUMIF(Assumptions!$BB$105:$BB$128,'non-road'!$DA6,Assumptions!BN$105:BN$128)</f>
        <v>67.799230502399993</v>
      </c>
      <c r="DM6" s="27">
        <f>SUMIF(Assumptions!$BB$105:$BB$128,'non-road'!$DA6,Assumptions!BO$105:BO$128)</f>
        <v>30.753000590399999</v>
      </c>
      <c r="DN6" s="27">
        <f>SUMIF(Assumptions!$BB$105:$BB$128,'non-road'!$DA6,Assumptions!BP$105:BP$128)</f>
        <v>9.4633277436000007</v>
      </c>
      <c r="DO6" s="27">
        <f>SUMIF(Assumptions!$BB$105:$BB$128,'non-road'!$DA6,Assumptions!BQ$105:BQ$128)</f>
        <v>3.19829652</v>
      </c>
      <c r="DP6" s="27">
        <f>SUMIF(Assumptions!$BB$105:$BB$128,'non-road'!$DA6,Assumptions!BR$105:BR$128)</f>
        <v>0.37972601280000001</v>
      </c>
      <c r="DQ6" s="27">
        <f>SUMIF(Assumptions!$BB$105:$BB$128,'non-road'!$DA6,Assumptions!BS$105:BS$128)</f>
        <v>179.28629130600001</v>
      </c>
      <c r="DR6" s="27">
        <f>SUMIF(Assumptions!$BB$105:$BB$128,'non-road'!$DA6,Assumptions!BT$105:BT$128)</f>
        <v>0.2450282832</v>
      </c>
      <c r="DS6" s="27">
        <f>SUMIF(Assumptions!$BB$105:$BB$128,'non-road'!$DA6,Assumptions!BU$105:BU$128)</f>
        <v>37.9845252864</v>
      </c>
      <c r="DT6" s="27">
        <f>SUMIF(Assumptions!$BB$105:$BB$128,'non-road'!$DA6,Assumptions!BV$105:BV$128)</f>
        <v>147.59976829319999</v>
      </c>
      <c r="DU6" s="27">
        <f>SUMIF(Assumptions!$BB$105:$BB$128,'non-road'!$DA6,Assumptions!BW$105:BW$128)</f>
        <v>90.065989425600009</v>
      </c>
      <c r="DV6" s="27">
        <f>SUMIF(Assumptions!$BB$105:$BB$128,'non-road'!$DA6,Assumptions!BX$105:BX$128)</f>
        <v>60.200674171199999</v>
      </c>
      <c r="DW6" s="27">
        <f>SUMIF(Assumptions!$BB$105:$BB$128,'non-road'!$DA6,Assumptions!BY$105:BY$128)</f>
        <v>2814.8464867644002</v>
      </c>
      <c r="DX6" s="27">
        <f>SUMIF(Assumptions!$BB$105:$BB$128,'non-road'!$DA6,Assumptions!BZ$105:BZ$128)</f>
        <v>14.700114381600001</v>
      </c>
      <c r="DY6" s="27">
        <f>SUMIF(Assumptions!$BB$105:$BB$128,'non-road'!$DA6,Assumptions!CA$105:CA$128)</f>
        <v>1.416206034</v>
      </c>
      <c r="DZ6" s="27">
        <f>SUMIF(Assumptions!$BB$105:$BB$128,'non-road'!$DA6,Assumptions!CB$105:CB$128)</f>
        <v>364.15528266600001</v>
      </c>
      <c r="EA6" s="27">
        <f>SUMIF(Assumptions!$BB$105:$BB$128,'non-road'!$DA6,Assumptions!CC$105:CC$128)</f>
        <v>245.79019706400001</v>
      </c>
      <c r="EB6" s="27">
        <f>SUMIF(Assumptions!$BB$105:$BB$128,'non-road'!$DA6,Assumptions!CD$105:CD$128)</f>
        <v>40.847534488800001</v>
      </c>
      <c r="EC6" s="27">
        <f>SUMIF(Assumptions!$BB$105:$BB$128,'non-road'!$DA6,Assumptions!CE$105:CE$128)</f>
        <v>52.743296735999998</v>
      </c>
      <c r="ED6" s="27">
        <f>SUMIF(Assumptions!$BB$105:$BB$128,'non-road'!$DA6,Assumptions!CF$105:CF$128)</f>
        <v>104.06784605039999</v>
      </c>
      <c r="EE6" s="27">
        <f>SUMIF(Assumptions!$BB$105:$BB$128,'non-road'!$DA6,Assumptions!CG$105:CG$128)</f>
        <v>10.7713929204</v>
      </c>
      <c r="EF6" s="27">
        <f>SUMIF(Assumptions!$BB$105:$BB$128,'non-road'!$DA6,Assumptions!CH$105:CH$128)</f>
        <v>2.769819408</v>
      </c>
      <c r="EG6" s="27">
        <f>SUMIF(Assumptions!$BB$105:$BB$128,'non-road'!$DA6,Assumptions!CI$105:CI$128)</f>
        <v>50.438999246400002</v>
      </c>
      <c r="EH6" s="27">
        <f>SUMIF(Assumptions!$BB$105:$BB$128,'non-road'!$DA6,Assumptions!CJ$105:CJ$128)</f>
        <v>37.125494409600002</v>
      </c>
      <c r="EI6" s="27">
        <f>SUMIF(Assumptions!$BB$105:$BB$128,'non-road'!$DA6,Assumptions!CK$105:CK$128)</f>
        <v>7.6400014644000001</v>
      </c>
      <c r="EJ6" s="27">
        <f>SUMIF(Assumptions!$BB$105:$BB$128,'non-road'!$DA6,Assumptions!CL$105:CL$128)</f>
        <v>0</v>
      </c>
      <c r="EK6" s="27">
        <f>SUMIF(Assumptions!$BB$105:$BB$128,'non-road'!$DA6,Assumptions!CM$105:CM$128)</f>
        <v>0</v>
      </c>
      <c r="EL6" s="27">
        <f>SUMIF(Assumptions!$BB$105:$BB$128,'non-road'!$DA6,Assumptions!CN$105:CN$128)</f>
        <v>0</v>
      </c>
      <c r="EM6" s="27">
        <f>SUMIF(Assumptions!$BB$105:$BB$128,'non-road'!$DA6,Assumptions!CO$105:CO$128)</f>
        <v>0</v>
      </c>
      <c r="EN6" s="27">
        <f>SUMIF(Assumptions!$BB$105:$BB$128,'non-road'!$DA6,Assumptions!CP$105:CP$128)</f>
        <v>0</v>
      </c>
      <c r="EO6" s="27">
        <f>SUMIF(Assumptions!$BB$105:$BB$128,'non-road'!$DA6,Assumptions!CQ$105:CQ$128)</f>
        <v>0</v>
      </c>
      <c r="EP6" s="27">
        <f>SUMIF(Assumptions!$BB$105:$BB$128,'non-road'!$DA6,Assumptions!CR$105:CR$128)</f>
        <v>0</v>
      </c>
      <c r="EQ6" s="27">
        <f>SUMIF(Assumptions!$BB$105:$BB$128,'non-road'!$DA6,Assumptions!CS$105:CS$128)</f>
        <v>0</v>
      </c>
      <c r="ER6" s="27">
        <f>SUMIF(Assumptions!$BB$105:$BB$128,'non-road'!$DA6,Assumptions!CT$105:CT$128)</f>
        <v>0</v>
      </c>
      <c r="ES6" s="27">
        <f>SUMIF(Assumptions!$BB$105:$BB$128,'non-road'!$DA6,Assumptions!CU$105:CU$128)</f>
        <v>0</v>
      </c>
      <c r="ET6" s="27">
        <f>SUMIF(Assumptions!$BB$105:$BB$128,'non-road'!$DA6,Assumptions!CV$105:CV$128)</f>
        <v>0</v>
      </c>
      <c r="EU6" s="27">
        <f>SUMIF(Assumptions!$BB$105:$BB$128,'non-road'!$DA6,Assumptions!CW$105:CW$128)</f>
        <v>0</v>
      </c>
      <c r="EV6" s="27"/>
      <c r="EW6" s="27" t="str">
        <f t="shared" si="48"/>
        <v>\I:</v>
      </c>
      <c r="EX6" s="27" t="str">
        <f t="shared" si="47"/>
        <v/>
      </c>
      <c r="EY6" s="27" t="s">
        <v>169</v>
      </c>
      <c r="EZ6" s="27" t="s">
        <v>160</v>
      </c>
      <c r="FA6" s="27" t="s">
        <v>161</v>
      </c>
      <c r="FB6" s="27"/>
      <c r="FC6" s="27"/>
      <c r="FD6" s="27"/>
    </row>
    <row r="7" spans="1:160">
      <c r="A7" s="27" t="s">
        <v>36</v>
      </c>
      <c r="B7" s="27"/>
      <c r="C7" s="27" t="str">
        <f t="shared" si="49"/>
        <v/>
      </c>
      <c r="D7" s="27" t="s">
        <v>45</v>
      </c>
      <c r="E7" s="27"/>
      <c r="F7" s="27" t="s">
        <v>55</v>
      </c>
      <c r="G7" s="33">
        <f ca="1">SUMIFS(Assumptions!BD$3:BD$103,Assumptions!$G$3:$G$103,'non-road'!$F7,Assumptions!$B$3:$B$103,'non-road'!$D7)/SUMIF(Assumptions!$G$3:$G$103,'non-road'!$F7,Assumptions!BD$3:BD$103)</f>
        <v>0.41387224024075636</v>
      </c>
      <c r="H7" s="33">
        <f ca="1">SUMIFS(Assumptions!BE$3:BE$103,Assumptions!$G$3:$G$103,'non-road'!$F7,Assumptions!$B$3:$B$103,'non-road'!$D7)/SUMIF(Assumptions!$G$3:$G$103,'non-road'!$F7,Assumptions!BE$3:BE$103)</f>
        <v>0</v>
      </c>
      <c r="I7" s="33">
        <f ca="1">SUMIFS(Assumptions!BF$3:BF$103,Assumptions!$G$3:$G$103,'non-road'!$F7,Assumptions!$B$3:$B$103,'non-road'!$D7)/SUMIF(Assumptions!$G$3:$G$103,'non-road'!$F7,Assumptions!BF$3:BF$103)</f>
        <v>4.6190891930120937E-5</v>
      </c>
      <c r="J7" s="33">
        <f ca="1">SUMIFS(Assumptions!BG$3:BG$103,Assumptions!$G$3:$G$103,'non-road'!$F7,Assumptions!$B$3:$B$103,'non-road'!$D7)/SUMIF(Assumptions!$G$3:$G$103,'non-road'!$F7,Assumptions!BG$3:BG$103)</f>
        <v>0</v>
      </c>
      <c r="K7" s="33">
        <f ca="1">SUMIFS(Assumptions!BH$3:BH$103,Assumptions!$G$3:$G$103,'non-road'!$F7,Assumptions!$B$3:$B$103,'non-road'!$D7)/SUMIF(Assumptions!$G$3:$G$103,'non-road'!$F7,Assumptions!BH$3:BH$103)</f>
        <v>0</v>
      </c>
      <c r="L7" s="33">
        <f ca="1">SUMIFS(Assumptions!BI$3:BI$103,Assumptions!$G$3:$G$103,'non-road'!$F7,Assumptions!$B$3:$B$103,'non-road'!$D7)/SUMIF(Assumptions!$G$3:$G$103,'non-road'!$F7,Assumptions!BI$3:BI$103)</f>
        <v>0</v>
      </c>
      <c r="M7" s="33">
        <f ca="1">SUMIFS(Assumptions!BJ$3:BJ$103,Assumptions!$G$3:$G$103,'non-road'!$F7,Assumptions!$B$3:$B$103,'non-road'!$D7)/SUMIF(Assumptions!$G$3:$G$103,'non-road'!$F7,Assumptions!BJ$3:BJ$103)</f>
        <v>0</v>
      </c>
      <c r="N7" s="33">
        <f ca="1">SUMIFS(Assumptions!BK$3:BK$103,Assumptions!$G$3:$G$103,'non-road'!$F7,Assumptions!$B$3:$B$103,'non-road'!$D7)/SUMIF(Assumptions!$G$3:$G$103,'non-road'!$F7,Assumptions!BK$3:BK$103)</f>
        <v>0</v>
      </c>
      <c r="O7" s="33">
        <f ca="1">SUMIFS(Assumptions!BL$3:BL$103,Assumptions!$G$3:$G$103,'non-road'!$F7,Assumptions!$B$3:$B$103,'non-road'!$D7)/SUMIF(Assumptions!$G$3:$G$103,'non-road'!$F7,Assumptions!BL$3:BL$103)</f>
        <v>0</v>
      </c>
      <c r="P7" s="33">
        <f ca="1">SUMIFS(Assumptions!BM$3:BM$103,Assumptions!$G$3:$G$103,'non-road'!$F7,Assumptions!$B$3:$B$103,'non-road'!$D7)/SUMIF(Assumptions!$G$3:$G$103,'non-road'!$F7,Assumptions!BM$3:BM$103)</f>
        <v>0</v>
      </c>
      <c r="Q7" s="33">
        <f ca="1">SUMIFS(Assumptions!BN$3:BN$103,Assumptions!$G$3:$G$103,'non-road'!$F7,Assumptions!$B$3:$B$103,'non-road'!$D7)/SUMIF(Assumptions!$G$3:$G$103,'non-road'!$F7,Assumptions!BN$3:BN$103)</f>
        <v>0</v>
      </c>
      <c r="R7" s="33">
        <f ca="1">SUMIFS(Assumptions!BO$3:BO$103,Assumptions!$G$3:$G$103,'non-road'!$F7,Assumptions!$B$3:$B$103,'non-road'!$D7)/SUMIF(Assumptions!$G$3:$G$103,'non-road'!$F7,Assumptions!BO$3:BO$103)</f>
        <v>0</v>
      </c>
      <c r="S7" s="33">
        <f ca="1">SUMIFS(Assumptions!BP$3:BP$103,Assumptions!$G$3:$G$103,'non-road'!$F7,Assumptions!$B$3:$B$103,'non-road'!$D7)/SUMIF(Assumptions!$G$3:$G$103,'non-road'!$F7,Assumptions!BP$3:BP$103)</f>
        <v>0</v>
      </c>
      <c r="T7" s="33">
        <f ca="1">SUMIFS(Assumptions!BQ$3:BQ$103,Assumptions!$G$3:$G$103,'non-road'!$F7,Assumptions!$B$3:$B$103,'non-road'!$D7)/SUMIF(Assumptions!$G$3:$G$103,'non-road'!$F7,Assumptions!BQ$3:BQ$103)</f>
        <v>0</v>
      </c>
      <c r="U7" s="33" t="e">
        <f ca="1">SUMIFS(Assumptions!BR$3:BR$103,Assumptions!$G$3:$G$103,'non-road'!$F7,Assumptions!$B$3:$B$103,'non-road'!$D7)/SUMIF(Assumptions!$G$3:$G$103,'non-road'!$F7,Assumptions!BR$3:BR$103)</f>
        <v>#DIV/0!</v>
      </c>
      <c r="V7" s="33">
        <f ca="1">SUMIFS(Assumptions!BS$3:BS$103,Assumptions!$G$3:$G$103,'non-road'!$F7,Assumptions!$B$3:$B$103,'non-road'!$D7)/SUMIF(Assumptions!$G$3:$G$103,'non-road'!$F7,Assumptions!BS$3:BS$103)</f>
        <v>0</v>
      </c>
      <c r="W7" s="33">
        <f ca="1">SUMIFS(Assumptions!BT$3:BT$103,Assumptions!$G$3:$G$103,'non-road'!$F7,Assumptions!$B$3:$B$103,'non-road'!$D7)/SUMIF(Assumptions!$G$3:$G$103,'non-road'!$F7,Assumptions!BT$3:BT$103)</f>
        <v>0</v>
      </c>
      <c r="X7" s="33">
        <f ca="1">SUMIFS(Assumptions!BU$3:BU$103,Assumptions!$G$3:$G$103,'non-road'!$F7,Assumptions!$B$3:$B$103,'non-road'!$D7)/SUMIF(Assumptions!$G$3:$G$103,'non-road'!$F7,Assumptions!BU$3:BU$103)</f>
        <v>0</v>
      </c>
      <c r="Y7" s="33">
        <f ca="1">SUMIFS(Assumptions!BV$3:BV$103,Assumptions!$G$3:$G$103,'non-road'!$F7,Assumptions!$B$3:$B$103,'non-road'!$D7)/SUMIF(Assumptions!$G$3:$G$103,'non-road'!$F7,Assumptions!BV$3:BV$103)</f>
        <v>0</v>
      </c>
      <c r="Z7" s="33">
        <f ca="1">SUMIFS(Assumptions!BW$3:BW$103,Assumptions!$G$3:$G$103,'non-road'!$F7,Assumptions!$B$3:$B$103,'non-road'!$D7)/SUMIF(Assumptions!$G$3:$G$103,'non-road'!$F7,Assumptions!BW$3:BW$103)</f>
        <v>0</v>
      </c>
      <c r="AA7" s="33">
        <f ca="1">SUMIFS(Assumptions!BX$3:BX$103,Assumptions!$G$3:$G$103,'non-road'!$F7,Assumptions!$B$3:$B$103,'non-road'!$D7)/SUMIF(Assumptions!$G$3:$G$103,'non-road'!$F7,Assumptions!BX$3:BX$103)</f>
        <v>0</v>
      </c>
      <c r="AB7" s="33">
        <f ca="1">SUMIFS(Assumptions!BY$3:BY$103,Assumptions!$G$3:$G$103,'non-road'!$F7,Assumptions!$B$3:$B$103,'non-road'!$D7)/SUMIF(Assumptions!$G$3:$G$103,'non-road'!$F7,Assumptions!BY$3:BY$103)</f>
        <v>0</v>
      </c>
      <c r="AC7" s="33">
        <f ca="1">SUMIFS(Assumptions!BZ$3:BZ$103,Assumptions!$G$3:$G$103,'non-road'!$F7,Assumptions!$B$3:$B$103,'non-road'!$D7)/SUMIF(Assumptions!$G$3:$G$103,'non-road'!$F7,Assumptions!BZ$3:BZ$103)</f>
        <v>0</v>
      </c>
      <c r="AD7" s="33">
        <f ca="1">SUMIFS(Assumptions!CA$3:CA$103,Assumptions!$G$3:$G$103,'non-road'!$F7,Assumptions!$B$3:$B$103,'non-road'!$D7)/SUMIF(Assumptions!$G$3:$G$103,'non-road'!$F7,Assumptions!CA$3:CA$103)</f>
        <v>0</v>
      </c>
      <c r="AE7" s="33">
        <f ca="1">SUMIFS(Assumptions!CB$3:CB$103,Assumptions!$G$3:$G$103,'non-road'!$F7,Assumptions!$B$3:$B$103,'non-road'!$D7)/SUMIF(Assumptions!$G$3:$G$103,'non-road'!$F7,Assumptions!CB$3:CB$103)</f>
        <v>3.0401056343335478E-4</v>
      </c>
      <c r="AF7" s="33">
        <f ca="1">SUMIFS(Assumptions!CC$3:CC$103,Assumptions!$G$3:$G$103,'non-road'!$F7,Assumptions!$B$3:$B$103,'non-road'!$D7)/SUMIF(Assumptions!$G$3:$G$103,'non-road'!$F7,Assumptions!CC$3:CC$103)</f>
        <v>4.0401098113757353E-4</v>
      </c>
      <c r="AG7" s="33" t="e">
        <f ca="1">SUMIFS(Assumptions!CD$3:CD$103,Assumptions!$G$3:$G$103,'non-road'!$F7,Assumptions!$B$3:$B$103,'non-road'!$D7)/SUMIF(Assumptions!$G$3:$G$103,'non-road'!$F7,Assumptions!CD$3:CD$103)</f>
        <v>#DIV/0!</v>
      </c>
      <c r="AH7" s="33">
        <f ca="1">SUMIFS(Assumptions!CE$3:CE$103,Assumptions!$G$3:$G$103,'non-road'!$F7,Assumptions!$B$3:$B$103,'non-road'!$D7)/SUMIF(Assumptions!$G$3:$G$103,'non-road'!$F7,Assumptions!CE$3:CE$103)</f>
        <v>0.23581051319149998</v>
      </c>
      <c r="AI7" s="33">
        <f ca="1">SUMIFS(Assumptions!CF$3:CF$103,Assumptions!$G$3:$G$103,'non-road'!$F7,Assumptions!$B$3:$B$103,'non-road'!$D7)/SUMIF(Assumptions!$G$3:$G$103,'non-road'!$F7,Assumptions!CF$3:CF$103)</f>
        <v>0</v>
      </c>
      <c r="AJ7" s="33">
        <f ca="1">SUMIFS(Assumptions!CG$3:CG$103,Assumptions!$G$3:$G$103,'non-road'!$F7,Assumptions!$B$3:$B$103,'non-road'!$D7)/SUMIF(Assumptions!$G$3:$G$103,'non-road'!$F7,Assumptions!CG$3:CG$103)</f>
        <v>0</v>
      </c>
      <c r="AK7" s="33">
        <f ca="1">SUMIFS(Assumptions!CH$3:CH$103,Assumptions!$G$3:$G$103,'non-road'!$F7,Assumptions!$B$3:$B$103,'non-road'!$D7)/SUMIF(Assumptions!$G$3:$G$103,'non-road'!$F7,Assumptions!CH$3:CH$103)</f>
        <v>0</v>
      </c>
      <c r="AL7" s="33">
        <f ca="1">SUMIFS(Assumptions!CI$3:CI$103,Assumptions!$G$3:$G$103,'non-road'!$F7,Assumptions!$B$3:$B$103,'non-road'!$D7)/SUMIF(Assumptions!$G$3:$G$103,'non-road'!$F7,Assumptions!CI$3:CI$103)</f>
        <v>0</v>
      </c>
      <c r="AM7" s="33">
        <f ca="1">SUMIFS(Assumptions!CJ$3:CJ$103,Assumptions!$G$3:$G$103,'non-road'!$F7,Assumptions!$B$3:$B$103,'non-road'!$D7)/SUMIF(Assumptions!$G$3:$G$103,'non-road'!$F7,Assumptions!CJ$3:CJ$103)</f>
        <v>0</v>
      </c>
      <c r="AN7" s="33">
        <f ca="1">SUMIFS(Assumptions!CK$3:CK$103,Assumptions!$G$3:$G$103,'non-road'!$F7,Assumptions!$B$3:$B$103,'non-road'!$D7)/SUMIF(Assumptions!$G$3:$G$103,'non-road'!$F7,Assumptions!CK$3:CK$103)</f>
        <v>0</v>
      </c>
      <c r="AO7" s="33">
        <f ca="1">SUMIFS(Assumptions!CL$3:CL$103,Assumptions!$G$3:$G$103,'non-road'!$F7,Assumptions!$B$3:$B$103,'non-road'!$D7)/SUMIF(Assumptions!$G$3:$G$103,'non-road'!$F7,Assumptions!CL$3:CL$103)</f>
        <v>0</v>
      </c>
      <c r="AP7" s="33" t="e">
        <f ca="1">SUMIFS(Assumptions!CM$3:CM$103,Assumptions!$G$3:$G$103,'non-road'!$F7,Assumptions!$B$3:$B$103,'non-road'!$D7)/SUMIF(Assumptions!$G$3:$G$103,'non-road'!$F7,Assumptions!CM$3:CM$103)</f>
        <v>#DIV/0!</v>
      </c>
      <c r="AQ7" s="33" t="e">
        <f ca="1">SUMIFS(Assumptions!CN$3:CN$103,Assumptions!$G$3:$G$103,'non-road'!$F7,Assumptions!$B$3:$B$103,'non-road'!$D7)/SUMIF(Assumptions!$G$3:$G$103,'non-road'!$F7,Assumptions!CN$3:CN$103)</f>
        <v>#DIV/0!</v>
      </c>
      <c r="AR7" s="33" t="e">
        <f ca="1">SUMIFS(Assumptions!CO$3:CO$103,Assumptions!$G$3:$G$103,'non-road'!$F7,Assumptions!$B$3:$B$103,'non-road'!$D7)/SUMIF(Assumptions!$G$3:$G$103,'non-road'!$F7,Assumptions!CO$3:CO$103)</f>
        <v>#DIV/0!</v>
      </c>
      <c r="AS7" s="33" t="e">
        <f ca="1">SUMIFS(Assumptions!CP$3:CP$103,Assumptions!$G$3:$G$103,'non-road'!$F7,Assumptions!$B$3:$B$103,'non-road'!$D7)/SUMIF(Assumptions!$G$3:$G$103,'non-road'!$F7,Assumptions!CP$3:CP$103)</f>
        <v>#DIV/0!</v>
      </c>
      <c r="AT7" s="33" t="e">
        <f ca="1">SUMIFS(Assumptions!CQ$3:CQ$103,Assumptions!$G$3:$G$103,'non-road'!$F7,Assumptions!$B$3:$B$103,'non-road'!$D7)/SUMIF(Assumptions!$G$3:$G$103,'non-road'!$F7,Assumptions!CQ$3:CQ$103)</f>
        <v>#DIV/0!</v>
      </c>
      <c r="AU7" s="33" t="e">
        <f ca="1">SUMIFS(Assumptions!CR$3:CR$103,Assumptions!$G$3:$G$103,'non-road'!$F7,Assumptions!$B$3:$B$103,'non-road'!$D7)/SUMIF(Assumptions!$G$3:$G$103,'non-road'!$F7,Assumptions!CR$3:CR$103)</f>
        <v>#DIV/0!</v>
      </c>
      <c r="AV7" s="33" t="e">
        <f ca="1">SUMIFS(Assumptions!CS$3:CS$103,Assumptions!$G$3:$G$103,'non-road'!$F7,Assumptions!$B$3:$B$103,'non-road'!$D7)/SUMIF(Assumptions!$G$3:$G$103,'non-road'!$F7,Assumptions!CS$3:CS$103)</f>
        <v>#DIV/0!</v>
      </c>
      <c r="AW7" s="33" t="e">
        <f ca="1">SUMIFS(Assumptions!CT$3:CT$103,Assumptions!$G$3:$G$103,'non-road'!$F7,Assumptions!$B$3:$B$103,'non-road'!$D7)/SUMIF(Assumptions!$G$3:$G$103,'non-road'!$F7,Assumptions!CT$3:CT$103)</f>
        <v>#DIV/0!</v>
      </c>
      <c r="AX7" s="33" t="e">
        <f ca="1">SUMIFS(Assumptions!CU$3:CU$103,Assumptions!$G$3:$G$103,'non-road'!$F7,Assumptions!$B$3:$B$103,'non-road'!$D7)/SUMIF(Assumptions!$G$3:$G$103,'non-road'!$F7,Assumptions!CU$3:CU$103)</f>
        <v>#DIV/0!</v>
      </c>
      <c r="AY7" s="33" t="e">
        <f ca="1">SUMIFS(Assumptions!CV$3:CV$103,Assumptions!$G$3:$G$103,'non-road'!$F7,Assumptions!$B$3:$B$103,'non-road'!$D7)/SUMIF(Assumptions!$G$3:$G$103,'non-road'!$F7,Assumptions!CV$3:CV$103)</f>
        <v>#DIV/0!</v>
      </c>
      <c r="AZ7" s="33" t="e">
        <f ca="1">SUMIFS(Assumptions!CW$3:CW$103,Assumptions!$G$3:$G$103,'non-road'!$F7,Assumptions!$B$3:$B$103,'non-road'!$D7)/SUMIF(Assumptions!$G$3:$G$103,'non-road'!$F7,Assumptions!CW$3:CW$103)</f>
        <v>#DIV/0!</v>
      </c>
      <c r="BA7" s="34"/>
      <c r="BB7" s="33"/>
      <c r="BC7" s="33"/>
      <c r="BD7" s="27" t="str">
        <f t="shared" si="50"/>
        <v>\I:</v>
      </c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27"/>
      <c r="CZ7" s="27"/>
      <c r="DA7" s="27" t="s">
        <v>21</v>
      </c>
      <c r="DB7" s="27">
        <f>SUMIF(Assumptions!$BB$105:$BB$128,'non-road'!$DA7,Assumptions!BD$105:BD$128)</f>
        <v>12.033072539999999</v>
      </c>
      <c r="DC7" s="27">
        <f>SUMIF(Assumptions!$BB$105:$BB$128,'non-road'!$DA7,Assumptions!BE$105:BE$128)</f>
        <v>23.5543757688</v>
      </c>
      <c r="DD7" s="27">
        <f>SUMIF(Assumptions!$BB$105:$BB$128,'non-road'!$DA7,Assumptions!BF$105:BF$128)</f>
        <v>29.186932237200001</v>
      </c>
      <c r="DE7" s="27">
        <f>SUMIF(Assumptions!$BB$105:$BB$128,'non-road'!$DA7,Assumptions!BG$105:BG$128)</f>
        <v>1.1377042847999999</v>
      </c>
      <c r="DF7" s="27">
        <f>SUMIF(Assumptions!$BB$105:$BB$128,'non-road'!$DA7,Assumptions!BH$105:BH$128)</f>
        <v>0.52120217160000004</v>
      </c>
      <c r="DG7" s="27">
        <f>SUMIF(Assumptions!$BB$105:$BB$128,'non-road'!$DA7,Assumptions!BI$105:BI$128)</f>
        <v>17.958177471599999</v>
      </c>
      <c r="DH7" s="27">
        <f>SUMIF(Assumptions!$BB$105:$BB$128,'non-road'!$DA7,Assumptions!BJ$105:BJ$128)</f>
        <v>54.311533851600004</v>
      </c>
      <c r="DI7" s="27">
        <f>SUMIF(Assumptions!$BB$105:$BB$128,'non-road'!$DA7,Assumptions!BK$105:BK$128)</f>
        <v>1018.0260679932001</v>
      </c>
      <c r="DJ7" s="27">
        <f>SUMIF(Assumptions!$BB$105:$BB$128,'non-road'!$DA7,Assumptions!BL$105:BL$128)</f>
        <v>2.0970592631999998</v>
      </c>
      <c r="DK7" s="27">
        <f>SUMIF(Assumptions!$BB$105:$BB$128,'non-road'!$DA7,Assumptions!BM$105:BM$128)</f>
        <v>0.21299926320000001</v>
      </c>
      <c r="DL7" s="27">
        <f>SUMIF(Assumptions!$BB$105:$BB$128,'non-road'!$DA7,Assumptions!BN$105:BN$128)</f>
        <v>21.093370541999999</v>
      </c>
      <c r="DM7" s="27">
        <f>SUMIF(Assumptions!$BB$105:$BB$128,'non-road'!$DA7,Assumptions!BO$105:BO$128)</f>
        <v>11.2463979408</v>
      </c>
      <c r="DN7" s="27">
        <f>SUMIF(Assumptions!$BB$105:$BB$128,'non-road'!$DA7,Assumptions!BP$105:BP$128)</f>
        <v>26.863442456400001</v>
      </c>
      <c r="DO7" s="27">
        <f>SUMIF(Assumptions!$BB$105:$BB$128,'non-road'!$DA7,Assumptions!BQ$105:BQ$128)</f>
        <v>2.037966768</v>
      </c>
      <c r="DP7" s="27">
        <f>SUMIF(Assumptions!$BB$105:$BB$128,'non-road'!$DA7,Assumptions!BR$105:BR$128)</f>
        <v>0.69901138080000003</v>
      </c>
      <c r="DQ7" s="27">
        <f>SUMIF(Assumptions!$BB$105:$BB$128,'non-road'!$DA7,Assumptions!BS$105:BS$128)</f>
        <v>64.375403626800008</v>
      </c>
      <c r="DR7" s="27">
        <f>SUMIF(Assumptions!$BB$105:$BB$128,'non-road'!$DA7,Assumptions!BT$105:BT$128)</f>
        <v>3.6805991327999998</v>
      </c>
      <c r="DS7" s="27">
        <f>SUMIF(Assumptions!$BB$105:$BB$128,'non-road'!$DA7,Assumptions!BU$105:BU$128)</f>
        <v>25.939964167200003</v>
      </c>
      <c r="DT7" s="27">
        <f>SUMIF(Assumptions!$BB$105:$BB$128,'non-road'!$DA7,Assumptions!BV$105:BV$128)</f>
        <v>131.00181515280002</v>
      </c>
      <c r="DU7" s="27">
        <f>SUMIF(Assumptions!$BB$105:$BB$128,'non-road'!$DA7,Assumptions!BW$105:BW$128)</f>
        <v>51.945644347200002</v>
      </c>
      <c r="DV7" s="27">
        <f>SUMIF(Assumptions!$BB$105:$BB$128,'non-road'!$DA7,Assumptions!BX$105:BX$128)</f>
        <v>0</v>
      </c>
      <c r="DW7" s="27">
        <f>SUMIF(Assumptions!$BB$105:$BB$128,'non-road'!$DA7,Assumptions!BY$105:BY$128)</f>
        <v>445.68029638799993</v>
      </c>
      <c r="DX7" s="27">
        <f>SUMIF(Assumptions!$BB$105:$BB$128,'non-road'!$DA7,Assumptions!BZ$105:BZ$128)</f>
        <v>42.000780175200006</v>
      </c>
      <c r="DY7" s="27">
        <f>SUMIF(Assumptions!$BB$105:$BB$128,'non-road'!$DA7,Assumptions!CA$105:CA$128)</f>
        <v>7.7958215999999997E-2</v>
      </c>
      <c r="DZ7" s="27">
        <f>SUMIF(Assumptions!$BB$105:$BB$128,'non-road'!$DA7,Assumptions!CB$105:CB$128)</f>
        <v>280.9286320068</v>
      </c>
      <c r="EA7" s="27">
        <f>SUMIF(Assumptions!$BB$105:$BB$128,'non-road'!$DA7,Assumptions!CC$105:CC$128)</f>
        <v>25.594159607999998</v>
      </c>
      <c r="EB7" s="27">
        <f>SUMIF(Assumptions!$BB$105:$BB$128,'non-road'!$DA7,Assumptions!CD$105:CD$128)</f>
        <v>0</v>
      </c>
      <c r="EC7" s="27">
        <f>SUMIF(Assumptions!$BB$105:$BB$128,'non-road'!$DA7,Assumptions!CE$105:CE$128)</f>
        <v>11.0551951584</v>
      </c>
      <c r="ED7" s="27">
        <f>SUMIF(Assumptions!$BB$105:$BB$128,'non-road'!$DA7,Assumptions!CF$105:CF$128)</f>
        <v>46.700438054399996</v>
      </c>
      <c r="EE7" s="27">
        <f>SUMIF(Assumptions!$BB$105:$BB$128,'non-road'!$DA7,Assumptions!CG$105:CG$128)</f>
        <v>16.446864088799998</v>
      </c>
      <c r="EF7" s="27">
        <f>SUMIF(Assumptions!$BB$105:$BB$128,'non-road'!$DA7,Assumptions!CH$105:CH$128)</f>
        <v>1.5486763860000001</v>
      </c>
      <c r="EG7" s="27">
        <f>SUMIF(Assumptions!$BB$105:$BB$128,'non-road'!$DA7,Assumptions!CI$105:CI$128)</f>
        <v>16.2248004036</v>
      </c>
      <c r="EH7" s="27">
        <f>SUMIF(Assumptions!$BB$105:$BB$128,'non-road'!$DA7,Assumptions!CJ$105:CJ$128)</f>
        <v>37.178976592799998</v>
      </c>
      <c r="EI7" s="27">
        <f>SUMIF(Assumptions!$BB$105:$BB$128,'non-road'!$DA7,Assumptions!CK$105:CK$128)</f>
        <v>5.6338711235999996</v>
      </c>
      <c r="EJ7" s="27">
        <f>SUMIF(Assumptions!$BB$105:$BB$128,'non-road'!$DA7,Assumptions!CL$105:CL$128)</f>
        <v>1.8217478556</v>
      </c>
      <c r="EK7" s="27">
        <f>SUMIF(Assumptions!$BB$105:$BB$128,'non-road'!$DA7,Assumptions!CM$105:CM$128)</f>
        <v>0</v>
      </c>
      <c r="EL7" s="27">
        <f>SUMIF(Assumptions!$BB$105:$BB$128,'non-road'!$DA7,Assumptions!CN$105:CN$128)</f>
        <v>0</v>
      </c>
      <c r="EM7" s="27">
        <f>SUMIF(Assumptions!$BB$105:$BB$128,'non-road'!$DA7,Assumptions!CO$105:CO$128)</f>
        <v>0</v>
      </c>
      <c r="EN7" s="27">
        <f>SUMIF(Assumptions!$BB$105:$BB$128,'non-road'!$DA7,Assumptions!CP$105:CP$128)</f>
        <v>0</v>
      </c>
      <c r="EO7" s="27">
        <f>SUMIF(Assumptions!$BB$105:$BB$128,'non-road'!$DA7,Assumptions!CQ$105:CQ$128)</f>
        <v>0</v>
      </c>
      <c r="EP7" s="27">
        <f>SUMIF(Assumptions!$BB$105:$BB$128,'non-road'!$DA7,Assumptions!CR$105:CR$128)</f>
        <v>0</v>
      </c>
      <c r="EQ7" s="27">
        <f>SUMIF(Assumptions!$BB$105:$BB$128,'non-road'!$DA7,Assumptions!CS$105:CS$128)</f>
        <v>0</v>
      </c>
      <c r="ER7" s="27">
        <f>SUMIF(Assumptions!$BB$105:$BB$128,'non-road'!$DA7,Assumptions!CT$105:CT$128)</f>
        <v>0</v>
      </c>
      <c r="ES7" s="27">
        <f>SUMIF(Assumptions!$BB$105:$BB$128,'non-road'!$DA7,Assumptions!CU$105:CU$128)</f>
        <v>0</v>
      </c>
      <c r="ET7" s="27">
        <f>SUMIF(Assumptions!$BB$105:$BB$128,'non-road'!$DA7,Assumptions!CV$105:CV$128)</f>
        <v>0</v>
      </c>
      <c r="EU7" s="27">
        <f>SUMIF(Assumptions!$BB$105:$BB$128,'non-road'!$DA7,Assumptions!CW$105:CW$128)</f>
        <v>0</v>
      </c>
      <c r="EV7" s="27"/>
      <c r="EW7" s="27" t="str">
        <f t="shared" si="48"/>
        <v>\I:</v>
      </c>
      <c r="EX7" s="27" t="str">
        <f t="shared" si="47"/>
        <v/>
      </c>
      <c r="EY7" s="27" t="s">
        <v>169</v>
      </c>
      <c r="EZ7" s="27" t="s">
        <v>160</v>
      </c>
      <c r="FA7" s="27" t="s">
        <v>161</v>
      </c>
      <c r="FB7" s="27"/>
      <c r="FC7" s="27"/>
      <c r="FD7" s="27"/>
    </row>
    <row r="8" spans="1:160">
      <c r="A8" s="27" t="s">
        <v>10</v>
      </c>
      <c r="B8" s="27"/>
      <c r="C8" s="27" t="str">
        <f t="shared" si="49"/>
        <v/>
      </c>
      <c r="D8" s="27" t="s">
        <v>39</v>
      </c>
      <c r="E8" s="27"/>
      <c r="F8" s="27" t="s">
        <v>55</v>
      </c>
      <c r="G8" s="33">
        <f ca="1">SUMIFS(Assumptions!BD$3:BD$103,Assumptions!$G$3:$G$103,'non-road'!$F8,Assumptions!$B$3:$B$103,'non-road'!$D8)/SUMIF(Assumptions!$G$3:$G$103,'non-road'!$F8,Assumptions!BD$3:BD$103)</f>
        <v>0</v>
      </c>
      <c r="H8" s="33">
        <f ca="1">SUMIFS(Assumptions!BE$3:BE$103,Assumptions!$G$3:$G$103,'non-road'!$F8,Assumptions!$B$3:$B$103,'non-road'!$D8)/SUMIF(Assumptions!$G$3:$G$103,'non-road'!$F8,Assumptions!BE$3:BE$103)</f>
        <v>0</v>
      </c>
      <c r="I8" s="33">
        <f ca="1">SUMIFS(Assumptions!BF$3:BF$103,Assumptions!$G$3:$G$103,'non-road'!$F8,Assumptions!$B$3:$B$103,'non-road'!$D8)/SUMIF(Assumptions!$G$3:$G$103,'non-road'!$F8,Assumptions!BF$3:BF$103)</f>
        <v>0</v>
      </c>
      <c r="J8" s="33">
        <f ca="1">SUMIFS(Assumptions!BG$3:BG$103,Assumptions!$G$3:$G$103,'non-road'!$F8,Assumptions!$B$3:$B$103,'non-road'!$D8)/SUMIF(Assumptions!$G$3:$G$103,'non-road'!$F8,Assumptions!BG$3:BG$103)</f>
        <v>0</v>
      </c>
      <c r="K8" s="33">
        <f ca="1">SUMIFS(Assumptions!BH$3:BH$103,Assumptions!$G$3:$G$103,'non-road'!$F8,Assumptions!$B$3:$B$103,'non-road'!$D8)/SUMIF(Assumptions!$G$3:$G$103,'non-road'!$F8,Assumptions!BH$3:BH$103)</f>
        <v>0</v>
      </c>
      <c r="L8" s="33">
        <f ca="1">SUMIFS(Assumptions!BI$3:BI$103,Assumptions!$G$3:$G$103,'non-road'!$F8,Assumptions!$B$3:$B$103,'non-road'!$D8)/SUMIF(Assumptions!$G$3:$G$103,'non-road'!$F8,Assumptions!BI$3:BI$103)</f>
        <v>0</v>
      </c>
      <c r="M8" s="33">
        <f ca="1">SUMIFS(Assumptions!BJ$3:BJ$103,Assumptions!$G$3:$G$103,'non-road'!$F8,Assumptions!$B$3:$B$103,'non-road'!$D8)/SUMIF(Assumptions!$G$3:$G$103,'non-road'!$F8,Assumptions!BJ$3:BJ$103)</f>
        <v>0</v>
      </c>
      <c r="N8" s="33">
        <f ca="1">SUMIFS(Assumptions!BK$3:BK$103,Assumptions!$G$3:$G$103,'non-road'!$F8,Assumptions!$B$3:$B$103,'non-road'!$D8)/SUMIF(Assumptions!$G$3:$G$103,'non-road'!$F8,Assumptions!BK$3:BK$103)</f>
        <v>0</v>
      </c>
      <c r="O8" s="33">
        <f ca="1">SUMIFS(Assumptions!BL$3:BL$103,Assumptions!$G$3:$G$103,'non-road'!$F8,Assumptions!$B$3:$B$103,'non-road'!$D8)/SUMIF(Assumptions!$G$3:$G$103,'non-road'!$F8,Assumptions!BL$3:BL$103)</f>
        <v>0</v>
      </c>
      <c r="P8" s="33">
        <f ca="1">SUMIFS(Assumptions!BM$3:BM$103,Assumptions!$G$3:$G$103,'non-road'!$F8,Assumptions!$B$3:$B$103,'non-road'!$D8)/SUMIF(Assumptions!$G$3:$G$103,'non-road'!$F8,Assumptions!BM$3:BM$103)</f>
        <v>0</v>
      </c>
      <c r="Q8" s="33">
        <f ca="1">SUMIFS(Assumptions!BN$3:BN$103,Assumptions!$G$3:$G$103,'non-road'!$F8,Assumptions!$B$3:$B$103,'non-road'!$D8)/SUMIF(Assumptions!$G$3:$G$103,'non-road'!$F8,Assumptions!BN$3:BN$103)</f>
        <v>0</v>
      </c>
      <c r="R8" s="33">
        <f ca="1">SUMIFS(Assumptions!BO$3:BO$103,Assumptions!$G$3:$G$103,'non-road'!$F8,Assumptions!$B$3:$B$103,'non-road'!$D8)/SUMIF(Assumptions!$G$3:$G$103,'non-road'!$F8,Assumptions!BO$3:BO$103)</f>
        <v>0</v>
      </c>
      <c r="S8" s="33">
        <f ca="1">SUMIFS(Assumptions!BP$3:BP$103,Assumptions!$G$3:$G$103,'non-road'!$F8,Assumptions!$B$3:$B$103,'non-road'!$D8)/SUMIF(Assumptions!$G$3:$G$103,'non-road'!$F8,Assumptions!BP$3:BP$103)</f>
        <v>0</v>
      </c>
      <c r="T8" s="33">
        <f ca="1">SUMIFS(Assumptions!BQ$3:BQ$103,Assumptions!$G$3:$G$103,'non-road'!$F8,Assumptions!$B$3:$B$103,'non-road'!$D8)/SUMIF(Assumptions!$G$3:$G$103,'non-road'!$F8,Assumptions!BQ$3:BQ$103)</f>
        <v>0</v>
      </c>
      <c r="U8" s="33" t="e">
        <f ca="1">SUMIFS(Assumptions!BR$3:BR$103,Assumptions!$G$3:$G$103,'non-road'!$F8,Assumptions!$B$3:$B$103,'non-road'!$D8)/SUMIF(Assumptions!$G$3:$G$103,'non-road'!$F8,Assumptions!BR$3:BR$103)</f>
        <v>#DIV/0!</v>
      </c>
      <c r="V8" s="33">
        <f ca="1">SUMIFS(Assumptions!BS$3:BS$103,Assumptions!$G$3:$G$103,'non-road'!$F8,Assumptions!$B$3:$B$103,'non-road'!$D8)/SUMIF(Assumptions!$G$3:$G$103,'non-road'!$F8,Assumptions!BS$3:BS$103)</f>
        <v>0</v>
      </c>
      <c r="W8" s="33">
        <f ca="1">SUMIFS(Assumptions!BT$3:BT$103,Assumptions!$G$3:$G$103,'non-road'!$F8,Assumptions!$B$3:$B$103,'non-road'!$D8)/SUMIF(Assumptions!$G$3:$G$103,'non-road'!$F8,Assumptions!BT$3:BT$103)</f>
        <v>0</v>
      </c>
      <c r="X8" s="33">
        <f ca="1">SUMIFS(Assumptions!BU$3:BU$103,Assumptions!$G$3:$G$103,'non-road'!$F8,Assumptions!$B$3:$B$103,'non-road'!$D8)/SUMIF(Assumptions!$G$3:$G$103,'non-road'!$F8,Assumptions!BU$3:BU$103)</f>
        <v>0</v>
      </c>
      <c r="Y8" s="33">
        <f ca="1">SUMIFS(Assumptions!BV$3:BV$103,Assumptions!$G$3:$G$103,'non-road'!$F8,Assumptions!$B$3:$B$103,'non-road'!$D8)/SUMIF(Assumptions!$G$3:$G$103,'non-road'!$F8,Assumptions!BV$3:BV$103)</f>
        <v>0</v>
      </c>
      <c r="Z8" s="33">
        <f ca="1">SUMIFS(Assumptions!BW$3:BW$103,Assumptions!$G$3:$G$103,'non-road'!$F8,Assumptions!$B$3:$B$103,'non-road'!$D8)/SUMIF(Assumptions!$G$3:$G$103,'non-road'!$F8,Assumptions!BW$3:BW$103)</f>
        <v>0</v>
      </c>
      <c r="AA8" s="33">
        <f ca="1">SUMIFS(Assumptions!BX$3:BX$103,Assumptions!$G$3:$G$103,'non-road'!$F8,Assumptions!$B$3:$B$103,'non-road'!$D8)/SUMIF(Assumptions!$G$3:$G$103,'non-road'!$F8,Assumptions!BX$3:BX$103)</f>
        <v>0</v>
      </c>
      <c r="AB8" s="33">
        <f ca="1">SUMIFS(Assumptions!BY$3:BY$103,Assumptions!$G$3:$G$103,'non-road'!$F8,Assumptions!$B$3:$B$103,'non-road'!$D8)/SUMIF(Assumptions!$G$3:$G$103,'non-road'!$F8,Assumptions!BY$3:BY$103)</f>
        <v>0</v>
      </c>
      <c r="AC8" s="33">
        <f ca="1">SUMIFS(Assumptions!BZ$3:BZ$103,Assumptions!$G$3:$G$103,'non-road'!$F8,Assumptions!$B$3:$B$103,'non-road'!$D8)/SUMIF(Assumptions!$G$3:$G$103,'non-road'!$F8,Assumptions!BZ$3:BZ$103)</f>
        <v>0</v>
      </c>
      <c r="AD8" s="33">
        <f ca="1">SUMIFS(Assumptions!CA$3:CA$103,Assumptions!$G$3:$G$103,'non-road'!$F8,Assumptions!$B$3:$B$103,'non-road'!$D8)/SUMIF(Assumptions!$G$3:$G$103,'non-road'!$F8,Assumptions!CA$3:CA$103)</f>
        <v>0</v>
      </c>
      <c r="AE8" s="33">
        <f ca="1">SUMIFS(Assumptions!CB$3:CB$103,Assumptions!$G$3:$G$103,'non-road'!$F8,Assumptions!$B$3:$B$103,'non-road'!$D8)/SUMIF(Assumptions!$G$3:$G$103,'non-road'!$F8,Assumptions!CB$3:CB$103)</f>
        <v>0</v>
      </c>
      <c r="AF8" s="33">
        <f ca="1">SUMIFS(Assumptions!CC$3:CC$103,Assumptions!$G$3:$G$103,'non-road'!$F8,Assumptions!$B$3:$B$103,'non-road'!$D8)/SUMIF(Assumptions!$G$3:$G$103,'non-road'!$F8,Assumptions!CC$3:CC$103)</f>
        <v>0</v>
      </c>
      <c r="AG8" s="33" t="e">
        <f ca="1">SUMIFS(Assumptions!CD$3:CD$103,Assumptions!$G$3:$G$103,'non-road'!$F8,Assumptions!$B$3:$B$103,'non-road'!$D8)/SUMIF(Assumptions!$G$3:$G$103,'non-road'!$F8,Assumptions!CD$3:CD$103)</f>
        <v>#DIV/0!</v>
      </c>
      <c r="AH8" s="33">
        <f ca="1">SUMIFS(Assumptions!CE$3:CE$103,Assumptions!$G$3:$G$103,'non-road'!$F8,Assumptions!$B$3:$B$103,'non-road'!$D8)/SUMIF(Assumptions!$G$3:$G$103,'non-road'!$F8,Assumptions!CE$3:CE$103)</f>
        <v>0</v>
      </c>
      <c r="AI8" s="33">
        <f ca="1">SUMIFS(Assumptions!CF$3:CF$103,Assumptions!$G$3:$G$103,'non-road'!$F8,Assumptions!$B$3:$B$103,'non-road'!$D8)/SUMIF(Assumptions!$G$3:$G$103,'non-road'!$F8,Assumptions!CF$3:CF$103)</f>
        <v>0</v>
      </c>
      <c r="AJ8" s="33">
        <f ca="1">SUMIFS(Assumptions!CG$3:CG$103,Assumptions!$G$3:$G$103,'non-road'!$F8,Assumptions!$B$3:$B$103,'non-road'!$D8)/SUMIF(Assumptions!$G$3:$G$103,'non-road'!$F8,Assumptions!CG$3:CG$103)</f>
        <v>0</v>
      </c>
      <c r="AK8" s="33">
        <f ca="1">SUMIFS(Assumptions!CH$3:CH$103,Assumptions!$G$3:$G$103,'non-road'!$F8,Assumptions!$B$3:$B$103,'non-road'!$D8)/SUMIF(Assumptions!$G$3:$G$103,'non-road'!$F8,Assumptions!CH$3:CH$103)</f>
        <v>0</v>
      </c>
      <c r="AL8" s="33">
        <f ca="1">SUMIFS(Assumptions!CI$3:CI$103,Assumptions!$G$3:$G$103,'non-road'!$F8,Assumptions!$B$3:$B$103,'non-road'!$D8)/SUMIF(Assumptions!$G$3:$G$103,'non-road'!$F8,Assumptions!CI$3:CI$103)</f>
        <v>0</v>
      </c>
      <c r="AM8" s="33">
        <f ca="1">SUMIFS(Assumptions!CJ$3:CJ$103,Assumptions!$G$3:$G$103,'non-road'!$F8,Assumptions!$B$3:$B$103,'non-road'!$D8)/SUMIF(Assumptions!$G$3:$G$103,'non-road'!$F8,Assumptions!CJ$3:CJ$103)</f>
        <v>0</v>
      </c>
      <c r="AN8" s="33">
        <f ca="1">SUMIFS(Assumptions!CK$3:CK$103,Assumptions!$G$3:$G$103,'non-road'!$F8,Assumptions!$B$3:$B$103,'non-road'!$D8)/SUMIF(Assumptions!$G$3:$G$103,'non-road'!$F8,Assumptions!CK$3:CK$103)</f>
        <v>0</v>
      </c>
      <c r="AO8" s="33">
        <f ca="1">SUMIFS(Assumptions!CL$3:CL$103,Assumptions!$G$3:$G$103,'non-road'!$F8,Assumptions!$B$3:$B$103,'non-road'!$D8)/SUMIF(Assumptions!$G$3:$G$103,'non-road'!$F8,Assumptions!CL$3:CL$103)</f>
        <v>0</v>
      </c>
      <c r="AP8" s="33" t="e">
        <f ca="1">SUMIFS(Assumptions!CM$3:CM$103,Assumptions!$G$3:$G$103,'non-road'!$F8,Assumptions!$B$3:$B$103,'non-road'!$D8)/SUMIF(Assumptions!$G$3:$G$103,'non-road'!$F8,Assumptions!CM$3:CM$103)</f>
        <v>#DIV/0!</v>
      </c>
      <c r="AQ8" s="33" t="e">
        <f ca="1">SUMIFS(Assumptions!CN$3:CN$103,Assumptions!$G$3:$G$103,'non-road'!$F8,Assumptions!$B$3:$B$103,'non-road'!$D8)/SUMIF(Assumptions!$G$3:$G$103,'non-road'!$F8,Assumptions!CN$3:CN$103)</f>
        <v>#DIV/0!</v>
      </c>
      <c r="AR8" s="33" t="e">
        <f ca="1">SUMIFS(Assumptions!CO$3:CO$103,Assumptions!$G$3:$G$103,'non-road'!$F8,Assumptions!$B$3:$B$103,'non-road'!$D8)/SUMIF(Assumptions!$G$3:$G$103,'non-road'!$F8,Assumptions!CO$3:CO$103)</f>
        <v>#DIV/0!</v>
      </c>
      <c r="AS8" s="33" t="e">
        <f ca="1">SUMIFS(Assumptions!CP$3:CP$103,Assumptions!$G$3:$G$103,'non-road'!$F8,Assumptions!$B$3:$B$103,'non-road'!$D8)/SUMIF(Assumptions!$G$3:$G$103,'non-road'!$F8,Assumptions!CP$3:CP$103)</f>
        <v>#DIV/0!</v>
      </c>
      <c r="AT8" s="33" t="e">
        <f ca="1">SUMIFS(Assumptions!CQ$3:CQ$103,Assumptions!$G$3:$G$103,'non-road'!$F8,Assumptions!$B$3:$B$103,'non-road'!$D8)/SUMIF(Assumptions!$G$3:$G$103,'non-road'!$F8,Assumptions!CQ$3:CQ$103)</f>
        <v>#DIV/0!</v>
      </c>
      <c r="AU8" s="33" t="e">
        <f ca="1">SUMIFS(Assumptions!CR$3:CR$103,Assumptions!$G$3:$G$103,'non-road'!$F8,Assumptions!$B$3:$B$103,'non-road'!$D8)/SUMIF(Assumptions!$G$3:$G$103,'non-road'!$F8,Assumptions!CR$3:CR$103)</f>
        <v>#DIV/0!</v>
      </c>
      <c r="AV8" s="33" t="e">
        <f ca="1">SUMIFS(Assumptions!CS$3:CS$103,Assumptions!$G$3:$G$103,'non-road'!$F8,Assumptions!$B$3:$B$103,'non-road'!$D8)/SUMIF(Assumptions!$G$3:$G$103,'non-road'!$F8,Assumptions!CS$3:CS$103)</f>
        <v>#DIV/0!</v>
      </c>
      <c r="AW8" s="33" t="e">
        <f ca="1">SUMIFS(Assumptions!CT$3:CT$103,Assumptions!$G$3:$G$103,'non-road'!$F8,Assumptions!$B$3:$B$103,'non-road'!$D8)/SUMIF(Assumptions!$G$3:$G$103,'non-road'!$F8,Assumptions!CT$3:CT$103)</f>
        <v>#DIV/0!</v>
      </c>
      <c r="AX8" s="33" t="e">
        <f ca="1">SUMIFS(Assumptions!CU$3:CU$103,Assumptions!$G$3:$G$103,'non-road'!$F8,Assumptions!$B$3:$B$103,'non-road'!$D8)/SUMIF(Assumptions!$G$3:$G$103,'non-road'!$F8,Assumptions!CU$3:CU$103)</f>
        <v>#DIV/0!</v>
      </c>
      <c r="AY8" s="33" t="e">
        <f ca="1">SUMIFS(Assumptions!CV$3:CV$103,Assumptions!$G$3:$G$103,'non-road'!$F8,Assumptions!$B$3:$B$103,'non-road'!$D8)/SUMIF(Assumptions!$G$3:$G$103,'non-road'!$F8,Assumptions!CV$3:CV$103)</f>
        <v>#DIV/0!</v>
      </c>
      <c r="AZ8" s="33" t="e">
        <f ca="1">SUMIFS(Assumptions!CW$3:CW$103,Assumptions!$G$3:$G$103,'non-road'!$F8,Assumptions!$B$3:$B$103,'non-road'!$D8)/SUMIF(Assumptions!$G$3:$G$103,'non-road'!$F8,Assumptions!CW$3:CW$103)</f>
        <v>#DIV/0!</v>
      </c>
      <c r="BA8" s="34"/>
      <c r="BB8" s="33"/>
      <c r="BC8" s="33"/>
      <c r="BD8" s="27" t="str">
        <f t="shared" si="50"/>
        <v>\I:</v>
      </c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27"/>
      <c r="CZ8" s="27"/>
      <c r="DA8" s="27" t="s">
        <v>22</v>
      </c>
      <c r="DB8" s="27">
        <f>SUMIF(Assumptions!$BB$105:$BB$128,'non-road'!$DA8,Assumptions!BD$105:BD$128)</f>
        <v>35.846569360800004</v>
      </c>
      <c r="DC8" s="27">
        <f>SUMIF(Assumptions!$BB$105:$BB$128,'non-road'!$DA8,Assumptions!BE$105:BE$128)</f>
        <v>88.426882346399992</v>
      </c>
      <c r="DD8" s="27">
        <f>SUMIF(Assumptions!$BB$105:$BB$128,'non-road'!$DA8,Assumptions!BF$105:BF$128)</f>
        <v>32.097310894799996</v>
      </c>
      <c r="DE8" s="27">
        <f>SUMIF(Assumptions!$BB$105:$BB$128,'non-road'!$DA8,Assumptions!BG$105:BG$128)</f>
        <v>0.61301450879999997</v>
      </c>
      <c r="DF8" s="27">
        <f>SUMIF(Assumptions!$BB$105:$BB$128,'non-road'!$DA8,Assumptions!BH$105:BH$128)</f>
        <v>28.184838404400001</v>
      </c>
      <c r="DG8" s="27">
        <f>SUMIF(Assumptions!$BB$105:$BB$128,'non-road'!$DA8,Assumptions!BI$105:BI$128)</f>
        <v>811.02127244040003</v>
      </c>
      <c r="DH8" s="27">
        <f>SUMIF(Assumptions!$BB$105:$BB$128,'non-road'!$DA8,Assumptions!BJ$105:BJ$128)</f>
        <v>139.15394599320001</v>
      </c>
      <c r="DI8" s="27">
        <f>SUMIF(Assumptions!$BB$105:$BB$128,'non-road'!$DA8,Assumptions!BK$105:BK$128)</f>
        <v>475.60651283520002</v>
      </c>
      <c r="DJ8" s="27">
        <f>SUMIF(Assumptions!$BB$105:$BB$128,'non-road'!$DA8,Assumptions!BL$105:BL$128)</f>
        <v>8.8449290099999995</v>
      </c>
      <c r="DK8" s="27">
        <f>SUMIF(Assumptions!$BB$105:$BB$128,'non-road'!$DA8,Assumptions!BM$105:BM$128)</f>
        <v>0</v>
      </c>
      <c r="DL8" s="27">
        <f>SUMIF(Assumptions!$BB$105:$BB$128,'non-road'!$DA8,Assumptions!BN$105:BN$128)</f>
        <v>71.088116814000003</v>
      </c>
      <c r="DM8" s="27">
        <f>SUMIF(Assumptions!$BB$105:$BB$128,'non-road'!$DA8,Assumptions!BO$105:BO$128)</f>
        <v>56.795599972799998</v>
      </c>
      <c r="DN8" s="27">
        <f>SUMIF(Assumptions!$BB$105:$BB$128,'non-road'!$DA8,Assumptions!BP$105:BP$128)</f>
        <v>117.08444396520001</v>
      </c>
      <c r="DO8" s="27">
        <f>SUMIF(Assumptions!$BB$105:$BB$128,'non-road'!$DA8,Assumptions!BQ$105:BQ$128)</f>
        <v>4.6074729167999999</v>
      </c>
      <c r="DP8" s="27">
        <f>SUMIF(Assumptions!$BB$105:$BB$128,'non-road'!$DA8,Assumptions!BR$105:BR$128)</f>
        <v>2.6983800395999999</v>
      </c>
      <c r="DQ8" s="27">
        <f>SUMIF(Assumptions!$BB$105:$BB$128,'non-road'!$DA8,Assumptions!BS$105:BS$128)</f>
        <v>68.148941346000001</v>
      </c>
      <c r="DR8" s="27">
        <f>SUMIF(Assumptions!$BB$105:$BB$128,'non-road'!$DA8,Assumptions!BT$105:BT$128)</f>
        <v>5.8469541227999997</v>
      </c>
      <c r="DS8" s="27">
        <f>SUMIF(Assumptions!$BB$105:$BB$128,'non-road'!$DA8,Assumptions!BU$105:BU$128)</f>
        <v>205.82851827960002</v>
      </c>
      <c r="DT8" s="27">
        <f>SUMIF(Assumptions!$BB$105:$BB$128,'non-road'!$DA8,Assumptions!BV$105:BV$128)</f>
        <v>188.16849120960001</v>
      </c>
      <c r="DU8" s="27">
        <f>SUMIF(Assumptions!$BB$105:$BB$128,'non-road'!$DA8,Assumptions!BW$105:BW$128)</f>
        <v>361.09620561959997</v>
      </c>
      <c r="DV8" s="27">
        <f>SUMIF(Assumptions!$BB$105:$BB$128,'non-road'!$DA8,Assumptions!BX$105:BX$128)</f>
        <v>869.30892232919996</v>
      </c>
      <c r="DW8" s="27">
        <f>SUMIF(Assumptions!$BB$105:$BB$128,'non-road'!$DA8,Assumptions!BY$105:BY$128)</f>
        <v>1015.1062481015999</v>
      </c>
      <c r="DX8" s="27">
        <f>SUMIF(Assumptions!$BB$105:$BB$128,'non-road'!$DA8,Assumptions!BZ$105:BZ$128)</f>
        <v>13.777720473599999</v>
      </c>
      <c r="DY8" s="27">
        <f>SUMIF(Assumptions!$BB$105:$BB$128,'non-road'!$DA8,Assumptions!CA$105:CA$128)</f>
        <v>11.402121780000002</v>
      </c>
      <c r="DZ8" s="27">
        <f>SUMIF(Assumptions!$BB$105:$BB$128,'non-road'!$DA8,Assumptions!CB$105:CB$128)</f>
        <v>2875.1642824788</v>
      </c>
      <c r="EA8" s="27">
        <f>SUMIF(Assumptions!$BB$105:$BB$128,'non-road'!$DA8,Assumptions!CC$105:CC$128)</f>
        <v>452.4944431788</v>
      </c>
      <c r="EB8" s="27">
        <f>SUMIF(Assumptions!$BB$105:$BB$128,'non-road'!$DA8,Assumptions!CD$105:CD$128)</f>
        <v>135.01029096720001</v>
      </c>
      <c r="EC8" s="27">
        <f>SUMIF(Assumptions!$BB$105:$BB$128,'non-road'!$DA8,Assumptions!CE$105:CE$128)</f>
        <v>126.36496346039999</v>
      </c>
      <c r="ED8" s="27">
        <f>SUMIF(Assumptions!$BB$105:$BB$128,'non-road'!$DA8,Assumptions!CF$105:CF$128)</f>
        <v>337.72532473439998</v>
      </c>
      <c r="EE8" s="27">
        <f>SUMIF(Assumptions!$BB$105:$BB$128,'non-road'!$DA8,Assumptions!CG$105:CG$128)</f>
        <v>128.55937001040002</v>
      </c>
      <c r="EF8" s="27">
        <f>SUMIF(Assumptions!$BB$105:$BB$128,'non-road'!$DA8,Assumptions!CH$105:CH$128)</f>
        <v>0.1114861104</v>
      </c>
      <c r="EG8" s="27">
        <f>SUMIF(Assumptions!$BB$105:$BB$128,'non-road'!$DA8,Assumptions!CI$105:CI$128)</f>
        <v>36.896999799600003</v>
      </c>
      <c r="EH8" s="27">
        <f>SUMIF(Assumptions!$BB$105:$BB$128,'non-road'!$DA8,Assumptions!CJ$105:CJ$128)</f>
        <v>95.221820098799995</v>
      </c>
      <c r="EI8" s="27">
        <f>SUMIF(Assumptions!$BB$105:$BB$128,'non-road'!$DA8,Assumptions!CK$105:CK$128)</f>
        <v>0</v>
      </c>
      <c r="EJ8" s="27">
        <f>SUMIF(Assumptions!$BB$105:$BB$128,'non-road'!$DA8,Assumptions!CL$105:CL$128)</f>
        <v>2.0118118283999999</v>
      </c>
      <c r="EK8" s="27">
        <f>SUMIF(Assumptions!$BB$105:$BB$128,'non-road'!$DA8,Assumptions!CM$105:CM$128)</f>
        <v>0</v>
      </c>
      <c r="EL8" s="27">
        <f>SUMIF(Assumptions!$BB$105:$BB$128,'non-road'!$DA8,Assumptions!CN$105:CN$128)</f>
        <v>0</v>
      </c>
      <c r="EM8" s="27">
        <f>SUMIF(Assumptions!$BB$105:$BB$128,'non-road'!$DA8,Assumptions!CO$105:CO$128)</f>
        <v>0</v>
      </c>
      <c r="EN8" s="27">
        <f>SUMIF(Assumptions!$BB$105:$BB$128,'non-road'!$DA8,Assumptions!CP$105:CP$128)</f>
        <v>0</v>
      </c>
      <c r="EO8" s="27">
        <f>SUMIF(Assumptions!$BB$105:$BB$128,'non-road'!$DA8,Assumptions!CQ$105:CQ$128)</f>
        <v>0</v>
      </c>
      <c r="EP8" s="27">
        <f>SUMIF(Assumptions!$BB$105:$BB$128,'non-road'!$DA8,Assumptions!CR$105:CR$128)</f>
        <v>0</v>
      </c>
      <c r="EQ8" s="27">
        <f>SUMIF(Assumptions!$BB$105:$BB$128,'non-road'!$DA8,Assumptions!CS$105:CS$128)</f>
        <v>0</v>
      </c>
      <c r="ER8" s="27">
        <f>SUMIF(Assumptions!$BB$105:$BB$128,'non-road'!$DA8,Assumptions!CT$105:CT$128)</f>
        <v>0</v>
      </c>
      <c r="ES8" s="27">
        <f>SUMIF(Assumptions!$BB$105:$BB$128,'non-road'!$DA8,Assumptions!CU$105:CU$128)</f>
        <v>0</v>
      </c>
      <c r="ET8" s="27">
        <f>SUMIF(Assumptions!$BB$105:$BB$128,'non-road'!$DA8,Assumptions!CV$105:CV$128)</f>
        <v>0</v>
      </c>
      <c r="EU8" s="27">
        <f>SUMIF(Assumptions!$BB$105:$BB$128,'non-road'!$DA8,Assumptions!CW$105:CW$128)</f>
        <v>0</v>
      </c>
      <c r="EV8" s="27"/>
      <c r="EW8" s="27" t="str">
        <f t="shared" si="48"/>
        <v>\I:</v>
      </c>
      <c r="EX8" s="27" t="str">
        <f t="shared" si="47"/>
        <v/>
      </c>
      <c r="EY8" s="27" t="s">
        <v>169</v>
      </c>
      <c r="EZ8" s="27" t="s">
        <v>160</v>
      </c>
      <c r="FA8" s="27" t="s">
        <v>161</v>
      </c>
      <c r="FB8" s="27"/>
      <c r="FC8" s="27"/>
      <c r="FD8" s="27"/>
    </row>
    <row r="9" spans="1:160">
      <c r="A9" s="27" t="s">
        <v>30</v>
      </c>
      <c r="B9" s="27"/>
      <c r="C9" s="27" t="str">
        <f t="shared" si="49"/>
        <v/>
      </c>
      <c r="D9" s="27" t="s">
        <v>32</v>
      </c>
      <c r="E9" s="27" t="s">
        <v>398</v>
      </c>
      <c r="F9" s="27" t="s">
        <v>55</v>
      </c>
      <c r="G9" s="33">
        <f ca="1">SUMIFS(Assumptions!BD$3:BD$103,Assumptions!$G$3:$G$103,'non-road'!$F9,Assumptions!$B$3:$B$103,'non-road'!$D9)/SUMIF(Assumptions!$G$3:$G$103,'non-road'!$F9,Assumptions!BD$3:BD$103)</f>
        <v>0</v>
      </c>
      <c r="H9" s="33">
        <f ca="1">SUMIFS(Assumptions!BE$3:BE$103,Assumptions!$G$3:$G$103,'non-road'!$F9,Assumptions!$B$3:$B$103,'non-road'!$D9)/SUMIF(Assumptions!$G$3:$G$103,'non-road'!$F9,Assumptions!BE$3:BE$103)</f>
        <v>0</v>
      </c>
      <c r="I9" s="33">
        <f ca="1">SUMIFS(Assumptions!BF$3:BF$103,Assumptions!$G$3:$G$103,'non-road'!$F9,Assumptions!$B$3:$B$103,'non-road'!$D9)/SUMIF(Assumptions!$G$3:$G$103,'non-road'!$F9,Assumptions!BF$3:BF$103)</f>
        <v>0</v>
      </c>
      <c r="J9" s="33">
        <f ca="1">SUMIFS(Assumptions!BG$3:BG$103,Assumptions!$G$3:$G$103,'non-road'!$F9,Assumptions!$B$3:$B$103,'non-road'!$D9)/SUMIF(Assumptions!$G$3:$G$103,'non-road'!$F9,Assumptions!BG$3:BG$103)</f>
        <v>5.4667397564261762E-2</v>
      </c>
      <c r="K9" s="33">
        <f ca="1">SUMIFS(Assumptions!BH$3:BH$103,Assumptions!$G$3:$G$103,'non-road'!$F9,Assumptions!$B$3:$B$103,'non-road'!$D9)/SUMIF(Assumptions!$G$3:$G$103,'non-road'!$F9,Assumptions!BH$3:BH$103)</f>
        <v>2.6665629613597891E-2</v>
      </c>
      <c r="L9" s="33">
        <f ca="1">SUMIFS(Assumptions!BI$3:BI$103,Assumptions!$G$3:$G$103,'non-road'!$F9,Assumptions!$B$3:$B$103,'non-road'!$D9)/SUMIF(Assumptions!$G$3:$G$103,'non-road'!$F9,Assumptions!BI$3:BI$103)</f>
        <v>3.5218337057160133E-2</v>
      </c>
      <c r="M9" s="33">
        <f ca="1">SUMIFS(Assumptions!BJ$3:BJ$103,Assumptions!$G$3:$G$103,'non-road'!$F9,Assumptions!$B$3:$B$103,'non-road'!$D9)/SUMIF(Assumptions!$G$3:$G$103,'non-road'!$F9,Assumptions!BJ$3:BJ$103)</f>
        <v>9.6143997282509885E-2</v>
      </c>
      <c r="N9" s="33">
        <f ca="1">SUMIFS(Assumptions!BK$3:BK$103,Assumptions!$G$3:$G$103,'non-road'!$F9,Assumptions!$B$3:$B$103,'non-road'!$D9)/SUMIF(Assumptions!$G$3:$G$103,'non-road'!$F9,Assumptions!BK$3:BK$103)</f>
        <v>0</v>
      </c>
      <c r="O9" s="33">
        <f ca="1">SUMIFS(Assumptions!BL$3:BL$103,Assumptions!$G$3:$G$103,'non-road'!$F9,Assumptions!$B$3:$B$103,'non-road'!$D9)/SUMIF(Assumptions!$G$3:$G$103,'non-road'!$F9,Assumptions!BL$3:BL$103)</f>
        <v>0</v>
      </c>
      <c r="P9" s="33">
        <f ca="1">SUMIFS(Assumptions!BM$3:BM$103,Assumptions!$G$3:$G$103,'non-road'!$F9,Assumptions!$B$3:$B$103,'non-road'!$D9)/SUMIF(Assumptions!$G$3:$G$103,'non-road'!$F9,Assumptions!BM$3:BM$103)</f>
        <v>4.2947128056470586E-2</v>
      </c>
      <c r="Q9" s="33">
        <f ca="1">SUMIFS(Assumptions!BN$3:BN$103,Assumptions!$G$3:$G$103,'non-road'!$F9,Assumptions!$B$3:$B$103,'non-road'!$D9)/SUMIF(Assumptions!$G$3:$G$103,'non-road'!$F9,Assumptions!BN$3:BN$103)</f>
        <v>6.5068523164661954E-2</v>
      </c>
      <c r="R9" s="33">
        <f ca="1">SUMIFS(Assumptions!BO$3:BO$103,Assumptions!$G$3:$G$103,'non-road'!$F9,Assumptions!$B$3:$B$103,'non-road'!$D9)/SUMIF(Assumptions!$G$3:$G$103,'non-road'!$F9,Assumptions!BO$3:BO$103)</f>
        <v>5.240797127131526E-2</v>
      </c>
      <c r="S9" s="33">
        <f ca="1">SUMIFS(Assumptions!BP$3:BP$103,Assumptions!$G$3:$G$103,'non-road'!$F9,Assumptions!$B$3:$B$103,'non-road'!$D9)/SUMIF(Assumptions!$G$3:$G$103,'non-road'!$F9,Assumptions!BP$3:BP$103)</f>
        <v>0</v>
      </c>
      <c r="T9" s="33">
        <f ca="1">SUMIFS(Assumptions!BQ$3:BQ$103,Assumptions!$G$3:$G$103,'non-road'!$F9,Assumptions!$B$3:$B$103,'non-road'!$D9)/SUMIF(Assumptions!$G$3:$G$103,'non-road'!$F9,Assumptions!BQ$3:BQ$103)</f>
        <v>0</v>
      </c>
      <c r="U9" s="33" t="e">
        <f ca="1">SUMIFS(Assumptions!BR$3:BR$103,Assumptions!$G$3:$G$103,'non-road'!$F9,Assumptions!$B$3:$B$103,'non-road'!$D9)/SUMIF(Assumptions!$G$3:$G$103,'non-road'!$F9,Assumptions!BR$3:BR$103)</f>
        <v>#DIV/0!</v>
      </c>
      <c r="V9" s="33">
        <f ca="1">SUMIFS(Assumptions!BS$3:BS$103,Assumptions!$G$3:$G$103,'non-road'!$F9,Assumptions!$B$3:$B$103,'non-road'!$D9)/SUMIF(Assumptions!$G$3:$G$103,'non-road'!$F9,Assumptions!BS$3:BS$103)</f>
        <v>0</v>
      </c>
      <c r="W9" s="33">
        <f ca="1">SUMIFS(Assumptions!BT$3:BT$103,Assumptions!$G$3:$G$103,'non-road'!$F9,Assumptions!$B$3:$B$103,'non-road'!$D9)/SUMIF(Assumptions!$G$3:$G$103,'non-road'!$F9,Assumptions!BT$3:BT$103)</f>
        <v>0</v>
      </c>
      <c r="X9" s="33">
        <f ca="1">SUMIFS(Assumptions!BU$3:BU$103,Assumptions!$G$3:$G$103,'non-road'!$F9,Assumptions!$B$3:$B$103,'non-road'!$D9)/SUMIF(Assumptions!$G$3:$G$103,'non-road'!$F9,Assumptions!BU$3:BU$103)</f>
        <v>0</v>
      </c>
      <c r="Y9" s="33">
        <f ca="1">SUMIFS(Assumptions!BV$3:BV$103,Assumptions!$G$3:$G$103,'non-road'!$F9,Assumptions!$B$3:$B$103,'non-road'!$D9)/SUMIF(Assumptions!$G$3:$G$103,'non-road'!$F9,Assumptions!BV$3:BV$103)</f>
        <v>0</v>
      </c>
      <c r="Z9" s="33">
        <f ca="1">SUMIFS(Assumptions!BW$3:BW$103,Assumptions!$G$3:$G$103,'non-road'!$F9,Assumptions!$B$3:$B$103,'non-road'!$D9)/SUMIF(Assumptions!$G$3:$G$103,'non-road'!$F9,Assumptions!BW$3:BW$103)</f>
        <v>0</v>
      </c>
      <c r="AA9" s="33">
        <f ca="1">SUMIFS(Assumptions!BX$3:BX$103,Assumptions!$G$3:$G$103,'non-road'!$F9,Assumptions!$B$3:$B$103,'non-road'!$D9)/SUMIF(Assumptions!$G$3:$G$103,'non-road'!$F9,Assumptions!BX$3:BX$103)</f>
        <v>0</v>
      </c>
      <c r="AB9" s="33">
        <f ca="1">SUMIFS(Assumptions!BY$3:BY$103,Assumptions!$G$3:$G$103,'non-road'!$F9,Assumptions!$B$3:$B$103,'non-road'!$D9)/SUMIF(Assumptions!$G$3:$G$103,'non-road'!$F9,Assumptions!BY$3:BY$103)</f>
        <v>2.4545883124411912E-2</v>
      </c>
      <c r="AC9" s="33">
        <f ca="1">SUMIFS(Assumptions!BZ$3:BZ$103,Assumptions!$G$3:$G$103,'non-road'!$F9,Assumptions!$B$3:$B$103,'non-road'!$D9)/SUMIF(Assumptions!$G$3:$G$103,'non-road'!$F9,Assumptions!BZ$3:BZ$103)</f>
        <v>0</v>
      </c>
      <c r="AD9" s="33">
        <f ca="1">SUMIFS(Assumptions!CA$3:CA$103,Assumptions!$G$3:$G$103,'non-road'!$F9,Assumptions!$B$3:$B$103,'non-road'!$D9)/SUMIF(Assumptions!$G$3:$G$103,'non-road'!$F9,Assumptions!CA$3:CA$103)</f>
        <v>0</v>
      </c>
      <c r="AE9" s="33">
        <f ca="1">SUMIFS(Assumptions!CB$3:CB$103,Assumptions!$G$3:$G$103,'non-road'!$F9,Assumptions!$B$3:$B$103,'non-road'!$D9)/SUMIF(Assumptions!$G$3:$G$103,'non-road'!$F9,Assumptions!CB$3:CB$103)</f>
        <v>1.5269328927007457E-5</v>
      </c>
      <c r="AF9" s="33">
        <f ca="1">SUMIFS(Assumptions!CC$3:CC$103,Assumptions!$G$3:$G$103,'non-road'!$F9,Assumptions!$B$3:$B$103,'non-road'!$D9)/SUMIF(Assumptions!$G$3:$G$103,'non-road'!$F9,Assumptions!CC$3:CC$103)</f>
        <v>0</v>
      </c>
      <c r="AG9" s="33" t="e">
        <f ca="1">SUMIFS(Assumptions!CD$3:CD$103,Assumptions!$G$3:$G$103,'non-road'!$F9,Assumptions!$B$3:$B$103,'non-road'!$D9)/SUMIF(Assumptions!$G$3:$G$103,'non-road'!$F9,Assumptions!CD$3:CD$103)</f>
        <v>#DIV/0!</v>
      </c>
      <c r="AH9" s="33">
        <f ca="1">SUMIFS(Assumptions!CE$3:CE$103,Assumptions!$G$3:$G$103,'non-road'!$F9,Assumptions!$B$3:$B$103,'non-road'!$D9)/SUMIF(Assumptions!$G$3:$G$103,'non-road'!$F9,Assumptions!CE$3:CE$103)</f>
        <v>0</v>
      </c>
      <c r="AI9" s="33">
        <f ca="1">SUMIFS(Assumptions!CF$3:CF$103,Assumptions!$G$3:$G$103,'non-road'!$F9,Assumptions!$B$3:$B$103,'non-road'!$D9)/SUMIF(Assumptions!$G$3:$G$103,'non-road'!$F9,Assumptions!CF$3:CF$103)</f>
        <v>0</v>
      </c>
      <c r="AJ9" s="33">
        <f ca="1">SUMIFS(Assumptions!CG$3:CG$103,Assumptions!$G$3:$G$103,'non-road'!$F9,Assumptions!$B$3:$B$103,'non-road'!$D9)/SUMIF(Assumptions!$G$3:$G$103,'non-road'!$F9,Assumptions!CG$3:CG$103)</f>
        <v>0</v>
      </c>
      <c r="AK9" s="33">
        <f ca="1">SUMIFS(Assumptions!CH$3:CH$103,Assumptions!$G$3:$G$103,'non-road'!$F9,Assumptions!$B$3:$B$103,'non-road'!$D9)/SUMIF(Assumptions!$G$3:$G$103,'non-road'!$F9,Assumptions!CH$3:CH$103)</f>
        <v>3.3085097302833738E-2</v>
      </c>
      <c r="AL9" s="33">
        <f ca="1">SUMIFS(Assumptions!CI$3:CI$103,Assumptions!$G$3:$G$103,'non-road'!$F9,Assumptions!$B$3:$B$103,'non-road'!$D9)/SUMIF(Assumptions!$G$3:$G$103,'non-road'!$F9,Assumptions!CI$3:CI$103)</f>
        <v>0</v>
      </c>
      <c r="AM9" s="33">
        <f ca="1">SUMIFS(Assumptions!CJ$3:CJ$103,Assumptions!$G$3:$G$103,'non-road'!$F9,Assumptions!$B$3:$B$103,'non-road'!$D9)/SUMIF(Assumptions!$G$3:$G$103,'non-road'!$F9,Assumptions!CJ$3:CJ$103)</f>
        <v>0</v>
      </c>
      <c r="AN9" s="33">
        <f ca="1">SUMIFS(Assumptions!CK$3:CK$103,Assumptions!$G$3:$G$103,'non-road'!$F9,Assumptions!$B$3:$B$103,'non-road'!$D9)/SUMIF(Assumptions!$G$3:$G$103,'non-road'!$F9,Assumptions!CK$3:CK$103)</f>
        <v>0</v>
      </c>
      <c r="AO9" s="33">
        <f ca="1">SUMIFS(Assumptions!CL$3:CL$103,Assumptions!$G$3:$G$103,'non-road'!$F9,Assumptions!$B$3:$B$103,'non-road'!$D9)/SUMIF(Assumptions!$G$3:$G$103,'non-road'!$F9,Assumptions!CL$3:CL$103)</f>
        <v>0</v>
      </c>
      <c r="AP9" s="33" t="e">
        <f ca="1">SUMIFS(Assumptions!CM$3:CM$103,Assumptions!$G$3:$G$103,'non-road'!$F9,Assumptions!$B$3:$B$103,'non-road'!$D9)/SUMIF(Assumptions!$G$3:$G$103,'non-road'!$F9,Assumptions!CM$3:CM$103)</f>
        <v>#DIV/0!</v>
      </c>
      <c r="AQ9" s="33" t="e">
        <f ca="1">SUMIFS(Assumptions!CN$3:CN$103,Assumptions!$G$3:$G$103,'non-road'!$F9,Assumptions!$B$3:$B$103,'non-road'!$D9)/SUMIF(Assumptions!$G$3:$G$103,'non-road'!$F9,Assumptions!CN$3:CN$103)</f>
        <v>#DIV/0!</v>
      </c>
      <c r="AR9" s="33" t="e">
        <f ca="1">SUMIFS(Assumptions!CO$3:CO$103,Assumptions!$G$3:$G$103,'non-road'!$F9,Assumptions!$B$3:$B$103,'non-road'!$D9)/SUMIF(Assumptions!$G$3:$G$103,'non-road'!$F9,Assumptions!CO$3:CO$103)</f>
        <v>#DIV/0!</v>
      </c>
      <c r="AS9" s="33" t="e">
        <f ca="1">SUMIFS(Assumptions!CP$3:CP$103,Assumptions!$G$3:$G$103,'non-road'!$F9,Assumptions!$B$3:$B$103,'non-road'!$D9)/SUMIF(Assumptions!$G$3:$G$103,'non-road'!$F9,Assumptions!CP$3:CP$103)</f>
        <v>#DIV/0!</v>
      </c>
      <c r="AT9" s="33" t="e">
        <f ca="1">SUMIFS(Assumptions!CQ$3:CQ$103,Assumptions!$G$3:$G$103,'non-road'!$F9,Assumptions!$B$3:$B$103,'non-road'!$D9)/SUMIF(Assumptions!$G$3:$G$103,'non-road'!$F9,Assumptions!CQ$3:CQ$103)</f>
        <v>#DIV/0!</v>
      </c>
      <c r="AU9" s="33" t="e">
        <f ca="1">SUMIFS(Assumptions!CR$3:CR$103,Assumptions!$G$3:$G$103,'non-road'!$F9,Assumptions!$B$3:$B$103,'non-road'!$D9)/SUMIF(Assumptions!$G$3:$G$103,'non-road'!$F9,Assumptions!CR$3:CR$103)</f>
        <v>#DIV/0!</v>
      </c>
      <c r="AV9" s="33" t="e">
        <f ca="1">SUMIFS(Assumptions!CS$3:CS$103,Assumptions!$G$3:$G$103,'non-road'!$F9,Assumptions!$B$3:$B$103,'non-road'!$D9)/SUMIF(Assumptions!$G$3:$G$103,'non-road'!$F9,Assumptions!CS$3:CS$103)</f>
        <v>#DIV/0!</v>
      </c>
      <c r="AW9" s="33" t="e">
        <f ca="1">SUMIFS(Assumptions!CT$3:CT$103,Assumptions!$G$3:$G$103,'non-road'!$F9,Assumptions!$B$3:$B$103,'non-road'!$D9)/SUMIF(Assumptions!$G$3:$G$103,'non-road'!$F9,Assumptions!CT$3:CT$103)</f>
        <v>#DIV/0!</v>
      </c>
      <c r="AX9" s="33" t="e">
        <f ca="1">SUMIFS(Assumptions!CU$3:CU$103,Assumptions!$G$3:$G$103,'non-road'!$F9,Assumptions!$B$3:$B$103,'non-road'!$D9)/SUMIF(Assumptions!$G$3:$G$103,'non-road'!$F9,Assumptions!CU$3:CU$103)</f>
        <v>#DIV/0!</v>
      </c>
      <c r="AY9" s="33" t="e">
        <f ca="1">SUMIFS(Assumptions!CV$3:CV$103,Assumptions!$G$3:$G$103,'non-road'!$F9,Assumptions!$B$3:$B$103,'non-road'!$D9)/SUMIF(Assumptions!$G$3:$G$103,'non-road'!$F9,Assumptions!CV$3:CV$103)</f>
        <v>#DIV/0!</v>
      </c>
      <c r="AZ9" s="33" t="e">
        <f ca="1">SUMIFS(Assumptions!CW$3:CW$103,Assumptions!$G$3:$G$103,'non-road'!$F9,Assumptions!$B$3:$B$103,'non-road'!$D9)/SUMIF(Assumptions!$G$3:$G$103,'non-road'!$F9,Assumptions!CW$3:CW$103)</f>
        <v>#DIV/0!</v>
      </c>
      <c r="BA9" s="34"/>
      <c r="BB9" s="33"/>
      <c r="BC9" s="33"/>
      <c r="BD9" s="27" t="str">
        <f t="shared" si="50"/>
        <v>\I:</v>
      </c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27"/>
      <c r="CZ9" s="27"/>
      <c r="DA9" s="27"/>
      <c r="DB9" s="27"/>
      <c r="DC9" s="27"/>
      <c r="DD9" s="27"/>
      <c r="DE9" s="27"/>
      <c r="DF9" s="27"/>
      <c r="DG9" s="27"/>
      <c r="DH9" s="27"/>
      <c r="DI9" s="27"/>
      <c r="DJ9" s="27"/>
      <c r="DK9" s="27"/>
      <c r="DL9" s="27"/>
      <c r="DM9" s="27"/>
      <c r="DN9" s="27"/>
      <c r="DO9" s="27"/>
      <c r="DP9" s="27"/>
      <c r="DQ9" s="27"/>
      <c r="DR9" s="27"/>
      <c r="DS9" s="27"/>
      <c r="DT9" s="27"/>
      <c r="DU9" s="27"/>
      <c r="DV9" s="27"/>
      <c r="DW9" s="27"/>
      <c r="DX9" s="27"/>
      <c r="DY9" s="27"/>
      <c r="DZ9" s="27"/>
      <c r="EA9" s="27"/>
      <c r="EB9" s="27"/>
      <c r="EC9" s="27"/>
      <c r="ED9" s="27"/>
      <c r="EE9" s="27"/>
      <c r="EF9" s="27"/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/>
      <c r="ES9" s="27"/>
      <c r="ET9" s="27"/>
      <c r="EU9" s="27"/>
      <c r="EV9" s="27"/>
      <c r="EW9" s="27" t="str">
        <f t="shared" si="48"/>
        <v>\I:</v>
      </c>
      <c r="EX9" s="27" t="str">
        <f t="shared" si="47"/>
        <v/>
      </c>
      <c r="EY9" s="27" t="s">
        <v>169</v>
      </c>
      <c r="EZ9" s="27" t="s">
        <v>160</v>
      </c>
      <c r="FA9" s="27" t="s">
        <v>161</v>
      </c>
      <c r="FB9" s="27"/>
      <c r="FC9" s="27"/>
      <c r="FD9" s="27"/>
    </row>
    <row r="10" spans="1:160">
      <c r="A10" s="27" t="s">
        <v>27</v>
      </c>
      <c r="B10" s="27"/>
      <c r="C10" s="27" t="str">
        <f t="shared" si="49"/>
        <v/>
      </c>
      <c r="D10" s="27" t="s">
        <v>37</v>
      </c>
      <c r="E10" s="27" t="s">
        <v>398</v>
      </c>
      <c r="F10" s="27" t="s">
        <v>55</v>
      </c>
      <c r="G10" s="33">
        <f ca="1">SUMIFS(Assumptions!BD$3:BD$103,Assumptions!$G$3:$G$103,'non-road'!$F10,Assumptions!$B$3:$B$103,'non-road'!$D10)/SUMIF(Assumptions!$G$3:$G$103,'non-road'!$F10,Assumptions!BD$3:BD$103)</f>
        <v>0.32571822004348228</v>
      </c>
      <c r="H10" s="33">
        <f ca="1">SUMIFS(Assumptions!BE$3:BE$103,Assumptions!$G$3:$G$103,'non-road'!$F10,Assumptions!$B$3:$B$103,'non-road'!$D10)/SUMIF(Assumptions!$G$3:$G$103,'non-road'!$F10,Assumptions!BE$3:BE$103)</f>
        <v>5.0850594205047884E-3</v>
      </c>
      <c r="I10" s="33">
        <f ca="1">SUMIFS(Assumptions!BF$3:BF$103,Assumptions!$G$3:$G$103,'non-road'!$F10,Assumptions!$B$3:$B$103,'non-road'!$D10)/SUMIF(Assumptions!$G$3:$G$103,'non-road'!$F10,Assumptions!BF$3:BF$103)</f>
        <v>9.4852451821055506E-2</v>
      </c>
      <c r="J10" s="33">
        <f ca="1">SUMIFS(Assumptions!BG$3:BG$103,Assumptions!$G$3:$G$103,'non-road'!$F10,Assumptions!$B$3:$B$103,'non-road'!$D10)/SUMIF(Assumptions!$G$3:$G$103,'non-road'!$F10,Assumptions!BG$3:BG$103)</f>
        <v>0</v>
      </c>
      <c r="K10" s="33">
        <f ca="1">SUMIFS(Assumptions!BH$3:BH$103,Assumptions!$G$3:$G$103,'non-road'!$F10,Assumptions!$B$3:$B$103,'non-road'!$D10)/SUMIF(Assumptions!$G$3:$G$103,'non-road'!$F10,Assumptions!BH$3:BH$103)</f>
        <v>1.5725653729912734E-2</v>
      </c>
      <c r="L10" s="33">
        <f ca="1">SUMIFS(Assumptions!BI$3:BI$103,Assumptions!$G$3:$G$103,'non-road'!$F10,Assumptions!$B$3:$B$103,'non-road'!$D10)/SUMIF(Assumptions!$G$3:$G$103,'non-road'!$F10,Assumptions!BI$3:BI$103)</f>
        <v>0</v>
      </c>
      <c r="M10" s="33">
        <f ca="1">SUMIFS(Assumptions!BJ$3:BJ$103,Assumptions!$G$3:$G$103,'non-road'!$F10,Assumptions!$B$3:$B$103,'non-road'!$D10)/SUMIF(Assumptions!$G$3:$G$103,'non-road'!$F10,Assumptions!BJ$3:BJ$103)</f>
        <v>1.1084251930817184E-2</v>
      </c>
      <c r="N10" s="33">
        <f ca="1">SUMIFS(Assumptions!BK$3:BK$103,Assumptions!$G$3:$G$103,'non-road'!$F10,Assumptions!$B$3:$B$103,'non-road'!$D10)/SUMIF(Assumptions!$G$3:$G$103,'non-road'!$F10,Assumptions!BK$3:BK$103)</f>
        <v>0.50630025533648404</v>
      </c>
      <c r="O10" s="33">
        <f ca="1">SUMIFS(Assumptions!BL$3:BL$103,Assumptions!$G$3:$G$103,'non-road'!$F10,Assumptions!$B$3:$B$103,'non-road'!$D10)/SUMIF(Assumptions!$G$3:$G$103,'non-road'!$F10,Assumptions!BL$3:BL$103)</f>
        <v>0.16660391076866055</v>
      </c>
      <c r="P10" s="33">
        <f ca="1">SUMIFS(Assumptions!BM$3:BM$103,Assumptions!$G$3:$G$103,'non-road'!$F10,Assumptions!$B$3:$B$103,'non-road'!$D10)/SUMIF(Assumptions!$G$3:$G$103,'non-road'!$F10,Assumptions!BM$3:BM$103)</f>
        <v>0.192841000568274</v>
      </c>
      <c r="Q10" s="33">
        <f ca="1">SUMIFS(Assumptions!BN$3:BN$103,Assumptions!$G$3:$G$103,'non-road'!$F10,Assumptions!$B$3:$B$103,'non-road'!$D10)/SUMIF(Assumptions!$G$3:$G$103,'non-road'!$F10,Assumptions!BN$3:BN$103)</f>
        <v>0</v>
      </c>
      <c r="R10" s="33">
        <f ca="1">SUMIFS(Assumptions!BO$3:BO$103,Assumptions!$G$3:$G$103,'non-road'!$F10,Assumptions!$B$3:$B$103,'non-road'!$D10)/SUMIF(Assumptions!$G$3:$G$103,'non-road'!$F10,Assumptions!BO$3:BO$103)</f>
        <v>0</v>
      </c>
      <c r="S10" s="33">
        <f ca="1">SUMIFS(Assumptions!BP$3:BP$103,Assumptions!$G$3:$G$103,'non-road'!$F10,Assumptions!$B$3:$B$103,'non-road'!$D10)/SUMIF(Assumptions!$G$3:$G$103,'non-road'!$F10,Assumptions!BP$3:BP$103)</f>
        <v>0</v>
      </c>
      <c r="T10" s="33">
        <f ca="1">SUMIFS(Assumptions!BQ$3:BQ$103,Assumptions!$G$3:$G$103,'non-road'!$F10,Assumptions!$B$3:$B$103,'non-road'!$D10)/SUMIF(Assumptions!$G$3:$G$103,'non-road'!$F10,Assumptions!BQ$3:BQ$103)</f>
        <v>0.11663410417498186</v>
      </c>
      <c r="U10" s="33" t="e">
        <f ca="1">SUMIFS(Assumptions!BR$3:BR$103,Assumptions!$G$3:$G$103,'non-road'!$F10,Assumptions!$B$3:$B$103,'non-road'!$D10)/SUMIF(Assumptions!$G$3:$G$103,'non-road'!$F10,Assumptions!BR$3:BR$103)</f>
        <v>#DIV/0!</v>
      </c>
      <c r="V10" s="33">
        <f ca="1">SUMIFS(Assumptions!BS$3:BS$103,Assumptions!$G$3:$G$103,'non-road'!$F10,Assumptions!$B$3:$B$103,'non-road'!$D10)/SUMIF(Assumptions!$G$3:$G$103,'non-road'!$F10,Assumptions!BS$3:BS$103)</f>
        <v>0.27333369532160995</v>
      </c>
      <c r="W10" s="33">
        <f ca="1">SUMIFS(Assumptions!BT$3:BT$103,Assumptions!$G$3:$G$103,'non-road'!$F10,Assumptions!$B$3:$B$103,'non-road'!$D10)/SUMIF(Assumptions!$G$3:$G$103,'non-road'!$F10,Assumptions!BT$3:BT$103)</f>
        <v>0</v>
      </c>
      <c r="X10" s="33">
        <f ca="1">SUMIFS(Assumptions!BU$3:BU$103,Assumptions!$G$3:$G$103,'non-road'!$F10,Assumptions!$B$3:$B$103,'non-road'!$D10)/SUMIF(Assumptions!$G$3:$G$103,'non-road'!$F10,Assumptions!BU$3:BU$103)</f>
        <v>0</v>
      </c>
      <c r="Y10" s="33">
        <f ca="1">SUMIFS(Assumptions!BV$3:BV$103,Assumptions!$G$3:$G$103,'non-road'!$F10,Assumptions!$B$3:$B$103,'non-road'!$D10)/SUMIF(Assumptions!$G$3:$G$103,'non-road'!$F10,Assumptions!BV$3:BV$103)</f>
        <v>0</v>
      </c>
      <c r="Z10" s="33">
        <f ca="1">SUMIFS(Assumptions!BW$3:BW$103,Assumptions!$G$3:$G$103,'non-road'!$F10,Assumptions!$B$3:$B$103,'non-road'!$D10)/SUMIF(Assumptions!$G$3:$G$103,'non-road'!$F10,Assumptions!BW$3:BW$103)</f>
        <v>0.14104011771081151</v>
      </c>
      <c r="AA10" s="33">
        <f ca="1">SUMIFS(Assumptions!BX$3:BX$103,Assumptions!$G$3:$G$103,'non-road'!$F10,Assumptions!$B$3:$B$103,'non-road'!$D10)/SUMIF(Assumptions!$G$3:$G$103,'non-road'!$F10,Assumptions!BX$3:BX$103)</f>
        <v>0</v>
      </c>
      <c r="AB10" s="33">
        <f ca="1">SUMIFS(Assumptions!BY$3:BY$103,Assumptions!$G$3:$G$103,'non-road'!$F10,Assumptions!$B$3:$B$103,'non-road'!$D10)/SUMIF(Assumptions!$G$3:$G$103,'non-road'!$F10,Assumptions!BY$3:BY$103)</f>
        <v>0</v>
      </c>
      <c r="AC10" s="33">
        <f ca="1">SUMIFS(Assumptions!BZ$3:BZ$103,Assumptions!$G$3:$G$103,'non-road'!$F10,Assumptions!$B$3:$B$103,'non-road'!$D10)/SUMIF(Assumptions!$G$3:$G$103,'non-road'!$F10,Assumptions!BZ$3:BZ$103)</f>
        <v>0</v>
      </c>
      <c r="AD10" s="33">
        <f ca="1">SUMIFS(Assumptions!CA$3:CA$103,Assumptions!$G$3:$G$103,'non-road'!$F10,Assumptions!$B$3:$B$103,'non-road'!$D10)/SUMIF(Assumptions!$G$3:$G$103,'non-road'!$F10,Assumptions!CA$3:CA$103)</f>
        <v>0.26000507403478018</v>
      </c>
      <c r="AE10" s="33">
        <f ca="1">SUMIFS(Assumptions!CB$3:CB$103,Assumptions!$G$3:$G$103,'non-road'!$F10,Assumptions!$B$3:$B$103,'non-road'!$D10)/SUMIF(Assumptions!$G$3:$G$103,'non-road'!$F10,Assumptions!CB$3:CB$103)</f>
        <v>3.8583305067425473E-2</v>
      </c>
      <c r="AF10" s="33">
        <f ca="1">SUMIFS(Assumptions!CC$3:CC$103,Assumptions!$G$3:$G$103,'non-road'!$F10,Assumptions!$B$3:$B$103,'non-road'!$D10)/SUMIF(Assumptions!$G$3:$G$103,'non-road'!$F10,Assumptions!CC$3:CC$103)</f>
        <v>0.19853556079575965</v>
      </c>
      <c r="AG10" s="33" t="e">
        <f ca="1">SUMIFS(Assumptions!CD$3:CD$103,Assumptions!$G$3:$G$103,'non-road'!$F10,Assumptions!$B$3:$B$103,'non-road'!$D10)/SUMIF(Assumptions!$G$3:$G$103,'non-road'!$F10,Assumptions!CD$3:CD$103)</f>
        <v>#DIV/0!</v>
      </c>
      <c r="AH10" s="33">
        <f ca="1">SUMIFS(Assumptions!CE$3:CE$103,Assumptions!$G$3:$G$103,'non-road'!$F10,Assumptions!$B$3:$B$103,'non-road'!$D10)/SUMIF(Assumptions!$G$3:$G$103,'non-road'!$F10,Assumptions!CE$3:CE$103)</f>
        <v>0.30610151116191209</v>
      </c>
      <c r="AI10" s="33">
        <f ca="1">SUMIFS(Assumptions!CF$3:CF$103,Assumptions!$G$3:$G$103,'non-road'!$F10,Assumptions!$B$3:$B$103,'non-road'!$D10)/SUMIF(Assumptions!$G$3:$G$103,'non-road'!$F10,Assumptions!CF$3:CF$103)</f>
        <v>0</v>
      </c>
      <c r="AJ10" s="33">
        <f ca="1">SUMIFS(Assumptions!CG$3:CG$103,Assumptions!$G$3:$G$103,'non-road'!$F10,Assumptions!$B$3:$B$103,'non-road'!$D10)/SUMIF(Assumptions!$G$3:$G$103,'non-road'!$F10,Assumptions!CG$3:CG$103)</f>
        <v>0</v>
      </c>
      <c r="AK10" s="33">
        <f ca="1">SUMIFS(Assumptions!CH$3:CH$103,Assumptions!$G$3:$G$103,'non-road'!$F10,Assumptions!$B$3:$B$103,'non-road'!$D10)/SUMIF(Assumptions!$G$3:$G$103,'non-road'!$F10,Assumptions!CH$3:CH$103)</f>
        <v>0</v>
      </c>
      <c r="AL10" s="33">
        <f ca="1">SUMIFS(Assumptions!CI$3:CI$103,Assumptions!$G$3:$G$103,'non-road'!$F10,Assumptions!$B$3:$B$103,'non-road'!$D10)/SUMIF(Assumptions!$G$3:$G$103,'non-road'!$F10,Assumptions!CI$3:CI$103)</f>
        <v>0.11999925000401011</v>
      </c>
      <c r="AM10" s="33">
        <f ca="1">SUMIFS(Assumptions!CJ$3:CJ$103,Assumptions!$G$3:$G$103,'non-road'!$F10,Assumptions!$B$3:$B$103,'non-road'!$D10)/SUMIF(Assumptions!$G$3:$G$103,'non-road'!$F10,Assumptions!CJ$3:CJ$103)</f>
        <v>0</v>
      </c>
      <c r="AN10" s="33">
        <f ca="1">SUMIFS(Assumptions!CK$3:CK$103,Assumptions!$G$3:$G$103,'non-road'!$F10,Assumptions!$B$3:$B$103,'non-road'!$D10)/SUMIF(Assumptions!$G$3:$G$103,'non-road'!$F10,Assumptions!CK$3:CK$103)</f>
        <v>0.72845264456382774</v>
      </c>
      <c r="AO10" s="33">
        <f ca="1">SUMIFS(Assumptions!CL$3:CL$103,Assumptions!$G$3:$G$103,'non-road'!$F10,Assumptions!$B$3:$B$103,'non-road'!$D10)/SUMIF(Assumptions!$G$3:$G$103,'non-road'!$F10,Assumptions!CL$3:CL$103)</f>
        <v>0.19309865885004168</v>
      </c>
      <c r="AP10" s="33" t="e">
        <f ca="1">SUMIFS(Assumptions!CM$3:CM$103,Assumptions!$G$3:$G$103,'non-road'!$F10,Assumptions!$B$3:$B$103,'non-road'!$D10)/SUMIF(Assumptions!$G$3:$G$103,'non-road'!$F10,Assumptions!CM$3:CM$103)</f>
        <v>#DIV/0!</v>
      </c>
      <c r="AQ10" s="33" t="e">
        <f ca="1">SUMIFS(Assumptions!CN$3:CN$103,Assumptions!$G$3:$G$103,'non-road'!$F10,Assumptions!$B$3:$B$103,'non-road'!$D10)/SUMIF(Assumptions!$G$3:$G$103,'non-road'!$F10,Assumptions!CN$3:CN$103)</f>
        <v>#DIV/0!</v>
      </c>
      <c r="AR10" s="33" t="e">
        <f ca="1">SUMIFS(Assumptions!CO$3:CO$103,Assumptions!$G$3:$G$103,'non-road'!$F10,Assumptions!$B$3:$B$103,'non-road'!$D10)/SUMIF(Assumptions!$G$3:$G$103,'non-road'!$F10,Assumptions!CO$3:CO$103)</f>
        <v>#DIV/0!</v>
      </c>
      <c r="AS10" s="33" t="e">
        <f ca="1">SUMIFS(Assumptions!CP$3:CP$103,Assumptions!$G$3:$G$103,'non-road'!$F10,Assumptions!$B$3:$B$103,'non-road'!$D10)/SUMIF(Assumptions!$G$3:$G$103,'non-road'!$F10,Assumptions!CP$3:CP$103)</f>
        <v>#DIV/0!</v>
      </c>
      <c r="AT10" s="33" t="e">
        <f ca="1">SUMIFS(Assumptions!CQ$3:CQ$103,Assumptions!$G$3:$G$103,'non-road'!$F10,Assumptions!$B$3:$B$103,'non-road'!$D10)/SUMIF(Assumptions!$G$3:$G$103,'non-road'!$F10,Assumptions!CQ$3:CQ$103)</f>
        <v>#DIV/0!</v>
      </c>
      <c r="AU10" s="33" t="e">
        <f ca="1">SUMIFS(Assumptions!CR$3:CR$103,Assumptions!$G$3:$G$103,'non-road'!$F10,Assumptions!$B$3:$B$103,'non-road'!$D10)/SUMIF(Assumptions!$G$3:$G$103,'non-road'!$F10,Assumptions!CR$3:CR$103)</f>
        <v>#DIV/0!</v>
      </c>
      <c r="AV10" s="33" t="e">
        <f ca="1">SUMIFS(Assumptions!CS$3:CS$103,Assumptions!$G$3:$G$103,'non-road'!$F10,Assumptions!$B$3:$B$103,'non-road'!$D10)/SUMIF(Assumptions!$G$3:$G$103,'non-road'!$F10,Assumptions!CS$3:CS$103)</f>
        <v>#DIV/0!</v>
      </c>
      <c r="AW10" s="33" t="e">
        <f ca="1">SUMIFS(Assumptions!CT$3:CT$103,Assumptions!$G$3:$G$103,'non-road'!$F10,Assumptions!$B$3:$B$103,'non-road'!$D10)/SUMIF(Assumptions!$G$3:$G$103,'non-road'!$F10,Assumptions!CT$3:CT$103)</f>
        <v>#DIV/0!</v>
      </c>
      <c r="AX10" s="33" t="e">
        <f ca="1">SUMIFS(Assumptions!CU$3:CU$103,Assumptions!$G$3:$G$103,'non-road'!$F10,Assumptions!$B$3:$B$103,'non-road'!$D10)/SUMIF(Assumptions!$G$3:$G$103,'non-road'!$F10,Assumptions!CU$3:CU$103)</f>
        <v>#DIV/0!</v>
      </c>
      <c r="AY10" s="33" t="e">
        <f ca="1">SUMIFS(Assumptions!CV$3:CV$103,Assumptions!$G$3:$G$103,'non-road'!$F10,Assumptions!$B$3:$B$103,'non-road'!$D10)/SUMIF(Assumptions!$G$3:$G$103,'non-road'!$F10,Assumptions!CV$3:CV$103)</f>
        <v>#DIV/0!</v>
      </c>
      <c r="AZ10" s="33" t="e">
        <f ca="1">SUMIFS(Assumptions!CW$3:CW$103,Assumptions!$G$3:$G$103,'non-road'!$F10,Assumptions!$B$3:$B$103,'non-road'!$D10)/SUMIF(Assumptions!$G$3:$G$103,'non-road'!$F10,Assumptions!CW$3:CW$103)</f>
        <v>#DIV/0!</v>
      </c>
      <c r="BA10" s="34"/>
      <c r="BB10" s="33"/>
      <c r="BC10" s="33"/>
      <c r="BD10" s="27" t="str">
        <f t="shared" si="50"/>
        <v>\I:</v>
      </c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27"/>
      <c r="CZ10" s="27"/>
      <c r="EV10" s="27"/>
      <c r="EW10" s="27" t="str">
        <f t="shared" si="48"/>
        <v>DMD</v>
      </c>
      <c r="EX10" s="27" t="str">
        <f t="shared" ref="EX10:EX16" si="51">C11</f>
        <v>TTP_Generic</v>
      </c>
      <c r="EY10" s="27" t="s">
        <v>166</v>
      </c>
      <c r="EZ10" s="27" t="s">
        <v>160</v>
      </c>
      <c r="FA10" s="27" t="s">
        <v>161</v>
      </c>
      <c r="FB10" s="27"/>
      <c r="FC10" s="27"/>
      <c r="FD10" s="27"/>
    </row>
    <row r="11" spans="1:160">
      <c r="A11" s="27" t="s">
        <v>28</v>
      </c>
      <c r="B11" s="27"/>
      <c r="C11" s="27" t="str">
        <f>IF(F11&lt;&gt;F10,F11&amp;"_Generic","")</f>
        <v>TTP_Generic</v>
      </c>
      <c r="D11" s="27" t="s">
        <v>29</v>
      </c>
      <c r="E11" s="27"/>
      <c r="F11" s="27" t="s">
        <v>57</v>
      </c>
      <c r="G11" s="33">
        <f ca="1">SUMIFS(Assumptions!BD$3:BD$103,Assumptions!$G$3:$G$103,'non-road'!$F11,Assumptions!$B$3:$B$103,'non-road'!$D11)/SUMIF(Assumptions!$G$3:$G$103,'non-road'!$F11,Assumptions!BD$3:BD$103)</f>
        <v>0</v>
      </c>
      <c r="H11" s="33">
        <f ca="1">SUMIFS(Assumptions!BE$3:BE$103,Assumptions!$G$3:$G$103,'non-road'!$F11,Assumptions!$B$3:$B$103,'non-road'!$D11)/SUMIF(Assumptions!$G$3:$G$103,'non-road'!$F11,Assumptions!BE$3:BE$103)</f>
        <v>6.2434658362553663E-3</v>
      </c>
      <c r="I11" s="33">
        <f ca="1">SUMIFS(Assumptions!BF$3:BF$103,Assumptions!$G$3:$G$103,'non-road'!$F11,Assumptions!$B$3:$B$103,'non-road'!$D11)/SUMIF(Assumptions!$G$3:$G$103,'non-road'!$F11,Assumptions!BF$3:BF$103)</f>
        <v>0</v>
      </c>
      <c r="J11" s="33">
        <f ca="1">SUMIFS(Assumptions!BG$3:BG$103,Assumptions!$G$3:$G$103,'non-road'!$F11,Assumptions!$B$3:$B$103,'non-road'!$D11)/SUMIF(Assumptions!$G$3:$G$103,'non-road'!$F11,Assumptions!BG$3:BG$103)</f>
        <v>0</v>
      </c>
      <c r="K11" s="33">
        <f ca="1">SUMIFS(Assumptions!BH$3:BH$103,Assumptions!$G$3:$G$103,'non-road'!$F11,Assumptions!$B$3:$B$103,'non-road'!$D11)/SUMIF(Assumptions!$G$3:$G$103,'non-road'!$F11,Assumptions!BH$3:BH$103)</f>
        <v>0</v>
      </c>
      <c r="L11" s="33">
        <f ca="1">SUMIFS(Assumptions!BI$3:BI$103,Assumptions!$G$3:$G$103,'non-road'!$F11,Assumptions!$B$3:$B$103,'non-road'!$D11)/SUMIF(Assumptions!$G$3:$G$103,'non-road'!$F11,Assumptions!BI$3:BI$103)</f>
        <v>0</v>
      </c>
      <c r="M11" s="33">
        <f ca="1">SUMIFS(Assumptions!BJ$3:BJ$103,Assumptions!$G$3:$G$103,'non-road'!$F11,Assumptions!$B$3:$B$103,'non-road'!$D11)/SUMIF(Assumptions!$G$3:$G$103,'non-road'!$F11,Assumptions!BJ$3:BJ$103)</f>
        <v>0</v>
      </c>
      <c r="N11" s="33">
        <f ca="1">SUMIFS(Assumptions!BK$3:BK$103,Assumptions!$G$3:$G$103,'non-road'!$F11,Assumptions!$B$3:$B$103,'non-road'!$D11)/SUMIF(Assumptions!$G$3:$G$103,'non-road'!$F11,Assumptions!BK$3:BK$103)</f>
        <v>0</v>
      </c>
      <c r="O11" s="33">
        <f ca="1">SUMIFS(Assumptions!BL$3:BL$103,Assumptions!$G$3:$G$103,'non-road'!$F11,Assumptions!$B$3:$B$103,'non-road'!$D11)/SUMIF(Assumptions!$G$3:$G$103,'non-road'!$F11,Assumptions!BL$3:BL$103)</f>
        <v>5.4081266186201745E-4</v>
      </c>
      <c r="P11" s="33">
        <f ca="1">SUMIFS(Assumptions!BM$3:BM$103,Assumptions!$G$3:$G$103,'non-road'!$F11,Assumptions!$B$3:$B$103,'non-road'!$D11)/SUMIF(Assumptions!$G$3:$G$103,'non-road'!$F11,Assumptions!BM$3:BM$103)</f>
        <v>3.7196883554233213E-4</v>
      </c>
      <c r="Q11" s="33">
        <f ca="1">SUMIFS(Assumptions!BN$3:BN$103,Assumptions!$G$3:$G$103,'non-road'!$F11,Assumptions!$B$3:$B$103,'non-road'!$D11)/SUMIF(Assumptions!$G$3:$G$103,'non-road'!$F11,Assumptions!BN$3:BN$103)</f>
        <v>0</v>
      </c>
      <c r="R11" s="33">
        <f ca="1">SUMIFS(Assumptions!BO$3:BO$103,Assumptions!$G$3:$G$103,'non-road'!$F11,Assumptions!$B$3:$B$103,'non-road'!$D11)/SUMIF(Assumptions!$G$3:$G$103,'non-road'!$F11,Assumptions!BO$3:BO$103)</f>
        <v>0</v>
      </c>
      <c r="S11" s="33">
        <f ca="1">SUMIFS(Assumptions!BP$3:BP$103,Assumptions!$G$3:$G$103,'non-road'!$F11,Assumptions!$B$3:$B$103,'non-road'!$D11)/SUMIF(Assumptions!$G$3:$G$103,'non-road'!$F11,Assumptions!BP$3:BP$103)</f>
        <v>0</v>
      </c>
      <c r="T11" s="33">
        <f ca="1">SUMIFS(Assumptions!BQ$3:BQ$103,Assumptions!$G$3:$G$103,'non-road'!$F11,Assumptions!$B$3:$B$103,'non-road'!$D11)/SUMIF(Assumptions!$G$3:$G$103,'non-road'!$F11,Assumptions!BQ$3:BQ$103)</f>
        <v>0</v>
      </c>
      <c r="U11" s="33" t="e">
        <f ca="1">SUMIFS(Assumptions!BR$3:BR$103,Assumptions!$G$3:$G$103,'non-road'!$F11,Assumptions!$B$3:$B$103,'non-road'!$D11)/SUMIF(Assumptions!$G$3:$G$103,'non-road'!$F11,Assumptions!BR$3:BR$103)</f>
        <v>#DIV/0!</v>
      </c>
      <c r="V11" s="33">
        <f ca="1">SUMIFS(Assumptions!BS$3:BS$103,Assumptions!$G$3:$G$103,'non-road'!$F11,Assumptions!$B$3:$B$103,'non-road'!$D11)/SUMIF(Assumptions!$G$3:$G$103,'non-road'!$F11,Assumptions!BS$3:BS$103)</f>
        <v>0</v>
      </c>
      <c r="W11" s="33">
        <f ca="1">SUMIFS(Assumptions!BT$3:BT$103,Assumptions!$G$3:$G$103,'non-road'!$F11,Assumptions!$B$3:$B$103,'non-road'!$D11)/SUMIF(Assumptions!$G$3:$G$103,'non-road'!$F11,Assumptions!BT$3:BT$103)</f>
        <v>0</v>
      </c>
      <c r="X11" s="33">
        <f ca="1">SUMIFS(Assumptions!BU$3:BU$103,Assumptions!$G$3:$G$103,'non-road'!$F11,Assumptions!$B$3:$B$103,'non-road'!$D11)/SUMIF(Assumptions!$G$3:$G$103,'non-road'!$F11,Assumptions!BU$3:BU$103)</f>
        <v>0</v>
      </c>
      <c r="Y11" s="33">
        <f ca="1">SUMIFS(Assumptions!BV$3:BV$103,Assumptions!$G$3:$G$103,'non-road'!$F11,Assumptions!$B$3:$B$103,'non-road'!$D11)/SUMIF(Assumptions!$G$3:$G$103,'non-road'!$F11,Assumptions!BV$3:BV$103)</f>
        <v>4.9947835330701302E-4</v>
      </c>
      <c r="Z11" s="33">
        <f ca="1">SUMIFS(Assumptions!BW$3:BW$103,Assumptions!$G$3:$G$103,'non-road'!$F11,Assumptions!$B$3:$B$103,'non-road'!$D11)/SUMIF(Assumptions!$G$3:$G$103,'non-road'!$F11,Assumptions!BW$3:BW$103)</f>
        <v>0</v>
      </c>
      <c r="AA11" s="33">
        <f ca="1">SUMIFS(Assumptions!BX$3:BX$103,Assumptions!$G$3:$G$103,'non-road'!$F11,Assumptions!$B$3:$B$103,'non-road'!$D11)/SUMIF(Assumptions!$G$3:$G$103,'non-road'!$F11,Assumptions!BX$3:BX$103)</f>
        <v>0</v>
      </c>
      <c r="AB11" s="33">
        <f ca="1">SUMIFS(Assumptions!BY$3:BY$103,Assumptions!$G$3:$G$103,'non-road'!$F11,Assumptions!$B$3:$B$103,'non-road'!$D11)/SUMIF(Assumptions!$G$3:$G$103,'non-road'!$F11,Assumptions!BY$3:BY$103)</f>
        <v>0</v>
      </c>
      <c r="AC11" s="33">
        <f ca="1">SUMIFS(Assumptions!BZ$3:BZ$103,Assumptions!$G$3:$G$103,'non-road'!$F11,Assumptions!$B$3:$B$103,'non-road'!$D11)/SUMIF(Assumptions!$G$3:$G$103,'non-road'!$F11,Assumptions!BZ$3:BZ$103)</f>
        <v>0</v>
      </c>
      <c r="AD11" s="33">
        <f ca="1">SUMIFS(Assumptions!CA$3:CA$103,Assumptions!$G$3:$G$103,'non-road'!$F11,Assumptions!$B$3:$B$103,'non-road'!$D11)/SUMIF(Assumptions!$G$3:$G$103,'non-road'!$F11,Assumptions!CA$3:CA$103)</f>
        <v>0</v>
      </c>
      <c r="AE11" s="33">
        <f ca="1">SUMIFS(Assumptions!CB$3:CB$103,Assumptions!$G$3:$G$103,'non-road'!$F11,Assumptions!$B$3:$B$103,'non-road'!$D11)/SUMIF(Assumptions!$G$3:$G$103,'non-road'!$F11,Assumptions!CB$3:CB$103)</f>
        <v>4.5465782408950313E-3</v>
      </c>
      <c r="AF11" s="33">
        <f ca="1">SUMIFS(Assumptions!CC$3:CC$103,Assumptions!$G$3:$G$103,'non-road'!$F11,Assumptions!$B$3:$B$103,'non-road'!$D11)/SUMIF(Assumptions!$G$3:$G$103,'non-road'!$F11,Assumptions!CC$3:CC$103)</f>
        <v>2.818116987462131E-4</v>
      </c>
      <c r="AG11" s="33" t="e">
        <f ca="1">SUMIFS(Assumptions!CD$3:CD$103,Assumptions!$G$3:$G$103,'non-road'!$F11,Assumptions!$B$3:$B$103,'non-road'!$D11)/SUMIF(Assumptions!$G$3:$G$103,'non-road'!$F11,Assumptions!CD$3:CD$103)</f>
        <v>#DIV/0!</v>
      </c>
      <c r="AH11" s="33">
        <f ca="1">SUMIFS(Assumptions!CE$3:CE$103,Assumptions!$G$3:$G$103,'non-road'!$F11,Assumptions!$B$3:$B$103,'non-road'!$D11)/SUMIF(Assumptions!$G$3:$G$103,'non-road'!$F11,Assumptions!CE$3:CE$103)</f>
        <v>0</v>
      </c>
      <c r="AI11" s="33">
        <f ca="1">SUMIFS(Assumptions!CF$3:CF$103,Assumptions!$G$3:$G$103,'non-road'!$F11,Assumptions!$B$3:$B$103,'non-road'!$D11)/SUMIF(Assumptions!$G$3:$G$103,'non-road'!$F11,Assumptions!CF$3:CF$103)</f>
        <v>0</v>
      </c>
      <c r="AJ11" s="33">
        <f ca="1">SUMIFS(Assumptions!CG$3:CG$103,Assumptions!$G$3:$G$103,'non-road'!$F11,Assumptions!$B$3:$B$103,'non-road'!$D11)/SUMIF(Assumptions!$G$3:$G$103,'non-road'!$F11,Assumptions!CG$3:CG$103)</f>
        <v>0</v>
      </c>
      <c r="AK11" s="33">
        <f ca="1">SUMIFS(Assumptions!CH$3:CH$103,Assumptions!$G$3:$G$103,'non-road'!$F11,Assumptions!$B$3:$B$103,'non-road'!$D11)/SUMIF(Assumptions!$G$3:$G$103,'non-road'!$F11,Assumptions!CH$3:CH$103)</f>
        <v>0</v>
      </c>
      <c r="AL11" s="33">
        <f ca="1">SUMIFS(Assumptions!CI$3:CI$103,Assumptions!$G$3:$G$103,'non-road'!$F11,Assumptions!$B$3:$B$103,'non-road'!$D11)/SUMIF(Assumptions!$G$3:$G$103,'non-road'!$F11,Assumptions!CI$3:CI$103)</f>
        <v>0</v>
      </c>
      <c r="AM11" s="33">
        <f ca="1">SUMIFS(Assumptions!CJ$3:CJ$103,Assumptions!$G$3:$G$103,'non-road'!$F11,Assumptions!$B$3:$B$103,'non-road'!$D11)/SUMIF(Assumptions!$G$3:$G$103,'non-road'!$F11,Assumptions!CJ$3:CJ$103)</f>
        <v>0</v>
      </c>
      <c r="AN11" s="33">
        <f ca="1">SUMIFS(Assumptions!CK$3:CK$103,Assumptions!$G$3:$G$103,'non-road'!$F11,Assumptions!$B$3:$B$103,'non-road'!$D11)/SUMIF(Assumptions!$G$3:$G$103,'non-road'!$F11,Assumptions!CK$3:CK$103)</f>
        <v>2.5372124038464689E-3</v>
      </c>
      <c r="AO11" s="33">
        <f ca="1">SUMIFS(Assumptions!CL$3:CL$103,Assumptions!$G$3:$G$103,'non-road'!$F11,Assumptions!$B$3:$B$103,'non-road'!$D11)/SUMIF(Assumptions!$G$3:$G$103,'non-road'!$F11,Assumptions!CL$3:CL$103)</f>
        <v>0</v>
      </c>
      <c r="AP11" s="33" t="e">
        <f ca="1">SUMIFS(Assumptions!CM$3:CM$103,Assumptions!$G$3:$G$103,'non-road'!$F11,Assumptions!$B$3:$B$103,'non-road'!$D11)/SUMIF(Assumptions!$G$3:$G$103,'non-road'!$F11,Assumptions!CM$3:CM$103)</f>
        <v>#DIV/0!</v>
      </c>
      <c r="AQ11" s="33" t="e">
        <f ca="1">SUMIFS(Assumptions!CN$3:CN$103,Assumptions!$G$3:$G$103,'non-road'!$F11,Assumptions!$B$3:$B$103,'non-road'!$D11)/SUMIF(Assumptions!$G$3:$G$103,'non-road'!$F11,Assumptions!CN$3:CN$103)</f>
        <v>#DIV/0!</v>
      </c>
      <c r="AR11" s="33" t="e">
        <f ca="1">SUMIFS(Assumptions!CO$3:CO$103,Assumptions!$G$3:$G$103,'non-road'!$F11,Assumptions!$B$3:$B$103,'non-road'!$D11)/SUMIF(Assumptions!$G$3:$G$103,'non-road'!$F11,Assumptions!CO$3:CO$103)</f>
        <v>#DIV/0!</v>
      </c>
      <c r="AS11" s="33" t="e">
        <f ca="1">SUMIFS(Assumptions!CP$3:CP$103,Assumptions!$G$3:$G$103,'non-road'!$F11,Assumptions!$B$3:$B$103,'non-road'!$D11)/SUMIF(Assumptions!$G$3:$G$103,'non-road'!$F11,Assumptions!CP$3:CP$103)</f>
        <v>#DIV/0!</v>
      </c>
      <c r="AT11" s="33" t="e">
        <f ca="1">SUMIFS(Assumptions!CQ$3:CQ$103,Assumptions!$G$3:$G$103,'non-road'!$F11,Assumptions!$B$3:$B$103,'non-road'!$D11)/SUMIF(Assumptions!$G$3:$G$103,'non-road'!$F11,Assumptions!CQ$3:CQ$103)</f>
        <v>#DIV/0!</v>
      </c>
      <c r="AU11" s="33" t="e">
        <f ca="1">SUMIFS(Assumptions!CR$3:CR$103,Assumptions!$G$3:$G$103,'non-road'!$F11,Assumptions!$B$3:$B$103,'non-road'!$D11)/SUMIF(Assumptions!$G$3:$G$103,'non-road'!$F11,Assumptions!CR$3:CR$103)</f>
        <v>#DIV/0!</v>
      </c>
      <c r="AV11" s="33" t="e">
        <f ca="1">SUMIFS(Assumptions!CS$3:CS$103,Assumptions!$G$3:$G$103,'non-road'!$F11,Assumptions!$B$3:$B$103,'non-road'!$D11)/SUMIF(Assumptions!$G$3:$G$103,'non-road'!$F11,Assumptions!CS$3:CS$103)</f>
        <v>#DIV/0!</v>
      </c>
      <c r="AW11" s="33" t="e">
        <f ca="1">SUMIFS(Assumptions!CT$3:CT$103,Assumptions!$G$3:$G$103,'non-road'!$F11,Assumptions!$B$3:$B$103,'non-road'!$D11)/SUMIF(Assumptions!$G$3:$G$103,'non-road'!$F11,Assumptions!CT$3:CT$103)</f>
        <v>#DIV/0!</v>
      </c>
      <c r="AX11" s="33" t="e">
        <f ca="1">SUMIFS(Assumptions!CU$3:CU$103,Assumptions!$G$3:$G$103,'non-road'!$F11,Assumptions!$B$3:$B$103,'non-road'!$D11)/SUMIF(Assumptions!$G$3:$G$103,'non-road'!$F11,Assumptions!CU$3:CU$103)</f>
        <v>#DIV/0!</v>
      </c>
      <c r="AY11" s="33" t="e">
        <f ca="1">SUMIFS(Assumptions!CV$3:CV$103,Assumptions!$G$3:$G$103,'non-road'!$F11,Assumptions!$B$3:$B$103,'non-road'!$D11)/SUMIF(Assumptions!$G$3:$G$103,'non-road'!$F11,Assumptions!CV$3:CV$103)</f>
        <v>#DIV/0!</v>
      </c>
      <c r="AZ11" s="33" t="e">
        <f ca="1">SUMIFS(Assumptions!CW$3:CW$103,Assumptions!$G$3:$G$103,'non-road'!$F11,Assumptions!$B$3:$B$103,'non-road'!$D11)/SUMIF(Assumptions!$G$3:$G$103,'non-road'!$F11,Assumptions!CW$3:CW$103)</f>
        <v>#DIV/0!</v>
      </c>
      <c r="BA11" s="34"/>
      <c r="BB11" s="33"/>
      <c r="BC11" s="33"/>
      <c r="BD11" s="27" t="str">
        <f t="shared" si="50"/>
        <v>TTP_Generic</v>
      </c>
      <c r="BE11" s="33">
        <f>VLOOKUP($F11,Assumptions!$E$152:$BC$157,COLUMN()-COLUMN($BC$4),FALSE)</f>
        <v>1</v>
      </c>
      <c r="BF11" s="33">
        <f>VLOOKUP($F11,Assumptions!$E$152:$BC$157,COLUMN()-COLUMN($BC$4),FALSE)</f>
        <v>1</v>
      </c>
      <c r="BG11" s="33">
        <f>VLOOKUP($F11,Assumptions!$E$152:$BC$157,COLUMN()-COLUMN($BC$4),FALSE)</f>
        <v>1</v>
      </c>
      <c r="BH11" s="33">
        <f>VLOOKUP($F11,Assumptions!$E$152:$BC$157,COLUMN()-COLUMN($BC$4),FALSE)</f>
        <v>1</v>
      </c>
      <c r="BI11" s="33">
        <f>VLOOKUP($F11,Assumptions!$E$152:$BC$157,COLUMN()-COLUMN($BC$4),FALSE)</f>
        <v>1</v>
      </c>
      <c r="BJ11" s="33">
        <f>VLOOKUP($F11,Assumptions!$E$152:$BC$157,COLUMN()-COLUMN($BC$4),FALSE)</f>
        <v>1</v>
      </c>
      <c r="BK11" s="33">
        <f>VLOOKUP($F11,Assumptions!$E$152:$BC$157,COLUMN()-COLUMN($BC$4),FALSE)</f>
        <v>1</v>
      </c>
      <c r="BL11" s="33">
        <f>VLOOKUP($F11,Assumptions!$E$152:$BC$157,COLUMN()-COLUMN($BC$4),FALSE)</f>
        <v>1</v>
      </c>
      <c r="BM11" s="33">
        <f>VLOOKUP($F11,Assumptions!$E$152:$BC$157,COLUMN()-COLUMN($BC$4),FALSE)</f>
        <v>1</v>
      </c>
      <c r="BN11" s="33">
        <f>VLOOKUP($F11,Assumptions!$E$152:$BC$157,COLUMN()-COLUMN($BC$4),FALSE)</f>
        <v>1</v>
      </c>
      <c r="BO11" s="33">
        <f>VLOOKUP($F11,Assumptions!$E$152:$BC$157,COLUMN()-COLUMN($BC$4),FALSE)</f>
        <v>1</v>
      </c>
      <c r="BP11" s="33">
        <f>VLOOKUP($F11,Assumptions!$E$152:$BC$157,COLUMN()-COLUMN($BC$4),FALSE)</f>
        <v>1</v>
      </c>
      <c r="BQ11" s="33">
        <f>VLOOKUP($F11,Assumptions!$E$152:$BC$157,COLUMN()-COLUMN($BC$4),FALSE)</f>
        <v>1</v>
      </c>
      <c r="BR11" s="33">
        <f>VLOOKUP($F11,Assumptions!$E$152:$BC$157,COLUMN()-COLUMN($BC$4),FALSE)</f>
        <v>1</v>
      </c>
      <c r="BS11" s="33">
        <f>VLOOKUP($F11,Assumptions!$E$152:$BC$157,COLUMN()-COLUMN($BC$4),FALSE)</f>
        <v>1</v>
      </c>
      <c r="BT11" s="33">
        <f>VLOOKUP($F11,Assumptions!$E$152:$BC$157,COLUMN()-COLUMN($BC$4),FALSE)</f>
        <v>1</v>
      </c>
      <c r="BU11" s="33">
        <f>VLOOKUP($F11,Assumptions!$E$152:$BC$157,COLUMN()-COLUMN($BC$4),FALSE)</f>
        <v>1</v>
      </c>
      <c r="BV11" s="33">
        <f>VLOOKUP($F11,Assumptions!$E$152:$BC$157,COLUMN()-COLUMN($BC$4),FALSE)</f>
        <v>1</v>
      </c>
      <c r="BW11" s="33">
        <f>VLOOKUP($F11,Assumptions!$E$152:$BC$157,COLUMN()-COLUMN($BC$4),FALSE)</f>
        <v>1</v>
      </c>
      <c r="BX11" s="33">
        <f>VLOOKUP($F11,Assumptions!$E$152:$BC$157,COLUMN()-COLUMN($BC$4),FALSE)</f>
        <v>1</v>
      </c>
      <c r="BY11" s="33">
        <f>VLOOKUP($F11,Assumptions!$E$152:$BC$157,COLUMN()-COLUMN($BC$4),FALSE)</f>
        <v>1</v>
      </c>
      <c r="BZ11" s="33">
        <f>VLOOKUP($F11,Assumptions!$E$152:$BC$157,COLUMN()-COLUMN($BC$4),FALSE)</f>
        <v>1</v>
      </c>
      <c r="CA11" s="33">
        <f>VLOOKUP($F11,Assumptions!$E$152:$BC$157,COLUMN()-COLUMN($BC$4),FALSE)</f>
        <v>1</v>
      </c>
      <c r="CB11" s="33">
        <f>VLOOKUP($F11,Assumptions!$E$152:$BC$157,COLUMN()-COLUMN($BC$4),FALSE)</f>
        <v>1</v>
      </c>
      <c r="CC11" s="33">
        <f>VLOOKUP($F11,Assumptions!$E$152:$BC$157,COLUMN()-COLUMN($BC$4),FALSE)</f>
        <v>1</v>
      </c>
      <c r="CD11" s="33">
        <f>VLOOKUP($F11,Assumptions!$E$152:$BC$157,COLUMN()-COLUMN($BC$4),FALSE)</f>
        <v>1</v>
      </c>
      <c r="CE11" s="33">
        <f>VLOOKUP($F11,Assumptions!$E$152:$BC$157,COLUMN()-COLUMN($BC$4),FALSE)</f>
        <v>1</v>
      </c>
      <c r="CF11" s="33">
        <f>VLOOKUP($F11,Assumptions!$E$152:$BC$157,COLUMN()-COLUMN($BC$4),FALSE)</f>
        <v>1</v>
      </c>
      <c r="CG11" s="33">
        <f>VLOOKUP($F11,Assumptions!$E$152:$BC$157,COLUMN()-COLUMN($BC$4),FALSE)</f>
        <v>1</v>
      </c>
      <c r="CH11" s="33">
        <f>VLOOKUP($F11,Assumptions!$E$152:$BC$157,COLUMN()-COLUMN($BC$4),FALSE)</f>
        <v>1</v>
      </c>
      <c r="CI11" s="33">
        <f>VLOOKUP($F11,Assumptions!$E$152:$BC$157,COLUMN()-COLUMN($BC$4),FALSE)</f>
        <v>1</v>
      </c>
      <c r="CJ11" s="33">
        <f>VLOOKUP($F11,Assumptions!$E$152:$BC$157,COLUMN()-COLUMN($BC$4),FALSE)</f>
        <v>1</v>
      </c>
      <c r="CK11" s="33">
        <f>VLOOKUP($F11,Assumptions!$E$152:$BC$157,COLUMN()-COLUMN($BC$4),FALSE)</f>
        <v>1</v>
      </c>
      <c r="CL11" s="33">
        <f>VLOOKUP($F11,Assumptions!$E$152:$BC$157,COLUMN()-COLUMN($BC$4),FALSE)</f>
        <v>1</v>
      </c>
      <c r="CM11" s="33">
        <f>VLOOKUP($F11,Assumptions!$E$152:$BC$157,COLUMN()-COLUMN($BC$4),FALSE)</f>
        <v>1</v>
      </c>
      <c r="CN11" s="33">
        <f>VLOOKUP($F11,Assumptions!$E$152:$BC$157,COLUMN()-COLUMN($BC$4),FALSE)</f>
        <v>1</v>
      </c>
      <c r="CO11" s="33">
        <f>VLOOKUP($F11,Assumptions!$E$152:$BC$157,COLUMN()-COLUMN($BC$4),FALSE)</f>
        <v>1</v>
      </c>
      <c r="CP11" s="33">
        <f>VLOOKUP($F11,Assumptions!$E$152:$BC$157,COLUMN()-COLUMN($BC$4),FALSE)</f>
        <v>1</v>
      </c>
      <c r="CQ11" s="33">
        <f>VLOOKUP($F11,Assumptions!$E$152:$BC$157,COLUMN()-COLUMN($BC$4),FALSE)</f>
        <v>1</v>
      </c>
      <c r="CR11" s="33">
        <f>VLOOKUP($F11,Assumptions!$E$152:$BC$157,COLUMN()-COLUMN($BC$4),FALSE)</f>
        <v>1</v>
      </c>
      <c r="CS11" s="33">
        <f>VLOOKUP($F11,Assumptions!$E$152:$BC$157,COLUMN()-COLUMN($BC$4),FALSE)</f>
        <v>1</v>
      </c>
      <c r="CT11" s="33">
        <f>VLOOKUP($F11,Assumptions!$E$152:$BC$157,COLUMN()-COLUMN($BC$4),FALSE)</f>
        <v>1</v>
      </c>
      <c r="CU11" s="33">
        <f>VLOOKUP($F11,Assumptions!$E$152:$BC$157,COLUMN()-COLUMN($BC$4),FALSE)</f>
        <v>1</v>
      </c>
      <c r="CV11" s="33">
        <f>VLOOKUP($F11,Assumptions!$E$152:$BC$157,COLUMN()-COLUMN($BC$4),FALSE)</f>
        <v>1</v>
      </c>
      <c r="CW11" s="33">
        <f>VLOOKUP($F11,Assumptions!$E$152:$BC$157,COLUMN()-COLUMN($BC$4),FALSE)</f>
        <v>1</v>
      </c>
      <c r="CX11" s="33">
        <f>VLOOKUP($F11,Assumptions!$E$152:$BC$157,COLUMN()-COLUMN($BC$4),FALSE)</f>
        <v>1</v>
      </c>
      <c r="CY11" s="27"/>
      <c r="CZ11" s="27"/>
      <c r="DA11" s="27"/>
      <c r="DB11" s="27" t="str">
        <f t="shared" ref="DB11" si="52">DB2</f>
        <v>Africa_North</v>
      </c>
      <c r="DC11" s="27" t="str">
        <f t="shared" ref="DC11:EU11" si="53">DC2</f>
        <v>Africa_Other</v>
      </c>
      <c r="DD11" s="27" t="str">
        <f t="shared" si="53"/>
        <v>Australia</v>
      </c>
      <c r="DE11" s="27" t="str">
        <f t="shared" si="53"/>
        <v>Austria</v>
      </c>
      <c r="DF11" s="27" t="str">
        <f t="shared" si="53"/>
        <v>Baltics</v>
      </c>
      <c r="DG11" s="27" t="str">
        <f t="shared" si="53"/>
        <v>BeNeLux</v>
      </c>
      <c r="DH11" s="27" t="str">
        <f t="shared" si="53"/>
        <v>Brazil</v>
      </c>
      <c r="DI11" s="27" t="str">
        <f t="shared" si="53"/>
        <v>China</v>
      </c>
      <c r="DJ11" s="27" t="str">
        <f t="shared" si="53"/>
        <v>CroSloven</v>
      </c>
      <c r="DK11" s="27" t="str">
        <f t="shared" si="53"/>
        <v>CzechSlovak</v>
      </c>
      <c r="DL11" s="27" t="str">
        <f t="shared" si="53"/>
        <v>France</v>
      </c>
      <c r="DM11" s="27" t="str">
        <f t="shared" si="53"/>
        <v>Germany</v>
      </c>
      <c r="DN11" s="27" t="str">
        <f t="shared" si="53"/>
        <v>GreeceCyp</v>
      </c>
      <c r="DO11" s="27" t="str">
        <f t="shared" si="53"/>
        <v>HunRomBul</v>
      </c>
      <c r="DP11" s="27" t="str">
        <f t="shared" si="53"/>
        <v>Iceland</v>
      </c>
      <c r="DQ11" s="27" t="str">
        <f t="shared" si="53"/>
        <v>India</v>
      </c>
      <c r="DR11" s="27" t="str">
        <f t="shared" si="53"/>
        <v>Ireland</v>
      </c>
      <c r="DS11" s="27" t="str">
        <f t="shared" si="53"/>
        <v>ItalyMal</v>
      </c>
      <c r="DT11" s="27" t="str">
        <f t="shared" si="53"/>
        <v>Japan</v>
      </c>
      <c r="DU11" s="27" t="str">
        <f t="shared" si="53"/>
        <v>LatAm</v>
      </c>
      <c r="DV11" s="27" t="str">
        <f t="shared" si="53"/>
        <v>MidEast</v>
      </c>
      <c r="DW11" s="27" t="str">
        <f t="shared" si="53"/>
        <v>NorthAm</v>
      </c>
      <c r="DX11" s="27" t="str">
        <f t="shared" si="53"/>
        <v>Norway</v>
      </c>
      <c r="DY11" s="27" t="str">
        <f t="shared" si="53"/>
        <v>Poland</v>
      </c>
      <c r="DZ11" s="27" t="str">
        <f t="shared" si="53"/>
        <v>ROW</v>
      </c>
      <c r="EA11" s="27" t="str">
        <f t="shared" si="53"/>
        <v>Russia</v>
      </c>
      <c r="EB11" s="27" t="str">
        <f t="shared" si="53"/>
        <v>SaudiArabia</v>
      </c>
      <c r="EC11" s="27" t="str">
        <f t="shared" si="53"/>
        <v>SouthAfrica</v>
      </c>
      <c r="ED11" s="27" t="str">
        <f t="shared" si="53"/>
        <v>SpainPor</v>
      </c>
      <c r="EE11" s="27" t="str">
        <f t="shared" si="53"/>
        <v>SweFinDen</v>
      </c>
      <c r="EF11" s="27" t="str">
        <f t="shared" si="53"/>
        <v>Switzerland</v>
      </c>
      <c r="EG11" s="27" t="str">
        <f t="shared" si="53"/>
        <v>Turkey</v>
      </c>
      <c r="EH11" s="27" t="str">
        <f t="shared" si="53"/>
        <v>UK</v>
      </c>
      <c r="EI11" s="27" t="str">
        <f t="shared" si="53"/>
        <v>Ukraine</v>
      </c>
      <c r="EJ11" s="27" t="str">
        <f t="shared" si="53"/>
        <v>WestBalkans</v>
      </c>
      <c r="EK11" s="27" t="str">
        <f t="shared" si="53"/>
        <v>\I:</v>
      </c>
      <c r="EL11" s="27" t="str">
        <f t="shared" si="53"/>
        <v>\I:</v>
      </c>
      <c r="EM11" s="27" t="str">
        <f t="shared" si="53"/>
        <v>\I:</v>
      </c>
      <c r="EN11" s="27" t="str">
        <f t="shared" si="53"/>
        <v>\I:</v>
      </c>
      <c r="EO11" s="27" t="str">
        <f t="shared" si="53"/>
        <v>\I:</v>
      </c>
      <c r="EP11" s="27" t="str">
        <f t="shared" si="53"/>
        <v>\I:</v>
      </c>
      <c r="EQ11" s="27" t="str">
        <f t="shared" si="53"/>
        <v>\I:</v>
      </c>
      <c r="ER11" s="27" t="str">
        <f t="shared" si="53"/>
        <v>\I:</v>
      </c>
      <c r="ES11" s="27" t="str">
        <f t="shared" si="53"/>
        <v>\I:</v>
      </c>
      <c r="ET11" s="27" t="str">
        <f t="shared" si="53"/>
        <v>\I:</v>
      </c>
      <c r="EU11" s="27" t="str">
        <f t="shared" si="53"/>
        <v>\I:</v>
      </c>
      <c r="EV11" s="27"/>
      <c r="EW11" s="27" t="str">
        <f t="shared" si="48"/>
        <v>\I:</v>
      </c>
      <c r="EX11" s="27" t="str">
        <f t="shared" si="51"/>
        <v/>
      </c>
      <c r="EY11" s="27" t="s">
        <v>169</v>
      </c>
      <c r="EZ11" s="27" t="s">
        <v>160</v>
      </c>
      <c r="FA11" s="27" t="s">
        <v>161</v>
      </c>
      <c r="FB11" s="27"/>
      <c r="FC11" s="27"/>
      <c r="FD11" s="27"/>
    </row>
    <row r="12" spans="1:160">
      <c r="A12" s="27" t="s">
        <v>30</v>
      </c>
      <c r="B12" s="27"/>
      <c r="C12" s="27" t="str">
        <f t="shared" ref="C12:C41" si="54">IF(F12&lt;&gt;F11,F12&amp;"_Generic","")</f>
        <v/>
      </c>
      <c r="D12" s="27" t="s">
        <v>41</v>
      </c>
      <c r="E12" s="27"/>
      <c r="F12" s="27" t="s">
        <v>57</v>
      </c>
      <c r="G12" s="33">
        <f ca="1">SUMIFS(Assumptions!BD$3:BD$103,Assumptions!$G$3:$G$103,'non-road'!$F12,Assumptions!$B$3:$B$103,'non-road'!$D12)/SUMIF(Assumptions!$G$3:$G$103,'non-road'!$F12,Assumptions!BD$3:BD$103)</f>
        <v>0.10639224253633757</v>
      </c>
      <c r="H12" s="33">
        <f ca="1">SUMIFS(Assumptions!BE$3:BE$103,Assumptions!$G$3:$G$103,'non-road'!$F12,Assumptions!$B$3:$B$103,'non-road'!$D12)/SUMIF(Assumptions!$G$3:$G$103,'non-road'!$F12,Assumptions!BE$3:BE$103)</f>
        <v>0.96656234062810786</v>
      </c>
      <c r="I12" s="33">
        <f ca="1">SUMIFS(Assumptions!BF$3:BF$103,Assumptions!$G$3:$G$103,'non-road'!$F12,Assumptions!$B$3:$B$103,'non-road'!$D12)/SUMIF(Assumptions!$G$3:$G$103,'non-road'!$F12,Assumptions!BF$3:BF$103)</f>
        <v>0.63592863021847568</v>
      </c>
      <c r="J12" s="33">
        <f ca="1">SUMIFS(Assumptions!BG$3:BG$103,Assumptions!$G$3:$G$103,'non-road'!$F12,Assumptions!$B$3:$B$103,'non-road'!$D12)/SUMIF(Assumptions!$G$3:$G$103,'non-road'!$F12,Assumptions!BG$3:BG$103)</f>
        <v>1.8195805737486567E-2</v>
      </c>
      <c r="K12" s="33">
        <f ca="1">SUMIFS(Assumptions!BH$3:BH$103,Assumptions!$G$3:$G$103,'non-road'!$F12,Assumptions!$B$3:$B$103,'non-road'!$D12)/SUMIF(Assumptions!$G$3:$G$103,'non-road'!$F12,Assumptions!BH$3:BH$103)</f>
        <v>0.61765352537676743</v>
      </c>
      <c r="L12" s="33">
        <f ca="1">SUMIFS(Assumptions!BI$3:BI$103,Assumptions!$G$3:$G$103,'non-road'!$F12,Assumptions!$B$3:$B$103,'non-road'!$D12)/SUMIF(Assumptions!$G$3:$G$103,'non-road'!$F12,Assumptions!BI$3:BI$103)</f>
        <v>1.5350306154634698E-2</v>
      </c>
      <c r="M12" s="33">
        <f ca="1">SUMIFS(Assumptions!BJ$3:BJ$103,Assumptions!$G$3:$G$103,'non-road'!$F12,Assumptions!$B$3:$B$103,'non-road'!$D12)/SUMIF(Assumptions!$G$3:$G$103,'non-road'!$F12,Assumptions!BJ$3:BJ$103)</f>
        <v>0.48750206930981838</v>
      </c>
      <c r="N12" s="33">
        <f ca="1">SUMIFS(Assumptions!BK$3:BK$103,Assumptions!$G$3:$G$103,'non-road'!$F12,Assumptions!$B$3:$B$103,'non-road'!$D12)/SUMIF(Assumptions!$G$3:$G$103,'non-road'!$F12,Assumptions!BK$3:BK$103)</f>
        <v>0.13979882944494071</v>
      </c>
      <c r="O12" s="33">
        <f ca="1">SUMIFS(Assumptions!BL$3:BL$103,Assumptions!$G$3:$G$103,'non-road'!$F12,Assumptions!$B$3:$B$103,'non-road'!$D12)/SUMIF(Assumptions!$G$3:$G$103,'non-road'!$F12,Assumptions!BL$3:BL$103)</f>
        <v>5.7906449414795412E-2</v>
      </c>
      <c r="P12" s="33">
        <f ca="1">SUMIFS(Assumptions!BM$3:BM$103,Assumptions!$G$3:$G$103,'non-road'!$F12,Assumptions!$B$3:$B$103,'non-road'!$D12)/SUMIF(Assumptions!$G$3:$G$103,'non-road'!$F12,Assumptions!BM$3:BM$103)</f>
        <v>4.6345968166613641E-2</v>
      </c>
      <c r="Q12" s="33">
        <f ca="1">SUMIFS(Assumptions!BN$3:BN$103,Assumptions!$G$3:$G$103,'non-road'!$F12,Assumptions!$B$3:$B$103,'non-road'!$D12)/SUMIF(Assumptions!$G$3:$G$103,'non-road'!$F12,Assumptions!BN$3:BN$103)</f>
        <v>1.5839039784246951E-2</v>
      </c>
      <c r="R12" s="33">
        <f ca="1">SUMIFS(Assumptions!BO$3:BO$103,Assumptions!$G$3:$G$103,'non-road'!$F12,Assumptions!$B$3:$B$103,'non-road'!$D12)/SUMIF(Assumptions!$G$3:$G$103,'non-road'!$F12,Assumptions!BO$3:BO$103)</f>
        <v>2.5743082001899426E-2</v>
      </c>
      <c r="S12" s="33">
        <f ca="1">SUMIFS(Assumptions!BP$3:BP$103,Assumptions!$G$3:$G$103,'non-road'!$F12,Assumptions!$B$3:$B$103,'non-road'!$D12)/SUMIF(Assumptions!$G$3:$G$103,'non-road'!$F12,Assumptions!BP$3:BP$103)</f>
        <v>6.3397743252377195E-2</v>
      </c>
      <c r="T12" s="33">
        <f ca="1">SUMIFS(Assumptions!BQ$3:BQ$103,Assumptions!$G$3:$G$103,'non-road'!$F12,Assumptions!$B$3:$B$103,'non-road'!$D12)/SUMIF(Assumptions!$G$3:$G$103,'non-road'!$F12,Assumptions!BQ$3:BQ$103)</f>
        <v>8.550857860794292E-2</v>
      </c>
      <c r="U12" s="33" t="e">
        <f ca="1">SUMIFS(Assumptions!BR$3:BR$103,Assumptions!$G$3:$G$103,'non-road'!$F12,Assumptions!$B$3:$B$103,'non-road'!$D12)/SUMIF(Assumptions!$G$3:$G$103,'non-road'!$F12,Assumptions!BR$3:BR$103)</f>
        <v>#DIV/0!</v>
      </c>
      <c r="V12" s="33">
        <f ca="1">SUMIFS(Assumptions!BS$3:BS$103,Assumptions!$G$3:$G$103,'non-road'!$F12,Assumptions!$B$3:$B$103,'non-road'!$D12)/SUMIF(Assumptions!$G$3:$G$103,'non-road'!$F12,Assumptions!BS$3:BS$103)</f>
        <v>0.53257283621205487</v>
      </c>
      <c r="W12" s="33">
        <f ca="1">SUMIFS(Assumptions!BT$3:BT$103,Assumptions!$G$3:$G$103,'non-road'!$F12,Assumptions!$B$3:$B$103,'non-road'!$D12)/SUMIF(Assumptions!$G$3:$G$103,'non-road'!$F12,Assumptions!BT$3:BT$103)</f>
        <v>0.46768119871157132</v>
      </c>
      <c r="X12" s="33">
        <f ca="1">SUMIFS(Assumptions!BU$3:BU$103,Assumptions!$G$3:$G$103,'non-road'!$F12,Assumptions!$B$3:$B$103,'non-road'!$D12)/SUMIF(Assumptions!$G$3:$G$103,'non-road'!$F12,Assumptions!BU$3:BU$103)</f>
        <v>9.0851178850931674E-3</v>
      </c>
      <c r="Y12" s="33">
        <f ca="1">SUMIFS(Assumptions!BV$3:BV$103,Assumptions!$G$3:$G$103,'non-road'!$F12,Assumptions!$B$3:$B$103,'non-road'!$D12)/SUMIF(Assumptions!$G$3:$G$103,'non-road'!$F12,Assumptions!BV$3:BV$103)</f>
        <v>6.9886339065603251E-2</v>
      </c>
      <c r="Z12" s="33">
        <f ca="1">SUMIFS(Assumptions!BW$3:BW$103,Assumptions!$G$3:$G$103,'non-road'!$F12,Assumptions!$B$3:$B$103,'non-road'!$D12)/SUMIF(Assumptions!$G$3:$G$103,'non-road'!$F12,Assumptions!BW$3:BW$103)</f>
        <v>7.3224921496013062E-2</v>
      </c>
      <c r="AA12" s="33">
        <f ca="1">SUMIFS(Assumptions!BX$3:BX$103,Assumptions!$G$3:$G$103,'non-road'!$F12,Assumptions!$B$3:$B$103,'non-road'!$D12)/SUMIF(Assumptions!$G$3:$G$103,'non-road'!$F12,Assumptions!BX$3:BX$103)</f>
        <v>1</v>
      </c>
      <c r="AB12" s="33">
        <f ca="1">SUMIFS(Assumptions!BY$3:BY$103,Assumptions!$G$3:$G$103,'non-road'!$F12,Assumptions!$B$3:$B$103,'non-road'!$D12)/SUMIF(Assumptions!$G$3:$G$103,'non-road'!$F12,Assumptions!BY$3:BY$103)</f>
        <v>0.46623692526919158</v>
      </c>
      <c r="AC12" s="33">
        <f ca="1">SUMIFS(Assumptions!BZ$3:BZ$103,Assumptions!$G$3:$G$103,'non-road'!$F12,Assumptions!$B$3:$B$103,'non-road'!$D12)/SUMIF(Assumptions!$G$3:$G$103,'non-road'!$F12,Assumptions!BZ$3:BZ$103)</f>
        <v>2.6241355181161375E-2</v>
      </c>
      <c r="AD12" s="33">
        <f ca="1">SUMIFS(Assumptions!CA$3:CA$103,Assumptions!$G$3:$G$103,'non-road'!$F12,Assumptions!$B$3:$B$103,'non-road'!$D12)/SUMIF(Assumptions!$G$3:$G$103,'non-road'!$F12,Assumptions!CA$3:CA$103)</f>
        <v>3.3944089325047451E-2</v>
      </c>
      <c r="AE12" s="33">
        <f ca="1">SUMIFS(Assumptions!CB$3:CB$103,Assumptions!$G$3:$G$103,'non-road'!$F12,Assumptions!$B$3:$B$103,'non-road'!$D12)/SUMIF(Assumptions!$G$3:$G$103,'non-road'!$F12,Assumptions!CB$3:CB$103)</f>
        <v>0.24201531874117066</v>
      </c>
      <c r="AF12" s="33">
        <f ca="1">SUMIFS(Assumptions!CC$3:CC$103,Assumptions!$G$3:$G$103,'non-road'!$F12,Assumptions!$B$3:$B$103,'non-road'!$D12)/SUMIF(Assumptions!$G$3:$G$103,'non-road'!$F12,Assumptions!CC$3:CC$103)</f>
        <v>9.9939462248683442E-2</v>
      </c>
      <c r="AG12" s="33" t="e">
        <f ca="1">SUMIFS(Assumptions!CD$3:CD$103,Assumptions!$G$3:$G$103,'non-road'!$F12,Assumptions!$B$3:$B$103,'non-road'!$D12)/SUMIF(Assumptions!$G$3:$G$103,'non-road'!$F12,Assumptions!CD$3:CD$103)</f>
        <v>#DIV/0!</v>
      </c>
      <c r="AH12" s="33">
        <f ca="1">SUMIFS(Assumptions!CE$3:CE$103,Assumptions!$G$3:$G$103,'non-road'!$F12,Assumptions!$B$3:$B$103,'non-road'!$D12)/SUMIF(Assumptions!$G$3:$G$103,'non-road'!$F12,Assumptions!CE$3:CE$103)</f>
        <v>0.15673765100781362</v>
      </c>
      <c r="AI12" s="33">
        <f ca="1">SUMIFS(Assumptions!CF$3:CF$103,Assumptions!$G$3:$G$103,'non-road'!$F12,Assumptions!$B$3:$B$103,'non-road'!$D12)/SUMIF(Assumptions!$G$3:$G$103,'non-road'!$F12,Assumptions!CF$3:CF$103)</f>
        <v>2.6443798837013095E-2</v>
      </c>
      <c r="AJ12" s="33">
        <f ca="1">SUMIFS(Assumptions!CG$3:CG$103,Assumptions!$G$3:$G$103,'non-road'!$F12,Assumptions!$B$3:$B$103,'non-road'!$D12)/SUMIF(Assumptions!$G$3:$G$103,'non-road'!$F12,Assumptions!CG$3:CG$103)</f>
        <v>3.3211294906930824E-2</v>
      </c>
      <c r="AK12" s="33">
        <f ca="1">SUMIFS(Assumptions!CH$3:CH$103,Assumptions!$G$3:$G$103,'non-road'!$F12,Assumptions!$B$3:$B$103,'non-road'!$D12)/SUMIF(Assumptions!$G$3:$G$103,'non-road'!$F12,Assumptions!CH$3:CH$103)</f>
        <v>3.4528046594251506E-3</v>
      </c>
      <c r="AL12" s="33">
        <f ca="1">SUMIFS(Assumptions!CI$3:CI$103,Assumptions!$G$3:$G$103,'non-road'!$F12,Assumptions!$B$3:$B$103,'non-road'!$D12)/SUMIF(Assumptions!$G$3:$G$103,'non-road'!$F12,Assumptions!CI$3:CI$103)</f>
        <v>0.25882489186723812</v>
      </c>
      <c r="AM12" s="33">
        <f ca="1">SUMIFS(Assumptions!CJ$3:CJ$103,Assumptions!$G$3:$G$103,'non-road'!$F12,Assumptions!$B$3:$B$103,'non-road'!$D12)/SUMIF(Assumptions!$G$3:$G$103,'non-road'!$F12,Assumptions!CJ$3:CJ$103)</f>
        <v>0.1172208470099564</v>
      </c>
      <c r="AN12" s="33">
        <f ca="1">SUMIFS(Assumptions!CK$3:CK$103,Assumptions!$G$3:$G$103,'non-road'!$F12,Assumptions!$B$3:$B$103,'non-road'!$D12)/SUMIF(Assumptions!$G$3:$G$103,'non-road'!$F12,Assumptions!CK$3:CK$103)</f>
        <v>9.106581766830853E-3</v>
      </c>
      <c r="AO12" s="33">
        <f ca="1">SUMIFS(Assumptions!CL$3:CL$103,Assumptions!$G$3:$G$103,'non-road'!$F12,Assumptions!$B$3:$B$103,'non-road'!$D12)/SUMIF(Assumptions!$G$3:$G$103,'non-road'!$F12,Assumptions!CL$3:CL$103)</f>
        <v>4.9058037736185528E-2</v>
      </c>
      <c r="AP12" s="33" t="e">
        <f ca="1">SUMIFS(Assumptions!CM$3:CM$103,Assumptions!$G$3:$G$103,'non-road'!$F12,Assumptions!$B$3:$B$103,'non-road'!$D12)/SUMIF(Assumptions!$G$3:$G$103,'non-road'!$F12,Assumptions!CM$3:CM$103)</f>
        <v>#DIV/0!</v>
      </c>
      <c r="AQ12" s="33" t="e">
        <f ca="1">SUMIFS(Assumptions!CN$3:CN$103,Assumptions!$G$3:$G$103,'non-road'!$F12,Assumptions!$B$3:$B$103,'non-road'!$D12)/SUMIF(Assumptions!$G$3:$G$103,'non-road'!$F12,Assumptions!CN$3:CN$103)</f>
        <v>#DIV/0!</v>
      </c>
      <c r="AR12" s="33" t="e">
        <f ca="1">SUMIFS(Assumptions!CO$3:CO$103,Assumptions!$G$3:$G$103,'non-road'!$F12,Assumptions!$B$3:$B$103,'non-road'!$D12)/SUMIF(Assumptions!$G$3:$G$103,'non-road'!$F12,Assumptions!CO$3:CO$103)</f>
        <v>#DIV/0!</v>
      </c>
      <c r="AS12" s="33" t="e">
        <f ca="1">SUMIFS(Assumptions!CP$3:CP$103,Assumptions!$G$3:$G$103,'non-road'!$F12,Assumptions!$B$3:$B$103,'non-road'!$D12)/SUMIF(Assumptions!$G$3:$G$103,'non-road'!$F12,Assumptions!CP$3:CP$103)</f>
        <v>#DIV/0!</v>
      </c>
      <c r="AT12" s="33" t="e">
        <f ca="1">SUMIFS(Assumptions!CQ$3:CQ$103,Assumptions!$G$3:$G$103,'non-road'!$F12,Assumptions!$B$3:$B$103,'non-road'!$D12)/SUMIF(Assumptions!$G$3:$G$103,'non-road'!$F12,Assumptions!CQ$3:CQ$103)</f>
        <v>#DIV/0!</v>
      </c>
      <c r="AU12" s="33" t="e">
        <f ca="1">SUMIFS(Assumptions!CR$3:CR$103,Assumptions!$G$3:$G$103,'non-road'!$F12,Assumptions!$B$3:$B$103,'non-road'!$D12)/SUMIF(Assumptions!$G$3:$G$103,'non-road'!$F12,Assumptions!CR$3:CR$103)</f>
        <v>#DIV/0!</v>
      </c>
      <c r="AV12" s="33" t="e">
        <f ca="1">SUMIFS(Assumptions!CS$3:CS$103,Assumptions!$G$3:$G$103,'non-road'!$F12,Assumptions!$B$3:$B$103,'non-road'!$D12)/SUMIF(Assumptions!$G$3:$G$103,'non-road'!$F12,Assumptions!CS$3:CS$103)</f>
        <v>#DIV/0!</v>
      </c>
      <c r="AW12" s="33" t="e">
        <f ca="1">SUMIFS(Assumptions!CT$3:CT$103,Assumptions!$G$3:$G$103,'non-road'!$F12,Assumptions!$B$3:$B$103,'non-road'!$D12)/SUMIF(Assumptions!$G$3:$G$103,'non-road'!$F12,Assumptions!CT$3:CT$103)</f>
        <v>#DIV/0!</v>
      </c>
      <c r="AX12" s="33" t="e">
        <f ca="1">SUMIFS(Assumptions!CU$3:CU$103,Assumptions!$G$3:$G$103,'non-road'!$F12,Assumptions!$B$3:$B$103,'non-road'!$D12)/SUMIF(Assumptions!$G$3:$G$103,'non-road'!$F12,Assumptions!CU$3:CU$103)</f>
        <v>#DIV/0!</v>
      </c>
      <c r="AY12" s="33" t="e">
        <f ca="1">SUMIFS(Assumptions!CV$3:CV$103,Assumptions!$G$3:$G$103,'non-road'!$F12,Assumptions!$B$3:$B$103,'non-road'!$D12)/SUMIF(Assumptions!$G$3:$G$103,'non-road'!$F12,Assumptions!CV$3:CV$103)</f>
        <v>#DIV/0!</v>
      </c>
      <c r="AZ12" s="33" t="e">
        <f ca="1">SUMIFS(Assumptions!CW$3:CW$103,Assumptions!$G$3:$G$103,'non-road'!$F12,Assumptions!$B$3:$B$103,'non-road'!$D12)/SUMIF(Assumptions!$G$3:$G$103,'non-road'!$F12,Assumptions!CW$3:CW$103)</f>
        <v>#DIV/0!</v>
      </c>
      <c r="BA12" s="34"/>
      <c r="BB12" s="33"/>
      <c r="BC12" s="33"/>
      <c r="BD12" s="27" t="str">
        <f t="shared" ref="BD12:BD41" si="55">IF(C12="","\I:",C12)</f>
        <v>\I:</v>
      </c>
      <c r="BE12" s="33">
        <f>VLOOKUP($F12,Assumptions!$E$152:$BC$157,COLUMN()-COLUMN($BC$4),FALSE)</f>
        <v>1</v>
      </c>
      <c r="BF12" s="33">
        <f>VLOOKUP($F12,Assumptions!$E$152:$BC$157,COLUMN()-COLUMN($BC$4),FALSE)</f>
        <v>1</v>
      </c>
      <c r="BG12" s="33">
        <f>VLOOKUP($F12,Assumptions!$E$152:$BC$157,COLUMN()-COLUMN($BC$4),FALSE)</f>
        <v>1</v>
      </c>
      <c r="BH12" s="33">
        <f>VLOOKUP($F12,Assumptions!$E$152:$BC$157,COLUMN()-COLUMN($BC$4),FALSE)</f>
        <v>1</v>
      </c>
      <c r="BI12" s="33">
        <f>VLOOKUP($F12,Assumptions!$E$152:$BC$157,COLUMN()-COLUMN($BC$4),FALSE)</f>
        <v>1</v>
      </c>
      <c r="BJ12" s="33">
        <f>VLOOKUP($F12,Assumptions!$E$152:$BC$157,COLUMN()-COLUMN($BC$4),FALSE)</f>
        <v>1</v>
      </c>
      <c r="BK12" s="33">
        <f>VLOOKUP($F12,Assumptions!$E$152:$BC$157,COLUMN()-COLUMN($BC$4),FALSE)</f>
        <v>1</v>
      </c>
      <c r="BL12" s="33">
        <f>VLOOKUP($F12,Assumptions!$E$152:$BC$157,COLUMN()-COLUMN($BC$4),FALSE)</f>
        <v>1</v>
      </c>
      <c r="BM12" s="33">
        <f>VLOOKUP($F12,Assumptions!$E$152:$BC$157,COLUMN()-COLUMN($BC$4),FALSE)</f>
        <v>1</v>
      </c>
      <c r="BN12" s="33">
        <f>VLOOKUP($F12,Assumptions!$E$152:$BC$157,COLUMN()-COLUMN($BC$4),FALSE)</f>
        <v>1</v>
      </c>
      <c r="BO12" s="33">
        <f>VLOOKUP($F12,Assumptions!$E$152:$BC$157,COLUMN()-COLUMN($BC$4),FALSE)</f>
        <v>1</v>
      </c>
      <c r="BP12" s="33">
        <f>VLOOKUP($F12,Assumptions!$E$152:$BC$157,COLUMN()-COLUMN($BC$4),FALSE)</f>
        <v>1</v>
      </c>
      <c r="BQ12" s="33">
        <f>VLOOKUP($F12,Assumptions!$E$152:$BC$157,COLUMN()-COLUMN($BC$4),FALSE)</f>
        <v>1</v>
      </c>
      <c r="BR12" s="33">
        <f>VLOOKUP($F12,Assumptions!$E$152:$BC$157,COLUMN()-COLUMN($BC$4),FALSE)</f>
        <v>1</v>
      </c>
      <c r="BS12" s="33">
        <f>VLOOKUP($F12,Assumptions!$E$152:$BC$157,COLUMN()-COLUMN($BC$4),FALSE)</f>
        <v>1</v>
      </c>
      <c r="BT12" s="33">
        <f>VLOOKUP($F12,Assumptions!$E$152:$BC$157,COLUMN()-COLUMN($BC$4),FALSE)</f>
        <v>1</v>
      </c>
      <c r="BU12" s="33">
        <f>VLOOKUP($F12,Assumptions!$E$152:$BC$157,COLUMN()-COLUMN($BC$4),FALSE)</f>
        <v>1</v>
      </c>
      <c r="BV12" s="33">
        <f>VLOOKUP($F12,Assumptions!$E$152:$BC$157,COLUMN()-COLUMN($BC$4),FALSE)</f>
        <v>1</v>
      </c>
      <c r="BW12" s="33">
        <f>VLOOKUP($F12,Assumptions!$E$152:$BC$157,COLUMN()-COLUMN($BC$4),FALSE)</f>
        <v>1</v>
      </c>
      <c r="BX12" s="33">
        <f>VLOOKUP($F12,Assumptions!$E$152:$BC$157,COLUMN()-COLUMN($BC$4),FALSE)</f>
        <v>1</v>
      </c>
      <c r="BY12" s="33">
        <f>VLOOKUP($F12,Assumptions!$E$152:$BC$157,COLUMN()-COLUMN($BC$4),FALSE)</f>
        <v>1</v>
      </c>
      <c r="BZ12" s="33">
        <f>VLOOKUP($F12,Assumptions!$E$152:$BC$157,COLUMN()-COLUMN($BC$4),FALSE)</f>
        <v>1</v>
      </c>
      <c r="CA12" s="33">
        <f>VLOOKUP($F12,Assumptions!$E$152:$BC$157,COLUMN()-COLUMN($BC$4),FALSE)</f>
        <v>1</v>
      </c>
      <c r="CB12" s="33">
        <f>VLOOKUP($F12,Assumptions!$E$152:$BC$157,COLUMN()-COLUMN($BC$4),FALSE)</f>
        <v>1</v>
      </c>
      <c r="CC12" s="33">
        <f>VLOOKUP($F12,Assumptions!$E$152:$BC$157,COLUMN()-COLUMN($BC$4),FALSE)</f>
        <v>1</v>
      </c>
      <c r="CD12" s="33">
        <f>VLOOKUP($F12,Assumptions!$E$152:$BC$157,COLUMN()-COLUMN($BC$4),FALSE)</f>
        <v>1</v>
      </c>
      <c r="CE12" s="33">
        <f>VLOOKUP($F12,Assumptions!$E$152:$BC$157,COLUMN()-COLUMN($BC$4),FALSE)</f>
        <v>1</v>
      </c>
      <c r="CF12" s="33">
        <f>VLOOKUP($F12,Assumptions!$E$152:$BC$157,COLUMN()-COLUMN($BC$4),FALSE)</f>
        <v>1</v>
      </c>
      <c r="CG12" s="33">
        <f>VLOOKUP($F12,Assumptions!$E$152:$BC$157,COLUMN()-COLUMN($BC$4),FALSE)</f>
        <v>1</v>
      </c>
      <c r="CH12" s="33">
        <f>VLOOKUP($F12,Assumptions!$E$152:$BC$157,COLUMN()-COLUMN($BC$4),FALSE)</f>
        <v>1</v>
      </c>
      <c r="CI12" s="33">
        <f>VLOOKUP($F12,Assumptions!$E$152:$BC$157,COLUMN()-COLUMN($BC$4),FALSE)</f>
        <v>1</v>
      </c>
      <c r="CJ12" s="33">
        <f>VLOOKUP($F12,Assumptions!$E$152:$BC$157,COLUMN()-COLUMN($BC$4),FALSE)</f>
        <v>1</v>
      </c>
      <c r="CK12" s="33">
        <f>VLOOKUP($F12,Assumptions!$E$152:$BC$157,COLUMN()-COLUMN($BC$4),FALSE)</f>
        <v>1</v>
      </c>
      <c r="CL12" s="33">
        <f>VLOOKUP($F12,Assumptions!$E$152:$BC$157,COLUMN()-COLUMN($BC$4),FALSE)</f>
        <v>1</v>
      </c>
      <c r="CM12" s="33">
        <f>VLOOKUP($F12,Assumptions!$E$152:$BC$157,COLUMN()-COLUMN($BC$4),FALSE)</f>
        <v>1</v>
      </c>
      <c r="CN12" s="33">
        <f>VLOOKUP($F12,Assumptions!$E$152:$BC$157,COLUMN()-COLUMN($BC$4),FALSE)</f>
        <v>1</v>
      </c>
      <c r="CO12" s="33">
        <f>VLOOKUP($F12,Assumptions!$E$152:$BC$157,COLUMN()-COLUMN($BC$4),FALSE)</f>
        <v>1</v>
      </c>
      <c r="CP12" s="33">
        <f>VLOOKUP($F12,Assumptions!$E$152:$BC$157,COLUMN()-COLUMN($BC$4),FALSE)</f>
        <v>1</v>
      </c>
      <c r="CQ12" s="33">
        <f>VLOOKUP($F12,Assumptions!$E$152:$BC$157,COLUMN()-COLUMN($BC$4),FALSE)</f>
        <v>1</v>
      </c>
      <c r="CR12" s="33">
        <f>VLOOKUP($F12,Assumptions!$E$152:$BC$157,COLUMN()-COLUMN($BC$4),FALSE)</f>
        <v>1</v>
      </c>
      <c r="CS12" s="33">
        <f>VLOOKUP($F12,Assumptions!$E$152:$BC$157,COLUMN()-COLUMN($BC$4),FALSE)</f>
        <v>1</v>
      </c>
      <c r="CT12" s="33">
        <f>VLOOKUP($F12,Assumptions!$E$152:$BC$157,COLUMN()-COLUMN($BC$4),FALSE)</f>
        <v>1</v>
      </c>
      <c r="CU12" s="33">
        <f>VLOOKUP($F12,Assumptions!$E$152:$BC$157,COLUMN()-COLUMN($BC$4),FALSE)</f>
        <v>1</v>
      </c>
      <c r="CV12" s="33">
        <f>VLOOKUP($F12,Assumptions!$E$152:$BC$157,COLUMN()-COLUMN($BC$4),FALSE)</f>
        <v>1</v>
      </c>
      <c r="CW12" s="33">
        <f>VLOOKUP($F12,Assumptions!$E$152:$BC$157,COLUMN()-COLUMN($BC$4),FALSE)</f>
        <v>1</v>
      </c>
      <c r="CX12" s="33">
        <f>VLOOKUP($F12,Assumptions!$E$152:$BC$157,COLUMN()-COLUMN($BC$4),FALSE)</f>
        <v>1</v>
      </c>
      <c r="CY12" s="27"/>
      <c r="CZ12" s="27"/>
      <c r="DA12" s="27" t="str">
        <f t="shared" ref="DA12:DA17" si="56">DA3</f>
        <v>TTF</v>
      </c>
      <c r="DB12" s="33">
        <f ca="1">IFERROR(DB3/DB$20,"")</f>
        <v>3.5531835601509015E-3</v>
      </c>
      <c r="DC12" s="33">
        <f t="shared" ref="DC12:EU12" ca="1" si="57">IFERROR(DC3/DC$20,"")</f>
        <v>3.8422529385064019E-3</v>
      </c>
      <c r="DD12" s="33">
        <f t="shared" ca="1" si="57"/>
        <v>3.8229754923796419E-2</v>
      </c>
      <c r="DE12" s="33">
        <f t="shared" ca="1" si="57"/>
        <v>3.6135160137601989E-3</v>
      </c>
      <c r="DF12" s="33">
        <f t="shared" ca="1" si="57"/>
        <v>3.0371131295588015E-2</v>
      </c>
      <c r="DG12" s="33">
        <f t="shared" ca="1" si="57"/>
        <v>1.458292540998574E-3</v>
      </c>
      <c r="DH12" s="33">
        <f t="shared" ca="1" si="57"/>
        <v>1.3412288031443013E-2</v>
      </c>
      <c r="DI12" s="33">
        <f t="shared" ca="1" si="57"/>
        <v>6.5085186379249971E-3</v>
      </c>
      <c r="DJ12" s="33">
        <f t="shared" ca="1" si="57"/>
        <v>7.246823112362649E-3</v>
      </c>
      <c r="DK12" s="33">
        <f t="shared" ca="1" si="57"/>
        <v>8.4561172095458069E-3</v>
      </c>
      <c r="DL12" s="33">
        <f t="shared" ca="1" si="57"/>
        <v>2.1016993639781361E-3</v>
      </c>
      <c r="DM12" s="33">
        <f t="shared" ca="1" si="57"/>
        <v>3.1676794427809379E-3</v>
      </c>
      <c r="DN12" s="33">
        <f t="shared" ca="1" si="57"/>
        <v>1.522323292317784E-3</v>
      </c>
      <c r="DO12" s="33">
        <f t="shared" ca="1" si="57"/>
        <v>1.1369694368027403E-2</v>
      </c>
      <c r="DP12" s="33">
        <f t="shared" ca="1" si="57"/>
        <v>0</v>
      </c>
      <c r="DQ12" s="33">
        <f t="shared" ca="1" si="57"/>
        <v>9.0629367431004845E-3</v>
      </c>
      <c r="DR12" s="33">
        <f t="shared" ca="1" si="57"/>
        <v>4.8739986215234196E-3</v>
      </c>
      <c r="DS12" s="33">
        <f t="shared" ca="1" si="57"/>
        <v>9.441394985046632E-4</v>
      </c>
      <c r="DT12" s="33">
        <f t="shared" ca="1" si="57"/>
        <v>4.5680359481362607E-4</v>
      </c>
      <c r="DU12" s="33">
        <f t="shared" ca="1" si="57"/>
        <v>5.0074313467419617E-4</v>
      </c>
      <c r="DV12" s="33">
        <f t="shared" ca="1" si="57"/>
        <v>6.1596330605527951E-4</v>
      </c>
      <c r="DW12" s="33">
        <f t="shared" ca="1" si="57"/>
        <v>3.3564626483818791E-2</v>
      </c>
      <c r="DX12" s="33">
        <f t="shared" ca="1" si="57"/>
        <v>1.9308779377481746E-3</v>
      </c>
      <c r="DY12" s="33">
        <f t="shared" ca="1" si="57"/>
        <v>4.7367105598705786E-3</v>
      </c>
      <c r="DZ12" s="33">
        <f t="shared" ca="1" si="57"/>
        <v>4.7279019624154603E-3</v>
      </c>
      <c r="EA12" s="33">
        <f t="shared" ca="1" si="57"/>
        <v>7.9049128680377848E-2</v>
      </c>
      <c r="EB12" s="33">
        <f t="shared" ca="1" si="57"/>
        <v>0</v>
      </c>
      <c r="EC12" s="33">
        <f t="shared" ca="1" si="57"/>
        <v>1.4658442321527869E-2</v>
      </c>
      <c r="ED12" s="33">
        <f t="shared" ca="1" si="57"/>
        <v>2.1014551273623367E-3</v>
      </c>
      <c r="EE12" s="33">
        <f t="shared" ca="1" si="57"/>
        <v>5.0027102910786651E-3</v>
      </c>
      <c r="EF12" s="33">
        <f t="shared" ca="1" si="57"/>
        <v>8.59810526654056E-4</v>
      </c>
      <c r="EG12" s="33">
        <f t="shared" ca="1" si="57"/>
        <v>2.5045652586099584E-3</v>
      </c>
      <c r="EH12" s="33">
        <f t="shared" ca="1" si="57"/>
        <v>1.0465944673886925E-2</v>
      </c>
      <c r="EI12" s="33">
        <f t="shared" ca="1" si="57"/>
        <v>1.3718374368351348E-2</v>
      </c>
      <c r="EJ12" s="33">
        <f t="shared" ca="1" si="57"/>
        <v>4.6202722281605234E-3</v>
      </c>
      <c r="EK12" s="33">
        <f t="shared" ca="1" si="57"/>
        <v>0</v>
      </c>
      <c r="EL12" s="33">
        <f t="shared" ca="1" si="57"/>
        <v>0</v>
      </c>
      <c r="EM12" s="33">
        <f t="shared" ca="1" si="57"/>
        <v>0</v>
      </c>
      <c r="EN12" s="33">
        <f t="shared" ca="1" si="57"/>
        <v>0</v>
      </c>
      <c r="EO12" s="33">
        <f t="shared" ca="1" si="57"/>
        <v>0</v>
      </c>
      <c r="EP12" s="33">
        <f t="shared" ca="1" si="57"/>
        <v>0</v>
      </c>
      <c r="EQ12" s="33">
        <f t="shared" ca="1" si="57"/>
        <v>0</v>
      </c>
      <c r="ER12" s="33">
        <f t="shared" ca="1" si="57"/>
        <v>0</v>
      </c>
      <c r="ES12" s="33">
        <f t="shared" ca="1" si="57"/>
        <v>0</v>
      </c>
      <c r="ET12" s="33">
        <f t="shared" ca="1" si="57"/>
        <v>0</v>
      </c>
      <c r="EU12" s="33" t="str">
        <f t="shared" ca="1" si="57"/>
        <v/>
      </c>
      <c r="EV12" s="27"/>
      <c r="EW12" s="27" t="str">
        <f t="shared" si="48"/>
        <v>\I:</v>
      </c>
      <c r="EX12" s="27" t="str">
        <f t="shared" si="51"/>
        <v/>
      </c>
      <c r="EY12" s="27" t="s">
        <v>169</v>
      </c>
      <c r="EZ12" s="27" t="s">
        <v>160</v>
      </c>
      <c r="FA12" s="27" t="s">
        <v>161</v>
      </c>
      <c r="FB12" s="27"/>
      <c r="FC12" s="27"/>
      <c r="FD12" s="27"/>
    </row>
    <row r="13" spans="1:160">
      <c r="A13" s="27" t="s">
        <v>144</v>
      </c>
      <c r="B13" s="27"/>
      <c r="C13" s="27" t="str">
        <f t="shared" si="54"/>
        <v/>
      </c>
      <c r="D13" s="27" t="s">
        <v>42</v>
      </c>
      <c r="E13" s="27"/>
      <c r="F13" s="27" t="s">
        <v>57</v>
      </c>
      <c r="G13" s="33">
        <f ca="1">SUMIFS(Assumptions!BD$3:BD$103,Assumptions!$G$3:$G$103,'non-road'!$F13,Assumptions!$B$3:$B$103,'non-road'!$D13)/SUMIF(Assumptions!$G$3:$G$103,'non-road'!$F13,Assumptions!BD$3:BD$103)</f>
        <v>0</v>
      </c>
      <c r="H13" s="33">
        <f ca="1">SUMIFS(Assumptions!BE$3:BE$103,Assumptions!$G$3:$G$103,'non-road'!$F13,Assumptions!$B$3:$B$103,'non-road'!$D13)/SUMIF(Assumptions!$G$3:$G$103,'non-road'!$F13,Assumptions!BE$3:BE$103)</f>
        <v>0</v>
      </c>
      <c r="I13" s="33">
        <f ca="1">SUMIFS(Assumptions!BF$3:BF$103,Assumptions!$G$3:$G$103,'non-road'!$F13,Assumptions!$B$3:$B$103,'non-road'!$D13)/SUMIF(Assumptions!$G$3:$G$103,'non-road'!$F13,Assumptions!BF$3:BF$103)</f>
        <v>9.9067910782876475E-4</v>
      </c>
      <c r="J13" s="33">
        <f ca="1">SUMIFS(Assumptions!BG$3:BG$103,Assumptions!$G$3:$G$103,'non-road'!$F13,Assumptions!$B$3:$B$103,'non-road'!$D13)/SUMIF(Assumptions!$G$3:$G$103,'non-road'!$F13,Assumptions!BG$3:BG$103)</f>
        <v>0</v>
      </c>
      <c r="K13" s="33">
        <f ca="1">SUMIFS(Assumptions!BH$3:BH$103,Assumptions!$G$3:$G$103,'non-road'!$F13,Assumptions!$B$3:$B$103,'non-road'!$D13)/SUMIF(Assumptions!$G$3:$G$103,'non-road'!$F13,Assumptions!BH$3:BH$103)</f>
        <v>0</v>
      </c>
      <c r="L13" s="33">
        <f ca="1">SUMIFS(Assumptions!BI$3:BI$103,Assumptions!$G$3:$G$103,'non-road'!$F13,Assumptions!$B$3:$B$103,'non-road'!$D13)/SUMIF(Assumptions!$G$3:$G$103,'non-road'!$F13,Assumptions!BI$3:BI$103)</f>
        <v>0</v>
      </c>
      <c r="M13" s="33">
        <f ca="1">SUMIFS(Assumptions!BJ$3:BJ$103,Assumptions!$G$3:$G$103,'non-road'!$F13,Assumptions!$B$3:$B$103,'non-road'!$D13)/SUMIF(Assumptions!$G$3:$G$103,'non-road'!$F13,Assumptions!BJ$3:BJ$103)</f>
        <v>0</v>
      </c>
      <c r="N13" s="33">
        <f ca="1">SUMIFS(Assumptions!BK$3:BK$103,Assumptions!$G$3:$G$103,'non-road'!$F13,Assumptions!$B$3:$B$103,'non-road'!$D13)/SUMIF(Assumptions!$G$3:$G$103,'non-road'!$F13,Assumptions!BK$3:BK$103)</f>
        <v>0</v>
      </c>
      <c r="O13" s="33">
        <f ca="1">SUMIFS(Assumptions!BL$3:BL$103,Assumptions!$G$3:$G$103,'non-road'!$F13,Assumptions!$B$3:$B$103,'non-road'!$D13)/SUMIF(Assumptions!$G$3:$G$103,'non-road'!$F13,Assumptions!BL$3:BL$103)</f>
        <v>0</v>
      </c>
      <c r="P13" s="33">
        <f ca="1">SUMIFS(Assumptions!BM$3:BM$103,Assumptions!$G$3:$G$103,'non-road'!$F13,Assumptions!$B$3:$B$103,'non-road'!$D13)/SUMIF(Assumptions!$G$3:$G$103,'non-road'!$F13,Assumptions!BM$3:BM$103)</f>
        <v>0</v>
      </c>
      <c r="Q13" s="33">
        <f ca="1">SUMIFS(Assumptions!BN$3:BN$103,Assumptions!$G$3:$G$103,'non-road'!$F13,Assumptions!$B$3:$B$103,'non-road'!$D13)/SUMIF(Assumptions!$G$3:$G$103,'non-road'!$F13,Assumptions!BN$3:BN$103)</f>
        <v>0</v>
      </c>
      <c r="R13" s="33">
        <f ca="1">SUMIFS(Assumptions!BO$3:BO$103,Assumptions!$G$3:$G$103,'non-road'!$F13,Assumptions!$B$3:$B$103,'non-road'!$D13)/SUMIF(Assumptions!$G$3:$G$103,'non-road'!$F13,Assumptions!BO$3:BO$103)</f>
        <v>0</v>
      </c>
      <c r="S13" s="33">
        <f ca="1">SUMIFS(Assumptions!BP$3:BP$103,Assumptions!$G$3:$G$103,'non-road'!$F13,Assumptions!$B$3:$B$103,'non-road'!$D13)/SUMIF(Assumptions!$G$3:$G$103,'non-road'!$F13,Assumptions!BP$3:BP$103)</f>
        <v>0</v>
      </c>
      <c r="T13" s="33">
        <f ca="1">SUMIFS(Assumptions!BQ$3:BQ$103,Assumptions!$G$3:$G$103,'non-road'!$F13,Assumptions!$B$3:$B$103,'non-road'!$D13)/SUMIF(Assumptions!$G$3:$G$103,'non-road'!$F13,Assumptions!BQ$3:BQ$103)</f>
        <v>0</v>
      </c>
      <c r="U13" s="33" t="e">
        <f ca="1">SUMIFS(Assumptions!BR$3:BR$103,Assumptions!$G$3:$G$103,'non-road'!$F13,Assumptions!$B$3:$B$103,'non-road'!$D13)/SUMIF(Assumptions!$G$3:$G$103,'non-road'!$F13,Assumptions!BR$3:BR$103)</f>
        <v>#DIV/0!</v>
      </c>
      <c r="V13" s="33">
        <f ca="1">SUMIFS(Assumptions!BS$3:BS$103,Assumptions!$G$3:$G$103,'non-road'!$F13,Assumptions!$B$3:$B$103,'non-road'!$D13)/SUMIF(Assumptions!$G$3:$G$103,'non-road'!$F13,Assumptions!BS$3:BS$103)</f>
        <v>0</v>
      </c>
      <c r="W13" s="33">
        <f ca="1">SUMIFS(Assumptions!BT$3:BT$103,Assumptions!$G$3:$G$103,'non-road'!$F13,Assumptions!$B$3:$B$103,'non-road'!$D13)/SUMIF(Assumptions!$G$3:$G$103,'non-road'!$F13,Assumptions!BT$3:BT$103)</f>
        <v>0</v>
      </c>
      <c r="X13" s="33">
        <f ca="1">SUMIFS(Assumptions!BU$3:BU$103,Assumptions!$G$3:$G$103,'non-road'!$F13,Assumptions!$B$3:$B$103,'non-road'!$D13)/SUMIF(Assumptions!$G$3:$G$103,'non-road'!$F13,Assumptions!BU$3:BU$103)</f>
        <v>0</v>
      </c>
      <c r="Y13" s="33">
        <f ca="1">SUMIFS(Assumptions!BV$3:BV$103,Assumptions!$G$3:$G$103,'non-road'!$F13,Assumptions!$B$3:$B$103,'non-road'!$D13)/SUMIF(Assumptions!$G$3:$G$103,'non-road'!$F13,Assumptions!BV$3:BV$103)</f>
        <v>0</v>
      </c>
      <c r="Z13" s="33">
        <f ca="1">SUMIFS(Assumptions!BW$3:BW$103,Assumptions!$G$3:$G$103,'non-road'!$F13,Assumptions!$B$3:$B$103,'non-road'!$D13)/SUMIF(Assumptions!$G$3:$G$103,'non-road'!$F13,Assumptions!BW$3:BW$103)</f>
        <v>0</v>
      </c>
      <c r="AA13" s="33">
        <f ca="1">SUMIFS(Assumptions!BX$3:BX$103,Assumptions!$G$3:$G$103,'non-road'!$F13,Assumptions!$B$3:$B$103,'non-road'!$D13)/SUMIF(Assumptions!$G$3:$G$103,'non-road'!$F13,Assumptions!BX$3:BX$103)</f>
        <v>0</v>
      </c>
      <c r="AB13" s="33">
        <f ca="1">SUMIFS(Assumptions!BY$3:BY$103,Assumptions!$G$3:$G$103,'non-road'!$F13,Assumptions!$B$3:$B$103,'non-road'!$D13)/SUMIF(Assumptions!$G$3:$G$103,'non-road'!$F13,Assumptions!BY$3:BY$103)</f>
        <v>0</v>
      </c>
      <c r="AC13" s="33">
        <f ca="1">SUMIFS(Assumptions!BZ$3:BZ$103,Assumptions!$G$3:$G$103,'non-road'!$F13,Assumptions!$B$3:$B$103,'non-road'!$D13)/SUMIF(Assumptions!$G$3:$G$103,'non-road'!$F13,Assumptions!BZ$3:BZ$103)</f>
        <v>0</v>
      </c>
      <c r="AD13" s="33">
        <f ca="1">SUMIFS(Assumptions!CA$3:CA$103,Assumptions!$G$3:$G$103,'non-road'!$F13,Assumptions!$B$3:$B$103,'non-road'!$D13)/SUMIF(Assumptions!$G$3:$G$103,'non-road'!$F13,Assumptions!CA$3:CA$103)</f>
        <v>0</v>
      </c>
      <c r="AE13" s="33">
        <f ca="1">SUMIFS(Assumptions!CB$3:CB$103,Assumptions!$G$3:$G$103,'non-road'!$F13,Assumptions!$B$3:$B$103,'non-road'!$D13)/SUMIF(Assumptions!$G$3:$G$103,'non-road'!$F13,Assumptions!CB$3:CB$103)</f>
        <v>6.4288922615911878E-4</v>
      </c>
      <c r="AF13" s="33">
        <f ca="1">SUMIFS(Assumptions!CC$3:CC$103,Assumptions!$G$3:$G$103,'non-road'!$F13,Assumptions!$B$3:$B$103,'non-road'!$D13)/SUMIF(Assumptions!$G$3:$G$103,'non-road'!$F13,Assumptions!CC$3:CC$103)</f>
        <v>3.4766838681379577E-3</v>
      </c>
      <c r="AG13" s="33" t="e">
        <f ca="1">SUMIFS(Assumptions!CD$3:CD$103,Assumptions!$G$3:$G$103,'non-road'!$F13,Assumptions!$B$3:$B$103,'non-road'!$D13)/SUMIF(Assumptions!$G$3:$G$103,'non-road'!$F13,Assumptions!CD$3:CD$103)</f>
        <v>#DIV/0!</v>
      </c>
      <c r="AH13" s="33">
        <f ca="1">SUMIFS(Assumptions!CE$3:CE$103,Assumptions!$G$3:$G$103,'non-road'!$F13,Assumptions!$B$3:$B$103,'non-road'!$D13)/SUMIF(Assumptions!$G$3:$G$103,'non-road'!$F13,Assumptions!CE$3:CE$103)</f>
        <v>6.9198477081452089E-2</v>
      </c>
      <c r="AI13" s="33">
        <f ca="1">SUMIFS(Assumptions!CF$3:CF$103,Assumptions!$G$3:$G$103,'non-road'!$F13,Assumptions!$B$3:$B$103,'non-road'!$D13)/SUMIF(Assumptions!$G$3:$G$103,'non-road'!$F13,Assumptions!CF$3:CF$103)</f>
        <v>0</v>
      </c>
      <c r="AJ13" s="33">
        <f ca="1">SUMIFS(Assumptions!CG$3:CG$103,Assumptions!$G$3:$G$103,'non-road'!$F13,Assumptions!$B$3:$B$103,'non-road'!$D13)/SUMIF(Assumptions!$G$3:$G$103,'non-road'!$F13,Assumptions!CG$3:CG$103)</f>
        <v>0</v>
      </c>
      <c r="AK13" s="33">
        <f ca="1">SUMIFS(Assumptions!CH$3:CH$103,Assumptions!$G$3:$G$103,'non-road'!$F13,Assumptions!$B$3:$B$103,'non-road'!$D13)/SUMIF(Assumptions!$G$3:$G$103,'non-road'!$F13,Assumptions!CH$3:CH$103)</f>
        <v>0</v>
      </c>
      <c r="AL13" s="33">
        <f ca="1">SUMIFS(Assumptions!CI$3:CI$103,Assumptions!$G$3:$G$103,'non-road'!$F13,Assumptions!$B$3:$B$103,'non-road'!$D13)/SUMIF(Assumptions!$G$3:$G$103,'non-road'!$F13,Assumptions!CI$3:CI$103)</f>
        <v>0</v>
      </c>
      <c r="AM13" s="33">
        <f ca="1">SUMIFS(Assumptions!CJ$3:CJ$103,Assumptions!$G$3:$G$103,'non-road'!$F13,Assumptions!$B$3:$B$103,'non-road'!$D13)/SUMIF(Assumptions!$G$3:$G$103,'non-road'!$F13,Assumptions!CJ$3:CJ$103)</f>
        <v>0</v>
      </c>
      <c r="AN13" s="33">
        <f ca="1">SUMIFS(Assumptions!CK$3:CK$103,Assumptions!$G$3:$G$103,'non-road'!$F13,Assumptions!$B$3:$B$103,'non-road'!$D13)/SUMIF(Assumptions!$G$3:$G$103,'non-road'!$F13,Assumptions!CK$3:CK$103)</f>
        <v>0</v>
      </c>
      <c r="AO13" s="33">
        <f ca="1">SUMIFS(Assumptions!CL$3:CL$103,Assumptions!$G$3:$G$103,'non-road'!$F13,Assumptions!$B$3:$B$103,'non-road'!$D13)/SUMIF(Assumptions!$G$3:$G$103,'non-road'!$F13,Assumptions!CL$3:CL$103)</f>
        <v>0</v>
      </c>
      <c r="AP13" s="33" t="e">
        <f ca="1">SUMIFS(Assumptions!CM$3:CM$103,Assumptions!$G$3:$G$103,'non-road'!$F13,Assumptions!$B$3:$B$103,'non-road'!$D13)/SUMIF(Assumptions!$G$3:$G$103,'non-road'!$F13,Assumptions!CM$3:CM$103)</f>
        <v>#DIV/0!</v>
      </c>
      <c r="AQ13" s="33" t="e">
        <f ca="1">SUMIFS(Assumptions!CN$3:CN$103,Assumptions!$G$3:$G$103,'non-road'!$F13,Assumptions!$B$3:$B$103,'non-road'!$D13)/SUMIF(Assumptions!$G$3:$G$103,'non-road'!$F13,Assumptions!CN$3:CN$103)</f>
        <v>#DIV/0!</v>
      </c>
      <c r="AR13" s="33" t="e">
        <f ca="1">SUMIFS(Assumptions!CO$3:CO$103,Assumptions!$G$3:$G$103,'non-road'!$F13,Assumptions!$B$3:$B$103,'non-road'!$D13)/SUMIF(Assumptions!$G$3:$G$103,'non-road'!$F13,Assumptions!CO$3:CO$103)</f>
        <v>#DIV/0!</v>
      </c>
      <c r="AS13" s="33" t="e">
        <f ca="1">SUMIFS(Assumptions!CP$3:CP$103,Assumptions!$G$3:$G$103,'non-road'!$F13,Assumptions!$B$3:$B$103,'non-road'!$D13)/SUMIF(Assumptions!$G$3:$G$103,'non-road'!$F13,Assumptions!CP$3:CP$103)</f>
        <v>#DIV/0!</v>
      </c>
      <c r="AT13" s="33" t="e">
        <f ca="1">SUMIFS(Assumptions!CQ$3:CQ$103,Assumptions!$G$3:$G$103,'non-road'!$F13,Assumptions!$B$3:$B$103,'non-road'!$D13)/SUMIF(Assumptions!$G$3:$G$103,'non-road'!$F13,Assumptions!CQ$3:CQ$103)</f>
        <v>#DIV/0!</v>
      </c>
      <c r="AU13" s="33" t="e">
        <f ca="1">SUMIFS(Assumptions!CR$3:CR$103,Assumptions!$G$3:$G$103,'non-road'!$F13,Assumptions!$B$3:$B$103,'non-road'!$D13)/SUMIF(Assumptions!$G$3:$G$103,'non-road'!$F13,Assumptions!CR$3:CR$103)</f>
        <v>#DIV/0!</v>
      </c>
      <c r="AV13" s="33" t="e">
        <f ca="1">SUMIFS(Assumptions!CS$3:CS$103,Assumptions!$G$3:$G$103,'non-road'!$F13,Assumptions!$B$3:$B$103,'non-road'!$D13)/SUMIF(Assumptions!$G$3:$G$103,'non-road'!$F13,Assumptions!CS$3:CS$103)</f>
        <v>#DIV/0!</v>
      </c>
      <c r="AW13" s="33" t="e">
        <f ca="1">SUMIFS(Assumptions!CT$3:CT$103,Assumptions!$G$3:$G$103,'non-road'!$F13,Assumptions!$B$3:$B$103,'non-road'!$D13)/SUMIF(Assumptions!$G$3:$G$103,'non-road'!$F13,Assumptions!CT$3:CT$103)</f>
        <v>#DIV/0!</v>
      </c>
      <c r="AX13" s="33" t="e">
        <f ca="1">SUMIFS(Assumptions!CU$3:CU$103,Assumptions!$G$3:$G$103,'non-road'!$F13,Assumptions!$B$3:$B$103,'non-road'!$D13)/SUMIF(Assumptions!$G$3:$G$103,'non-road'!$F13,Assumptions!CU$3:CU$103)</f>
        <v>#DIV/0!</v>
      </c>
      <c r="AY13" s="33" t="e">
        <f ca="1">SUMIFS(Assumptions!CV$3:CV$103,Assumptions!$G$3:$G$103,'non-road'!$F13,Assumptions!$B$3:$B$103,'non-road'!$D13)/SUMIF(Assumptions!$G$3:$G$103,'non-road'!$F13,Assumptions!CV$3:CV$103)</f>
        <v>#DIV/0!</v>
      </c>
      <c r="AZ13" s="33" t="e">
        <f ca="1">SUMIFS(Assumptions!CW$3:CW$103,Assumptions!$G$3:$G$103,'non-road'!$F13,Assumptions!$B$3:$B$103,'non-road'!$D13)/SUMIF(Assumptions!$G$3:$G$103,'non-road'!$F13,Assumptions!CW$3:CW$103)</f>
        <v>#DIV/0!</v>
      </c>
      <c r="BA13" s="34"/>
      <c r="BB13" s="33"/>
      <c r="BC13" s="33"/>
      <c r="BD13" s="27" t="str">
        <f t="shared" si="55"/>
        <v>\I:</v>
      </c>
      <c r="BE13" s="33">
        <f>VLOOKUP($F13,Assumptions!$E$152:$BC$157,COLUMN()-COLUMN($BC$4),FALSE)</f>
        <v>1</v>
      </c>
      <c r="BF13" s="33">
        <f>VLOOKUP($F13,Assumptions!$E$152:$BC$157,COLUMN()-COLUMN($BC$4),FALSE)</f>
        <v>1</v>
      </c>
      <c r="BG13" s="33">
        <f>VLOOKUP($F13,Assumptions!$E$152:$BC$157,COLUMN()-COLUMN($BC$4),FALSE)</f>
        <v>1</v>
      </c>
      <c r="BH13" s="33">
        <f>VLOOKUP($F13,Assumptions!$E$152:$BC$157,COLUMN()-COLUMN($BC$4),FALSE)</f>
        <v>1</v>
      </c>
      <c r="BI13" s="33">
        <f>VLOOKUP($F13,Assumptions!$E$152:$BC$157,COLUMN()-COLUMN($BC$4),FALSE)</f>
        <v>1</v>
      </c>
      <c r="BJ13" s="33">
        <f>VLOOKUP($F13,Assumptions!$E$152:$BC$157,COLUMN()-COLUMN($BC$4),FALSE)</f>
        <v>1</v>
      </c>
      <c r="BK13" s="33">
        <f>VLOOKUP($F13,Assumptions!$E$152:$BC$157,COLUMN()-COLUMN($BC$4),FALSE)</f>
        <v>1</v>
      </c>
      <c r="BL13" s="33">
        <f>VLOOKUP($F13,Assumptions!$E$152:$BC$157,COLUMN()-COLUMN($BC$4),FALSE)</f>
        <v>1</v>
      </c>
      <c r="BM13" s="33">
        <f>VLOOKUP($F13,Assumptions!$E$152:$BC$157,COLUMN()-COLUMN($BC$4),FALSE)</f>
        <v>1</v>
      </c>
      <c r="BN13" s="33">
        <f>VLOOKUP($F13,Assumptions!$E$152:$BC$157,COLUMN()-COLUMN($BC$4),FALSE)</f>
        <v>1</v>
      </c>
      <c r="BO13" s="33">
        <f>VLOOKUP($F13,Assumptions!$E$152:$BC$157,COLUMN()-COLUMN($BC$4),FALSE)</f>
        <v>1</v>
      </c>
      <c r="BP13" s="33">
        <f>VLOOKUP($F13,Assumptions!$E$152:$BC$157,COLUMN()-COLUMN($BC$4),FALSE)</f>
        <v>1</v>
      </c>
      <c r="BQ13" s="33">
        <f>VLOOKUP($F13,Assumptions!$E$152:$BC$157,COLUMN()-COLUMN($BC$4),FALSE)</f>
        <v>1</v>
      </c>
      <c r="BR13" s="33">
        <f>VLOOKUP($F13,Assumptions!$E$152:$BC$157,COLUMN()-COLUMN($BC$4),FALSE)</f>
        <v>1</v>
      </c>
      <c r="BS13" s="33">
        <f>VLOOKUP($F13,Assumptions!$E$152:$BC$157,COLUMN()-COLUMN($BC$4),FALSE)</f>
        <v>1</v>
      </c>
      <c r="BT13" s="33">
        <f>VLOOKUP($F13,Assumptions!$E$152:$BC$157,COLUMN()-COLUMN($BC$4),FALSE)</f>
        <v>1</v>
      </c>
      <c r="BU13" s="33">
        <f>VLOOKUP($F13,Assumptions!$E$152:$BC$157,COLUMN()-COLUMN($BC$4),FALSE)</f>
        <v>1</v>
      </c>
      <c r="BV13" s="33">
        <f>VLOOKUP($F13,Assumptions!$E$152:$BC$157,COLUMN()-COLUMN($BC$4),FALSE)</f>
        <v>1</v>
      </c>
      <c r="BW13" s="33">
        <f>VLOOKUP($F13,Assumptions!$E$152:$BC$157,COLUMN()-COLUMN($BC$4),FALSE)</f>
        <v>1</v>
      </c>
      <c r="BX13" s="33">
        <f>VLOOKUP($F13,Assumptions!$E$152:$BC$157,COLUMN()-COLUMN($BC$4),FALSE)</f>
        <v>1</v>
      </c>
      <c r="BY13" s="33">
        <f>VLOOKUP($F13,Assumptions!$E$152:$BC$157,COLUMN()-COLUMN($BC$4),FALSE)</f>
        <v>1</v>
      </c>
      <c r="BZ13" s="33">
        <f>VLOOKUP($F13,Assumptions!$E$152:$BC$157,COLUMN()-COLUMN($BC$4),FALSE)</f>
        <v>1</v>
      </c>
      <c r="CA13" s="33">
        <f>VLOOKUP($F13,Assumptions!$E$152:$BC$157,COLUMN()-COLUMN($BC$4),FALSE)</f>
        <v>1</v>
      </c>
      <c r="CB13" s="33">
        <f>VLOOKUP($F13,Assumptions!$E$152:$BC$157,COLUMN()-COLUMN($BC$4),FALSE)</f>
        <v>1</v>
      </c>
      <c r="CC13" s="33">
        <f>VLOOKUP($F13,Assumptions!$E$152:$BC$157,COLUMN()-COLUMN($BC$4),FALSE)</f>
        <v>1</v>
      </c>
      <c r="CD13" s="33">
        <f>VLOOKUP($F13,Assumptions!$E$152:$BC$157,COLUMN()-COLUMN($BC$4),FALSE)</f>
        <v>1</v>
      </c>
      <c r="CE13" s="33">
        <f>VLOOKUP($F13,Assumptions!$E$152:$BC$157,COLUMN()-COLUMN($BC$4),FALSE)</f>
        <v>1</v>
      </c>
      <c r="CF13" s="33">
        <f>VLOOKUP($F13,Assumptions!$E$152:$BC$157,COLUMN()-COLUMN($BC$4),FALSE)</f>
        <v>1</v>
      </c>
      <c r="CG13" s="33">
        <f>VLOOKUP($F13,Assumptions!$E$152:$BC$157,COLUMN()-COLUMN($BC$4),FALSE)</f>
        <v>1</v>
      </c>
      <c r="CH13" s="33">
        <f>VLOOKUP($F13,Assumptions!$E$152:$BC$157,COLUMN()-COLUMN($BC$4),FALSE)</f>
        <v>1</v>
      </c>
      <c r="CI13" s="33">
        <f>VLOOKUP($F13,Assumptions!$E$152:$BC$157,COLUMN()-COLUMN($BC$4),FALSE)</f>
        <v>1</v>
      </c>
      <c r="CJ13" s="33">
        <f>VLOOKUP($F13,Assumptions!$E$152:$BC$157,COLUMN()-COLUMN($BC$4),FALSE)</f>
        <v>1</v>
      </c>
      <c r="CK13" s="33">
        <f>VLOOKUP($F13,Assumptions!$E$152:$BC$157,COLUMN()-COLUMN($BC$4),FALSE)</f>
        <v>1</v>
      </c>
      <c r="CL13" s="33">
        <f>VLOOKUP($F13,Assumptions!$E$152:$BC$157,COLUMN()-COLUMN($BC$4),FALSE)</f>
        <v>1</v>
      </c>
      <c r="CM13" s="33">
        <f>VLOOKUP($F13,Assumptions!$E$152:$BC$157,COLUMN()-COLUMN($BC$4),FALSE)</f>
        <v>1</v>
      </c>
      <c r="CN13" s="33">
        <f>VLOOKUP($F13,Assumptions!$E$152:$BC$157,COLUMN()-COLUMN($BC$4),FALSE)</f>
        <v>1</v>
      </c>
      <c r="CO13" s="33">
        <f>VLOOKUP($F13,Assumptions!$E$152:$BC$157,COLUMN()-COLUMN($BC$4),FALSE)</f>
        <v>1</v>
      </c>
      <c r="CP13" s="33">
        <f>VLOOKUP($F13,Assumptions!$E$152:$BC$157,COLUMN()-COLUMN($BC$4),FALSE)</f>
        <v>1</v>
      </c>
      <c r="CQ13" s="33">
        <f>VLOOKUP($F13,Assumptions!$E$152:$BC$157,COLUMN()-COLUMN($BC$4),FALSE)</f>
        <v>1</v>
      </c>
      <c r="CR13" s="33">
        <f>VLOOKUP($F13,Assumptions!$E$152:$BC$157,COLUMN()-COLUMN($BC$4),FALSE)</f>
        <v>1</v>
      </c>
      <c r="CS13" s="33">
        <f>VLOOKUP($F13,Assumptions!$E$152:$BC$157,COLUMN()-COLUMN($BC$4),FALSE)</f>
        <v>1</v>
      </c>
      <c r="CT13" s="33">
        <f>VLOOKUP($F13,Assumptions!$E$152:$BC$157,COLUMN()-COLUMN($BC$4),FALSE)</f>
        <v>1</v>
      </c>
      <c r="CU13" s="33">
        <f>VLOOKUP($F13,Assumptions!$E$152:$BC$157,COLUMN()-COLUMN($BC$4),FALSE)</f>
        <v>1</v>
      </c>
      <c r="CV13" s="33">
        <f>VLOOKUP($F13,Assumptions!$E$152:$BC$157,COLUMN()-COLUMN($BC$4),FALSE)</f>
        <v>1</v>
      </c>
      <c r="CW13" s="33">
        <f>VLOOKUP($F13,Assumptions!$E$152:$BC$157,COLUMN()-COLUMN($BC$4),FALSE)</f>
        <v>1</v>
      </c>
      <c r="CX13" s="33">
        <f>VLOOKUP($F13,Assumptions!$E$152:$BC$157,COLUMN()-COLUMN($BC$4),FALSE)</f>
        <v>1</v>
      </c>
      <c r="CY13" s="27"/>
      <c r="CZ13" s="27"/>
      <c r="DA13" s="27" t="str">
        <f t="shared" si="56"/>
        <v>TTP</v>
      </c>
      <c r="DB13" s="33">
        <f t="shared" ref="DB13" ca="1" si="58">IFERROR(DB4/DB$20,"")</f>
        <v>3.7272436680648915E-3</v>
      </c>
      <c r="DC13" s="33">
        <f t="shared" ref="DC13:EU13" ca="1" si="59">IFERROR(DC4/DC$20,"")</f>
        <v>1.6764190405471721E-3</v>
      </c>
      <c r="DD13" s="33">
        <f t="shared" ca="1" si="59"/>
        <v>2.3303637053040425E-2</v>
      </c>
      <c r="DE13" s="33">
        <f t="shared" ca="1" si="59"/>
        <v>2.07845187333092E-2</v>
      </c>
      <c r="DF13" s="33">
        <f t="shared" ca="1" si="59"/>
        <v>5.2319263989436303E-3</v>
      </c>
      <c r="DG13" s="33">
        <f t="shared" ca="1" si="59"/>
        <v>1.0168238959439748E-2</v>
      </c>
      <c r="DH13" s="33">
        <f t="shared" ca="1" si="59"/>
        <v>6.1405441236582238E-3</v>
      </c>
      <c r="DI13" s="33">
        <f t="shared" ca="1" si="59"/>
        <v>1.532322791942897E-2</v>
      </c>
      <c r="DJ13" s="33">
        <f t="shared" ca="1" si="59"/>
        <v>1.1540661720639254E-2</v>
      </c>
      <c r="DK13" s="33">
        <f t="shared" ca="1" si="59"/>
        <v>1.543774636679514E-2</v>
      </c>
      <c r="DL13" s="33">
        <f t="shared" ca="1" si="59"/>
        <v>1.3784119050099986E-2</v>
      </c>
      <c r="DM13" s="33">
        <f t="shared" ca="1" si="59"/>
        <v>1.2955660991111511E-2</v>
      </c>
      <c r="DN13" s="33">
        <f t="shared" ca="1" si="59"/>
        <v>2.60220728919621E-3</v>
      </c>
      <c r="DO13" s="33">
        <f t="shared" ca="1" si="59"/>
        <v>1.3050802639631603E-2</v>
      </c>
      <c r="DP13" s="33">
        <f t="shared" ca="1" si="59"/>
        <v>0</v>
      </c>
      <c r="DQ13" s="33">
        <f t="shared" ca="1" si="59"/>
        <v>1.2365878063710686E-2</v>
      </c>
      <c r="DR13" s="33">
        <f t="shared" ca="1" si="59"/>
        <v>1.1579584637642863E-3</v>
      </c>
      <c r="DS13" s="33">
        <f t="shared" ca="1" si="59"/>
        <v>1.1546838472494358E-2</v>
      </c>
      <c r="DT13" s="33">
        <f t="shared" ca="1" si="59"/>
        <v>1.5232430964585538E-2</v>
      </c>
      <c r="DU13" s="33">
        <f t="shared" ca="1" si="59"/>
        <v>1.4478945038696196E-3</v>
      </c>
      <c r="DV13" s="33">
        <f t="shared" ca="1" si="59"/>
        <v>2.639842740236912E-4</v>
      </c>
      <c r="DW13" s="33">
        <f t="shared" ca="1" si="59"/>
        <v>2.9015072437618924E-3</v>
      </c>
      <c r="DX13" s="33">
        <f t="shared" ca="1" si="59"/>
        <v>8.1757207888847865E-3</v>
      </c>
      <c r="DY13" s="33">
        <f t="shared" ca="1" si="59"/>
        <v>1.1473579215989842E-2</v>
      </c>
      <c r="DZ13" s="33">
        <f t="shared" ca="1" si="59"/>
        <v>4.6043349893729341E-3</v>
      </c>
      <c r="EA13" s="33">
        <f t="shared" ca="1" si="59"/>
        <v>7.0043130486347513E-2</v>
      </c>
      <c r="EB13" s="33">
        <f t="shared" ca="1" si="59"/>
        <v>0</v>
      </c>
      <c r="EC13" s="33">
        <f t="shared" ca="1" si="59"/>
        <v>1.5439302344921477E-2</v>
      </c>
      <c r="ED13" s="33">
        <f t="shared" ca="1" si="59"/>
        <v>8.829858962039536E-3</v>
      </c>
      <c r="EE13" s="33">
        <f t="shared" ca="1" si="59"/>
        <v>1.6736618511597245E-2</v>
      </c>
      <c r="EF13" s="33">
        <f t="shared" ca="1" si="59"/>
        <v>2.6753246634774797E-2</v>
      </c>
      <c r="EG13" s="33">
        <f t="shared" ca="1" si="59"/>
        <v>3.6494932761410785E-3</v>
      </c>
      <c r="EH13" s="33">
        <f t="shared" ca="1" si="59"/>
        <v>9.7557544816814189E-3</v>
      </c>
      <c r="EI13" s="33">
        <f t="shared" ca="1" si="59"/>
        <v>4.0443662027120908E-2</v>
      </c>
      <c r="EJ13" s="33">
        <f t="shared" ca="1" si="59"/>
        <v>8.4437490989501991E-3</v>
      </c>
      <c r="EK13" s="33">
        <f t="shared" ca="1" si="59"/>
        <v>0</v>
      </c>
      <c r="EL13" s="33">
        <f t="shared" ca="1" si="59"/>
        <v>0</v>
      </c>
      <c r="EM13" s="33">
        <f t="shared" ca="1" si="59"/>
        <v>0</v>
      </c>
      <c r="EN13" s="33">
        <f t="shared" ca="1" si="59"/>
        <v>0</v>
      </c>
      <c r="EO13" s="33">
        <f t="shared" ca="1" si="59"/>
        <v>0</v>
      </c>
      <c r="EP13" s="33">
        <f t="shared" ca="1" si="59"/>
        <v>0</v>
      </c>
      <c r="EQ13" s="33">
        <f t="shared" ca="1" si="59"/>
        <v>0</v>
      </c>
      <c r="ER13" s="33">
        <f t="shared" ca="1" si="59"/>
        <v>0</v>
      </c>
      <c r="ES13" s="33">
        <f t="shared" ca="1" si="59"/>
        <v>0</v>
      </c>
      <c r="ET13" s="33">
        <f t="shared" ca="1" si="59"/>
        <v>0</v>
      </c>
      <c r="EU13" s="33" t="str">
        <f t="shared" ca="1" si="59"/>
        <v/>
      </c>
      <c r="EV13" s="27"/>
      <c r="EW13" s="27" t="str">
        <f t="shared" si="48"/>
        <v>\I:</v>
      </c>
      <c r="EX13" s="27" t="str">
        <f t="shared" si="51"/>
        <v/>
      </c>
      <c r="EY13" s="27" t="s">
        <v>169</v>
      </c>
      <c r="EZ13" s="27" t="s">
        <v>160</v>
      </c>
      <c r="FA13" s="27" t="s">
        <v>161</v>
      </c>
      <c r="FB13" s="27"/>
      <c r="FC13" s="27"/>
      <c r="FD13" s="27"/>
    </row>
    <row r="14" spans="1:160">
      <c r="A14" s="27" t="s">
        <v>36</v>
      </c>
      <c r="B14" s="27"/>
      <c r="C14" s="27" t="str">
        <f t="shared" si="54"/>
        <v/>
      </c>
      <c r="D14" s="27" t="s">
        <v>45</v>
      </c>
      <c r="E14" s="27"/>
      <c r="F14" s="27" t="s">
        <v>57</v>
      </c>
      <c r="G14" s="33">
        <f ca="1">SUMIFS(Assumptions!BD$3:BD$103,Assumptions!$G$3:$G$103,'non-road'!$F14,Assumptions!$B$3:$B$103,'non-road'!$D14)/SUMIF(Assumptions!$G$3:$G$103,'non-road'!$F14,Assumptions!BD$3:BD$103)</f>
        <v>0.16909056331351763</v>
      </c>
      <c r="H14" s="33">
        <f ca="1">SUMIFS(Assumptions!BE$3:BE$103,Assumptions!$G$3:$G$103,'non-road'!$F14,Assumptions!$B$3:$B$103,'non-road'!$D14)/SUMIF(Assumptions!$G$3:$G$103,'non-road'!$F14,Assumptions!BE$3:BE$103)</f>
        <v>0</v>
      </c>
      <c r="I14" s="33">
        <f ca="1">SUMIFS(Assumptions!BF$3:BF$103,Assumptions!$G$3:$G$103,'non-road'!$F14,Assumptions!$B$3:$B$103,'non-road'!$D14)/SUMIF(Assumptions!$G$3:$G$103,'non-road'!$F14,Assumptions!BF$3:BF$103)</f>
        <v>0</v>
      </c>
      <c r="J14" s="33">
        <f ca="1">SUMIFS(Assumptions!BG$3:BG$103,Assumptions!$G$3:$G$103,'non-road'!$F14,Assumptions!$B$3:$B$103,'non-road'!$D14)/SUMIF(Assumptions!$G$3:$G$103,'non-road'!$F14,Assumptions!BG$3:BG$103)</f>
        <v>0</v>
      </c>
      <c r="K14" s="33">
        <f ca="1">SUMIFS(Assumptions!BH$3:BH$103,Assumptions!$G$3:$G$103,'non-road'!$F14,Assumptions!$B$3:$B$103,'non-road'!$D14)/SUMIF(Assumptions!$G$3:$G$103,'non-road'!$F14,Assumptions!BH$3:BH$103)</f>
        <v>0</v>
      </c>
      <c r="L14" s="33">
        <f ca="1">SUMIFS(Assumptions!BI$3:BI$103,Assumptions!$G$3:$G$103,'non-road'!$F14,Assumptions!$B$3:$B$103,'non-road'!$D14)/SUMIF(Assumptions!$G$3:$G$103,'non-road'!$F14,Assumptions!BI$3:BI$103)</f>
        <v>0</v>
      </c>
      <c r="M14" s="33">
        <f ca="1">SUMIFS(Assumptions!BJ$3:BJ$103,Assumptions!$G$3:$G$103,'non-road'!$F14,Assumptions!$B$3:$B$103,'non-road'!$D14)/SUMIF(Assumptions!$G$3:$G$103,'non-road'!$F14,Assumptions!BJ$3:BJ$103)</f>
        <v>0</v>
      </c>
      <c r="N14" s="33">
        <f ca="1">SUMIFS(Assumptions!BK$3:BK$103,Assumptions!$G$3:$G$103,'non-road'!$F14,Assumptions!$B$3:$B$103,'non-road'!$D14)/SUMIF(Assumptions!$G$3:$G$103,'non-road'!$F14,Assumptions!BK$3:BK$103)</f>
        <v>0</v>
      </c>
      <c r="O14" s="33">
        <f ca="1">SUMIFS(Assumptions!BL$3:BL$103,Assumptions!$G$3:$G$103,'non-road'!$F14,Assumptions!$B$3:$B$103,'non-road'!$D14)/SUMIF(Assumptions!$G$3:$G$103,'non-road'!$F14,Assumptions!BL$3:BL$103)</f>
        <v>0</v>
      </c>
      <c r="P14" s="33">
        <f ca="1">SUMIFS(Assumptions!BM$3:BM$103,Assumptions!$G$3:$G$103,'non-road'!$F14,Assumptions!$B$3:$B$103,'non-road'!$D14)/SUMIF(Assumptions!$G$3:$G$103,'non-road'!$F14,Assumptions!BM$3:BM$103)</f>
        <v>0</v>
      </c>
      <c r="Q14" s="33">
        <f ca="1">SUMIFS(Assumptions!BN$3:BN$103,Assumptions!$G$3:$G$103,'non-road'!$F14,Assumptions!$B$3:$B$103,'non-road'!$D14)/SUMIF(Assumptions!$G$3:$G$103,'non-road'!$F14,Assumptions!BN$3:BN$103)</f>
        <v>0</v>
      </c>
      <c r="R14" s="33">
        <f ca="1">SUMIFS(Assumptions!BO$3:BO$103,Assumptions!$G$3:$G$103,'non-road'!$F14,Assumptions!$B$3:$B$103,'non-road'!$D14)/SUMIF(Assumptions!$G$3:$G$103,'non-road'!$F14,Assumptions!BO$3:BO$103)</f>
        <v>0</v>
      </c>
      <c r="S14" s="33">
        <f ca="1">SUMIFS(Assumptions!BP$3:BP$103,Assumptions!$G$3:$G$103,'non-road'!$F14,Assumptions!$B$3:$B$103,'non-road'!$D14)/SUMIF(Assumptions!$G$3:$G$103,'non-road'!$F14,Assumptions!BP$3:BP$103)</f>
        <v>0</v>
      </c>
      <c r="T14" s="33">
        <f ca="1">SUMIFS(Assumptions!BQ$3:BQ$103,Assumptions!$G$3:$G$103,'non-road'!$F14,Assumptions!$B$3:$B$103,'non-road'!$D14)/SUMIF(Assumptions!$G$3:$G$103,'non-road'!$F14,Assumptions!BQ$3:BQ$103)</f>
        <v>0</v>
      </c>
      <c r="U14" s="33" t="e">
        <f ca="1">SUMIFS(Assumptions!BR$3:BR$103,Assumptions!$G$3:$G$103,'non-road'!$F14,Assumptions!$B$3:$B$103,'non-road'!$D14)/SUMIF(Assumptions!$G$3:$G$103,'non-road'!$F14,Assumptions!BR$3:BR$103)</f>
        <v>#DIV/0!</v>
      </c>
      <c r="V14" s="33">
        <f ca="1">SUMIFS(Assumptions!BS$3:BS$103,Assumptions!$G$3:$G$103,'non-road'!$F14,Assumptions!$B$3:$B$103,'non-road'!$D14)/SUMIF(Assumptions!$G$3:$G$103,'non-road'!$F14,Assumptions!BS$3:BS$103)</f>
        <v>0</v>
      </c>
      <c r="W14" s="33">
        <f ca="1">SUMIFS(Assumptions!BT$3:BT$103,Assumptions!$G$3:$G$103,'non-road'!$F14,Assumptions!$B$3:$B$103,'non-road'!$D14)/SUMIF(Assumptions!$G$3:$G$103,'non-road'!$F14,Assumptions!BT$3:BT$103)</f>
        <v>0</v>
      </c>
      <c r="X14" s="33">
        <f ca="1">SUMIFS(Assumptions!BU$3:BU$103,Assumptions!$G$3:$G$103,'non-road'!$F14,Assumptions!$B$3:$B$103,'non-road'!$D14)/SUMIF(Assumptions!$G$3:$G$103,'non-road'!$F14,Assumptions!BU$3:BU$103)</f>
        <v>0</v>
      </c>
      <c r="Y14" s="33">
        <f ca="1">SUMIFS(Assumptions!BV$3:BV$103,Assumptions!$G$3:$G$103,'non-road'!$F14,Assumptions!$B$3:$B$103,'non-road'!$D14)/SUMIF(Assumptions!$G$3:$G$103,'non-road'!$F14,Assumptions!BV$3:BV$103)</f>
        <v>0</v>
      </c>
      <c r="Z14" s="33">
        <f ca="1">SUMIFS(Assumptions!BW$3:BW$103,Assumptions!$G$3:$G$103,'non-road'!$F14,Assumptions!$B$3:$B$103,'non-road'!$D14)/SUMIF(Assumptions!$G$3:$G$103,'non-road'!$F14,Assumptions!BW$3:BW$103)</f>
        <v>0</v>
      </c>
      <c r="AA14" s="33">
        <f ca="1">SUMIFS(Assumptions!BX$3:BX$103,Assumptions!$G$3:$G$103,'non-road'!$F14,Assumptions!$B$3:$B$103,'non-road'!$D14)/SUMIF(Assumptions!$G$3:$G$103,'non-road'!$F14,Assumptions!BX$3:BX$103)</f>
        <v>0</v>
      </c>
      <c r="AB14" s="33">
        <f ca="1">SUMIFS(Assumptions!BY$3:BY$103,Assumptions!$G$3:$G$103,'non-road'!$F14,Assumptions!$B$3:$B$103,'non-road'!$D14)/SUMIF(Assumptions!$G$3:$G$103,'non-road'!$F14,Assumptions!BY$3:BY$103)</f>
        <v>0</v>
      </c>
      <c r="AC14" s="33">
        <f ca="1">SUMIFS(Assumptions!BZ$3:BZ$103,Assumptions!$G$3:$G$103,'non-road'!$F14,Assumptions!$B$3:$B$103,'non-road'!$D14)/SUMIF(Assumptions!$G$3:$G$103,'non-road'!$F14,Assumptions!BZ$3:BZ$103)</f>
        <v>0</v>
      </c>
      <c r="AD14" s="33">
        <f ca="1">SUMIFS(Assumptions!CA$3:CA$103,Assumptions!$G$3:$G$103,'non-road'!$F14,Assumptions!$B$3:$B$103,'non-road'!$D14)/SUMIF(Assumptions!$G$3:$G$103,'non-road'!$F14,Assumptions!CA$3:CA$103)</f>
        <v>0</v>
      </c>
      <c r="AE14" s="33">
        <f ca="1">SUMIFS(Assumptions!CB$3:CB$103,Assumptions!$G$3:$G$103,'non-road'!$F14,Assumptions!$B$3:$B$103,'non-road'!$D14)/SUMIF(Assumptions!$G$3:$G$103,'non-road'!$F14,Assumptions!CB$3:CB$103)</f>
        <v>3.4685480404614632E-5</v>
      </c>
      <c r="AF14" s="33">
        <f ca="1">SUMIFS(Assumptions!CC$3:CC$103,Assumptions!$G$3:$G$103,'non-road'!$F14,Assumptions!$B$3:$B$103,'non-road'!$D14)/SUMIF(Assumptions!$G$3:$G$103,'non-road'!$F14,Assumptions!CC$3:CC$103)</f>
        <v>5.0661984685524459E-5</v>
      </c>
      <c r="AG14" s="33" t="e">
        <f ca="1">SUMIFS(Assumptions!CD$3:CD$103,Assumptions!$G$3:$G$103,'non-road'!$F14,Assumptions!$B$3:$B$103,'non-road'!$D14)/SUMIF(Assumptions!$G$3:$G$103,'non-road'!$F14,Assumptions!CD$3:CD$103)</f>
        <v>#DIV/0!</v>
      </c>
      <c r="AH14" s="33">
        <f ca="1">SUMIFS(Assumptions!CE$3:CE$103,Assumptions!$G$3:$G$103,'non-road'!$F14,Assumptions!$B$3:$B$103,'non-road'!$D14)/SUMIF(Assumptions!$G$3:$G$103,'non-road'!$F14,Assumptions!CE$3:CE$103)</f>
        <v>9.5950342348148074E-2</v>
      </c>
      <c r="AI14" s="33">
        <f ca="1">SUMIFS(Assumptions!CF$3:CF$103,Assumptions!$G$3:$G$103,'non-road'!$F14,Assumptions!$B$3:$B$103,'non-road'!$D14)/SUMIF(Assumptions!$G$3:$G$103,'non-road'!$F14,Assumptions!CF$3:CF$103)</f>
        <v>0</v>
      </c>
      <c r="AJ14" s="33">
        <f ca="1">SUMIFS(Assumptions!CG$3:CG$103,Assumptions!$G$3:$G$103,'non-road'!$F14,Assumptions!$B$3:$B$103,'non-road'!$D14)/SUMIF(Assumptions!$G$3:$G$103,'non-road'!$F14,Assumptions!CG$3:CG$103)</f>
        <v>0</v>
      </c>
      <c r="AK14" s="33">
        <f ca="1">SUMIFS(Assumptions!CH$3:CH$103,Assumptions!$G$3:$G$103,'non-road'!$F14,Assumptions!$B$3:$B$103,'non-road'!$D14)/SUMIF(Assumptions!$G$3:$G$103,'non-road'!$F14,Assumptions!CH$3:CH$103)</f>
        <v>0</v>
      </c>
      <c r="AL14" s="33">
        <f ca="1">SUMIFS(Assumptions!CI$3:CI$103,Assumptions!$G$3:$G$103,'non-road'!$F14,Assumptions!$B$3:$B$103,'non-road'!$D14)/SUMIF(Assumptions!$G$3:$G$103,'non-road'!$F14,Assumptions!CI$3:CI$103)</f>
        <v>0</v>
      </c>
      <c r="AM14" s="33">
        <f ca="1">SUMIFS(Assumptions!CJ$3:CJ$103,Assumptions!$G$3:$G$103,'non-road'!$F14,Assumptions!$B$3:$B$103,'non-road'!$D14)/SUMIF(Assumptions!$G$3:$G$103,'non-road'!$F14,Assumptions!CJ$3:CJ$103)</f>
        <v>0</v>
      </c>
      <c r="AN14" s="33">
        <f ca="1">SUMIFS(Assumptions!CK$3:CK$103,Assumptions!$G$3:$G$103,'non-road'!$F14,Assumptions!$B$3:$B$103,'non-road'!$D14)/SUMIF(Assumptions!$G$3:$G$103,'non-road'!$F14,Assumptions!CK$3:CK$103)</f>
        <v>0</v>
      </c>
      <c r="AO14" s="33">
        <f ca="1">SUMIFS(Assumptions!CL$3:CL$103,Assumptions!$G$3:$G$103,'non-road'!$F14,Assumptions!$B$3:$B$103,'non-road'!$D14)/SUMIF(Assumptions!$G$3:$G$103,'non-road'!$F14,Assumptions!CL$3:CL$103)</f>
        <v>0</v>
      </c>
      <c r="AP14" s="33" t="e">
        <f ca="1">SUMIFS(Assumptions!CM$3:CM$103,Assumptions!$G$3:$G$103,'non-road'!$F14,Assumptions!$B$3:$B$103,'non-road'!$D14)/SUMIF(Assumptions!$G$3:$G$103,'non-road'!$F14,Assumptions!CM$3:CM$103)</f>
        <v>#DIV/0!</v>
      </c>
      <c r="AQ14" s="33" t="e">
        <f ca="1">SUMIFS(Assumptions!CN$3:CN$103,Assumptions!$G$3:$G$103,'non-road'!$F14,Assumptions!$B$3:$B$103,'non-road'!$D14)/SUMIF(Assumptions!$G$3:$G$103,'non-road'!$F14,Assumptions!CN$3:CN$103)</f>
        <v>#DIV/0!</v>
      </c>
      <c r="AR14" s="33" t="e">
        <f ca="1">SUMIFS(Assumptions!CO$3:CO$103,Assumptions!$G$3:$G$103,'non-road'!$F14,Assumptions!$B$3:$B$103,'non-road'!$D14)/SUMIF(Assumptions!$G$3:$G$103,'non-road'!$F14,Assumptions!CO$3:CO$103)</f>
        <v>#DIV/0!</v>
      </c>
      <c r="AS14" s="33" t="e">
        <f ca="1">SUMIFS(Assumptions!CP$3:CP$103,Assumptions!$G$3:$G$103,'non-road'!$F14,Assumptions!$B$3:$B$103,'non-road'!$D14)/SUMIF(Assumptions!$G$3:$G$103,'non-road'!$F14,Assumptions!CP$3:CP$103)</f>
        <v>#DIV/0!</v>
      </c>
      <c r="AT14" s="33" t="e">
        <f ca="1">SUMIFS(Assumptions!CQ$3:CQ$103,Assumptions!$G$3:$G$103,'non-road'!$F14,Assumptions!$B$3:$B$103,'non-road'!$D14)/SUMIF(Assumptions!$G$3:$G$103,'non-road'!$F14,Assumptions!CQ$3:CQ$103)</f>
        <v>#DIV/0!</v>
      </c>
      <c r="AU14" s="33" t="e">
        <f ca="1">SUMIFS(Assumptions!CR$3:CR$103,Assumptions!$G$3:$G$103,'non-road'!$F14,Assumptions!$B$3:$B$103,'non-road'!$D14)/SUMIF(Assumptions!$G$3:$G$103,'non-road'!$F14,Assumptions!CR$3:CR$103)</f>
        <v>#DIV/0!</v>
      </c>
      <c r="AV14" s="33" t="e">
        <f ca="1">SUMIFS(Assumptions!CS$3:CS$103,Assumptions!$G$3:$G$103,'non-road'!$F14,Assumptions!$B$3:$B$103,'non-road'!$D14)/SUMIF(Assumptions!$G$3:$G$103,'non-road'!$F14,Assumptions!CS$3:CS$103)</f>
        <v>#DIV/0!</v>
      </c>
      <c r="AW14" s="33" t="e">
        <f ca="1">SUMIFS(Assumptions!CT$3:CT$103,Assumptions!$G$3:$G$103,'non-road'!$F14,Assumptions!$B$3:$B$103,'non-road'!$D14)/SUMIF(Assumptions!$G$3:$G$103,'non-road'!$F14,Assumptions!CT$3:CT$103)</f>
        <v>#DIV/0!</v>
      </c>
      <c r="AX14" s="33" t="e">
        <f ca="1">SUMIFS(Assumptions!CU$3:CU$103,Assumptions!$G$3:$G$103,'non-road'!$F14,Assumptions!$B$3:$B$103,'non-road'!$D14)/SUMIF(Assumptions!$G$3:$G$103,'non-road'!$F14,Assumptions!CU$3:CU$103)</f>
        <v>#DIV/0!</v>
      </c>
      <c r="AY14" s="33" t="e">
        <f ca="1">SUMIFS(Assumptions!CV$3:CV$103,Assumptions!$G$3:$G$103,'non-road'!$F14,Assumptions!$B$3:$B$103,'non-road'!$D14)/SUMIF(Assumptions!$G$3:$G$103,'non-road'!$F14,Assumptions!CV$3:CV$103)</f>
        <v>#DIV/0!</v>
      </c>
      <c r="AZ14" s="33" t="e">
        <f ca="1">SUMIFS(Assumptions!CW$3:CW$103,Assumptions!$G$3:$G$103,'non-road'!$F14,Assumptions!$B$3:$B$103,'non-road'!$D14)/SUMIF(Assumptions!$G$3:$G$103,'non-road'!$F14,Assumptions!CW$3:CW$103)</f>
        <v>#DIV/0!</v>
      </c>
      <c r="BA14" s="34"/>
      <c r="BB14" s="33"/>
      <c r="BC14" s="33"/>
      <c r="BD14" s="27" t="str">
        <f t="shared" si="55"/>
        <v>\I:</v>
      </c>
      <c r="BE14" s="33">
        <f>VLOOKUP($F14,Assumptions!$E$152:$BC$157,COLUMN()-COLUMN($BC$4),FALSE)</f>
        <v>1</v>
      </c>
      <c r="BF14" s="33">
        <f>VLOOKUP($F14,Assumptions!$E$152:$BC$157,COLUMN()-COLUMN($BC$4),FALSE)</f>
        <v>1</v>
      </c>
      <c r="BG14" s="33">
        <f>VLOOKUP($F14,Assumptions!$E$152:$BC$157,COLUMN()-COLUMN($BC$4),FALSE)</f>
        <v>1</v>
      </c>
      <c r="BH14" s="33">
        <f>VLOOKUP($F14,Assumptions!$E$152:$BC$157,COLUMN()-COLUMN($BC$4),FALSE)</f>
        <v>1</v>
      </c>
      <c r="BI14" s="33">
        <f>VLOOKUP($F14,Assumptions!$E$152:$BC$157,COLUMN()-COLUMN($BC$4),FALSE)</f>
        <v>1</v>
      </c>
      <c r="BJ14" s="33">
        <f>VLOOKUP($F14,Assumptions!$E$152:$BC$157,COLUMN()-COLUMN($BC$4),FALSE)</f>
        <v>1</v>
      </c>
      <c r="BK14" s="33">
        <f>VLOOKUP($F14,Assumptions!$E$152:$BC$157,COLUMN()-COLUMN($BC$4),FALSE)</f>
        <v>1</v>
      </c>
      <c r="BL14" s="33">
        <f>VLOOKUP($F14,Assumptions!$E$152:$BC$157,COLUMN()-COLUMN($BC$4),FALSE)</f>
        <v>1</v>
      </c>
      <c r="BM14" s="33">
        <f>VLOOKUP($F14,Assumptions!$E$152:$BC$157,COLUMN()-COLUMN($BC$4),FALSE)</f>
        <v>1</v>
      </c>
      <c r="BN14" s="33">
        <f>VLOOKUP($F14,Assumptions!$E$152:$BC$157,COLUMN()-COLUMN($BC$4),FALSE)</f>
        <v>1</v>
      </c>
      <c r="BO14" s="33">
        <f>VLOOKUP($F14,Assumptions!$E$152:$BC$157,COLUMN()-COLUMN($BC$4),FALSE)</f>
        <v>1</v>
      </c>
      <c r="BP14" s="33">
        <f>VLOOKUP($F14,Assumptions!$E$152:$BC$157,COLUMN()-COLUMN($BC$4),FALSE)</f>
        <v>1</v>
      </c>
      <c r="BQ14" s="33">
        <f>VLOOKUP($F14,Assumptions!$E$152:$BC$157,COLUMN()-COLUMN($BC$4),FALSE)</f>
        <v>1</v>
      </c>
      <c r="BR14" s="33">
        <f>VLOOKUP($F14,Assumptions!$E$152:$BC$157,COLUMN()-COLUMN($BC$4),FALSE)</f>
        <v>1</v>
      </c>
      <c r="BS14" s="33">
        <f>VLOOKUP($F14,Assumptions!$E$152:$BC$157,COLUMN()-COLUMN($BC$4),FALSE)</f>
        <v>1</v>
      </c>
      <c r="BT14" s="33">
        <f>VLOOKUP($F14,Assumptions!$E$152:$BC$157,COLUMN()-COLUMN($BC$4),FALSE)</f>
        <v>1</v>
      </c>
      <c r="BU14" s="33">
        <f>VLOOKUP($F14,Assumptions!$E$152:$BC$157,COLUMN()-COLUMN($BC$4),FALSE)</f>
        <v>1</v>
      </c>
      <c r="BV14" s="33">
        <f>VLOOKUP($F14,Assumptions!$E$152:$BC$157,COLUMN()-COLUMN($BC$4),FALSE)</f>
        <v>1</v>
      </c>
      <c r="BW14" s="33">
        <f>VLOOKUP($F14,Assumptions!$E$152:$BC$157,COLUMN()-COLUMN($BC$4),FALSE)</f>
        <v>1</v>
      </c>
      <c r="BX14" s="33">
        <f>VLOOKUP($F14,Assumptions!$E$152:$BC$157,COLUMN()-COLUMN($BC$4),FALSE)</f>
        <v>1</v>
      </c>
      <c r="BY14" s="33">
        <f>VLOOKUP($F14,Assumptions!$E$152:$BC$157,COLUMN()-COLUMN($BC$4),FALSE)</f>
        <v>1</v>
      </c>
      <c r="BZ14" s="33">
        <f>VLOOKUP($F14,Assumptions!$E$152:$BC$157,COLUMN()-COLUMN($BC$4),FALSE)</f>
        <v>1</v>
      </c>
      <c r="CA14" s="33">
        <f>VLOOKUP($F14,Assumptions!$E$152:$BC$157,COLUMN()-COLUMN($BC$4),FALSE)</f>
        <v>1</v>
      </c>
      <c r="CB14" s="33">
        <f>VLOOKUP($F14,Assumptions!$E$152:$BC$157,COLUMN()-COLUMN($BC$4),FALSE)</f>
        <v>1</v>
      </c>
      <c r="CC14" s="33">
        <f>VLOOKUP($F14,Assumptions!$E$152:$BC$157,COLUMN()-COLUMN($BC$4),FALSE)</f>
        <v>1</v>
      </c>
      <c r="CD14" s="33">
        <f>VLOOKUP($F14,Assumptions!$E$152:$BC$157,COLUMN()-COLUMN($BC$4),FALSE)</f>
        <v>1</v>
      </c>
      <c r="CE14" s="33">
        <f>VLOOKUP($F14,Assumptions!$E$152:$BC$157,COLUMN()-COLUMN($BC$4),FALSE)</f>
        <v>1</v>
      </c>
      <c r="CF14" s="33">
        <f>VLOOKUP($F14,Assumptions!$E$152:$BC$157,COLUMN()-COLUMN($BC$4),FALSE)</f>
        <v>1</v>
      </c>
      <c r="CG14" s="33">
        <f>VLOOKUP($F14,Assumptions!$E$152:$BC$157,COLUMN()-COLUMN($BC$4),FALSE)</f>
        <v>1</v>
      </c>
      <c r="CH14" s="33">
        <f>VLOOKUP($F14,Assumptions!$E$152:$BC$157,COLUMN()-COLUMN($BC$4),FALSE)</f>
        <v>1</v>
      </c>
      <c r="CI14" s="33">
        <f>VLOOKUP($F14,Assumptions!$E$152:$BC$157,COLUMN()-COLUMN($BC$4),FALSE)</f>
        <v>1</v>
      </c>
      <c r="CJ14" s="33">
        <f>VLOOKUP($F14,Assumptions!$E$152:$BC$157,COLUMN()-COLUMN($BC$4),FALSE)</f>
        <v>1</v>
      </c>
      <c r="CK14" s="33">
        <f>VLOOKUP($F14,Assumptions!$E$152:$BC$157,COLUMN()-COLUMN($BC$4),FALSE)</f>
        <v>1</v>
      </c>
      <c r="CL14" s="33">
        <f>VLOOKUP($F14,Assumptions!$E$152:$BC$157,COLUMN()-COLUMN($BC$4),FALSE)</f>
        <v>1</v>
      </c>
      <c r="CM14" s="33">
        <f>VLOOKUP($F14,Assumptions!$E$152:$BC$157,COLUMN()-COLUMN($BC$4),FALSE)</f>
        <v>1</v>
      </c>
      <c r="CN14" s="33">
        <f>VLOOKUP($F14,Assumptions!$E$152:$BC$157,COLUMN()-COLUMN($BC$4),FALSE)</f>
        <v>1</v>
      </c>
      <c r="CO14" s="33">
        <f>VLOOKUP($F14,Assumptions!$E$152:$BC$157,COLUMN()-COLUMN($BC$4),FALSE)</f>
        <v>1</v>
      </c>
      <c r="CP14" s="33">
        <f>VLOOKUP($F14,Assumptions!$E$152:$BC$157,COLUMN()-COLUMN($BC$4),FALSE)</f>
        <v>1</v>
      </c>
      <c r="CQ14" s="33">
        <f>VLOOKUP($F14,Assumptions!$E$152:$BC$157,COLUMN()-COLUMN($BC$4),FALSE)</f>
        <v>1</v>
      </c>
      <c r="CR14" s="33">
        <f>VLOOKUP($F14,Assumptions!$E$152:$BC$157,COLUMN()-COLUMN($BC$4),FALSE)</f>
        <v>1</v>
      </c>
      <c r="CS14" s="33">
        <f>VLOOKUP($F14,Assumptions!$E$152:$BC$157,COLUMN()-COLUMN($BC$4),FALSE)</f>
        <v>1</v>
      </c>
      <c r="CT14" s="33">
        <f>VLOOKUP($F14,Assumptions!$E$152:$BC$157,COLUMN()-COLUMN($BC$4),FALSE)</f>
        <v>1</v>
      </c>
      <c r="CU14" s="33">
        <f>VLOOKUP($F14,Assumptions!$E$152:$BC$157,COLUMN()-COLUMN($BC$4),FALSE)</f>
        <v>1</v>
      </c>
      <c r="CV14" s="33">
        <f>VLOOKUP($F14,Assumptions!$E$152:$BC$157,COLUMN()-COLUMN($BC$4),FALSE)</f>
        <v>1</v>
      </c>
      <c r="CW14" s="33">
        <f>VLOOKUP($F14,Assumptions!$E$152:$BC$157,COLUMN()-COLUMN($BC$4),FALSE)</f>
        <v>1</v>
      </c>
      <c r="CX14" s="33">
        <f>VLOOKUP($F14,Assumptions!$E$152:$BC$157,COLUMN()-COLUMN($BC$4),FALSE)</f>
        <v>1</v>
      </c>
      <c r="CY14" s="27"/>
      <c r="CZ14" s="27"/>
      <c r="DA14" s="27" t="str">
        <f t="shared" si="56"/>
        <v>TAI</v>
      </c>
      <c r="DB14" s="33">
        <f t="shared" ref="DB14" si="60">IFERROR(DB5/DB$20,"")</f>
        <v>4.9112771653997432E-2</v>
      </c>
      <c r="DC14" s="33">
        <f t="shared" ref="DC14:EU14" si="61">IFERROR(DC5/DC$20,"")</f>
        <v>6.8781208320081055E-2</v>
      </c>
      <c r="DD14" s="33">
        <f t="shared" si="61"/>
        <v>0.2190266280256295</v>
      </c>
      <c r="DE14" s="33">
        <f t="shared" si="61"/>
        <v>0.1130896006612192</v>
      </c>
      <c r="DF14" s="33">
        <f t="shared" si="61"/>
        <v>0.10186235825320496</v>
      </c>
      <c r="DG14" s="33">
        <f t="shared" si="61"/>
        <v>0.21463272322795404</v>
      </c>
      <c r="DH14" s="33">
        <f t="shared" si="61"/>
        <v>3.7228926404861779E-2</v>
      </c>
      <c r="DI14" s="33">
        <f t="shared" si="61"/>
        <v>2.107963782100437E-2</v>
      </c>
      <c r="DJ14" s="33">
        <f t="shared" si="61"/>
        <v>6.8903589615780997E-2</v>
      </c>
      <c r="DK14" s="33">
        <f t="shared" si="61"/>
        <v>4.2112443009795768E-2</v>
      </c>
      <c r="DL14" s="33">
        <f t="shared" si="61"/>
        <v>0.11556060302039728</v>
      </c>
      <c r="DM14" s="33">
        <f t="shared" si="61"/>
        <v>0.12733932562649708</v>
      </c>
      <c r="DN14" s="33">
        <f t="shared" si="61"/>
        <v>0.22418477370181089</v>
      </c>
      <c r="DO14" s="33">
        <f t="shared" si="61"/>
        <v>4.2187469991556537E-2</v>
      </c>
      <c r="DP14" s="33">
        <f t="shared" si="61"/>
        <v>0.82177079212899073</v>
      </c>
      <c r="DQ14" s="33">
        <f t="shared" si="61"/>
        <v>2.1258749895173127E-2</v>
      </c>
      <c r="DR14" s="33">
        <f t="shared" si="61"/>
        <v>0.14973726340886567</v>
      </c>
      <c r="DS14" s="33">
        <f t="shared" si="61"/>
        <v>9.9105579832521815E-2</v>
      </c>
      <c r="DT14" s="33">
        <f t="shared" si="61"/>
        <v>6.9449504565809395E-2</v>
      </c>
      <c r="DU14" s="33">
        <f t="shared" si="61"/>
        <v>8.7505424464335027E-2</v>
      </c>
      <c r="DV14" s="33">
        <f t="shared" si="61"/>
        <v>0.19571015882062259</v>
      </c>
      <c r="DW14" s="33">
        <f t="shared" si="61"/>
        <v>6.4053511134798818E-2</v>
      </c>
      <c r="DX14" s="33">
        <f t="shared" si="61"/>
        <v>8.6432723940053802E-2</v>
      </c>
      <c r="DY14" s="33">
        <f t="shared" si="61"/>
        <v>4.8983958628112688E-2</v>
      </c>
      <c r="DZ14" s="33">
        <f t="shared" si="61"/>
        <v>0.12442213934636699</v>
      </c>
      <c r="EA14" s="33">
        <f t="shared" si="61"/>
        <v>0.10300375611140118</v>
      </c>
      <c r="EB14" s="33">
        <f t="shared" si="61"/>
        <v>8.9379924313929257E-2</v>
      </c>
      <c r="EC14" s="33">
        <f t="shared" si="61"/>
        <v>7.3620509173361964E-2</v>
      </c>
      <c r="ED14" s="33">
        <f t="shared" si="61"/>
        <v>0.15745837465291995</v>
      </c>
      <c r="EE14" s="33">
        <f t="shared" si="61"/>
        <v>0.14095633770057134</v>
      </c>
      <c r="EF14" s="33">
        <f t="shared" si="61"/>
        <v>0.18976924824679925</v>
      </c>
      <c r="EG14" s="33">
        <f t="shared" si="61"/>
        <v>0.11957144661410787</v>
      </c>
      <c r="EH14" s="33">
        <f t="shared" si="61"/>
        <v>0.20867074469971064</v>
      </c>
      <c r="EI14" s="33">
        <f t="shared" si="61"/>
        <v>1.890943053038285E-2</v>
      </c>
      <c r="EJ14" s="33">
        <f t="shared" si="61"/>
        <v>5.0623362207052373E-2</v>
      </c>
      <c r="EK14" s="33">
        <f t="shared" si="61"/>
        <v>0</v>
      </c>
      <c r="EL14" s="33">
        <f t="shared" si="61"/>
        <v>0</v>
      </c>
      <c r="EM14" s="33">
        <f t="shared" si="61"/>
        <v>0</v>
      </c>
      <c r="EN14" s="33">
        <f t="shared" si="61"/>
        <v>0</v>
      </c>
      <c r="EO14" s="33">
        <f t="shared" si="61"/>
        <v>0</v>
      </c>
      <c r="EP14" s="33">
        <f t="shared" si="61"/>
        <v>0</v>
      </c>
      <c r="EQ14" s="33">
        <f t="shared" si="61"/>
        <v>0</v>
      </c>
      <c r="ER14" s="33">
        <f t="shared" si="61"/>
        <v>0</v>
      </c>
      <c r="ES14" s="33">
        <f t="shared" si="61"/>
        <v>0</v>
      </c>
      <c r="ET14" s="33">
        <f t="shared" si="61"/>
        <v>0</v>
      </c>
      <c r="EU14" s="33" t="str">
        <f t="shared" si="61"/>
        <v/>
      </c>
      <c r="EV14" s="27"/>
      <c r="EW14" s="27" t="str">
        <f t="shared" si="48"/>
        <v>\I:</v>
      </c>
      <c r="EX14" s="27" t="str">
        <f t="shared" si="51"/>
        <v/>
      </c>
      <c r="EY14" s="27" t="s">
        <v>169</v>
      </c>
      <c r="EZ14" s="27" t="s">
        <v>160</v>
      </c>
      <c r="FA14" s="27" t="s">
        <v>161</v>
      </c>
      <c r="FB14" s="27"/>
      <c r="FC14" s="27"/>
      <c r="FD14" s="27"/>
    </row>
    <row r="15" spans="1:160">
      <c r="A15" s="27" t="s">
        <v>10</v>
      </c>
      <c r="B15" s="27"/>
      <c r="C15" s="27" t="str">
        <f t="shared" si="54"/>
        <v/>
      </c>
      <c r="D15" s="27" t="s">
        <v>39</v>
      </c>
      <c r="E15" s="27"/>
      <c r="F15" s="27" t="s">
        <v>57</v>
      </c>
      <c r="G15" s="33">
        <f ca="1">SUMIFS(Assumptions!BD$3:BD$103,Assumptions!$G$3:$G$103,'non-road'!$F15,Assumptions!$B$3:$B$103,'non-road'!$D15)/SUMIF(Assumptions!$G$3:$G$103,'non-road'!$F15,Assumptions!BD$3:BD$103)</f>
        <v>0</v>
      </c>
      <c r="H15" s="33">
        <f ca="1">SUMIFS(Assumptions!BE$3:BE$103,Assumptions!$G$3:$G$103,'non-road'!$F15,Assumptions!$B$3:$B$103,'non-road'!$D15)/SUMIF(Assumptions!$G$3:$G$103,'non-road'!$F15,Assumptions!BE$3:BE$103)</f>
        <v>0</v>
      </c>
      <c r="I15" s="33">
        <f ca="1">SUMIFS(Assumptions!BF$3:BF$103,Assumptions!$G$3:$G$103,'non-road'!$F15,Assumptions!$B$3:$B$103,'non-road'!$D15)/SUMIF(Assumptions!$G$3:$G$103,'non-road'!$F15,Assumptions!BF$3:BF$103)</f>
        <v>0</v>
      </c>
      <c r="J15" s="33">
        <f ca="1">SUMIFS(Assumptions!BG$3:BG$103,Assumptions!$G$3:$G$103,'non-road'!$F15,Assumptions!$B$3:$B$103,'non-road'!$D15)/SUMIF(Assumptions!$G$3:$G$103,'non-road'!$F15,Assumptions!BG$3:BG$103)</f>
        <v>0</v>
      </c>
      <c r="K15" s="33">
        <f ca="1">SUMIFS(Assumptions!BH$3:BH$103,Assumptions!$G$3:$G$103,'non-road'!$F15,Assumptions!$B$3:$B$103,'non-road'!$D15)/SUMIF(Assumptions!$G$3:$G$103,'non-road'!$F15,Assumptions!BH$3:BH$103)</f>
        <v>0</v>
      </c>
      <c r="L15" s="33">
        <f ca="1">SUMIFS(Assumptions!BI$3:BI$103,Assumptions!$G$3:$G$103,'non-road'!$F15,Assumptions!$B$3:$B$103,'non-road'!$D15)/SUMIF(Assumptions!$G$3:$G$103,'non-road'!$F15,Assumptions!BI$3:BI$103)</f>
        <v>0</v>
      </c>
      <c r="M15" s="33">
        <f ca="1">SUMIFS(Assumptions!BJ$3:BJ$103,Assumptions!$G$3:$G$103,'non-road'!$F15,Assumptions!$B$3:$B$103,'non-road'!$D15)/SUMIF(Assumptions!$G$3:$G$103,'non-road'!$F15,Assumptions!BJ$3:BJ$103)</f>
        <v>0</v>
      </c>
      <c r="N15" s="33">
        <f ca="1">SUMIFS(Assumptions!BK$3:BK$103,Assumptions!$G$3:$G$103,'non-road'!$F15,Assumptions!$B$3:$B$103,'non-road'!$D15)/SUMIF(Assumptions!$G$3:$G$103,'non-road'!$F15,Assumptions!BK$3:BK$103)</f>
        <v>0</v>
      </c>
      <c r="O15" s="33">
        <f ca="1">SUMIFS(Assumptions!BL$3:BL$103,Assumptions!$G$3:$G$103,'non-road'!$F15,Assumptions!$B$3:$B$103,'non-road'!$D15)/SUMIF(Assumptions!$G$3:$G$103,'non-road'!$F15,Assumptions!BL$3:BL$103)</f>
        <v>0</v>
      </c>
      <c r="P15" s="33">
        <f ca="1">SUMIFS(Assumptions!BM$3:BM$103,Assumptions!$G$3:$G$103,'non-road'!$F15,Assumptions!$B$3:$B$103,'non-road'!$D15)/SUMIF(Assumptions!$G$3:$G$103,'non-road'!$F15,Assumptions!BM$3:BM$103)</f>
        <v>0</v>
      </c>
      <c r="Q15" s="33">
        <f ca="1">SUMIFS(Assumptions!BN$3:BN$103,Assumptions!$G$3:$G$103,'non-road'!$F15,Assumptions!$B$3:$B$103,'non-road'!$D15)/SUMIF(Assumptions!$G$3:$G$103,'non-road'!$F15,Assumptions!BN$3:BN$103)</f>
        <v>0</v>
      </c>
      <c r="R15" s="33">
        <f ca="1">SUMIFS(Assumptions!BO$3:BO$103,Assumptions!$G$3:$G$103,'non-road'!$F15,Assumptions!$B$3:$B$103,'non-road'!$D15)/SUMIF(Assumptions!$G$3:$G$103,'non-road'!$F15,Assumptions!BO$3:BO$103)</f>
        <v>0</v>
      </c>
      <c r="S15" s="33">
        <f ca="1">SUMIFS(Assumptions!BP$3:BP$103,Assumptions!$G$3:$G$103,'non-road'!$F15,Assumptions!$B$3:$B$103,'non-road'!$D15)/SUMIF(Assumptions!$G$3:$G$103,'non-road'!$F15,Assumptions!BP$3:BP$103)</f>
        <v>0</v>
      </c>
      <c r="T15" s="33">
        <f ca="1">SUMIFS(Assumptions!BQ$3:BQ$103,Assumptions!$G$3:$G$103,'non-road'!$F15,Assumptions!$B$3:$B$103,'non-road'!$D15)/SUMIF(Assumptions!$G$3:$G$103,'non-road'!$F15,Assumptions!BQ$3:BQ$103)</f>
        <v>0</v>
      </c>
      <c r="U15" s="33" t="e">
        <f ca="1">SUMIFS(Assumptions!BR$3:BR$103,Assumptions!$G$3:$G$103,'non-road'!$F15,Assumptions!$B$3:$B$103,'non-road'!$D15)/SUMIF(Assumptions!$G$3:$G$103,'non-road'!$F15,Assumptions!BR$3:BR$103)</f>
        <v>#DIV/0!</v>
      </c>
      <c r="V15" s="33">
        <f ca="1">SUMIFS(Assumptions!BS$3:BS$103,Assumptions!$G$3:$G$103,'non-road'!$F15,Assumptions!$B$3:$B$103,'non-road'!$D15)/SUMIF(Assumptions!$G$3:$G$103,'non-road'!$F15,Assumptions!BS$3:BS$103)</f>
        <v>0</v>
      </c>
      <c r="W15" s="33">
        <f ca="1">SUMIFS(Assumptions!BT$3:BT$103,Assumptions!$G$3:$G$103,'non-road'!$F15,Assumptions!$B$3:$B$103,'non-road'!$D15)/SUMIF(Assumptions!$G$3:$G$103,'non-road'!$F15,Assumptions!BT$3:BT$103)</f>
        <v>0</v>
      </c>
      <c r="X15" s="33">
        <f ca="1">SUMIFS(Assumptions!BU$3:BU$103,Assumptions!$G$3:$G$103,'non-road'!$F15,Assumptions!$B$3:$B$103,'non-road'!$D15)/SUMIF(Assumptions!$G$3:$G$103,'non-road'!$F15,Assumptions!BU$3:BU$103)</f>
        <v>0</v>
      </c>
      <c r="Y15" s="33">
        <f ca="1">SUMIFS(Assumptions!BV$3:BV$103,Assumptions!$G$3:$G$103,'non-road'!$F15,Assumptions!$B$3:$B$103,'non-road'!$D15)/SUMIF(Assumptions!$G$3:$G$103,'non-road'!$F15,Assumptions!BV$3:BV$103)</f>
        <v>0</v>
      </c>
      <c r="Z15" s="33">
        <f ca="1">SUMIFS(Assumptions!BW$3:BW$103,Assumptions!$G$3:$G$103,'non-road'!$F15,Assumptions!$B$3:$B$103,'non-road'!$D15)/SUMIF(Assumptions!$G$3:$G$103,'non-road'!$F15,Assumptions!BW$3:BW$103)</f>
        <v>0</v>
      </c>
      <c r="AA15" s="33">
        <f ca="1">SUMIFS(Assumptions!BX$3:BX$103,Assumptions!$G$3:$G$103,'non-road'!$F15,Assumptions!$B$3:$B$103,'non-road'!$D15)/SUMIF(Assumptions!$G$3:$G$103,'non-road'!$F15,Assumptions!BX$3:BX$103)</f>
        <v>0</v>
      </c>
      <c r="AB15" s="33">
        <f ca="1">SUMIFS(Assumptions!BY$3:BY$103,Assumptions!$G$3:$G$103,'non-road'!$F15,Assumptions!$B$3:$B$103,'non-road'!$D15)/SUMIF(Assumptions!$G$3:$G$103,'non-road'!$F15,Assumptions!BY$3:BY$103)</f>
        <v>0</v>
      </c>
      <c r="AC15" s="33">
        <f ca="1">SUMIFS(Assumptions!BZ$3:BZ$103,Assumptions!$G$3:$G$103,'non-road'!$F15,Assumptions!$B$3:$B$103,'non-road'!$D15)/SUMIF(Assumptions!$G$3:$G$103,'non-road'!$F15,Assumptions!BZ$3:BZ$103)</f>
        <v>0</v>
      </c>
      <c r="AD15" s="33">
        <f ca="1">SUMIFS(Assumptions!CA$3:CA$103,Assumptions!$G$3:$G$103,'non-road'!$F15,Assumptions!$B$3:$B$103,'non-road'!$D15)/SUMIF(Assumptions!$G$3:$G$103,'non-road'!$F15,Assumptions!CA$3:CA$103)</f>
        <v>0</v>
      </c>
      <c r="AE15" s="33">
        <f ca="1">SUMIFS(Assumptions!CB$3:CB$103,Assumptions!$G$3:$G$103,'non-road'!$F15,Assumptions!$B$3:$B$103,'non-road'!$D15)/SUMIF(Assumptions!$G$3:$G$103,'non-road'!$F15,Assumptions!CB$3:CB$103)</f>
        <v>0</v>
      </c>
      <c r="AF15" s="33">
        <f ca="1">SUMIFS(Assumptions!CC$3:CC$103,Assumptions!$G$3:$G$103,'non-road'!$F15,Assumptions!$B$3:$B$103,'non-road'!$D15)/SUMIF(Assumptions!$G$3:$G$103,'non-road'!$F15,Assumptions!CC$3:CC$103)</f>
        <v>0</v>
      </c>
      <c r="AG15" s="33" t="e">
        <f ca="1">SUMIFS(Assumptions!CD$3:CD$103,Assumptions!$G$3:$G$103,'non-road'!$F15,Assumptions!$B$3:$B$103,'non-road'!$D15)/SUMIF(Assumptions!$G$3:$G$103,'non-road'!$F15,Assumptions!CD$3:CD$103)</f>
        <v>#DIV/0!</v>
      </c>
      <c r="AH15" s="33">
        <f ca="1">SUMIFS(Assumptions!CE$3:CE$103,Assumptions!$G$3:$G$103,'non-road'!$F15,Assumptions!$B$3:$B$103,'non-road'!$D15)/SUMIF(Assumptions!$G$3:$G$103,'non-road'!$F15,Assumptions!CE$3:CE$103)</f>
        <v>0</v>
      </c>
      <c r="AI15" s="33">
        <f ca="1">SUMIFS(Assumptions!CF$3:CF$103,Assumptions!$G$3:$G$103,'non-road'!$F15,Assumptions!$B$3:$B$103,'non-road'!$D15)/SUMIF(Assumptions!$G$3:$G$103,'non-road'!$F15,Assumptions!CF$3:CF$103)</f>
        <v>0</v>
      </c>
      <c r="AJ15" s="33">
        <f ca="1">SUMIFS(Assumptions!CG$3:CG$103,Assumptions!$G$3:$G$103,'non-road'!$F15,Assumptions!$B$3:$B$103,'non-road'!$D15)/SUMIF(Assumptions!$G$3:$G$103,'non-road'!$F15,Assumptions!CG$3:CG$103)</f>
        <v>0</v>
      </c>
      <c r="AK15" s="33">
        <f ca="1">SUMIFS(Assumptions!CH$3:CH$103,Assumptions!$G$3:$G$103,'non-road'!$F15,Assumptions!$B$3:$B$103,'non-road'!$D15)/SUMIF(Assumptions!$G$3:$G$103,'non-road'!$F15,Assumptions!CH$3:CH$103)</f>
        <v>0</v>
      </c>
      <c r="AL15" s="33">
        <f ca="1">SUMIFS(Assumptions!CI$3:CI$103,Assumptions!$G$3:$G$103,'non-road'!$F15,Assumptions!$B$3:$B$103,'non-road'!$D15)/SUMIF(Assumptions!$G$3:$G$103,'non-road'!$F15,Assumptions!CI$3:CI$103)</f>
        <v>0</v>
      </c>
      <c r="AM15" s="33">
        <f ca="1">SUMIFS(Assumptions!CJ$3:CJ$103,Assumptions!$G$3:$G$103,'non-road'!$F15,Assumptions!$B$3:$B$103,'non-road'!$D15)/SUMIF(Assumptions!$G$3:$G$103,'non-road'!$F15,Assumptions!CJ$3:CJ$103)</f>
        <v>0</v>
      </c>
      <c r="AN15" s="33">
        <f ca="1">SUMIFS(Assumptions!CK$3:CK$103,Assumptions!$G$3:$G$103,'non-road'!$F15,Assumptions!$B$3:$B$103,'non-road'!$D15)/SUMIF(Assumptions!$G$3:$G$103,'non-road'!$F15,Assumptions!CK$3:CK$103)</f>
        <v>0</v>
      </c>
      <c r="AO15" s="33">
        <f ca="1">SUMIFS(Assumptions!CL$3:CL$103,Assumptions!$G$3:$G$103,'non-road'!$F15,Assumptions!$B$3:$B$103,'non-road'!$D15)/SUMIF(Assumptions!$G$3:$G$103,'non-road'!$F15,Assumptions!CL$3:CL$103)</f>
        <v>0</v>
      </c>
      <c r="AP15" s="33" t="e">
        <f ca="1">SUMIFS(Assumptions!CM$3:CM$103,Assumptions!$G$3:$G$103,'non-road'!$F15,Assumptions!$B$3:$B$103,'non-road'!$D15)/SUMIF(Assumptions!$G$3:$G$103,'non-road'!$F15,Assumptions!CM$3:CM$103)</f>
        <v>#DIV/0!</v>
      </c>
      <c r="AQ15" s="33" t="e">
        <f ca="1">SUMIFS(Assumptions!CN$3:CN$103,Assumptions!$G$3:$G$103,'non-road'!$F15,Assumptions!$B$3:$B$103,'non-road'!$D15)/SUMIF(Assumptions!$G$3:$G$103,'non-road'!$F15,Assumptions!CN$3:CN$103)</f>
        <v>#DIV/0!</v>
      </c>
      <c r="AR15" s="33" t="e">
        <f ca="1">SUMIFS(Assumptions!CO$3:CO$103,Assumptions!$G$3:$G$103,'non-road'!$F15,Assumptions!$B$3:$B$103,'non-road'!$D15)/SUMIF(Assumptions!$G$3:$G$103,'non-road'!$F15,Assumptions!CO$3:CO$103)</f>
        <v>#DIV/0!</v>
      </c>
      <c r="AS15" s="33" t="e">
        <f ca="1">SUMIFS(Assumptions!CP$3:CP$103,Assumptions!$G$3:$G$103,'non-road'!$F15,Assumptions!$B$3:$B$103,'non-road'!$D15)/SUMIF(Assumptions!$G$3:$G$103,'non-road'!$F15,Assumptions!CP$3:CP$103)</f>
        <v>#DIV/0!</v>
      </c>
      <c r="AT15" s="33" t="e">
        <f ca="1">SUMIFS(Assumptions!CQ$3:CQ$103,Assumptions!$G$3:$G$103,'non-road'!$F15,Assumptions!$B$3:$B$103,'non-road'!$D15)/SUMIF(Assumptions!$G$3:$G$103,'non-road'!$F15,Assumptions!CQ$3:CQ$103)</f>
        <v>#DIV/0!</v>
      </c>
      <c r="AU15" s="33" t="e">
        <f ca="1">SUMIFS(Assumptions!CR$3:CR$103,Assumptions!$G$3:$G$103,'non-road'!$F15,Assumptions!$B$3:$B$103,'non-road'!$D15)/SUMIF(Assumptions!$G$3:$G$103,'non-road'!$F15,Assumptions!CR$3:CR$103)</f>
        <v>#DIV/0!</v>
      </c>
      <c r="AV15" s="33" t="e">
        <f ca="1">SUMIFS(Assumptions!CS$3:CS$103,Assumptions!$G$3:$G$103,'non-road'!$F15,Assumptions!$B$3:$B$103,'non-road'!$D15)/SUMIF(Assumptions!$G$3:$G$103,'non-road'!$F15,Assumptions!CS$3:CS$103)</f>
        <v>#DIV/0!</v>
      </c>
      <c r="AW15" s="33" t="e">
        <f ca="1">SUMIFS(Assumptions!CT$3:CT$103,Assumptions!$G$3:$G$103,'non-road'!$F15,Assumptions!$B$3:$B$103,'non-road'!$D15)/SUMIF(Assumptions!$G$3:$G$103,'non-road'!$F15,Assumptions!CT$3:CT$103)</f>
        <v>#DIV/0!</v>
      </c>
      <c r="AX15" s="33" t="e">
        <f ca="1">SUMIFS(Assumptions!CU$3:CU$103,Assumptions!$G$3:$G$103,'non-road'!$F15,Assumptions!$B$3:$B$103,'non-road'!$D15)/SUMIF(Assumptions!$G$3:$G$103,'non-road'!$F15,Assumptions!CU$3:CU$103)</f>
        <v>#DIV/0!</v>
      </c>
      <c r="AY15" s="33" t="e">
        <f ca="1">SUMIFS(Assumptions!CV$3:CV$103,Assumptions!$G$3:$G$103,'non-road'!$F15,Assumptions!$B$3:$B$103,'non-road'!$D15)/SUMIF(Assumptions!$G$3:$G$103,'non-road'!$F15,Assumptions!CV$3:CV$103)</f>
        <v>#DIV/0!</v>
      </c>
      <c r="AZ15" s="33" t="e">
        <f ca="1">SUMIFS(Assumptions!CW$3:CW$103,Assumptions!$G$3:$G$103,'non-road'!$F15,Assumptions!$B$3:$B$103,'non-road'!$D15)/SUMIF(Assumptions!$G$3:$G$103,'non-road'!$F15,Assumptions!CW$3:CW$103)</f>
        <v>#DIV/0!</v>
      </c>
      <c r="BA15" s="34"/>
      <c r="BB15" s="33"/>
      <c r="BC15" s="33"/>
      <c r="BD15" s="27" t="str">
        <f t="shared" si="55"/>
        <v>\I:</v>
      </c>
      <c r="BE15" s="33">
        <f>VLOOKUP($F15,Assumptions!$E$152:$BC$157,COLUMN()-COLUMN($BC$4),FALSE)</f>
        <v>1</v>
      </c>
      <c r="BF15" s="33">
        <f>VLOOKUP($F15,Assumptions!$E$152:$BC$157,COLUMN()-COLUMN($BC$4),FALSE)</f>
        <v>1</v>
      </c>
      <c r="BG15" s="33">
        <f>VLOOKUP($F15,Assumptions!$E$152:$BC$157,COLUMN()-COLUMN($BC$4),FALSE)</f>
        <v>1</v>
      </c>
      <c r="BH15" s="33">
        <f>VLOOKUP($F15,Assumptions!$E$152:$BC$157,COLUMN()-COLUMN($BC$4),FALSE)</f>
        <v>1</v>
      </c>
      <c r="BI15" s="33">
        <f>VLOOKUP($F15,Assumptions!$E$152:$BC$157,COLUMN()-COLUMN($BC$4),FALSE)</f>
        <v>1</v>
      </c>
      <c r="BJ15" s="33">
        <f>VLOOKUP($F15,Assumptions!$E$152:$BC$157,COLUMN()-COLUMN($BC$4),FALSE)</f>
        <v>1</v>
      </c>
      <c r="BK15" s="33">
        <f>VLOOKUP($F15,Assumptions!$E$152:$BC$157,COLUMN()-COLUMN($BC$4),FALSE)</f>
        <v>1</v>
      </c>
      <c r="BL15" s="33">
        <f>VLOOKUP($F15,Assumptions!$E$152:$BC$157,COLUMN()-COLUMN($BC$4),FALSE)</f>
        <v>1</v>
      </c>
      <c r="BM15" s="33">
        <f>VLOOKUP($F15,Assumptions!$E$152:$BC$157,COLUMN()-COLUMN($BC$4),FALSE)</f>
        <v>1</v>
      </c>
      <c r="BN15" s="33">
        <f>VLOOKUP($F15,Assumptions!$E$152:$BC$157,COLUMN()-COLUMN($BC$4),FALSE)</f>
        <v>1</v>
      </c>
      <c r="BO15" s="33">
        <f>VLOOKUP($F15,Assumptions!$E$152:$BC$157,COLUMN()-COLUMN($BC$4),FALSE)</f>
        <v>1</v>
      </c>
      <c r="BP15" s="33">
        <f>VLOOKUP($F15,Assumptions!$E$152:$BC$157,COLUMN()-COLUMN($BC$4),FALSE)</f>
        <v>1</v>
      </c>
      <c r="BQ15" s="33">
        <f>VLOOKUP($F15,Assumptions!$E$152:$BC$157,COLUMN()-COLUMN($BC$4),FALSE)</f>
        <v>1</v>
      </c>
      <c r="BR15" s="33">
        <f>VLOOKUP($F15,Assumptions!$E$152:$BC$157,COLUMN()-COLUMN($BC$4),FALSE)</f>
        <v>1</v>
      </c>
      <c r="BS15" s="33">
        <f>VLOOKUP($F15,Assumptions!$E$152:$BC$157,COLUMN()-COLUMN($BC$4),FALSE)</f>
        <v>1</v>
      </c>
      <c r="BT15" s="33">
        <f>VLOOKUP($F15,Assumptions!$E$152:$BC$157,COLUMN()-COLUMN($BC$4),FALSE)</f>
        <v>1</v>
      </c>
      <c r="BU15" s="33">
        <f>VLOOKUP($F15,Assumptions!$E$152:$BC$157,COLUMN()-COLUMN($BC$4),FALSE)</f>
        <v>1</v>
      </c>
      <c r="BV15" s="33">
        <f>VLOOKUP($F15,Assumptions!$E$152:$BC$157,COLUMN()-COLUMN($BC$4),FALSE)</f>
        <v>1</v>
      </c>
      <c r="BW15" s="33">
        <f>VLOOKUP($F15,Assumptions!$E$152:$BC$157,COLUMN()-COLUMN($BC$4),FALSE)</f>
        <v>1</v>
      </c>
      <c r="BX15" s="33">
        <f>VLOOKUP($F15,Assumptions!$E$152:$BC$157,COLUMN()-COLUMN($BC$4),FALSE)</f>
        <v>1</v>
      </c>
      <c r="BY15" s="33">
        <f>VLOOKUP($F15,Assumptions!$E$152:$BC$157,COLUMN()-COLUMN($BC$4),FALSE)</f>
        <v>1</v>
      </c>
      <c r="BZ15" s="33">
        <f>VLOOKUP($F15,Assumptions!$E$152:$BC$157,COLUMN()-COLUMN($BC$4),FALSE)</f>
        <v>1</v>
      </c>
      <c r="CA15" s="33">
        <f>VLOOKUP($F15,Assumptions!$E$152:$BC$157,COLUMN()-COLUMN($BC$4),FALSE)</f>
        <v>1</v>
      </c>
      <c r="CB15" s="33">
        <f>VLOOKUP($F15,Assumptions!$E$152:$BC$157,COLUMN()-COLUMN($BC$4),FALSE)</f>
        <v>1</v>
      </c>
      <c r="CC15" s="33">
        <f>VLOOKUP($F15,Assumptions!$E$152:$BC$157,COLUMN()-COLUMN($BC$4),FALSE)</f>
        <v>1</v>
      </c>
      <c r="CD15" s="33">
        <f>VLOOKUP($F15,Assumptions!$E$152:$BC$157,COLUMN()-COLUMN($BC$4),FALSE)</f>
        <v>1</v>
      </c>
      <c r="CE15" s="33">
        <f>VLOOKUP($F15,Assumptions!$E$152:$BC$157,COLUMN()-COLUMN($BC$4),FALSE)</f>
        <v>1</v>
      </c>
      <c r="CF15" s="33">
        <f>VLOOKUP($F15,Assumptions!$E$152:$BC$157,COLUMN()-COLUMN($BC$4),FALSE)</f>
        <v>1</v>
      </c>
      <c r="CG15" s="33">
        <f>VLOOKUP($F15,Assumptions!$E$152:$BC$157,COLUMN()-COLUMN($BC$4),FALSE)</f>
        <v>1</v>
      </c>
      <c r="CH15" s="33">
        <f>VLOOKUP($F15,Assumptions!$E$152:$BC$157,COLUMN()-COLUMN($BC$4),FALSE)</f>
        <v>1</v>
      </c>
      <c r="CI15" s="33">
        <f>VLOOKUP($F15,Assumptions!$E$152:$BC$157,COLUMN()-COLUMN($BC$4),FALSE)</f>
        <v>1</v>
      </c>
      <c r="CJ15" s="33">
        <f>VLOOKUP($F15,Assumptions!$E$152:$BC$157,COLUMN()-COLUMN($BC$4),FALSE)</f>
        <v>1</v>
      </c>
      <c r="CK15" s="33">
        <f>VLOOKUP($F15,Assumptions!$E$152:$BC$157,COLUMN()-COLUMN($BC$4),FALSE)</f>
        <v>1</v>
      </c>
      <c r="CL15" s="33">
        <f>VLOOKUP($F15,Assumptions!$E$152:$BC$157,COLUMN()-COLUMN($BC$4),FALSE)</f>
        <v>1</v>
      </c>
      <c r="CM15" s="33">
        <f>VLOOKUP($F15,Assumptions!$E$152:$BC$157,COLUMN()-COLUMN($BC$4),FALSE)</f>
        <v>1</v>
      </c>
      <c r="CN15" s="33">
        <f>VLOOKUP($F15,Assumptions!$E$152:$BC$157,COLUMN()-COLUMN($BC$4),FALSE)</f>
        <v>1</v>
      </c>
      <c r="CO15" s="33">
        <f>VLOOKUP($F15,Assumptions!$E$152:$BC$157,COLUMN()-COLUMN($BC$4),FALSE)</f>
        <v>1</v>
      </c>
      <c r="CP15" s="33">
        <f>VLOOKUP($F15,Assumptions!$E$152:$BC$157,COLUMN()-COLUMN($BC$4),FALSE)</f>
        <v>1</v>
      </c>
      <c r="CQ15" s="33">
        <f>VLOOKUP($F15,Assumptions!$E$152:$BC$157,COLUMN()-COLUMN($BC$4),FALSE)</f>
        <v>1</v>
      </c>
      <c r="CR15" s="33">
        <f>VLOOKUP($F15,Assumptions!$E$152:$BC$157,COLUMN()-COLUMN($BC$4),FALSE)</f>
        <v>1</v>
      </c>
      <c r="CS15" s="33">
        <f>VLOOKUP($F15,Assumptions!$E$152:$BC$157,COLUMN()-COLUMN($BC$4),FALSE)</f>
        <v>1</v>
      </c>
      <c r="CT15" s="33">
        <f>VLOOKUP($F15,Assumptions!$E$152:$BC$157,COLUMN()-COLUMN($BC$4),FALSE)</f>
        <v>1</v>
      </c>
      <c r="CU15" s="33">
        <f>VLOOKUP($F15,Assumptions!$E$152:$BC$157,COLUMN()-COLUMN($BC$4),FALSE)</f>
        <v>1</v>
      </c>
      <c r="CV15" s="33">
        <f>VLOOKUP($F15,Assumptions!$E$152:$BC$157,COLUMN()-COLUMN($BC$4),FALSE)</f>
        <v>1</v>
      </c>
      <c r="CW15" s="33">
        <f>VLOOKUP($F15,Assumptions!$E$152:$BC$157,COLUMN()-COLUMN($BC$4),FALSE)</f>
        <v>1</v>
      </c>
      <c r="CX15" s="33">
        <f>VLOOKUP($F15,Assumptions!$E$152:$BC$157,COLUMN()-COLUMN($BC$4),FALSE)</f>
        <v>1</v>
      </c>
      <c r="CY15" s="27"/>
      <c r="CZ15" s="27"/>
      <c r="DA15" s="27" t="str">
        <f t="shared" si="56"/>
        <v>TAD</v>
      </c>
      <c r="DB15" s="33">
        <f t="shared" ref="DB15" si="62">IFERROR(DB6/DB$20,"")</f>
        <v>1.4321477933521417E-2</v>
      </c>
      <c r="DC15" s="33">
        <f t="shared" ref="DC15:EU15" si="63">IFERROR(DC6/DC$20,"")</f>
        <v>8.1180501989168517E-3</v>
      </c>
      <c r="DD15" s="33">
        <f t="shared" si="63"/>
        <v>0.12820842744095479</v>
      </c>
      <c r="DE15" s="33">
        <f t="shared" si="63"/>
        <v>3.7278554004793836E-3</v>
      </c>
      <c r="DF15" s="33">
        <f t="shared" si="63"/>
        <v>6.2142936262460813E-4</v>
      </c>
      <c r="DG15" s="33">
        <f t="shared" si="63"/>
        <v>4.5468141762526208E-4</v>
      </c>
      <c r="DH15" s="33">
        <f t="shared" si="63"/>
        <v>5.1439554916273084E-2</v>
      </c>
      <c r="DI15" s="33">
        <f t="shared" si="63"/>
        <v>5.3580946167075726E-2</v>
      </c>
      <c r="DJ15" s="33">
        <f t="shared" si="63"/>
        <v>3.4087296532303718E-3</v>
      </c>
      <c r="DK15" s="33">
        <f t="shared" si="63"/>
        <v>4.320961925389835E-3</v>
      </c>
      <c r="DL15" s="33">
        <f t="shared" si="63"/>
        <v>3.0128974137848281E-2</v>
      </c>
      <c r="DM15" s="33">
        <f t="shared" si="63"/>
        <v>9.5542709141690774E-3</v>
      </c>
      <c r="DN15" s="33">
        <f t="shared" si="63"/>
        <v>3.5150504334880629E-2</v>
      </c>
      <c r="DO15" s="33">
        <f t="shared" si="63"/>
        <v>4.7880697394501563E-3</v>
      </c>
      <c r="DP15" s="33">
        <f t="shared" si="63"/>
        <v>2.3925928132620077E-2</v>
      </c>
      <c r="DQ15" s="33">
        <f t="shared" si="63"/>
        <v>2.1476427585603825E-2</v>
      </c>
      <c r="DR15" s="33">
        <f t="shared" si="63"/>
        <v>8.09368709783973E-4</v>
      </c>
      <c r="DS15" s="33">
        <f t="shared" si="63"/>
        <v>2.1753153279610169E-2</v>
      </c>
      <c r="DT15" s="33">
        <f t="shared" si="63"/>
        <v>3.3551349624069714E-2</v>
      </c>
      <c r="DU15" s="33">
        <f t="shared" si="63"/>
        <v>2.444426444097976E-2</v>
      </c>
      <c r="DV15" s="33">
        <f t="shared" si="63"/>
        <v>1.5445082704079403E-2</v>
      </c>
      <c r="DW15" s="33">
        <f t="shared" si="63"/>
        <v>0.14032730632974977</v>
      </c>
      <c r="DX15" s="33">
        <f t="shared" si="63"/>
        <v>5.5380595022566481E-2</v>
      </c>
      <c r="DY15" s="33">
        <f t="shared" si="63"/>
        <v>1.5397158832943386E-3</v>
      </c>
      <c r="DZ15" s="33">
        <f t="shared" si="63"/>
        <v>2.6075721232801462E-2</v>
      </c>
      <c r="EA15" s="33">
        <f t="shared" si="63"/>
        <v>0.10002380525752275</v>
      </c>
      <c r="EB15" s="33">
        <f t="shared" si="63"/>
        <v>2.3847422448171784E-2</v>
      </c>
      <c r="EC15" s="33">
        <f t="shared" si="63"/>
        <v>8.4279778489386586E-2</v>
      </c>
      <c r="ED15" s="33">
        <f t="shared" si="63"/>
        <v>6.2855427742484912E-2</v>
      </c>
      <c r="EE15" s="33">
        <f t="shared" si="63"/>
        <v>1.3149315054934324E-2</v>
      </c>
      <c r="EF15" s="33">
        <f t="shared" si="63"/>
        <v>6.7431083325421234E-3</v>
      </c>
      <c r="EG15" s="33">
        <f t="shared" si="63"/>
        <v>3.2701633328838173E-2</v>
      </c>
      <c r="EH15" s="33">
        <f t="shared" si="63"/>
        <v>1.5706384178159852E-2</v>
      </c>
      <c r="EI15" s="33">
        <f t="shared" si="63"/>
        <v>1.9812567608169726E-2</v>
      </c>
      <c r="EJ15" s="33">
        <f t="shared" si="63"/>
        <v>0</v>
      </c>
      <c r="EK15" s="33">
        <f t="shared" si="63"/>
        <v>0</v>
      </c>
      <c r="EL15" s="33">
        <f t="shared" si="63"/>
        <v>0</v>
      </c>
      <c r="EM15" s="33">
        <f t="shared" si="63"/>
        <v>0</v>
      </c>
      <c r="EN15" s="33">
        <f t="shared" si="63"/>
        <v>0</v>
      </c>
      <c r="EO15" s="33">
        <f t="shared" si="63"/>
        <v>0</v>
      </c>
      <c r="EP15" s="33">
        <f t="shared" si="63"/>
        <v>0</v>
      </c>
      <c r="EQ15" s="33">
        <f t="shared" si="63"/>
        <v>0</v>
      </c>
      <c r="ER15" s="33">
        <f t="shared" si="63"/>
        <v>0</v>
      </c>
      <c r="ES15" s="33">
        <f t="shared" si="63"/>
        <v>0</v>
      </c>
      <c r="ET15" s="33">
        <f t="shared" si="63"/>
        <v>0</v>
      </c>
      <c r="EU15" s="33" t="str">
        <f t="shared" si="63"/>
        <v/>
      </c>
      <c r="EV15" s="27"/>
      <c r="EW15" s="27" t="str">
        <f t="shared" si="48"/>
        <v>\I:</v>
      </c>
      <c r="EX15" s="27" t="str">
        <f t="shared" si="51"/>
        <v/>
      </c>
      <c r="EY15" s="27" t="s">
        <v>169</v>
      </c>
      <c r="EZ15" s="27" t="s">
        <v>160</v>
      </c>
      <c r="FA15" s="27" t="s">
        <v>161</v>
      </c>
      <c r="FB15" s="27"/>
      <c r="FC15" s="27"/>
      <c r="FD15" s="27"/>
    </row>
    <row r="16" spans="1:160">
      <c r="A16" s="27" t="s">
        <v>30</v>
      </c>
      <c r="B16" s="27"/>
      <c r="C16" s="27" t="str">
        <f t="shared" si="54"/>
        <v/>
      </c>
      <c r="D16" s="27" t="s">
        <v>32</v>
      </c>
      <c r="E16" s="27" t="s">
        <v>398</v>
      </c>
      <c r="F16" s="27" t="s">
        <v>57</v>
      </c>
      <c r="G16" s="33">
        <f ca="1">SUMIFS(Assumptions!BD$3:BD$103,Assumptions!$G$3:$G$103,'non-road'!$F16,Assumptions!$B$3:$B$103,'non-road'!$D16)/SUMIF(Assumptions!$G$3:$G$103,'non-road'!$F16,Assumptions!BD$3:BD$103)</f>
        <v>0</v>
      </c>
      <c r="H16" s="33">
        <f ca="1">SUMIFS(Assumptions!BE$3:BE$103,Assumptions!$G$3:$G$103,'non-road'!$F16,Assumptions!$B$3:$B$103,'non-road'!$D16)/SUMIF(Assumptions!$G$3:$G$103,'non-road'!$F16,Assumptions!BE$3:BE$103)</f>
        <v>0</v>
      </c>
      <c r="I16" s="33">
        <f ca="1">SUMIFS(Assumptions!BF$3:BF$103,Assumptions!$G$3:$G$103,'non-road'!$F16,Assumptions!$B$3:$B$103,'non-road'!$D16)/SUMIF(Assumptions!$G$3:$G$103,'non-road'!$F16,Assumptions!BF$3:BF$103)</f>
        <v>0</v>
      </c>
      <c r="J16" s="33">
        <f ca="1">SUMIFS(Assumptions!BG$3:BG$103,Assumptions!$G$3:$G$103,'non-road'!$F16,Assumptions!$B$3:$B$103,'non-road'!$D16)/SUMIF(Assumptions!$G$3:$G$103,'non-road'!$F16,Assumptions!BG$3:BG$103)</f>
        <v>1.0560291375398437E-3</v>
      </c>
      <c r="K16" s="33">
        <f ca="1">SUMIFS(Assumptions!BH$3:BH$103,Assumptions!$G$3:$G$103,'non-road'!$F16,Assumptions!$B$3:$B$103,'non-road'!$D16)/SUMIF(Assumptions!$G$3:$G$103,'non-road'!$F16,Assumptions!BH$3:BH$103)</f>
        <v>1.7199217019176299E-2</v>
      </c>
      <c r="L16" s="33">
        <f ca="1">SUMIFS(Assumptions!BI$3:BI$103,Assumptions!$G$3:$G$103,'non-road'!$F16,Assumptions!$B$3:$B$103,'non-road'!$D16)/SUMIF(Assumptions!$G$3:$G$103,'non-road'!$F16,Assumptions!BI$3:BI$103)</f>
        <v>5.6120980067547797E-4</v>
      </c>
      <c r="M16" s="33">
        <f ca="1">SUMIFS(Assumptions!BJ$3:BJ$103,Assumptions!$G$3:$G$103,'non-road'!$F16,Assumptions!$B$3:$B$103,'non-road'!$D16)/SUMIF(Assumptions!$G$3:$G$103,'non-road'!$F16,Assumptions!BJ$3:BJ$103)</f>
        <v>5.2499866383138694E-2</v>
      </c>
      <c r="N16" s="33">
        <f ca="1">SUMIFS(Assumptions!BK$3:BK$103,Assumptions!$G$3:$G$103,'non-road'!$F16,Assumptions!$B$3:$B$103,'non-road'!$D16)/SUMIF(Assumptions!$G$3:$G$103,'non-road'!$F16,Assumptions!BK$3:BK$103)</f>
        <v>0</v>
      </c>
      <c r="O16" s="33">
        <f ca="1">SUMIFS(Assumptions!BL$3:BL$103,Assumptions!$G$3:$G$103,'non-road'!$F16,Assumptions!$B$3:$B$103,'non-road'!$D16)/SUMIF(Assumptions!$G$3:$G$103,'non-road'!$F16,Assumptions!BL$3:BL$103)</f>
        <v>0</v>
      </c>
      <c r="P16" s="33">
        <f ca="1">SUMIFS(Assumptions!BM$3:BM$103,Assumptions!$G$3:$G$103,'non-road'!$F16,Assumptions!$B$3:$B$103,'non-road'!$D16)/SUMIF(Assumptions!$G$3:$G$103,'non-road'!$F16,Assumptions!BM$3:BM$103)</f>
        <v>2.6138382581541802E-3</v>
      </c>
      <c r="Q16" s="33">
        <f ca="1">SUMIFS(Assumptions!BN$3:BN$103,Assumptions!$G$3:$G$103,'non-road'!$F16,Assumptions!$B$3:$B$103,'non-road'!$D16)/SUMIF(Assumptions!$G$3:$G$103,'non-road'!$F16,Assumptions!BN$3:BN$103)</f>
        <v>1.102351298082127E-3</v>
      </c>
      <c r="R16" s="33">
        <f ca="1">SUMIFS(Assumptions!BO$3:BO$103,Assumptions!$G$3:$G$103,'non-road'!$F16,Assumptions!$B$3:$B$103,'non-road'!$D16)/SUMIF(Assumptions!$G$3:$G$103,'non-road'!$F16,Assumptions!BO$3:BO$103)</f>
        <v>1.4237590240187062E-3</v>
      </c>
      <c r="S16" s="33">
        <f ca="1">SUMIFS(Assumptions!BP$3:BP$103,Assumptions!$G$3:$G$103,'non-road'!$F16,Assumptions!$B$3:$B$103,'non-road'!$D16)/SUMIF(Assumptions!$G$3:$G$103,'non-road'!$F16,Assumptions!BP$3:BP$103)</f>
        <v>0</v>
      </c>
      <c r="T16" s="33">
        <f ca="1">SUMIFS(Assumptions!BQ$3:BQ$103,Assumptions!$G$3:$G$103,'non-road'!$F16,Assumptions!$B$3:$B$103,'non-road'!$D16)/SUMIF(Assumptions!$G$3:$G$103,'non-road'!$F16,Assumptions!BQ$3:BQ$103)</f>
        <v>0</v>
      </c>
      <c r="U16" s="33" t="e">
        <f ca="1">SUMIFS(Assumptions!BR$3:BR$103,Assumptions!$G$3:$G$103,'non-road'!$F16,Assumptions!$B$3:$B$103,'non-road'!$D16)/SUMIF(Assumptions!$G$3:$G$103,'non-road'!$F16,Assumptions!BR$3:BR$103)</f>
        <v>#DIV/0!</v>
      </c>
      <c r="V16" s="33">
        <f ca="1">SUMIFS(Assumptions!BS$3:BS$103,Assumptions!$G$3:$G$103,'non-road'!$F16,Assumptions!$B$3:$B$103,'non-road'!$D16)/SUMIF(Assumptions!$G$3:$G$103,'non-road'!$F16,Assumptions!BS$3:BS$103)</f>
        <v>0</v>
      </c>
      <c r="W16" s="33">
        <f ca="1">SUMIFS(Assumptions!BT$3:BT$103,Assumptions!$G$3:$G$103,'non-road'!$F16,Assumptions!$B$3:$B$103,'non-road'!$D16)/SUMIF(Assumptions!$G$3:$G$103,'non-road'!$F16,Assumptions!BT$3:BT$103)</f>
        <v>0</v>
      </c>
      <c r="X16" s="33">
        <f ca="1">SUMIFS(Assumptions!BU$3:BU$103,Assumptions!$G$3:$G$103,'non-road'!$F16,Assumptions!$B$3:$B$103,'non-road'!$D16)/SUMIF(Assumptions!$G$3:$G$103,'non-road'!$F16,Assumptions!BU$3:BU$103)</f>
        <v>0</v>
      </c>
      <c r="Y16" s="33">
        <f ca="1">SUMIFS(Assumptions!BV$3:BV$103,Assumptions!$G$3:$G$103,'non-road'!$F16,Assumptions!$B$3:$B$103,'non-road'!$D16)/SUMIF(Assumptions!$G$3:$G$103,'non-road'!$F16,Assumptions!BV$3:BV$103)</f>
        <v>0</v>
      </c>
      <c r="Z16" s="33">
        <f ca="1">SUMIFS(Assumptions!BW$3:BW$103,Assumptions!$G$3:$G$103,'non-road'!$F16,Assumptions!$B$3:$B$103,'non-road'!$D16)/SUMIF(Assumptions!$G$3:$G$103,'non-road'!$F16,Assumptions!BW$3:BW$103)</f>
        <v>0</v>
      </c>
      <c r="AA16" s="33">
        <f ca="1">SUMIFS(Assumptions!BX$3:BX$103,Assumptions!$G$3:$G$103,'non-road'!$F16,Assumptions!$B$3:$B$103,'non-road'!$D16)/SUMIF(Assumptions!$G$3:$G$103,'non-road'!$F16,Assumptions!BX$3:BX$103)</f>
        <v>0</v>
      </c>
      <c r="AB16" s="33">
        <f ca="1">SUMIFS(Assumptions!BY$3:BY$103,Assumptions!$G$3:$G$103,'non-road'!$F16,Assumptions!$B$3:$B$103,'non-road'!$D16)/SUMIF(Assumptions!$G$3:$G$103,'non-road'!$F16,Assumptions!BY$3:BY$103)</f>
        <v>1.1732173638877951E-2</v>
      </c>
      <c r="AC16" s="33">
        <f ca="1">SUMIFS(Assumptions!BZ$3:BZ$103,Assumptions!$G$3:$G$103,'non-road'!$F16,Assumptions!$B$3:$B$103,'non-road'!$D16)/SUMIF(Assumptions!$G$3:$G$103,'non-road'!$F16,Assumptions!BZ$3:BZ$103)</f>
        <v>0</v>
      </c>
      <c r="AD16" s="33">
        <f ca="1">SUMIFS(Assumptions!CA$3:CA$103,Assumptions!$G$3:$G$103,'non-road'!$F16,Assumptions!$B$3:$B$103,'non-road'!$D16)/SUMIF(Assumptions!$G$3:$G$103,'non-road'!$F16,Assumptions!CA$3:CA$103)</f>
        <v>0</v>
      </c>
      <c r="AE16" s="33">
        <f ca="1">SUMIFS(Assumptions!CB$3:CB$103,Assumptions!$G$3:$G$103,'non-road'!$F16,Assumptions!$B$3:$B$103,'non-road'!$D16)/SUMIF(Assumptions!$G$3:$G$103,'non-road'!$F16,Assumptions!CB$3:CB$103)</f>
        <v>3.9197783374465954E-6</v>
      </c>
      <c r="AF16" s="33">
        <f ca="1">SUMIFS(Assumptions!CC$3:CC$103,Assumptions!$G$3:$G$103,'non-road'!$F16,Assumptions!$B$3:$B$103,'non-road'!$D16)/SUMIF(Assumptions!$G$3:$G$103,'non-road'!$F16,Assumptions!CC$3:CC$103)</f>
        <v>0</v>
      </c>
      <c r="AG16" s="33" t="e">
        <f ca="1">SUMIFS(Assumptions!CD$3:CD$103,Assumptions!$G$3:$G$103,'non-road'!$F16,Assumptions!$B$3:$B$103,'non-road'!$D16)/SUMIF(Assumptions!$G$3:$G$103,'non-road'!$F16,Assumptions!CD$3:CD$103)</f>
        <v>#DIV/0!</v>
      </c>
      <c r="AH16" s="33">
        <f ca="1">SUMIFS(Assumptions!CE$3:CE$103,Assumptions!$G$3:$G$103,'non-road'!$F16,Assumptions!$B$3:$B$103,'non-road'!$D16)/SUMIF(Assumptions!$G$3:$G$103,'non-road'!$F16,Assumptions!CE$3:CE$103)</f>
        <v>0</v>
      </c>
      <c r="AI16" s="33">
        <f ca="1">SUMIFS(Assumptions!CF$3:CF$103,Assumptions!$G$3:$G$103,'non-road'!$F16,Assumptions!$B$3:$B$103,'non-road'!$D16)/SUMIF(Assumptions!$G$3:$G$103,'non-road'!$F16,Assumptions!CF$3:CF$103)</f>
        <v>0</v>
      </c>
      <c r="AJ16" s="33">
        <f ca="1">SUMIFS(Assumptions!CG$3:CG$103,Assumptions!$G$3:$G$103,'non-road'!$F16,Assumptions!$B$3:$B$103,'non-road'!$D16)/SUMIF(Assumptions!$G$3:$G$103,'non-road'!$F16,Assumptions!CG$3:CG$103)</f>
        <v>0</v>
      </c>
      <c r="AK16" s="33">
        <f ca="1">SUMIFS(Assumptions!CH$3:CH$103,Assumptions!$G$3:$G$103,'non-road'!$F16,Assumptions!$B$3:$B$103,'non-road'!$D16)/SUMIF(Assumptions!$G$3:$G$103,'non-road'!$F16,Assumptions!CH$3:CH$103)</f>
        <v>1.1814522436886793E-4</v>
      </c>
      <c r="AL16" s="33">
        <f ca="1">SUMIFS(Assumptions!CI$3:CI$103,Assumptions!$G$3:$G$103,'non-road'!$F16,Assumptions!$B$3:$B$103,'non-road'!$D16)/SUMIF(Assumptions!$G$3:$G$103,'non-road'!$F16,Assumptions!CI$3:CI$103)</f>
        <v>0</v>
      </c>
      <c r="AM16" s="33">
        <f ca="1">SUMIFS(Assumptions!CJ$3:CJ$103,Assumptions!$G$3:$G$103,'non-road'!$F16,Assumptions!$B$3:$B$103,'non-road'!$D16)/SUMIF(Assumptions!$G$3:$G$103,'non-road'!$F16,Assumptions!CJ$3:CJ$103)</f>
        <v>0</v>
      </c>
      <c r="AN16" s="33">
        <f ca="1">SUMIFS(Assumptions!CK$3:CK$103,Assumptions!$G$3:$G$103,'non-road'!$F16,Assumptions!$B$3:$B$103,'non-road'!$D16)/SUMIF(Assumptions!$G$3:$G$103,'non-road'!$F16,Assumptions!CK$3:CK$103)</f>
        <v>0</v>
      </c>
      <c r="AO16" s="33">
        <f ca="1">SUMIFS(Assumptions!CL$3:CL$103,Assumptions!$G$3:$G$103,'non-road'!$F16,Assumptions!$B$3:$B$103,'non-road'!$D16)/SUMIF(Assumptions!$G$3:$G$103,'non-road'!$F16,Assumptions!CL$3:CL$103)</f>
        <v>0</v>
      </c>
      <c r="AP16" s="33" t="e">
        <f ca="1">SUMIFS(Assumptions!CM$3:CM$103,Assumptions!$G$3:$G$103,'non-road'!$F16,Assumptions!$B$3:$B$103,'non-road'!$D16)/SUMIF(Assumptions!$G$3:$G$103,'non-road'!$F16,Assumptions!CM$3:CM$103)</f>
        <v>#DIV/0!</v>
      </c>
      <c r="AQ16" s="33" t="e">
        <f ca="1">SUMIFS(Assumptions!CN$3:CN$103,Assumptions!$G$3:$G$103,'non-road'!$F16,Assumptions!$B$3:$B$103,'non-road'!$D16)/SUMIF(Assumptions!$G$3:$G$103,'non-road'!$F16,Assumptions!CN$3:CN$103)</f>
        <v>#DIV/0!</v>
      </c>
      <c r="AR16" s="33" t="e">
        <f ca="1">SUMIFS(Assumptions!CO$3:CO$103,Assumptions!$G$3:$G$103,'non-road'!$F16,Assumptions!$B$3:$B$103,'non-road'!$D16)/SUMIF(Assumptions!$G$3:$G$103,'non-road'!$F16,Assumptions!CO$3:CO$103)</f>
        <v>#DIV/0!</v>
      </c>
      <c r="AS16" s="33" t="e">
        <f ca="1">SUMIFS(Assumptions!CP$3:CP$103,Assumptions!$G$3:$G$103,'non-road'!$F16,Assumptions!$B$3:$B$103,'non-road'!$D16)/SUMIF(Assumptions!$G$3:$G$103,'non-road'!$F16,Assumptions!CP$3:CP$103)</f>
        <v>#DIV/0!</v>
      </c>
      <c r="AT16" s="33" t="e">
        <f ca="1">SUMIFS(Assumptions!CQ$3:CQ$103,Assumptions!$G$3:$G$103,'non-road'!$F16,Assumptions!$B$3:$B$103,'non-road'!$D16)/SUMIF(Assumptions!$G$3:$G$103,'non-road'!$F16,Assumptions!CQ$3:CQ$103)</f>
        <v>#DIV/0!</v>
      </c>
      <c r="AU16" s="33" t="e">
        <f ca="1">SUMIFS(Assumptions!CR$3:CR$103,Assumptions!$G$3:$G$103,'non-road'!$F16,Assumptions!$B$3:$B$103,'non-road'!$D16)/SUMIF(Assumptions!$G$3:$G$103,'non-road'!$F16,Assumptions!CR$3:CR$103)</f>
        <v>#DIV/0!</v>
      </c>
      <c r="AV16" s="33" t="e">
        <f ca="1">SUMIFS(Assumptions!CS$3:CS$103,Assumptions!$G$3:$G$103,'non-road'!$F16,Assumptions!$B$3:$B$103,'non-road'!$D16)/SUMIF(Assumptions!$G$3:$G$103,'non-road'!$F16,Assumptions!CS$3:CS$103)</f>
        <v>#DIV/0!</v>
      </c>
      <c r="AW16" s="33" t="e">
        <f ca="1">SUMIFS(Assumptions!CT$3:CT$103,Assumptions!$G$3:$G$103,'non-road'!$F16,Assumptions!$B$3:$B$103,'non-road'!$D16)/SUMIF(Assumptions!$G$3:$G$103,'non-road'!$F16,Assumptions!CT$3:CT$103)</f>
        <v>#DIV/0!</v>
      </c>
      <c r="AX16" s="33" t="e">
        <f ca="1">SUMIFS(Assumptions!CU$3:CU$103,Assumptions!$G$3:$G$103,'non-road'!$F16,Assumptions!$B$3:$B$103,'non-road'!$D16)/SUMIF(Assumptions!$G$3:$G$103,'non-road'!$F16,Assumptions!CU$3:CU$103)</f>
        <v>#DIV/0!</v>
      </c>
      <c r="AY16" s="33" t="e">
        <f ca="1">SUMIFS(Assumptions!CV$3:CV$103,Assumptions!$G$3:$G$103,'non-road'!$F16,Assumptions!$B$3:$B$103,'non-road'!$D16)/SUMIF(Assumptions!$G$3:$G$103,'non-road'!$F16,Assumptions!CV$3:CV$103)</f>
        <v>#DIV/0!</v>
      </c>
      <c r="AZ16" s="33" t="e">
        <f ca="1">SUMIFS(Assumptions!CW$3:CW$103,Assumptions!$G$3:$G$103,'non-road'!$F16,Assumptions!$B$3:$B$103,'non-road'!$D16)/SUMIF(Assumptions!$G$3:$G$103,'non-road'!$F16,Assumptions!CW$3:CW$103)</f>
        <v>#DIV/0!</v>
      </c>
      <c r="BA16" s="34"/>
      <c r="BB16" s="33"/>
      <c r="BC16" s="33"/>
      <c r="BD16" s="27" t="str">
        <f t="shared" si="55"/>
        <v>\I:</v>
      </c>
      <c r="BE16" s="33">
        <f>VLOOKUP($F16,Assumptions!$E$152:$BC$157,COLUMN()-COLUMN($BC$4),FALSE)</f>
        <v>1</v>
      </c>
      <c r="BF16" s="33">
        <f>VLOOKUP($F16,Assumptions!$E$152:$BC$157,COLUMN()-COLUMN($BC$4),FALSE)</f>
        <v>1</v>
      </c>
      <c r="BG16" s="33">
        <f>VLOOKUP($F16,Assumptions!$E$152:$BC$157,COLUMN()-COLUMN($BC$4),FALSE)</f>
        <v>1</v>
      </c>
      <c r="BH16" s="33">
        <f>VLOOKUP($F16,Assumptions!$E$152:$BC$157,COLUMN()-COLUMN($BC$4),FALSE)</f>
        <v>1</v>
      </c>
      <c r="BI16" s="33">
        <f>VLOOKUP($F16,Assumptions!$E$152:$BC$157,COLUMN()-COLUMN($BC$4),FALSE)</f>
        <v>1</v>
      </c>
      <c r="BJ16" s="33">
        <f>VLOOKUP($F16,Assumptions!$E$152:$BC$157,COLUMN()-COLUMN($BC$4),FALSE)</f>
        <v>1</v>
      </c>
      <c r="BK16" s="33">
        <f>VLOOKUP($F16,Assumptions!$E$152:$BC$157,COLUMN()-COLUMN($BC$4),FALSE)</f>
        <v>1</v>
      </c>
      <c r="BL16" s="33">
        <f>VLOOKUP($F16,Assumptions!$E$152:$BC$157,COLUMN()-COLUMN($BC$4),FALSE)</f>
        <v>1</v>
      </c>
      <c r="BM16" s="33">
        <f>VLOOKUP($F16,Assumptions!$E$152:$BC$157,COLUMN()-COLUMN($BC$4),FALSE)</f>
        <v>1</v>
      </c>
      <c r="BN16" s="33">
        <f>VLOOKUP($F16,Assumptions!$E$152:$BC$157,COLUMN()-COLUMN($BC$4),FALSE)</f>
        <v>1</v>
      </c>
      <c r="BO16" s="33">
        <f>VLOOKUP($F16,Assumptions!$E$152:$BC$157,COLUMN()-COLUMN($BC$4),FALSE)</f>
        <v>1</v>
      </c>
      <c r="BP16" s="33">
        <f>VLOOKUP($F16,Assumptions!$E$152:$BC$157,COLUMN()-COLUMN($BC$4),FALSE)</f>
        <v>1</v>
      </c>
      <c r="BQ16" s="33">
        <f>VLOOKUP($F16,Assumptions!$E$152:$BC$157,COLUMN()-COLUMN($BC$4),FALSE)</f>
        <v>1</v>
      </c>
      <c r="BR16" s="33">
        <f>VLOOKUP($F16,Assumptions!$E$152:$BC$157,COLUMN()-COLUMN($BC$4),FALSE)</f>
        <v>1</v>
      </c>
      <c r="BS16" s="33">
        <f>VLOOKUP($F16,Assumptions!$E$152:$BC$157,COLUMN()-COLUMN($BC$4),FALSE)</f>
        <v>1</v>
      </c>
      <c r="BT16" s="33">
        <f>VLOOKUP($F16,Assumptions!$E$152:$BC$157,COLUMN()-COLUMN($BC$4),FALSE)</f>
        <v>1</v>
      </c>
      <c r="BU16" s="33">
        <f>VLOOKUP($F16,Assumptions!$E$152:$BC$157,COLUMN()-COLUMN($BC$4),FALSE)</f>
        <v>1</v>
      </c>
      <c r="BV16" s="33">
        <f>VLOOKUP($F16,Assumptions!$E$152:$BC$157,COLUMN()-COLUMN($BC$4),FALSE)</f>
        <v>1</v>
      </c>
      <c r="BW16" s="33">
        <f>VLOOKUP($F16,Assumptions!$E$152:$BC$157,COLUMN()-COLUMN($BC$4),FALSE)</f>
        <v>1</v>
      </c>
      <c r="BX16" s="33">
        <f>VLOOKUP($F16,Assumptions!$E$152:$BC$157,COLUMN()-COLUMN($BC$4),FALSE)</f>
        <v>1</v>
      </c>
      <c r="BY16" s="33">
        <f>VLOOKUP($F16,Assumptions!$E$152:$BC$157,COLUMN()-COLUMN($BC$4),FALSE)</f>
        <v>1</v>
      </c>
      <c r="BZ16" s="33">
        <f>VLOOKUP($F16,Assumptions!$E$152:$BC$157,COLUMN()-COLUMN($BC$4),FALSE)</f>
        <v>1</v>
      </c>
      <c r="CA16" s="33">
        <f>VLOOKUP($F16,Assumptions!$E$152:$BC$157,COLUMN()-COLUMN($BC$4),FALSE)</f>
        <v>1</v>
      </c>
      <c r="CB16" s="33">
        <f>VLOOKUP($F16,Assumptions!$E$152:$BC$157,COLUMN()-COLUMN($BC$4),FALSE)</f>
        <v>1</v>
      </c>
      <c r="CC16" s="33">
        <f>VLOOKUP($F16,Assumptions!$E$152:$BC$157,COLUMN()-COLUMN($BC$4),FALSE)</f>
        <v>1</v>
      </c>
      <c r="CD16" s="33">
        <f>VLOOKUP($F16,Assumptions!$E$152:$BC$157,COLUMN()-COLUMN($BC$4),FALSE)</f>
        <v>1</v>
      </c>
      <c r="CE16" s="33">
        <f>VLOOKUP($F16,Assumptions!$E$152:$BC$157,COLUMN()-COLUMN($BC$4),FALSE)</f>
        <v>1</v>
      </c>
      <c r="CF16" s="33">
        <f>VLOOKUP($F16,Assumptions!$E$152:$BC$157,COLUMN()-COLUMN($BC$4),FALSE)</f>
        <v>1</v>
      </c>
      <c r="CG16" s="33">
        <f>VLOOKUP($F16,Assumptions!$E$152:$BC$157,COLUMN()-COLUMN($BC$4),FALSE)</f>
        <v>1</v>
      </c>
      <c r="CH16" s="33">
        <f>VLOOKUP($F16,Assumptions!$E$152:$BC$157,COLUMN()-COLUMN($BC$4),FALSE)</f>
        <v>1</v>
      </c>
      <c r="CI16" s="33">
        <f>VLOOKUP($F16,Assumptions!$E$152:$BC$157,COLUMN()-COLUMN($BC$4),FALSE)</f>
        <v>1</v>
      </c>
      <c r="CJ16" s="33">
        <f>VLOOKUP($F16,Assumptions!$E$152:$BC$157,COLUMN()-COLUMN($BC$4),FALSE)</f>
        <v>1</v>
      </c>
      <c r="CK16" s="33">
        <f>VLOOKUP($F16,Assumptions!$E$152:$BC$157,COLUMN()-COLUMN($BC$4),FALSE)</f>
        <v>1</v>
      </c>
      <c r="CL16" s="33">
        <f>VLOOKUP($F16,Assumptions!$E$152:$BC$157,COLUMN()-COLUMN($BC$4),FALSE)</f>
        <v>1</v>
      </c>
      <c r="CM16" s="33">
        <f>VLOOKUP($F16,Assumptions!$E$152:$BC$157,COLUMN()-COLUMN($BC$4),FALSE)</f>
        <v>1</v>
      </c>
      <c r="CN16" s="33">
        <f>VLOOKUP($F16,Assumptions!$E$152:$BC$157,COLUMN()-COLUMN($BC$4),FALSE)</f>
        <v>1</v>
      </c>
      <c r="CO16" s="33">
        <f>VLOOKUP($F16,Assumptions!$E$152:$BC$157,COLUMN()-COLUMN($BC$4),FALSE)</f>
        <v>1</v>
      </c>
      <c r="CP16" s="33">
        <f>VLOOKUP($F16,Assumptions!$E$152:$BC$157,COLUMN()-COLUMN($BC$4),FALSE)</f>
        <v>1</v>
      </c>
      <c r="CQ16" s="33">
        <f>VLOOKUP($F16,Assumptions!$E$152:$BC$157,COLUMN()-COLUMN($BC$4),FALSE)</f>
        <v>1</v>
      </c>
      <c r="CR16" s="33">
        <f>VLOOKUP($F16,Assumptions!$E$152:$BC$157,COLUMN()-COLUMN($BC$4),FALSE)</f>
        <v>1</v>
      </c>
      <c r="CS16" s="33">
        <f>VLOOKUP($F16,Assumptions!$E$152:$BC$157,COLUMN()-COLUMN($BC$4),FALSE)</f>
        <v>1</v>
      </c>
      <c r="CT16" s="33">
        <f>VLOOKUP($F16,Assumptions!$E$152:$BC$157,COLUMN()-COLUMN($BC$4),FALSE)</f>
        <v>1</v>
      </c>
      <c r="CU16" s="33">
        <f>VLOOKUP($F16,Assumptions!$E$152:$BC$157,COLUMN()-COLUMN($BC$4),FALSE)</f>
        <v>1</v>
      </c>
      <c r="CV16" s="33">
        <f>VLOOKUP($F16,Assumptions!$E$152:$BC$157,COLUMN()-COLUMN($BC$4),FALSE)</f>
        <v>1</v>
      </c>
      <c r="CW16" s="33">
        <f>VLOOKUP($F16,Assumptions!$E$152:$BC$157,COLUMN()-COLUMN($BC$4),FALSE)</f>
        <v>1</v>
      </c>
      <c r="CX16" s="33">
        <f>VLOOKUP($F16,Assumptions!$E$152:$BC$157,COLUMN()-COLUMN($BC$4),FALSE)</f>
        <v>1</v>
      </c>
      <c r="CY16" s="27"/>
      <c r="CZ16" s="27"/>
      <c r="DA16" s="27" t="str">
        <f t="shared" si="56"/>
        <v>TWD</v>
      </c>
      <c r="DB16" s="33">
        <f t="shared" ref="DB16" si="64">IFERROR(DB7/DB$20,"")</f>
        <v>5.9620609193796279E-3</v>
      </c>
      <c r="DC16" s="33">
        <f t="shared" ref="DC16:EU16" si="65">IFERROR(DC7/DC$20,"")</f>
        <v>8.4339360617222622E-3</v>
      </c>
      <c r="DD16" s="33">
        <f t="shared" si="65"/>
        <v>3.0246121153888004E-2</v>
      </c>
      <c r="DE16" s="33">
        <f t="shared" si="65"/>
        <v>3.2425514077983959E-3</v>
      </c>
      <c r="DF16" s="33">
        <f t="shared" si="65"/>
        <v>3.6530139805000519E-3</v>
      </c>
      <c r="DG16" s="33">
        <f t="shared" si="65"/>
        <v>1.477787648473688E-2</v>
      </c>
      <c r="DH16" s="33">
        <f t="shared" si="65"/>
        <v>1.9931350108663343E-2</v>
      </c>
      <c r="DI16" s="33">
        <f t="shared" si="65"/>
        <v>4.7774688885545473E-2</v>
      </c>
      <c r="DJ16" s="33">
        <f t="shared" si="65"/>
        <v>1.521968315503752E-2</v>
      </c>
      <c r="DK16" s="33">
        <f t="shared" si="65"/>
        <v>4.6459422723316824E-4</v>
      </c>
      <c r="DL16" s="33">
        <f t="shared" si="65"/>
        <v>9.373581541127848E-3</v>
      </c>
      <c r="DM16" s="33">
        <f t="shared" si="65"/>
        <v>3.4940048343932617E-3</v>
      </c>
      <c r="DN16" s="33">
        <f t="shared" si="65"/>
        <v>9.978134289516763E-2</v>
      </c>
      <c r="DO16" s="33">
        <f t="shared" si="65"/>
        <v>3.0509763403256426E-3</v>
      </c>
      <c r="DP16" s="33">
        <f t="shared" si="65"/>
        <v>4.4043588000680492E-2</v>
      </c>
      <c r="DQ16" s="33">
        <f t="shared" si="65"/>
        <v>7.7114300497481466E-3</v>
      </c>
      <c r="DR16" s="33">
        <f t="shared" si="65"/>
        <v>1.2157624142168196E-2</v>
      </c>
      <c r="DS16" s="33">
        <f t="shared" si="65"/>
        <v>1.4855418419530196E-2</v>
      </c>
      <c r="DT16" s="33">
        <f t="shared" si="65"/>
        <v>2.9778418708952953E-2</v>
      </c>
      <c r="DU16" s="33">
        <f t="shared" si="65"/>
        <v>1.4098252571010194E-2</v>
      </c>
      <c r="DV16" s="33">
        <f t="shared" si="65"/>
        <v>0</v>
      </c>
      <c r="DW16" s="33">
        <f t="shared" si="65"/>
        <v>2.2218304184773528E-2</v>
      </c>
      <c r="DX16" s="33">
        <f t="shared" si="65"/>
        <v>0.15823197950255807</v>
      </c>
      <c r="DY16" s="33">
        <f t="shared" si="65"/>
        <v>8.4757090795230182E-5</v>
      </c>
      <c r="DZ16" s="33">
        <f t="shared" si="65"/>
        <v>2.011618955762998E-2</v>
      </c>
      <c r="EA16" s="33">
        <f t="shared" si="65"/>
        <v>1.041548957989547E-2</v>
      </c>
      <c r="EB16" s="33">
        <f t="shared" si="65"/>
        <v>0</v>
      </c>
      <c r="EC16" s="33">
        <f t="shared" si="65"/>
        <v>1.7665361415888477E-2</v>
      </c>
      <c r="ED16" s="33">
        <f t="shared" si="65"/>
        <v>2.820636845168421E-2</v>
      </c>
      <c r="EE16" s="33">
        <f t="shared" si="65"/>
        <v>2.007771874700913E-2</v>
      </c>
      <c r="EF16" s="33">
        <f t="shared" si="65"/>
        <v>3.7702431475084178E-3</v>
      </c>
      <c r="EG16" s="33">
        <f t="shared" si="65"/>
        <v>1.0519191133039419E-2</v>
      </c>
      <c r="EH16" s="33">
        <f t="shared" si="65"/>
        <v>1.5729010455045437E-2</v>
      </c>
      <c r="EI16" s="33">
        <f t="shared" si="65"/>
        <v>1.4610134965570483E-2</v>
      </c>
      <c r="EJ16" s="33">
        <f t="shared" si="65"/>
        <v>9.635110163803676E-3</v>
      </c>
      <c r="EK16" s="33">
        <f t="shared" si="65"/>
        <v>0</v>
      </c>
      <c r="EL16" s="33">
        <f t="shared" si="65"/>
        <v>0</v>
      </c>
      <c r="EM16" s="33">
        <f t="shared" si="65"/>
        <v>0</v>
      </c>
      <c r="EN16" s="33">
        <f t="shared" si="65"/>
        <v>0</v>
      </c>
      <c r="EO16" s="33">
        <f t="shared" si="65"/>
        <v>0</v>
      </c>
      <c r="EP16" s="33">
        <f t="shared" si="65"/>
        <v>0</v>
      </c>
      <c r="EQ16" s="33">
        <f t="shared" si="65"/>
        <v>0</v>
      </c>
      <c r="ER16" s="33">
        <f t="shared" si="65"/>
        <v>0</v>
      </c>
      <c r="ES16" s="33">
        <f t="shared" si="65"/>
        <v>0</v>
      </c>
      <c r="ET16" s="33">
        <f t="shared" si="65"/>
        <v>0</v>
      </c>
      <c r="EU16" s="33" t="str">
        <f t="shared" si="65"/>
        <v/>
      </c>
      <c r="EV16" s="27"/>
      <c r="EW16" s="27" t="str">
        <f t="shared" si="48"/>
        <v>\I:</v>
      </c>
      <c r="EX16" s="27" t="str">
        <f t="shared" si="51"/>
        <v/>
      </c>
      <c r="EY16" s="27" t="s">
        <v>169</v>
      </c>
      <c r="EZ16" s="27" t="s">
        <v>160</v>
      </c>
      <c r="FA16" s="27" t="s">
        <v>161</v>
      </c>
      <c r="FB16" s="27"/>
      <c r="FC16" s="27"/>
      <c r="FD16" s="27"/>
    </row>
    <row r="17" spans="1:157">
      <c r="A17" s="27" t="s">
        <v>27</v>
      </c>
      <c r="B17" s="27"/>
      <c r="C17" s="27" t="str">
        <f t="shared" si="54"/>
        <v/>
      </c>
      <c r="D17" s="27" t="s">
        <v>37</v>
      </c>
      <c r="E17" s="27" t="s">
        <v>398</v>
      </c>
      <c r="F17" s="27" t="s">
        <v>57</v>
      </c>
      <c r="G17" s="33">
        <f ca="1">SUMIFS(Assumptions!BD$3:BD$103,Assumptions!$G$3:$G$103,'non-road'!$F17,Assumptions!$B$3:$B$103,'non-road'!$D17)/SUMIF(Assumptions!$G$3:$G$103,'non-road'!$F17,Assumptions!BD$3:BD$103)</f>
        <v>0.72451719415014471</v>
      </c>
      <c r="H17" s="33">
        <f ca="1">SUMIFS(Assumptions!BE$3:BE$103,Assumptions!$G$3:$G$103,'non-road'!$F17,Assumptions!$B$3:$B$103,'non-road'!$D17)/SUMIF(Assumptions!$G$3:$G$103,'non-road'!$F17,Assumptions!BE$3:BE$103)</f>
        <v>2.7194193535636839E-2</v>
      </c>
      <c r="I17" s="33">
        <f ca="1">SUMIFS(Assumptions!BF$3:BF$103,Assumptions!$G$3:$G$103,'non-road'!$F17,Assumptions!$B$3:$B$103,'non-road'!$D17)/SUMIF(Assumptions!$G$3:$G$103,'non-road'!$F17,Assumptions!BF$3:BF$103)</f>
        <v>0.36308069067369547</v>
      </c>
      <c r="J17" s="33">
        <f ca="1">SUMIFS(Assumptions!BG$3:BG$103,Assumptions!$G$3:$G$103,'non-road'!$F17,Assumptions!$B$3:$B$103,'non-road'!$D17)/SUMIF(Assumptions!$G$3:$G$103,'non-road'!$F17,Assumptions!BG$3:BG$103)</f>
        <v>0.98074816512497365</v>
      </c>
      <c r="K17" s="33">
        <f ca="1">SUMIFS(Assumptions!BH$3:BH$103,Assumptions!$G$3:$G$103,'non-road'!$F17,Assumptions!$B$3:$B$103,'non-road'!$D17)/SUMIF(Assumptions!$G$3:$G$103,'non-road'!$F17,Assumptions!BH$3:BH$103)</f>
        <v>0.36514725760405625</v>
      </c>
      <c r="L17" s="33">
        <f ca="1">SUMIFS(Assumptions!BI$3:BI$103,Assumptions!$G$3:$G$103,'non-road'!$F17,Assumptions!$B$3:$B$103,'non-road'!$D17)/SUMIF(Assumptions!$G$3:$G$103,'non-road'!$F17,Assumptions!BI$3:BI$103)</f>
        <v>0.98408848404468974</v>
      </c>
      <c r="M17" s="33">
        <f ca="1">SUMIFS(Assumptions!BJ$3:BJ$103,Assumptions!$G$3:$G$103,'non-road'!$F17,Assumptions!$B$3:$B$103,'non-road'!$D17)/SUMIF(Assumptions!$G$3:$G$103,'non-road'!$F17,Assumptions!BJ$3:BJ$103)</f>
        <v>0.45999806430704282</v>
      </c>
      <c r="N17" s="33">
        <f ca="1">SUMIFS(Assumptions!BK$3:BK$103,Assumptions!$G$3:$G$103,'non-road'!$F17,Assumptions!$B$3:$B$103,'non-road'!$D17)/SUMIF(Assumptions!$G$3:$G$103,'non-road'!$F17,Assumptions!BK$3:BK$103)</f>
        <v>0.86020117055505929</v>
      </c>
      <c r="O17" s="33">
        <f ca="1">SUMIFS(Assumptions!BL$3:BL$103,Assumptions!$G$3:$G$103,'non-road'!$F17,Assumptions!$B$3:$B$103,'non-road'!$D17)/SUMIF(Assumptions!$G$3:$G$103,'non-road'!$F17,Assumptions!BL$3:BL$103)</f>
        <v>0.94155273792334249</v>
      </c>
      <c r="P17" s="33">
        <f ca="1">SUMIFS(Assumptions!BM$3:BM$103,Assumptions!$G$3:$G$103,'non-road'!$F17,Assumptions!$B$3:$B$103,'non-road'!$D17)/SUMIF(Assumptions!$G$3:$G$103,'non-road'!$F17,Assumptions!BM$3:BM$103)</f>
        <v>0.95066822473968982</v>
      </c>
      <c r="Q17" s="33">
        <f ca="1">SUMIFS(Assumptions!BN$3:BN$103,Assumptions!$G$3:$G$103,'non-road'!$F17,Assumptions!$B$3:$B$103,'non-road'!$D17)/SUMIF(Assumptions!$G$3:$G$103,'non-road'!$F17,Assumptions!BN$3:BN$103)</f>
        <v>0.98305860891767083</v>
      </c>
      <c r="R17" s="33">
        <f ca="1">SUMIFS(Assumptions!BO$3:BO$103,Assumptions!$G$3:$G$103,'non-road'!$F17,Assumptions!$B$3:$B$103,'non-road'!$D17)/SUMIF(Assumptions!$G$3:$G$103,'non-road'!$F17,Assumptions!BO$3:BO$103)</f>
        <v>0.97283315897408185</v>
      </c>
      <c r="S17" s="33">
        <f ca="1">SUMIFS(Assumptions!BP$3:BP$103,Assumptions!$G$3:$G$103,'non-road'!$F17,Assumptions!$B$3:$B$103,'non-road'!$D17)/SUMIF(Assumptions!$G$3:$G$103,'non-road'!$F17,Assumptions!BP$3:BP$103)</f>
        <v>0.93660225674762276</v>
      </c>
      <c r="T17" s="33">
        <f ca="1">SUMIFS(Assumptions!BQ$3:BQ$103,Assumptions!$G$3:$G$103,'non-road'!$F17,Assumptions!$B$3:$B$103,'non-road'!$D17)/SUMIF(Assumptions!$G$3:$G$103,'non-road'!$F17,Assumptions!BQ$3:BQ$103)</f>
        <v>0.91449142139205708</v>
      </c>
      <c r="U17" s="33" t="e">
        <f ca="1">SUMIFS(Assumptions!BR$3:BR$103,Assumptions!$G$3:$G$103,'non-road'!$F17,Assumptions!$B$3:$B$103,'non-road'!$D17)/SUMIF(Assumptions!$G$3:$G$103,'non-road'!$F17,Assumptions!BR$3:BR$103)</f>
        <v>#DIV/0!</v>
      </c>
      <c r="V17" s="33">
        <f ca="1">SUMIFS(Assumptions!BS$3:BS$103,Assumptions!$G$3:$G$103,'non-road'!$F17,Assumptions!$B$3:$B$103,'non-road'!$D17)/SUMIF(Assumptions!$G$3:$G$103,'non-road'!$F17,Assumptions!BS$3:BS$103)</f>
        <v>0.46742716378794519</v>
      </c>
      <c r="W17" s="33">
        <f ca="1">SUMIFS(Assumptions!BT$3:BT$103,Assumptions!$G$3:$G$103,'non-road'!$F17,Assumptions!$B$3:$B$103,'non-road'!$D17)/SUMIF(Assumptions!$G$3:$G$103,'non-road'!$F17,Assumptions!BT$3:BT$103)</f>
        <v>0.53231880128842857</v>
      </c>
      <c r="X17" s="33">
        <f ca="1">SUMIFS(Assumptions!BU$3:BU$103,Assumptions!$G$3:$G$103,'non-road'!$F17,Assumptions!$B$3:$B$103,'non-road'!$D17)/SUMIF(Assumptions!$G$3:$G$103,'non-road'!$F17,Assumptions!BU$3:BU$103)</f>
        <v>0.99091488211490686</v>
      </c>
      <c r="Y17" s="33">
        <f ca="1">SUMIFS(Assumptions!BV$3:BV$103,Assumptions!$G$3:$G$103,'non-road'!$F17,Assumptions!$B$3:$B$103,'non-road'!$D17)/SUMIF(Assumptions!$G$3:$G$103,'non-road'!$F17,Assumptions!BV$3:BV$103)</f>
        <v>0.92961418258108985</v>
      </c>
      <c r="Z17" s="33">
        <f ca="1">SUMIFS(Assumptions!BW$3:BW$103,Assumptions!$G$3:$G$103,'non-road'!$F17,Assumptions!$B$3:$B$103,'non-road'!$D17)/SUMIF(Assumptions!$G$3:$G$103,'non-road'!$F17,Assumptions!BW$3:BW$103)</f>
        <v>0.92677507850398699</v>
      </c>
      <c r="AA17" s="33">
        <f ca="1">SUMIFS(Assumptions!BX$3:BX$103,Assumptions!$G$3:$G$103,'non-road'!$F17,Assumptions!$B$3:$B$103,'non-road'!$D17)/SUMIF(Assumptions!$G$3:$G$103,'non-road'!$F17,Assumptions!BX$3:BX$103)</f>
        <v>0</v>
      </c>
      <c r="AB17" s="33">
        <f ca="1">SUMIFS(Assumptions!BY$3:BY$103,Assumptions!$G$3:$G$103,'non-road'!$F17,Assumptions!$B$3:$B$103,'non-road'!$D17)/SUMIF(Assumptions!$G$3:$G$103,'non-road'!$F17,Assumptions!BY$3:BY$103)</f>
        <v>0.52203090109193062</v>
      </c>
      <c r="AC17" s="33">
        <f ca="1">SUMIFS(Assumptions!BZ$3:BZ$103,Assumptions!$G$3:$G$103,'non-road'!$F17,Assumptions!$B$3:$B$103,'non-road'!$D17)/SUMIF(Assumptions!$G$3:$G$103,'non-road'!$F17,Assumptions!BZ$3:BZ$103)</f>
        <v>0.97375864481883867</v>
      </c>
      <c r="AD17" s="33">
        <f ca="1">SUMIFS(Assumptions!CA$3:CA$103,Assumptions!$G$3:$G$103,'non-road'!$F17,Assumptions!$B$3:$B$103,'non-road'!$D17)/SUMIF(Assumptions!$G$3:$G$103,'non-road'!$F17,Assumptions!CA$3:CA$103)</f>
        <v>0.96605591067495256</v>
      </c>
      <c r="AE17" s="33">
        <f ca="1">SUMIFS(Assumptions!CB$3:CB$103,Assumptions!$G$3:$G$103,'non-road'!$F17,Assumptions!$B$3:$B$103,'non-road'!$D17)/SUMIF(Assumptions!$G$3:$G$103,'non-road'!$F17,Assumptions!CB$3:CB$103)</f>
        <v>0.75275660853303328</v>
      </c>
      <c r="AF17" s="33">
        <f ca="1">SUMIFS(Assumptions!CC$3:CC$103,Assumptions!$G$3:$G$103,'non-road'!$F17,Assumptions!$B$3:$B$103,'non-road'!$D17)/SUMIF(Assumptions!$G$3:$G$103,'non-road'!$F17,Assumptions!CC$3:CC$103)</f>
        <v>0.89625138019974693</v>
      </c>
      <c r="AG17" s="33" t="e">
        <f ca="1">SUMIFS(Assumptions!CD$3:CD$103,Assumptions!$G$3:$G$103,'non-road'!$F17,Assumptions!$B$3:$B$103,'non-road'!$D17)/SUMIF(Assumptions!$G$3:$G$103,'non-road'!$F17,Assumptions!CD$3:CD$103)</f>
        <v>#DIV/0!</v>
      </c>
      <c r="AH17" s="33">
        <f ca="1">SUMIFS(Assumptions!CE$3:CE$103,Assumptions!$G$3:$G$103,'non-road'!$F17,Assumptions!$B$3:$B$103,'non-road'!$D17)/SUMIF(Assumptions!$G$3:$G$103,'non-road'!$F17,Assumptions!CE$3:CE$103)</f>
        <v>0.67811352956258619</v>
      </c>
      <c r="AI17" s="33">
        <f ca="1">SUMIFS(Assumptions!CF$3:CF$103,Assumptions!$G$3:$G$103,'non-road'!$F17,Assumptions!$B$3:$B$103,'non-road'!$D17)/SUMIF(Assumptions!$G$3:$G$103,'non-road'!$F17,Assumptions!CF$3:CF$103)</f>
        <v>0.97355620116298691</v>
      </c>
      <c r="AJ17" s="33">
        <f ca="1">SUMIFS(Assumptions!CG$3:CG$103,Assumptions!$G$3:$G$103,'non-road'!$F17,Assumptions!$B$3:$B$103,'non-road'!$D17)/SUMIF(Assumptions!$G$3:$G$103,'non-road'!$F17,Assumptions!CG$3:CG$103)</f>
        <v>0.96678870509306924</v>
      </c>
      <c r="AK17" s="33">
        <f ca="1">SUMIFS(Assumptions!CH$3:CH$103,Assumptions!$G$3:$G$103,'non-road'!$F17,Assumptions!$B$3:$B$103,'non-road'!$D17)/SUMIF(Assumptions!$G$3:$G$103,'non-road'!$F17,Assumptions!CH$3:CH$103)</f>
        <v>0.99642905011620608</v>
      </c>
      <c r="AL17" s="33">
        <f ca="1">SUMIFS(Assumptions!CI$3:CI$103,Assumptions!$G$3:$G$103,'non-road'!$F17,Assumptions!$B$3:$B$103,'non-road'!$D17)/SUMIF(Assumptions!$G$3:$G$103,'non-road'!$F17,Assumptions!CI$3:CI$103)</f>
        <v>0.74117510813276199</v>
      </c>
      <c r="AM17" s="33">
        <f ca="1">SUMIFS(Assumptions!CJ$3:CJ$103,Assumptions!$G$3:$G$103,'non-road'!$F17,Assumptions!$B$3:$B$103,'non-road'!$D17)/SUMIF(Assumptions!$G$3:$G$103,'non-road'!$F17,Assumptions!CJ$3:CJ$103)</f>
        <v>0.88277915299004361</v>
      </c>
      <c r="AN17" s="33">
        <f ca="1">SUMIFS(Assumptions!CK$3:CK$103,Assumptions!$G$3:$G$103,'non-road'!$F17,Assumptions!$B$3:$B$103,'non-road'!$D17)/SUMIF(Assumptions!$G$3:$G$103,'non-road'!$F17,Assumptions!CK$3:CK$103)</f>
        <v>0.98835620582932271</v>
      </c>
      <c r="AO17" s="33">
        <f ca="1">SUMIFS(Assumptions!CL$3:CL$103,Assumptions!$G$3:$G$103,'non-road'!$F17,Assumptions!$B$3:$B$103,'non-road'!$D17)/SUMIF(Assumptions!$G$3:$G$103,'non-road'!$F17,Assumptions!CL$3:CL$103)</f>
        <v>0.95094196226381444</v>
      </c>
      <c r="AP17" s="33" t="e">
        <f ca="1">SUMIFS(Assumptions!CM$3:CM$103,Assumptions!$G$3:$G$103,'non-road'!$F17,Assumptions!$B$3:$B$103,'non-road'!$D17)/SUMIF(Assumptions!$G$3:$G$103,'non-road'!$F17,Assumptions!CM$3:CM$103)</f>
        <v>#DIV/0!</v>
      </c>
      <c r="AQ17" s="33" t="e">
        <f ca="1">SUMIFS(Assumptions!CN$3:CN$103,Assumptions!$G$3:$G$103,'non-road'!$F17,Assumptions!$B$3:$B$103,'non-road'!$D17)/SUMIF(Assumptions!$G$3:$G$103,'non-road'!$F17,Assumptions!CN$3:CN$103)</f>
        <v>#DIV/0!</v>
      </c>
      <c r="AR17" s="33" t="e">
        <f ca="1">SUMIFS(Assumptions!CO$3:CO$103,Assumptions!$G$3:$G$103,'non-road'!$F17,Assumptions!$B$3:$B$103,'non-road'!$D17)/SUMIF(Assumptions!$G$3:$G$103,'non-road'!$F17,Assumptions!CO$3:CO$103)</f>
        <v>#DIV/0!</v>
      </c>
      <c r="AS17" s="33" t="e">
        <f ca="1">SUMIFS(Assumptions!CP$3:CP$103,Assumptions!$G$3:$G$103,'non-road'!$F17,Assumptions!$B$3:$B$103,'non-road'!$D17)/SUMIF(Assumptions!$G$3:$G$103,'non-road'!$F17,Assumptions!CP$3:CP$103)</f>
        <v>#DIV/0!</v>
      </c>
      <c r="AT17" s="33" t="e">
        <f ca="1">SUMIFS(Assumptions!CQ$3:CQ$103,Assumptions!$G$3:$G$103,'non-road'!$F17,Assumptions!$B$3:$B$103,'non-road'!$D17)/SUMIF(Assumptions!$G$3:$G$103,'non-road'!$F17,Assumptions!CQ$3:CQ$103)</f>
        <v>#DIV/0!</v>
      </c>
      <c r="AU17" s="33" t="e">
        <f ca="1">SUMIFS(Assumptions!CR$3:CR$103,Assumptions!$G$3:$G$103,'non-road'!$F17,Assumptions!$B$3:$B$103,'non-road'!$D17)/SUMIF(Assumptions!$G$3:$G$103,'non-road'!$F17,Assumptions!CR$3:CR$103)</f>
        <v>#DIV/0!</v>
      </c>
      <c r="AV17" s="33" t="e">
        <f ca="1">SUMIFS(Assumptions!CS$3:CS$103,Assumptions!$G$3:$G$103,'non-road'!$F17,Assumptions!$B$3:$B$103,'non-road'!$D17)/SUMIF(Assumptions!$G$3:$G$103,'non-road'!$F17,Assumptions!CS$3:CS$103)</f>
        <v>#DIV/0!</v>
      </c>
      <c r="AW17" s="33" t="e">
        <f ca="1">SUMIFS(Assumptions!CT$3:CT$103,Assumptions!$G$3:$G$103,'non-road'!$F17,Assumptions!$B$3:$B$103,'non-road'!$D17)/SUMIF(Assumptions!$G$3:$G$103,'non-road'!$F17,Assumptions!CT$3:CT$103)</f>
        <v>#DIV/0!</v>
      </c>
      <c r="AX17" s="33" t="e">
        <f ca="1">SUMIFS(Assumptions!CU$3:CU$103,Assumptions!$G$3:$G$103,'non-road'!$F17,Assumptions!$B$3:$B$103,'non-road'!$D17)/SUMIF(Assumptions!$G$3:$G$103,'non-road'!$F17,Assumptions!CU$3:CU$103)</f>
        <v>#DIV/0!</v>
      </c>
      <c r="AY17" s="33" t="e">
        <f ca="1">SUMIFS(Assumptions!CV$3:CV$103,Assumptions!$G$3:$G$103,'non-road'!$F17,Assumptions!$B$3:$B$103,'non-road'!$D17)/SUMIF(Assumptions!$G$3:$G$103,'non-road'!$F17,Assumptions!CV$3:CV$103)</f>
        <v>#DIV/0!</v>
      </c>
      <c r="AZ17" s="33" t="e">
        <f ca="1">SUMIFS(Assumptions!CW$3:CW$103,Assumptions!$G$3:$G$103,'non-road'!$F17,Assumptions!$B$3:$B$103,'non-road'!$D17)/SUMIF(Assumptions!$G$3:$G$103,'non-road'!$F17,Assumptions!CW$3:CW$103)</f>
        <v>#DIV/0!</v>
      </c>
      <c r="BA17" s="34"/>
      <c r="BB17" s="33"/>
      <c r="BC17" s="33"/>
      <c r="BD17" s="27" t="str">
        <f t="shared" si="55"/>
        <v>\I:</v>
      </c>
      <c r="BE17" s="33">
        <f>VLOOKUP($F17,Assumptions!$E$152:$BC$157,COLUMN()-COLUMN($BC$4),FALSE)</f>
        <v>1</v>
      </c>
      <c r="BF17" s="33">
        <f>VLOOKUP($F17,Assumptions!$E$152:$BC$157,COLUMN()-COLUMN($BC$4),FALSE)</f>
        <v>1</v>
      </c>
      <c r="BG17" s="33">
        <f>VLOOKUP($F17,Assumptions!$E$152:$BC$157,COLUMN()-COLUMN($BC$4),FALSE)</f>
        <v>1</v>
      </c>
      <c r="BH17" s="33">
        <f>VLOOKUP($F17,Assumptions!$E$152:$BC$157,COLUMN()-COLUMN($BC$4),FALSE)</f>
        <v>1</v>
      </c>
      <c r="BI17" s="33">
        <f>VLOOKUP($F17,Assumptions!$E$152:$BC$157,COLUMN()-COLUMN($BC$4),FALSE)</f>
        <v>1</v>
      </c>
      <c r="BJ17" s="33">
        <f>VLOOKUP($F17,Assumptions!$E$152:$BC$157,COLUMN()-COLUMN($BC$4),FALSE)</f>
        <v>1</v>
      </c>
      <c r="BK17" s="33">
        <f>VLOOKUP($F17,Assumptions!$E$152:$BC$157,COLUMN()-COLUMN($BC$4),FALSE)</f>
        <v>1</v>
      </c>
      <c r="BL17" s="33">
        <f>VLOOKUP($F17,Assumptions!$E$152:$BC$157,COLUMN()-COLUMN($BC$4),FALSE)</f>
        <v>1</v>
      </c>
      <c r="BM17" s="33">
        <f>VLOOKUP($F17,Assumptions!$E$152:$BC$157,COLUMN()-COLUMN($BC$4),FALSE)</f>
        <v>1</v>
      </c>
      <c r="BN17" s="33">
        <f>VLOOKUP($F17,Assumptions!$E$152:$BC$157,COLUMN()-COLUMN($BC$4),FALSE)</f>
        <v>1</v>
      </c>
      <c r="BO17" s="33">
        <f>VLOOKUP($F17,Assumptions!$E$152:$BC$157,COLUMN()-COLUMN($BC$4),FALSE)</f>
        <v>1</v>
      </c>
      <c r="BP17" s="33">
        <f>VLOOKUP($F17,Assumptions!$E$152:$BC$157,COLUMN()-COLUMN($BC$4),FALSE)</f>
        <v>1</v>
      </c>
      <c r="BQ17" s="33">
        <f>VLOOKUP($F17,Assumptions!$E$152:$BC$157,COLUMN()-COLUMN($BC$4),FALSE)</f>
        <v>1</v>
      </c>
      <c r="BR17" s="33">
        <f>VLOOKUP($F17,Assumptions!$E$152:$BC$157,COLUMN()-COLUMN($BC$4),FALSE)</f>
        <v>1</v>
      </c>
      <c r="BS17" s="33">
        <f>VLOOKUP($F17,Assumptions!$E$152:$BC$157,COLUMN()-COLUMN($BC$4),FALSE)</f>
        <v>1</v>
      </c>
      <c r="BT17" s="33">
        <f>VLOOKUP($F17,Assumptions!$E$152:$BC$157,COLUMN()-COLUMN($BC$4),FALSE)</f>
        <v>1</v>
      </c>
      <c r="BU17" s="33">
        <f>VLOOKUP($F17,Assumptions!$E$152:$BC$157,COLUMN()-COLUMN($BC$4),FALSE)</f>
        <v>1</v>
      </c>
      <c r="BV17" s="33">
        <f>VLOOKUP($F17,Assumptions!$E$152:$BC$157,COLUMN()-COLUMN($BC$4),FALSE)</f>
        <v>1</v>
      </c>
      <c r="BW17" s="33">
        <f>VLOOKUP($F17,Assumptions!$E$152:$BC$157,COLUMN()-COLUMN($BC$4),FALSE)</f>
        <v>1</v>
      </c>
      <c r="BX17" s="33">
        <f>VLOOKUP($F17,Assumptions!$E$152:$BC$157,COLUMN()-COLUMN($BC$4),FALSE)</f>
        <v>1</v>
      </c>
      <c r="BY17" s="33">
        <f>VLOOKUP($F17,Assumptions!$E$152:$BC$157,COLUMN()-COLUMN($BC$4),FALSE)</f>
        <v>1</v>
      </c>
      <c r="BZ17" s="33">
        <f>VLOOKUP($F17,Assumptions!$E$152:$BC$157,COLUMN()-COLUMN($BC$4),FALSE)</f>
        <v>1</v>
      </c>
      <c r="CA17" s="33">
        <f>VLOOKUP($F17,Assumptions!$E$152:$BC$157,COLUMN()-COLUMN($BC$4),FALSE)</f>
        <v>1</v>
      </c>
      <c r="CB17" s="33">
        <f>VLOOKUP($F17,Assumptions!$E$152:$BC$157,COLUMN()-COLUMN($BC$4),FALSE)</f>
        <v>1</v>
      </c>
      <c r="CC17" s="33">
        <f>VLOOKUP($F17,Assumptions!$E$152:$BC$157,COLUMN()-COLUMN($BC$4),FALSE)</f>
        <v>1</v>
      </c>
      <c r="CD17" s="33">
        <f>VLOOKUP($F17,Assumptions!$E$152:$BC$157,COLUMN()-COLUMN($BC$4),FALSE)</f>
        <v>1</v>
      </c>
      <c r="CE17" s="33">
        <f>VLOOKUP($F17,Assumptions!$E$152:$BC$157,COLUMN()-COLUMN($BC$4),FALSE)</f>
        <v>1</v>
      </c>
      <c r="CF17" s="33">
        <f>VLOOKUP($F17,Assumptions!$E$152:$BC$157,COLUMN()-COLUMN($BC$4),FALSE)</f>
        <v>1</v>
      </c>
      <c r="CG17" s="33">
        <f>VLOOKUP($F17,Assumptions!$E$152:$BC$157,COLUMN()-COLUMN($BC$4),FALSE)</f>
        <v>1</v>
      </c>
      <c r="CH17" s="33">
        <f>VLOOKUP($F17,Assumptions!$E$152:$BC$157,COLUMN()-COLUMN($BC$4),FALSE)</f>
        <v>1</v>
      </c>
      <c r="CI17" s="33">
        <f>VLOOKUP($F17,Assumptions!$E$152:$BC$157,COLUMN()-COLUMN($BC$4),FALSE)</f>
        <v>1</v>
      </c>
      <c r="CJ17" s="33">
        <f>VLOOKUP($F17,Assumptions!$E$152:$BC$157,COLUMN()-COLUMN($BC$4),FALSE)</f>
        <v>1</v>
      </c>
      <c r="CK17" s="33">
        <f>VLOOKUP($F17,Assumptions!$E$152:$BC$157,COLUMN()-COLUMN($BC$4),FALSE)</f>
        <v>1</v>
      </c>
      <c r="CL17" s="33">
        <f>VLOOKUP($F17,Assumptions!$E$152:$BC$157,COLUMN()-COLUMN($BC$4),FALSE)</f>
        <v>1</v>
      </c>
      <c r="CM17" s="33">
        <f>VLOOKUP($F17,Assumptions!$E$152:$BC$157,COLUMN()-COLUMN($BC$4),FALSE)</f>
        <v>1</v>
      </c>
      <c r="CN17" s="33">
        <f>VLOOKUP($F17,Assumptions!$E$152:$BC$157,COLUMN()-COLUMN($BC$4),FALSE)</f>
        <v>1</v>
      </c>
      <c r="CO17" s="33">
        <f>VLOOKUP($F17,Assumptions!$E$152:$BC$157,COLUMN()-COLUMN($BC$4),FALSE)</f>
        <v>1</v>
      </c>
      <c r="CP17" s="33">
        <f>VLOOKUP($F17,Assumptions!$E$152:$BC$157,COLUMN()-COLUMN($BC$4),FALSE)</f>
        <v>1</v>
      </c>
      <c r="CQ17" s="33">
        <f>VLOOKUP($F17,Assumptions!$E$152:$BC$157,COLUMN()-COLUMN($BC$4),FALSE)</f>
        <v>1</v>
      </c>
      <c r="CR17" s="33">
        <f>VLOOKUP($F17,Assumptions!$E$152:$BC$157,COLUMN()-COLUMN($BC$4),FALSE)</f>
        <v>1</v>
      </c>
      <c r="CS17" s="33">
        <f>VLOOKUP($F17,Assumptions!$E$152:$BC$157,COLUMN()-COLUMN($BC$4),FALSE)</f>
        <v>1</v>
      </c>
      <c r="CT17" s="33">
        <f>VLOOKUP($F17,Assumptions!$E$152:$BC$157,COLUMN()-COLUMN($BC$4),FALSE)</f>
        <v>1</v>
      </c>
      <c r="CU17" s="33">
        <f>VLOOKUP($F17,Assumptions!$E$152:$BC$157,COLUMN()-COLUMN($BC$4),FALSE)</f>
        <v>1</v>
      </c>
      <c r="CV17" s="33">
        <f>VLOOKUP($F17,Assumptions!$E$152:$BC$157,COLUMN()-COLUMN($BC$4),FALSE)</f>
        <v>1</v>
      </c>
      <c r="CW17" s="33">
        <f>VLOOKUP($F17,Assumptions!$E$152:$BC$157,COLUMN()-COLUMN($BC$4),FALSE)</f>
        <v>1</v>
      </c>
      <c r="CX17" s="33">
        <f>VLOOKUP($F17,Assumptions!$E$152:$BC$157,COLUMN()-COLUMN($BC$4),FALSE)</f>
        <v>1</v>
      </c>
      <c r="CY17" s="27"/>
      <c r="CZ17" s="27"/>
      <c r="DA17" s="27" t="str">
        <f t="shared" si="56"/>
        <v>TWI</v>
      </c>
      <c r="DB17" s="33">
        <f t="shared" ref="DB17" si="66">IFERROR(DB8/DB$20,"")</f>
        <v>1.7761002401457882E-2</v>
      </c>
      <c r="DC17" s="33">
        <f t="shared" ref="DC17:EU17" si="67">IFERROR(DC8/DC$20,"")</f>
        <v>3.1662340754317064E-2</v>
      </c>
      <c r="DD17" s="33">
        <f t="shared" si="67"/>
        <v>3.3262116968935135E-2</v>
      </c>
      <c r="DE17" s="33">
        <f t="shared" si="67"/>
        <v>1.7471421045581372E-3</v>
      </c>
      <c r="DF17" s="33">
        <f t="shared" si="67"/>
        <v>0.19754255515348271</v>
      </c>
      <c r="DG17" s="33">
        <f t="shared" si="67"/>
        <v>0.66739357095520124</v>
      </c>
      <c r="DH17" s="33">
        <f t="shared" si="67"/>
        <v>5.1066980066717317E-2</v>
      </c>
      <c r="DI17" s="33">
        <f t="shared" si="67"/>
        <v>2.2319618226900498E-2</v>
      </c>
      <c r="DJ17" s="33">
        <f t="shared" si="67"/>
        <v>6.4193234508585773E-2</v>
      </c>
      <c r="DK17" s="33">
        <f t="shared" si="67"/>
        <v>0</v>
      </c>
      <c r="DL17" s="33">
        <f t="shared" si="67"/>
        <v>3.1590506516464473E-2</v>
      </c>
      <c r="DM17" s="33">
        <f t="shared" si="67"/>
        <v>1.7645125303392288E-2</v>
      </c>
      <c r="DN17" s="33">
        <f t="shared" si="67"/>
        <v>0.43489746594998724</v>
      </c>
      <c r="DO17" s="33">
        <f t="shared" si="67"/>
        <v>6.8977036714113768E-3</v>
      </c>
      <c r="DP17" s="33">
        <f t="shared" si="67"/>
        <v>0.170020606241612</v>
      </c>
      <c r="DQ17" s="33">
        <f t="shared" si="67"/>
        <v>8.1634562976982648E-3</v>
      </c>
      <c r="DR17" s="33">
        <f t="shared" si="67"/>
        <v>1.9313450891193761E-2</v>
      </c>
      <c r="DS17" s="33">
        <f t="shared" si="67"/>
        <v>0.11787482596377953</v>
      </c>
      <c r="DT17" s="33">
        <f t="shared" si="67"/>
        <v>4.2773148696723509E-2</v>
      </c>
      <c r="DU17" s="33">
        <f t="shared" si="67"/>
        <v>9.8002933128173986E-2</v>
      </c>
      <c r="DV17" s="33">
        <f t="shared" si="67"/>
        <v>0.22302986445942316</v>
      </c>
      <c r="DW17" s="33">
        <f t="shared" si="67"/>
        <v>5.0605646206424493E-2</v>
      </c>
      <c r="DX17" s="33">
        <f t="shared" si="67"/>
        <v>5.190560685960563E-2</v>
      </c>
      <c r="DY17" s="33">
        <f t="shared" si="67"/>
        <v>1.239652111800162E-2</v>
      </c>
      <c r="DZ17" s="33">
        <f t="shared" si="67"/>
        <v>0.20587915622025582</v>
      </c>
      <c r="EA17" s="33">
        <f t="shared" si="67"/>
        <v>0.18414166474199301</v>
      </c>
      <c r="EB17" s="33">
        <f t="shared" si="67"/>
        <v>7.8821096152772843E-2</v>
      </c>
      <c r="EC17" s="33">
        <f t="shared" si="67"/>
        <v>0.2019216049874403</v>
      </c>
      <c r="ED17" s="33">
        <f t="shared" si="67"/>
        <v>0.20398106188697021</v>
      </c>
      <c r="EE17" s="33">
        <f t="shared" si="67"/>
        <v>0.15694048782948389</v>
      </c>
      <c r="EF17" s="33">
        <f t="shared" si="67"/>
        <v>2.7141225085998498E-4</v>
      </c>
      <c r="EG17" s="33">
        <f t="shared" si="67"/>
        <v>2.3921810036047719E-2</v>
      </c>
      <c r="EH17" s="33">
        <f t="shared" si="67"/>
        <v>4.028472919753609E-2</v>
      </c>
      <c r="EI17" s="33">
        <f t="shared" si="67"/>
        <v>0</v>
      </c>
      <c r="EJ17" s="33">
        <f t="shared" si="67"/>
        <v>1.0640346596753968E-2</v>
      </c>
      <c r="EK17" s="33">
        <f t="shared" si="67"/>
        <v>0</v>
      </c>
      <c r="EL17" s="33">
        <f t="shared" si="67"/>
        <v>0</v>
      </c>
      <c r="EM17" s="33">
        <f t="shared" si="67"/>
        <v>0</v>
      </c>
      <c r="EN17" s="33">
        <f t="shared" si="67"/>
        <v>0</v>
      </c>
      <c r="EO17" s="33">
        <f t="shared" si="67"/>
        <v>0</v>
      </c>
      <c r="EP17" s="33">
        <f t="shared" si="67"/>
        <v>0</v>
      </c>
      <c r="EQ17" s="33">
        <f t="shared" si="67"/>
        <v>0</v>
      </c>
      <c r="ER17" s="33">
        <f t="shared" si="67"/>
        <v>0</v>
      </c>
      <c r="ES17" s="33">
        <f t="shared" si="67"/>
        <v>0</v>
      </c>
      <c r="ET17" s="33">
        <f t="shared" si="67"/>
        <v>0</v>
      </c>
      <c r="EU17" s="33" t="str">
        <f t="shared" si="67"/>
        <v/>
      </c>
      <c r="EV17" s="27"/>
      <c r="EW17" s="27" t="str">
        <f t="shared" si="48"/>
        <v>DMD</v>
      </c>
      <c r="EX17" s="27" t="str">
        <f t="shared" ref="EX17:EX40" si="68">C18</f>
        <v>TAI_Generic</v>
      </c>
      <c r="EY17" s="27" t="s">
        <v>164</v>
      </c>
      <c r="EZ17" s="27" t="s">
        <v>160</v>
      </c>
      <c r="FA17" s="27" t="s">
        <v>161</v>
      </c>
    </row>
    <row r="18" spans="1:157">
      <c r="C18" s="27" t="str">
        <f t="shared" si="54"/>
        <v>TAI_Generic</v>
      </c>
      <c r="D18" s="27" t="s">
        <v>42</v>
      </c>
      <c r="E18" s="27"/>
      <c r="F18" s="27" t="s">
        <v>18</v>
      </c>
      <c r="G18" s="33">
        <f>SUMIFS(Assumptions!BD$105:BD$128,Assumptions!$BB$105:$BB$128,'non-road'!$F18,Assumptions!$BC$105:$BC$128,'non-road'!$D18)/SUMIF(Assumptions!$BB$105:$BB$128,'non-road'!$F18,Assumptions!BD$105:BD$128)</f>
        <v>0</v>
      </c>
      <c r="H18" s="33">
        <f>SUMIFS(Assumptions!BE$105:BE$128,Assumptions!$BB$105:$BB$128,'non-road'!$F18,Assumptions!$BC$105:$BC$128,'non-road'!$D18)/SUMIF(Assumptions!$BB$105:$BB$128,'non-road'!$F18,Assumptions!BE$105:BE$128)</f>
        <v>0</v>
      </c>
      <c r="I18" s="33">
        <f>SUMIFS(Assumptions!BF$105:BF$128,Assumptions!$BB$105:$BB$128,'non-road'!$F18,Assumptions!$BC$105:$BC$128,'non-road'!$D18)/SUMIF(Assumptions!$BB$105:$BB$128,'non-road'!$F18,Assumptions!BF$105:BF$128)</f>
        <v>0</v>
      </c>
      <c r="J18" s="33">
        <f>SUMIFS(Assumptions!BG$105:BG$128,Assumptions!$BB$105:$BB$128,'non-road'!$F18,Assumptions!$BC$105:$BC$128,'non-road'!$D18)/SUMIF(Assumptions!$BB$105:$BB$128,'non-road'!$F18,Assumptions!BG$105:BG$128)</f>
        <v>0</v>
      </c>
      <c r="K18" s="33">
        <f>SUMIFS(Assumptions!BH$105:BH$128,Assumptions!$BB$105:$BB$128,'non-road'!$F18,Assumptions!$BC$105:$BC$128,'non-road'!$D18)/SUMIF(Assumptions!$BB$105:$BB$128,'non-road'!$F18,Assumptions!BH$105:BH$128)</f>
        <v>0</v>
      </c>
      <c r="L18" s="33">
        <f>SUMIFS(Assumptions!BI$105:BI$128,Assumptions!$BB$105:$BB$128,'non-road'!$F18,Assumptions!$BC$105:$BC$128,'non-road'!$D18)/SUMIF(Assumptions!$BB$105:$BB$128,'non-road'!$F18,Assumptions!BI$105:BI$128)</f>
        <v>0</v>
      </c>
      <c r="M18" s="33">
        <f>SUMIFS(Assumptions!BJ$105:BJ$128,Assumptions!$BB$105:$BB$128,'non-road'!$F18,Assumptions!$BC$105:$BC$128,'non-road'!$D18)/SUMIF(Assumptions!$BB$105:$BB$128,'non-road'!$F18,Assumptions!BJ$105:BJ$128)</f>
        <v>0</v>
      </c>
      <c r="N18" s="33">
        <f>SUMIFS(Assumptions!BK$105:BK$128,Assumptions!$BB$105:$BB$128,'non-road'!$F18,Assumptions!$BC$105:$BC$128,'non-road'!$D18)/SUMIF(Assumptions!$BB$105:$BB$128,'non-road'!$F18,Assumptions!BK$105:BK$128)</f>
        <v>0</v>
      </c>
      <c r="O18" s="33">
        <f>SUMIFS(Assumptions!BL$105:BL$128,Assumptions!$BB$105:$BB$128,'non-road'!$F18,Assumptions!$BC$105:$BC$128,'non-road'!$D18)/SUMIF(Assumptions!$BB$105:$BB$128,'non-road'!$F18,Assumptions!BL$105:BL$128)</f>
        <v>0</v>
      </c>
      <c r="P18" s="33">
        <f>SUMIFS(Assumptions!BM$105:BM$128,Assumptions!$BB$105:$BB$128,'non-road'!$F18,Assumptions!$BC$105:$BC$128,'non-road'!$D18)/SUMIF(Assumptions!$BB$105:$BB$128,'non-road'!$F18,Assumptions!BM$105:BM$128)</f>
        <v>0</v>
      </c>
      <c r="Q18" s="33">
        <f>SUMIFS(Assumptions!BN$105:BN$128,Assumptions!$BB$105:$BB$128,'non-road'!$F18,Assumptions!$BC$105:$BC$128,'non-road'!$D18)/SUMIF(Assumptions!$BB$105:$BB$128,'non-road'!$F18,Assumptions!BN$105:BN$128)</f>
        <v>0</v>
      </c>
      <c r="R18" s="33">
        <f>SUMIFS(Assumptions!BO$105:BO$128,Assumptions!$BB$105:$BB$128,'non-road'!$F18,Assumptions!$BC$105:$BC$128,'non-road'!$D18)/SUMIF(Assumptions!$BB$105:$BB$128,'non-road'!$F18,Assumptions!BO$105:BO$128)</f>
        <v>0</v>
      </c>
      <c r="S18" s="33">
        <f>SUMIFS(Assumptions!BP$105:BP$128,Assumptions!$BB$105:$BB$128,'non-road'!$F18,Assumptions!$BC$105:$BC$128,'non-road'!$D18)/SUMIF(Assumptions!$BB$105:$BB$128,'non-road'!$F18,Assumptions!BP$105:BP$128)</f>
        <v>0</v>
      </c>
      <c r="T18" s="33">
        <f>SUMIFS(Assumptions!BQ$105:BQ$128,Assumptions!$BB$105:$BB$128,'non-road'!$F18,Assumptions!$BC$105:$BC$128,'non-road'!$D18)/SUMIF(Assumptions!$BB$105:$BB$128,'non-road'!$F18,Assumptions!BQ$105:BQ$128)</f>
        <v>0</v>
      </c>
      <c r="U18" s="33">
        <f>SUMIFS(Assumptions!BR$105:BR$128,Assumptions!$BB$105:$BB$128,'non-road'!$F18,Assumptions!$BC$105:$BC$128,'non-road'!$D18)/SUMIF(Assumptions!$BB$105:$BB$128,'non-road'!$F18,Assumptions!BR$105:BR$128)</f>
        <v>0</v>
      </c>
      <c r="V18" s="33">
        <f>SUMIFS(Assumptions!BS$105:BS$128,Assumptions!$BB$105:$BB$128,'non-road'!$F18,Assumptions!$BC$105:$BC$128,'non-road'!$D18)/SUMIF(Assumptions!$BB$105:$BB$128,'non-road'!$F18,Assumptions!BS$105:BS$128)</f>
        <v>0</v>
      </c>
      <c r="W18" s="33">
        <f>SUMIFS(Assumptions!BT$105:BT$128,Assumptions!$BB$105:$BB$128,'non-road'!$F18,Assumptions!$BC$105:$BC$128,'non-road'!$D18)/SUMIF(Assumptions!$BB$105:$BB$128,'non-road'!$F18,Assumptions!BT$105:BT$128)</f>
        <v>0</v>
      </c>
      <c r="X18" s="33">
        <f>SUMIFS(Assumptions!BU$105:BU$128,Assumptions!$BB$105:$BB$128,'non-road'!$F18,Assumptions!$BC$105:$BC$128,'non-road'!$D18)/SUMIF(Assumptions!$BB$105:$BB$128,'non-road'!$F18,Assumptions!BU$105:BU$128)</f>
        <v>0</v>
      </c>
      <c r="Y18" s="33">
        <f>SUMIFS(Assumptions!BV$105:BV$128,Assumptions!$BB$105:$BB$128,'non-road'!$F18,Assumptions!$BC$105:$BC$128,'non-road'!$D18)/SUMIF(Assumptions!$BB$105:$BB$128,'non-road'!$F18,Assumptions!BV$105:BV$128)</f>
        <v>0</v>
      </c>
      <c r="Z18" s="33">
        <f>SUMIFS(Assumptions!BW$105:BW$128,Assumptions!$BB$105:$BB$128,'non-road'!$F18,Assumptions!$BC$105:$BC$128,'non-road'!$D18)/SUMIF(Assumptions!$BB$105:$BB$128,'non-road'!$F18,Assumptions!BW$105:BW$128)</f>
        <v>0</v>
      </c>
      <c r="AA18" s="33">
        <f>SUMIFS(Assumptions!BX$105:BX$128,Assumptions!$BB$105:$BB$128,'non-road'!$F18,Assumptions!$BC$105:$BC$128,'non-road'!$D18)/SUMIF(Assumptions!$BB$105:$BB$128,'non-road'!$F18,Assumptions!BX$105:BX$128)</f>
        <v>0</v>
      </c>
      <c r="AB18" s="33">
        <f>SUMIFS(Assumptions!BY$105:BY$128,Assumptions!$BB$105:$BB$128,'non-road'!$F18,Assumptions!$BC$105:$BC$128,'non-road'!$D18)/SUMIF(Assumptions!$BB$105:$BB$128,'non-road'!$F18,Assumptions!BY$105:BY$128)</f>
        <v>0</v>
      </c>
      <c r="AC18" s="33">
        <f>SUMIFS(Assumptions!BZ$105:BZ$128,Assumptions!$BB$105:$BB$128,'non-road'!$F18,Assumptions!$BC$105:$BC$128,'non-road'!$D18)/SUMIF(Assumptions!$BB$105:$BB$128,'non-road'!$F18,Assumptions!BZ$105:BZ$128)</f>
        <v>0</v>
      </c>
      <c r="AD18" s="33">
        <f>SUMIFS(Assumptions!CA$105:CA$128,Assumptions!$BB$105:$BB$128,'non-road'!$F18,Assumptions!$BC$105:$BC$128,'non-road'!$D18)/SUMIF(Assumptions!$BB$105:$BB$128,'non-road'!$F18,Assumptions!CA$105:CA$128)</f>
        <v>0</v>
      </c>
      <c r="AE18" s="33">
        <f>SUMIFS(Assumptions!CB$105:CB$128,Assumptions!$BB$105:$BB$128,'non-road'!$F18,Assumptions!$BC$105:$BC$128,'non-road'!$D18)/SUMIF(Assumptions!$BB$105:$BB$128,'non-road'!$F18,Assumptions!CB$105:CB$128)</f>
        <v>0</v>
      </c>
      <c r="AF18" s="33">
        <f>SUMIFS(Assumptions!CC$105:CC$128,Assumptions!$BB$105:$BB$128,'non-road'!$F18,Assumptions!$BC$105:$BC$128,'non-road'!$D18)/SUMIF(Assumptions!$BB$105:$BB$128,'non-road'!$F18,Assumptions!CC$105:CC$128)</f>
        <v>0</v>
      </c>
      <c r="AG18" s="33">
        <f>SUMIFS(Assumptions!CD$105:CD$128,Assumptions!$BB$105:$BB$128,'non-road'!$F18,Assumptions!$BC$105:$BC$128,'non-road'!$D18)/SUMIF(Assumptions!$BB$105:$BB$128,'non-road'!$F18,Assumptions!CD$105:CD$128)</f>
        <v>0</v>
      </c>
      <c r="AH18" s="33">
        <f>SUMIFS(Assumptions!CE$105:CE$128,Assumptions!$BB$105:$BB$128,'non-road'!$F18,Assumptions!$BC$105:$BC$128,'non-road'!$D18)/SUMIF(Assumptions!$BB$105:$BB$128,'non-road'!$F18,Assumptions!CE$105:CE$128)</f>
        <v>0</v>
      </c>
      <c r="AI18" s="33">
        <f>SUMIFS(Assumptions!CF$105:CF$128,Assumptions!$BB$105:$BB$128,'non-road'!$F18,Assumptions!$BC$105:$BC$128,'non-road'!$D18)/SUMIF(Assumptions!$BB$105:$BB$128,'non-road'!$F18,Assumptions!CF$105:CF$128)</f>
        <v>0</v>
      </c>
      <c r="AJ18" s="33">
        <f>SUMIFS(Assumptions!CG$105:CG$128,Assumptions!$BB$105:$BB$128,'non-road'!$F18,Assumptions!$BC$105:$BC$128,'non-road'!$D18)/SUMIF(Assumptions!$BB$105:$BB$128,'non-road'!$F18,Assumptions!CG$105:CG$128)</f>
        <v>0</v>
      </c>
      <c r="AK18" s="33">
        <f>SUMIFS(Assumptions!CH$105:CH$128,Assumptions!$BB$105:$BB$128,'non-road'!$F18,Assumptions!$BC$105:$BC$128,'non-road'!$D18)/SUMIF(Assumptions!$BB$105:$BB$128,'non-road'!$F18,Assumptions!CH$105:CH$128)</f>
        <v>0</v>
      </c>
      <c r="AL18" s="33">
        <f>SUMIFS(Assumptions!CI$105:CI$128,Assumptions!$BB$105:$BB$128,'non-road'!$F18,Assumptions!$BC$105:$BC$128,'non-road'!$D18)/SUMIF(Assumptions!$BB$105:$BB$128,'non-road'!$F18,Assumptions!CI$105:CI$128)</f>
        <v>0</v>
      </c>
      <c r="AM18" s="33">
        <f>SUMIFS(Assumptions!CJ$105:CJ$128,Assumptions!$BB$105:$BB$128,'non-road'!$F18,Assumptions!$BC$105:$BC$128,'non-road'!$D18)/SUMIF(Assumptions!$BB$105:$BB$128,'non-road'!$F18,Assumptions!CJ$105:CJ$128)</f>
        <v>0</v>
      </c>
      <c r="AN18" s="33">
        <f>SUMIFS(Assumptions!CK$105:CK$128,Assumptions!$BB$105:$BB$128,'non-road'!$F18,Assumptions!$BC$105:$BC$128,'non-road'!$D18)/SUMIF(Assumptions!$BB$105:$BB$128,'non-road'!$F18,Assumptions!CK$105:CK$128)</f>
        <v>0</v>
      </c>
      <c r="AO18" s="33">
        <f>SUMIFS(Assumptions!CL$105:CL$128,Assumptions!$BB$105:$BB$128,'non-road'!$F18,Assumptions!$BC$105:$BC$128,'non-road'!$D18)/SUMIF(Assumptions!$BB$105:$BB$128,'non-road'!$F18,Assumptions!CL$105:CL$128)</f>
        <v>0</v>
      </c>
      <c r="AP18" s="33" t="e">
        <f>SUMIFS(Assumptions!CM$105:CM$128,Assumptions!$BB$105:$BB$128,'non-road'!$F18,Assumptions!$BC$105:$BC$128,'non-road'!$D18)/SUMIF(Assumptions!$BB$105:$BB$128,'non-road'!$F18,Assumptions!CM$105:CM$128)</f>
        <v>#DIV/0!</v>
      </c>
      <c r="AQ18" s="33" t="e">
        <f>SUMIFS(Assumptions!CN$105:CN$128,Assumptions!$BB$105:$BB$128,'non-road'!$F18,Assumptions!$BC$105:$BC$128,'non-road'!$D18)/SUMIF(Assumptions!$BB$105:$BB$128,'non-road'!$F18,Assumptions!CN$105:CN$128)</f>
        <v>#DIV/0!</v>
      </c>
      <c r="AR18" s="33" t="e">
        <f>SUMIFS(Assumptions!CO$105:CO$128,Assumptions!$BB$105:$BB$128,'non-road'!$F18,Assumptions!$BC$105:$BC$128,'non-road'!$D18)/SUMIF(Assumptions!$BB$105:$BB$128,'non-road'!$F18,Assumptions!CO$105:CO$128)</f>
        <v>#DIV/0!</v>
      </c>
      <c r="AS18" s="33" t="e">
        <f>SUMIFS(Assumptions!CP$105:CP$128,Assumptions!$BB$105:$BB$128,'non-road'!$F18,Assumptions!$BC$105:$BC$128,'non-road'!$D18)/SUMIF(Assumptions!$BB$105:$BB$128,'non-road'!$F18,Assumptions!CP$105:CP$128)</f>
        <v>#DIV/0!</v>
      </c>
      <c r="AT18" s="33" t="e">
        <f>SUMIFS(Assumptions!CQ$105:CQ$128,Assumptions!$BB$105:$BB$128,'non-road'!$F18,Assumptions!$BC$105:$BC$128,'non-road'!$D18)/SUMIF(Assumptions!$BB$105:$BB$128,'non-road'!$F18,Assumptions!CQ$105:CQ$128)</f>
        <v>#DIV/0!</v>
      </c>
      <c r="AU18" s="33" t="e">
        <f>SUMIFS(Assumptions!CR$105:CR$128,Assumptions!$BB$105:$BB$128,'non-road'!$F18,Assumptions!$BC$105:$BC$128,'non-road'!$D18)/SUMIF(Assumptions!$BB$105:$BB$128,'non-road'!$F18,Assumptions!CR$105:CR$128)</f>
        <v>#DIV/0!</v>
      </c>
      <c r="AV18" s="33" t="e">
        <f>SUMIFS(Assumptions!CS$105:CS$128,Assumptions!$BB$105:$BB$128,'non-road'!$F18,Assumptions!$BC$105:$BC$128,'non-road'!$D18)/SUMIF(Assumptions!$BB$105:$BB$128,'non-road'!$F18,Assumptions!CS$105:CS$128)</f>
        <v>#DIV/0!</v>
      </c>
      <c r="AW18" s="33" t="e">
        <f>SUMIFS(Assumptions!CT$105:CT$128,Assumptions!$BB$105:$BB$128,'non-road'!$F18,Assumptions!$BC$105:$BC$128,'non-road'!$D18)/SUMIF(Assumptions!$BB$105:$BB$128,'non-road'!$F18,Assumptions!CT$105:CT$128)</f>
        <v>#DIV/0!</v>
      </c>
      <c r="AX18" s="33" t="e">
        <f>SUMIFS(Assumptions!CU$105:CU$128,Assumptions!$BB$105:$BB$128,'non-road'!$F18,Assumptions!$BC$105:$BC$128,'non-road'!$D18)/SUMIF(Assumptions!$BB$105:$BB$128,'non-road'!$F18,Assumptions!CU$105:CU$128)</f>
        <v>#DIV/0!</v>
      </c>
      <c r="AY18" s="33" t="e">
        <f>SUMIFS(Assumptions!CV$105:CV$128,Assumptions!$BB$105:$BB$128,'non-road'!$F18,Assumptions!$BC$105:$BC$128,'non-road'!$D18)/SUMIF(Assumptions!$BB$105:$BB$128,'non-road'!$F18,Assumptions!CV$105:CV$128)</f>
        <v>#DIV/0!</v>
      </c>
      <c r="AZ18" s="33" t="e">
        <f>SUMIFS(Assumptions!CW$105:CW$128,Assumptions!$BB$105:$BB$128,'non-road'!$F18,Assumptions!$BC$105:$BC$128,'non-road'!$D18)/SUMIF(Assumptions!$BB$105:$BB$128,'non-road'!$F18,Assumptions!CW$105:CW$128)</f>
        <v>#DIV/0!</v>
      </c>
      <c r="BD18" s="27" t="str">
        <f t="shared" si="55"/>
        <v>TAI_Generic</v>
      </c>
      <c r="BE18" s="33">
        <f>VLOOKUP($F18,Assumptions!$E$152:$BC$157,COLUMN()-COLUMN($BC$4),FALSE)</f>
        <v>1</v>
      </c>
      <c r="BF18" s="33">
        <f>VLOOKUP($F18,Assumptions!$E$152:$BC$157,COLUMN()-COLUMN($BC$4),FALSE)</f>
        <v>1</v>
      </c>
      <c r="BG18" s="33">
        <f>VLOOKUP($F18,Assumptions!$E$152:$BC$157,COLUMN()-COLUMN($BC$4),FALSE)</f>
        <v>1</v>
      </c>
      <c r="BH18" s="33">
        <f>VLOOKUP($F18,Assumptions!$E$152:$BC$157,COLUMN()-COLUMN($BC$4),FALSE)</f>
        <v>1</v>
      </c>
      <c r="BI18" s="33">
        <f>VLOOKUP($F18,Assumptions!$E$152:$BC$157,COLUMN()-COLUMN($BC$4),FALSE)</f>
        <v>1</v>
      </c>
      <c r="BJ18" s="33">
        <f>VLOOKUP($F18,Assumptions!$E$152:$BC$157,COLUMN()-COLUMN($BC$4),FALSE)</f>
        <v>1</v>
      </c>
      <c r="BK18" s="33">
        <f>VLOOKUP($F18,Assumptions!$E$152:$BC$157,COLUMN()-COLUMN($BC$4),FALSE)</f>
        <v>1</v>
      </c>
      <c r="BL18" s="33">
        <f>VLOOKUP($F18,Assumptions!$E$152:$BC$157,COLUMN()-COLUMN($BC$4),FALSE)</f>
        <v>1</v>
      </c>
      <c r="BM18" s="33">
        <f>VLOOKUP($F18,Assumptions!$E$152:$BC$157,COLUMN()-COLUMN($BC$4),FALSE)</f>
        <v>1</v>
      </c>
      <c r="BN18" s="33">
        <f>VLOOKUP($F18,Assumptions!$E$152:$BC$157,COLUMN()-COLUMN($BC$4),FALSE)</f>
        <v>1</v>
      </c>
      <c r="BO18" s="33">
        <f>VLOOKUP($F18,Assumptions!$E$152:$BC$157,COLUMN()-COLUMN($BC$4),FALSE)</f>
        <v>1</v>
      </c>
      <c r="BP18" s="33">
        <f>VLOOKUP($F18,Assumptions!$E$152:$BC$157,COLUMN()-COLUMN($BC$4),FALSE)</f>
        <v>1</v>
      </c>
      <c r="BQ18" s="33">
        <f>VLOOKUP($F18,Assumptions!$E$152:$BC$157,COLUMN()-COLUMN($BC$4),FALSE)</f>
        <v>1</v>
      </c>
      <c r="BR18" s="33">
        <f>VLOOKUP($F18,Assumptions!$E$152:$BC$157,COLUMN()-COLUMN($BC$4),FALSE)</f>
        <v>1</v>
      </c>
      <c r="BS18" s="33">
        <f>VLOOKUP($F18,Assumptions!$E$152:$BC$157,COLUMN()-COLUMN($BC$4),FALSE)</f>
        <v>1</v>
      </c>
      <c r="BT18" s="33">
        <f>VLOOKUP($F18,Assumptions!$E$152:$BC$157,COLUMN()-COLUMN($BC$4),FALSE)</f>
        <v>1</v>
      </c>
      <c r="BU18" s="33">
        <f>VLOOKUP($F18,Assumptions!$E$152:$BC$157,COLUMN()-COLUMN($BC$4),FALSE)</f>
        <v>1</v>
      </c>
      <c r="BV18" s="33">
        <f>VLOOKUP($F18,Assumptions!$E$152:$BC$157,COLUMN()-COLUMN($BC$4),FALSE)</f>
        <v>1</v>
      </c>
      <c r="BW18" s="33">
        <f>VLOOKUP($F18,Assumptions!$E$152:$BC$157,COLUMN()-COLUMN($BC$4),FALSE)</f>
        <v>1</v>
      </c>
      <c r="BX18" s="33">
        <f>VLOOKUP($F18,Assumptions!$E$152:$BC$157,COLUMN()-COLUMN($BC$4),FALSE)</f>
        <v>1</v>
      </c>
      <c r="BY18" s="33">
        <f>VLOOKUP($F18,Assumptions!$E$152:$BC$157,COLUMN()-COLUMN($BC$4),FALSE)</f>
        <v>1</v>
      </c>
      <c r="BZ18" s="33">
        <f>VLOOKUP($F18,Assumptions!$E$152:$BC$157,COLUMN()-COLUMN($BC$4),FALSE)</f>
        <v>1</v>
      </c>
      <c r="CA18" s="33">
        <f>VLOOKUP($F18,Assumptions!$E$152:$BC$157,COLUMN()-COLUMN($BC$4),FALSE)</f>
        <v>1</v>
      </c>
      <c r="CB18" s="33">
        <f>VLOOKUP($F18,Assumptions!$E$152:$BC$157,COLUMN()-COLUMN($BC$4),FALSE)</f>
        <v>1</v>
      </c>
      <c r="CC18" s="33">
        <f>VLOOKUP($F18,Assumptions!$E$152:$BC$157,COLUMN()-COLUMN($BC$4),FALSE)</f>
        <v>1</v>
      </c>
      <c r="CD18" s="33">
        <f>VLOOKUP($F18,Assumptions!$E$152:$BC$157,COLUMN()-COLUMN($BC$4),FALSE)</f>
        <v>1</v>
      </c>
      <c r="CE18" s="33">
        <f>VLOOKUP($F18,Assumptions!$E$152:$BC$157,COLUMN()-COLUMN($BC$4),FALSE)</f>
        <v>1</v>
      </c>
      <c r="CF18" s="33">
        <f>VLOOKUP($F18,Assumptions!$E$152:$BC$157,COLUMN()-COLUMN($BC$4),FALSE)</f>
        <v>1</v>
      </c>
      <c r="CG18" s="33">
        <f>VLOOKUP($F18,Assumptions!$E$152:$BC$157,COLUMN()-COLUMN($BC$4),FALSE)</f>
        <v>1</v>
      </c>
      <c r="CH18" s="33">
        <f>VLOOKUP($F18,Assumptions!$E$152:$BC$157,COLUMN()-COLUMN($BC$4),FALSE)</f>
        <v>1</v>
      </c>
      <c r="CI18" s="33">
        <f>VLOOKUP($F18,Assumptions!$E$152:$BC$157,COLUMN()-COLUMN($BC$4),FALSE)</f>
        <v>1</v>
      </c>
      <c r="CJ18" s="33">
        <f>VLOOKUP($F18,Assumptions!$E$152:$BC$157,COLUMN()-COLUMN($BC$4),FALSE)</f>
        <v>1</v>
      </c>
      <c r="CK18" s="33">
        <f>VLOOKUP($F18,Assumptions!$E$152:$BC$157,COLUMN()-COLUMN($BC$4),FALSE)</f>
        <v>1</v>
      </c>
      <c r="CL18" s="33">
        <f>VLOOKUP($F18,Assumptions!$E$152:$BC$157,COLUMN()-COLUMN($BC$4),FALSE)</f>
        <v>1</v>
      </c>
      <c r="CM18" s="33">
        <f>VLOOKUP($F18,Assumptions!$E$152:$BC$157,COLUMN()-COLUMN($BC$4),FALSE)</f>
        <v>1</v>
      </c>
      <c r="CN18" s="33">
        <f>VLOOKUP($F18,Assumptions!$E$152:$BC$157,COLUMN()-COLUMN($BC$4),FALSE)</f>
        <v>1</v>
      </c>
      <c r="CO18" s="33">
        <f>VLOOKUP($F18,Assumptions!$E$152:$BC$157,COLUMN()-COLUMN($BC$4),FALSE)</f>
        <v>1</v>
      </c>
      <c r="CP18" s="33">
        <f>VLOOKUP($F18,Assumptions!$E$152:$BC$157,COLUMN()-COLUMN($BC$4),FALSE)</f>
        <v>1</v>
      </c>
      <c r="CQ18" s="33">
        <f>VLOOKUP($F18,Assumptions!$E$152:$BC$157,COLUMN()-COLUMN($BC$4),FALSE)</f>
        <v>1</v>
      </c>
      <c r="CR18" s="33">
        <f>VLOOKUP($F18,Assumptions!$E$152:$BC$157,COLUMN()-COLUMN($BC$4),FALSE)</f>
        <v>1</v>
      </c>
      <c r="CS18" s="33">
        <f>VLOOKUP($F18,Assumptions!$E$152:$BC$157,COLUMN()-COLUMN($BC$4),FALSE)</f>
        <v>1</v>
      </c>
      <c r="CT18" s="33">
        <f>VLOOKUP($F18,Assumptions!$E$152:$BC$157,COLUMN()-COLUMN($BC$4),FALSE)</f>
        <v>1</v>
      </c>
      <c r="CU18" s="33">
        <f>VLOOKUP($F18,Assumptions!$E$152:$BC$157,COLUMN()-COLUMN($BC$4),FALSE)</f>
        <v>1</v>
      </c>
      <c r="CV18" s="33">
        <f>VLOOKUP($F18,Assumptions!$E$152:$BC$157,COLUMN()-COLUMN($BC$4),FALSE)</f>
        <v>1</v>
      </c>
      <c r="CW18" s="33">
        <f>VLOOKUP($F18,Assumptions!$E$152:$BC$157,COLUMN()-COLUMN($BC$4),FALSE)</f>
        <v>1</v>
      </c>
      <c r="CX18" s="33">
        <f>VLOOKUP($F18,Assumptions!$E$152:$BC$157,COLUMN()-COLUMN($BC$4),FALSE)</f>
        <v>1</v>
      </c>
      <c r="CY18" s="27"/>
      <c r="CZ18" s="27"/>
      <c r="EV18" s="27"/>
      <c r="EW18" s="27" t="str">
        <f t="shared" si="48"/>
        <v>\I:</v>
      </c>
      <c r="EX18" s="27" t="str">
        <f t="shared" si="68"/>
        <v/>
      </c>
      <c r="EY18" s="27" t="s">
        <v>169</v>
      </c>
      <c r="EZ18" s="27" t="s">
        <v>160</v>
      </c>
      <c r="FA18" s="27" t="s">
        <v>161</v>
      </c>
    </row>
    <row r="19" spans="1:157" ht="14.65" thickBot="1">
      <c r="C19" s="27" t="str">
        <f t="shared" si="54"/>
        <v/>
      </c>
      <c r="D19" s="27" t="s">
        <v>41</v>
      </c>
      <c r="E19" s="27"/>
      <c r="F19" s="27" t="s">
        <v>18</v>
      </c>
      <c r="G19" s="33">
        <f>SUMIFS(Assumptions!BD$105:BD$128,Assumptions!$BB$105:$BB$128,'non-road'!$F19,Assumptions!$BC$105:$BC$128,'non-road'!$D19)/SUMIF(Assumptions!$BB$105:$BB$128,'non-road'!$F19,Assumptions!BD$105:BD$128)</f>
        <v>0</v>
      </c>
      <c r="H19" s="33">
        <f>SUMIFS(Assumptions!BE$105:BE$128,Assumptions!$BB$105:$BB$128,'non-road'!$F19,Assumptions!$BC$105:$BC$128,'non-road'!$D19)/SUMIF(Assumptions!$BB$105:$BB$128,'non-road'!$F19,Assumptions!BE$105:BE$128)</f>
        <v>0</v>
      </c>
      <c r="I19" s="33">
        <f>SUMIFS(Assumptions!BF$105:BF$128,Assumptions!$BB$105:$BB$128,'non-road'!$F19,Assumptions!$BC$105:$BC$128,'non-road'!$D19)/SUMIF(Assumptions!$BB$105:$BB$128,'non-road'!$F19,Assumptions!BF$105:BF$128)</f>
        <v>0</v>
      </c>
      <c r="J19" s="33">
        <f>SUMIFS(Assumptions!BG$105:BG$128,Assumptions!$BB$105:$BB$128,'non-road'!$F19,Assumptions!$BC$105:$BC$128,'non-road'!$D19)/SUMIF(Assumptions!$BB$105:$BB$128,'non-road'!$F19,Assumptions!BG$105:BG$128)</f>
        <v>0</v>
      </c>
      <c r="K19" s="33">
        <f>SUMIFS(Assumptions!BH$105:BH$128,Assumptions!$BB$105:$BB$128,'non-road'!$F19,Assumptions!$BC$105:$BC$128,'non-road'!$D19)/SUMIF(Assumptions!$BB$105:$BB$128,'non-road'!$F19,Assumptions!BH$105:BH$128)</f>
        <v>0</v>
      </c>
      <c r="L19" s="33">
        <f>SUMIFS(Assumptions!BI$105:BI$128,Assumptions!$BB$105:$BB$128,'non-road'!$F19,Assumptions!$BC$105:$BC$128,'non-road'!$D19)/SUMIF(Assumptions!$BB$105:$BB$128,'non-road'!$F19,Assumptions!BI$105:BI$128)</f>
        <v>0</v>
      </c>
      <c r="M19" s="33">
        <f>SUMIFS(Assumptions!BJ$105:BJ$128,Assumptions!$BB$105:$BB$128,'non-road'!$F19,Assumptions!$BC$105:$BC$128,'non-road'!$D19)/SUMIF(Assumptions!$BB$105:$BB$128,'non-road'!$F19,Assumptions!BJ$105:BJ$128)</f>
        <v>0</v>
      </c>
      <c r="N19" s="33">
        <f>SUMIFS(Assumptions!BK$105:BK$128,Assumptions!$BB$105:$BB$128,'non-road'!$F19,Assumptions!$BC$105:$BC$128,'non-road'!$D19)/SUMIF(Assumptions!$BB$105:$BB$128,'non-road'!$F19,Assumptions!BK$105:BK$128)</f>
        <v>0</v>
      </c>
      <c r="O19" s="33">
        <f>SUMIFS(Assumptions!BL$105:BL$128,Assumptions!$BB$105:$BB$128,'non-road'!$F19,Assumptions!$BC$105:$BC$128,'non-road'!$D19)/SUMIF(Assumptions!$BB$105:$BB$128,'non-road'!$F19,Assumptions!BL$105:BL$128)</f>
        <v>0</v>
      </c>
      <c r="P19" s="33">
        <f>SUMIFS(Assumptions!BM$105:BM$128,Assumptions!$BB$105:$BB$128,'non-road'!$F19,Assumptions!$BC$105:$BC$128,'non-road'!$D19)/SUMIF(Assumptions!$BB$105:$BB$128,'non-road'!$F19,Assumptions!BM$105:BM$128)</f>
        <v>0</v>
      </c>
      <c r="Q19" s="33">
        <f>SUMIFS(Assumptions!BN$105:BN$128,Assumptions!$BB$105:$BB$128,'non-road'!$F19,Assumptions!$BC$105:$BC$128,'non-road'!$D19)/SUMIF(Assumptions!$BB$105:$BB$128,'non-road'!$F19,Assumptions!BN$105:BN$128)</f>
        <v>0</v>
      </c>
      <c r="R19" s="33">
        <f>SUMIFS(Assumptions!BO$105:BO$128,Assumptions!$BB$105:$BB$128,'non-road'!$F19,Assumptions!$BC$105:$BC$128,'non-road'!$D19)/SUMIF(Assumptions!$BB$105:$BB$128,'non-road'!$F19,Assumptions!BO$105:BO$128)</f>
        <v>0</v>
      </c>
      <c r="S19" s="33">
        <f>SUMIFS(Assumptions!BP$105:BP$128,Assumptions!$BB$105:$BB$128,'non-road'!$F19,Assumptions!$BC$105:$BC$128,'non-road'!$D19)/SUMIF(Assumptions!$BB$105:$BB$128,'non-road'!$F19,Assumptions!BP$105:BP$128)</f>
        <v>0</v>
      </c>
      <c r="T19" s="33">
        <f>SUMIFS(Assumptions!BQ$105:BQ$128,Assumptions!$BB$105:$BB$128,'non-road'!$F19,Assumptions!$BC$105:$BC$128,'non-road'!$D19)/SUMIF(Assumptions!$BB$105:$BB$128,'non-road'!$F19,Assumptions!BQ$105:BQ$128)</f>
        <v>0</v>
      </c>
      <c r="U19" s="33">
        <f>SUMIFS(Assumptions!BR$105:BR$128,Assumptions!$BB$105:$BB$128,'non-road'!$F19,Assumptions!$BC$105:$BC$128,'non-road'!$D19)/SUMIF(Assumptions!$BB$105:$BB$128,'non-road'!$F19,Assumptions!BR$105:BR$128)</f>
        <v>0</v>
      </c>
      <c r="V19" s="33">
        <f>SUMIFS(Assumptions!BS$105:BS$128,Assumptions!$BB$105:$BB$128,'non-road'!$F19,Assumptions!$BC$105:$BC$128,'non-road'!$D19)/SUMIF(Assumptions!$BB$105:$BB$128,'non-road'!$F19,Assumptions!BS$105:BS$128)</f>
        <v>0</v>
      </c>
      <c r="W19" s="33">
        <f>SUMIFS(Assumptions!BT$105:BT$128,Assumptions!$BB$105:$BB$128,'non-road'!$F19,Assumptions!$BC$105:$BC$128,'non-road'!$D19)/SUMIF(Assumptions!$BB$105:$BB$128,'non-road'!$F19,Assumptions!BT$105:BT$128)</f>
        <v>0</v>
      </c>
      <c r="X19" s="33">
        <f>SUMIFS(Assumptions!BU$105:BU$128,Assumptions!$BB$105:$BB$128,'non-road'!$F19,Assumptions!$BC$105:$BC$128,'non-road'!$D19)/SUMIF(Assumptions!$BB$105:$BB$128,'non-road'!$F19,Assumptions!BU$105:BU$128)</f>
        <v>0</v>
      </c>
      <c r="Y19" s="33">
        <f>SUMIFS(Assumptions!BV$105:BV$128,Assumptions!$BB$105:$BB$128,'non-road'!$F19,Assumptions!$BC$105:$BC$128,'non-road'!$D19)/SUMIF(Assumptions!$BB$105:$BB$128,'non-road'!$F19,Assumptions!BV$105:BV$128)</f>
        <v>0</v>
      </c>
      <c r="Z19" s="33">
        <f>SUMIFS(Assumptions!BW$105:BW$128,Assumptions!$BB$105:$BB$128,'non-road'!$F19,Assumptions!$BC$105:$BC$128,'non-road'!$D19)/SUMIF(Assumptions!$BB$105:$BB$128,'non-road'!$F19,Assumptions!BW$105:BW$128)</f>
        <v>0</v>
      </c>
      <c r="AA19" s="33">
        <f>SUMIFS(Assumptions!BX$105:BX$128,Assumptions!$BB$105:$BB$128,'non-road'!$F19,Assumptions!$BC$105:$BC$128,'non-road'!$D19)/SUMIF(Assumptions!$BB$105:$BB$128,'non-road'!$F19,Assumptions!BX$105:BX$128)</f>
        <v>0</v>
      </c>
      <c r="AB19" s="33">
        <f>SUMIFS(Assumptions!BY$105:BY$128,Assumptions!$BB$105:$BB$128,'non-road'!$F19,Assumptions!$BC$105:$BC$128,'non-road'!$D19)/SUMIF(Assumptions!$BB$105:$BB$128,'non-road'!$F19,Assumptions!BY$105:BY$128)</f>
        <v>0</v>
      </c>
      <c r="AC19" s="33">
        <f>SUMIFS(Assumptions!BZ$105:BZ$128,Assumptions!$BB$105:$BB$128,'non-road'!$F19,Assumptions!$BC$105:$BC$128,'non-road'!$D19)/SUMIF(Assumptions!$BB$105:$BB$128,'non-road'!$F19,Assumptions!BZ$105:BZ$128)</f>
        <v>0</v>
      </c>
      <c r="AD19" s="33">
        <f>SUMIFS(Assumptions!CA$105:CA$128,Assumptions!$BB$105:$BB$128,'non-road'!$F19,Assumptions!$BC$105:$BC$128,'non-road'!$D19)/SUMIF(Assumptions!$BB$105:$BB$128,'non-road'!$F19,Assumptions!CA$105:CA$128)</f>
        <v>0</v>
      </c>
      <c r="AE19" s="33">
        <f>SUMIFS(Assumptions!CB$105:CB$128,Assumptions!$BB$105:$BB$128,'non-road'!$F19,Assumptions!$BC$105:$BC$128,'non-road'!$D19)/SUMIF(Assumptions!$BB$105:$BB$128,'non-road'!$F19,Assumptions!CB$105:CB$128)</f>
        <v>0</v>
      </c>
      <c r="AF19" s="33">
        <f>SUMIFS(Assumptions!CC$105:CC$128,Assumptions!$BB$105:$BB$128,'non-road'!$F19,Assumptions!$BC$105:$BC$128,'non-road'!$D19)/SUMIF(Assumptions!$BB$105:$BB$128,'non-road'!$F19,Assumptions!CC$105:CC$128)</f>
        <v>0</v>
      </c>
      <c r="AG19" s="33">
        <f>SUMIFS(Assumptions!CD$105:CD$128,Assumptions!$BB$105:$BB$128,'non-road'!$F19,Assumptions!$BC$105:$BC$128,'non-road'!$D19)/SUMIF(Assumptions!$BB$105:$BB$128,'non-road'!$F19,Assumptions!CD$105:CD$128)</f>
        <v>0</v>
      </c>
      <c r="AH19" s="33">
        <f>SUMIFS(Assumptions!CE$105:CE$128,Assumptions!$BB$105:$BB$128,'non-road'!$F19,Assumptions!$BC$105:$BC$128,'non-road'!$D19)/SUMIF(Assumptions!$BB$105:$BB$128,'non-road'!$F19,Assumptions!CE$105:CE$128)</f>
        <v>0</v>
      </c>
      <c r="AI19" s="33">
        <f>SUMIFS(Assumptions!CF$105:CF$128,Assumptions!$BB$105:$BB$128,'non-road'!$F19,Assumptions!$BC$105:$BC$128,'non-road'!$D19)/SUMIF(Assumptions!$BB$105:$BB$128,'non-road'!$F19,Assumptions!CF$105:CF$128)</f>
        <v>0</v>
      </c>
      <c r="AJ19" s="33">
        <f>SUMIFS(Assumptions!CG$105:CG$128,Assumptions!$BB$105:$BB$128,'non-road'!$F19,Assumptions!$BC$105:$BC$128,'non-road'!$D19)/SUMIF(Assumptions!$BB$105:$BB$128,'non-road'!$F19,Assumptions!CG$105:CG$128)</f>
        <v>0</v>
      </c>
      <c r="AK19" s="33">
        <f>SUMIFS(Assumptions!CH$105:CH$128,Assumptions!$BB$105:$BB$128,'non-road'!$F19,Assumptions!$BC$105:$BC$128,'non-road'!$D19)/SUMIF(Assumptions!$BB$105:$BB$128,'non-road'!$F19,Assumptions!CH$105:CH$128)</f>
        <v>0</v>
      </c>
      <c r="AL19" s="33">
        <f>SUMIFS(Assumptions!CI$105:CI$128,Assumptions!$BB$105:$BB$128,'non-road'!$F19,Assumptions!$BC$105:$BC$128,'non-road'!$D19)/SUMIF(Assumptions!$BB$105:$BB$128,'non-road'!$F19,Assumptions!CI$105:CI$128)</f>
        <v>0</v>
      </c>
      <c r="AM19" s="33">
        <f>SUMIFS(Assumptions!CJ$105:CJ$128,Assumptions!$BB$105:$BB$128,'non-road'!$F19,Assumptions!$BC$105:$BC$128,'non-road'!$D19)/SUMIF(Assumptions!$BB$105:$BB$128,'non-road'!$F19,Assumptions!CJ$105:CJ$128)</f>
        <v>0</v>
      </c>
      <c r="AN19" s="33">
        <f>SUMIFS(Assumptions!CK$105:CK$128,Assumptions!$BB$105:$BB$128,'non-road'!$F19,Assumptions!$BC$105:$BC$128,'non-road'!$D19)/SUMIF(Assumptions!$BB$105:$BB$128,'non-road'!$F19,Assumptions!CK$105:CK$128)</f>
        <v>0</v>
      </c>
      <c r="AO19" s="33">
        <f>SUMIFS(Assumptions!CL$105:CL$128,Assumptions!$BB$105:$BB$128,'non-road'!$F19,Assumptions!$BC$105:$BC$128,'non-road'!$D19)/SUMIF(Assumptions!$BB$105:$BB$128,'non-road'!$F19,Assumptions!CL$105:CL$128)</f>
        <v>0</v>
      </c>
      <c r="AP19" s="33" t="e">
        <f>SUMIFS(Assumptions!CM$105:CM$128,Assumptions!$BB$105:$BB$128,'non-road'!$F19,Assumptions!$BC$105:$BC$128,'non-road'!$D19)/SUMIF(Assumptions!$BB$105:$BB$128,'non-road'!$F19,Assumptions!CM$105:CM$128)</f>
        <v>#DIV/0!</v>
      </c>
      <c r="AQ19" s="33" t="e">
        <f>SUMIFS(Assumptions!CN$105:CN$128,Assumptions!$BB$105:$BB$128,'non-road'!$F19,Assumptions!$BC$105:$BC$128,'non-road'!$D19)/SUMIF(Assumptions!$BB$105:$BB$128,'non-road'!$F19,Assumptions!CN$105:CN$128)</f>
        <v>#DIV/0!</v>
      </c>
      <c r="AR19" s="33" t="e">
        <f>SUMIFS(Assumptions!CO$105:CO$128,Assumptions!$BB$105:$BB$128,'non-road'!$F19,Assumptions!$BC$105:$BC$128,'non-road'!$D19)/SUMIF(Assumptions!$BB$105:$BB$128,'non-road'!$F19,Assumptions!CO$105:CO$128)</f>
        <v>#DIV/0!</v>
      </c>
      <c r="AS19" s="33" t="e">
        <f>SUMIFS(Assumptions!CP$105:CP$128,Assumptions!$BB$105:$BB$128,'non-road'!$F19,Assumptions!$BC$105:$BC$128,'non-road'!$D19)/SUMIF(Assumptions!$BB$105:$BB$128,'non-road'!$F19,Assumptions!CP$105:CP$128)</f>
        <v>#DIV/0!</v>
      </c>
      <c r="AT19" s="33" t="e">
        <f>SUMIFS(Assumptions!CQ$105:CQ$128,Assumptions!$BB$105:$BB$128,'non-road'!$F19,Assumptions!$BC$105:$BC$128,'non-road'!$D19)/SUMIF(Assumptions!$BB$105:$BB$128,'non-road'!$F19,Assumptions!CQ$105:CQ$128)</f>
        <v>#DIV/0!</v>
      </c>
      <c r="AU19" s="33" t="e">
        <f>SUMIFS(Assumptions!CR$105:CR$128,Assumptions!$BB$105:$BB$128,'non-road'!$F19,Assumptions!$BC$105:$BC$128,'non-road'!$D19)/SUMIF(Assumptions!$BB$105:$BB$128,'non-road'!$F19,Assumptions!CR$105:CR$128)</f>
        <v>#DIV/0!</v>
      </c>
      <c r="AV19" s="33" t="e">
        <f>SUMIFS(Assumptions!CS$105:CS$128,Assumptions!$BB$105:$BB$128,'non-road'!$F19,Assumptions!$BC$105:$BC$128,'non-road'!$D19)/SUMIF(Assumptions!$BB$105:$BB$128,'non-road'!$F19,Assumptions!CS$105:CS$128)</f>
        <v>#DIV/0!</v>
      </c>
      <c r="AW19" s="33" t="e">
        <f>SUMIFS(Assumptions!CT$105:CT$128,Assumptions!$BB$105:$BB$128,'non-road'!$F19,Assumptions!$BC$105:$BC$128,'non-road'!$D19)/SUMIF(Assumptions!$BB$105:$BB$128,'non-road'!$F19,Assumptions!CT$105:CT$128)</f>
        <v>#DIV/0!</v>
      </c>
      <c r="AX19" s="33" t="e">
        <f>SUMIFS(Assumptions!CU$105:CU$128,Assumptions!$BB$105:$BB$128,'non-road'!$F19,Assumptions!$BC$105:$BC$128,'non-road'!$D19)/SUMIF(Assumptions!$BB$105:$BB$128,'non-road'!$F19,Assumptions!CU$105:CU$128)</f>
        <v>#DIV/0!</v>
      </c>
      <c r="AY19" s="33" t="e">
        <f>SUMIFS(Assumptions!CV$105:CV$128,Assumptions!$BB$105:$BB$128,'non-road'!$F19,Assumptions!$BC$105:$BC$128,'non-road'!$D19)/SUMIF(Assumptions!$BB$105:$BB$128,'non-road'!$F19,Assumptions!CV$105:CV$128)</f>
        <v>#DIV/0!</v>
      </c>
      <c r="AZ19" s="33" t="e">
        <f>SUMIFS(Assumptions!CW$105:CW$128,Assumptions!$BB$105:$BB$128,'non-road'!$F19,Assumptions!$BC$105:$BC$128,'non-road'!$D19)/SUMIF(Assumptions!$BB$105:$BB$128,'non-road'!$F19,Assumptions!CW$105:CW$128)</f>
        <v>#DIV/0!</v>
      </c>
      <c r="BD19" s="27" t="str">
        <f t="shared" si="55"/>
        <v>\I:</v>
      </c>
      <c r="BE19" s="33">
        <f>VLOOKUP($F19,Assumptions!$E$152:$BC$157,COLUMN()-COLUMN($BC$4),FALSE)</f>
        <v>1</v>
      </c>
      <c r="BF19" s="33">
        <f>VLOOKUP($F19,Assumptions!$E$152:$BC$157,COLUMN()-COLUMN($BC$4),FALSE)</f>
        <v>1</v>
      </c>
      <c r="BG19" s="33">
        <f>VLOOKUP($F19,Assumptions!$E$152:$BC$157,COLUMN()-COLUMN($BC$4),FALSE)</f>
        <v>1</v>
      </c>
      <c r="BH19" s="33">
        <f>VLOOKUP($F19,Assumptions!$E$152:$BC$157,COLUMN()-COLUMN($BC$4),FALSE)</f>
        <v>1</v>
      </c>
      <c r="BI19" s="33">
        <f>VLOOKUP($F19,Assumptions!$E$152:$BC$157,COLUMN()-COLUMN($BC$4),FALSE)</f>
        <v>1</v>
      </c>
      <c r="BJ19" s="33">
        <f>VLOOKUP($F19,Assumptions!$E$152:$BC$157,COLUMN()-COLUMN($BC$4),FALSE)</f>
        <v>1</v>
      </c>
      <c r="BK19" s="33">
        <f>VLOOKUP($F19,Assumptions!$E$152:$BC$157,COLUMN()-COLUMN($BC$4),FALSE)</f>
        <v>1</v>
      </c>
      <c r="BL19" s="33">
        <f>VLOOKUP($F19,Assumptions!$E$152:$BC$157,COLUMN()-COLUMN($BC$4),FALSE)</f>
        <v>1</v>
      </c>
      <c r="BM19" s="33">
        <f>VLOOKUP($F19,Assumptions!$E$152:$BC$157,COLUMN()-COLUMN($BC$4),FALSE)</f>
        <v>1</v>
      </c>
      <c r="BN19" s="33">
        <f>VLOOKUP($F19,Assumptions!$E$152:$BC$157,COLUMN()-COLUMN($BC$4),FALSE)</f>
        <v>1</v>
      </c>
      <c r="BO19" s="33">
        <f>VLOOKUP($F19,Assumptions!$E$152:$BC$157,COLUMN()-COLUMN($BC$4),FALSE)</f>
        <v>1</v>
      </c>
      <c r="BP19" s="33">
        <f>VLOOKUP($F19,Assumptions!$E$152:$BC$157,COLUMN()-COLUMN($BC$4),FALSE)</f>
        <v>1</v>
      </c>
      <c r="BQ19" s="33">
        <f>VLOOKUP($F19,Assumptions!$E$152:$BC$157,COLUMN()-COLUMN($BC$4),FALSE)</f>
        <v>1</v>
      </c>
      <c r="BR19" s="33">
        <f>VLOOKUP($F19,Assumptions!$E$152:$BC$157,COLUMN()-COLUMN($BC$4),FALSE)</f>
        <v>1</v>
      </c>
      <c r="BS19" s="33">
        <f>VLOOKUP($F19,Assumptions!$E$152:$BC$157,COLUMN()-COLUMN($BC$4),FALSE)</f>
        <v>1</v>
      </c>
      <c r="BT19" s="33">
        <f>VLOOKUP($F19,Assumptions!$E$152:$BC$157,COLUMN()-COLUMN($BC$4),FALSE)</f>
        <v>1</v>
      </c>
      <c r="BU19" s="33">
        <f>VLOOKUP($F19,Assumptions!$E$152:$BC$157,COLUMN()-COLUMN($BC$4),FALSE)</f>
        <v>1</v>
      </c>
      <c r="BV19" s="33">
        <f>VLOOKUP($F19,Assumptions!$E$152:$BC$157,COLUMN()-COLUMN($BC$4),FALSE)</f>
        <v>1</v>
      </c>
      <c r="BW19" s="33">
        <f>VLOOKUP($F19,Assumptions!$E$152:$BC$157,COLUMN()-COLUMN($BC$4),FALSE)</f>
        <v>1</v>
      </c>
      <c r="BX19" s="33">
        <f>VLOOKUP($F19,Assumptions!$E$152:$BC$157,COLUMN()-COLUMN($BC$4),FALSE)</f>
        <v>1</v>
      </c>
      <c r="BY19" s="33">
        <f>VLOOKUP($F19,Assumptions!$E$152:$BC$157,COLUMN()-COLUMN($BC$4),FALSE)</f>
        <v>1</v>
      </c>
      <c r="BZ19" s="33">
        <f>VLOOKUP($F19,Assumptions!$E$152:$BC$157,COLUMN()-COLUMN($BC$4),FALSE)</f>
        <v>1</v>
      </c>
      <c r="CA19" s="33">
        <f>VLOOKUP($F19,Assumptions!$E$152:$BC$157,COLUMN()-COLUMN($BC$4),FALSE)</f>
        <v>1</v>
      </c>
      <c r="CB19" s="33">
        <f>VLOOKUP($F19,Assumptions!$E$152:$BC$157,COLUMN()-COLUMN($BC$4),FALSE)</f>
        <v>1</v>
      </c>
      <c r="CC19" s="33">
        <f>VLOOKUP($F19,Assumptions!$E$152:$BC$157,COLUMN()-COLUMN($BC$4),FALSE)</f>
        <v>1</v>
      </c>
      <c r="CD19" s="33">
        <f>VLOOKUP($F19,Assumptions!$E$152:$BC$157,COLUMN()-COLUMN($BC$4),FALSE)</f>
        <v>1</v>
      </c>
      <c r="CE19" s="33">
        <f>VLOOKUP($F19,Assumptions!$E$152:$BC$157,COLUMN()-COLUMN($BC$4),FALSE)</f>
        <v>1</v>
      </c>
      <c r="CF19" s="33">
        <f>VLOOKUP($F19,Assumptions!$E$152:$BC$157,COLUMN()-COLUMN($BC$4),FALSE)</f>
        <v>1</v>
      </c>
      <c r="CG19" s="33">
        <f>VLOOKUP($F19,Assumptions!$E$152:$BC$157,COLUMN()-COLUMN($BC$4),FALSE)</f>
        <v>1</v>
      </c>
      <c r="CH19" s="33">
        <f>VLOOKUP($F19,Assumptions!$E$152:$BC$157,COLUMN()-COLUMN($BC$4),FALSE)</f>
        <v>1</v>
      </c>
      <c r="CI19" s="33">
        <f>VLOOKUP($F19,Assumptions!$E$152:$BC$157,COLUMN()-COLUMN($BC$4),FALSE)</f>
        <v>1</v>
      </c>
      <c r="CJ19" s="33">
        <f>VLOOKUP($F19,Assumptions!$E$152:$BC$157,COLUMN()-COLUMN($BC$4),FALSE)</f>
        <v>1</v>
      </c>
      <c r="CK19" s="33">
        <f>VLOOKUP($F19,Assumptions!$E$152:$BC$157,COLUMN()-COLUMN($BC$4),FALSE)</f>
        <v>1</v>
      </c>
      <c r="CL19" s="33">
        <f>VLOOKUP($F19,Assumptions!$E$152:$BC$157,COLUMN()-COLUMN($BC$4),FALSE)</f>
        <v>1</v>
      </c>
      <c r="CM19" s="33">
        <f>VLOOKUP($F19,Assumptions!$E$152:$BC$157,COLUMN()-COLUMN($BC$4),FALSE)</f>
        <v>1</v>
      </c>
      <c r="CN19" s="33">
        <f>VLOOKUP($F19,Assumptions!$E$152:$BC$157,COLUMN()-COLUMN($BC$4),FALSE)</f>
        <v>1</v>
      </c>
      <c r="CO19" s="33">
        <f>VLOOKUP($F19,Assumptions!$E$152:$BC$157,COLUMN()-COLUMN($BC$4),FALSE)</f>
        <v>1</v>
      </c>
      <c r="CP19" s="33">
        <f>VLOOKUP($F19,Assumptions!$E$152:$BC$157,COLUMN()-COLUMN($BC$4),FALSE)</f>
        <v>1</v>
      </c>
      <c r="CQ19" s="33">
        <f>VLOOKUP($F19,Assumptions!$E$152:$BC$157,COLUMN()-COLUMN($BC$4),FALSE)</f>
        <v>1</v>
      </c>
      <c r="CR19" s="33">
        <f>VLOOKUP($F19,Assumptions!$E$152:$BC$157,COLUMN()-COLUMN($BC$4),FALSE)</f>
        <v>1</v>
      </c>
      <c r="CS19" s="33">
        <f>VLOOKUP($F19,Assumptions!$E$152:$BC$157,COLUMN()-COLUMN($BC$4),FALSE)</f>
        <v>1</v>
      </c>
      <c r="CT19" s="33">
        <f>VLOOKUP($F19,Assumptions!$E$152:$BC$157,COLUMN()-COLUMN($BC$4),FALSE)</f>
        <v>1</v>
      </c>
      <c r="CU19" s="33">
        <f>VLOOKUP($F19,Assumptions!$E$152:$BC$157,COLUMN()-COLUMN($BC$4),FALSE)</f>
        <v>1</v>
      </c>
      <c r="CV19" s="33">
        <f>VLOOKUP($F19,Assumptions!$E$152:$BC$157,COLUMN()-COLUMN($BC$4),FALSE)</f>
        <v>1</v>
      </c>
      <c r="CW19" s="33">
        <f>VLOOKUP($F19,Assumptions!$E$152:$BC$157,COLUMN()-COLUMN($BC$4),FALSE)</f>
        <v>1</v>
      </c>
      <c r="CX19" s="33">
        <f>VLOOKUP($F19,Assumptions!$E$152:$BC$157,COLUMN()-COLUMN($BC$4),FALSE)</f>
        <v>1</v>
      </c>
      <c r="CY19" s="27"/>
      <c r="CZ19" s="49" t="str">
        <f>'TRA balance'!C57</f>
        <v>Year</v>
      </c>
      <c r="DA19" s="49" t="str">
        <f>'TRA balance'!D57</f>
        <v>Drvr</v>
      </c>
      <c r="DB19" s="49" t="str">
        <f>'TRA balance'!E57</f>
        <v>Africa_North</v>
      </c>
      <c r="DC19" s="49" t="str">
        <f>'TRA balance'!F57</f>
        <v>Africa_Other</v>
      </c>
      <c r="DD19" s="49" t="str">
        <f>'TRA balance'!G57</f>
        <v>Australia_d</v>
      </c>
      <c r="DE19" s="49" t="str">
        <f>'TRA balance'!H57</f>
        <v>Austria_d</v>
      </c>
      <c r="DF19" s="49" t="str">
        <f>'TRA balance'!I57</f>
        <v>Baltics</v>
      </c>
      <c r="DG19" s="49" t="str">
        <f>'TRA balance'!J57</f>
        <v>BeNeLux</v>
      </c>
      <c r="DH19" s="49" t="str">
        <f>'TRA balance'!K57</f>
        <v>Brazil_d</v>
      </c>
      <c r="DI19" s="49" t="str">
        <f>'TRA balance'!L57</f>
        <v>China_d</v>
      </c>
      <c r="DJ19" s="49" t="str">
        <f>'TRA balance'!M57</f>
        <v>CroSloven</v>
      </c>
      <c r="DK19" s="49" t="str">
        <f>'TRA balance'!N57</f>
        <v>CzechSlovak</v>
      </c>
      <c r="DL19" s="49" t="str">
        <f>'TRA balance'!O57</f>
        <v>France_d</v>
      </c>
      <c r="DM19" s="49" t="str">
        <f>'TRA balance'!P57</f>
        <v>Germany_d</v>
      </c>
      <c r="DN19" s="49" t="str">
        <f>'TRA balance'!Q57</f>
        <v>GreeceCyp</v>
      </c>
      <c r="DO19" s="49" t="str">
        <f>'TRA balance'!R57</f>
        <v>HunRomBul</v>
      </c>
      <c r="DP19" s="49" t="str">
        <f>'TRA balance'!S57</f>
        <v>Iceland_d</v>
      </c>
      <c r="DQ19" s="49" t="str">
        <f>'TRA balance'!T57</f>
        <v>India_d</v>
      </c>
      <c r="DR19" s="49" t="str">
        <f>'TRA balance'!U57</f>
        <v>Ireland_d</v>
      </c>
      <c r="DS19" s="49" t="str">
        <f>'TRA balance'!V57</f>
        <v>ItalyMal</v>
      </c>
      <c r="DT19" s="49" t="str">
        <f>'TRA balance'!W57</f>
        <v>Japan_d</v>
      </c>
      <c r="DU19" s="49" t="str">
        <f>'TRA balance'!X57</f>
        <v>LatAm</v>
      </c>
      <c r="DV19" s="49" t="str">
        <f>'TRA balance'!Y57</f>
        <v>MidEast</v>
      </c>
      <c r="DW19" s="49" t="str">
        <f>'TRA balance'!Z57</f>
        <v>NorthAm</v>
      </c>
      <c r="DX19" s="49" t="str">
        <f>'TRA balance'!AA57</f>
        <v>Norway_d</v>
      </c>
      <c r="DY19" s="49" t="str">
        <f>'TRA balance'!AB57</f>
        <v>Poland_d</v>
      </c>
      <c r="DZ19" s="49" t="str">
        <f>'TRA balance'!AC57</f>
        <v>ROW</v>
      </c>
      <c r="EA19" s="49" t="str">
        <f>'TRA balance'!AD57</f>
        <v>Russia_d</v>
      </c>
      <c r="EB19" s="49" t="str">
        <f>'TRA balance'!AE57</f>
        <v>SaudiArabia_d</v>
      </c>
      <c r="EC19" s="49" t="str">
        <f>'TRA balance'!AF57</f>
        <v>SouthAfrica_d</v>
      </c>
      <c r="ED19" s="49" t="str">
        <f>'TRA balance'!AG57</f>
        <v>SpainPor</v>
      </c>
      <c r="EE19" s="49" t="str">
        <f>'TRA balance'!AH57</f>
        <v>SweFinDen</v>
      </c>
      <c r="EF19" s="49" t="str">
        <f>'TRA balance'!AI57</f>
        <v>Switzerland_d</v>
      </c>
      <c r="EG19" s="49" t="str">
        <f>'TRA balance'!AJ57</f>
        <v>Turkey_d</v>
      </c>
      <c r="EH19" s="49" t="str">
        <f>'TRA balance'!AK57</f>
        <v>UK_d</v>
      </c>
      <c r="EI19" s="49" t="str">
        <f>'TRA balance'!AL57</f>
        <v>Ukraine_d</v>
      </c>
      <c r="EJ19" s="49" t="str">
        <f>'TRA balance'!AM57</f>
        <v>WestBalkans</v>
      </c>
      <c r="EK19" s="49" t="str">
        <f>'TRA balance'!AN57</f>
        <v>PRT</v>
      </c>
      <c r="EL19" s="49" t="str">
        <f>'TRA balance'!AO57</f>
        <v>ROM</v>
      </c>
      <c r="EM19" s="49" t="str">
        <f>'TRA balance'!AP57</f>
        <v>ROW</v>
      </c>
      <c r="EN19" s="49" t="str">
        <f>'TRA balance'!AQ57</f>
        <v>Russia</v>
      </c>
      <c r="EO19" s="49" t="str">
        <f>'TRA balance'!AR57</f>
        <v>SRB</v>
      </c>
      <c r="EP19" s="49" t="str">
        <f>'TRA balance'!AS57</f>
        <v>SVK</v>
      </c>
      <c r="EQ19" s="49" t="str">
        <f>'TRA balance'!AT57</f>
        <v>SVN</v>
      </c>
      <c r="ER19" s="49" t="str">
        <f>'TRA balance'!AU57</f>
        <v>SWE</v>
      </c>
      <c r="ES19" s="49" t="str">
        <f>'TRA balance'!AV57</f>
        <v>TUR</v>
      </c>
      <c r="ET19" s="49" t="str">
        <f>'TRA balance'!AW57</f>
        <v>UKR</v>
      </c>
      <c r="EU19" s="49" t="str">
        <f>'TRA balance'!AX57</f>
        <v>XXK</v>
      </c>
      <c r="EV19" s="27"/>
      <c r="EW19" s="27" t="str">
        <f t="shared" si="48"/>
        <v>\I:</v>
      </c>
      <c r="EX19" s="27" t="str">
        <f t="shared" si="68"/>
        <v/>
      </c>
      <c r="EY19" s="27" t="s">
        <v>169</v>
      </c>
      <c r="EZ19" s="27" t="s">
        <v>160</v>
      </c>
      <c r="FA19" s="27" t="s">
        <v>161</v>
      </c>
    </row>
    <row r="20" spans="1:157" ht="15" thickTop="1" thickBot="1">
      <c r="C20" s="27" t="str">
        <f t="shared" si="54"/>
        <v/>
      </c>
      <c r="D20" s="27" t="s">
        <v>45</v>
      </c>
      <c r="E20" s="27"/>
      <c r="F20" s="27" t="s">
        <v>18</v>
      </c>
      <c r="G20" s="33">
        <f>SUMIFS(Assumptions!BD$105:BD$128,Assumptions!$BB$105:$BB$128,'non-road'!$F20,Assumptions!$BC$105:$BC$128,'non-road'!$D20)/SUMIF(Assumptions!$BB$105:$BB$128,'non-road'!$F20,Assumptions!BD$105:BD$128)</f>
        <v>0</v>
      </c>
      <c r="H20" s="33">
        <f>SUMIFS(Assumptions!BE$105:BE$128,Assumptions!$BB$105:$BB$128,'non-road'!$F20,Assumptions!$BC$105:$BC$128,'non-road'!$D20)/SUMIF(Assumptions!$BB$105:$BB$128,'non-road'!$F20,Assumptions!BE$105:BE$128)</f>
        <v>0</v>
      </c>
      <c r="I20" s="33">
        <f>SUMIFS(Assumptions!BF$105:BF$128,Assumptions!$BB$105:$BB$128,'non-road'!$F20,Assumptions!$BC$105:$BC$128,'non-road'!$D20)/SUMIF(Assumptions!$BB$105:$BB$128,'non-road'!$F20,Assumptions!BF$105:BF$128)</f>
        <v>0</v>
      </c>
      <c r="J20" s="33">
        <f>SUMIFS(Assumptions!BG$105:BG$128,Assumptions!$BB$105:$BB$128,'non-road'!$F20,Assumptions!$BC$105:$BC$128,'non-road'!$D20)/SUMIF(Assumptions!$BB$105:$BB$128,'non-road'!$F20,Assumptions!BG$105:BG$128)</f>
        <v>0</v>
      </c>
      <c r="K20" s="33">
        <f>SUMIFS(Assumptions!BH$105:BH$128,Assumptions!$BB$105:$BB$128,'non-road'!$F20,Assumptions!$BC$105:$BC$128,'non-road'!$D20)/SUMIF(Assumptions!$BB$105:$BB$128,'non-road'!$F20,Assumptions!BH$105:BH$128)</f>
        <v>0</v>
      </c>
      <c r="L20" s="33">
        <f>SUMIFS(Assumptions!BI$105:BI$128,Assumptions!$BB$105:$BB$128,'non-road'!$F20,Assumptions!$BC$105:$BC$128,'non-road'!$D20)/SUMIF(Assumptions!$BB$105:$BB$128,'non-road'!$F20,Assumptions!BI$105:BI$128)</f>
        <v>0</v>
      </c>
      <c r="M20" s="33">
        <f>SUMIFS(Assumptions!BJ$105:BJ$128,Assumptions!$BB$105:$BB$128,'non-road'!$F20,Assumptions!$BC$105:$BC$128,'non-road'!$D20)/SUMIF(Assumptions!$BB$105:$BB$128,'non-road'!$F20,Assumptions!BJ$105:BJ$128)</f>
        <v>0</v>
      </c>
      <c r="N20" s="33">
        <f>SUMIFS(Assumptions!BK$105:BK$128,Assumptions!$BB$105:$BB$128,'non-road'!$F20,Assumptions!$BC$105:$BC$128,'non-road'!$D20)/SUMIF(Assumptions!$BB$105:$BB$128,'non-road'!$F20,Assumptions!BK$105:BK$128)</f>
        <v>0</v>
      </c>
      <c r="O20" s="33">
        <f>SUMIFS(Assumptions!BL$105:BL$128,Assumptions!$BB$105:$BB$128,'non-road'!$F20,Assumptions!$BC$105:$BC$128,'non-road'!$D20)/SUMIF(Assumptions!$BB$105:$BB$128,'non-road'!$F20,Assumptions!BL$105:BL$128)</f>
        <v>0</v>
      </c>
      <c r="P20" s="33">
        <f>SUMIFS(Assumptions!BM$105:BM$128,Assumptions!$BB$105:$BB$128,'non-road'!$F20,Assumptions!$BC$105:$BC$128,'non-road'!$D20)/SUMIF(Assumptions!$BB$105:$BB$128,'non-road'!$F20,Assumptions!BM$105:BM$128)</f>
        <v>0</v>
      </c>
      <c r="Q20" s="33">
        <f>SUMIFS(Assumptions!BN$105:BN$128,Assumptions!$BB$105:$BB$128,'non-road'!$F20,Assumptions!$BC$105:$BC$128,'non-road'!$D20)/SUMIF(Assumptions!$BB$105:$BB$128,'non-road'!$F20,Assumptions!BN$105:BN$128)</f>
        <v>0</v>
      </c>
      <c r="R20" s="33">
        <f>SUMIFS(Assumptions!BO$105:BO$128,Assumptions!$BB$105:$BB$128,'non-road'!$F20,Assumptions!$BC$105:$BC$128,'non-road'!$D20)/SUMIF(Assumptions!$BB$105:$BB$128,'non-road'!$F20,Assumptions!BO$105:BO$128)</f>
        <v>0</v>
      </c>
      <c r="S20" s="33">
        <f>SUMIFS(Assumptions!BP$105:BP$128,Assumptions!$BB$105:$BB$128,'non-road'!$F20,Assumptions!$BC$105:$BC$128,'non-road'!$D20)/SUMIF(Assumptions!$BB$105:$BB$128,'non-road'!$F20,Assumptions!BP$105:BP$128)</f>
        <v>0</v>
      </c>
      <c r="T20" s="33">
        <f>SUMIFS(Assumptions!BQ$105:BQ$128,Assumptions!$BB$105:$BB$128,'non-road'!$F20,Assumptions!$BC$105:$BC$128,'non-road'!$D20)/SUMIF(Assumptions!$BB$105:$BB$128,'non-road'!$F20,Assumptions!BQ$105:BQ$128)</f>
        <v>0</v>
      </c>
      <c r="U20" s="33">
        <f>SUMIFS(Assumptions!BR$105:BR$128,Assumptions!$BB$105:$BB$128,'non-road'!$F20,Assumptions!$BC$105:$BC$128,'non-road'!$D20)/SUMIF(Assumptions!$BB$105:$BB$128,'non-road'!$F20,Assumptions!BR$105:BR$128)</f>
        <v>0</v>
      </c>
      <c r="V20" s="33">
        <f>SUMIFS(Assumptions!BS$105:BS$128,Assumptions!$BB$105:$BB$128,'non-road'!$F20,Assumptions!$BC$105:$BC$128,'non-road'!$D20)/SUMIF(Assumptions!$BB$105:$BB$128,'non-road'!$F20,Assumptions!BS$105:BS$128)</f>
        <v>0</v>
      </c>
      <c r="W20" s="33">
        <f>SUMIFS(Assumptions!BT$105:BT$128,Assumptions!$BB$105:$BB$128,'non-road'!$F20,Assumptions!$BC$105:$BC$128,'non-road'!$D20)/SUMIF(Assumptions!$BB$105:$BB$128,'non-road'!$F20,Assumptions!BT$105:BT$128)</f>
        <v>0</v>
      </c>
      <c r="X20" s="33">
        <f>SUMIFS(Assumptions!BU$105:BU$128,Assumptions!$BB$105:$BB$128,'non-road'!$F20,Assumptions!$BC$105:$BC$128,'non-road'!$D20)/SUMIF(Assumptions!$BB$105:$BB$128,'non-road'!$F20,Assumptions!BU$105:BU$128)</f>
        <v>0</v>
      </c>
      <c r="Y20" s="33">
        <f>SUMIFS(Assumptions!BV$105:BV$128,Assumptions!$BB$105:$BB$128,'non-road'!$F20,Assumptions!$BC$105:$BC$128,'non-road'!$D20)/SUMIF(Assumptions!$BB$105:$BB$128,'non-road'!$F20,Assumptions!BV$105:BV$128)</f>
        <v>0</v>
      </c>
      <c r="Z20" s="33">
        <f>SUMIFS(Assumptions!BW$105:BW$128,Assumptions!$BB$105:$BB$128,'non-road'!$F20,Assumptions!$BC$105:$BC$128,'non-road'!$D20)/SUMIF(Assumptions!$BB$105:$BB$128,'non-road'!$F20,Assumptions!BW$105:BW$128)</f>
        <v>0</v>
      </c>
      <c r="AA20" s="33">
        <f>SUMIFS(Assumptions!BX$105:BX$128,Assumptions!$BB$105:$BB$128,'non-road'!$F20,Assumptions!$BC$105:$BC$128,'non-road'!$D20)/SUMIF(Assumptions!$BB$105:$BB$128,'non-road'!$F20,Assumptions!BX$105:BX$128)</f>
        <v>0</v>
      </c>
      <c r="AB20" s="33">
        <f>SUMIFS(Assumptions!BY$105:BY$128,Assumptions!$BB$105:$BB$128,'non-road'!$F20,Assumptions!$BC$105:$BC$128,'non-road'!$D20)/SUMIF(Assumptions!$BB$105:$BB$128,'non-road'!$F20,Assumptions!BY$105:BY$128)</f>
        <v>0</v>
      </c>
      <c r="AC20" s="33">
        <f>SUMIFS(Assumptions!BZ$105:BZ$128,Assumptions!$BB$105:$BB$128,'non-road'!$F20,Assumptions!$BC$105:$BC$128,'non-road'!$D20)/SUMIF(Assumptions!$BB$105:$BB$128,'non-road'!$F20,Assumptions!BZ$105:BZ$128)</f>
        <v>0</v>
      </c>
      <c r="AD20" s="33">
        <f>SUMIFS(Assumptions!CA$105:CA$128,Assumptions!$BB$105:$BB$128,'non-road'!$F20,Assumptions!$BC$105:$BC$128,'non-road'!$D20)/SUMIF(Assumptions!$BB$105:$BB$128,'non-road'!$F20,Assumptions!CA$105:CA$128)</f>
        <v>0</v>
      </c>
      <c r="AE20" s="33">
        <f>SUMIFS(Assumptions!CB$105:CB$128,Assumptions!$BB$105:$BB$128,'non-road'!$F20,Assumptions!$BC$105:$BC$128,'non-road'!$D20)/SUMIF(Assumptions!$BB$105:$BB$128,'non-road'!$F20,Assumptions!CB$105:CB$128)</f>
        <v>0</v>
      </c>
      <c r="AF20" s="33">
        <f>SUMIFS(Assumptions!CC$105:CC$128,Assumptions!$BB$105:$BB$128,'non-road'!$F20,Assumptions!$BC$105:$BC$128,'non-road'!$D20)/SUMIF(Assumptions!$BB$105:$BB$128,'non-road'!$F20,Assumptions!CC$105:CC$128)</f>
        <v>0</v>
      </c>
      <c r="AG20" s="33">
        <f>SUMIFS(Assumptions!CD$105:CD$128,Assumptions!$BB$105:$BB$128,'non-road'!$F20,Assumptions!$BC$105:$BC$128,'non-road'!$D20)/SUMIF(Assumptions!$BB$105:$BB$128,'non-road'!$F20,Assumptions!CD$105:CD$128)</f>
        <v>0</v>
      </c>
      <c r="AH20" s="33">
        <f>SUMIFS(Assumptions!CE$105:CE$128,Assumptions!$BB$105:$BB$128,'non-road'!$F20,Assumptions!$BC$105:$BC$128,'non-road'!$D20)/SUMIF(Assumptions!$BB$105:$BB$128,'non-road'!$F20,Assumptions!CE$105:CE$128)</f>
        <v>0</v>
      </c>
      <c r="AI20" s="33">
        <f>SUMIFS(Assumptions!CF$105:CF$128,Assumptions!$BB$105:$BB$128,'non-road'!$F20,Assumptions!$BC$105:$BC$128,'non-road'!$D20)/SUMIF(Assumptions!$BB$105:$BB$128,'non-road'!$F20,Assumptions!CF$105:CF$128)</f>
        <v>0</v>
      </c>
      <c r="AJ20" s="33">
        <f>SUMIFS(Assumptions!CG$105:CG$128,Assumptions!$BB$105:$BB$128,'non-road'!$F20,Assumptions!$BC$105:$BC$128,'non-road'!$D20)/SUMIF(Assumptions!$BB$105:$BB$128,'non-road'!$F20,Assumptions!CG$105:CG$128)</f>
        <v>0</v>
      </c>
      <c r="AK20" s="33">
        <f>SUMIFS(Assumptions!CH$105:CH$128,Assumptions!$BB$105:$BB$128,'non-road'!$F20,Assumptions!$BC$105:$BC$128,'non-road'!$D20)/SUMIF(Assumptions!$BB$105:$BB$128,'non-road'!$F20,Assumptions!CH$105:CH$128)</f>
        <v>0</v>
      </c>
      <c r="AL20" s="33">
        <f>SUMIFS(Assumptions!CI$105:CI$128,Assumptions!$BB$105:$BB$128,'non-road'!$F20,Assumptions!$BC$105:$BC$128,'non-road'!$D20)/SUMIF(Assumptions!$BB$105:$BB$128,'non-road'!$F20,Assumptions!CI$105:CI$128)</f>
        <v>0</v>
      </c>
      <c r="AM20" s="33">
        <f>SUMIFS(Assumptions!CJ$105:CJ$128,Assumptions!$BB$105:$BB$128,'non-road'!$F20,Assumptions!$BC$105:$BC$128,'non-road'!$D20)/SUMIF(Assumptions!$BB$105:$BB$128,'non-road'!$F20,Assumptions!CJ$105:CJ$128)</f>
        <v>0</v>
      </c>
      <c r="AN20" s="33">
        <f>SUMIFS(Assumptions!CK$105:CK$128,Assumptions!$BB$105:$BB$128,'non-road'!$F20,Assumptions!$BC$105:$BC$128,'non-road'!$D20)/SUMIF(Assumptions!$BB$105:$BB$128,'non-road'!$F20,Assumptions!CK$105:CK$128)</f>
        <v>0.69667869007959338</v>
      </c>
      <c r="AO20" s="33">
        <f>SUMIFS(Assumptions!CL$105:CL$128,Assumptions!$BB$105:$BB$128,'non-road'!$F20,Assumptions!$BC$105:$BC$128,'non-road'!$D20)/SUMIF(Assumptions!$BB$105:$BB$128,'non-road'!$F20,Assumptions!CL$105:CL$128)</f>
        <v>0</v>
      </c>
      <c r="AP20" s="33" t="e">
        <f>SUMIFS(Assumptions!CM$105:CM$128,Assumptions!$BB$105:$BB$128,'non-road'!$F20,Assumptions!$BC$105:$BC$128,'non-road'!$D20)/SUMIF(Assumptions!$BB$105:$BB$128,'non-road'!$F20,Assumptions!CM$105:CM$128)</f>
        <v>#DIV/0!</v>
      </c>
      <c r="AQ20" s="33" t="e">
        <f>SUMIFS(Assumptions!CN$105:CN$128,Assumptions!$BB$105:$BB$128,'non-road'!$F20,Assumptions!$BC$105:$BC$128,'non-road'!$D20)/SUMIF(Assumptions!$BB$105:$BB$128,'non-road'!$F20,Assumptions!CN$105:CN$128)</f>
        <v>#DIV/0!</v>
      </c>
      <c r="AR20" s="33" t="e">
        <f>SUMIFS(Assumptions!CO$105:CO$128,Assumptions!$BB$105:$BB$128,'non-road'!$F20,Assumptions!$BC$105:$BC$128,'non-road'!$D20)/SUMIF(Assumptions!$BB$105:$BB$128,'non-road'!$F20,Assumptions!CO$105:CO$128)</f>
        <v>#DIV/0!</v>
      </c>
      <c r="AS20" s="33" t="e">
        <f>SUMIFS(Assumptions!CP$105:CP$128,Assumptions!$BB$105:$BB$128,'non-road'!$F20,Assumptions!$BC$105:$BC$128,'non-road'!$D20)/SUMIF(Assumptions!$BB$105:$BB$128,'non-road'!$F20,Assumptions!CP$105:CP$128)</f>
        <v>#DIV/0!</v>
      </c>
      <c r="AT20" s="33" t="e">
        <f>SUMIFS(Assumptions!CQ$105:CQ$128,Assumptions!$BB$105:$BB$128,'non-road'!$F20,Assumptions!$BC$105:$BC$128,'non-road'!$D20)/SUMIF(Assumptions!$BB$105:$BB$128,'non-road'!$F20,Assumptions!CQ$105:CQ$128)</f>
        <v>#DIV/0!</v>
      </c>
      <c r="AU20" s="33" t="e">
        <f>SUMIFS(Assumptions!CR$105:CR$128,Assumptions!$BB$105:$BB$128,'non-road'!$F20,Assumptions!$BC$105:$BC$128,'non-road'!$D20)/SUMIF(Assumptions!$BB$105:$BB$128,'non-road'!$F20,Assumptions!CR$105:CR$128)</f>
        <v>#DIV/0!</v>
      </c>
      <c r="AV20" s="33" t="e">
        <f>SUMIFS(Assumptions!CS$105:CS$128,Assumptions!$BB$105:$BB$128,'non-road'!$F20,Assumptions!$BC$105:$BC$128,'non-road'!$D20)/SUMIF(Assumptions!$BB$105:$BB$128,'non-road'!$F20,Assumptions!CS$105:CS$128)</f>
        <v>#DIV/0!</v>
      </c>
      <c r="AW20" s="33" t="e">
        <f>SUMIFS(Assumptions!CT$105:CT$128,Assumptions!$BB$105:$BB$128,'non-road'!$F20,Assumptions!$BC$105:$BC$128,'non-road'!$D20)/SUMIF(Assumptions!$BB$105:$BB$128,'non-road'!$F20,Assumptions!CT$105:CT$128)</f>
        <v>#DIV/0!</v>
      </c>
      <c r="AX20" s="33" t="e">
        <f>SUMIFS(Assumptions!CU$105:CU$128,Assumptions!$BB$105:$BB$128,'non-road'!$F20,Assumptions!$BC$105:$BC$128,'non-road'!$D20)/SUMIF(Assumptions!$BB$105:$BB$128,'non-road'!$F20,Assumptions!CU$105:CU$128)</f>
        <v>#DIV/0!</v>
      </c>
      <c r="AY20" s="33" t="e">
        <f>SUMIFS(Assumptions!CV$105:CV$128,Assumptions!$BB$105:$BB$128,'non-road'!$F20,Assumptions!$BC$105:$BC$128,'non-road'!$D20)/SUMIF(Assumptions!$BB$105:$BB$128,'non-road'!$F20,Assumptions!CV$105:CV$128)</f>
        <v>#DIV/0!</v>
      </c>
      <c r="AZ20" s="33" t="e">
        <f>SUMIFS(Assumptions!CW$105:CW$128,Assumptions!$BB$105:$BB$128,'non-road'!$F20,Assumptions!$BC$105:$BC$128,'non-road'!$D20)/SUMIF(Assumptions!$BB$105:$BB$128,'non-road'!$F20,Assumptions!CW$105:CW$128)</f>
        <v>#DIV/0!</v>
      </c>
      <c r="BD20" s="27" t="str">
        <f t="shared" si="55"/>
        <v>\I:</v>
      </c>
      <c r="BE20" s="33">
        <f>VLOOKUP($F20,Assumptions!$E$152:$BC$157,COLUMN()-COLUMN($BC$4),FALSE)</f>
        <v>1</v>
      </c>
      <c r="BF20" s="33">
        <f>VLOOKUP($F20,Assumptions!$E$152:$BC$157,COLUMN()-COLUMN($BC$4),FALSE)</f>
        <v>1</v>
      </c>
      <c r="BG20" s="33">
        <f>VLOOKUP($F20,Assumptions!$E$152:$BC$157,COLUMN()-COLUMN($BC$4),FALSE)</f>
        <v>1</v>
      </c>
      <c r="BH20" s="33">
        <f>VLOOKUP($F20,Assumptions!$E$152:$BC$157,COLUMN()-COLUMN($BC$4),FALSE)</f>
        <v>1</v>
      </c>
      <c r="BI20" s="33">
        <f>VLOOKUP($F20,Assumptions!$E$152:$BC$157,COLUMN()-COLUMN($BC$4),FALSE)</f>
        <v>1</v>
      </c>
      <c r="BJ20" s="33">
        <f>VLOOKUP($F20,Assumptions!$E$152:$BC$157,COLUMN()-COLUMN($BC$4),FALSE)</f>
        <v>1</v>
      </c>
      <c r="BK20" s="33">
        <f>VLOOKUP($F20,Assumptions!$E$152:$BC$157,COLUMN()-COLUMN($BC$4),FALSE)</f>
        <v>1</v>
      </c>
      <c r="BL20" s="33">
        <f>VLOOKUP($F20,Assumptions!$E$152:$BC$157,COLUMN()-COLUMN($BC$4),FALSE)</f>
        <v>1</v>
      </c>
      <c r="BM20" s="33">
        <f>VLOOKUP($F20,Assumptions!$E$152:$BC$157,COLUMN()-COLUMN($BC$4),FALSE)</f>
        <v>1</v>
      </c>
      <c r="BN20" s="33">
        <f>VLOOKUP($F20,Assumptions!$E$152:$BC$157,COLUMN()-COLUMN($BC$4),FALSE)</f>
        <v>1</v>
      </c>
      <c r="BO20" s="33">
        <f>VLOOKUP($F20,Assumptions!$E$152:$BC$157,COLUMN()-COLUMN($BC$4),FALSE)</f>
        <v>1</v>
      </c>
      <c r="BP20" s="33">
        <f>VLOOKUP($F20,Assumptions!$E$152:$BC$157,COLUMN()-COLUMN($BC$4),FALSE)</f>
        <v>1</v>
      </c>
      <c r="BQ20" s="33">
        <f>VLOOKUP($F20,Assumptions!$E$152:$BC$157,COLUMN()-COLUMN($BC$4),FALSE)</f>
        <v>1</v>
      </c>
      <c r="BR20" s="33">
        <f>VLOOKUP($F20,Assumptions!$E$152:$BC$157,COLUMN()-COLUMN($BC$4),FALSE)</f>
        <v>1</v>
      </c>
      <c r="BS20" s="33">
        <f>VLOOKUP($F20,Assumptions!$E$152:$BC$157,COLUMN()-COLUMN($BC$4),FALSE)</f>
        <v>1</v>
      </c>
      <c r="BT20" s="33">
        <f>VLOOKUP($F20,Assumptions!$E$152:$BC$157,COLUMN()-COLUMN($BC$4),FALSE)</f>
        <v>1</v>
      </c>
      <c r="BU20" s="33">
        <f>VLOOKUP($F20,Assumptions!$E$152:$BC$157,COLUMN()-COLUMN($BC$4),FALSE)</f>
        <v>1</v>
      </c>
      <c r="BV20" s="33">
        <f>VLOOKUP($F20,Assumptions!$E$152:$BC$157,COLUMN()-COLUMN($BC$4),FALSE)</f>
        <v>1</v>
      </c>
      <c r="BW20" s="33">
        <f>VLOOKUP($F20,Assumptions!$E$152:$BC$157,COLUMN()-COLUMN($BC$4),FALSE)</f>
        <v>1</v>
      </c>
      <c r="BX20" s="33">
        <f>VLOOKUP($F20,Assumptions!$E$152:$BC$157,COLUMN()-COLUMN($BC$4),FALSE)</f>
        <v>1</v>
      </c>
      <c r="BY20" s="33">
        <f>VLOOKUP($F20,Assumptions!$E$152:$BC$157,COLUMN()-COLUMN($BC$4),FALSE)</f>
        <v>1</v>
      </c>
      <c r="BZ20" s="33">
        <f>VLOOKUP($F20,Assumptions!$E$152:$BC$157,COLUMN()-COLUMN($BC$4),FALSE)</f>
        <v>1</v>
      </c>
      <c r="CA20" s="33">
        <f>VLOOKUP($F20,Assumptions!$E$152:$BC$157,COLUMN()-COLUMN($BC$4),FALSE)</f>
        <v>1</v>
      </c>
      <c r="CB20" s="33">
        <f>VLOOKUP($F20,Assumptions!$E$152:$BC$157,COLUMN()-COLUMN($BC$4),FALSE)</f>
        <v>1</v>
      </c>
      <c r="CC20" s="33">
        <f>VLOOKUP($F20,Assumptions!$E$152:$BC$157,COLUMN()-COLUMN($BC$4),FALSE)</f>
        <v>1</v>
      </c>
      <c r="CD20" s="33">
        <f>VLOOKUP($F20,Assumptions!$E$152:$BC$157,COLUMN()-COLUMN($BC$4),FALSE)</f>
        <v>1</v>
      </c>
      <c r="CE20" s="33">
        <f>VLOOKUP($F20,Assumptions!$E$152:$BC$157,COLUMN()-COLUMN($BC$4),FALSE)</f>
        <v>1</v>
      </c>
      <c r="CF20" s="33">
        <f>VLOOKUP($F20,Assumptions!$E$152:$BC$157,COLUMN()-COLUMN($BC$4),FALSE)</f>
        <v>1</v>
      </c>
      <c r="CG20" s="33">
        <f>VLOOKUP($F20,Assumptions!$E$152:$BC$157,COLUMN()-COLUMN($BC$4),FALSE)</f>
        <v>1</v>
      </c>
      <c r="CH20" s="33">
        <f>VLOOKUP($F20,Assumptions!$E$152:$BC$157,COLUMN()-COLUMN($BC$4),FALSE)</f>
        <v>1</v>
      </c>
      <c r="CI20" s="33">
        <f>VLOOKUP($F20,Assumptions!$E$152:$BC$157,COLUMN()-COLUMN($BC$4),FALSE)</f>
        <v>1</v>
      </c>
      <c r="CJ20" s="33">
        <f>VLOOKUP($F20,Assumptions!$E$152:$BC$157,COLUMN()-COLUMN($BC$4),FALSE)</f>
        <v>1</v>
      </c>
      <c r="CK20" s="33">
        <f>VLOOKUP($F20,Assumptions!$E$152:$BC$157,COLUMN()-COLUMN($BC$4),FALSE)</f>
        <v>1</v>
      </c>
      <c r="CL20" s="33">
        <f>VLOOKUP($F20,Assumptions!$E$152:$BC$157,COLUMN()-COLUMN($BC$4),FALSE)</f>
        <v>1</v>
      </c>
      <c r="CM20" s="33">
        <f>VLOOKUP($F20,Assumptions!$E$152:$BC$157,COLUMN()-COLUMN($BC$4),FALSE)</f>
        <v>1</v>
      </c>
      <c r="CN20" s="33">
        <f>VLOOKUP($F20,Assumptions!$E$152:$BC$157,COLUMN()-COLUMN($BC$4),FALSE)</f>
        <v>1</v>
      </c>
      <c r="CO20" s="33">
        <f>VLOOKUP($F20,Assumptions!$E$152:$BC$157,COLUMN()-COLUMN($BC$4),FALSE)</f>
        <v>1</v>
      </c>
      <c r="CP20" s="33">
        <f>VLOOKUP($F20,Assumptions!$E$152:$BC$157,COLUMN()-COLUMN($BC$4),FALSE)</f>
        <v>1</v>
      </c>
      <c r="CQ20" s="33">
        <f>VLOOKUP($F20,Assumptions!$E$152:$BC$157,COLUMN()-COLUMN($BC$4),FALSE)</f>
        <v>1</v>
      </c>
      <c r="CR20" s="33">
        <f>VLOOKUP($F20,Assumptions!$E$152:$BC$157,COLUMN()-COLUMN($BC$4),FALSE)</f>
        <v>1</v>
      </c>
      <c r="CS20" s="33">
        <f>VLOOKUP($F20,Assumptions!$E$152:$BC$157,COLUMN()-COLUMN($BC$4),FALSE)</f>
        <v>1</v>
      </c>
      <c r="CT20" s="33">
        <f>VLOOKUP($F20,Assumptions!$E$152:$BC$157,COLUMN()-COLUMN($BC$4),FALSE)</f>
        <v>1</v>
      </c>
      <c r="CU20" s="33">
        <f>VLOOKUP($F20,Assumptions!$E$152:$BC$157,COLUMN()-COLUMN($BC$4),FALSE)</f>
        <v>1</v>
      </c>
      <c r="CV20" s="33">
        <f>VLOOKUP($F20,Assumptions!$E$152:$BC$157,COLUMN()-COLUMN($BC$4),FALSE)</f>
        <v>1</v>
      </c>
      <c r="CW20" s="33">
        <f>VLOOKUP($F20,Assumptions!$E$152:$BC$157,COLUMN()-COLUMN($BC$4),FALSE)</f>
        <v>1</v>
      </c>
      <c r="CX20" s="33">
        <f>VLOOKUP($F20,Assumptions!$E$152:$BC$157,COLUMN()-COLUMN($BC$4),FALSE)</f>
        <v>1</v>
      </c>
      <c r="CY20" s="27"/>
      <c r="CZ20" s="49">
        <f>'TRA balance'!C58</f>
        <v>2019</v>
      </c>
      <c r="DA20" s="49" t="str">
        <f>'TRA balance'!D58</f>
        <v>GDP</v>
      </c>
      <c r="DB20" s="94">
        <f>'TRA balance'!E58</f>
        <v>2018.2739999999999</v>
      </c>
      <c r="DC20" s="94">
        <f>'TRA balance'!F58</f>
        <v>2792.8093829999998</v>
      </c>
      <c r="DD20" s="94">
        <f>'TRA balance'!G58</f>
        <v>964.98099999999999</v>
      </c>
      <c r="DE20" s="94">
        <f>'TRA balance'!H58</f>
        <v>350.86700000000002</v>
      </c>
      <c r="DF20" s="94">
        <f>'TRA balance'!I58</f>
        <v>142.6773</v>
      </c>
      <c r="DG20" s="94">
        <f>'TRA balance'!J58</f>
        <v>1215.2068999999999</v>
      </c>
      <c r="DH20" s="94">
        <f>'TRA balance'!K58</f>
        <v>2724.93</v>
      </c>
      <c r="DI20" s="94">
        <f>'TRA balance'!L58</f>
        <v>21308.9</v>
      </c>
      <c r="DJ20" s="94">
        <f>'TRA balance'!M58</f>
        <v>137.786</v>
      </c>
      <c r="DK20" s="94">
        <f>'TRA balance'!N58</f>
        <v>458.46300000000002</v>
      </c>
      <c r="DL20" s="94">
        <f>'TRA balance'!O58</f>
        <v>2250.3000000000002</v>
      </c>
      <c r="DM20" s="94">
        <f>'TRA balance'!P58</f>
        <v>3218.77</v>
      </c>
      <c r="DN20" s="94">
        <f>'TRA balance'!Q58</f>
        <v>269.22309999999999</v>
      </c>
      <c r="DO20" s="94">
        <f>'TRA balance'!R58</f>
        <v>667.97199999999998</v>
      </c>
      <c r="DP20" s="94">
        <f>'TRA balance'!S58</f>
        <v>15.870900000000001</v>
      </c>
      <c r="DQ20" s="94">
        <f>'TRA balance'!T58</f>
        <v>8348.0499999999993</v>
      </c>
      <c r="DR20" s="94">
        <f>'TRA balance'!U58</f>
        <v>302.74</v>
      </c>
      <c r="DS20" s="94">
        <f>'TRA balance'!V58</f>
        <v>1746.1618000000001</v>
      </c>
      <c r="DT20" s="94">
        <f>'TRA balance'!W58</f>
        <v>4399.22</v>
      </c>
      <c r="DU20" s="94">
        <f>'TRA balance'!X58</f>
        <v>3684.5448814000001</v>
      </c>
      <c r="DV20" s="94">
        <f>'TRA balance'!Y58</f>
        <v>3897.7242999999999</v>
      </c>
      <c r="DW20" s="94">
        <f>'TRA balance'!Z58</f>
        <v>20059.150000000001</v>
      </c>
      <c r="DX20" s="94">
        <f>'TRA balance'!AA58</f>
        <v>265.43799999999999</v>
      </c>
      <c r="DY20" s="94">
        <f>'TRA balance'!AB58</f>
        <v>919.78399999999999</v>
      </c>
      <c r="DZ20" s="94">
        <f>'TRA balance'!AC58</f>
        <v>13965.300496</v>
      </c>
      <c r="EA20" s="94">
        <f>'TRA balance'!AD58</f>
        <v>2457.317</v>
      </c>
      <c r="EB20" s="94">
        <f>'TRA balance'!AE58</f>
        <v>1712.87</v>
      </c>
      <c r="EC20" s="94">
        <f>'TRA balance'!AF58</f>
        <v>625.81200000000001</v>
      </c>
      <c r="ED20" s="94">
        <f>'TRA balance'!AG58</f>
        <v>1655.67</v>
      </c>
      <c r="EE20" s="94">
        <f>'TRA balance'!AH58</f>
        <v>819.16</v>
      </c>
      <c r="EF20" s="94">
        <f>'TRA balance'!AI58</f>
        <v>410.76299999999998</v>
      </c>
      <c r="EG20" s="94">
        <f>'TRA balance'!AJ58</f>
        <v>1542.4</v>
      </c>
      <c r="EH20" s="94">
        <f>'TRA balance'!AK58</f>
        <v>2363.7199999999998</v>
      </c>
      <c r="EI20" s="94">
        <f>'TRA balance'!AL58</f>
        <v>385.6139</v>
      </c>
      <c r="EJ20" s="94">
        <f>'TRA balance'!AM58</f>
        <v>189.07390000000001</v>
      </c>
      <c r="EK20" s="94">
        <f>'TRA balance'!AN58</f>
        <v>261.55</v>
      </c>
      <c r="EL20" s="94">
        <f>'TRA balance'!AO58</f>
        <v>330.101</v>
      </c>
      <c r="EM20" s="94">
        <f>'TRA balance'!AP58</f>
        <v>48028.069840800003</v>
      </c>
      <c r="EN20" s="94">
        <f>'TRA balance'!AQ58</f>
        <v>2457.317</v>
      </c>
      <c r="EO20" s="94">
        <f>'TRA balance'!AR58</f>
        <v>94.703100000000006</v>
      </c>
      <c r="EP20" s="94">
        <f>'TRA balance'!AS58</f>
        <v>143.64500000000001</v>
      </c>
      <c r="EQ20" s="94">
        <f>'TRA balance'!AT58</f>
        <v>62.046500000000002</v>
      </c>
      <c r="ER20" s="94">
        <f>'TRA balance'!AU58</f>
        <v>405.62900000000002</v>
      </c>
      <c r="ES20" s="94">
        <f>'TRA balance'!AV58</f>
        <v>1542.4</v>
      </c>
      <c r="ET20" s="94">
        <f>'TRA balance'!AW58</f>
        <v>385.6139</v>
      </c>
      <c r="EU20" s="94" t="str">
        <f>'TRA balance'!AX58</f>
        <v>NULL</v>
      </c>
      <c r="EV20" s="27"/>
      <c r="EW20" s="27" t="str">
        <f t="shared" si="48"/>
        <v>\I:</v>
      </c>
      <c r="EX20" s="27" t="str">
        <f t="shared" si="68"/>
        <v/>
      </c>
      <c r="EY20" s="27" t="s">
        <v>169</v>
      </c>
      <c r="EZ20" s="27" t="s">
        <v>160</v>
      </c>
      <c r="FA20" s="27" t="s">
        <v>161</v>
      </c>
    </row>
    <row r="21" spans="1:157" ht="15" thickTop="1" thickBot="1">
      <c r="C21" s="27" t="str">
        <f t="shared" si="54"/>
        <v/>
      </c>
      <c r="D21" s="27" t="s">
        <v>43</v>
      </c>
      <c r="E21" s="27" t="s">
        <v>398</v>
      </c>
      <c r="F21" s="27" t="s">
        <v>18</v>
      </c>
      <c r="G21" s="33">
        <f>SUMIFS(Assumptions!BD$105:BD$128,Assumptions!$BB$105:$BB$128,'non-road'!$F21,Assumptions!$BC$105:$BC$128,'non-road'!$D21)/SUMIF(Assumptions!$BB$105:$BB$128,'non-road'!$F21,Assumptions!BD$105:BD$128)</f>
        <v>1</v>
      </c>
      <c r="H21" s="33">
        <f>SUMIFS(Assumptions!BE$105:BE$128,Assumptions!$BB$105:$BB$128,'non-road'!$F21,Assumptions!$BC$105:$BC$128,'non-road'!$D21)/SUMIF(Assumptions!$BB$105:$BB$128,'non-road'!$F21,Assumptions!BE$105:BE$128)</f>
        <v>1</v>
      </c>
      <c r="I21" s="33">
        <f>SUMIFS(Assumptions!BF$105:BF$128,Assumptions!$BB$105:$BB$128,'non-road'!$F21,Assumptions!$BC$105:$BC$128,'non-road'!$D21)/SUMIF(Assumptions!$BB$105:$BB$128,'non-road'!$F21,Assumptions!BF$105:BF$128)</f>
        <v>1</v>
      </c>
      <c r="J21" s="33">
        <f>SUMIFS(Assumptions!BG$105:BG$128,Assumptions!$BB$105:$BB$128,'non-road'!$F21,Assumptions!$BC$105:$BC$128,'non-road'!$D21)/SUMIF(Assumptions!$BB$105:$BB$128,'non-road'!$F21,Assumptions!BG$105:BG$128)</f>
        <v>1</v>
      </c>
      <c r="K21" s="33">
        <f>SUMIFS(Assumptions!BH$105:BH$128,Assumptions!$BB$105:$BB$128,'non-road'!$F21,Assumptions!$BC$105:$BC$128,'non-road'!$D21)/SUMIF(Assumptions!$BB$105:$BB$128,'non-road'!$F21,Assumptions!BH$105:BH$128)</f>
        <v>1</v>
      </c>
      <c r="L21" s="33">
        <f>SUMIFS(Assumptions!BI$105:BI$128,Assumptions!$BB$105:$BB$128,'non-road'!$F21,Assumptions!$BC$105:$BC$128,'non-road'!$D21)/SUMIF(Assumptions!$BB$105:$BB$128,'non-road'!$F21,Assumptions!BI$105:BI$128)</f>
        <v>1</v>
      </c>
      <c r="M21" s="33">
        <f>SUMIFS(Assumptions!BJ$105:BJ$128,Assumptions!$BB$105:$BB$128,'non-road'!$F21,Assumptions!$BC$105:$BC$128,'non-road'!$D21)/SUMIF(Assumptions!$BB$105:$BB$128,'non-road'!$F21,Assumptions!BJ$105:BJ$128)</f>
        <v>1</v>
      </c>
      <c r="N21" s="33">
        <f>SUMIFS(Assumptions!BK$105:BK$128,Assumptions!$BB$105:$BB$128,'non-road'!$F21,Assumptions!$BC$105:$BC$128,'non-road'!$D21)/SUMIF(Assumptions!$BB$105:$BB$128,'non-road'!$F21,Assumptions!BK$105:BK$128)</f>
        <v>1</v>
      </c>
      <c r="O21" s="33">
        <f>SUMIFS(Assumptions!BL$105:BL$128,Assumptions!$BB$105:$BB$128,'non-road'!$F21,Assumptions!$BC$105:$BC$128,'non-road'!$D21)/SUMIF(Assumptions!$BB$105:$BB$128,'non-road'!$F21,Assumptions!BL$105:BL$128)</f>
        <v>1</v>
      </c>
      <c r="P21" s="33">
        <f>SUMIFS(Assumptions!BM$105:BM$128,Assumptions!$BB$105:$BB$128,'non-road'!$F21,Assumptions!$BC$105:$BC$128,'non-road'!$D21)/SUMIF(Assumptions!$BB$105:$BB$128,'non-road'!$F21,Assumptions!BM$105:BM$128)</f>
        <v>1</v>
      </c>
      <c r="Q21" s="33">
        <f>SUMIFS(Assumptions!BN$105:BN$128,Assumptions!$BB$105:$BB$128,'non-road'!$F21,Assumptions!$BC$105:$BC$128,'non-road'!$D21)/SUMIF(Assumptions!$BB$105:$BB$128,'non-road'!$F21,Assumptions!BN$105:BN$128)</f>
        <v>1</v>
      </c>
      <c r="R21" s="33">
        <f>SUMIFS(Assumptions!BO$105:BO$128,Assumptions!$BB$105:$BB$128,'non-road'!$F21,Assumptions!$BC$105:$BC$128,'non-road'!$D21)/SUMIF(Assumptions!$BB$105:$BB$128,'non-road'!$F21,Assumptions!BO$105:BO$128)</f>
        <v>1</v>
      </c>
      <c r="S21" s="33">
        <f>SUMIFS(Assumptions!BP$105:BP$128,Assumptions!$BB$105:$BB$128,'non-road'!$F21,Assumptions!$BC$105:$BC$128,'non-road'!$D21)/SUMIF(Assumptions!$BB$105:$BB$128,'non-road'!$F21,Assumptions!BP$105:BP$128)</f>
        <v>1</v>
      </c>
      <c r="T21" s="33">
        <f>SUMIFS(Assumptions!BQ$105:BQ$128,Assumptions!$BB$105:$BB$128,'non-road'!$F21,Assumptions!$BC$105:$BC$128,'non-road'!$D21)/SUMIF(Assumptions!$BB$105:$BB$128,'non-road'!$F21,Assumptions!BQ$105:BQ$128)</f>
        <v>1</v>
      </c>
      <c r="U21" s="33">
        <f>SUMIFS(Assumptions!BR$105:BR$128,Assumptions!$BB$105:$BB$128,'non-road'!$F21,Assumptions!$BC$105:$BC$128,'non-road'!$D21)/SUMIF(Assumptions!$BB$105:$BB$128,'non-road'!$F21,Assumptions!BR$105:BR$128)</f>
        <v>1</v>
      </c>
      <c r="V21" s="33">
        <f>SUMIFS(Assumptions!BS$105:BS$128,Assumptions!$BB$105:$BB$128,'non-road'!$F21,Assumptions!$BC$105:$BC$128,'non-road'!$D21)/SUMIF(Assumptions!$BB$105:$BB$128,'non-road'!$F21,Assumptions!BS$105:BS$128)</f>
        <v>1</v>
      </c>
      <c r="W21" s="33">
        <f>SUMIFS(Assumptions!BT$105:BT$128,Assumptions!$BB$105:$BB$128,'non-road'!$F21,Assumptions!$BC$105:$BC$128,'non-road'!$D21)/SUMIF(Assumptions!$BB$105:$BB$128,'non-road'!$F21,Assumptions!BT$105:BT$128)</f>
        <v>1</v>
      </c>
      <c r="X21" s="33">
        <f>SUMIFS(Assumptions!BU$105:BU$128,Assumptions!$BB$105:$BB$128,'non-road'!$F21,Assumptions!$BC$105:$BC$128,'non-road'!$D21)/SUMIF(Assumptions!$BB$105:$BB$128,'non-road'!$F21,Assumptions!BU$105:BU$128)</f>
        <v>1</v>
      </c>
      <c r="Y21" s="33">
        <f>SUMIFS(Assumptions!BV$105:BV$128,Assumptions!$BB$105:$BB$128,'non-road'!$F21,Assumptions!$BC$105:$BC$128,'non-road'!$D21)/SUMIF(Assumptions!$BB$105:$BB$128,'non-road'!$F21,Assumptions!BV$105:BV$128)</f>
        <v>1</v>
      </c>
      <c r="Z21" s="33">
        <f>SUMIFS(Assumptions!BW$105:BW$128,Assumptions!$BB$105:$BB$128,'non-road'!$F21,Assumptions!$BC$105:$BC$128,'non-road'!$D21)/SUMIF(Assumptions!$BB$105:$BB$128,'non-road'!$F21,Assumptions!BW$105:BW$128)</f>
        <v>1</v>
      </c>
      <c r="AA21" s="33">
        <f>SUMIFS(Assumptions!BX$105:BX$128,Assumptions!$BB$105:$BB$128,'non-road'!$F21,Assumptions!$BC$105:$BC$128,'non-road'!$D21)/SUMIF(Assumptions!$BB$105:$BB$128,'non-road'!$F21,Assumptions!BX$105:BX$128)</f>
        <v>1</v>
      </c>
      <c r="AB21" s="33">
        <f>SUMIFS(Assumptions!BY$105:BY$128,Assumptions!$BB$105:$BB$128,'non-road'!$F21,Assumptions!$BC$105:$BC$128,'non-road'!$D21)/SUMIF(Assumptions!$BB$105:$BB$128,'non-road'!$F21,Assumptions!BY$105:BY$128)</f>
        <v>1</v>
      </c>
      <c r="AC21" s="33">
        <f>SUMIFS(Assumptions!BZ$105:BZ$128,Assumptions!$BB$105:$BB$128,'non-road'!$F21,Assumptions!$BC$105:$BC$128,'non-road'!$D21)/SUMIF(Assumptions!$BB$105:$BB$128,'non-road'!$F21,Assumptions!BZ$105:BZ$128)</f>
        <v>1</v>
      </c>
      <c r="AD21" s="33">
        <f>SUMIFS(Assumptions!CA$105:CA$128,Assumptions!$BB$105:$BB$128,'non-road'!$F21,Assumptions!$BC$105:$BC$128,'non-road'!$D21)/SUMIF(Assumptions!$BB$105:$BB$128,'non-road'!$F21,Assumptions!CA$105:CA$128)</f>
        <v>1</v>
      </c>
      <c r="AE21" s="33">
        <f>SUMIFS(Assumptions!CB$105:CB$128,Assumptions!$BB$105:$BB$128,'non-road'!$F21,Assumptions!$BC$105:$BC$128,'non-road'!$D21)/SUMIF(Assumptions!$BB$105:$BB$128,'non-road'!$F21,Assumptions!CB$105:CB$128)</f>
        <v>1</v>
      </c>
      <c r="AF21" s="33">
        <f>SUMIFS(Assumptions!CC$105:CC$128,Assumptions!$BB$105:$BB$128,'non-road'!$F21,Assumptions!$BC$105:$BC$128,'non-road'!$D21)/SUMIF(Assumptions!$BB$105:$BB$128,'non-road'!$F21,Assumptions!CC$105:CC$128)</f>
        <v>1</v>
      </c>
      <c r="AG21" s="33">
        <f>SUMIFS(Assumptions!CD$105:CD$128,Assumptions!$BB$105:$BB$128,'non-road'!$F21,Assumptions!$BC$105:$BC$128,'non-road'!$D21)/SUMIF(Assumptions!$BB$105:$BB$128,'non-road'!$F21,Assumptions!CD$105:CD$128)</f>
        <v>1</v>
      </c>
      <c r="AH21" s="33">
        <f>SUMIFS(Assumptions!CE$105:CE$128,Assumptions!$BB$105:$BB$128,'non-road'!$F21,Assumptions!$BC$105:$BC$128,'non-road'!$D21)/SUMIF(Assumptions!$BB$105:$BB$128,'non-road'!$F21,Assumptions!CE$105:CE$128)</f>
        <v>1</v>
      </c>
      <c r="AI21" s="33">
        <f>SUMIFS(Assumptions!CF$105:CF$128,Assumptions!$BB$105:$BB$128,'non-road'!$F21,Assumptions!$BC$105:$BC$128,'non-road'!$D21)/SUMIF(Assumptions!$BB$105:$BB$128,'non-road'!$F21,Assumptions!CF$105:CF$128)</f>
        <v>1</v>
      </c>
      <c r="AJ21" s="33">
        <f>SUMIFS(Assumptions!CG$105:CG$128,Assumptions!$BB$105:$BB$128,'non-road'!$F21,Assumptions!$BC$105:$BC$128,'non-road'!$D21)/SUMIF(Assumptions!$BB$105:$BB$128,'non-road'!$F21,Assumptions!CG$105:CG$128)</f>
        <v>1</v>
      </c>
      <c r="AK21" s="33">
        <f>SUMIFS(Assumptions!CH$105:CH$128,Assumptions!$BB$105:$BB$128,'non-road'!$F21,Assumptions!$BC$105:$BC$128,'non-road'!$D21)/SUMIF(Assumptions!$BB$105:$BB$128,'non-road'!$F21,Assumptions!CH$105:CH$128)</f>
        <v>1</v>
      </c>
      <c r="AL21" s="33">
        <f>SUMIFS(Assumptions!CI$105:CI$128,Assumptions!$BB$105:$BB$128,'non-road'!$F21,Assumptions!$BC$105:$BC$128,'non-road'!$D21)/SUMIF(Assumptions!$BB$105:$BB$128,'non-road'!$F21,Assumptions!CI$105:CI$128)</f>
        <v>1</v>
      </c>
      <c r="AM21" s="33">
        <f>SUMIFS(Assumptions!CJ$105:CJ$128,Assumptions!$BB$105:$BB$128,'non-road'!$F21,Assumptions!$BC$105:$BC$128,'non-road'!$D21)/SUMIF(Assumptions!$BB$105:$BB$128,'non-road'!$F21,Assumptions!CJ$105:CJ$128)</f>
        <v>1</v>
      </c>
      <c r="AN21" s="33">
        <f>SUMIFS(Assumptions!CK$105:CK$128,Assumptions!$BB$105:$BB$128,'non-road'!$F21,Assumptions!$BC$105:$BC$128,'non-road'!$D21)/SUMIF(Assumptions!$BB$105:$BB$128,'non-road'!$F21,Assumptions!CK$105:CK$128)</f>
        <v>0.30332130992040668</v>
      </c>
      <c r="AO21" s="33">
        <f>SUMIFS(Assumptions!CL$105:CL$128,Assumptions!$BB$105:$BB$128,'non-road'!$F21,Assumptions!$BC$105:$BC$128,'non-road'!$D21)/SUMIF(Assumptions!$BB$105:$BB$128,'non-road'!$F21,Assumptions!CL$105:CL$128)</f>
        <v>1</v>
      </c>
      <c r="AP21" s="33" t="e">
        <f>SUMIFS(Assumptions!CM$105:CM$128,Assumptions!$BB$105:$BB$128,'non-road'!$F21,Assumptions!$BC$105:$BC$128,'non-road'!$D21)/SUMIF(Assumptions!$BB$105:$BB$128,'non-road'!$F21,Assumptions!CM$105:CM$128)</f>
        <v>#DIV/0!</v>
      </c>
      <c r="AQ21" s="33" t="e">
        <f>SUMIFS(Assumptions!CN$105:CN$128,Assumptions!$BB$105:$BB$128,'non-road'!$F21,Assumptions!$BC$105:$BC$128,'non-road'!$D21)/SUMIF(Assumptions!$BB$105:$BB$128,'non-road'!$F21,Assumptions!CN$105:CN$128)</f>
        <v>#DIV/0!</v>
      </c>
      <c r="AR21" s="33" t="e">
        <f>SUMIFS(Assumptions!CO$105:CO$128,Assumptions!$BB$105:$BB$128,'non-road'!$F21,Assumptions!$BC$105:$BC$128,'non-road'!$D21)/SUMIF(Assumptions!$BB$105:$BB$128,'non-road'!$F21,Assumptions!CO$105:CO$128)</f>
        <v>#DIV/0!</v>
      </c>
      <c r="AS21" s="33" t="e">
        <f>SUMIFS(Assumptions!CP$105:CP$128,Assumptions!$BB$105:$BB$128,'non-road'!$F21,Assumptions!$BC$105:$BC$128,'non-road'!$D21)/SUMIF(Assumptions!$BB$105:$BB$128,'non-road'!$F21,Assumptions!CP$105:CP$128)</f>
        <v>#DIV/0!</v>
      </c>
      <c r="AT21" s="33" t="e">
        <f>SUMIFS(Assumptions!CQ$105:CQ$128,Assumptions!$BB$105:$BB$128,'non-road'!$F21,Assumptions!$BC$105:$BC$128,'non-road'!$D21)/SUMIF(Assumptions!$BB$105:$BB$128,'non-road'!$F21,Assumptions!CQ$105:CQ$128)</f>
        <v>#DIV/0!</v>
      </c>
      <c r="AU21" s="33" t="e">
        <f>SUMIFS(Assumptions!CR$105:CR$128,Assumptions!$BB$105:$BB$128,'non-road'!$F21,Assumptions!$BC$105:$BC$128,'non-road'!$D21)/SUMIF(Assumptions!$BB$105:$BB$128,'non-road'!$F21,Assumptions!CR$105:CR$128)</f>
        <v>#DIV/0!</v>
      </c>
      <c r="AV21" s="33" t="e">
        <f>SUMIFS(Assumptions!CS$105:CS$128,Assumptions!$BB$105:$BB$128,'non-road'!$F21,Assumptions!$BC$105:$BC$128,'non-road'!$D21)/SUMIF(Assumptions!$BB$105:$BB$128,'non-road'!$F21,Assumptions!CS$105:CS$128)</f>
        <v>#DIV/0!</v>
      </c>
      <c r="AW21" s="33" t="e">
        <f>SUMIFS(Assumptions!CT$105:CT$128,Assumptions!$BB$105:$BB$128,'non-road'!$F21,Assumptions!$BC$105:$BC$128,'non-road'!$D21)/SUMIF(Assumptions!$BB$105:$BB$128,'non-road'!$F21,Assumptions!CT$105:CT$128)</f>
        <v>#DIV/0!</v>
      </c>
      <c r="AX21" s="33" t="e">
        <f>SUMIFS(Assumptions!CU$105:CU$128,Assumptions!$BB$105:$BB$128,'non-road'!$F21,Assumptions!$BC$105:$BC$128,'non-road'!$D21)/SUMIF(Assumptions!$BB$105:$BB$128,'non-road'!$F21,Assumptions!CU$105:CU$128)</f>
        <v>#DIV/0!</v>
      </c>
      <c r="AY21" s="33" t="e">
        <f>SUMIFS(Assumptions!CV$105:CV$128,Assumptions!$BB$105:$BB$128,'non-road'!$F21,Assumptions!$BC$105:$BC$128,'non-road'!$D21)/SUMIF(Assumptions!$BB$105:$BB$128,'non-road'!$F21,Assumptions!CV$105:CV$128)</f>
        <v>#DIV/0!</v>
      </c>
      <c r="AZ21" s="33" t="e">
        <f>SUMIFS(Assumptions!CW$105:CW$128,Assumptions!$BB$105:$BB$128,'non-road'!$F21,Assumptions!$BC$105:$BC$128,'non-road'!$D21)/SUMIF(Assumptions!$BB$105:$BB$128,'non-road'!$F21,Assumptions!CW$105:CW$128)</f>
        <v>#DIV/0!</v>
      </c>
      <c r="BD21" s="27" t="str">
        <f t="shared" si="55"/>
        <v>\I:</v>
      </c>
      <c r="BE21" s="33">
        <f>VLOOKUP($F21,Assumptions!$E$152:$BC$157,COLUMN()-COLUMN($BC$4),FALSE)</f>
        <v>1</v>
      </c>
      <c r="BF21" s="33">
        <f>VLOOKUP($F21,Assumptions!$E$152:$BC$157,COLUMN()-COLUMN($BC$4),FALSE)</f>
        <v>1</v>
      </c>
      <c r="BG21" s="33">
        <f>VLOOKUP($F21,Assumptions!$E$152:$BC$157,COLUMN()-COLUMN($BC$4),FALSE)</f>
        <v>1</v>
      </c>
      <c r="BH21" s="33">
        <f>VLOOKUP($F21,Assumptions!$E$152:$BC$157,COLUMN()-COLUMN($BC$4),FALSE)</f>
        <v>1</v>
      </c>
      <c r="BI21" s="33">
        <f>VLOOKUP($F21,Assumptions!$E$152:$BC$157,COLUMN()-COLUMN($BC$4),FALSE)</f>
        <v>1</v>
      </c>
      <c r="BJ21" s="33">
        <f>VLOOKUP($F21,Assumptions!$E$152:$BC$157,COLUMN()-COLUMN($BC$4),FALSE)</f>
        <v>1</v>
      </c>
      <c r="BK21" s="33">
        <f>VLOOKUP($F21,Assumptions!$E$152:$BC$157,COLUMN()-COLUMN($BC$4),FALSE)</f>
        <v>1</v>
      </c>
      <c r="BL21" s="33">
        <f>VLOOKUP($F21,Assumptions!$E$152:$BC$157,COLUMN()-COLUMN($BC$4),FALSE)</f>
        <v>1</v>
      </c>
      <c r="BM21" s="33">
        <f>VLOOKUP($F21,Assumptions!$E$152:$BC$157,COLUMN()-COLUMN($BC$4),FALSE)</f>
        <v>1</v>
      </c>
      <c r="BN21" s="33">
        <f>VLOOKUP($F21,Assumptions!$E$152:$BC$157,COLUMN()-COLUMN($BC$4),FALSE)</f>
        <v>1</v>
      </c>
      <c r="BO21" s="33">
        <f>VLOOKUP($F21,Assumptions!$E$152:$BC$157,COLUMN()-COLUMN($BC$4),FALSE)</f>
        <v>1</v>
      </c>
      <c r="BP21" s="33">
        <f>VLOOKUP($F21,Assumptions!$E$152:$BC$157,COLUMN()-COLUMN($BC$4),FALSE)</f>
        <v>1</v>
      </c>
      <c r="BQ21" s="33">
        <f>VLOOKUP($F21,Assumptions!$E$152:$BC$157,COLUMN()-COLUMN($BC$4),FALSE)</f>
        <v>1</v>
      </c>
      <c r="BR21" s="33">
        <f>VLOOKUP($F21,Assumptions!$E$152:$BC$157,COLUMN()-COLUMN($BC$4),FALSE)</f>
        <v>1</v>
      </c>
      <c r="BS21" s="33">
        <f>VLOOKUP($F21,Assumptions!$E$152:$BC$157,COLUMN()-COLUMN($BC$4),FALSE)</f>
        <v>1</v>
      </c>
      <c r="BT21" s="33">
        <f>VLOOKUP($F21,Assumptions!$E$152:$BC$157,COLUMN()-COLUMN($BC$4),FALSE)</f>
        <v>1</v>
      </c>
      <c r="BU21" s="33">
        <f>VLOOKUP($F21,Assumptions!$E$152:$BC$157,COLUMN()-COLUMN($BC$4),FALSE)</f>
        <v>1</v>
      </c>
      <c r="BV21" s="33">
        <f>VLOOKUP($F21,Assumptions!$E$152:$BC$157,COLUMN()-COLUMN($BC$4),FALSE)</f>
        <v>1</v>
      </c>
      <c r="BW21" s="33">
        <f>VLOOKUP($F21,Assumptions!$E$152:$BC$157,COLUMN()-COLUMN($BC$4),FALSE)</f>
        <v>1</v>
      </c>
      <c r="BX21" s="33">
        <f>VLOOKUP($F21,Assumptions!$E$152:$BC$157,COLUMN()-COLUMN($BC$4),FALSE)</f>
        <v>1</v>
      </c>
      <c r="BY21" s="33">
        <f>VLOOKUP($F21,Assumptions!$E$152:$BC$157,COLUMN()-COLUMN($BC$4),FALSE)</f>
        <v>1</v>
      </c>
      <c r="BZ21" s="33">
        <f>VLOOKUP($F21,Assumptions!$E$152:$BC$157,COLUMN()-COLUMN($BC$4),FALSE)</f>
        <v>1</v>
      </c>
      <c r="CA21" s="33">
        <f>VLOOKUP($F21,Assumptions!$E$152:$BC$157,COLUMN()-COLUMN($BC$4),FALSE)</f>
        <v>1</v>
      </c>
      <c r="CB21" s="33">
        <f>VLOOKUP($F21,Assumptions!$E$152:$BC$157,COLUMN()-COLUMN($BC$4),FALSE)</f>
        <v>1</v>
      </c>
      <c r="CC21" s="33">
        <f>VLOOKUP($F21,Assumptions!$E$152:$BC$157,COLUMN()-COLUMN($BC$4),FALSE)</f>
        <v>1</v>
      </c>
      <c r="CD21" s="33">
        <f>VLOOKUP($F21,Assumptions!$E$152:$BC$157,COLUMN()-COLUMN($BC$4),FALSE)</f>
        <v>1</v>
      </c>
      <c r="CE21" s="33">
        <f>VLOOKUP($F21,Assumptions!$E$152:$BC$157,COLUMN()-COLUMN($BC$4),FALSE)</f>
        <v>1</v>
      </c>
      <c r="CF21" s="33">
        <f>VLOOKUP($F21,Assumptions!$E$152:$BC$157,COLUMN()-COLUMN($BC$4),FALSE)</f>
        <v>1</v>
      </c>
      <c r="CG21" s="33">
        <f>VLOOKUP($F21,Assumptions!$E$152:$BC$157,COLUMN()-COLUMN($BC$4),FALSE)</f>
        <v>1</v>
      </c>
      <c r="CH21" s="33">
        <f>VLOOKUP($F21,Assumptions!$E$152:$BC$157,COLUMN()-COLUMN($BC$4),FALSE)</f>
        <v>1</v>
      </c>
      <c r="CI21" s="33">
        <f>VLOOKUP($F21,Assumptions!$E$152:$BC$157,COLUMN()-COLUMN($BC$4),FALSE)</f>
        <v>1</v>
      </c>
      <c r="CJ21" s="33">
        <f>VLOOKUP($F21,Assumptions!$E$152:$BC$157,COLUMN()-COLUMN($BC$4),FALSE)</f>
        <v>1</v>
      </c>
      <c r="CK21" s="33">
        <f>VLOOKUP($F21,Assumptions!$E$152:$BC$157,COLUMN()-COLUMN($BC$4),FALSE)</f>
        <v>1</v>
      </c>
      <c r="CL21" s="33">
        <f>VLOOKUP($F21,Assumptions!$E$152:$BC$157,COLUMN()-COLUMN($BC$4),FALSE)</f>
        <v>1</v>
      </c>
      <c r="CM21" s="33">
        <f>VLOOKUP($F21,Assumptions!$E$152:$BC$157,COLUMN()-COLUMN($BC$4),FALSE)</f>
        <v>1</v>
      </c>
      <c r="CN21" s="33">
        <f>VLOOKUP($F21,Assumptions!$E$152:$BC$157,COLUMN()-COLUMN($BC$4),FALSE)</f>
        <v>1</v>
      </c>
      <c r="CO21" s="33">
        <f>VLOOKUP($F21,Assumptions!$E$152:$BC$157,COLUMN()-COLUMN($BC$4),FALSE)</f>
        <v>1</v>
      </c>
      <c r="CP21" s="33">
        <f>VLOOKUP($F21,Assumptions!$E$152:$BC$157,COLUMN()-COLUMN($BC$4),FALSE)</f>
        <v>1</v>
      </c>
      <c r="CQ21" s="33">
        <f>VLOOKUP($F21,Assumptions!$E$152:$BC$157,COLUMN()-COLUMN($BC$4),FALSE)</f>
        <v>1</v>
      </c>
      <c r="CR21" s="33">
        <f>VLOOKUP($F21,Assumptions!$E$152:$BC$157,COLUMN()-COLUMN($BC$4),FALSE)</f>
        <v>1</v>
      </c>
      <c r="CS21" s="33">
        <f>VLOOKUP($F21,Assumptions!$E$152:$BC$157,COLUMN()-COLUMN($BC$4),FALSE)</f>
        <v>1</v>
      </c>
      <c r="CT21" s="33">
        <f>VLOOKUP($F21,Assumptions!$E$152:$BC$157,COLUMN()-COLUMN($BC$4),FALSE)</f>
        <v>1</v>
      </c>
      <c r="CU21" s="33">
        <f>VLOOKUP($F21,Assumptions!$E$152:$BC$157,COLUMN()-COLUMN($BC$4),FALSE)</f>
        <v>1</v>
      </c>
      <c r="CV21" s="33">
        <f>VLOOKUP($F21,Assumptions!$E$152:$BC$157,COLUMN()-COLUMN($BC$4),FALSE)</f>
        <v>1</v>
      </c>
      <c r="CW21" s="33">
        <f>VLOOKUP($F21,Assumptions!$E$152:$BC$157,COLUMN()-COLUMN($BC$4),FALSE)</f>
        <v>1</v>
      </c>
      <c r="CX21" s="33">
        <f>VLOOKUP($F21,Assumptions!$E$152:$BC$157,COLUMN()-COLUMN($BC$4),FALSE)</f>
        <v>1</v>
      </c>
      <c r="CY21" s="27"/>
      <c r="CZ21" s="49">
        <f>'TRA balance'!C59</f>
        <v>2019</v>
      </c>
      <c r="DA21" s="49" t="str">
        <f>'TRA balance'!D59</f>
        <v>POP</v>
      </c>
      <c r="DB21" s="94">
        <f>'TRA balance'!E59</f>
        <v>198.38505000000001</v>
      </c>
      <c r="DC21" s="94">
        <f>'TRA balance'!F59</f>
        <v>1039.1569489999999</v>
      </c>
      <c r="DD21" s="94">
        <f>'TRA balance'!G59</f>
        <v>25.3657</v>
      </c>
      <c r="DE21" s="94">
        <f>'TRA balance'!H59</f>
        <v>8.8799200000000003</v>
      </c>
      <c r="DF21" s="94">
        <f>'TRA balance'!I59</f>
        <v>6.0348600000000001</v>
      </c>
      <c r="DG21" s="94">
        <f>'TRA balance'!J59</f>
        <v>29.453900999999998</v>
      </c>
      <c r="DH21" s="94">
        <f>'TRA balance'!K59</f>
        <v>211.05</v>
      </c>
      <c r="DI21" s="94">
        <f>'TRA balance'!L59</f>
        <v>1397.72</v>
      </c>
      <c r="DJ21" s="94">
        <f>'TRA balance'!M59</f>
        <v>6.1536400000000002</v>
      </c>
      <c r="DK21" s="94">
        <f>'TRA balance'!N59</f>
        <v>16.126049999999999</v>
      </c>
      <c r="DL21" s="94">
        <f>'TRA balance'!O59</f>
        <v>67.248900000000006</v>
      </c>
      <c r="DM21" s="94">
        <f>'TRA balance'!P59</f>
        <v>83.093000000000004</v>
      </c>
      <c r="DN21" s="94">
        <f>'TRA balance'!Q59</f>
        <v>11.920170000000001</v>
      </c>
      <c r="DO21" s="94">
        <f>'TRA balance'!R59</f>
        <v>36.118499999999997</v>
      </c>
      <c r="DP21" s="94">
        <f>'TRA balance'!S59</f>
        <v>0.36056300000000002</v>
      </c>
      <c r="DQ21" s="94">
        <f>'TRA balance'!T59</f>
        <v>1366.42</v>
      </c>
      <c r="DR21" s="94">
        <f>'TRA balance'!U59</f>
        <v>4.9343399999999997</v>
      </c>
      <c r="DS21" s="94">
        <f>'TRA balance'!V59</f>
        <v>60.233162</v>
      </c>
      <c r="DT21" s="94">
        <f>'TRA balance'!W59</f>
        <v>126.265</v>
      </c>
      <c r="DU21" s="94">
        <f>'TRA balance'!X59</f>
        <v>308.82149155000002</v>
      </c>
      <c r="DV21" s="94">
        <f>'TRA balance'!Y59</f>
        <v>222.57825</v>
      </c>
      <c r="DW21" s="94">
        <f>'TRA balance'!Z59</f>
        <v>493.49939999999998</v>
      </c>
      <c r="DX21" s="94">
        <f>'TRA balance'!AA59</f>
        <v>5.3479000000000001</v>
      </c>
      <c r="DY21" s="94">
        <f>'TRA balance'!AB59</f>
        <v>37.965499999999999</v>
      </c>
      <c r="DZ21" s="94">
        <f>'TRA balance'!AC59</f>
        <v>1349.4624114999999</v>
      </c>
      <c r="EA21" s="94">
        <f>'TRA balance'!AD59</f>
        <v>153.82384999999999</v>
      </c>
      <c r="EB21" s="94">
        <f>'TRA balance'!AE59</f>
        <v>34.268500000000003</v>
      </c>
      <c r="EC21" s="94">
        <f>'TRA balance'!AF59</f>
        <v>58.558300000000003</v>
      </c>
      <c r="ED21" s="94">
        <f>'TRA balance'!AG59</f>
        <v>57.419800000000002</v>
      </c>
      <c r="EE21" s="94">
        <f>'TRA balance'!AH59</f>
        <v>21.614930000000001</v>
      </c>
      <c r="EF21" s="94">
        <f>'TRA balance'!AI59</f>
        <v>8.5752799999999993</v>
      </c>
      <c r="EG21" s="94">
        <f>'TRA balance'!AJ59</f>
        <v>83.429599999999994</v>
      </c>
      <c r="EH21" s="94">
        <f>'TRA balance'!AK59</f>
        <v>66.836299999999994</v>
      </c>
      <c r="EI21" s="94">
        <f>'TRA balance'!AL59</f>
        <v>47.04945</v>
      </c>
      <c r="EJ21" s="94">
        <f>'TRA balance'!AM59</f>
        <v>15.805908000000001</v>
      </c>
      <c r="EK21" s="94">
        <f>'TRA balance'!AN59</f>
        <v>10.286300000000001</v>
      </c>
      <c r="EL21" s="94">
        <f>'TRA balance'!AO59</f>
        <v>19.371600000000001</v>
      </c>
      <c r="EM21" s="94">
        <f>'TRA balance'!AP59</f>
        <v>4241.8089623300002</v>
      </c>
      <c r="EN21" s="94">
        <f>'TRA balance'!AQ59</f>
        <v>153.82384999999999</v>
      </c>
      <c r="EO21" s="94">
        <f>'TRA balance'!AR59</f>
        <v>6.9452299999999996</v>
      </c>
      <c r="EP21" s="94">
        <f>'TRA balance'!AS59</f>
        <v>5.4541500000000003</v>
      </c>
      <c r="EQ21" s="94">
        <f>'TRA balance'!AT59</f>
        <v>2.08839</v>
      </c>
      <c r="ER21" s="94">
        <f>'TRA balance'!AU59</f>
        <v>10.2789</v>
      </c>
      <c r="ES21" s="94">
        <f>'TRA balance'!AV59</f>
        <v>83.429599999999994</v>
      </c>
      <c r="ET21" s="94">
        <f>'TRA balance'!AW59</f>
        <v>47.04945</v>
      </c>
      <c r="EU21" s="94" t="str">
        <f>'TRA balance'!AX59</f>
        <v>NULL</v>
      </c>
      <c r="EV21" s="27"/>
      <c r="EW21" s="27" t="str">
        <f t="shared" si="48"/>
        <v>DMD</v>
      </c>
      <c r="EX21" s="27" t="str">
        <f t="shared" si="68"/>
        <v>TAD_Generic</v>
      </c>
      <c r="EY21" s="27" t="s">
        <v>163</v>
      </c>
      <c r="EZ21" s="27" t="s">
        <v>160</v>
      </c>
      <c r="FA21" s="27" t="s">
        <v>161</v>
      </c>
    </row>
    <row r="22" spans="1:157" ht="14.65" thickTop="1">
      <c r="C22" s="27" t="str">
        <f t="shared" si="54"/>
        <v>TAD_Generic</v>
      </c>
      <c r="D22" s="27" t="s">
        <v>42</v>
      </c>
      <c r="E22" s="27"/>
      <c r="F22" s="27" t="s">
        <v>20</v>
      </c>
      <c r="G22" s="33">
        <f>SUMIFS(Assumptions!BD$105:BD$128,Assumptions!$BB$105:$BB$128,'non-road'!$F22,Assumptions!$BC$105:$BC$128,'non-road'!$D22)/SUMIF(Assumptions!$BB$105:$BB$128,'non-road'!$F22,Assumptions!BD$105:BD$128)</f>
        <v>0</v>
      </c>
      <c r="H22" s="33">
        <f>SUMIFS(Assumptions!BE$105:BE$128,Assumptions!$BB$105:$BB$128,'non-road'!$F22,Assumptions!$BC$105:$BC$128,'non-road'!$D22)/SUMIF(Assumptions!$BB$105:$BB$128,'non-road'!$F22,Assumptions!BE$105:BE$128)</f>
        <v>0</v>
      </c>
      <c r="I22" s="33">
        <f>SUMIFS(Assumptions!BF$105:BF$128,Assumptions!$BB$105:$BB$128,'non-road'!$F22,Assumptions!$BC$105:$BC$128,'non-road'!$D22)/SUMIF(Assumptions!$BB$105:$BB$128,'non-road'!$F22,Assumptions!BF$105:BF$128)</f>
        <v>0</v>
      </c>
      <c r="J22" s="33">
        <f>SUMIFS(Assumptions!BG$105:BG$128,Assumptions!$BB$105:$BB$128,'non-road'!$F22,Assumptions!$BC$105:$BC$128,'non-road'!$D22)/SUMIF(Assumptions!$BB$105:$BB$128,'non-road'!$F22,Assumptions!BG$105:BG$128)</f>
        <v>0</v>
      </c>
      <c r="K22" s="33">
        <f>SUMIFS(Assumptions!BH$105:BH$128,Assumptions!$BB$105:$BB$128,'non-road'!$F22,Assumptions!$BC$105:$BC$128,'non-road'!$D22)/SUMIF(Assumptions!$BB$105:$BB$128,'non-road'!$F22,Assumptions!BH$105:BH$128)</f>
        <v>0</v>
      </c>
      <c r="L22" s="33">
        <f>SUMIFS(Assumptions!BI$105:BI$128,Assumptions!$BB$105:$BB$128,'non-road'!$F22,Assumptions!$BC$105:$BC$128,'non-road'!$D22)/SUMIF(Assumptions!$BB$105:$BB$128,'non-road'!$F22,Assumptions!BI$105:BI$128)</f>
        <v>0</v>
      </c>
      <c r="M22" s="33">
        <f>SUMIFS(Assumptions!BJ$105:BJ$128,Assumptions!$BB$105:$BB$128,'non-road'!$F22,Assumptions!$BC$105:$BC$128,'non-road'!$D22)/SUMIF(Assumptions!$BB$105:$BB$128,'non-road'!$F22,Assumptions!BJ$105:BJ$128)</f>
        <v>0</v>
      </c>
      <c r="N22" s="33">
        <f>SUMIFS(Assumptions!BK$105:BK$128,Assumptions!$BB$105:$BB$128,'non-road'!$F22,Assumptions!$BC$105:$BC$128,'non-road'!$D22)/SUMIF(Assumptions!$BB$105:$BB$128,'non-road'!$F22,Assumptions!BK$105:BK$128)</f>
        <v>0</v>
      </c>
      <c r="O22" s="33">
        <f>SUMIFS(Assumptions!BL$105:BL$128,Assumptions!$BB$105:$BB$128,'non-road'!$F22,Assumptions!$BC$105:$BC$128,'non-road'!$D22)/SUMIF(Assumptions!$BB$105:$BB$128,'non-road'!$F22,Assumptions!BL$105:BL$128)</f>
        <v>0</v>
      </c>
      <c r="P22" s="33">
        <f>SUMIFS(Assumptions!BM$105:BM$128,Assumptions!$BB$105:$BB$128,'non-road'!$F22,Assumptions!$BC$105:$BC$128,'non-road'!$D22)/SUMIF(Assumptions!$BB$105:$BB$128,'non-road'!$F22,Assumptions!BM$105:BM$128)</f>
        <v>0</v>
      </c>
      <c r="Q22" s="33">
        <f>SUMIFS(Assumptions!BN$105:BN$128,Assumptions!$BB$105:$BB$128,'non-road'!$F22,Assumptions!$BC$105:$BC$128,'non-road'!$D22)/SUMIF(Assumptions!$BB$105:$BB$128,'non-road'!$F22,Assumptions!BN$105:BN$128)</f>
        <v>0</v>
      </c>
      <c r="R22" s="33">
        <f>SUMIFS(Assumptions!BO$105:BO$128,Assumptions!$BB$105:$BB$128,'non-road'!$F22,Assumptions!$BC$105:$BC$128,'non-road'!$D22)/SUMIF(Assumptions!$BB$105:$BB$128,'non-road'!$F22,Assumptions!BO$105:BO$128)</f>
        <v>0</v>
      </c>
      <c r="S22" s="33">
        <f>SUMIFS(Assumptions!BP$105:BP$128,Assumptions!$BB$105:$BB$128,'non-road'!$F22,Assumptions!$BC$105:$BC$128,'non-road'!$D22)/SUMIF(Assumptions!$BB$105:$BB$128,'non-road'!$F22,Assumptions!BP$105:BP$128)</f>
        <v>0</v>
      </c>
      <c r="T22" s="33">
        <f>SUMIFS(Assumptions!BQ$105:BQ$128,Assumptions!$BB$105:$BB$128,'non-road'!$F22,Assumptions!$BC$105:$BC$128,'non-road'!$D22)/SUMIF(Assumptions!$BB$105:$BB$128,'non-road'!$F22,Assumptions!BQ$105:BQ$128)</f>
        <v>0</v>
      </c>
      <c r="U22" s="33">
        <f>SUMIFS(Assumptions!BR$105:BR$128,Assumptions!$BB$105:$BB$128,'non-road'!$F22,Assumptions!$BC$105:$BC$128,'non-road'!$D22)/SUMIF(Assumptions!$BB$105:$BB$128,'non-road'!$F22,Assumptions!BR$105:BR$128)</f>
        <v>0</v>
      </c>
      <c r="V22" s="33">
        <f>SUMIFS(Assumptions!BS$105:BS$128,Assumptions!$BB$105:$BB$128,'non-road'!$F22,Assumptions!$BC$105:$BC$128,'non-road'!$D22)/SUMIF(Assumptions!$BB$105:$BB$128,'non-road'!$F22,Assumptions!BS$105:BS$128)</f>
        <v>0</v>
      </c>
      <c r="W22" s="33">
        <f>SUMIFS(Assumptions!BT$105:BT$128,Assumptions!$BB$105:$BB$128,'non-road'!$F22,Assumptions!$BC$105:$BC$128,'non-road'!$D22)/SUMIF(Assumptions!$BB$105:$BB$128,'non-road'!$F22,Assumptions!BT$105:BT$128)</f>
        <v>0.12623880801038889</v>
      </c>
      <c r="X22" s="33">
        <f>SUMIFS(Assumptions!BU$105:BU$128,Assumptions!$BB$105:$BB$128,'non-road'!$F22,Assumptions!$BC$105:$BC$128,'non-road'!$D22)/SUMIF(Assumptions!$BB$105:$BB$128,'non-road'!$F22,Assumptions!BU$105:BU$128)</f>
        <v>0</v>
      </c>
      <c r="Y22" s="33">
        <f>SUMIFS(Assumptions!BV$105:BV$128,Assumptions!$BB$105:$BB$128,'non-road'!$F22,Assumptions!$BC$105:$BC$128,'non-road'!$D22)/SUMIF(Assumptions!$BB$105:$BB$128,'non-road'!$F22,Assumptions!BV$105:BV$128)</f>
        <v>0</v>
      </c>
      <c r="Z22" s="33">
        <f>SUMIFS(Assumptions!BW$105:BW$128,Assumptions!$BB$105:$BB$128,'non-road'!$F22,Assumptions!$BC$105:$BC$128,'non-road'!$D22)/SUMIF(Assumptions!$BB$105:$BB$128,'non-road'!$F22,Assumptions!BW$105:BW$128)</f>
        <v>7.6708733941207958E-3</v>
      </c>
      <c r="AA22" s="33">
        <f>SUMIFS(Assumptions!BX$105:BX$128,Assumptions!$BB$105:$BB$128,'non-road'!$F22,Assumptions!$BC$105:$BC$128,'non-road'!$D22)/SUMIF(Assumptions!$BB$105:$BB$128,'non-road'!$F22,Assumptions!BX$105:BX$128)</f>
        <v>0</v>
      </c>
      <c r="AB22" s="33">
        <f>SUMIFS(Assumptions!BY$105:BY$128,Assumptions!$BB$105:$BB$128,'non-road'!$F22,Assumptions!$BC$105:$BC$128,'non-road'!$D22)/SUMIF(Assumptions!$BB$105:$BB$128,'non-road'!$F22,Assumptions!BY$105:BY$128)</f>
        <v>0</v>
      </c>
      <c r="AC22" s="33">
        <f>SUMIFS(Assumptions!BZ$105:BZ$128,Assumptions!$BB$105:$BB$128,'non-road'!$F22,Assumptions!$BC$105:$BC$128,'non-road'!$D22)/SUMIF(Assumptions!$BB$105:$BB$128,'non-road'!$F22,Assumptions!BZ$105:BZ$128)</f>
        <v>0</v>
      </c>
      <c r="AD22" s="33">
        <f>SUMIFS(Assumptions!CA$105:CA$128,Assumptions!$BB$105:$BB$128,'non-road'!$F22,Assumptions!$BC$105:$BC$128,'non-road'!$D22)/SUMIF(Assumptions!$BB$105:$BB$128,'non-road'!$F22,Assumptions!CA$105:CA$128)</f>
        <v>0</v>
      </c>
      <c r="AE22" s="33">
        <f>SUMIFS(Assumptions!CB$105:CB$128,Assumptions!$BB$105:$BB$128,'non-road'!$F22,Assumptions!$BC$105:$BC$128,'non-road'!$D22)/SUMIF(Assumptions!$BB$105:$BB$128,'non-road'!$F22,Assumptions!CB$105:CB$128)</f>
        <v>2.4604207123964214E-5</v>
      </c>
      <c r="AF22" s="33">
        <f>SUMIFS(Assumptions!CC$105:CC$128,Assumptions!$BB$105:$BB$128,'non-road'!$F22,Assumptions!$BC$105:$BC$128,'non-road'!$D22)/SUMIF(Assumptions!$BB$105:$BB$128,'non-road'!$F22,Assumptions!CC$105:CC$128)</f>
        <v>0</v>
      </c>
      <c r="AG22" s="33">
        <f>SUMIFS(Assumptions!CD$105:CD$128,Assumptions!$BB$105:$BB$128,'non-road'!$F22,Assumptions!$BC$105:$BC$128,'non-road'!$D22)/SUMIF(Assumptions!$BB$105:$BB$128,'non-road'!$F22,Assumptions!CD$105:CD$128)</f>
        <v>0</v>
      </c>
      <c r="AH22" s="33">
        <f>SUMIFS(Assumptions!CE$105:CE$128,Assumptions!$BB$105:$BB$128,'non-road'!$F22,Assumptions!$BC$105:$BC$128,'non-road'!$D22)/SUMIF(Assumptions!$BB$105:$BB$128,'non-road'!$F22,Assumptions!CE$105:CE$128)</f>
        <v>0</v>
      </c>
      <c r="AI22" s="33">
        <f>SUMIFS(Assumptions!CF$105:CF$128,Assumptions!$BB$105:$BB$128,'non-road'!$F22,Assumptions!$BC$105:$BC$128,'non-road'!$D22)/SUMIF(Assumptions!$BB$105:$BB$128,'non-road'!$F22,Assumptions!CF$105:CF$128)</f>
        <v>0</v>
      </c>
      <c r="AJ22" s="33">
        <f>SUMIFS(Assumptions!CG$105:CG$128,Assumptions!$BB$105:$BB$128,'non-road'!$F22,Assumptions!$BC$105:$BC$128,'non-road'!$D22)/SUMIF(Assumptions!$BB$105:$BB$128,'non-road'!$F22,Assumptions!CG$105:CG$128)</f>
        <v>4.275658713811893E-6</v>
      </c>
      <c r="AK22" s="33">
        <f>SUMIFS(Assumptions!CH$105:CH$128,Assumptions!$BB$105:$BB$128,'non-road'!$F22,Assumptions!$BC$105:$BC$128,'non-road'!$D22)/SUMIF(Assumptions!$BB$105:$BB$128,'non-road'!$F22,Assumptions!CH$105:CH$128)</f>
        <v>0</v>
      </c>
      <c r="AL22" s="33">
        <f>SUMIFS(Assumptions!CI$105:CI$128,Assumptions!$BB$105:$BB$128,'non-road'!$F22,Assumptions!$BC$105:$BC$128,'non-road'!$D22)/SUMIF(Assumptions!$BB$105:$BB$128,'non-road'!$F22,Assumptions!CI$105:CI$128)</f>
        <v>0</v>
      </c>
      <c r="AM22" s="33">
        <f>SUMIFS(Assumptions!CJ$105:CJ$128,Assumptions!$BB$105:$BB$128,'non-road'!$F22,Assumptions!$BC$105:$BC$128,'non-road'!$D22)/SUMIF(Assumptions!$BB$105:$BB$128,'non-road'!$F22,Assumptions!CJ$105:CJ$128)</f>
        <v>0</v>
      </c>
      <c r="AN22" s="33">
        <f>SUMIFS(Assumptions!CK$105:CK$128,Assumptions!$BB$105:$BB$128,'non-road'!$F22,Assumptions!$BC$105:$BC$128,'non-road'!$D22)/SUMIF(Assumptions!$BB$105:$BB$128,'non-road'!$F22,Assumptions!CK$105:CK$128)</f>
        <v>0</v>
      </c>
      <c r="AO22" s="33" t="e">
        <f>SUMIFS(Assumptions!CL$105:CL$128,Assumptions!$BB$105:$BB$128,'non-road'!$F22,Assumptions!$BC$105:$BC$128,'non-road'!$D22)/SUMIF(Assumptions!$BB$105:$BB$128,'non-road'!$F22,Assumptions!CL$105:CL$128)</f>
        <v>#DIV/0!</v>
      </c>
      <c r="AP22" s="33" t="e">
        <f>SUMIFS(Assumptions!CM$105:CM$128,Assumptions!$BB$105:$BB$128,'non-road'!$F22,Assumptions!$BC$105:$BC$128,'non-road'!$D22)/SUMIF(Assumptions!$BB$105:$BB$128,'non-road'!$F22,Assumptions!CM$105:CM$128)</f>
        <v>#DIV/0!</v>
      </c>
      <c r="AQ22" s="33" t="e">
        <f>SUMIFS(Assumptions!CN$105:CN$128,Assumptions!$BB$105:$BB$128,'non-road'!$F22,Assumptions!$BC$105:$BC$128,'non-road'!$D22)/SUMIF(Assumptions!$BB$105:$BB$128,'non-road'!$F22,Assumptions!CN$105:CN$128)</f>
        <v>#DIV/0!</v>
      </c>
      <c r="AR22" s="33" t="e">
        <f>SUMIFS(Assumptions!CO$105:CO$128,Assumptions!$BB$105:$BB$128,'non-road'!$F22,Assumptions!$BC$105:$BC$128,'non-road'!$D22)/SUMIF(Assumptions!$BB$105:$BB$128,'non-road'!$F22,Assumptions!CO$105:CO$128)</f>
        <v>#DIV/0!</v>
      </c>
      <c r="AS22" s="33" t="e">
        <f>SUMIFS(Assumptions!CP$105:CP$128,Assumptions!$BB$105:$BB$128,'non-road'!$F22,Assumptions!$BC$105:$BC$128,'non-road'!$D22)/SUMIF(Assumptions!$BB$105:$BB$128,'non-road'!$F22,Assumptions!CP$105:CP$128)</f>
        <v>#DIV/0!</v>
      </c>
      <c r="AT22" s="33" t="e">
        <f>SUMIFS(Assumptions!CQ$105:CQ$128,Assumptions!$BB$105:$BB$128,'non-road'!$F22,Assumptions!$BC$105:$BC$128,'non-road'!$D22)/SUMIF(Assumptions!$BB$105:$BB$128,'non-road'!$F22,Assumptions!CQ$105:CQ$128)</f>
        <v>#DIV/0!</v>
      </c>
      <c r="AU22" s="33" t="e">
        <f>SUMIFS(Assumptions!CR$105:CR$128,Assumptions!$BB$105:$BB$128,'non-road'!$F22,Assumptions!$BC$105:$BC$128,'non-road'!$D22)/SUMIF(Assumptions!$BB$105:$BB$128,'non-road'!$F22,Assumptions!CR$105:CR$128)</f>
        <v>#DIV/0!</v>
      </c>
      <c r="AV22" s="33" t="e">
        <f>SUMIFS(Assumptions!CS$105:CS$128,Assumptions!$BB$105:$BB$128,'non-road'!$F22,Assumptions!$BC$105:$BC$128,'non-road'!$D22)/SUMIF(Assumptions!$BB$105:$BB$128,'non-road'!$F22,Assumptions!CS$105:CS$128)</f>
        <v>#DIV/0!</v>
      </c>
      <c r="AW22" s="33" t="e">
        <f>SUMIFS(Assumptions!CT$105:CT$128,Assumptions!$BB$105:$BB$128,'non-road'!$F22,Assumptions!$BC$105:$BC$128,'non-road'!$D22)/SUMIF(Assumptions!$BB$105:$BB$128,'non-road'!$F22,Assumptions!CT$105:CT$128)</f>
        <v>#DIV/0!</v>
      </c>
      <c r="AX22" s="33" t="e">
        <f>SUMIFS(Assumptions!CU$105:CU$128,Assumptions!$BB$105:$BB$128,'non-road'!$F22,Assumptions!$BC$105:$BC$128,'non-road'!$D22)/SUMIF(Assumptions!$BB$105:$BB$128,'non-road'!$F22,Assumptions!CU$105:CU$128)</f>
        <v>#DIV/0!</v>
      </c>
      <c r="AY22" s="33" t="e">
        <f>SUMIFS(Assumptions!CV$105:CV$128,Assumptions!$BB$105:$BB$128,'non-road'!$F22,Assumptions!$BC$105:$BC$128,'non-road'!$D22)/SUMIF(Assumptions!$BB$105:$BB$128,'non-road'!$F22,Assumptions!CV$105:CV$128)</f>
        <v>#DIV/0!</v>
      </c>
      <c r="AZ22" s="33" t="e">
        <f>SUMIFS(Assumptions!CW$105:CW$128,Assumptions!$BB$105:$BB$128,'non-road'!$F22,Assumptions!$BC$105:$BC$128,'non-road'!$D22)/SUMIF(Assumptions!$BB$105:$BB$128,'non-road'!$F22,Assumptions!CW$105:CW$128)</f>
        <v>#DIV/0!</v>
      </c>
      <c r="BD22" s="27" t="str">
        <f t="shared" si="55"/>
        <v>TAD_Generic</v>
      </c>
      <c r="BE22" s="33">
        <f>VLOOKUP($F22,Assumptions!$E$152:$BC$157,COLUMN()-COLUMN($BC$4),FALSE)</f>
        <v>1</v>
      </c>
      <c r="BF22" s="33">
        <f>VLOOKUP($F22,Assumptions!$E$152:$BC$157,COLUMN()-COLUMN($BC$4),FALSE)</f>
        <v>1</v>
      </c>
      <c r="BG22" s="33">
        <f>VLOOKUP($F22,Assumptions!$E$152:$BC$157,COLUMN()-COLUMN($BC$4),FALSE)</f>
        <v>1</v>
      </c>
      <c r="BH22" s="33">
        <f>VLOOKUP($F22,Assumptions!$E$152:$BC$157,COLUMN()-COLUMN($BC$4),FALSE)</f>
        <v>1</v>
      </c>
      <c r="BI22" s="33">
        <f>VLOOKUP($F22,Assumptions!$E$152:$BC$157,COLUMN()-COLUMN($BC$4),FALSE)</f>
        <v>1</v>
      </c>
      <c r="BJ22" s="33">
        <f>VLOOKUP($F22,Assumptions!$E$152:$BC$157,COLUMN()-COLUMN($BC$4),FALSE)</f>
        <v>1</v>
      </c>
      <c r="BK22" s="33">
        <f>VLOOKUP($F22,Assumptions!$E$152:$BC$157,COLUMN()-COLUMN($BC$4),FALSE)</f>
        <v>1</v>
      </c>
      <c r="BL22" s="33">
        <f>VLOOKUP($F22,Assumptions!$E$152:$BC$157,COLUMN()-COLUMN($BC$4),FALSE)</f>
        <v>1</v>
      </c>
      <c r="BM22" s="33">
        <f>VLOOKUP($F22,Assumptions!$E$152:$BC$157,COLUMN()-COLUMN($BC$4),FALSE)</f>
        <v>1</v>
      </c>
      <c r="BN22" s="33">
        <f>VLOOKUP($F22,Assumptions!$E$152:$BC$157,COLUMN()-COLUMN($BC$4),FALSE)</f>
        <v>1</v>
      </c>
      <c r="BO22" s="33">
        <f>VLOOKUP($F22,Assumptions!$E$152:$BC$157,COLUMN()-COLUMN($BC$4),FALSE)</f>
        <v>1</v>
      </c>
      <c r="BP22" s="33">
        <f>VLOOKUP($F22,Assumptions!$E$152:$BC$157,COLUMN()-COLUMN($BC$4),FALSE)</f>
        <v>1</v>
      </c>
      <c r="BQ22" s="33">
        <f>VLOOKUP($F22,Assumptions!$E$152:$BC$157,COLUMN()-COLUMN($BC$4),FALSE)</f>
        <v>1</v>
      </c>
      <c r="BR22" s="33">
        <f>VLOOKUP($F22,Assumptions!$E$152:$BC$157,COLUMN()-COLUMN($BC$4),FALSE)</f>
        <v>1</v>
      </c>
      <c r="BS22" s="33">
        <f>VLOOKUP($F22,Assumptions!$E$152:$BC$157,COLUMN()-COLUMN($BC$4),FALSE)</f>
        <v>1</v>
      </c>
      <c r="BT22" s="33">
        <f>VLOOKUP($F22,Assumptions!$E$152:$BC$157,COLUMN()-COLUMN($BC$4),FALSE)</f>
        <v>1</v>
      </c>
      <c r="BU22" s="33">
        <f>VLOOKUP($F22,Assumptions!$E$152:$BC$157,COLUMN()-COLUMN($BC$4),FALSE)</f>
        <v>1</v>
      </c>
      <c r="BV22" s="33">
        <f>VLOOKUP($F22,Assumptions!$E$152:$BC$157,COLUMN()-COLUMN($BC$4),FALSE)</f>
        <v>1</v>
      </c>
      <c r="BW22" s="33">
        <f>VLOOKUP($F22,Assumptions!$E$152:$BC$157,COLUMN()-COLUMN($BC$4),FALSE)</f>
        <v>1</v>
      </c>
      <c r="BX22" s="33">
        <f>VLOOKUP($F22,Assumptions!$E$152:$BC$157,COLUMN()-COLUMN($BC$4),FALSE)</f>
        <v>1</v>
      </c>
      <c r="BY22" s="33">
        <f>VLOOKUP($F22,Assumptions!$E$152:$BC$157,COLUMN()-COLUMN($BC$4),FALSE)</f>
        <v>1</v>
      </c>
      <c r="BZ22" s="33">
        <f>VLOOKUP($F22,Assumptions!$E$152:$BC$157,COLUMN()-COLUMN($BC$4),FALSE)</f>
        <v>1</v>
      </c>
      <c r="CA22" s="33">
        <f>VLOOKUP($F22,Assumptions!$E$152:$BC$157,COLUMN()-COLUMN($BC$4),FALSE)</f>
        <v>1</v>
      </c>
      <c r="CB22" s="33">
        <f>VLOOKUP($F22,Assumptions!$E$152:$BC$157,COLUMN()-COLUMN($BC$4),FALSE)</f>
        <v>1</v>
      </c>
      <c r="CC22" s="33">
        <f>VLOOKUP($F22,Assumptions!$E$152:$BC$157,COLUMN()-COLUMN($BC$4),FALSE)</f>
        <v>1</v>
      </c>
      <c r="CD22" s="33">
        <f>VLOOKUP($F22,Assumptions!$E$152:$BC$157,COLUMN()-COLUMN($BC$4),FALSE)</f>
        <v>1</v>
      </c>
      <c r="CE22" s="33">
        <f>VLOOKUP($F22,Assumptions!$E$152:$BC$157,COLUMN()-COLUMN($BC$4),FALSE)</f>
        <v>1</v>
      </c>
      <c r="CF22" s="33">
        <f>VLOOKUP($F22,Assumptions!$E$152:$BC$157,COLUMN()-COLUMN($BC$4),FALSE)</f>
        <v>1</v>
      </c>
      <c r="CG22" s="33">
        <f>VLOOKUP($F22,Assumptions!$E$152:$BC$157,COLUMN()-COLUMN($BC$4),FALSE)</f>
        <v>1</v>
      </c>
      <c r="CH22" s="33">
        <f>VLOOKUP($F22,Assumptions!$E$152:$BC$157,COLUMN()-COLUMN($BC$4),FALSE)</f>
        <v>1</v>
      </c>
      <c r="CI22" s="33">
        <f>VLOOKUP($F22,Assumptions!$E$152:$BC$157,COLUMN()-COLUMN($BC$4),FALSE)</f>
        <v>1</v>
      </c>
      <c r="CJ22" s="33">
        <f>VLOOKUP($F22,Assumptions!$E$152:$BC$157,COLUMN()-COLUMN($BC$4),FALSE)</f>
        <v>1</v>
      </c>
      <c r="CK22" s="33">
        <f>VLOOKUP($F22,Assumptions!$E$152:$BC$157,COLUMN()-COLUMN($BC$4),FALSE)</f>
        <v>1</v>
      </c>
      <c r="CL22" s="33">
        <f>VLOOKUP($F22,Assumptions!$E$152:$BC$157,COLUMN()-COLUMN($BC$4),FALSE)</f>
        <v>1</v>
      </c>
      <c r="CM22" s="33">
        <f>VLOOKUP($F22,Assumptions!$E$152:$BC$157,COLUMN()-COLUMN($BC$4),FALSE)</f>
        <v>1</v>
      </c>
      <c r="CN22" s="33">
        <f>VLOOKUP($F22,Assumptions!$E$152:$BC$157,COLUMN()-COLUMN($BC$4),FALSE)</f>
        <v>1</v>
      </c>
      <c r="CO22" s="33">
        <f>VLOOKUP($F22,Assumptions!$E$152:$BC$157,COLUMN()-COLUMN($BC$4),FALSE)</f>
        <v>1</v>
      </c>
      <c r="CP22" s="33">
        <f>VLOOKUP($F22,Assumptions!$E$152:$BC$157,COLUMN()-COLUMN($BC$4),FALSE)</f>
        <v>1</v>
      </c>
      <c r="CQ22" s="33">
        <f>VLOOKUP($F22,Assumptions!$E$152:$BC$157,COLUMN()-COLUMN($BC$4),FALSE)</f>
        <v>1</v>
      </c>
      <c r="CR22" s="33">
        <f>VLOOKUP($F22,Assumptions!$E$152:$BC$157,COLUMN()-COLUMN($BC$4),FALSE)</f>
        <v>1</v>
      </c>
      <c r="CS22" s="33">
        <f>VLOOKUP($F22,Assumptions!$E$152:$BC$157,COLUMN()-COLUMN($BC$4),FALSE)</f>
        <v>1</v>
      </c>
      <c r="CT22" s="33">
        <f>VLOOKUP($F22,Assumptions!$E$152:$BC$157,COLUMN()-COLUMN($BC$4),FALSE)</f>
        <v>1</v>
      </c>
      <c r="CU22" s="33">
        <f>VLOOKUP($F22,Assumptions!$E$152:$BC$157,COLUMN()-COLUMN($BC$4),FALSE)</f>
        <v>1</v>
      </c>
      <c r="CV22" s="33">
        <f>VLOOKUP($F22,Assumptions!$E$152:$BC$157,COLUMN()-COLUMN($BC$4),FALSE)</f>
        <v>1</v>
      </c>
      <c r="CW22" s="33">
        <f>VLOOKUP($F22,Assumptions!$E$152:$BC$157,COLUMN()-COLUMN($BC$4),FALSE)</f>
        <v>1</v>
      </c>
      <c r="CX22" s="33">
        <f>VLOOKUP($F22,Assumptions!$E$152:$BC$157,COLUMN()-COLUMN($BC$4),FALSE)</f>
        <v>1</v>
      </c>
      <c r="CY22" s="27"/>
      <c r="CZ22" s="27"/>
      <c r="DA22" s="27"/>
      <c r="DB22" s="27"/>
      <c r="DC22" s="27"/>
      <c r="DD22" s="27"/>
      <c r="DE22" s="27"/>
      <c r="DF22" s="27"/>
      <c r="DG22" s="27"/>
      <c r="DH22" s="27"/>
      <c r="DI22" s="27"/>
      <c r="DJ22" s="27"/>
      <c r="DK22" s="27"/>
      <c r="DL22" s="27"/>
      <c r="DM22" s="27"/>
      <c r="DN22" s="27"/>
      <c r="DO22" s="27"/>
      <c r="DP22" s="27"/>
      <c r="DQ22" s="27"/>
      <c r="DR22" s="27"/>
      <c r="DS22" s="27"/>
      <c r="DT22" s="27"/>
      <c r="DU22" s="27"/>
      <c r="DV22" s="27"/>
      <c r="DW22" s="27"/>
      <c r="DX22" s="27"/>
      <c r="DY22" s="27"/>
      <c r="DZ22" s="27"/>
      <c r="EA22" s="27"/>
      <c r="EB22" s="27"/>
      <c r="EC22" s="27"/>
      <c r="ED22" s="27"/>
      <c r="EE22" s="27"/>
      <c r="EF22" s="27"/>
      <c r="EG22" s="27"/>
      <c r="EH22" s="27"/>
      <c r="EI22" s="27"/>
      <c r="EJ22" s="27"/>
      <c r="EK22" s="27"/>
      <c r="EL22" s="27"/>
      <c r="EM22" s="27"/>
      <c r="EN22" s="27"/>
      <c r="EO22" s="27"/>
      <c r="EP22" s="27"/>
      <c r="EQ22" s="27"/>
      <c r="ER22" s="27"/>
      <c r="ES22" s="27"/>
      <c r="ET22" s="27"/>
      <c r="EU22" s="27"/>
      <c r="EV22" s="27"/>
      <c r="EW22" s="27" t="str">
        <f t="shared" si="48"/>
        <v>\I:</v>
      </c>
      <c r="EX22" s="27" t="str">
        <f t="shared" si="68"/>
        <v/>
      </c>
      <c r="EY22" s="27" t="s">
        <v>169</v>
      </c>
      <c r="EZ22" s="27" t="s">
        <v>160</v>
      </c>
      <c r="FA22" s="27" t="s">
        <v>161</v>
      </c>
    </row>
    <row r="23" spans="1:157">
      <c r="C23" s="27" t="str">
        <f t="shared" si="54"/>
        <v/>
      </c>
      <c r="D23" s="27" t="s">
        <v>41</v>
      </c>
      <c r="E23" s="27"/>
      <c r="F23" s="27" t="s">
        <v>20</v>
      </c>
      <c r="G23" s="33">
        <f>SUMIFS(Assumptions!BD$105:BD$128,Assumptions!$BB$105:$BB$128,'non-road'!$F23,Assumptions!$BC$105:$BC$128,'non-road'!$D23)/SUMIF(Assumptions!$BB$105:$BB$128,'non-road'!$F23,Assumptions!BD$105:BD$128)</f>
        <v>0</v>
      </c>
      <c r="H23" s="33">
        <f>SUMIFS(Assumptions!BE$105:BE$128,Assumptions!$BB$105:$BB$128,'non-road'!$F23,Assumptions!$BC$105:$BC$128,'non-road'!$D23)/SUMIF(Assumptions!$BB$105:$BB$128,'non-road'!$F23,Assumptions!BE$105:BE$128)</f>
        <v>2.0396465179014301E-3</v>
      </c>
      <c r="I23" s="33">
        <f>SUMIFS(Assumptions!BF$105:BF$128,Assumptions!$BB$105:$BB$128,'non-road'!$F23,Assumptions!$BC$105:$BC$128,'non-road'!$D23)/SUMIF(Assumptions!$BB$105:$BB$128,'non-road'!$F23,Assumptions!BF$105:BF$128)</f>
        <v>0</v>
      </c>
      <c r="J23" s="33">
        <f>SUMIFS(Assumptions!BG$105:BG$128,Assumptions!$BB$105:$BB$128,'non-road'!$F23,Assumptions!$BC$105:$BC$128,'non-road'!$D23)/SUMIF(Assumptions!$BB$105:$BB$128,'non-road'!$F23,Assumptions!BG$105:BG$128)</f>
        <v>0</v>
      </c>
      <c r="K23" s="33">
        <f>SUMIFS(Assumptions!BH$105:BH$128,Assumptions!$BB$105:$BB$128,'non-road'!$F23,Assumptions!$BC$105:$BC$128,'non-road'!$D23)/SUMIF(Assumptions!$BB$105:$BB$128,'non-road'!$F23,Assumptions!BH$105:BH$128)</f>
        <v>0</v>
      </c>
      <c r="L23" s="33">
        <f>SUMIFS(Assumptions!BI$105:BI$128,Assumptions!$BB$105:$BB$128,'non-road'!$F23,Assumptions!$BC$105:$BC$128,'non-road'!$D23)/SUMIF(Assumptions!$BB$105:$BB$128,'non-road'!$F23,Assumptions!BI$105:BI$128)</f>
        <v>0</v>
      </c>
      <c r="M23" s="33">
        <f>SUMIFS(Assumptions!BJ$105:BJ$128,Assumptions!$BB$105:$BB$128,'non-road'!$F23,Assumptions!$BC$105:$BC$128,'non-road'!$D23)/SUMIF(Assumptions!$BB$105:$BB$128,'non-road'!$F23,Assumptions!BJ$105:BJ$128)</f>
        <v>0</v>
      </c>
      <c r="N23" s="33">
        <f>SUMIFS(Assumptions!BK$105:BK$128,Assumptions!$BB$105:$BB$128,'non-road'!$F23,Assumptions!$BC$105:$BC$128,'non-road'!$D23)/SUMIF(Assumptions!$BB$105:$BB$128,'non-road'!$F23,Assumptions!BK$105:BK$128)</f>
        <v>0</v>
      </c>
      <c r="O23" s="33">
        <f>SUMIFS(Assumptions!BL$105:BL$128,Assumptions!$BB$105:$BB$128,'non-road'!$F23,Assumptions!$BC$105:$BC$128,'non-road'!$D23)/SUMIF(Assumptions!$BB$105:$BB$128,'non-road'!$F23,Assumptions!BL$105:BL$128)</f>
        <v>0</v>
      </c>
      <c r="P23" s="33">
        <f>SUMIFS(Assumptions!BM$105:BM$128,Assumptions!$BB$105:$BB$128,'non-road'!$F23,Assumptions!$BC$105:$BC$128,'non-road'!$D23)/SUMIF(Assumptions!$BB$105:$BB$128,'non-road'!$F23,Assumptions!BM$105:BM$128)</f>
        <v>0</v>
      </c>
      <c r="Q23" s="33">
        <f>SUMIFS(Assumptions!BN$105:BN$128,Assumptions!$BB$105:$BB$128,'non-road'!$F23,Assumptions!$BC$105:$BC$128,'non-road'!$D23)/SUMIF(Assumptions!$BB$105:$BB$128,'non-road'!$F23,Assumptions!BN$105:BN$128)</f>
        <v>0</v>
      </c>
      <c r="R23" s="33">
        <f>SUMIFS(Assumptions!BO$105:BO$128,Assumptions!$BB$105:$BB$128,'non-road'!$F23,Assumptions!$BC$105:$BC$128,'non-road'!$D23)/SUMIF(Assumptions!$BB$105:$BB$128,'non-road'!$F23,Assumptions!BO$105:BO$128)</f>
        <v>0</v>
      </c>
      <c r="S23" s="33">
        <f>SUMIFS(Assumptions!BP$105:BP$128,Assumptions!$BB$105:$BB$128,'non-road'!$F23,Assumptions!$BC$105:$BC$128,'non-road'!$D23)/SUMIF(Assumptions!$BB$105:$BB$128,'non-road'!$F23,Assumptions!BP$105:BP$128)</f>
        <v>0</v>
      </c>
      <c r="T23" s="33">
        <f>SUMIFS(Assumptions!BQ$105:BQ$128,Assumptions!$BB$105:$BB$128,'non-road'!$F23,Assumptions!$BC$105:$BC$128,'non-road'!$D23)/SUMIF(Assumptions!$BB$105:$BB$128,'non-road'!$F23,Assumptions!BQ$105:BQ$128)</f>
        <v>0</v>
      </c>
      <c r="U23" s="33">
        <f>SUMIFS(Assumptions!BR$105:BR$128,Assumptions!$BB$105:$BB$128,'non-road'!$F23,Assumptions!$BC$105:$BC$128,'non-road'!$D23)/SUMIF(Assumptions!$BB$105:$BB$128,'non-road'!$F23,Assumptions!BR$105:BR$128)</f>
        <v>0</v>
      </c>
      <c r="V23" s="33">
        <f>SUMIFS(Assumptions!BS$105:BS$128,Assumptions!$BB$105:$BB$128,'non-road'!$F23,Assumptions!$BC$105:$BC$128,'non-road'!$D23)/SUMIF(Assumptions!$BB$105:$BB$128,'non-road'!$F23,Assumptions!BS$105:BS$128)</f>
        <v>0</v>
      </c>
      <c r="W23" s="33">
        <f>SUMIFS(Assumptions!BT$105:BT$128,Assumptions!$BB$105:$BB$128,'non-road'!$F23,Assumptions!$BC$105:$BC$128,'non-road'!$D23)/SUMIF(Assumptions!$BB$105:$BB$128,'non-road'!$F23,Assumptions!BT$105:BT$128)</f>
        <v>0</v>
      </c>
      <c r="X23" s="33">
        <f>SUMIFS(Assumptions!BU$105:BU$128,Assumptions!$BB$105:$BB$128,'non-road'!$F23,Assumptions!$BC$105:$BC$128,'non-road'!$D23)/SUMIF(Assumptions!$BB$105:$BB$128,'non-road'!$F23,Assumptions!BU$105:BU$128)</f>
        <v>0</v>
      </c>
      <c r="Y23" s="33">
        <f>SUMIFS(Assumptions!BV$105:BV$128,Assumptions!$BB$105:$BB$128,'non-road'!$F23,Assumptions!$BC$105:$BC$128,'non-road'!$D23)/SUMIF(Assumptions!$BB$105:$BB$128,'non-road'!$F23,Assumptions!BV$105:BV$128)</f>
        <v>0</v>
      </c>
      <c r="Z23" s="33">
        <f>SUMIFS(Assumptions!BW$105:BW$128,Assumptions!$BB$105:$BB$128,'non-road'!$F23,Assumptions!$BC$105:$BC$128,'non-road'!$D23)/SUMIF(Assumptions!$BB$105:$BB$128,'non-road'!$F23,Assumptions!BW$105:BW$128)</f>
        <v>3.4268487402223848E-3</v>
      </c>
      <c r="AA23" s="33">
        <f>SUMIFS(Assumptions!BX$105:BX$128,Assumptions!$BB$105:$BB$128,'non-road'!$F23,Assumptions!$BC$105:$BC$128,'non-road'!$D23)/SUMIF(Assumptions!$BB$105:$BB$128,'non-road'!$F23,Assumptions!BX$105:BX$128)</f>
        <v>0</v>
      </c>
      <c r="AB23" s="33">
        <f>SUMIFS(Assumptions!BY$105:BY$128,Assumptions!$BB$105:$BB$128,'non-road'!$F23,Assumptions!$BC$105:$BC$128,'non-road'!$D23)/SUMIF(Assumptions!$BB$105:$BB$128,'non-road'!$F23,Assumptions!BY$105:BY$128)</f>
        <v>0</v>
      </c>
      <c r="AC23" s="33">
        <f>SUMIFS(Assumptions!BZ$105:BZ$128,Assumptions!$BB$105:$BB$128,'non-road'!$F23,Assumptions!$BC$105:$BC$128,'non-road'!$D23)/SUMIF(Assumptions!$BB$105:$BB$128,'non-road'!$F23,Assumptions!BZ$105:BZ$128)</f>
        <v>0</v>
      </c>
      <c r="AD23" s="33">
        <f>SUMIFS(Assumptions!CA$105:CA$128,Assumptions!$BB$105:$BB$128,'non-road'!$F23,Assumptions!$BC$105:$BC$128,'non-road'!$D23)/SUMIF(Assumptions!$BB$105:$BB$128,'non-road'!$F23,Assumptions!CA$105:CA$128)</f>
        <v>0</v>
      </c>
      <c r="AE23" s="33">
        <f>SUMIFS(Assumptions!CB$105:CB$128,Assumptions!$BB$105:$BB$128,'non-road'!$F23,Assumptions!$BC$105:$BC$128,'non-road'!$D23)/SUMIF(Assumptions!$BB$105:$BB$128,'non-road'!$F23,Assumptions!CB$105:CB$128)</f>
        <v>1.8896950854648402E-4</v>
      </c>
      <c r="AF23" s="33">
        <f>SUMIFS(Assumptions!CC$105:CC$128,Assumptions!$BB$105:$BB$128,'non-road'!$F23,Assumptions!$BC$105:$BC$128,'non-road'!$D23)/SUMIF(Assumptions!$BB$105:$BB$128,'non-road'!$F23,Assumptions!CC$105:CC$128)</f>
        <v>0</v>
      </c>
      <c r="AG23" s="33">
        <f>SUMIFS(Assumptions!CD$105:CD$128,Assumptions!$BB$105:$BB$128,'non-road'!$F23,Assumptions!$BC$105:$BC$128,'non-road'!$D23)/SUMIF(Assumptions!$BB$105:$BB$128,'non-road'!$F23,Assumptions!CD$105:CD$128)</f>
        <v>0</v>
      </c>
      <c r="AH23" s="33">
        <f>SUMIFS(Assumptions!CE$105:CE$128,Assumptions!$BB$105:$BB$128,'non-road'!$F23,Assumptions!$BC$105:$BC$128,'non-road'!$D23)/SUMIF(Assumptions!$BB$105:$BB$128,'non-road'!$F23,Assumptions!CE$105:CE$128)</f>
        <v>1.4147070216995093E-2</v>
      </c>
      <c r="AI23" s="33">
        <f>SUMIFS(Assumptions!CF$105:CF$128,Assumptions!$BB$105:$BB$128,'non-road'!$F23,Assumptions!$BC$105:$BC$128,'non-road'!$D23)/SUMIF(Assumptions!$BB$105:$BB$128,'non-road'!$F23,Assumptions!CF$105:CF$128)</f>
        <v>0</v>
      </c>
      <c r="AJ23" s="33">
        <f>SUMIFS(Assumptions!CG$105:CG$128,Assumptions!$BB$105:$BB$128,'non-road'!$F23,Assumptions!$BC$105:$BC$128,'non-road'!$D23)/SUMIF(Assumptions!$BB$105:$BB$128,'non-road'!$F23,Assumptions!CG$105:CG$128)</f>
        <v>0</v>
      </c>
      <c r="AK23" s="33">
        <f>SUMIFS(Assumptions!CH$105:CH$128,Assumptions!$BB$105:$BB$128,'non-road'!$F23,Assumptions!$BC$105:$BC$128,'non-road'!$D23)/SUMIF(Assumptions!$BB$105:$BB$128,'non-road'!$F23,Assumptions!CH$105:CH$128)</f>
        <v>0</v>
      </c>
      <c r="AL23" s="33">
        <f>SUMIFS(Assumptions!CI$105:CI$128,Assumptions!$BB$105:$BB$128,'non-road'!$F23,Assumptions!$BC$105:$BC$128,'non-road'!$D23)/SUMIF(Assumptions!$BB$105:$BB$128,'non-road'!$F23,Assumptions!CI$105:CI$128)</f>
        <v>0</v>
      </c>
      <c r="AM23" s="33">
        <f>SUMIFS(Assumptions!CJ$105:CJ$128,Assumptions!$BB$105:$BB$128,'non-road'!$F23,Assumptions!$BC$105:$BC$128,'non-road'!$D23)/SUMIF(Assumptions!$BB$105:$BB$128,'non-road'!$F23,Assumptions!CJ$105:CJ$128)</f>
        <v>0</v>
      </c>
      <c r="AN23" s="33">
        <f>SUMIFS(Assumptions!CK$105:CK$128,Assumptions!$BB$105:$BB$128,'non-road'!$F23,Assumptions!$BC$105:$BC$128,'non-road'!$D23)/SUMIF(Assumptions!$BB$105:$BB$128,'non-road'!$F23,Assumptions!CK$105:CK$128)</f>
        <v>0</v>
      </c>
      <c r="AO23" s="33" t="e">
        <f>SUMIFS(Assumptions!CL$105:CL$128,Assumptions!$BB$105:$BB$128,'non-road'!$F23,Assumptions!$BC$105:$BC$128,'non-road'!$D23)/SUMIF(Assumptions!$BB$105:$BB$128,'non-road'!$F23,Assumptions!CL$105:CL$128)</f>
        <v>#DIV/0!</v>
      </c>
      <c r="AP23" s="33" t="e">
        <f>SUMIFS(Assumptions!CM$105:CM$128,Assumptions!$BB$105:$BB$128,'non-road'!$F23,Assumptions!$BC$105:$BC$128,'non-road'!$D23)/SUMIF(Assumptions!$BB$105:$BB$128,'non-road'!$F23,Assumptions!CM$105:CM$128)</f>
        <v>#DIV/0!</v>
      </c>
      <c r="AQ23" s="33" t="e">
        <f>SUMIFS(Assumptions!CN$105:CN$128,Assumptions!$BB$105:$BB$128,'non-road'!$F23,Assumptions!$BC$105:$BC$128,'non-road'!$D23)/SUMIF(Assumptions!$BB$105:$BB$128,'non-road'!$F23,Assumptions!CN$105:CN$128)</f>
        <v>#DIV/0!</v>
      </c>
      <c r="AR23" s="33" t="e">
        <f>SUMIFS(Assumptions!CO$105:CO$128,Assumptions!$BB$105:$BB$128,'non-road'!$F23,Assumptions!$BC$105:$BC$128,'non-road'!$D23)/SUMIF(Assumptions!$BB$105:$BB$128,'non-road'!$F23,Assumptions!CO$105:CO$128)</f>
        <v>#DIV/0!</v>
      </c>
      <c r="AS23" s="33" t="e">
        <f>SUMIFS(Assumptions!CP$105:CP$128,Assumptions!$BB$105:$BB$128,'non-road'!$F23,Assumptions!$BC$105:$BC$128,'non-road'!$D23)/SUMIF(Assumptions!$BB$105:$BB$128,'non-road'!$F23,Assumptions!CP$105:CP$128)</f>
        <v>#DIV/0!</v>
      </c>
      <c r="AT23" s="33" t="e">
        <f>SUMIFS(Assumptions!CQ$105:CQ$128,Assumptions!$BB$105:$BB$128,'non-road'!$F23,Assumptions!$BC$105:$BC$128,'non-road'!$D23)/SUMIF(Assumptions!$BB$105:$BB$128,'non-road'!$F23,Assumptions!CQ$105:CQ$128)</f>
        <v>#DIV/0!</v>
      </c>
      <c r="AU23" s="33" t="e">
        <f>SUMIFS(Assumptions!CR$105:CR$128,Assumptions!$BB$105:$BB$128,'non-road'!$F23,Assumptions!$BC$105:$BC$128,'non-road'!$D23)/SUMIF(Assumptions!$BB$105:$BB$128,'non-road'!$F23,Assumptions!CR$105:CR$128)</f>
        <v>#DIV/0!</v>
      </c>
      <c r="AV23" s="33" t="e">
        <f>SUMIFS(Assumptions!CS$105:CS$128,Assumptions!$BB$105:$BB$128,'non-road'!$F23,Assumptions!$BC$105:$BC$128,'non-road'!$D23)/SUMIF(Assumptions!$BB$105:$BB$128,'non-road'!$F23,Assumptions!CS$105:CS$128)</f>
        <v>#DIV/0!</v>
      </c>
      <c r="AW23" s="33" t="e">
        <f>SUMIFS(Assumptions!CT$105:CT$128,Assumptions!$BB$105:$BB$128,'non-road'!$F23,Assumptions!$BC$105:$BC$128,'non-road'!$D23)/SUMIF(Assumptions!$BB$105:$BB$128,'non-road'!$F23,Assumptions!CT$105:CT$128)</f>
        <v>#DIV/0!</v>
      </c>
      <c r="AX23" s="33" t="e">
        <f>SUMIFS(Assumptions!CU$105:CU$128,Assumptions!$BB$105:$BB$128,'non-road'!$F23,Assumptions!$BC$105:$BC$128,'non-road'!$D23)/SUMIF(Assumptions!$BB$105:$BB$128,'non-road'!$F23,Assumptions!CU$105:CU$128)</f>
        <v>#DIV/0!</v>
      </c>
      <c r="AY23" s="33" t="e">
        <f>SUMIFS(Assumptions!CV$105:CV$128,Assumptions!$BB$105:$BB$128,'non-road'!$F23,Assumptions!$BC$105:$BC$128,'non-road'!$D23)/SUMIF(Assumptions!$BB$105:$BB$128,'non-road'!$F23,Assumptions!CV$105:CV$128)</f>
        <v>#DIV/0!</v>
      </c>
      <c r="AZ23" s="33" t="e">
        <f>SUMIFS(Assumptions!CW$105:CW$128,Assumptions!$BB$105:$BB$128,'non-road'!$F23,Assumptions!$BC$105:$BC$128,'non-road'!$D23)/SUMIF(Assumptions!$BB$105:$BB$128,'non-road'!$F23,Assumptions!CW$105:CW$128)</f>
        <v>#DIV/0!</v>
      </c>
      <c r="BD23" s="27" t="str">
        <f t="shared" si="55"/>
        <v>\I:</v>
      </c>
      <c r="BE23" s="33">
        <f>VLOOKUP($F23,Assumptions!$E$152:$BC$157,COLUMN()-COLUMN($BC$4),FALSE)</f>
        <v>1</v>
      </c>
      <c r="BF23" s="33">
        <f>VLOOKUP($F23,Assumptions!$E$152:$BC$157,COLUMN()-COLUMN($BC$4),FALSE)</f>
        <v>1</v>
      </c>
      <c r="BG23" s="33">
        <f>VLOOKUP($F23,Assumptions!$E$152:$BC$157,COLUMN()-COLUMN($BC$4),FALSE)</f>
        <v>1</v>
      </c>
      <c r="BH23" s="33">
        <f>VLOOKUP($F23,Assumptions!$E$152:$BC$157,COLUMN()-COLUMN($BC$4),FALSE)</f>
        <v>1</v>
      </c>
      <c r="BI23" s="33">
        <f>VLOOKUP($F23,Assumptions!$E$152:$BC$157,COLUMN()-COLUMN($BC$4),FALSE)</f>
        <v>1</v>
      </c>
      <c r="BJ23" s="33">
        <f>VLOOKUP($F23,Assumptions!$E$152:$BC$157,COLUMN()-COLUMN($BC$4),FALSE)</f>
        <v>1</v>
      </c>
      <c r="BK23" s="33">
        <f>VLOOKUP($F23,Assumptions!$E$152:$BC$157,COLUMN()-COLUMN($BC$4),FALSE)</f>
        <v>1</v>
      </c>
      <c r="BL23" s="33">
        <f>VLOOKUP($F23,Assumptions!$E$152:$BC$157,COLUMN()-COLUMN($BC$4),FALSE)</f>
        <v>1</v>
      </c>
      <c r="BM23" s="33">
        <f>VLOOKUP($F23,Assumptions!$E$152:$BC$157,COLUMN()-COLUMN($BC$4),FALSE)</f>
        <v>1</v>
      </c>
      <c r="BN23" s="33">
        <f>VLOOKUP($F23,Assumptions!$E$152:$BC$157,COLUMN()-COLUMN($BC$4),FALSE)</f>
        <v>1</v>
      </c>
      <c r="BO23" s="33">
        <f>VLOOKUP($F23,Assumptions!$E$152:$BC$157,COLUMN()-COLUMN($BC$4),FALSE)</f>
        <v>1</v>
      </c>
      <c r="BP23" s="33">
        <f>VLOOKUP($F23,Assumptions!$E$152:$BC$157,COLUMN()-COLUMN($BC$4),FALSE)</f>
        <v>1</v>
      </c>
      <c r="BQ23" s="33">
        <f>VLOOKUP($F23,Assumptions!$E$152:$BC$157,COLUMN()-COLUMN($BC$4),FALSE)</f>
        <v>1</v>
      </c>
      <c r="BR23" s="33">
        <f>VLOOKUP($F23,Assumptions!$E$152:$BC$157,COLUMN()-COLUMN($BC$4),FALSE)</f>
        <v>1</v>
      </c>
      <c r="BS23" s="33">
        <f>VLOOKUP($F23,Assumptions!$E$152:$BC$157,COLUMN()-COLUMN($BC$4),FALSE)</f>
        <v>1</v>
      </c>
      <c r="BT23" s="33">
        <f>VLOOKUP($F23,Assumptions!$E$152:$BC$157,COLUMN()-COLUMN($BC$4),FALSE)</f>
        <v>1</v>
      </c>
      <c r="BU23" s="33">
        <f>VLOOKUP($F23,Assumptions!$E$152:$BC$157,COLUMN()-COLUMN($BC$4),FALSE)</f>
        <v>1</v>
      </c>
      <c r="BV23" s="33">
        <f>VLOOKUP($F23,Assumptions!$E$152:$BC$157,COLUMN()-COLUMN($BC$4),FALSE)</f>
        <v>1</v>
      </c>
      <c r="BW23" s="33">
        <f>VLOOKUP($F23,Assumptions!$E$152:$BC$157,COLUMN()-COLUMN($BC$4),FALSE)</f>
        <v>1</v>
      </c>
      <c r="BX23" s="33">
        <f>VLOOKUP($F23,Assumptions!$E$152:$BC$157,COLUMN()-COLUMN($BC$4),FALSE)</f>
        <v>1</v>
      </c>
      <c r="BY23" s="33">
        <f>VLOOKUP($F23,Assumptions!$E$152:$BC$157,COLUMN()-COLUMN($BC$4),FALSE)</f>
        <v>1</v>
      </c>
      <c r="BZ23" s="33">
        <f>VLOOKUP($F23,Assumptions!$E$152:$BC$157,COLUMN()-COLUMN($BC$4),FALSE)</f>
        <v>1</v>
      </c>
      <c r="CA23" s="33">
        <f>VLOOKUP($F23,Assumptions!$E$152:$BC$157,COLUMN()-COLUMN($BC$4),FALSE)</f>
        <v>1</v>
      </c>
      <c r="CB23" s="33">
        <f>VLOOKUP($F23,Assumptions!$E$152:$BC$157,COLUMN()-COLUMN($BC$4),FALSE)</f>
        <v>1</v>
      </c>
      <c r="CC23" s="33">
        <f>VLOOKUP($F23,Assumptions!$E$152:$BC$157,COLUMN()-COLUMN($BC$4),FALSE)</f>
        <v>1</v>
      </c>
      <c r="CD23" s="33">
        <f>VLOOKUP($F23,Assumptions!$E$152:$BC$157,COLUMN()-COLUMN($BC$4),FALSE)</f>
        <v>1</v>
      </c>
      <c r="CE23" s="33">
        <f>VLOOKUP($F23,Assumptions!$E$152:$BC$157,COLUMN()-COLUMN($BC$4),FALSE)</f>
        <v>1</v>
      </c>
      <c r="CF23" s="33">
        <f>VLOOKUP($F23,Assumptions!$E$152:$BC$157,COLUMN()-COLUMN($BC$4),FALSE)</f>
        <v>1</v>
      </c>
      <c r="CG23" s="33">
        <f>VLOOKUP($F23,Assumptions!$E$152:$BC$157,COLUMN()-COLUMN($BC$4),FALSE)</f>
        <v>1</v>
      </c>
      <c r="CH23" s="33">
        <f>VLOOKUP($F23,Assumptions!$E$152:$BC$157,COLUMN()-COLUMN($BC$4),FALSE)</f>
        <v>1</v>
      </c>
      <c r="CI23" s="33">
        <f>VLOOKUP($F23,Assumptions!$E$152:$BC$157,COLUMN()-COLUMN($BC$4),FALSE)</f>
        <v>1</v>
      </c>
      <c r="CJ23" s="33">
        <f>VLOOKUP($F23,Assumptions!$E$152:$BC$157,COLUMN()-COLUMN($BC$4),FALSE)</f>
        <v>1</v>
      </c>
      <c r="CK23" s="33">
        <f>VLOOKUP($F23,Assumptions!$E$152:$BC$157,COLUMN()-COLUMN($BC$4),FALSE)</f>
        <v>1</v>
      </c>
      <c r="CL23" s="33">
        <f>VLOOKUP($F23,Assumptions!$E$152:$BC$157,COLUMN()-COLUMN($BC$4),FALSE)</f>
        <v>1</v>
      </c>
      <c r="CM23" s="33">
        <f>VLOOKUP($F23,Assumptions!$E$152:$BC$157,COLUMN()-COLUMN($BC$4),FALSE)</f>
        <v>1</v>
      </c>
      <c r="CN23" s="33">
        <f>VLOOKUP($F23,Assumptions!$E$152:$BC$157,COLUMN()-COLUMN($BC$4),FALSE)</f>
        <v>1</v>
      </c>
      <c r="CO23" s="33">
        <f>VLOOKUP($F23,Assumptions!$E$152:$BC$157,COLUMN()-COLUMN($BC$4),FALSE)</f>
        <v>1</v>
      </c>
      <c r="CP23" s="33">
        <f>VLOOKUP($F23,Assumptions!$E$152:$BC$157,COLUMN()-COLUMN($BC$4),FALSE)</f>
        <v>1</v>
      </c>
      <c r="CQ23" s="33">
        <f>VLOOKUP($F23,Assumptions!$E$152:$BC$157,COLUMN()-COLUMN($BC$4),FALSE)</f>
        <v>1</v>
      </c>
      <c r="CR23" s="33">
        <f>VLOOKUP($F23,Assumptions!$E$152:$BC$157,COLUMN()-COLUMN($BC$4),FALSE)</f>
        <v>1</v>
      </c>
      <c r="CS23" s="33">
        <f>VLOOKUP($F23,Assumptions!$E$152:$BC$157,COLUMN()-COLUMN($BC$4),FALSE)</f>
        <v>1</v>
      </c>
      <c r="CT23" s="33">
        <f>VLOOKUP($F23,Assumptions!$E$152:$BC$157,COLUMN()-COLUMN($BC$4),FALSE)</f>
        <v>1</v>
      </c>
      <c r="CU23" s="33">
        <f>VLOOKUP($F23,Assumptions!$E$152:$BC$157,COLUMN()-COLUMN($BC$4),FALSE)</f>
        <v>1</v>
      </c>
      <c r="CV23" s="33">
        <f>VLOOKUP($F23,Assumptions!$E$152:$BC$157,COLUMN()-COLUMN($BC$4),FALSE)</f>
        <v>1</v>
      </c>
      <c r="CW23" s="33">
        <f>VLOOKUP($F23,Assumptions!$E$152:$BC$157,COLUMN()-COLUMN($BC$4),FALSE)</f>
        <v>1</v>
      </c>
      <c r="CX23" s="33">
        <f>VLOOKUP($F23,Assumptions!$E$152:$BC$157,COLUMN()-COLUMN($BC$4),FALSE)</f>
        <v>1</v>
      </c>
      <c r="CY23" s="27"/>
      <c r="CZ23" s="27"/>
      <c r="DA23" s="27"/>
      <c r="DB23" s="27"/>
      <c r="DC23" s="27"/>
      <c r="DD23" s="27"/>
      <c r="DE23" s="27"/>
      <c r="DF23" s="27"/>
      <c r="DG23" s="27"/>
      <c r="DH23" s="27"/>
      <c r="DI23" s="27"/>
      <c r="DJ23" s="27"/>
      <c r="DK23" s="27"/>
      <c r="DL23" s="27"/>
      <c r="DM23" s="27"/>
      <c r="DN23" s="27"/>
      <c r="DO23" s="27"/>
      <c r="DP23" s="27"/>
      <c r="DQ23" s="27"/>
      <c r="DR23" s="27"/>
      <c r="DS23" s="27"/>
      <c r="DT23" s="27"/>
      <c r="DU23" s="27"/>
      <c r="DV23" s="27"/>
      <c r="DW23" s="27"/>
      <c r="DX23" s="27"/>
      <c r="DY23" s="27"/>
      <c r="DZ23" s="27"/>
      <c r="EA23" s="27"/>
      <c r="EB23" s="27"/>
      <c r="EC23" s="27"/>
      <c r="ED23" s="27"/>
      <c r="EE23" s="27"/>
      <c r="EF23" s="27"/>
      <c r="EG23" s="27"/>
      <c r="EH23" s="27"/>
      <c r="EI23" s="27"/>
      <c r="EJ23" s="27"/>
      <c r="EK23" s="27"/>
      <c r="EL23" s="27"/>
      <c r="EM23" s="27"/>
      <c r="EN23" s="27"/>
      <c r="EO23" s="27"/>
      <c r="EP23" s="27"/>
      <c r="EQ23" s="27"/>
      <c r="ER23" s="27"/>
      <c r="ES23" s="27"/>
      <c r="ET23" s="27"/>
      <c r="EU23" s="27"/>
      <c r="EV23" s="27"/>
      <c r="EW23" s="27" t="str">
        <f t="shared" si="48"/>
        <v>\I:</v>
      </c>
      <c r="EX23" s="27" t="str">
        <f t="shared" si="68"/>
        <v/>
      </c>
      <c r="EY23" s="27" t="s">
        <v>169</v>
      </c>
      <c r="EZ23" s="27" t="s">
        <v>160</v>
      </c>
      <c r="FA23" s="27" t="s">
        <v>161</v>
      </c>
    </row>
    <row r="24" spans="1:157">
      <c r="C24" s="27" t="str">
        <f t="shared" si="54"/>
        <v/>
      </c>
      <c r="D24" s="27" t="s">
        <v>42</v>
      </c>
      <c r="E24" s="27"/>
      <c r="F24" s="27" t="s">
        <v>20</v>
      </c>
      <c r="G24" s="33">
        <f>SUMIFS(Assumptions!BD$105:BD$128,Assumptions!$BB$105:$BB$128,'non-road'!$F24,Assumptions!$BC$105:$BC$128,'non-road'!$D24)/SUMIF(Assumptions!$BB$105:$BB$128,'non-road'!$F24,Assumptions!BD$105:BD$128)</f>
        <v>0</v>
      </c>
      <c r="H24" s="33">
        <f>SUMIFS(Assumptions!BE$105:BE$128,Assumptions!$BB$105:$BB$128,'non-road'!$F24,Assumptions!$BC$105:$BC$128,'non-road'!$D24)/SUMIF(Assumptions!$BB$105:$BB$128,'non-road'!$F24,Assumptions!BE$105:BE$128)</f>
        <v>0</v>
      </c>
      <c r="I24" s="33">
        <f>SUMIFS(Assumptions!BF$105:BF$128,Assumptions!$BB$105:$BB$128,'non-road'!$F24,Assumptions!$BC$105:$BC$128,'non-road'!$D24)/SUMIF(Assumptions!$BB$105:$BB$128,'non-road'!$F24,Assumptions!BF$105:BF$128)</f>
        <v>0</v>
      </c>
      <c r="J24" s="33">
        <f>SUMIFS(Assumptions!BG$105:BG$128,Assumptions!$BB$105:$BB$128,'non-road'!$F24,Assumptions!$BC$105:$BC$128,'non-road'!$D24)/SUMIF(Assumptions!$BB$105:$BB$128,'non-road'!$F24,Assumptions!BG$105:BG$128)</f>
        <v>0</v>
      </c>
      <c r="K24" s="33">
        <f>SUMIFS(Assumptions!BH$105:BH$128,Assumptions!$BB$105:$BB$128,'non-road'!$F24,Assumptions!$BC$105:$BC$128,'non-road'!$D24)/SUMIF(Assumptions!$BB$105:$BB$128,'non-road'!$F24,Assumptions!BH$105:BH$128)</f>
        <v>0</v>
      </c>
      <c r="L24" s="33">
        <f>SUMIFS(Assumptions!BI$105:BI$128,Assumptions!$BB$105:$BB$128,'non-road'!$F24,Assumptions!$BC$105:$BC$128,'non-road'!$D24)/SUMIF(Assumptions!$BB$105:$BB$128,'non-road'!$F24,Assumptions!BI$105:BI$128)</f>
        <v>0</v>
      </c>
      <c r="M24" s="33">
        <f>SUMIFS(Assumptions!BJ$105:BJ$128,Assumptions!$BB$105:$BB$128,'non-road'!$F24,Assumptions!$BC$105:$BC$128,'non-road'!$D24)/SUMIF(Assumptions!$BB$105:$BB$128,'non-road'!$F24,Assumptions!BJ$105:BJ$128)</f>
        <v>0</v>
      </c>
      <c r="N24" s="33">
        <f>SUMIFS(Assumptions!BK$105:BK$128,Assumptions!$BB$105:$BB$128,'non-road'!$F24,Assumptions!$BC$105:$BC$128,'non-road'!$D24)/SUMIF(Assumptions!$BB$105:$BB$128,'non-road'!$F24,Assumptions!BK$105:BK$128)</f>
        <v>0</v>
      </c>
      <c r="O24" s="33">
        <f>SUMIFS(Assumptions!BL$105:BL$128,Assumptions!$BB$105:$BB$128,'non-road'!$F24,Assumptions!$BC$105:$BC$128,'non-road'!$D24)/SUMIF(Assumptions!$BB$105:$BB$128,'non-road'!$F24,Assumptions!BL$105:BL$128)</f>
        <v>0</v>
      </c>
      <c r="P24" s="33">
        <f>SUMIFS(Assumptions!BM$105:BM$128,Assumptions!$BB$105:$BB$128,'non-road'!$F24,Assumptions!$BC$105:$BC$128,'non-road'!$D24)/SUMIF(Assumptions!$BB$105:$BB$128,'non-road'!$F24,Assumptions!BM$105:BM$128)</f>
        <v>0</v>
      </c>
      <c r="Q24" s="33">
        <f>SUMIFS(Assumptions!BN$105:BN$128,Assumptions!$BB$105:$BB$128,'non-road'!$F24,Assumptions!$BC$105:$BC$128,'non-road'!$D24)/SUMIF(Assumptions!$BB$105:$BB$128,'non-road'!$F24,Assumptions!BN$105:BN$128)</f>
        <v>0</v>
      </c>
      <c r="R24" s="33">
        <f>SUMIFS(Assumptions!BO$105:BO$128,Assumptions!$BB$105:$BB$128,'non-road'!$F24,Assumptions!$BC$105:$BC$128,'non-road'!$D24)/SUMIF(Assumptions!$BB$105:$BB$128,'non-road'!$F24,Assumptions!BO$105:BO$128)</f>
        <v>0</v>
      </c>
      <c r="S24" s="33">
        <f>SUMIFS(Assumptions!BP$105:BP$128,Assumptions!$BB$105:$BB$128,'non-road'!$F24,Assumptions!$BC$105:$BC$128,'non-road'!$D24)/SUMIF(Assumptions!$BB$105:$BB$128,'non-road'!$F24,Assumptions!BP$105:BP$128)</f>
        <v>0</v>
      </c>
      <c r="T24" s="33">
        <f>SUMIFS(Assumptions!BQ$105:BQ$128,Assumptions!$BB$105:$BB$128,'non-road'!$F24,Assumptions!$BC$105:$BC$128,'non-road'!$D24)/SUMIF(Assumptions!$BB$105:$BB$128,'non-road'!$F24,Assumptions!BQ$105:BQ$128)</f>
        <v>0</v>
      </c>
      <c r="U24" s="33">
        <f>SUMIFS(Assumptions!BR$105:BR$128,Assumptions!$BB$105:$BB$128,'non-road'!$F24,Assumptions!$BC$105:$BC$128,'non-road'!$D24)/SUMIF(Assumptions!$BB$105:$BB$128,'non-road'!$F24,Assumptions!BR$105:BR$128)</f>
        <v>0</v>
      </c>
      <c r="V24" s="33">
        <f>SUMIFS(Assumptions!BS$105:BS$128,Assumptions!$BB$105:$BB$128,'non-road'!$F24,Assumptions!$BC$105:$BC$128,'non-road'!$D24)/SUMIF(Assumptions!$BB$105:$BB$128,'non-road'!$F24,Assumptions!BS$105:BS$128)</f>
        <v>0</v>
      </c>
      <c r="W24" s="33">
        <f>SUMIFS(Assumptions!BT$105:BT$128,Assumptions!$BB$105:$BB$128,'non-road'!$F24,Assumptions!$BC$105:$BC$128,'non-road'!$D24)/SUMIF(Assumptions!$BB$105:$BB$128,'non-road'!$F24,Assumptions!BT$105:BT$128)</f>
        <v>0.12623880801038889</v>
      </c>
      <c r="X24" s="33">
        <f>SUMIFS(Assumptions!BU$105:BU$128,Assumptions!$BB$105:$BB$128,'non-road'!$F24,Assumptions!$BC$105:$BC$128,'non-road'!$D24)/SUMIF(Assumptions!$BB$105:$BB$128,'non-road'!$F24,Assumptions!BU$105:BU$128)</f>
        <v>0</v>
      </c>
      <c r="Y24" s="33">
        <f>SUMIFS(Assumptions!BV$105:BV$128,Assumptions!$BB$105:$BB$128,'non-road'!$F24,Assumptions!$BC$105:$BC$128,'non-road'!$D24)/SUMIF(Assumptions!$BB$105:$BB$128,'non-road'!$F24,Assumptions!BV$105:BV$128)</f>
        <v>0</v>
      </c>
      <c r="Z24" s="33">
        <f>SUMIFS(Assumptions!BW$105:BW$128,Assumptions!$BB$105:$BB$128,'non-road'!$F24,Assumptions!$BC$105:$BC$128,'non-road'!$D24)/SUMIF(Assumptions!$BB$105:$BB$128,'non-road'!$F24,Assumptions!BW$105:BW$128)</f>
        <v>7.6708733941207958E-3</v>
      </c>
      <c r="AA24" s="33">
        <f>SUMIFS(Assumptions!BX$105:BX$128,Assumptions!$BB$105:$BB$128,'non-road'!$F24,Assumptions!$BC$105:$BC$128,'non-road'!$D24)/SUMIF(Assumptions!$BB$105:$BB$128,'non-road'!$F24,Assumptions!BX$105:BX$128)</f>
        <v>0</v>
      </c>
      <c r="AB24" s="33">
        <f>SUMIFS(Assumptions!BY$105:BY$128,Assumptions!$BB$105:$BB$128,'non-road'!$F24,Assumptions!$BC$105:$BC$128,'non-road'!$D24)/SUMIF(Assumptions!$BB$105:$BB$128,'non-road'!$F24,Assumptions!BY$105:BY$128)</f>
        <v>0</v>
      </c>
      <c r="AC24" s="33">
        <f>SUMIFS(Assumptions!BZ$105:BZ$128,Assumptions!$BB$105:$BB$128,'non-road'!$F24,Assumptions!$BC$105:$BC$128,'non-road'!$D24)/SUMIF(Assumptions!$BB$105:$BB$128,'non-road'!$F24,Assumptions!BZ$105:BZ$128)</f>
        <v>0</v>
      </c>
      <c r="AD24" s="33">
        <f>SUMIFS(Assumptions!CA$105:CA$128,Assumptions!$BB$105:$BB$128,'non-road'!$F24,Assumptions!$BC$105:$BC$128,'non-road'!$D24)/SUMIF(Assumptions!$BB$105:$BB$128,'non-road'!$F24,Assumptions!CA$105:CA$128)</f>
        <v>0</v>
      </c>
      <c r="AE24" s="33">
        <f>SUMIFS(Assumptions!CB$105:CB$128,Assumptions!$BB$105:$BB$128,'non-road'!$F24,Assumptions!$BC$105:$BC$128,'non-road'!$D24)/SUMIF(Assumptions!$BB$105:$BB$128,'non-road'!$F24,Assumptions!CB$105:CB$128)</f>
        <v>2.4604207123964214E-5</v>
      </c>
      <c r="AF24" s="33">
        <f>SUMIFS(Assumptions!CC$105:CC$128,Assumptions!$BB$105:$BB$128,'non-road'!$F24,Assumptions!$BC$105:$BC$128,'non-road'!$D24)/SUMIF(Assumptions!$BB$105:$BB$128,'non-road'!$F24,Assumptions!CC$105:CC$128)</f>
        <v>0</v>
      </c>
      <c r="AG24" s="33">
        <f>SUMIFS(Assumptions!CD$105:CD$128,Assumptions!$BB$105:$BB$128,'non-road'!$F24,Assumptions!$BC$105:$BC$128,'non-road'!$D24)/SUMIF(Assumptions!$BB$105:$BB$128,'non-road'!$F24,Assumptions!CD$105:CD$128)</f>
        <v>0</v>
      </c>
      <c r="AH24" s="33">
        <f>SUMIFS(Assumptions!CE$105:CE$128,Assumptions!$BB$105:$BB$128,'non-road'!$F24,Assumptions!$BC$105:$BC$128,'non-road'!$D24)/SUMIF(Assumptions!$BB$105:$BB$128,'non-road'!$F24,Assumptions!CE$105:CE$128)</f>
        <v>0</v>
      </c>
      <c r="AI24" s="33">
        <f>SUMIFS(Assumptions!CF$105:CF$128,Assumptions!$BB$105:$BB$128,'non-road'!$F24,Assumptions!$BC$105:$BC$128,'non-road'!$D24)/SUMIF(Assumptions!$BB$105:$BB$128,'non-road'!$F24,Assumptions!CF$105:CF$128)</f>
        <v>0</v>
      </c>
      <c r="AJ24" s="33">
        <f>SUMIFS(Assumptions!CG$105:CG$128,Assumptions!$BB$105:$BB$128,'non-road'!$F24,Assumptions!$BC$105:$BC$128,'non-road'!$D24)/SUMIF(Assumptions!$BB$105:$BB$128,'non-road'!$F24,Assumptions!CG$105:CG$128)</f>
        <v>4.275658713811893E-6</v>
      </c>
      <c r="AK24" s="33">
        <f>SUMIFS(Assumptions!CH$105:CH$128,Assumptions!$BB$105:$BB$128,'non-road'!$F24,Assumptions!$BC$105:$BC$128,'non-road'!$D24)/SUMIF(Assumptions!$BB$105:$BB$128,'non-road'!$F24,Assumptions!CH$105:CH$128)</f>
        <v>0</v>
      </c>
      <c r="AL24" s="33">
        <f>SUMIFS(Assumptions!CI$105:CI$128,Assumptions!$BB$105:$BB$128,'non-road'!$F24,Assumptions!$BC$105:$BC$128,'non-road'!$D24)/SUMIF(Assumptions!$BB$105:$BB$128,'non-road'!$F24,Assumptions!CI$105:CI$128)</f>
        <v>0</v>
      </c>
      <c r="AM24" s="33">
        <f>SUMIFS(Assumptions!CJ$105:CJ$128,Assumptions!$BB$105:$BB$128,'non-road'!$F24,Assumptions!$BC$105:$BC$128,'non-road'!$D24)/SUMIF(Assumptions!$BB$105:$BB$128,'non-road'!$F24,Assumptions!CJ$105:CJ$128)</f>
        <v>0</v>
      </c>
      <c r="AN24" s="33">
        <f>SUMIFS(Assumptions!CK$105:CK$128,Assumptions!$BB$105:$BB$128,'non-road'!$F24,Assumptions!$BC$105:$BC$128,'non-road'!$D24)/SUMIF(Assumptions!$BB$105:$BB$128,'non-road'!$F24,Assumptions!CK$105:CK$128)</f>
        <v>0</v>
      </c>
      <c r="AO24" s="33" t="e">
        <f>SUMIFS(Assumptions!CL$105:CL$128,Assumptions!$BB$105:$BB$128,'non-road'!$F24,Assumptions!$BC$105:$BC$128,'non-road'!$D24)/SUMIF(Assumptions!$BB$105:$BB$128,'non-road'!$F24,Assumptions!CL$105:CL$128)</f>
        <v>#DIV/0!</v>
      </c>
      <c r="AP24" s="33" t="e">
        <f>SUMIFS(Assumptions!CM$105:CM$128,Assumptions!$BB$105:$BB$128,'non-road'!$F24,Assumptions!$BC$105:$BC$128,'non-road'!$D24)/SUMIF(Assumptions!$BB$105:$BB$128,'non-road'!$F24,Assumptions!CM$105:CM$128)</f>
        <v>#DIV/0!</v>
      </c>
      <c r="AQ24" s="33" t="e">
        <f>SUMIFS(Assumptions!CN$105:CN$128,Assumptions!$BB$105:$BB$128,'non-road'!$F24,Assumptions!$BC$105:$BC$128,'non-road'!$D24)/SUMIF(Assumptions!$BB$105:$BB$128,'non-road'!$F24,Assumptions!CN$105:CN$128)</f>
        <v>#DIV/0!</v>
      </c>
      <c r="AR24" s="33" t="e">
        <f>SUMIFS(Assumptions!CO$105:CO$128,Assumptions!$BB$105:$BB$128,'non-road'!$F24,Assumptions!$BC$105:$BC$128,'non-road'!$D24)/SUMIF(Assumptions!$BB$105:$BB$128,'non-road'!$F24,Assumptions!CO$105:CO$128)</f>
        <v>#DIV/0!</v>
      </c>
      <c r="AS24" s="33" t="e">
        <f>SUMIFS(Assumptions!CP$105:CP$128,Assumptions!$BB$105:$BB$128,'non-road'!$F24,Assumptions!$BC$105:$BC$128,'non-road'!$D24)/SUMIF(Assumptions!$BB$105:$BB$128,'non-road'!$F24,Assumptions!CP$105:CP$128)</f>
        <v>#DIV/0!</v>
      </c>
      <c r="AT24" s="33" t="e">
        <f>SUMIFS(Assumptions!CQ$105:CQ$128,Assumptions!$BB$105:$BB$128,'non-road'!$F24,Assumptions!$BC$105:$BC$128,'non-road'!$D24)/SUMIF(Assumptions!$BB$105:$BB$128,'non-road'!$F24,Assumptions!CQ$105:CQ$128)</f>
        <v>#DIV/0!</v>
      </c>
      <c r="AU24" s="33" t="e">
        <f>SUMIFS(Assumptions!CR$105:CR$128,Assumptions!$BB$105:$BB$128,'non-road'!$F24,Assumptions!$BC$105:$BC$128,'non-road'!$D24)/SUMIF(Assumptions!$BB$105:$BB$128,'non-road'!$F24,Assumptions!CR$105:CR$128)</f>
        <v>#DIV/0!</v>
      </c>
      <c r="AV24" s="33" t="e">
        <f>SUMIFS(Assumptions!CS$105:CS$128,Assumptions!$BB$105:$BB$128,'non-road'!$F24,Assumptions!$BC$105:$BC$128,'non-road'!$D24)/SUMIF(Assumptions!$BB$105:$BB$128,'non-road'!$F24,Assumptions!CS$105:CS$128)</f>
        <v>#DIV/0!</v>
      </c>
      <c r="AW24" s="33" t="e">
        <f>SUMIFS(Assumptions!CT$105:CT$128,Assumptions!$BB$105:$BB$128,'non-road'!$F24,Assumptions!$BC$105:$BC$128,'non-road'!$D24)/SUMIF(Assumptions!$BB$105:$BB$128,'non-road'!$F24,Assumptions!CT$105:CT$128)</f>
        <v>#DIV/0!</v>
      </c>
      <c r="AX24" s="33" t="e">
        <f>SUMIFS(Assumptions!CU$105:CU$128,Assumptions!$BB$105:$BB$128,'non-road'!$F24,Assumptions!$BC$105:$BC$128,'non-road'!$D24)/SUMIF(Assumptions!$BB$105:$BB$128,'non-road'!$F24,Assumptions!CU$105:CU$128)</f>
        <v>#DIV/0!</v>
      </c>
      <c r="AY24" s="33" t="e">
        <f>SUMIFS(Assumptions!CV$105:CV$128,Assumptions!$BB$105:$BB$128,'non-road'!$F24,Assumptions!$BC$105:$BC$128,'non-road'!$D24)/SUMIF(Assumptions!$BB$105:$BB$128,'non-road'!$F24,Assumptions!CV$105:CV$128)</f>
        <v>#DIV/0!</v>
      </c>
      <c r="AZ24" s="33" t="e">
        <f>SUMIFS(Assumptions!CW$105:CW$128,Assumptions!$BB$105:$BB$128,'non-road'!$F24,Assumptions!$BC$105:$BC$128,'non-road'!$D24)/SUMIF(Assumptions!$BB$105:$BB$128,'non-road'!$F24,Assumptions!CW$105:CW$128)</f>
        <v>#DIV/0!</v>
      </c>
      <c r="BD24" s="27" t="str">
        <f t="shared" si="55"/>
        <v>\I:</v>
      </c>
      <c r="BE24" s="33">
        <f>VLOOKUP($F24,Assumptions!$E$152:$BC$157,COLUMN()-COLUMN($BC$4),FALSE)</f>
        <v>1</v>
      </c>
      <c r="BF24" s="33">
        <f>VLOOKUP($F24,Assumptions!$E$152:$BC$157,COLUMN()-COLUMN($BC$4),FALSE)</f>
        <v>1</v>
      </c>
      <c r="BG24" s="33">
        <f>VLOOKUP($F24,Assumptions!$E$152:$BC$157,COLUMN()-COLUMN($BC$4),FALSE)</f>
        <v>1</v>
      </c>
      <c r="BH24" s="33">
        <f>VLOOKUP($F24,Assumptions!$E$152:$BC$157,COLUMN()-COLUMN($BC$4),FALSE)</f>
        <v>1</v>
      </c>
      <c r="BI24" s="33">
        <f>VLOOKUP($F24,Assumptions!$E$152:$BC$157,COLUMN()-COLUMN($BC$4),FALSE)</f>
        <v>1</v>
      </c>
      <c r="BJ24" s="33">
        <f>VLOOKUP($F24,Assumptions!$E$152:$BC$157,COLUMN()-COLUMN($BC$4),FALSE)</f>
        <v>1</v>
      </c>
      <c r="BK24" s="33">
        <f>VLOOKUP($F24,Assumptions!$E$152:$BC$157,COLUMN()-COLUMN($BC$4),FALSE)</f>
        <v>1</v>
      </c>
      <c r="BL24" s="33">
        <f>VLOOKUP($F24,Assumptions!$E$152:$BC$157,COLUMN()-COLUMN($BC$4),FALSE)</f>
        <v>1</v>
      </c>
      <c r="BM24" s="33">
        <f>VLOOKUP($F24,Assumptions!$E$152:$BC$157,COLUMN()-COLUMN($BC$4),FALSE)</f>
        <v>1</v>
      </c>
      <c r="BN24" s="33">
        <f>VLOOKUP($F24,Assumptions!$E$152:$BC$157,COLUMN()-COLUMN($BC$4),FALSE)</f>
        <v>1</v>
      </c>
      <c r="BO24" s="33">
        <f>VLOOKUP($F24,Assumptions!$E$152:$BC$157,COLUMN()-COLUMN($BC$4),FALSE)</f>
        <v>1</v>
      </c>
      <c r="BP24" s="33">
        <f>VLOOKUP($F24,Assumptions!$E$152:$BC$157,COLUMN()-COLUMN($BC$4),FALSE)</f>
        <v>1</v>
      </c>
      <c r="BQ24" s="33">
        <f>VLOOKUP($F24,Assumptions!$E$152:$BC$157,COLUMN()-COLUMN($BC$4),FALSE)</f>
        <v>1</v>
      </c>
      <c r="BR24" s="33">
        <f>VLOOKUP($F24,Assumptions!$E$152:$BC$157,COLUMN()-COLUMN($BC$4),FALSE)</f>
        <v>1</v>
      </c>
      <c r="BS24" s="33">
        <f>VLOOKUP($F24,Assumptions!$E$152:$BC$157,COLUMN()-COLUMN($BC$4),FALSE)</f>
        <v>1</v>
      </c>
      <c r="BT24" s="33">
        <f>VLOOKUP($F24,Assumptions!$E$152:$BC$157,COLUMN()-COLUMN($BC$4),FALSE)</f>
        <v>1</v>
      </c>
      <c r="BU24" s="33">
        <f>VLOOKUP($F24,Assumptions!$E$152:$BC$157,COLUMN()-COLUMN($BC$4),FALSE)</f>
        <v>1</v>
      </c>
      <c r="BV24" s="33">
        <f>VLOOKUP($F24,Assumptions!$E$152:$BC$157,COLUMN()-COLUMN($BC$4),FALSE)</f>
        <v>1</v>
      </c>
      <c r="BW24" s="33">
        <f>VLOOKUP($F24,Assumptions!$E$152:$BC$157,COLUMN()-COLUMN($BC$4),FALSE)</f>
        <v>1</v>
      </c>
      <c r="BX24" s="33">
        <f>VLOOKUP($F24,Assumptions!$E$152:$BC$157,COLUMN()-COLUMN($BC$4),FALSE)</f>
        <v>1</v>
      </c>
      <c r="BY24" s="33">
        <f>VLOOKUP($F24,Assumptions!$E$152:$BC$157,COLUMN()-COLUMN($BC$4),FALSE)</f>
        <v>1</v>
      </c>
      <c r="BZ24" s="33">
        <f>VLOOKUP($F24,Assumptions!$E$152:$BC$157,COLUMN()-COLUMN($BC$4),FALSE)</f>
        <v>1</v>
      </c>
      <c r="CA24" s="33">
        <f>VLOOKUP($F24,Assumptions!$E$152:$BC$157,COLUMN()-COLUMN($BC$4),FALSE)</f>
        <v>1</v>
      </c>
      <c r="CB24" s="33">
        <f>VLOOKUP($F24,Assumptions!$E$152:$BC$157,COLUMN()-COLUMN($BC$4),FALSE)</f>
        <v>1</v>
      </c>
      <c r="CC24" s="33">
        <f>VLOOKUP($F24,Assumptions!$E$152:$BC$157,COLUMN()-COLUMN($BC$4),FALSE)</f>
        <v>1</v>
      </c>
      <c r="CD24" s="33">
        <f>VLOOKUP($F24,Assumptions!$E$152:$BC$157,COLUMN()-COLUMN($BC$4),FALSE)</f>
        <v>1</v>
      </c>
      <c r="CE24" s="33">
        <f>VLOOKUP($F24,Assumptions!$E$152:$BC$157,COLUMN()-COLUMN($BC$4),FALSE)</f>
        <v>1</v>
      </c>
      <c r="CF24" s="33">
        <f>VLOOKUP($F24,Assumptions!$E$152:$BC$157,COLUMN()-COLUMN($BC$4),FALSE)</f>
        <v>1</v>
      </c>
      <c r="CG24" s="33">
        <f>VLOOKUP($F24,Assumptions!$E$152:$BC$157,COLUMN()-COLUMN($BC$4),FALSE)</f>
        <v>1</v>
      </c>
      <c r="CH24" s="33">
        <f>VLOOKUP($F24,Assumptions!$E$152:$BC$157,COLUMN()-COLUMN($BC$4),FALSE)</f>
        <v>1</v>
      </c>
      <c r="CI24" s="33">
        <f>VLOOKUP($F24,Assumptions!$E$152:$BC$157,COLUMN()-COLUMN($BC$4),FALSE)</f>
        <v>1</v>
      </c>
      <c r="CJ24" s="33">
        <f>VLOOKUP($F24,Assumptions!$E$152:$BC$157,COLUMN()-COLUMN($BC$4),FALSE)</f>
        <v>1</v>
      </c>
      <c r="CK24" s="33">
        <f>VLOOKUP($F24,Assumptions!$E$152:$BC$157,COLUMN()-COLUMN($BC$4),FALSE)</f>
        <v>1</v>
      </c>
      <c r="CL24" s="33">
        <f>VLOOKUP($F24,Assumptions!$E$152:$BC$157,COLUMN()-COLUMN($BC$4),FALSE)</f>
        <v>1</v>
      </c>
      <c r="CM24" s="33">
        <f>VLOOKUP($F24,Assumptions!$E$152:$BC$157,COLUMN()-COLUMN($BC$4),FALSE)</f>
        <v>1</v>
      </c>
      <c r="CN24" s="33">
        <f>VLOOKUP($F24,Assumptions!$E$152:$BC$157,COLUMN()-COLUMN($BC$4),FALSE)</f>
        <v>1</v>
      </c>
      <c r="CO24" s="33">
        <f>VLOOKUP($F24,Assumptions!$E$152:$BC$157,COLUMN()-COLUMN($BC$4),FALSE)</f>
        <v>1</v>
      </c>
      <c r="CP24" s="33">
        <f>VLOOKUP($F24,Assumptions!$E$152:$BC$157,COLUMN()-COLUMN($BC$4),FALSE)</f>
        <v>1</v>
      </c>
      <c r="CQ24" s="33">
        <f>VLOOKUP($F24,Assumptions!$E$152:$BC$157,COLUMN()-COLUMN($BC$4),FALSE)</f>
        <v>1</v>
      </c>
      <c r="CR24" s="33">
        <f>VLOOKUP($F24,Assumptions!$E$152:$BC$157,COLUMN()-COLUMN($BC$4),FALSE)</f>
        <v>1</v>
      </c>
      <c r="CS24" s="33">
        <f>VLOOKUP($F24,Assumptions!$E$152:$BC$157,COLUMN()-COLUMN($BC$4),FALSE)</f>
        <v>1</v>
      </c>
      <c r="CT24" s="33">
        <f>VLOOKUP($F24,Assumptions!$E$152:$BC$157,COLUMN()-COLUMN($BC$4),FALSE)</f>
        <v>1</v>
      </c>
      <c r="CU24" s="33">
        <f>VLOOKUP($F24,Assumptions!$E$152:$BC$157,COLUMN()-COLUMN($BC$4),FALSE)</f>
        <v>1</v>
      </c>
      <c r="CV24" s="33">
        <f>VLOOKUP($F24,Assumptions!$E$152:$BC$157,COLUMN()-COLUMN($BC$4),FALSE)</f>
        <v>1</v>
      </c>
      <c r="CW24" s="33">
        <f>VLOOKUP($F24,Assumptions!$E$152:$BC$157,COLUMN()-COLUMN($BC$4),FALSE)</f>
        <v>1</v>
      </c>
      <c r="CX24" s="33">
        <f>VLOOKUP($F24,Assumptions!$E$152:$BC$157,COLUMN()-COLUMN($BC$4),FALSE)</f>
        <v>1</v>
      </c>
      <c r="CY24" s="27"/>
      <c r="EV24" s="27"/>
      <c r="EW24" s="27" t="str">
        <f t="shared" si="48"/>
        <v>\I:</v>
      </c>
      <c r="EX24" s="27" t="str">
        <f t="shared" si="68"/>
        <v/>
      </c>
      <c r="EY24" s="27" t="s">
        <v>169</v>
      </c>
      <c r="EZ24" s="27" t="s">
        <v>160</v>
      </c>
      <c r="FA24" s="27" t="s">
        <v>161</v>
      </c>
    </row>
    <row r="25" spans="1:157">
      <c r="C25" s="27" t="str">
        <f t="shared" si="54"/>
        <v/>
      </c>
      <c r="D25" s="27" t="s">
        <v>45</v>
      </c>
      <c r="E25" s="27"/>
      <c r="F25" s="27" t="s">
        <v>20</v>
      </c>
      <c r="G25" s="33">
        <f>SUMIFS(Assumptions!BD$105:BD$128,Assumptions!$BB$105:$BB$128,'non-road'!$F25,Assumptions!$BC$105:$BC$128,'non-road'!$D25)/SUMIF(Assumptions!$BB$105:$BB$128,'non-road'!$F25,Assumptions!BD$105:BD$128)</f>
        <v>4.1513603961666691E-4</v>
      </c>
      <c r="H25" s="33">
        <f>SUMIFS(Assumptions!BE$105:BE$128,Assumptions!$BB$105:$BB$128,'non-road'!$F25,Assumptions!$BC$105:$BC$128,'non-road'!$D25)/SUMIF(Assumptions!$BB$105:$BB$128,'non-road'!$F25,Assumptions!BE$105:BE$128)</f>
        <v>0</v>
      </c>
      <c r="I25" s="33">
        <f>SUMIFS(Assumptions!BF$105:BF$128,Assumptions!$BB$105:$BB$128,'non-road'!$F25,Assumptions!$BC$105:$BC$128,'non-road'!$D25)/SUMIF(Assumptions!$BB$105:$BB$128,'non-road'!$F25,Assumptions!BF$105:BF$128)</f>
        <v>0</v>
      </c>
      <c r="J25" s="33">
        <f>SUMIFS(Assumptions!BG$105:BG$128,Assumptions!$BB$105:$BB$128,'non-road'!$F25,Assumptions!$BC$105:$BC$128,'non-road'!$D25)/SUMIF(Assumptions!$BB$105:$BB$128,'non-road'!$F25,Assumptions!BG$105:BG$128)</f>
        <v>0</v>
      </c>
      <c r="K25" s="33">
        <f>SUMIFS(Assumptions!BH$105:BH$128,Assumptions!$BB$105:$BB$128,'non-road'!$F25,Assumptions!$BC$105:$BC$128,'non-road'!$D25)/SUMIF(Assumptions!$BB$105:$BB$128,'non-road'!$F25,Assumptions!BH$105:BH$128)</f>
        <v>0</v>
      </c>
      <c r="L25" s="33">
        <f>SUMIFS(Assumptions!BI$105:BI$128,Assumptions!$BB$105:$BB$128,'non-road'!$F25,Assumptions!$BC$105:$BC$128,'non-road'!$D25)/SUMIF(Assumptions!$BB$105:$BB$128,'non-road'!$F25,Assumptions!BI$105:BI$128)</f>
        <v>0</v>
      </c>
      <c r="M25" s="33">
        <f>SUMIFS(Assumptions!BJ$105:BJ$128,Assumptions!$BB$105:$BB$128,'non-road'!$F25,Assumptions!$BC$105:$BC$128,'non-road'!$D25)/SUMIF(Assumptions!$BB$105:$BB$128,'non-road'!$F25,Assumptions!BJ$105:BJ$128)</f>
        <v>0</v>
      </c>
      <c r="N25" s="33">
        <f>SUMIFS(Assumptions!BK$105:BK$128,Assumptions!$BB$105:$BB$128,'non-road'!$F25,Assumptions!$BC$105:$BC$128,'non-road'!$D25)/SUMIF(Assumptions!$BB$105:$BB$128,'non-road'!$F25,Assumptions!BK$105:BK$128)</f>
        <v>0</v>
      </c>
      <c r="O25" s="33">
        <f>SUMIFS(Assumptions!BL$105:BL$128,Assumptions!$BB$105:$BB$128,'non-road'!$F25,Assumptions!$BC$105:$BC$128,'non-road'!$D25)/SUMIF(Assumptions!$BB$105:$BB$128,'non-road'!$F25,Assumptions!BL$105:BL$128)</f>
        <v>0</v>
      </c>
      <c r="P25" s="33">
        <f>SUMIFS(Assumptions!BM$105:BM$128,Assumptions!$BB$105:$BB$128,'non-road'!$F25,Assumptions!$BC$105:$BC$128,'non-road'!$D25)/SUMIF(Assumptions!$BB$105:$BB$128,'non-road'!$F25,Assumptions!BM$105:BM$128)</f>
        <v>0</v>
      </c>
      <c r="Q25" s="33">
        <f>SUMIFS(Assumptions!BN$105:BN$128,Assumptions!$BB$105:$BB$128,'non-road'!$F25,Assumptions!$BC$105:$BC$128,'non-road'!$D25)/SUMIF(Assumptions!$BB$105:$BB$128,'non-road'!$F25,Assumptions!BN$105:BN$128)</f>
        <v>0</v>
      </c>
      <c r="R25" s="33">
        <f>SUMIFS(Assumptions!BO$105:BO$128,Assumptions!$BB$105:$BB$128,'non-road'!$F25,Assumptions!$BC$105:$BC$128,'non-road'!$D25)/SUMIF(Assumptions!$BB$105:$BB$128,'non-road'!$F25,Assumptions!BO$105:BO$128)</f>
        <v>0</v>
      </c>
      <c r="S25" s="33">
        <f>SUMIFS(Assumptions!BP$105:BP$128,Assumptions!$BB$105:$BB$128,'non-road'!$F25,Assumptions!$BC$105:$BC$128,'non-road'!$D25)/SUMIF(Assumptions!$BB$105:$BB$128,'non-road'!$F25,Assumptions!BP$105:BP$128)</f>
        <v>0</v>
      </c>
      <c r="T25" s="33">
        <f>SUMIFS(Assumptions!BQ$105:BQ$128,Assumptions!$BB$105:$BB$128,'non-road'!$F25,Assumptions!$BC$105:$BC$128,'non-road'!$D25)/SUMIF(Assumptions!$BB$105:$BB$128,'non-road'!$F25,Assumptions!BQ$105:BQ$128)</f>
        <v>0</v>
      </c>
      <c r="U25" s="33">
        <f>SUMIFS(Assumptions!BR$105:BR$128,Assumptions!$BB$105:$BB$128,'non-road'!$F25,Assumptions!$BC$105:$BC$128,'non-road'!$D25)/SUMIF(Assumptions!$BB$105:$BB$128,'non-road'!$F25,Assumptions!BR$105:BR$128)</f>
        <v>0</v>
      </c>
      <c r="V25" s="33">
        <f>SUMIFS(Assumptions!BS$105:BS$128,Assumptions!$BB$105:$BB$128,'non-road'!$F25,Assumptions!$BC$105:$BC$128,'non-road'!$D25)/SUMIF(Assumptions!$BB$105:$BB$128,'non-road'!$F25,Assumptions!BS$105:BS$128)</f>
        <v>0</v>
      </c>
      <c r="W25" s="33">
        <f>SUMIFS(Assumptions!BT$105:BT$128,Assumptions!$BB$105:$BB$128,'non-road'!$F25,Assumptions!$BC$105:$BC$128,'non-road'!$D25)/SUMIF(Assumptions!$BB$105:$BB$128,'non-road'!$F25,Assumptions!BT$105:BT$128)</f>
        <v>0</v>
      </c>
      <c r="X25" s="33">
        <f>SUMIFS(Assumptions!BU$105:BU$128,Assumptions!$BB$105:$BB$128,'non-road'!$F25,Assumptions!$BC$105:$BC$128,'non-road'!$D25)/SUMIF(Assumptions!$BB$105:$BB$128,'non-road'!$F25,Assumptions!BU$105:BU$128)</f>
        <v>0</v>
      </c>
      <c r="Y25" s="33">
        <f>SUMIFS(Assumptions!BV$105:BV$128,Assumptions!$BB$105:$BB$128,'non-road'!$F25,Assumptions!$BC$105:$BC$128,'non-road'!$D25)/SUMIF(Assumptions!$BB$105:$BB$128,'non-road'!$F25,Assumptions!BV$105:BV$128)</f>
        <v>0</v>
      </c>
      <c r="Z25" s="33">
        <f>SUMIFS(Assumptions!BW$105:BW$128,Assumptions!$BB$105:$BB$128,'non-road'!$F25,Assumptions!$BC$105:$BC$128,'non-road'!$D25)/SUMIF(Assumptions!$BB$105:$BB$128,'non-road'!$F25,Assumptions!BW$105:BW$128)</f>
        <v>0</v>
      </c>
      <c r="AA25" s="33">
        <f>SUMIFS(Assumptions!BX$105:BX$128,Assumptions!$BB$105:$BB$128,'non-road'!$F25,Assumptions!$BC$105:$BC$128,'non-road'!$D25)/SUMIF(Assumptions!$BB$105:$BB$128,'non-road'!$F25,Assumptions!BX$105:BX$128)</f>
        <v>0</v>
      </c>
      <c r="AB25" s="33">
        <f>SUMIFS(Assumptions!BY$105:BY$128,Assumptions!$BB$105:$BB$128,'non-road'!$F25,Assumptions!$BC$105:$BC$128,'non-road'!$D25)/SUMIF(Assumptions!$BB$105:$BB$128,'non-road'!$F25,Assumptions!BY$105:BY$128)</f>
        <v>0</v>
      </c>
      <c r="AC25" s="33">
        <f>SUMIFS(Assumptions!BZ$105:BZ$128,Assumptions!$BB$105:$BB$128,'non-road'!$F25,Assumptions!$BC$105:$BC$128,'non-road'!$D25)/SUMIF(Assumptions!$BB$105:$BB$128,'non-road'!$F25,Assumptions!BZ$105:BZ$128)</f>
        <v>0</v>
      </c>
      <c r="AD25" s="33">
        <f>SUMIFS(Assumptions!CA$105:CA$128,Assumptions!$BB$105:$BB$128,'non-road'!$F25,Assumptions!$BC$105:$BC$128,'non-road'!$D25)/SUMIF(Assumptions!$BB$105:$BB$128,'non-road'!$F25,Assumptions!CA$105:CA$128)</f>
        <v>0</v>
      </c>
      <c r="AE25" s="33">
        <f>SUMIFS(Assumptions!CB$105:CB$128,Assumptions!$BB$105:$BB$128,'non-road'!$F25,Assumptions!$BC$105:$BC$128,'non-road'!$D25)/SUMIF(Assumptions!$BB$105:$BB$128,'non-road'!$F25,Assumptions!CB$105:CB$128)</f>
        <v>1.6326156128985602E-6</v>
      </c>
      <c r="AF25" s="33">
        <f>SUMIFS(Assumptions!CC$105:CC$128,Assumptions!$BB$105:$BB$128,'non-road'!$F25,Assumptions!$BC$105:$BC$128,'non-road'!$D25)/SUMIF(Assumptions!$BB$105:$BB$128,'non-road'!$F25,Assumptions!CC$105:CC$128)</f>
        <v>0</v>
      </c>
      <c r="AG25" s="33">
        <f>SUMIFS(Assumptions!CD$105:CD$128,Assumptions!$BB$105:$BB$128,'non-road'!$F25,Assumptions!$BC$105:$BC$128,'non-road'!$D25)/SUMIF(Assumptions!$BB$105:$BB$128,'non-road'!$F25,Assumptions!CD$105:CD$128)</f>
        <v>0</v>
      </c>
      <c r="AH25" s="33">
        <f>SUMIFS(Assumptions!CE$105:CE$128,Assumptions!$BB$105:$BB$128,'non-road'!$F25,Assumptions!$BC$105:$BC$128,'non-road'!$D25)/SUMIF(Assumptions!$BB$105:$BB$128,'non-road'!$F25,Assumptions!CE$105:CE$128)</f>
        <v>0</v>
      </c>
      <c r="AI25" s="33">
        <f>SUMIFS(Assumptions!CF$105:CF$128,Assumptions!$BB$105:$BB$128,'non-road'!$F25,Assumptions!$BC$105:$BC$128,'non-road'!$D25)/SUMIF(Assumptions!$BB$105:$BB$128,'non-road'!$F25,Assumptions!CF$105:CF$128)</f>
        <v>0</v>
      </c>
      <c r="AJ25" s="33">
        <f>SUMIFS(Assumptions!CG$105:CG$128,Assumptions!$BB$105:$BB$128,'non-road'!$F25,Assumptions!$BC$105:$BC$128,'non-road'!$D25)/SUMIF(Assumptions!$BB$105:$BB$128,'non-road'!$F25,Assumptions!CG$105:CG$128)</f>
        <v>0</v>
      </c>
      <c r="AK25" s="33">
        <f>SUMIFS(Assumptions!CH$105:CH$128,Assumptions!$BB$105:$BB$128,'non-road'!$F25,Assumptions!$BC$105:$BC$128,'non-road'!$D25)/SUMIF(Assumptions!$BB$105:$BB$128,'non-road'!$F25,Assumptions!CH$105:CH$128)</f>
        <v>0</v>
      </c>
      <c r="AL25" s="33">
        <f>SUMIFS(Assumptions!CI$105:CI$128,Assumptions!$BB$105:$BB$128,'non-road'!$F25,Assumptions!$BC$105:$BC$128,'non-road'!$D25)/SUMIF(Assumptions!$BB$105:$BB$128,'non-road'!$F25,Assumptions!CI$105:CI$128)</f>
        <v>0</v>
      </c>
      <c r="AM25" s="33">
        <f>SUMIFS(Assumptions!CJ$105:CJ$128,Assumptions!$BB$105:$BB$128,'non-road'!$F25,Assumptions!$BC$105:$BC$128,'non-road'!$D25)/SUMIF(Assumptions!$BB$105:$BB$128,'non-road'!$F25,Assumptions!CJ$105:CJ$128)</f>
        <v>0</v>
      </c>
      <c r="AN25" s="33">
        <f>SUMIFS(Assumptions!CK$105:CK$128,Assumptions!$BB$105:$BB$128,'non-road'!$F25,Assumptions!$BC$105:$BC$128,'non-road'!$D25)/SUMIF(Assumptions!$BB$105:$BB$128,'non-road'!$F25,Assumptions!CK$105:CK$128)</f>
        <v>1</v>
      </c>
      <c r="AO25" s="33" t="e">
        <f>SUMIFS(Assumptions!CL$105:CL$128,Assumptions!$BB$105:$BB$128,'non-road'!$F25,Assumptions!$BC$105:$BC$128,'non-road'!$D25)/SUMIF(Assumptions!$BB$105:$BB$128,'non-road'!$F25,Assumptions!CL$105:CL$128)</f>
        <v>#DIV/0!</v>
      </c>
      <c r="AP25" s="33" t="e">
        <f>SUMIFS(Assumptions!CM$105:CM$128,Assumptions!$BB$105:$BB$128,'non-road'!$F25,Assumptions!$BC$105:$BC$128,'non-road'!$D25)/SUMIF(Assumptions!$BB$105:$BB$128,'non-road'!$F25,Assumptions!CM$105:CM$128)</f>
        <v>#DIV/0!</v>
      </c>
      <c r="AQ25" s="33" t="e">
        <f>SUMIFS(Assumptions!CN$105:CN$128,Assumptions!$BB$105:$BB$128,'non-road'!$F25,Assumptions!$BC$105:$BC$128,'non-road'!$D25)/SUMIF(Assumptions!$BB$105:$BB$128,'non-road'!$F25,Assumptions!CN$105:CN$128)</f>
        <v>#DIV/0!</v>
      </c>
      <c r="AR25" s="33" t="e">
        <f>SUMIFS(Assumptions!CO$105:CO$128,Assumptions!$BB$105:$BB$128,'non-road'!$F25,Assumptions!$BC$105:$BC$128,'non-road'!$D25)/SUMIF(Assumptions!$BB$105:$BB$128,'non-road'!$F25,Assumptions!CO$105:CO$128)</f>
        <v>#DIV/0!</v>
      </c>
      <c r="AS25" s="33" t="e">
        <f>SUMIFS(Assumptions!CP$105:CP$128,Assumptions!$BB$105:$BB$128,'non-road'!$F25,Assumptions!$BC$105:$BC$128,'non-road'!$D25)/SUMIF(Assumptions!$BB$105:$BB$128,'non-road'!$F25,Assumptions!CP$105:CP$128)</f>
        <v>#DIV/0!</v>
      </c>
      <c r="AT25" s="33" t="e">
        <f>SUMIFS(Assumptions!CQ$105:CQ$128,Assumptions!$BB$105:$BB$128,'non-road'!$F25,Assumptions!$BC$105:$BC$128,'non-road'!$D25)/SUMIF(Assumptions!$BB$105:$BB$128,'non-road'!$F25,Assumptions!CQ$105:CQ$128)</f>
        <v>#DIV/0!</v>
      </c>
      <c r="AU25" s="33" t="e">
        <f>SUMIFS(Assumptions!CR$105:CR$128,Assumptions!$BB$105:$BB$128,'non-road'!$F25,Assumptions!$BC$105:$BC$128,'non-road'!$D25)/SUMIF(Assumptions!$BB$105:$BB$128,'non-road'!$F25,Assumptions!CR$105:CR$128)</f>
        <v>#DIV/0!</v>
      </c>
      <c r="AV25" s="33" t="e">
        <f>SUMIFS(Assumptions!CS$105:CS$128,Assumptions!$BB$105:$BB$128,'non-road'!$F25,Assumptions!$BC$105:$BC$128,'non-road'!$D25)/SUMIF(Assumptions!$BB$105:$BB$128,'non-road'!$F25,Assumptions!CS$105:CS$128)</f>
        <v>#DIV/0!</v>
      </c>
      <c r="AW25" s="33" t="e">
        <f>SUMIFS(Assumptions!CT$105:CT$128,Assumptions!$BB$105:$BB$128,'non-road'!$F25,Assumptions!$BC$105:$BC$128,'non-road'!$D25)/SUMIF(Assumptions!$BB$105:$BB$128,'non-road'!$F25,Assumptions!CT$105:CT$128)</f>
        <v>#DIV/0!</v>
      </c>
      <c r="AX25" s="33" t="e">
        <f>SUMIFS(Assumptions!CU$105:CU$128,Assumptions!$BB$105:$BB$128,'non-road'!$F25,Assumptions!$BC$105:$BC$128,'non-road'!$D25)/SUMIF(Assumptions!$BB$105:$BB$128,'non-road'!$F25,Assumptions!CU$105:CU$128)</f>
        <v>#DIV/0!</v>
      </c>
      <c r="AY25" s="33" t="e">
        <f>SUMIFS(Assumptions!CV$105:CV$128,Assumptions!$BB$105:$BB$128,'non-road'!$F25,Assumptions!$BC$105:$BC$128,'non-road'!$D25)/SUMIF(Assumptions!$BB$105:$BB$128,'non-road'!$F25,Assumptions!CV$105:CV$128)</f>
        <v>#DIV/0!</v>
      </c>
      <c r="AZ25" s="33" t="e">
        <f>SUMIFS(Assumptions!CW$105:CW$128,Assumptions!$BB$105:$BB$128,'non-road'!$F25,Assumptions!$BC$105:$BC$128,'non-road'!$D25)/SUMIF(Assumptions!$BB$105:$BB$128,'non-road'!$F25,Assumptions!CW$105:CW$128)</f>
        <v>#DIV/0!</v>
      </c>
      <c r="BD25" s="27" t="str">
        <f t="shared" si="55"/>
        <v>\I:</v>
      </c>
      <c r="BE25" s="33">
        <f>VLOOKUP($F25,Assumptions!$E$152:$BC$157,COLUMN()-COLUMN($BC$4),FALSE)</f>
        <v>1</v>
      </c>
      <c r="BF25" s="33">
        <f>VLOOKUP($F25,Assumptions!$E$152:$BC$157,COLUMN()-COLUMN($BC$4),FALSE)</f>
        <v>1</v>
      </c>
      <c r="BG25" s="33">
        <f>VLOOKUP($F25,Assumptions!$E$152:$BC$157,COLUMN()-COLUMN($BC$4),FALSE)</f>
        <v>1</v>
      </c>
      <c r="BH25" s="33">
        <f>VLOOKUP($F25,Assumptions!$E$152:$BC$157,COLUMN()-COLUMN($BC$4),FALSE)</f>
        <v>1</v>
      </c>
      <c r="BI25" s="33">
        <f>VLOOKUP($F25,Assumptions!$E$152:$BC$157,COLUMN()-COLUMN($BC$4),FALSE)</f>
        <v>1</v>
      </c>
      <c r="BJ25" s="33">
        <f>VLOOKUP($F25,Assumptions!$E$152:$BC$157,COLUMN()-COLUMN($BC$4),FALSE)</f>
        <v>1</v>
      </c>
      <c r="BK25" s="33">
        <f>VLOOKUP($F25,Assumptions!$E$152:$BC$157,COLUMN()-COLUMN($BC$4),FALSE)</f>
        <v>1</v>
      </c>
      <c r="BL25" s="33">
        <f>VLOOKUP($F25,Assumptions!$E$152:$BC$157,COLUMN()-COLUMN($BC$4),FALSE)</f>
        <v>1</v>
      </c>
      <c r="BM25" s="33">
        <f>VLOOKUP($F25,Assumptions!$E$152:$BC$157,COLUMN()-COLUMN($BC$4),FALSE)</f>
        <v>1</v>
      </c>
      <c r="BN25" s="33">
        <f>VLOOKUP($F25,Assumptions!$E$152:$BC$157,COLUMN()-COLUMN($BC$4),FALSE)</f>
        <v>1</v>
      </c>
      <c r="BO25" s="33">
        <f>VLOOKUP($F25,Assumptions!$E$152:$BC$157,COLUMN()-COLUMN($BC$4),FALSE)</f>
        <v>1</v>
      </c>
      <c r="BP25" s="33">
        <f>VLOOKUP($F25,Assumptions!$E$152:$BC$157,COLUMN()-COLUMN($BC$4),FALSE)</f>
        <v>1</v>
      </c>
      <c r="BQ25" s="33">
        <f>VLOOKUP($F25,Assumptions!$E$152:$BC$157,COLUMN()-COLUMN($BC$4),FALSE)</f>
        <v>1</v>
      </c>
      <c r="BR25" s="33">
        <f>VLOOKUP($F25,Assumptions!$E$152:$BC$157,COLUMN()-COLUMN($BC$4),FALSE)</f>
        <v>1</v>
      </c>
      <c r="BS25" s="33">
        <f>VLOOKUP($F25,Assumptions!$E$152:$BC$157,COLUMN()-COLUMN($BC$4),FALSE)</f>
        <v>1</v>
      </c>
      <c r="BT25" s="33">
        <f>VLOOKUP($F25,Assumptions!$E$152:$BC$157,COLUMN()-COLUMN($BC$4),FALSE)</f>
        <v>1</v>
      </c>
      <c r="BU25" s="33">
        <f>VLOOKUP($F25,Assumptions!$E$152:$BC$157,COLUMN()-COLUMN($BC$4),FALSE)</f>
        <v>1</v>
      </c>
      <c r="BV25" s="33">
        <f>VLOOKUP($F25,Assumptions!$E$152:$BC$157,COLUMN()-COLUMN($BC$4),FALSE)</f>
        <v>1</v>
      </c>
      <c r="BW25" s="33">
        <f>VLOOKUP($F25,Assumptions!$E$152:$BC$157,COLUMN()-COLUMN($BC$4),FALSE)</f>
        <v>1</v>
      </c>
      <c r="BX25" s="33">
        <f>VLOOKUP($F25,Assumptions!$E$152:$BC$157,COLUMN()-COLUMN($BC$4),FALSE)</f>
        <v>1</v>
      </c>
      <c r="BY25" s="33">
        <f>VLOOKUP($F25,Assumptions!$E$152:$BC$157,COLUMN()-COLUMN($BC$4),FALSE)</f>
        <v>1</v>
      </c>
      <c r="BZ25" s="33">
        <f>VLOOKUP($F25,Assumptions!$E$152:$BC$157,COLUMN()-COLUMN($BC$4),FALSE)</f>
        <v>1</v>
      </c>
      <c r="CA25" s="33">
        <f>VLOOKUP($F25,Assumptions!$E$152:$BC$157,COLUMN()-COLUMN($BC$4),FALSE)</f>
        <v>1</v>
      </c>
      <c r="CB25" s="33">
        <f>VLOOKUP($F25,Assumptions!$E$152:$BC$157,COLUMN()-COLUMN($BC$4),FALSE)</f>
        <v>1</v>
      </c>
      <c r="CC25" s="33">
        <f>VLOOKUP($F25,Assumptions!$E$152:$BC$157,COLUMN()-COLUMN($BC$4),FALSE)</f>
        <v>1</v>
      </c>
      <c r="CD25" s="33">
        <f>VLOOKUP($F25,Assumptions!$E$152:$BC$157,COLUMN()-COLUMN($BC$4),FALSE)</f>
        <v>1</v>
      </c>
      <c r="CE25" s="33">
        <f>VLOOKUP($F25,Assumptions!$E$152:$BC$157,COLUMN()-COLUMN($BC$4),FALSE)</f>
        <v>1</v>
      </c>
      <c r="CF25" s="33">
        <f>VLOOKUP($F25,Assumptions!$E$152:$BC$157,COLUMN()-COLUMN($BC$4),FALSE)</f>
        <v>1</v>
      </c>
      <c r="CG25" s="33">
        <f>VLOOKUP($F25,Assumptions!$E$152:$BC$157,COLUMN()-COLUMN($BC$4),FALSE)</f>
        <v>1</v>
      </c>
      <c r="CH25" s="33">
        <f>VLOOKUP($F25,Assumptions!$E$152:$BC$157,COLUMN()-COLUMN($BC$4),FALSE)</f>
        <v>1</v>
      </c>
      <c r="CI25" s="33">
        <f>VLOOKUP($F25,Assumptions!$E$152:$BC$157,COLUMN()-COLUMN($BC$4),FALSE)</f>
        <v>1</v>
      </c>
      <c r="CJ25" s="33">
        <f>VLOOKUP($F25,Assumptions!$E$152:$BC$157,COLUMN()-COLUMN($BC$4),FALSE)</f>
        <v>1</v>
      </c>
      <c r="CK25" s="33">
        <f>VLOOKUP($F25,Assumptions!$E$152:$BC$157,COLUMN()-COLUMN($BC$4),FALSE)</f>
        <v>1</v>
      </c>
      <c r="CL25" s="33">
        <f>VLOOKUP($F25,Assumptions!$E$152:$BC$157,COLUMN()-COLUMN($BC$4),FALSE)</f>
        <v>1</v>
      </c>
      <c r="CM25" s="33">
        <f>VLOOKUP($F25,Assumptions!$E$152:$BC$157,COLUMN()-COLUMN($BC$4),FALSE)</f>
        <v>1</v>
      </c>
      <c r="CN25" s="33">
        <f>VLOOKUP($F25,Assumptions!$E$152:$BC$157,COLUMN()-COLUMN($BC$4),FALSE)</f>
        <v>1</v>
      </c>
      <c r="CO25" s="33">
        <f>VLOOKUP($F25,Assumptions!$E$152:$BC$157,COLUMN()-COLUMN($BC$4),FALSE)</f>
        <v>1</v>
      </c>
      <c r="CP25" s="33">
        <f>VLOOKUP($F25,Assumptions!$E$152:$BC$157,COLUMN()-COLUMN($BC$4),FALSE)</f>
        <v>1</v>
      </c>
      <c r="CQ25" s="33">
        <f>VLOOKUP($F25,Assumptions!$E$152:$BC$157,COLUMN()-COLUMN($BC$4),FALSE)</f>
        <v>1</v>
      </c>
      <c r="CR25" s="33">
        <f>VLOOKUP($F25,Assumptions!$E$152:$BC$157,COLUMN()-COLUMN($BC$4),FALSE)</f>
        <v>1</v>
      </c>
      <c r="CS25" s="33">
        <f>VLOOKUP($F25,Assumptions!$E$152:$BC$157,COLUMN()-COLUMN($BC$4),FALSE)</f>
        <v>1</v>
      </c>
      <c r="CT25" s="33">
        <f>VLOOKUP($F25,Assumptions!$E$152:$BC$157,COLUMN()-COLUMN($BC$4),FALSE)</f>
        <v>1</v>
      </c>
      <c r="CU25" s="33">
        <f>VLOOKUP($F25,Assumptions!$E$152:$BC$157,COLUMN()-COLUMN($BC$4),FALSE)</f>
        <v>1</v>
      </c>
      <c r="CV25" s="33">
        <f>VLOOKUP($F25,Assumptions!$E$152:$BC$157,COLUMN()-COLUMN($BC$4),FALSE)</f>
        <v>1</v>
      </c>
      <c r="CW25" s="33">
        <f>VLOOKUP($F25,Assumptions!$E$152:$BC$157,COLUMN()-COLUMN($BC$4),FALSE)</f>
        <v>1</v>
      </c>
      <c r="CX25" s="33">
        <f>VLOOKUP($F25,Assumptions!$E$152:$BC$157,COLUMN()-COLUMN($BC$4),FALSE)</f>
        <v>1</v>
      </c>
      <c r="CY25" s="27"/>
      <c r="EV25" s="27"/>
      <c r="EW25" s="27" t="str">
        <f t="shared" si="48"/>
        <v>\I:</v>
      </c>
      <c r="EX25" s="27" t="str">
        <f t="shared" si="68"/>
        <v/>
      </c>
      <c r="EY25" s="27" t="s">
        <v>169</v>
      </c>
      <c r="EZ25" s="27" t="s">
        <v>160</v>
      </c>
      <c r="FA25" s="27" t="s">
        <v>161</v>
      </c>
    </row>
    <row r="26" spans="1:157">
      <c r="C26" s="27" t="str">
        <f t="shared" si="54"/>
        <v/>
      </c>
      <c r="D26" s="27" t="s">
        <v>43</v>
      </c>
      <c r="E26" s="27" t="s">
        <v>398</v>
      </c>
      <c r="F26" s="27" t="s">
        <v>20</v>
      </c>
      <c r="G26" s="33">
        <f>SUMIFS(Assumptions!BD$105:BD$128,Assumptions!$BB$105:$BB$128,'non-road'!$F26,Assumptions!$BC$105:$BC$128,'non-road'!$D26)/SUMIF(Assumptions!$BB$105:$BB$128,'non-road'!$F26,Assumptions!BD$105:BD$128)</f>
        <v>0.99958486396038326</v>
      </c>
      <c r="H26" s="33">
        <f>SUMIFS(Assumptions!BE$105:BE$128,Assumptions!$BB$105:$BB$128,'non-road'!$F26,Assumptions!$BC$105:$BC$128,'non-road'!$D26)/SUMIF(Assumptions!$BB$105:$BB$128,'non-road'!$F26,Assumptions!BE$105:BE$128)</f>
        <v>0.99796035348209855</v>
      </c>
      <c r="I26" s="33">
        <f>SUMIFS(Assumptions!BF$105:BF$128,Assumptions!$BB$105:$BB$128,'non-road'!$F26,Assumptions!$BC$105:$BC$128,'non-road'!$D26)/SUMIF(Assumptions!$BB$105:$BB$128,'non-road'!$F26,Assumptions!BF$105:BF$128)</f>
        <v>1</v>
      </c>
      <c r="J26" s="33">
        <f>SUMIFS(Assumptions!BG$105:BG$128,Assumptions!$BB$105:$BB$128,'non-road'!$F26,Assumptions!$BC$105:$BC$128,'non-road'!$D26)/SUMIF(Assumptions!$BB$105:$BB$128,'non-road'!$F26,Assumptions!BG$105:BG$128)</f>
        <v>1</v>
      </c>
      <c r="K26" s="33">
        <f>SUMIFS(Assumptions!BH$105:BH$128,Assumptions!$BB$105:$BB$128,'non-road'!$F26,Assumptions!$BC$105:$BC$128,'non-road'!$D26)/SUMIF(Assumptions!$BB$105:$BB$128,'non-road'!$F26,Assumptions!BH$105:BH$128)</f>
        <v>1</v>
      </c>
      <c r="L26" s="33">
        <f>SUMIFS(Assumptions!BI$105:BI$128,Assumptions!$BB$105:$BB$128,'non-road'!$F26,Assumptions!$BC$105:$BC$128,'non-road'!$D26)/SUMIF(Assumptions!$BB$105:$BB$128,'non-road'!$F26,Assumptions!BI$105:BI$128)</f>
        <v>1</v>
      </c>
      <c r="M26" s="33">
        <f>SUMIFS(Assumptions!BJ$105:BJ$128,Assumptions!$BB$105:$BB$128,'non-road'!$F26,Assumptions!$BC$105:$BC$128,'non-road'!$D26)/SUMIF(Assumptions!$BB$105:$BB$128,'non-road'!$F26,Assumptions!BJ$105:BJ$128)</f>
        <v>1</v>
      </c>
      <c r="N26" s="33">
        <f>SUMIFS(Assumptions!BK$105:BK$128,Assumptions!$BB$105:$BB$128,'non-road'!$F26,Assumptions!$BC$105:$BC$128,'non-road'!$D26)/SUMIF(Assumptions!$BB$105:$BB$128,'non-road'!$F26,Assumptions!BK$105:BK$128)</f>
        <v>1</v>
      </c>
      <c r="O26" s="33">
        <f>SUMIFS(Assumptions!BL$105:BL$128,Assumptions!$BB$105:$BB$128,'non-road'!$F26,Assumptions!$BC$105:$BC$128,'non-road'!$D26)/SUMIF(Assumptions!$BB$105:$BB$128,'non-road'!$F26,Assumptions!BL$105:BL$128)</f>
        <v>1</v>
      </c>
      <c r="P26" s="33">
        <f>SUMIFS(Assumptions!BM$105:BM$128,Assumptions!$BB$105:$BB$128,'non-road'!$F26,Assumptions!$BC$105:$BC$128,'non-road'!$D26)/SUMIF(Assumptions!$BB$105:$BB$128,'non-road'!$F26,Assumptions!BM$105:BM$128)</f>
        <v>1</v>
      </c>
      <c r="Q26" s="33">
        <f>SUMIFS(Assumptions!BN$105:BN$128,Assumptions!$BB$105:$BB$128,'non-road'!$F26,Assumptions!$BC$105:$BC$128,'non-road'!$D26)/SUMIF(Assumptions!$BB$105:$BB$128,'non-road'!$F26,Assumptions!BN$105:BN$128)</f>
        <v>1</v>
      </c>
      <c r="R26" s="33">
        <f>SUMIFS(Assumptions!BO$105:BO$128,Assumptions!$BB$105:$BB$128,'non-road'!$F26,Assumptions!$BC$105:$BC$128,'non-road'!$D26)/SUMIF(Assumptions!$BB$105:$BB$128,'non-road'!$F26,Assumptions!BO$105:BO$128)</f>
        <v>1</v>
      </c>
      <c r="S26" s="33">
        <f>SUMIFS(Assumptions!BP$105:BP$128,Assumptions!$BB$105:$BB$128,'non-road'!$F26,Assumptions!$BC$105:$BC$128,'non-road'!$D26)/SUMIF(Assumptions!$BB$105:$BB$128,'non-road'!$F26,Assumptions!BP$105:BP$128)</f>
        <v>1</v>
      </c>
      <c r="T26" s="33">
        <f>SUMIFS(Assumptions!BQ$105:BQ$128,Assumptions!$BB$105:$BB$128,'non-road'!$F26,Assumptions!$BC$105:$BC$128,'non-road'!$D26)/SUMIF(Assumptions!$BB$105:$BB$128,'non-road'!$F26,Assumptions!BQ$105:BQ$128)</f>
        <v>1</v>
      </c>
      <c r="U26" s="33">
        <f>SUMIFS(Assumptions!BR$105:BR$128,Assumptions!$BB$105:$BB$128,'non-road'!$F26,Assumptions!$BC$105:$BC$128,'non-road'!$D26)/SUMIF(Assumptions!$BB$105:$BB$128,'non-road'!$F26,Assumptions!BR$105:BR$128)</f>
        <v>1</v>
      </c>
      <c r="V26" s="33">
        <f>SUMIFS(Assumptions!BS$105:BS$128,Assumptions!$BB$105:$BB$128,'non-road'!$F26,Assumptions!$BC$105:$BC$128,'non-road'!$D26)/SUMIF(Assumptions!$BB$105:$BB$128,'non-road'!$F26,Assumptions!BS$105:BS$128)</f>
        <v>1</v>
      </c>
      <c r="W26" s="33">
        <f>SUMIFS(Assumptions!BT$105:BT$128,Assumptions!$BB$105:$BB$128,'non-road'!$F26,Assumptions!$BC$105:$BC$128,'non-road'!$D26)/SUMIF(Assumptions!$BB$105:$BB$128,'non-road'!$F26,Assumptions!BT$105:BT$128)</f>
        <v>0.87376119198961111</v>
      </c>
      <c r="X26" s="33">
        <f>SUMIFS(Assumptions!BU$105:BU$128,Assumptions!$BB$105:$BB$128,'non-road'!$F26,Assumptions!$BC$105:$BC$128,'non-road'!$D26)/SUMIF(Assumptions!$BB$105:$BB$128,'non-road'!$F26,Assumptions!BU$105:BU$128)</f>
        <v>1</v>
      </c>
      <c r="Y26" s="33">
        <f>SUMIFS(Assumptions!BV$105:BV$128,Assumptions!$BB$105:$BB$128,'non-road'!$F26,Assumptions!$BC$105:$BC$128,'non-road'!$D26)/SUMIF(Assumptions!$BB$105:$BB$128,'non-road'!$F26,Assumptions!BV$105:BV$128)</f>
        <v>1</v>
      </c>
      <c r="Z26" s="33">
        <f>SUMIFS(Assumptions!BW$105:BW$128,Assumptions!$BB$105:$BB$128,'non-road'!$F26,Assumptions!$BC$105:$BC$128,'non-road'!$D26)/SUMIF(Assumptions!$BB$105:$BB$128,'non-road'!$F26,Assumptions!BW$105:BW$128)</f>
        <v>0.98890227786565676</v>
      </c>
      <c r="AA26" s="33">
        <f>SUMIFS(Assumptions!BX$105:BX$128,Assumptions!$BB$105:$BB$128,'non-road'!$F26,Assumptions!$BC$105:$BC$128,'non-road'!$D26)/SUMIF(Assumptions!$BB$105:$BB$128,'non-road'!$F26,Assumptions!BX$105:BX$128)</f>
        <v>1</v>
      </c>
      <c r="AB26" s="33">
        <f>SUMIFS(Assumptions!BY$105:BY$128,Assumptions!$BB$105:$BB$128,'non-road'!$F26,Assumptions!$BC$105:$BC$128,'non-road'!$D26)/SUMIF(Assumptions!$BB$105:$BB$128,'non-road'!$F26,Assumptions!BY$105:BY$128)</f>
        <v>1</v>
      </c>
      <c r="AC26" s="33">
        <f>SUMIFS(Assumptions!BZ$105:BZ$128,Assumptions!$BB$105:$BB$128,'non-road'!$F26,Assumptions!$BC$105:$BC$128,'non-road'!$D26)/SUMIF(Assumptions!$BB$105:$BB$128,'non-road'!$F26,Assumptions!BZ$105:BZ$128)</f>
        <v>1</v>
      </c>
      <c r="AD26" s="33">
        <f>SUMIFS(Assumptions!CA$105:CA$128,Assumptions!$BB$105:$BB$128,'non-road'!$F26,Assumptions!$BC$105:$BC$128,'non-road'!$D26)/SUMIF(Assumptions!$BB$105:$BB$128,'non-road'!$F26,Assumptions!CA$105:CA$128)</f>
        <v>1</v>
      </c>
      <c r="AE26" s="33">
        <f>SUMIFS(Assumptions!CB$105:CB$128,Assumptions!$BB$105:$BB$128,'non-road'!$F26,Assumptions!$BC$105:$BC$128,'non-road'!$D26)/SUMIF(Assumptions!$BB$105:$BB$128,'non-road'!$F26,Assumptions!CB$105:CB$128)</f>
        <v>0.99978479366871664</v>
      </c>
      <c r="AF26" s="33">
        <f>SUMIFS(Assumptions!CC$105:CC$128,Assumptions!$BB$105:$BB$128,'non-road'!$F26,Assumptions!$BC$105:$BC$128,'non-road'!$D26)/SUMIF(Assumptions!$BB$105:$BB$128,'non-road'!$F26,Assumptions!CC$105:CC$128)</f>
        <v>1</v>
      </c>
      <c r="AG26" s="33">
        <f>SUMIFS(Assumptions!CD$105:CD$128,Assumptions!$BB$105:$BB$128,'non-road'!$F26,Assumptions!$BC$105:$BC$128,'non-road'!$D26)/SUMIF(Assumptions!$BB$105:$BB$128,'non-road'!$F26,Assumptions!CD$105:CD$128)</f>
        <v>1</v>
      </c>
      <c r="AH26" s="33">
        <f>SUMIFS(Assumptions!CE$105:CE$128,Assumptions!$BB$105:$BB$128,'non-road'!$F26,Assumptions!$BC$105:$BC$128,'non-road'!$D26)/SUMIF(Assumptions!$BB$105:$BB$128,'non-road'!$F26,Assumptions!CE$105:CE$128)</f>
        <v>0.98585292978300498</v>
      </c>
      <c r="AI26" s="33">
        <f>SUMIFS(Assumptions!CF$105:CF$128,Assumptions!$BB$105:$BB$128,'non-road'!$F26,Assumptions!$BC$105:$BC$128,'non-road'!$D26)/SUMIF(Assumptions!$BB$105:$BB$128,'non-road'!$F26,Assumptions!CF$105:CF$128)</f>
        <v>1</v>
      </c>
      <c r="AJ26" s="33">
        <f>SUMIFS(Assumptions!CG$105:CG$128,Assumptions!$BB$105:$BB$128,'non-road'!$F26,Assumptions!$BC$105:$BC$128,'non-road'!$D26)/SUMIF(Assumptions!$BB$105:$BB$128,'non-road'!$F26,Assumptions!CG$105:CG$128)</f>
        <v>0.99999572434128614</v>
      </c>
      <c r="AK26" s="33">
        <f>SUMIFS(Assumptions!CH$105:CH$128,Assumptions!$BB$105:$BB$128,'non-road'!$F26,Assumptions!$BC$105:$BC$128,'non-road'!$D26)/SUMIF(Assumptions!$BB$105:$BB$128,'non-road'!$F26,Assumptions!CH$105:CH$128)</f>
        <v>1</v>
      </c>
      <c r="AL26" s="33">
        <f>SUMIFS(Assumptions!CI$105:CI$128,Assumptions!$BB$105:$BB$128,'non-road'!$F26,Assumptions!$BC$105:$BC$128,'non-road'!$D26)/SUMIF(Assumptions!$BB$105:$BB$128,'non-road'!$F26,Assumptions!CI$105:CI$128)</f>
        <v>1</v>
      </c>
      <c r="AM26" s="33">
        <f>SUMIFS(Assumptions!CJ$105:CJ$128,Assumptions!$BB$105:$BB$128,'non-road'!$F26,Assumptions!$BC$105:$BC$128,'non-road'!$D26)/SUMIF(Assumptions!$BB$105:$BB$128,'non-road'!$F26,Assumptions!CJ$105:CJ$128)</f>
        <v>1</v>
      </c>
      <c r="AN26" s="33">
        <f>SUMIFS(Assumptions!CK$105:CK$128,Assumptions!$BB$105:$BB$128,'non-road'!$F26,Assumptions!$BC$105:$BC$128,'non-road'!$D26)/SUMIF(Assumptions!$BB$105:$BB$128,'non-road'!$F26,Assumptions!CK$105:CK$128)</f>
        <v>0</v>
      </c>
      <c r="AO26" s="33" t="e">
        <f>SUMIFS(Assumptions!CL$105:CL$128,Assumptions!$BB$105:$BB$128,'non-road'!$F26,Assumptions!$BC$105:$BC$128,'non-road'!$D26)/SUMIF(Assumptions!$BB$105:$BB$128,'non-road'!$F26,Assumptions!CL$105:CL$128)</f>
        <v>#DIV/0!</v>
      </c>
      <c r="AP26" s="33" t="e">
        <f>SUMIFS(Assumptions!CM$105:CM$128,Assumptions!$BB$105:$BB$128,'non-road'!$F26,Assumptions!$BC$105:$BC$128,'non-road'!$D26)/SUMIF(Assumptions!$BB$105:$BB$128,'non-road'!$F26,Assumptions!CM$105:CM$128)</f>
        <v>#DIV/0!</v>
      </c>
      <c r="AQ26" s="33" t="e">
        <f>SUMIFS(Assumptions!CN$105:CN$128,Assumptions!$BB$105:$BB$128,'non-road'!$F26,Assumptions!$BC$105:$BC$128,'non-road'!$D26)/SUMIF(Assumptions!$BB$105:$BB$128,'non-road'!$F26,Assumptions!CN$105:CN$128)</f>
        <v>#DIV/0!</v>
      </c>
      <c r="AR26" s="33" t="e">
        <f>SUMIFS(Assumptions!CO$105:CO$128,Assumptions!$BB$105:$BB$128,'non-road'!$F26,Assumptions!$BC$105:$BC$128,'non-road'!$D26)/SUMIF(Assumptions!$BB$105:$BB$128,'non-road'!$F26,Assumptions!CO$105:CO$128)</f>
        <v>#DIV/0!</v>
      </c>
      <c r="AS26" s="33" t="e">
        <f>SUMIFS(Assumptions!CP$105:CP$128,Assumptions!$BB$105:$BB$128,'non-road'!$F26,Assumptions!$BC$105:$BC$128,'non-road'!$D26)/SUMIF(Assumptions!$BB$105:$BB$128,'non-road'!$F26,Assumptions!CP$105:CP$128)</f>
        <v>#DIV/0!</v>
      </c>
      <c r="AT26" s="33" t="e">
        <f>SUMIFS(Assumptions!CQ$105:CQ$128,Assumptions!$BB$105:$BB$128,'non-road'!$F26,Assumptions!$BC$105:$BC$128,'non-road'!$D26)/SUMIF(Assumptions!$BB$105:$BB$128,'non-road'!$F26,Assumptions!CQ$105:CQ$128)</f>
        <v>#DIV/0!</v>
      </c>
      <c r="AU26" s="33" t="e">
        <f>SUMIFS(Assumptions!CR$105:CR$128,Assumptions!$BB$105:$BB$128,'non-road'!$F26,Assumptions!$BC$105:$BC$128,'non-road'!$D26)/SUMIF(Assumptions!$BB$105:$BB$128,'non-road'!$F26,Assumptions!CR$105:CR$128)</f>
        <v>#DIV/0!</v>
      </c>
      <c r="AV26" s="33" t="e">
        <f>SUMIFS(Assumptions!CS$105:CS$128,Assumptions!$BB$105:$BB$128,'non-road'!$F26,Assumptions!$BC$105:$BC$128,'non-road'!$D26)/SUMIF(Assumptions!$BB$105:$BB$128,'non-road'!$F26,Assumptions!CS$105:CS$128)</f>
        <v>#DIV/0!</v>
      </c>
      <c r="AW26" s="33" t="e">
        <f>SUMIFS(Assumptions!CT$105:CT$128,Assumptions!$BB$105:$BB$128,'non-road'!$F26,Assumptions!$BC$105:$BC$128,'non-road'!$D26)/SUMIF(Assumptions!$BB$105:$BB$128,'non-road'!$F26,Assumptions!CT$105:CT$128)</f>
        <v>#DIV/0!</v>
      </c>
      <c r="AX26" s="33" t="e">
        <f>SUMIFS(Assumptions!CU$105:CU$128,Assumptions!$BB$105:$BB$128,'non-road'!$F26,Assumptions!$BC$105:$BC$128,'non-road'!$D26)/SUMIF(Assumptions!$BB$105:$BB$128,'non-road'!$F26,Assumptions!CU$105:CU$128)</f>
        <v>#DIV/0!</v>
      </c>
      <c r="AY26" s="33" t="e">
        <f>SUMIFS(Assumptions!CV$105:CV$128,Assumptions!$BB$105:$BB$128,'non-road'!$F26,Assumptions!$BC$105:$BC$128,'non-road'!$D26)/SUMIF(Assumptions!$BB$105:$BB$128,'non-road'!$F26,Assumptions!CV$105:CV$128)</f>
        <v>#DIV/0!</v>
      </c>
      <c r="AZ26" s="33" t="e">
        <f>SUMIFS(Assumptions!CW$105:CW$128,Assumptions!$BB$105:$BB$128,'non-road'!$F26,Assumptions!$BC$105:$BC$128,'non-road'!$D26)/SUMIF(Assumptions!$BB$105:$BB$128,'non-road'!$F26,Assumptions!CW$105:CW$128)</f>
        <v>#DIV/0!</v>
      </c>
      <c r="BD26" s="27" t="str">
        <f t="shared" si="55"/>
        <v>\I:</v>
      </c>
      <c r="BE26" s="33">
        <f>VLOOKUP($F26,Assumptions!$E$152:$BC$157,COLUMN()-COLUMN($BC$4),FALSE)</f>
        <v>1</v>
      </c>
      <c r="BF26" s="33">
        <f>VLOOKUP($F26,Assumptions!$E$152:$BC$157,COLUMN()-COLUMN($BC$4),FALSE)</f>
        <v>1</v>
      </c>
      <c r="BG26" s="33">
        <f>VLOOKUP($F26,Assumptions!$E$152:$BC$157,COLUMN()-COLUMN($BC$4),FALSE)</f>
        <v>1</v>
      </c>
      <c r="BH26" s="33">
        <f>VLOOKUP($F26,Assumptions!$E$152:$BC$157,COLUMN()-COLUMN($BC$4),FALSE)</f>
        <v>1</v>
      </c>
      <c r="BI26" s="33">
        <f>VLOOKUP($F26,Assumptions!$E$152:$BC$157,COLUMN()-COLUMN($BC$4),FALSE)</f>
        <v>1</v>
      </c>
      <c r="BJ26" s="33">
        <f>VLOOKUP($F26,Assumptions!$E$152:$BC$157,COLUMN()-COLUMN($BC$4),FALSE)</f>
        <v>1</v>
      </c>
      <c r="BK26" s="33">
        <f>VLOOKUP($F26,Assumptions!$E$152:$BC$157,COLUMN()-COLUMN($BC$4),FALSE)</f>
        <v>1</v>
      </c>
      <c r="BL26" s="33">
        <f>VLOOKUP($F26,Assumptions!$E$152:$BC$157,COLUMN()-COLUMN($BC$4),FALSE)</f>
        <v>1</v>
      </c>
      <c r="BM26" s="33">
        <f>VLOOKUP($F26,Assumptions!$E$152:$BC$157,COLUMN()-COLUMN($BC$4),FALSE)</f>
        <v>1</v>
      </c>
      <c r="BN26" s="33">
        <f>VLOOKUP($F26,Assumptions!$E$152:$BC$157,COLUMN()-COLUMN($BC$4),FALSE)</f>
        <v>1</v>
      </c>
      <c r="BO26" s="33">
        <f>VLOOKUP($F26,Assumptions!$E$152:$BC$157,COLUMN()-COLUMN($BC$4),FALSE)</f>
        <v>1</v>
      </c>
      <c r="BP26" s="33">
        <f>VLOOKUP($F26,Assumptions!$E$152:$BC$157,COLUMN()-COLUMN($BC$4),FALSE)</f>
        <v>1</v>
      </c>
      <c r="BQ26" s="33">
        <f>VLOOKUP($F26,Assumptions!$E$152:$BC$157,COLUMN()-COLUMN($BC$4),FALSE)</f>
        <v>1</v>
      </c>
      <c r="BR26" s="33">
        <f>VLOOKUP($F26,Assumptions!$E$152:$BC$157,COLUMN()-COLUMN($BC$4),FALSE)</f>
        <v>1</v>
      </c>
      <c r="BS26" s="33">
        <f>VLOOKUP($F26,Assumptions!$E$152:$BC$157,COLUMN()-COLUMN($BC$4),FALSE)</f>
        <v>1</v>
      </c>
      <c r="BT26" s="33">
        <f>VLOOKUP($F26,Assumptions!$E$152:$BC$157,COLUMN()-COLUMN($BC$4),FALSE)</f>
        <v>1</v>
      </c>
      <c r="BU26" s="33">
        <f>VLOOKUP($F26,Assumptions!$E$152:$BC$157,COLUMN()-COLUMN($BC$4),FALSE)</f>
        <v>1</v>
      </c>
      <c r="BV26" s="33">
        <f>VLOOKUP($F26,Assumptions!$E$152:$BC$157,COLUMN()-COLUMN($BC$4),FALSE)</f>
        <v>1</v>
      </c>
      <c r="BW26" s="33">
        <f>VLOOKUP($F26,Assumptions!$E$152:$BC$157,COLUMN()-COLUMN($BC$4),FALSE)</f>
        <v>1</v>
      </c>
      <c r="BX26" s="33">
        <f>VLOOKUP($F26,Assumptions!$E$152:$BC$157,COLUMN()-COLUMN($BC$4),FALSE)</f>
        <v>1</v>
      </c>
      <c r="BY26" s="33">
        <f>VLOOKUP($F26,Assumptions!$E$152:$BC$157,COLUMN()-COLUMN($BC$4),FALSE)</f>
        <v>1</v>
      </c>
      <c r="BZ26" s="33">
        <f>VLOOKUP($F26,Assumptions!$E$152:$BC$157,COLUMN()-COLUMN($BC$4),FALSE)</f>
        <v>1</v>
      </c>
      <c r="CA26" s="33">
        <f>VLOOKUP($F26,Assumptions!$E$152:$BC$157,COLUMN()-COLUMN($BC$4),FALSE)</f>
        <v>1</v>
      </c>
      <c r="CB26" s="33">
        <f>VLOOKUP($F26,Assumptions!$E$152:$BC$157,COLUMN()-COLUMN($BC$4),FALSE)</f>
        <v>1</v>
      </c>
      <c r="CC26" s="33">
        <f>VLOOKUP($F26,Assumptions!$E$152:$BC$157,COLUMN()-COLUMN($BC$4),FALSE)</f>
        <v>1</v>
      </c>
      <c r="CD26" s="33">
        <f>VLOOKUP($F26,Assumptions!$E$152:$BC$157,COLUMN()-COLUMN($BC$4),FALSE)</f>
        <v>1</v>
      </c>
      <c r="CE26" s="33">
        <f>VLOOKUP($F26,Assumptions!$E$152:$BC$157,COLUMN()-COLUMN($BC$4),FALSE)</f>
        <v>1</v>
      </c>
      <c r="CF26" s="33">
        <f>VLOOKUP($F26,Assumptions!$E$152:$BC$157,COLUMN()-COLUMN($BC$4),FALSE)</f>
        <v>1</v>
      </c>
      <c r="CG26" s="33">
        <f>VLOOKUP($F26,Assumptions!$E$152:$BC$157,COLUMN()-COLUMN($BC$4),FALSE)</f>
        <v>1</v>
      </c>
      <c r="CH26" s="33">
        <f>VLOOKUP($F26,Assumptions!$E$152:$BC$157,COLUMN()-COLUMN($BC$4),FALSE)</f>
        <v>1</v>
      </c>
      <c r="CI26" s="33">
        <f>VLOOKUP($F26,Assumptions!$E$152:$BC$157,COLUMN()-COLUMN($BC$4),FALSE)</f>
        <v>1</v>
      </c>
      <c r="CJ26" s="33">
        <f>VLOOKUP($F26,Assumptions!$E$152:$BC$157,COLUMN()-COLUMN($BC$4),FALSE)</f>
        <v>1</v>
      </c>
      <c r="CK26" s="33">
        <f>VLOOKUP($F26,Assumptions!$E$152:$BC$157,COLUMN()-COLUMN($BC$4),FALSE)</f>
        <v>1</v>
      </c>
      <c r="CL26" s="33">
        <f>VLOOKUP($F26,Assumptions!$E$152:$BC$157,COLUMN()-COLUMN($BC$4),FALSE)</f>
        <v>1</v>
      </c>
      <c r="CM26" s="33">
        <f>VLOOKUP($F26,Assumptions!$E$152:$BC$157,COLUMN()-COLUMN($BC$4),FALSE)</f>
        <v>1</v>
      </c>
      <c r="CN26" s="33">
        <f>VLOOKUP($F26,Assumptions!$E$152:$BC$157,COLUMN()-COLUMN($BC$4),FALSE)</f>
        <v>1</v>
      </c>
      <c r="CO26" s="33">
        <f>VLOOKUP($F26,Assumptions!$E$152:$BC$157,COLUMN()-COLUMN($BC$4),FALSE)</f>
        <v>1</v>
      </c>
      <c r="CP26" s="33">
        <f>VLOOKUP($F26,Assumptions!$E$152:$BC$157,COLUMN()-COLUMN($BC$4),FALSE)</f>
        <v>1</v>
      </c>
      <c r="CQ26" s="33">
        <f>VLOOKUP($F26,Assumptions!$E$152:$BC$157,COLUMN()-COLUMN($BC$4),FALSE)</f>
        <v>1</v>
      </c>
      <c r="CR26" s="33">
        <f>VLOOKUP($F26,Assumptions!$E$152:$BC$157,COLUMN()-COLUMN($BC$4),FALSE)</f>
        <v>1</v>
      </c>
      <c r="CS26" s="33">
        <f>VLOOKUP($F26,Assumptions!$E$152:$BC$157,COLUMN()-COLUMN($BC$4),FALSE)</f>
        <v>1</v>
      </c>
      <c r="CT26" s="33">
        <f>VLOOKUP($F26,Assumptions!$E$152:$BC$157,COLUMN()-COLUMN($BC$4),FALSE)</f>
        <v>1</v>
      </c>
      <c r="CU26" s="33">
        <f>VLOOKUP($F26,Assumptions!$E$152:$BC$157,COLUMN()-COLUMN($BC$4),FALSE)</f>
        <v>1</v>
      </c>
      <c r="CV26" s="33">
        <f>VLOOKUP($F26,Assumptions!$E$152:$BC$157,COLUMN()-COLUMN($BC$4),FALSE)</f>
        <v>1</v>
      </c>
      <c r="CW26" s="33">
        <f>VLOOKUP($F26,Assumptions!$E$152:$BC$157,COLUMN()-COLUMN($BC$4),FALSE)</f>
        <v>1</v>
      </c>
      <c r="CX26" s="33">
        <f>VLOOKUP($F26,Assumptions!$E$152:$BC$157,COLUMN()-COLUMN($BC$4),FALSE)</f>
        <v>1</v>
      </c>
      <c r="CY26" s="27"/>
      <c r="EV26" s="27"/>
      <c r="EW26" s="27" t="str">
        <f t="shared" si="48"/>
        <v>DMD</v>
      </c>
      <c r="EX26" s="27" t="str">
        <f t="shared" si="68"/>
        <v>TWD_Generic</v>
      </c>
      <c r="EY26" s="27" t="s">
        <v>167</v>
      </c>
      <c r="EZ26" s="27" t="s">
        <v>160</v>
      </c>
      <c r="FA26" s="27" t="s">
        <v>161</v>
      </c>
    </row>
    <row r="27" spans="1:157">
      <c r="C27" s="27" t="str">
        <f t="shared" si="54"/>
        <v>TWD_Generic</v>
      </c>
      <c r="D27" s="27" t="s">
        <v>32</v>
      </c>
      <c r="E27" s="27" t="s">
        <v>398</v>
      </c>
      <c r="F27" s="27" t="s">
        <v>21</v>
      </c>
      <c r="G27" s="33">
        <f>SUMIFS(Assumptions!BD$105:BD$128,Assumptions!$BB$105:$BB$128,'non-road'!$F27,Assumptions!$BC$105:$BC$128,'non-road'!$D27)/SUMIF(Assumptions!$BB$105:$BB$128,'non-road'!$F27,Assumptions!BD$105:BD$128)</f>
        <v>0</v>
      </c>
      <c r="H27" s="33">
        <f>SUMIFS(Assumptions!BE$105:BE$128,Assumptions!$BB$105:$BB$128,'non-road'!$F27,Assumptions!$BC$105:$BC$128,'non-road'!$D27)/SUMIF(Assumptions!$BB$105:$BB$128,'non-road'!$F27,Assumptions!BE$105:BE$128)</f>
        <v>0</v>
      </c>
      <c r="I27" s="33">
        <f>SUMIFS(Assumptions!BF$105:BF$128,Assumptions!$BB$105:$BB$128,'non-road'!$F27,Assumptions!$BC$105:$BC$128,'non-road'!$D27)/SUMIF(Assumptions!$BB$105:$BB$128,'non-road'!$F27,Assumptions!BF$105:BF$128)</f>
        <v>0</v>
      </c>
      <c r="J27" s="33">
        <f>SUMIFS(Assumptions!BG$105:BG$128,Assumptions!$BB$105:$BB$128,'non-road'!$F27,Assumptions!$BC$105:$BC$128,'non-road'!$D27)/SUMIF(Assumptions!$BB$105:$BB$128,'non-road'!$F27,Assumptions!BG$105:BG$128)</f>
        <v>0</v>
      </c>
      <c r="K27" s="33">
        <f>SUMIFS(Assumptions!BH$105:BH$128,Assumptions!$BB$105:$BB$128,'non-road'!$F27,Assumptions!$BC$105:$BC$128,'non-road'!$D27)/SUMIF(Assumptions!$BB$105:$BB$128,'non-road'!$F27,Assumptions!BH$105:BH$128)</f>
        <v>0</v>
      </c>
      <c r="L27" s="33">
        <f>SUMIFS(Assumptions!BI$105:BI$128,Assumptions!$BB$105:$BB$128,'non-road'!$F27,Assumptions!$BC$105:$BC$128,'non-road'!$D27)/SUMIF(Assumptions!$BB$105:$BB$128,'non-road'!$F27,Assumptions!BI$105:BI$128)</f>
        <v>6.5846209943633332E-3</v>
      </c>
      <c r="M27" s="33">
        <f>SUMIFS(Assumptions!BJ$105:BJ$128,Assumptions!$BB$105:$BB$128,'non-road'!$F27,Assumptions!$BC$105:$BC$128,'non-road'!$D27)/SUMIF(Assumptions!$BB$105:$BB$128,'non-road'!$F27,Assumptions!BJ$105:BJ$128)</f>
        <v>0</v>
      </c>
      <c r="N27" s="33">
        <f>SUMIFS(Assumptions!BK$105:BK$128,Assumptions!$BB$105:$BB$128,'non-road'!$F27,Assumptions!$BC$105:$BC$128,'non-road'!$D27)/SUMIF(Assumptions!$BB$105:$BB$128,'non-road'!$F27,Assumptions!BK$105:BK$128)</f>
        <v>0</v>
      </c>
      <c r="O27" s="33">
        <f>SUMIFS(Assumptions!BL$105:BL$128,Assumptions!$BB$105:$BB$128,'non-road'!$F27,Assumptions!$BC$105:$BC$128,'non-road'!$D27)/SUMIF(Assumptions!$BB$105:$BB$128,'non-road'!$F27,Assumptions!BL$105:BL$128)</f>
        <v>0</v>
      </c>
      <c r="P27" s="33">
        <f>SUMIFS(Assumptions!BM$105:BM$128,Assumptions!$BB$105:$BB$128,'non-road'!$F27,Assumptions!$BC$105:$BC$128,'non-road'!$D27)/SUMIF(Assumptions!$BB$105:$BB$128,'non-road'!$F27,Assumptions!BM$105:BM$128)</f>
        <v>0</v>
      </c>
      <c r="Q27" s="33">
        <f>SUMIFS(Assumptions!BN$105:BN$128,Assumptions!$BB$105:$BB$128,'non-road'!$F27,Assumptions!$BC$105:$BC$128,'non-road'!$D27)/SUMIF(Assumptions!$BB$105:$BB$128,'non-road'!$F27,Assumptions!BN$105:BN$128)</f>
        <v>8.4568182427181872E-3</v>
      </c>
      <c r="R27" s="33">
        <f>SUMIFS(Assumptions!BO$105:BO$128,Assumptions!$BB$105:$BB$128,'non-road'!$F27,Assumptions!$BC$105:$BC$128,'non-road'!$D27)/SUMIF(Assumptions!$BB$105:$BB$128,'non-road'!$F27,Assumptions!BO$105:BO$128)</f>
        <v>0</v>
      </c>
      <c r="S27" s="33">
        <f>SUMIFS(Assumptions!BP$105:BP$128,Assumptions!$BB$105:$BB$128,'non-road'!$F27,Assumptions!$BC$105:$BC$128,'non-road'!$D27)/SUMIF(Assumptions!$BB$105:$BB$128,'non-road'!$F27,Assumptions!BP$105:BP$128)</f>
        <v>6.3152418486701596E-4</v>
      </c>
      <c r="T27" s="33">
        <f>SUMIFS(Assumptions!BQ$105:BQ$128,Assumptions!$BB$105:$BB$128,'non-road'!$F27,Assumptions!$BC$105:$BC$128,'non-road'!$D27)/SUMIF(Assumptions!$BB$105:$BB$128,'non-road'!$F27,Assumptions!BQ$105:BQ$128)</f>
        <v>0</v>
      </c>
      <c r="U27" s="33">
        <f>SUMIFS(Assumptions!BR$105:BR$128,Assumptions!$BB$105:$BB$128,'non-road'!$F27,Assumptions!$BC$105:$BC$128,'non-road'!$D27)/SUMIF(Assumptions!$BB$105:$BB$128,'non-road'!$F27,Assumptions!BR$105:BR$128)</f>
        <v>5.989602050839742E-5</v>
      </c>
      <c r="V27" s="33">
        <f>SUMIFS(Assumptions!BS$105:BS$128,Assumptions!$BB$105:$BB$128,'non-road'!$F27,Assumptions!$BC$105:$BC$128,'non-road'!$D27)/SUMIF(Assumptions!$BB$105:$BB$128,'non-road'!$F27,Assumptions!BS$105:BS$128)</f>
        <v>0</v>
      </c>
      <c r="W27" s="33">
        <f>SUMIFS(Assumptions!BT$105:BT$128,Assumptions!$BB$105:$BB$128,'non-road'!$F27,Assumptions!$BC$105:$BC$128,'non-road'!$D27)/SUMIF(Assumptions!$BB$105:$BB$128,'non-road'!$F27,Assumptions!BT$105:BT$128)</f>
        <v>0</v>
      </c>
      <c r="X27" s="33">
        <f>SUMIFS(Assumptions!BU$105:BU$128,Assumptions!$BB$105:$BB$128,'non-road'!$F27,Assumptions!$BC$105:$BC$128,'non-road'!$D27)/SUMIF(Assumptions!$BB$105:$BB$128,'non-road'!$F27,Assumptions!BU$105:BU$128)</f>
        <v>0</v>
      </c>
      <c r="Y27" s="33">
        <f>SUMIFS(Assumptions!BV$105:BV$128,Assumptions!$BB$105:$BB$128,'non-road'!$F27,Assumptions!$BC$105:$BC$128,'non-road'!$D27)/SUMIF(Assumptions!$BB$105:$BB$128,'non-road'!$F27,Assumptions!BV$105:BV$128)</f>
        <v>0</v>
      </c>
      <c r="Z27" s="33">
        <f>SUMIFS(Assumptions!BW$105:BW$128,Assumptions!$BB$105:$BB$128,'non-road'!$F27,Assumptions!$BC$105:$BC$128,'non-road'!$D27)/SUMIF(Assumptions!$BB$105:$BB$128,'non-road'!$F27,Assumptions!BW$105:BW$128)</f>
        <v>0</v>
      </c>
      <c r="AA27" s="33" t="e">
        <f>SUMIFS(Assumptions!BX$105:BX$128,Assumptions!$BB$105:$BB$128,'non-road'!$F27,Assumptions!$BC$105:$BC$128,'non-road'!$D27)/SUMIF(Assumptions!$BB$105:$BB$128,'non-road'!$F27,Assumptions!BX$105:BX$128)</f>
        <v>#DIV/0!</v>
      </c>
      <c r="AB27" s="33">
        <f>SUMIFS(Assumptions!BY$105:BY$128,Assumptions!$BB$105:$BB$128,'non-road'!$F27,Assumptions!$BC$105:$BC$128,'non-road'!$D27)/SUMIF(Assumptions!$BB$105:$BB$128,'non-road'!$F27,Assumptions!BY$105:BY$128)</f>
        <v>1.0126435301216331E-2</v>
      </c>
      <c r="AC27" s="33">
        <f>SUMIFS(Assumptions!BZ$105:BZ$128,Assumptions!$BB$105:$BB$128,'non-road'!$F27,Assumptions!$BC$105:$BC$128,'non-road'!$D27)/SUMIF(Assumptions!$BB$105:$BB$128,'non-road'!$F27,Assumptions!BZ$105:BZ$128)</f>
        <v>0</v>
      </c>
      <c r="AD27" s="33">
        <f>SUMIFS(Assumptions!CA$105:CA$128,Assumptions!$BB$105:$BB$128,'non-road'!$F27,Assumptions!$BC$105:$BC$128,'non-road'!$D27)/SUMIF(Assumptions!$BB$105:$BB$128,'non-road'!$F27,Assumptions!CA$105:CA$128)</f>
        <v>0</v>
      </c>
      <c r="AE27" s="33">
        <f>SUMIFS(Assumptions!CB$105:CB$128,Assumptions!$BB$105:$BB$128,'non-road'!$F27,Assumptions!$BC$105:$BC$128,'non-road'!$D27)/SUMIF(Assumptions!$BB$105:$BB$128,'non-road'!$F27,Assumptions!CB$105:CB$128)</f>
        <v>9.1326724288391442E-4</v>
      </c>
      <c r="AF27" s="33">
        <f>SUMIFS(Assumptions!CC$105:CC$128,Assumptions!$BB$105:$BB$128,'non-road'!$F27,Assumptions!$BC$105:$BC$128,'non-road'!$D27)/SUMIF(Assumptions!$BB$105:$BB$128,'non-road'!$F27,Assumptions!CC$105:CC$128)</f>
        <v>0</v>
      </c>
      <c r="AG27" s="33" t="e">
        <f>SUMIFS(Assumptions!CD$105:CD$128,Assumptions!$BB$105:$BB$128,'non-road'!$F27,Assumptions!$BC$105:$BC$128,'non-road'!$D27)/SUMIF(Assumptions!$BB$105:$BB$128,'non-road'!$F27,Assumptions!CD$105:CD$128)</f>
        <v>#DIV/0!</v>
      </c>
      <c r="AH27" s="33">
        <f>SUMIFS(Assumptions!CE$105:CE$128,Assumptions!$BB$105:$BB$128,'non-road'!$F27,Assumptions!$BC$105:$BC$128,'non-road'!$D27)/SUMIF(Assumptions!$BB$105:$BB$128,'non-road'!$F27,Assumptions!CE$105:CE$128)</f>
        <v>0</v>
      </c>
      <c r="AI27" s="33">
        <f>SUMIFS(Assumptions!CF$105:CF$128,Assumptions!$BB$105:$BB$128,'non-road'!$F27,Assumptions!$BC$105:$BC$128,'non-road'!$D27)/SUMIF(Assumptions!$BB$105:$BB$128,'non-road'!$F27,Assumptions!CF$105:CF$128)</f>
        <v>2.2690091488342338E-3</v>
      </c>
      <c r="AJ27" s="33">
        <f>SUMIFS(Assumptions!CG$105:CG$128,Assumptions!$BB$105:$BB$128,'non-road'!$F27,Assumptions!$BC$105:$BC$128,'non-road'!$D27)/SUMIF(Assumptions!$BB$105:$BB$128,'non-road'!$F27,Assumptions!CG$105:CG$128)</f>
        <v>1.0227158751469479E-2</v>
      </c>
      <c r="AK27" s="33">
        <f>SUMIFS(Assumptions!CH$105:CH$128,Assumptions!$BB$105:$BB$128,'non-road'!$F27,Assumptions!$BC$105:$BC$128,'non-road'!$D27)/SUMIF(Assumptions!$BB$105:$BB$128,'non-road'!$F27,Assumptions!CH$105:CH$128)</f>
        <v>1.8705308263155758E-2</v>
      </c>
      <c r="AL27" s="33">
        <f>SUMIFS(Assumptions!CI$105:CI$128,Assumptions!$BB$105:$BB$128,'non-road'!$F27,Assumptions!$BC$105:$BC$128,'non-road'!$D27)/SUMIF(Assumptions!$BB$105:$BB$128,'non-road'!$F27,Assumptions!CI$105:CI$128)</f>
        <v>0</v>
      </c>
      <c r="AM27" s="33">
        <f>SUMIFS(Assumptions!CJ$105:CJ$128,Assumptions!$BB$105:$BB$128,'non-road'!$F27,Assumptions!$BC$105:$BC$128,'non-road'!$D27)/SUMIF(Assumptions!$BB$105:$BB$128,'non-road'!$F27,Assumptions!CJ$105:CJ$128)</f>
        <v>0</v>
      </c>
      <c r="AN27" s="33">
        <f>SUMIFS(Assumptions!CK$105:CK$128,Assumptions!$BB$105:$BB$128,'non-road'!$F27,Assumptions!$BC$105:$BC$128,'non-road'!$D27)/SUMIF(Assumptions!$BB$105:$BB$128,'non-road'!$F27,Assumptions!CK$105:CK$128)</f>
        <v>0</v>
      </c>
      <c r="AO27" s="33">
        <f>SUMIFS(Assumptions!CL$105:CL$128,Assumptions!$BB$105:$BB$128,'non-road'!$F27,Assumptions!$BC$105:$BC$128,'non-road'!$D27)/SUMIF(Assumptions!$BB$105:$BB$128,'non-road'!$F27,Assumptions!CL$105:CL$128)</f>
        <v>0</v>
      </c>
      <c r="AP27" s="33" t="e">
        <f>SUMIFS(Assumptions!CM$105:CM$128,Assumptions!$BB$105:$BB$128,'non-road'!$F27,Assumptions!$BC$105:$BC$128,'non-road'!$D27)/SUMIF(Assumptions!$BB$105:$BB$128,'non-road'!$F27,Assumptions!CM$105:CM$128)</f>
        <v>#DIV/0!</v>
      </c>
      <c r="AQ27" s="33" t="e">
        <f>SUMIFS(Assumptions!CN$105:CN$128,Assumptions!$BB$105:$BB$128,'non-road'!$F27,Assumptions!$BC$105:$BC$128,'non-road'!$D27)/SUMIF(Assumptions!$BB$105:$BB$128,'non-road'!$F27,Assumptions!CN$105:CN$128)</f>
        <v>#DIV/0!</v>
      </c>
      <c r="AR27" s="33" t="e">
        <f>SUMIFS(Assumptions!CO$105:CO$128,Assumptions!$BB$105:$BB$128,'non-road'!$F27,Assumptions!$BC$105:$BC$128,'non-road'!$D27)/SUMIF(Assumptions!$BB$105:$BB$128,'non-road'!$F27,Assumptions!CO$105:CO$128)</f>
        <v>#DIV/0!</v>
      </c>
      <c r="AS27" s="33" t="e">
        <f>SUMIFS(Assumptions!CP$105:CP$128,Assumptions!$BB$105:$BB$128,'non-road'!$F27,Assumptions!$BC$105:$BC$128,'non-road'!$D27)/SUMIF(Assumptions!$BB$105:$BB$128,'non-road'!$F27,Assumptions!CP$105:CP$128)</f>
        <v>#DIV/0!</v>
      </c>
      <c r="AT27" s="33" t="e">
        <f>SUMIFS(Assumptions!CQ$105:CQ$128,Assumptions!$BB$105:$BB$128,'non-road'!$F27,Assumptions!$BC$105:$BC$128,'non-road'!$D27)/SUMIF(Assumptions!$BB$105:$BB$128,'non-road'!$F27,Assumptions!CQ$105:CQ$128)</f>
        <v>#DIV/0!</v>
      </c>
      <c r="AU27" s="33" t="e">
        <f>SUMIFS(Assumptions!CR$105:CR$128,Assumptions!$BB$105:$BB$128,'non-road'!$F27,Assumptions!$BC$105:$BC$128,'non-road'!$D27)/SUMIF(Assumptions!$BB$105:$BB$128,'non-road'!$F27,Assumptions!CR$105:CR$128)</f>
        <v>#DIV/0!</v>
      </c>
      <c r="AV27" s="33" t="e">
        <f>SUMIFS(Assumptions!CS$105:CS$128,Assumptions!$BB$105:$BB$128,'non-road'!$F27,Assumptions!$BC$105:$BC$128,'non-road'!$D27)/SUMIF(Assumptions!$BB$105:$BB$128,'non-road'!$F27,Assumptions!CS$105:CS$128)</f>
        <v>#DIV/0!</v>
      </c>
      <c r="AW27" s="33" t="e">
        <f>SUMIFS(Assumptions!CT$105:CT$128,Assumptions!$BB$105:$BB$128,'non-road'!$F27,Assumptions!$BC$105:$BC$128,'non-road'!$D27)/SUMIF(Assumptions!$BB$105:$BB$128,'non-road'!$F27,Assumptions!CT$105:CT$128)</f>
        <v>#DIV/0!</v>
      </c>
      <c r="AX27" s="33" t="e">
        <f>SUMIFS(Assumptions!CU$105:CU$128,Assumptions!$BB$105:$BB$128,'non-road'!$F27,Assumptions!$BC$105:$BC$128,'non-road'!$D27)/SUMIF(Assumptions!$BB$105:$BB$128,'non-road'!$F27,Assumptions!CU$105:CU$128)</f>
        <v>#DIV/0!</v>
      </c>
      <c r="AY27" s="33" t="e">
        <f>SUMIFS(Assumptions!CV$105:CV$128,Assumptions!$BB$105:$BB$128,'non-road'!$F27,Assumptions!$BC$105:$BC$128,'non-road'!$D27)/SUMIF(Assumptions!$BB$105:$BB$128,'non-road'!$F27,Assumptions!CV$105:CV$128)</f>
        <v>#DIV/0!</v>
      </c>
      <c r="AZ27" s="33" t="e">
        <f>SUMIFS(Assumptions!CW$105:CW$128,Assumptions!$BB$105:$BB$128,'non-road'!$F27,Assumptions!$BC$105:$BC$128,'non-road'!$D27)/SUMIF(Assumptions!$BB$105:$BB$128,'non-road'!$F27,Assumptions!CW$105:CW$128)</f>
        <v>#DIV/0!</v>
      </c>
      <c r="BD27" s="27" t="str">
        <f t="shared" si="55"/>
        <v>TWD_Generic</v>
      </c>
      <c r="BE27" s="33">
        <f>VLOOKUP($F27,Assumptions!$E$152:$BC$157,COLUMN()-COLUMN($BC$4),FALSE)</f>
        <v>1</v>
      </c>
      <c r="BF27" s="33">
        <f>VLOOKUP($F27,Assumptions!$E$152:$BC$157,COLUMN()-COLUMN($BC$4),FALSE)</f>
        <v>1</v>
      </c>
      <c r="BG27" s="33">
        <f>VLOOKUP($F27,Assumptions!$E$152:$BC$157,COLUMN()-COLUMN($BC$4),FALSE)</f>
        <v>1</v>
      </c>
      <c r="BH27" s="33">
        <f>VLOOKUP($F27,Assumptions!$E$152:$BC$157,COLUMN()-COLUMN($BC$4),FALSE)</f>
        <v>1</v>
      </c>
      <c r="BI27" s="33">
        <f>VLOOKUP($F27,Assumptions!$E$152:$BC$157,COLUMN()-COLUMN($BC$4),FALSE)</f>
        <v>1</v>
      </c>
      <c r="BJ27" s="33">
        <f>VLOOKUP($F27,Assumptions!$E$152:$BC$157,COLUMN()-COLUMN($BC$4),FALSE)</f>
        <v>1</v>
      </c>
      <c r="BK27" s="33">
        <f>VLOOKUP($F27,Assumptions!$E$152:$BC$157,COLUMN()-COLUMN($BC$4),FALSE)</f>
        <v>1</v>
      </c>
      <c r="BL27" s="33">
        <f>VLOOKUP($F27,Assumptions!$E$152:$BC$157,COLUMN()-COLUMN($BC$4),FALSE)</f>
        <v>1</v>
      </c>
      <c r="BM27" s="33">
        <f>VLOOKUP($F27,Assumptions!$E$152:$BC$157,COLUMN()-COLUMN($BC$4),FALSE)</f>
        <v>1</v>
      </c>
      <c r="BN27" s="33">
        <f>VLOOKUP($F27,Assumptions!$E$152:$BC$157,COLUMN()-COLUMN($BC$4),FALSE)</f>
        <v>1</v>
      </c>
      <c r="BO27" s="33">
        <f>VLOOKUP($F27,Assumptions!$E$152:$BC$157,COLUMN()-COLUMN($BC$4),FALSE)</f>
        <v>1</v>
      </c>
      <c r="BP27" s="33">
        <f>VLOOKUP($F27,Assumptions!$E$152:$BC$157,COLUMN()-COLUMN($BC$4),FALSE)</f>
        <v>1</v>
      </c>
      <c r="BQ27" s="33">
        <f>VLOOKUP($F27,Assumptions!$E$152:$BC$157,COLUMN()-COLUMN($BC$4),FALSE)</f>
        <v>1</v>
      </c>
      <c r="BR27" s="33">
        <f>VLOOKUP($F27,Assumptions!$E$152:$BC$157,COLUMN()-COLUMN($BC$4),FALSE)</f>
        <v>1</v>
      </c>
      <c r="BS27" s="33">
        <f>VLOOKUP($F27,Assumptions!$E$152:$BC$157,COLUMN()-COLUMN($BC$4),FALSE)</f>
        <v>1</v>
      </c>
      <c r="BT27" s="33">
        <f>VLOOKUP($F27,Assumptions!$E$152:$BC$157,COLUMN()-COLUMN($BC$4),FALSE)</f>
        <v>1</v>
      </c>
      <c r="BU27" s="33">
        <f>VLOOKUP($F27,Assumptions!$E$152:$BC$157,COLUMN()-COLUMN($BC$4),FALSE)</f>
        <v>1</v>
      </c>
      <c r="BV27" s="33">
        <f>VLOOKUP($F27,Assumptions!$E$152:$BC$157,COLUMN()-COLUMN($BC$4),FALSE)</f>
        <v>1</v>
      </c>
      <c r="BW27" s="33">
        <f>VLOOKUP($F27,Assumptions!$E$152:$BC$157,COLUMN()-COLUMN($BC$4),FALSE)</f>
        <v>1</v>
      </c>
      <c r="BX27" s="33">
        <f>VLOOKUP($F27,Assumptions!$E$152:$BC$157,COLUMN()-COLUMN($BC$4),FALSE)</f>
        <v>1</v>
      </c>
      <c r="BY27" s="33">
        <f>VLOOKUP($F27,Assumptions!$E$152:$BC$157,COLUMN()-COLUMN($BC$4),FALSE)</f>
        <v>1</v>
      </c>
      <c r="BZ27" s="33">
        <f>VLOOKUP($F27,Assumptions!$E$152:$BC$157,COLUMN()-COLUMN($BC$4),FALSE)</f>
        <v>1</v>
      </c>
      <c r="CA27" s="33">
        <f>VLOOKUP($F27,Assumptions!$E$152:$BC$157,COLUMN()-COLUMN($BC$4),FALSE)</f>
        <v>1</v>
      </c>
      <c r="CB27" s="33">
        <f>VLOOKUP($F27,Assumptions!$E$152:$BC$157,COLUMN()-COLUMN($BC$4),FALSE)</f>
        <v>1</v>
      </c>
      <c r="CC27" s="33">
        <f>VLOOKUP($F27,Assumptions!$E$152:$BC$157,COLUMN()-COLUMN($BC$4),FALSE)</f>
        <v>1</v>
      </c>
      <c r="CD27" s="33">
        <f>VLOOKUP($F27,Assumptions!$E$152:$BC$157,COLUMN()-COLUMN($BC$4),FALSE)</f>
        <v>1</v>
      </c>
      <c r="CE27" s="33">
        <f>VLOOKUP($F27,Assumptions!$E$152:$BC$157,COLUMN()-COLUMN($BC$4),FALSE)</f>
        <v>1</v>
      </c>
      <c r="CF27" s="33">
        <f>VLOOKUP($F27,Assumptions!$E$152:$BC$157,COLUMN()-COLUMN($BC$4),FALSE)</f>
        <v>1</v>
      </c>
      <c r="CG27" s="33">
        <f>VLOOKUP($F27,Assumptions!$E$152:$BC$157,COLUMN()-COLUMN($BC$4),FALSE)</f>
        <v>1</v>
      </c>
      <c r="CH27" s="33">
        <f>VLOOKUP($F27,Assumptions!$E$152:$BC$157,COLUMN()-COLUMN($BC$4),FALSE)</f>
        <v>1</v>
      </c>
      <c r="CI27" s="33">
        <f>VLOOKUP($F27,Assumptions!$E$152:$BC$157,COLUMN()-COLUMN($BC$4),FALSE)</f>
        <v>1</v>
      </c>
      <c r="CJ27" s="33">
        <f>VLOOKUP($F27,Assumptions!$E$152:$BC$157,COLUMN()-COLUMN($BC$4),FALSE)</f>
        <v>1</v>
      </c>
      <c r="CK27" s="33">
        <f>VLOOKUP($F27,Assumptions!$E$152:$BC$157,COLUMN()-COLUMN($BC$4),FALSE)</f>
        <v>1</v>
      </c>
      <c r="CL27" s="33">
        <f>VLOOKUP($F27,Assumptions!$E$152:$BC$157,COLUMN()-COLUMN($BC$4),FALSE)</f>
        <v>1</v>
      </c>
      <c r="CM27" s="33">
        <f>VLOOKUP($F27,Assumptions!$E$152:$BC$157,COLUMN()-COLUMN($BC$4),FALSE)</f>
        <v>1</v>
      </c>
      <c r="CN27" s="33">
        <f>VLOOKUP($F27,Assumptions!$E$152:$BC$157,COLUMN()-COLUMN($BC$4),FALSE)</f>
        <v>1</v>
      </c>
      <c r="CO27" s="33">
        <f>VLOOKUP($F27,Assumptions!$E$152:$BC$157,COLUMN()-COLUMN($BC$4),FALSE)</f>
        <v>1</v>
      </c>
      <c r="CP27" s="33">
        <f>VLOOKUP($F27,Assumptions!$E$152:$BC$157,COLUMN()-COLUMN($BC$4),FALSE)</f>
        <v>1</v>
      </c>
      <c r="CQ27" s="33">
        <f>VLOOKUP($F27,Assumptions!$E$152:$BC$157,COLUMN()-COLUMN($BC$4),FALSE)</f>
        <v>1</v>
      </c>
      <c r="CR27" s="33">
        <f>VLOOKUP($F27,Assumptions!$E$152:$BC$157,COLUMN()-COLUMN($BC$4),FALSE)</f>
        <v>1</v>
      </c>
      <c r="CS27" s="33">
        <f>VLOOKUP($F27,Assumptions!$E$152:$BC$157,COLUMN()-COLUMN($BC$4),FALSE)</f>
        <v>1</v>
      </c>
      <c r="CT27" s="33">
        <f>VLOOKUP($F27,Assumptions!$E$152:$BC$157,COLUMN()-COLUMN($BC$4),FALSE)</f>
        <v>1</v>
      </c>
      <c r="CU27" s="33">
        <f>VLOOKUP($F27,Assumptions!$E$152:$BC$157,COLUMN()-COLUMN($BC$4),FALSE)</f>
        <v>1</v>
      </c>
      <c r="CV27" s="33">
        <f>VLOOKUP($F27,Assumptions!$E$152:$BC$157,COLUMN()-COLUMN($BC$4),FALSE)</f>
        <v>1</v>
      </c>
      <c r="CW27" s="33">
        <f>VLOOKUP($F27,Assumptions!$E$152:$BC$157,COLUMN()-COLUMN($BC$4),FALSE)</f>
        <v>1</v>
      </c>
      <c r="CX27" s="33">
        <f>VLOOKUP($F27,Assumptions!$E$152:$BC$157,COLUMN()-COLUMN($BC$4),FALSE)</f>
        <v>1</v>
      </c>
      <c r="CY27" s="27"/>
      <c r="DA27" t="s">
        <v>430</v>
      </c>
      <c r="EV27" s="27"/>
      <c r="EW27" s="27" t="str">
        <f t="shared" si="48"/>
        <v>\I:</v>
      </c>
      <c r="EX27" s="27" t="str">
        <f t="shared" si="68"/>
        <v/>
      </c>
      <c r="EY27" s="27" t="s">
        <v>169</v>
      </c>
      <c r="EZ27" s="27" t="s">
        <v>160</v>
      </c>
      <c r="FA27" s="27" t="s">
        <v>161</v>
      </c>
    </row>
    <row r="28" spans="1:157">
      <c r="C28" s="27" t="str">
        <f t="shared" si="54"/>
        <v/>
      </c>
      <c r="D28" s="27" t="s">
        <v>33</v>
      </c>
      <c r="E28" s="27" t="s">
        <v>398</v>
      </c>
      <c r="F28" s="27" t="s">
        <v>21</v>
      </c>
      <c r="G28" s="33">
        <f>SUMIFS(Assumptions!BD$105:BD$128,Assumptions!$BB$105:$BB$128,'non-road'!$F28,Assumptions!$BC$105:$BC$128,'non-road'!$D28)/SUMIF(Assumptions!$BB$105:$BB$128,'non-road'!$F28,Assumptions!BD$105:BD$128)</f>
        <v>0</v>
      </c>
      <c r="H28" s="33">
        <f>SUMIFS(Assumptions!BE$105:BE$128,Assumptions!$BB$105:$BB$128,'non-road'!$F28,Assumptions!$BC$105:$BC$128,'non-road'!$D28)/SUMIF(Assumptions!$BB$105:$BB$128,'non-road'!$F28,Assumptions!BE$105:BE$128)</f>
        <v>0</v>
      </c>
      <c r="I28" s="33">
        <f>SUMIFS(Assumptions!BF$105:BF$128,Assumptions!$BB$105:$BB$128,'non-road'!$F28,Assumptions!$BC$105:$BC$128,'non-road'!$D28)/SUMIF(Assumptions!$BB$105:$BB$128,'non-road'!$F28,Assumptions!BF$105:BF$128)</f>
        <v>0</v>
      </c>
      <c r="J28" s="33">
        <f>SUMIFS(Assumptions!BG$105:BG$128,Assumptions!$BB$105:$BB$128,'non-road'!$F28,Assumptions!$BC$105:$BC$128,'non-road'!$D28)/SUMIF(Assumptions!$BB$105:$BB$128,'non-road'!$F28,Assumptions!BG$105:BG$128)</f>
        <v>0</v>
      </c>
      <c r="K28" s="33">
        <f>SUMIFS(Assumptions!BH$105:BH$128,Assumptions!$BB$105:$BB$128,'non-road'!$F28,Assumptions!$BC$105:$BC$128,'non-road'!$D28)/SUMIF(Assumptions!$BB$105:$BB$128,'non-road'!$F28,Assumptions!BH$105:BH$128)</f>
        <v>0</v>
      </c>
      <c r="L28" s="33">
        <f>SUMIFS(Assumptions!BI$105:BI$128,Assumptions!$BB$105:$BB$128,'non-road'!$F28,Assumptions!$BC$105:$BC$128,'non-road'!$D28)/SUMIF(Assumptions!$BB$105:$BB$128,'non-road'!$F28,Assumptions!BI$105:BI$128)</f>
        <v>0</v>
      </c>
      <c r="M28" s="33">
        <f>SUMIFS(Assumptions!BJ$105:BJ$128,Assumptions!$BB$105:$BB$128,'non-road'!$F28,Assumptions!$BC$105:$BC$128,'non-road'!$D28)/SUMIF(Assumptions!$BB$105:$BB$128,'non-road'!$F28,Assumptions!BJ$105:BJ$128)</f>
        <v>0</v>
      </c>
      <c r="N28" s="33">
        <f>SUMIFS(Assumptions!BK$105:BK$128,Assumptions!$BB$105:$BB$128,'non-road'!$F28,Assumptions!$BC$105:$BC$128,'non-road'!$D28)/SUMIF(Assumptions!$BB$105:$BB$128,'non-road'!$F28,Assumptions!BK$105:BK$128)</f>
        <v>0</v>
      </c>
      <c r="O28" s="33">
        <f>SUMIFS(Assumptions!BL$105:BL$128,Assumptions!$BB$105:$BB$128,'non-road'!$F28,Assumptions!$BC$105:$BC$128,'non-road'!$D28)/SUMIF(Assumptions!$BB$105:$BB$128,'non-road'!$F28,Assumptions!BL$105:BL$128)</f>
        <v>0</v>
      </c>
      <c r="P28" s="33">
        <f>SUMIFS(Assumptions!BM$105:BM$128,Assumptions!$BB$105:$BB$128,'non-road'!$F28,Assumptions!$BC$105:$BC$128,'non-road'!$D28)/SUMIF(Assumptions!$BB$105:$BB$128,'non-road'!$F28,Assumptions!BM$105:BM$128)</f>
        <v>0</v>
      </c>
      <c r="Q28" s="33">
        <f>SUMIFS(Assumptions!BN$105:BN$128,Assumptions!$BB$105:$BB$128,'non-road'!$F28,Assumptions!$BC$105:$BC$128,'non-road'!$D28)/SUMIF(Assumptions!$BB$105:$BB$128,'non-road'!$F28,Assumptions!BN$105:BN$128)</f>
        <v>0</v>
      </c>
      <c r="R28" s="33">
        <f>SUMIFS(Assumptions!BO$105:BO$128,Assumptions!$BB$105:$BB$128,'non-road'!$F28,Assumptions!$BC$105:$BC$128,'non-road'!$D28)/SUMIF(Assumptions!$BB$105:$BB$128,'non-road'!$F28,Assumptions!BO$105:BO$128)</f>
        <v>0</v>
      </c>
      <c r="S28" s="33">
        <f>SUMIFS(Assumptions!BP$105:BP$128,Assumptions!$BB$105:$BB$128,'non-road'!$F28,Assumptions!$BC$105:$BC$128,'non-road'!$D28)/SUMIF(Assumptions!$BB$105:$BB$128,'non-road'!$F28,Assumptions!BP$105:BP$128)</f>
        <v>0</v>
      </c>
      <c r="T28" s="33">
        <f>SUMIFS(Assumptions!BQ$105:BQ$128,Assumptions!$BB$105:$BB$128,'non-road'!$F28,Assumptions!$BC$105:$BC$128,'non-road'!$D28)/SUMIF(Assumptions!$BB$105:$BB$128,'non-road'!$F28,Assumptions!BQ$105:BQ$128)</f>
        <v>0</v>
      </c>
      <c r="U28" s="33">
        <f>SUMIFS(Assumptions!BR$105:BR$128,Assumptions!$BB$105:$BB$128,'non-road'!$F28,Assumptions!$BC$105:$BC$128,'non-road'!$D28)/SUMIF(Assumptions!$BB$105:$BB$128,'non-road'!$F28,Assumptions!BR$105:BR$128)</f>
        <v>0</v>
      </c>
      <c r="V28" s="33">
        <f>SUMIFS(Assumptions!BS$105:BS$128,Assumptions!$BB$105:$BB$128,'non-road'!$F28,Assumptions!$BC$105:$BC$128,'non-road'!$D28)/SUMIF(Assumptions!$BB$105:$BB$128,'non-road'!$F28,Assumptions!BS$105:BS$128)</f>
        <v>0</v>
      </c>
      <c r="W28" s="33">
        <f>SUMIFS(Assumptions!BT$105:BT$128,Assumptions!$BB$105:$BB$128,'non-road'!$F28,Assumptions!$BC$105:$BC$128,'non-road'!$D28)/SUMIF(Assumptions!$BB$105:$BB$128,'non-road'!$F28,Assumptions!BT$105:BT$128)</f>
        <v>0</v>
      </c>
      <c r="X28" s="33">
        <f>SUMIFS(Assumptions!BU$105:BU$128,Assumptions!$BB$105:$BB$128,'non-road'!$F28,Assumptions!$BC$105:$BC$128,'non-road'!$D28)/SUMIF(Assumptions!$BB$105:$BB$128,'non-road'!$F28,Assumptions!BU$105:BU$128)</f>
        <v>0</v>
      </c>
      <c r="Y28" s="33">
        <f>SUMIFS(Assumptions!BV$105:BV$128,Assumptions!$BB$105:$BB$128,'non-road'!$F28,Assumptions!$BC$105:$BC$128,'non-road'!$D28)/SUMIF(Assumptions!$BB$105:$BB$128,'non-road'!$F28,Assumptions!BV$105:BV$128)</f>
        <v>0</v>
      </c>
      <c r="Z28" s="33">
        <f>SUMIFS(Assumptions!BW$105:BW$128,Assumptions!$BB$105:$BB$128,'non-road'!$F28,Assumptions!$BC$105:$BC$128,'non-road'!$D28)/SUMIF(Assumptions!$BB$105:$BB$128,'non-road'!$F28,Assumptions!BW$105:BW$128)</f>
        <v>0</v>
      </c>
      <c r="AA28" s="33" t="e">
        <f>SUMIFS(Assumptions!BX$105:BX$128,Assumptions!$BB$105:$BB$128,'non-road'!$F28,Assumptions!$BC$105:$BC$128,'non-road'!$D28)/SUMIF(Assumptions!$BB$105:$BB$128,'non-road'!$F28,Assumptions!BX$105:BX$128)</f>
        <v>#DIV/0!</v>
      </c>
      <c r="AB28" s="33">
        <f>SUMIFS(Assumptions!BY$105:BY$128,Assumptions!$BB$105:$BB$128,'non-road'!$F28,Assumptions!$BC$105:$BC$128,'non-road'!$D28)/SUMIF(Assumptions!$BB$105:$BB$128,'non-road'!$F28,Assumptions!BY$105:BY$128)</f>
        <v>0</v>
      </c>
      <c r="AC28" s="33">
        <f>SUMIFS(Assumptions!BZ$105:BZ$128,Assumptions!$BB$105:$BB$128,'non-road'!$F28,Assumptions!$BC$105:$BC$128,'non-road'!$D28)/SUMIF(Assumptions!$BB$105:$BB$128,'non-road'!$F28,Assumptions!BZ$105:BZ$128)</f>
        <v>0</v>
      </c>
      <c r="AD28" s="33">
        <f>SUMIFS(Assumptions!CA$105:CA$128,Assumptions!$BB$105:$BB$128,'non-road'!$F28,Assumptions!$BC$105:$BC$128,'non-road'!$D28)/SUMIF(Assumptions!$BB$105:$BB$128,'non-road'!$F28,Assumptions!CA$105:CA$128)</f>
        <v>0</v>
      </c>
      <c r="AE28" s="33">
        <f>SUMIFS(Assumptions!CB$105:CB$128,Assumptions!$BB$105:$BB$128,'non-road'!$F28,Assumptions!$BC$105:$BC$128,'non-road'!$D28)/SUMIF(Assumptions!$BB$105:$BB$128,'non-road'!$F28,Assumptions!CB$105:CB$128)</f>
        <v>0</v>
      </c>
      <c r="AF28" s="33">
        <f>SUMIFS(Assumptions!CC$105:CC$128,Assumptions!$BB$105:$BB$128,'non-road'!$F28,Assumptions!$BC$105:$BC$128,'non-road'!$D28)/SUMIF(Assumptions!$BB$105:$BB$128,'non-road'!$F28,Assumptions!CC$105:CC$128)</f>
        <v>0</v>
      </c>
      <c r="AG28" s="33" t="e">
        <f>SUMIFS(Assumptions!CD$105:CD$128,Assumptions!$BB$105:$BB$128,'non-road'!$F28,Assumptions!$BC$105:$BC$128,'non-road'!$D28)/SUMIF(Assumptions!$BB$105:$BB$128,'non-road'!$F28,Assumptions!CD$105:CD$128)</f>
        <v>#DIV/0!</v>
      </c>
      <c r="AH28" s="33">
        <f>SUMIFS(Assumptions!CE$105:CE$128,Assumptions!$BB$105:$BB$128,'non-road'!$F28,Assumptions!$BC$105:$BC$128,'non-road'!$D28)/SUMIF(Assumptions!$BB$105:$BB$128,'non-road'!$F28,Assumptions!CE$105:CE$128)</f>
        <v>0</v>
      </c>
      <c r="AI28" s="33">
        <f>SUMIFS(Assumptions!CF$105:CF$128,Assumptions!$BB$105:$BB$128,'non-road'!$F28,Assumptions!$BC$105:$BC$128,'non-road'!$D28)/SUMIF(Assumptions!$BB$105:$BB$128,'non-road'!$F28,Assumptions!CF$105:CF$128)</f>
        <v>0</v>
      </c>
      <c r="AJ28" s="33">
        <f>SUMIFS(Assumptions!CG$105:CG$128,Assumptions!$BB$105:$BB$128,'non-road'!$F28,Assumptions!$BC$105:$BC$128,'non-road'!$D28)/SUMIF(Assumptions!$BB$105:$BB$128,'non-road'!$F28,Assumptions!CG$105:CG$128)</f>
        <v>0</v>
      </c>
      <c r="AK28" s="33">
        <f>SUMIFS(Assumptions!CH$105:CH$128,Assumptions!$BB$105:$BB$128,'non-road'!$F28,Assumptions!$BC$105:$BC$128,'non-road'!$D28)/SUMIF(Assumptions!$BB$105:$BB$128,'non-road'!$F28,Assumptions!CH$105:CH$128)</f>
        <v>0</v>
      </c>
      <c r="AL28" s="33">
        <f>SUMIFS(Assumptions!CI$105:CI$128,Assumptions!$BB$105:$BB$128,'non-road'!$F28,Assumptions!$BC$105:$BC$128,'non-road'!$D28)/SUMIF(Assumptions!$BB$105:$BB$128,'non-road'!$F28,Assumptions!CI$105:CI$128)</f>
        <v>0</v>
      </c>
      <c r="AM28" s="33">
        <f>SUMIFS(Assumptions!CJ$105:CJ$128,Assumptions!$BB$105:$BB$128,'non-road'!$F28,Assumptions!$BC$105:$BC$128,'non-road'!$D28)/SUMIF(Assumptions!$BB$105:$BB$128,'non-road'!$F28,Assumptions!CJ$105:CJ$128)</f>
        <v>0</v>
      </c>
      <c r="AN28" s="33">
        <f>SUMIFS(Assumptions!CK$105:CK$128,Assumptions!$BB$105:$BB$128,'non-road'!$F28,Assumptions!$BC$105:$BC$128,'non-road'!$D28)/SUMIF(Assumptions!$BB$105:$BB$128,'non-road'!$F28,Assumptions!CK$105:CK$128)</f>
        <v>0</v>
      </c>
      <c r="AO28" s="33">
        <f>SUMIFS(Assumptions!CL$105:CL$128,Assumptions!$BB$105:$BB$128,'non-road'!$F28,Assumptions!$BC$105:$BC$128,'non-road'!$D28)/SUMIF(Assumptions!$BB$105:$BB$128,'non-road'!$F28,Assumptions!CL$105:CL$128)</f>
        <v>0</v>
      </c>
      <c r="AP28" s="33" t="e">
        <f>SUMIFS(Assumptions!CM$105:CM$128,Assumptions!$BB$105:$BB$128,'non-road'!$F28,Assumptions!$BC$105:$BC$128,'non-road'!$D28)/SUMIF(Assumptions!$BB$105:$BB$128,'non-road'!$F28,Assumptions!CM$105:CM$128)</f>
        <v>#DIV/0!</v>
      </c>
      <c r="AQ28" s="33" t="e">
        <f>SUMIFS(Assumptions!CN$105:CN$128,Assumptions!$BB$105:$BB$128,'non-road'!$F28,Assumptions!$BC$105:$BC$128,'non-road'!$D28)/SUMIF(Assumptions!$BB$105:$BB$128,'non-road'!$F28,Assumptions!CN$105:CN$128)</f>
        <v>#DIV/0!</v>
      </c>
      <c r="AR28" s="33" t="e">
        <f>SUMIFS(Assumptions!CO$105:CO$128,Assumptions!$BB$105:$BB$128,'non-road'!$F28,Assumptions!$BC$105:$BC$128,'non-road'!$D28)/SUMIF(Assumptions!$BB$105:$BB$128,'non-road'!$F28,Assumptions!CO$105:CO$128)</f>
        <v>#DIV/0!</v>
      </c>
      <c r="AS28" s="33" t="e">
        <f>SUMIFS(Assumptions!CP$105:CP$128,Assumptions!$BB$105:$BB$128,'non-road'!$F28,Assumptions!$BC$105:$BC$128,'non-road'!$D28)/SUMIF(Assumptions!$BB$105:$BB$128,'non-road'!$F28,Assumptions!CP$105:CP$128)</f>
        <v>#DIV/0!</v>
      </c>
      <c r="AT28" s="33" t="e">
        <f>SUMIFS(Assumptions!CQ$105:CQ$128,Assumptions!$BB$105:$BB$128,'non-road'!$F28,Assumptions!$BC$105:$BC$128,'non-road'!$D28)/SUMIF(Assumptions!$BB$105:$BB$128,'non-road'!$F28,Assumptions!CQ$105:CQ$128)</f>
        <v>#DIV/0!</v>
      </c>
      <c r="AU28" s="33" t="e">
        <f>SUMIFS(Assumptions!CR$105:CR$128,Assumptions!$BB$105:$BB$128,'non-road'!$F28,Assumptions!$BC$105:$BC$128,'non-road'!$D28)/SUMIF(Assumptions!$BB$105:$BB$128,'non-road'!$F28,Assumptions!CR$105:CR$128)</f>
        <v>#DIV/0!</v>
      </c>
      <c r="AV28" s="33" t="e">
        <f>SUMIFS(Assumptions!CS$105:CS$128,Assumptions!$BB$105:$BB$128,'non-road'!$F28,Assumptions!$BC$105:$BC$128,'non-road'!$D28)/SUMIF(Assumptions!$BB$105:$BB$128,'non-road'!$F28,Assumptions!CS$105:CS$128)</f>
        <v>#DIV/0!</v>
      </c>
      <c r="AW28" s="33" t="e">
        <f>SUMIFS(Assumptions!CT$105:CT$128,Assumptions!$BB$105:$BB$128,'non-road'!$F28,Assumptions!$BC$105:$BC$128,'non-road'!$D28)/SUMIF(Assumptions!$BB$105:$BB$128,'non-road'!$F28,Assumptions!CT$105:CT$128)</f>
        <v>#DIV/0!</v>
      </c>
      <c r="AX28" s="33" t="e">
        <f>SUMIFS(Assumptions!CU$105:CU$128,Assumptions!$BB$105:$BB$128,'non-road'!$F28,Assumptions!$BC$105:$BC$128,'non-road'!$D28)/SUMIF(Assumptions!$BB$105:$BB$128,'non-road'!$F28,Assumptions!CU$105:CU$128)</f>
        <v>#DIV/0!</v>
      </c>
      <c r="AY28" s="33" t="e">
        <f>SUMIFS(Assumptions!CV$105:CV$128,Assumptions!$BB$105:$BB$128,'non-road'!$F28,Assumptions!$BC$105:$BC$128,'non-road'!$D28)/SUMIF(Assumptions!$BB$105:$BB$128,'non-road'!$F28,Assumptions!CV$105:CV$128)</f>
        <v>#DIV/0!</v>
      </c>
      <c r="AZ28" s="33" t="e">
        <f>SUMIFS(Assumptions!CW$105:CW$128,Assumptions!$BB$105:$BB$128,'non-road'!$F28,Assumptions!$BC$105:$BC$128,'non-road'!$D28)/SUMIF(Assumptions!$BB$105:$BB$128,'non-road'!$F28,Assumptions!CW$105:CW$128)</f>
        <v>#DIV/0!</v>
      </c>
      <c r="BD28" s="27" t="str">
        <f t="shared" si="55"/>
        <v>\I:</v>
      </c>
      <c r="BE28" s="33">
        <f>VLOOKUP($F28,Assumptions!$E$152:$BC$157,COLUMN()-COLUMN($BC$4),FALSE)</f>
        <v>1</v>
      </c>
      <c r="BF28" s="33">
        <f>VLOOKUP($F28,Assumptions!$E$152:$BC$157,COLUMN()-COLUMN($BC$4),FALSE)</f>
        <v>1</v>
      </c>
      <c r="BG28" s="33">
        <f>VLOOKUP($F28,Assumptions!$E$152:$BC$157,COLUMN()-COLUMN($BC$4),FALSE)</f>
        <v>1</v>
      </c>
      <c r="BH28" s="33">
        <f>VLOOKUP($F28,Assumptions!$E$152:$BC$157,COLUMN()-COLUMN($BC$4),FALSE)</f>
        <v>1</v>
      </c>
      <c r="BI28" s="33">
        <f>VLOOKUP($F28,Assumptions!$E$152:$BC$157,COLUMN()-COLUMN($BC$4),FALSE)</f>
        <v>1</v>
      </c>
      <c r="BJ28" s="33">
        <f>VLOOKUP($F28,Assumptions!$E$152:$BC$157,COLUMN()-COLUMN($BC$4),FALSE)</f>
        <v>1</v>
      </c>
      <c r="BK28" s="33">
        <f>VLOOKUP($F28,Assumptions!$E$152:$BC$157,COLUMN()-COLUMN($BC$4),FALSE)</f>
        <v>1</v>
      </c>
      <c r="BL28" s="33">
        <f>VLOOKUP($F28,Assumptions!$E$152:$BC$157,COLUMN()-COLUMN($BC$4),FALSE)</f>
        <v>1</v>
      </c>
      <c r="BM28" s="33">
        <f>VLOOKUP($F28,Assumptions!$E$152:$BC$157,COLUMN()-COLUMN($BC$4),FALSE)</f>
        <v>1</v>
      </c>
      <c r="BN28" s="33">
        <f>VLOOKUP($F28,Assumptions!$E$152:$BC$157,COLUMN()-COLUMN($BC$4),FALSE)</f>
        <v>1</v>
      </c>
      <c r="BO28" s="33">
        <f>VLOOKUP($F28,Assumptions!$E$152:$BC$157,COLUMN()-COLUMN($BC$4),FALSE)</f>
        <v>1</v>
      </c>
      <c r="BP28" s="33">
        <f>VLOOKUP($F28,Assumptions!$E$152:$BC$157,COLUMN()-COLUMN($BC$4),FALSE)</f>
        <v>1</v>
      </c>
      <c r="BQ28" s="33">
        <f>VLOOKUP($F28,Assumptions!$E$152:$BC$157,COLUMN()-COLUMN($BC$4),FALSE)</f>
        <v>1</v>
      </c>
      <c r="BR28" s="33">
        <f>VLOOKUP($F28,Assumptions!$E$152:$BC$157,COLUMN()-COLUMN($BC$4),FALSE)</f>
        <v>1</v>
      </c>
      <c r="BS28" s="33">
        <f>VLOOKUP($F28,Assumptions!$E$152:$BC$157,COLUMN()-COLUMN($BC$4),FALSE)</f>
        <v>1</v>
      </c>
      <c r="BT28" s="33">
        <f>VLOOKUP($F28,Assumptions!$E$152:$BC$157,COLUMN()-COLUMN($BC$4),FALSE)</f>
        <v>1</v>
      </c>
      <c r="BU28" s="33">
        <f>VLOOKUP($F28,Assumptions!$E$152:$BC$157,COLUMN()-COLUMN($BC$4),FALSE)</f>
        <v>1</v>
      </c>
      <c r="BV28" s="33">
        <f>VLOOKUP($F28,Assumptions!$E$152:$BC$157,COLUMN()-COLUMN($BC$4),FALSE)</f>
        <v>1</v>
      </c>
      <c r="BW28" s="33">
        <f>VLOOKUP($F28,Assumptions!$E$152:$BC$157,COLUMN()-COLUMN($BC$4),FALSE)</f>
        <v>1</v>
      </c>
      <c r="BX28" s="33">
        <f>VLOOKUP($F28,Assumptions!$E$152:$BC$157,COLUMN()-COLUMN($BC$4),FALSE)</f>
        <v>1</v>
      </c>
      <c r="BY28" s="33">
        <f>VLOOKUP($F28,Assumptions!$E$152:$BC$157,COLUMN()-COLUMN($BC$4),FALSE)</f>
        <v>1</v>
      </c>
      <c r="BZ28" s="33">
        <f>VLOOKUP($F28,Assumptions!$E$152:$BC$157,COLUMN()-COLUMN($BC$4),FALSE)</f>
        <v>1</v>
      </c>
      <c r="CA28" s="33">
        <f>VLOOKUP($F28,Assumptions!$E$152:$BC$157,COLUMN()-COLUMN($BC$4),FALSE)</f>
        <v>1</v>
      </c>
      <c r="CB28" s="33">
        <f>VLOOKUP($F28,Assumptions!$E$152:$BC$157,COLUMN()-COLUMN($BC$4),FALSE)</f>
        <v>1</v>
      </c>
      <c r="CC28" s="33">
        <f>VLOOKUP($F28,Assumptions!$E$152:$BC$157,COLUMN()-COLUMN($BC$4),FALSE)</f>
        <v>1</v>
      </c>
      <c r="CD28" s="33">
        <f>VLOOKUP($F28,Assumptions!$E$152:$BC$157,COLUMN()-COLUMN($BC$4),FALSE)</f>
        <v>1</v>
      </c>
      <c r="CE28" s="33">
        <f>VLOOKUP($F28,Assumptions!$E$152:$BC$157,COLUMN()-COLUMN($BC$4),FALSE)</f>
        <v>1</v>
      </c>
      <c r="CF28" s="33">
        <f>VLOOKUP($F28,Assumptions!$E$152:$BC$157,COLUMN()-COLUMN($BC$4),FALSE)</f>
        <v>1</v>
      </c>
      <c r="CG28" s="33">
        <f>VLOOKUP($F28,Assumptions!$E$152:$BC$157,COLUMN()-COLUMN($BC$4),FALSE)</f>
        <v>1</v>
      </c>
      <c r="CH28" s="33">
        <f>VLOOKUP($F28,Assumptions!$E$152:$BC$157,COLUMN()-COLUMN($BC$4),FALSE)</f>
        <v>1</v>
      </c>
      <c r="CI28" s="33">
        <f>VLOOKUP($F28,Assumptions!$E$152:$BC$157,COLUMN()-COLUMN($BC$4),FALSE)</f>
        <v>1</v>
      </c>
      <c r="CJ28" s="33">
        <f>VLOOKUP($F28,Assumptions!$E$152:$BC$157,COLUMN()-COLUMN($BC$4),FALSE)</f>
        <v>1</v>
      </c>
      <c r="CK28" s="33">
        <f>VLOOKUP($F28,Assumptions!$E$152:$BC$157,COLUMN()-COLUMN($BC$4),FALSE)</f>
        <v>1</v>
      </c>
      <c r="CL28" s="33">
        <f>VLOOKUP($F28,Assumptions!$E$152:$BC$157,COLUMN()-COLUMN($BC$4),FALSE)</f>
        <v>1</v>
      </c>
      <c r="CM28" s="33">
        <f>VLOOKUP($F28,Assumptions!$E$152:$BC$157,COLUMN()-COLUMN($BC$4),FALSE)</f>
        <v>1</v>
      </c>
      <c r="CN28" s="33">
        <f>VLOOKUP($F28,Assumptions!$E$152:$BC$157,COLUMN()-COLUMN($BC$4),FALSE)</f>
        <v>1</v>
      </c>
      <c r="CO28" s="33">
        <f>VLOOKUP($F28,Assumptions!$E$152:$BC$157,COLUMN()-COLUMN($BC$4),FALSE)</f>
        <v>1</v>
      </c>
      <c r="CP28" s="33">
        <f>VLOOKUP($F28,Assumptions!$E$152:$BC$157,COLUMN()-COLUMN($BC$4),FALSE)</f>
        <v>1</v>
      </c>
      <c r="CQ28" s="33">
        <f>VLOOKUP($F28,Assumptions!$E$152:$BC$157,COLUMN()-COLUMN($BC$4),FALSE)</f>
        <v>1</v>
      </c>
      <c r="CR28" s="33">
        <f>VLOOKUP($F28,Assumptions!$E$152:$BC$157,COLUMN()-COLUMN($BC$4),FALSE)</f>
        <v>1</v>
      </c>
      <c r="CS28" s="33">
        <f>VLOOKUP($F28,Assumptions!$E$152:$BC$157,COLUMN()-COLUMN($BC$4),FALSE)</f>
        <v>1</v>
      </c>
      <c r="CT28" s="33">
        <f>VLOOKUP($F28,Assumptions!$E$152:$BC$157,COLUMN()-COLUMN($BC$4),FALSE)</f>
        <v>1</v>
      </c>
      <c r="CU28" s="33">
        <f>VLOOKUP($F28,Assumptions!$E$152:$BC$157,COLUMN()-COLUMN($BC$4),FALSE)</f>
        <v>1</v>
      </c>
      <c r="CV28" s="33">
        <f>VLOOKUP($F28,Assumptions!$E$152:$BC$157,COLUMN()-COLUMN($BC$4),FALSE)</f>
        <v>1</v>
      </c>
      <c r="CW28" s="33">
        <f>VLOOKUP($F28,Assumptions!$E$152:$BC$157,COLUMN()-COLUMN($BC$4),FALSE)</f>
        <v>1</v>
      </c>
      <c r="CX28" s="33">
        <f>VLOOKUP($F28,Assumptions!$E$152:$BC$157,COLUMN()-COLUMN($BC$4),FALSE)</f>
        <v>1</v>
      </c>
      <c r="CY28" s="27"/>
      <c r="DA28" t="s">
        <v>431</v>
      </c>
      <c r="DB28" t="s">
        <v>146</v>
      </c>
      <c r="DC28" t="s">
        <v>432</v>
      </c>
      <c r="DD28" t="s">
        <v>433</v>
      </c>
      <c r="EV28" s="27"/>
      <c r="EW28" s="27" t="str">
        <f t="shared" si="48"/>
        <v>\I:</v>
      </c>
      <c r="EX28" s="27" t="str">
        <f t="shared" si="68"/>
        <v/>
      </c>
      <c r="EY28" s="27" t="s">
        <v>169</v>
      </c>
      <c r="EZ28" s="27" t="s">
        <v>160</v>
      </c>
      <c r="FA28" s="27" t="s">
        <v>161</v>
      </c>
    </row>
    <row r="29" spans="1:157">
      <c r="C29" s="27" t="str">
        <f t="shared" si="54"/>
        <v/>
      </c>
      <c r="D29" s="27" t="s">
        <v>41</v>
      </c>
      <c r="E29" s="27"/>
      <c r="F29" s="27" t="s">
        <v>21</v>
      </c>
      <c r="G29" s="33">
        <f>SUMIFS(Assumptions!BD$105:BD$128,Assumptions!$BB$105:$BB$128,'non-road'!$F29,Assumptions!$BC$105:$BC$128,'non-road'!$D29)/SUMIF(Assumptions!$BB$105:$BB$128,'non-road'!$F29,Assumptions!BD$105:BD$128)</f>
        <v>0.18711748229849867</v>
      </c>
      <c r="H29" s="33">
        <f>SUMIFS(Assumptions!BE$105:BE$128,Assumptions!$BB$105:$BB$128,'non-road'!$F29,Assumptions!$BC$105:$BC$128,'non-road'!$D29)/SUMIF(Assumptions!$BB$105:$BB$128,'non-road'!$F29,Assumptions!BE$105:BE$128)</f>
        <v>0.86872581039079144</v>
      </c>
      <c r="I29" s="33">
        <f>SUMIFS(Assumptions!BF$105:BF$128,Assumptions!$BB$105:$BB$128,'non-road'!$F29,Assumptions!$BC$105:$BC$128,'non-road'!$D29)/SUMIF(Assumptions!$BB$105:$BB$128,'non-road'!$F29,Assumptions!BF$105:BF$128)</f>
        <v>0.41786547153645032</v>
      </c>
      <c r="J29" s="33">
        <f>SUMIFS(Assumptions!BG$105:BG$128,Assumptions!$BB$105:$BB$128,'non-road'!$F29,Assumptions!$BC$105:$BC$128,'non-road'!$D29)/SUMIF(Assumptions!$BB$105:$BB$128,'non-road'!$F29,Assumptions!BG$105:BG$128)</f>
        <v>0.91336812200076556</v>
      </c>
      <c r="K29" s="33">
        <f>SUMIFS(Assumptions!BH$105:BH$128,Assumptions!$BB$105:$BB$128,'non-road'!$F29,Assumptions!$BC$105:$BC$128,'non-road'!$D29)/SUMIF(Assumptions!$BB$105:$BB$128,'non-road'!$F29,Assumptions!BH$105:BH$128)</f>
        <v>0.9926578678898198</v>
      </c>
      <c r="L29" s="33">
        <f>SUMIFS(Assumptions!BI$105:BI$128,Assumptions!$BB$105:$BB$128,'non-road'!$F29,Assumptions!$BC$105:$BC$128,'non-road'!$D29)/SUMIF(Assumptions!$BB$105:$BB$128,'non-road'!$F29,Assumptions!BI$105:BI$128)</f>
        <v>0.99175331183611448</v>
      </c>
      <c r="M29" s="33">
        <f>SUMIFS(Assumptions!BJ$105:BJ$128,Assumptions!$BB$105:$BB$128,'non-road'!$F29,Assumptions!$BC$105:$BC$128,'non-road'!$D29)/SUMIF(Assumptions!$BB$105:$BB$128,'non-road'!$F29,Assumptions!BJ$105:BJ$128)</f>
        <v>0.24529191023772812</v>
      </c>
      <c r="N29" s="33">
        <f>SUMIFS(Assumptions!BK$105:BK$128,Assumptions!$BB$105:$BB$128,'non-road'!$F29,Assumptions!$BC$105:$BC$128,'non-road'!$D29)/SUMIF(Assumptions!$BB$105:$BB$128,'non-road'!$F29,Assumptions!BK$105:BK$128)</f>
        <v>0.6116816937750158</v>
      </c>
      <c r="O29" s="33">
        <f>SUMIFS(Assumptions!BL$105:BL$128,Assumptions!$BB$105:$BB$128,'non-road'!$F29,Assumptions!$BC$105:$BC$128,'non-road'!$D29)/SUMIF(Assumptions!$BB$105:$BB$128,'non-road'!$F29,Assumptions!BL$105:BL$128)</f>
        <v>1</v>
      </c>
      <c r="P29" s="33">
        <f>SUMIFS(Assumptions!BM$105:BM$128,Assumptions!$BB$105:$BB$128,'non-road'!$F29,Assumptions!$BC$105:$BC$128,'non-road'!$D29)/SUMIF(Assumptions!$BB$105:$BB$128,'non-road'!$F29,Assumptions!BM$105:BM$128)</f>
        <v>1</v>
      </c>
      <c r="Q29" s="33">
        <f>SUMIFS(Assumptions!BN$105:BN$128,Assumptions!$BB$105:$BB$128,'non-road'!$F29,Assumptions!$BC$105:$BC$128,'non-road'!$D29)/SUMIF(Assumptions!$BB$105:$BB$128,'non-road'!$F29,Assumptions!BN$105:BN$128)</f>
        <v>0.34754156605760345</v>
      </c>
      <c r="R29" s="33">
        <f>SUMIFS(Assumptions!BO$105:BO$128,Assumptions!$BB$105:$BB$128,'non-road'!$F29,Assumptions!$BC$105:$BC$128,'non-road'!$D29)/SUMIF(Assumptions!$BB$105:$BB$128,'non-road'!$F29,Assumptions!BO$105:BO$128)</f>
        <v>1</v>
      </c>
      <c r="S29" s="33">
        <f>SUMIFS(Assumptions!BP$105:BP$128,Assumptions!$BB$105:$BB$128,'non-road'!$F29,Assumptions!$BC$105:$BC$128,'non-road'!$D29)/SUMIF(Assumptions!$BB$105:$BB$128,'non-road'!$F29,Assumptions!BP$105:BP$128)</f>
        <v>0.4647008060661233</v>
      </c>
      <c r="T29" s="33">
        <f>SUMIFS(Assumptions!BQ$105:BQ$128,Assumptions!$BB$105:$BB$128,'non-road'!$F29,Assumptions!$BC$105:$BC$128,'non-road'!$D29)/SUMIF(Assumptions!$BB$105:$BB$128,'non-road'!$F29,Assumptions!BQ$105:BQ$128)</f>
        <v>1</v>
      </c>
      <c r="U29" s="33">
        <f>SUMIFS(Assumptions!BR$105:BR$128,Assumptions!$BB$105:$BB$128,'non-road'!$F29,Assumptions!$BC$105:$BC$128,'non-road'!$D29)/SUMIF(Assumptions!$BB$105:$BB$128,'non-road'!$F29,Assumptions!BR$105:BR$128)</f>
        <v>0.72400512709935561</v>
      </c>
      <c r="V29" s="33">
        <f>SUMIFS(Assumptions!BS$105:BS$128,Assumptions!$BB$105:$BB$128,'non-road'!$F29,Assumptions!$BC$105:$BC$128,'non-road'!$D29)/SUMIF(Assumptions!$BB$105:$BB$128,'non-road'!$F29,Assumptions!BS$105:BS$128)</f>
        <v>0.5449544384712055</v>
      </c>
      <c r="W29" s="33">
        <f>SUMIFS(Assumptions!BT$105:BT$128,Assumptions!$BB$105:$BB$128,'non-road'!$F29,Assumptions!$BC$105:$BC$128,'non-road'!$D29)/SUMIF(Assumptions!$BB$105:$BB$128,'non-road'!$F29,Assumptions!BT$105:BT$128)</f>
        <v>1</v>
      </c>
      <c r="X29" s="33">
        <f>SUMIFS(Assumptions!BU$105:BU$128,Assumptions!$BB$105:$BB$128,'non-road'!$F29,Assumptions!$BC$105:$BC$128,'non-road'!$D29)/SUMIF(Assumptions!$BB$105:$BB$128,'non-road'!$F29,Assumptions!BU$105:BU$128)</f>
        <v>0.41774217863037538</v>
      </c>
      <c r="Y29" s="33">
        <f>SUMIFS(Assumptions!BV$105:BV$128,Assumptions!$BB$105:$BB$128,'non-road'!$F29,Assumptions!$BC$105:$BC$128,'non-road'!$D29)/SUMIF(Assumptions!$BB$105:$BB$128,'non-road'!$F29,Assumptions!BV$105:BV$128)</f>
        <v>0.32248891520108858</v>
      </c>
      <c r="Z29" s="33">
        <f>SUMIFS(Assumptions!BW$105:BW$128,Assumptions!$BB$105:$BB$128,'non-road'!$F29,Assumptions!$BC$105:$BC$128,'non-road'!$D29)/SUMIF(Assumptions!$BB$105:$BB$128,'non-road'!$F29,Assumptions!BW$105:BW$128)</f>
        <v>0.67350022616257721</v>
      </c>
      <c r="AA29" s="33" t="e">
        <f>SUMIFS(Assumptions!BX$105:BX$128,Assumptions!$BB$105:$BB$128,'non-road'!$F29,Assumptions!$BC$105:$BC$128,'non-road'!$D29)/SUMIF(Assumptions!$BB$105:$BB$128,'non-road'!$F29,Assumptions!BX$105:BX$128)</f>
        <v>#DIV/0!</v>
      </c>
      <c r="AB29" s="33">
        <f>SUMIFS(Assumptions!BY$105:BY$128,Assumptions!$BB$105:$BB$128,'non-road'!$F29,Assumptions!$BC$105:$BC$128,'non-road'!$D29)/SUMIF(Assumptions!$BB$105:$BB$128,'non-road'!$F29,Assumptions!BY$105:BY$128)</f>
        <v>0.45881674128931904</v>
      </c>
      <c r="AC29" s="33">
        <f>SUMIFS(Assumptions!BZ$105:BZ$128,Assumptions!$BB$105:$BB$128,'non-road'!$F29,Assumptions!$BC$105:$BC$128,'non-road'!$D29)/SUMIF(Assumptions!$BB$105:$BB$128,'non-road'!$F29,Assumptions!BZ$105:BZ$128)</f>
        <v>0.85896737087999109</v>
      </c>
      <c r="AD29" s="33">
        <f>SUMIFS(Assumptions!CA$105:CA$128,Assumptions!$BB$105:$BB$128,'non-road'!$F29,Assumptions!$BC$105:$BC$128,'non-road'!$D29)/SUMIF(Assumptions!$BB$105:$BB$128,'non-road'!$F29,Assumptions!CA$105:CA$128)</f>
        <v>1</v>
      </c>
      <c r="AE29" s="33">
        <f>SUMIFS(Assumptions!CB$105:CB$128,Assumptions!$BB$105:$BB$128,'non-road'!$F29,Assumptions!$BC$105:$BC$128,'non-road'!$D29)/SUMIF(Assumptions!$BB$105:$BB$128,'non-road'!$F29,Assumptions!CB$105:CB$128)</f>
        <v>0.87799095990767384</v>
      </c>
      <c r="AF29" s="33">
        <f>SUMIFS(Assumptions!CC$105:CC$128,Assumptions!$BB$105:$BB$128,'non-road'!$F29,Assumptions!$BC$105:$BC$128,'non-road'!$D29)/SUMIF(Assumptions!$BB$105:$BB$128,'non-road'!$F29,Assumptions!CC$105:CC$128)</f>
        <v>0.67003399279575204</v>
      </c>
      <c r="AG29" s="33" t="e">
        <f>SUMIFS(Assumptions!CD$105:CD$128,Assumptions!$BB$105:$BB$128,'non-road'!$F29,Assumptions!$BC$105:$BC$128,'non-road'!$D29)/SUMIF(Assumptions!$BB$105:$BB$128,'non-road'!$F29,Assumptions!CD$105:CD$128)</f>
        <v>#DIV/0!</v>
      </c>
      <c r="AH29" s="33">
        <f>SUMIFS(Assumptions!CE$105:CE$128,Assumptions!$BB$105:$BB$128,'non-road'!$F29,Assumptions!$BC$105:$BC$128,'non-road'!$D29)/SUMIF(Assumptions!$BB$105:$BB$128,'non-road'!$F29,Assumptions!CE$105:CE$128)</f>
        <v>0.99654192709832423</v>
      </c>
      <c r="AI29" s="33">
        <f>SUMIFS(Assumptions!CF$105:CF$128,Assumptions!$BB$105:$BB$128,'non-road'!$F29,Assumptions!$BC$105:$BC$128,'non-road'!$D29)/SUMIF(Assumptions!$BB$105:$BB$128,'non-road'!$F29,Assumptions!CF$105:CF$128)</f>
        <v>0.44306041271599028</v>
      </c>
      <c r="AJ29" s="33">
        <f>SUMIFS(Assumptions!CG$105:CG$128,Assumptions!$BB$105:$BB$128,'non-road'!$F29,Assumptions!$BC$105:$BC$128,'non-road'!$D29)/SUMIF(Assumptions!$BB$105:$BB$128,'non-road'!$F29,Assumptions!CG$105:CG$128)</f>
        <v>0.66843996816916174</v>
      </c>
      <c r="AK29" s="33">
        <f>SUMIFS(Assumptions!CH$105:CH$128,Assumptions!$BB$105:$BB$128,'non-road'!$F29,Assumptions!$BC$105:$BC$128,'non-road'!$D29)/SUMIF(Assumptions!$BB$105:$BB$128,'non-road'!$F29,Assumptions!CH$105:CH$128)</f>
        <v>0.64249043647521586</v>
      </c>
      <c r="AL29" s="33">
        <f>SUMIFS(Assumptions!CI$105:CI$128,Assumptions!$BB$105:$BB$128,'non-road'!$F29,Assumptions!$BC$105:$BC$128,'non-road'!$D29)/SUMIF(Assumptions!$BB$105:$BB$128,'non-road'!$F29,Assumptions!CI$105:CI$128)</f>
        <v>0.91371240962142353</v>
      </c>
      <c r="AM29" s="33">
        <f>SUMIFS(Assumptions!CJ$105:CJ$128,Assumptions!$BB$105:$BB$128,'non-road'!$F29,Assumptions!$BC$105:$BC$128,'non-road'!$D29)/SUMIF(Assumptions!$BB$105:$BB$128,'non-road'!$F29,Assumptions!CJ$105:CJ$128)</f>
        <v>0.99111322171078842</v>
      </c>
      <c r="AN29" s="33">
        <f>SUMIFS(Assumptions!CK$105:CK$128,Assumptions!$BB$105:$BB$128,'non-road'!$F29,Assumptions!$BC$105:$BC$128,'non-road'!$D29)/SUMIF(Assumptions!$BB$105:$BB$128,'non-road'!$F29,Assumptions!CK$105:CK$128)</f>
        <v>1</v>
      </c>
      <c r="AO29" s="33">
        <f>SUMIFS(Assumptions!CL$105:CL$128,Assumptions!$BB$105:$BB$128,'non-road'!$F29,Assumptions!$BC$105:$BC$128,'non-road'!$D29)/SUMIF(Assumptions!$BB$105:$BB$128,'non-road'!$F29,Assumptions!CL$105:CL$128)</f>
        <v>0.83576141589503516</v>
      </c>
      <c r="AP29" s="33" t="e">
        <f>SUMIFS(Assumptions!CM$105:CM$128,Assumptions!$BB$105:$BB$128,'non-road'!$F29,Assumptions!$BC$105:$BC$128,'non-road'!$D29)/SUMIF(Assumptions!$BB$105:$BB$128,'non-road'!$F29,Assumptions!CM$105:CM$128)</f>
        <v>#DIV/0!</v>
      </c>
      <c r="AQ29" s="33" t="e">
        <f>SUMIFS(Assumptions!CN$105:CN$128,Assumptions!$BB$105:$BB$128,'non-road'!$F29,Assumptions!$BC$105:$BC$128,'non-road'!$D29)/SUMIF(Assumptions!$BB$105:$BB$128,'non-road'!$F29,Assumptions!CN$105:CN$128)</f>
        <v>#DIV/0!</v>
      </c>
      <c r="AR29" s="33" t="e">
        <f>SUMIFS(Assumptions!CO$105:CO$128,Assumptions!$BB$105:$BB$128,'non-road'!$F29,Assumptions!$BC$105:$BC$128,'non-road'!$D29)/SUMIF(Assumptions!$BB$105:$BB$128,'non-road'!$F29,Assumptions!CO$105:CO$128)</f>
        <v>#DIV/0!</v>
      </c>
      <c r="AS29" s="33" t="e">
        <f>SUMIFS(Assumptions!CP$105:CP$128,Assumptions!$BB$105:$BB$128,'non-road'!$F29,Assumptions!$BC$105:$BC$128,'non-road'!$D29)/SUMIF(Assumptions!$BB$105:$BB$128,'non-road'!$F29,Assumptions!CP$105:CP$128)</f>
        <v>#DIV/0!</v>
      </c>
      <c r="AT29" s="33" t="e">
        <f>SUMIFS(Assumptions!CQ$105:CQ$128,Assumptions!$BB$105:$BB$128,'non-road'!$F29,Assumptions!$BC$105:$BC$128,'non-road'!$D29)/SUMIF(Assumptions!$BB$105:$BB$128,'non-road'!$F29,Assumptions!CQ$105:CQ$128)</f>
        <v>#DIV/0!</v>
      </c>
      <c r="AU29" s="33" t="e">
        <f>SUMIFS(Assumptions!CR$105:CR$128,Assumptions!$BB$105:$BB$128,'non-road'!$F29,Assumptions!$BC$105:$BC$128,'non-road'!$D29)/SUMIF(Assumptions!$BB$105:$BB$128,'non-road'!$F29,Assumptions!CR$105:CR$128)</f>
        <v>#DIV/0!</v>
      </c>
      <c r="AV29" s="33" t="e">
        <f>SUMIFS(Assumptions!CS$105:CS$128,Assumptions!$BB$105:$BB$128,'non-road'!$F29,Assumptions!$BC$105:$BC$128,'non-road'!$D29)/SUMIF(Assumptions!$BB$105:$BB$128,'non-road'!$F29,Assumptions!CS$105:CS$128)</f>
        <v>#DIV/0!</v>
      </c>
      <c r="AW29" s="33" t="e">
        <f>SUMIFS(Assumptions!CT$105:CT$128,Assumptions!$BB$105:$BB$128,'non-road'!$F29,Assumptions!$BC$105:$BC$128,'non-road'!$D29)/SUMIF(Assumptions!$BB$105:$BB$128,'non-road'!$F29,Assumptions!CT$105:CT$128)</f>
        <v>#DIV/0!</v>
      </c>
      <c r="AX29" s="33" t="e">
        <f>SUMIFS(Assumptions!CU$105:CU$128,Assumptions!$BB$105:$BB$128,'non-road'!$F29,Assumptions!$BC$105:$BC$128,'non-road'!$D29)/SUMIF(Assumptions!$BB$105:$BB$128,'non-road'!$F29,Assumptions!CU$105:CU$128)</f>
        <v>#DIV/0!</v>
      </c>
      <c r="AY29" s="33" t="e">
        <f>SUMIFS(Assumptions!CV$105:CV$128,Assumptions!$BB$105:$BB$128,'non-road'!$F29,Assumptions!$BC$105:$BC$128,'non-road'!$D29)/SUMIF(Assumptions!$BB$105:$BB$128,'non-road'!$F29,Assumptions!CV$105:CV$128)</f>
        <v>#DIV/0!</v>
      </c>
      <c r="AZ29" s="33" t="e">
        <f>SUMIFS(Assumptions!CW$105:CW$128,Assumptions!$BB$105:$BB$128,'non-road'!$F29,Assumptions!$BC$105:$BC$128,'non-road'!$D29)/SUMIF(Assumptions!$BB$105:$BB$128,'non-road'!$F29,Assumptions!CW$105:CW$128)</f>
        <v>#DIV/0!</v>
      </c>
      <c r="BD29" s="27" t="str">
        <f t="shared" si="55"/>
        <v>\I:</v>
      </c>
      <c r="BE29" s="33">
        <f>VLOOKUP($F29,Assumptions!$E$152:$BC$157,COLUMN()-COLUMN($BC$4),FALSE)</f>
        <v>1</v>
      </c>
      <c r="BF29" s="33">
        <f>VLOOKUP($F29,Assumptions!$E$152:$BC$157,COLUMN()-COLUMN($BC$4),FALSE)</f>
        <v>1</v>
      </c>
      <c r="BG29" s="33">
        <f>VLOOKUP($F29,Assumptions!$E$152:$BC$157,COLUMN()-COLUMN($BC$4),FALSE)</f>
        <v>1</v>
      </c>
      <c r="BH29" s="33">
        <f>VLOOKUP($F29,Assumptions!$E$152:$BC$157,COLUMN()-COLUMN($BC$4),FALSE)</f>
        <v>1</v>
      </c>
      <c r="BI29" s="33">
        <f>VLOOKUP($F29,Assumptions!$E$152:$BC$157,COLUMN()-COLUMN($BC$4),FALSE)</f>
        <v>1</v>
      </c>
      <c r="BJ29" s="33">
        <f>VLOOKUP($F29,Assumptions!$E$152:$BC$157,COLUMN()-COLUMN($BC$4),FALSE)</f>
        <v>1</v>
      </c>
      <c r="BK29" s="33">
        <f>VLOOKUP($F29,Assumptions!$E$152:$BC$157,COLUMN()-COLUMN($BC$4),FALSE)</f>
        <v>1</v>
      </c>
      <c r="BL29" s="33">
        <f>VLOOKUP($F29,Assumptions!$E$152:$BC$157,COLUMN()-COLUMN($BC$4),FALSE)</f>
        <v>1</v>
      </c>
      <c r="BM29" s="33">
        <f>VLOOKUP($F29,Assumptions!$E$152:$BC$157,COLUMN()-COLUMN($BC$4),FALSE)</f>
        <v>1</v>
      </c>
      <c r="BN29" s="33">
        <f>VLOOKUP($F29,Assumptions!$E$152:$BC$157,COLUMN()-COLUMN($BC$4),FALSE)</f>
        <v>1</v>
      </c>
      <c r="BO29" s="33">
        <f>VLOOKUP($F29,Assumptions!$E$152:$BC$157,COLUMN()-COLUMN($BC$4),FALSE)</f>
        <v>1</v>
      </c>
      <c r="BP29" s="33">
        <f>VLOOKUP($F29,Assumptions!$E$152:$BC$157,COLUMN()-COLUMN($BC$4),FALSE)</f>
        <v>1</v>
      </c>
      <c r="BQ29" s="33">
        <f>VLOOKUP($F29,Assumptions!$E$152:$BC$157,COLUMN()-COLUMN($BC$4),FALSE)</f>
        <v>1</v>
      </c>
      <c r="BR29" s="33">
        <f>VLOOKUP($F29,Assumptions!$E$152:$BC$157,COLUMN()-COLUMN($BC$4),FALSE)</f>
        <v>1</v>
      </c>
      <c r="BS29" s="33">
        <f>VLOOKUP($F29,Assumptions!$E$152:$BC$157,COLUMN()-COLUMN($BC$4),FALSE)</f>
        <v>1</v>
      </c>
      <c r="BT29" s="33">
        <f>VLOOKUP($F29,Assumptions!$E$152:$BC$157,COLUMN()-COLUMN($BC$4),FALSE)</f>
        <v>1</v>
      </c>
      <c r="BU29" s="33">
        <f>VLOOKUP($F29,Assumptions!$E$152:$BC$157,COLUMN()-COLUMN($BC$4),FALSE)</f>
        <v>1</v>
      </c>
      <c r="BV29" s="33">
        <f>VLOOKUP($F29,Assumptions!$E$152:$BC$157,COLUMN()-COLUMN($BC$4),FALSE)</f>
        <v>1</v>
      </c>
      <c r="BW29" s="33">
        <f>VLOOKUP($F29,Assumptions!$E$152:$BC$157,COLUMN()-COLUMN($BC$4),FALSE)</f>
        <v>1</v>
      </c>
      <c r="BX29" s="33">
        <f>VLOOKUP($F29,Assumptions!$E$152:$BC$157,COLUMN()-COLUMN($BC$4),FALSE)</f>
        <v>1</v>
      </c>
      <c r="BY29" s="33">
        <f>VLOOKUP($F29,Assumptions!$E$152:$BC$157,COLUMN()-COLUMN($BC$4),FALSE)</f>
        <v>1</v>
      </c>
      <c r="BZ29" s="33">
        <f>VLOOKUP($F29,Assumptions!$E$152:$BC$157,COLUMN()-COLUMN($BC$4),FALSE)</f>
        <v>1</v>
      </c>
      <c r="CA29" s="33">
        <f>VLOOKUP($F29,Assumptions!$E$152:$BC$157,COLUMN()-COLUMN($BC$4),FALSE)</f>
        <v>1</v>
      </c>
      <c r="CB29" s="33">
        <f>VLOOKUP($F29,Assumptions!$E$152:$BC$157,COLUMN()-COLUMN($BC$4),FALSE)</f>
        <v>1</v>
      </c>
      <c r="CC29" s="33">
        <f>VLOOKUP($F29,Assumptions!$E$152:$BC$157,COLUMN()-COLUMN($BC$4),FALSE)</f>
        <v>1</v>
      </c>
      <c r="CD29" s="33">
        <f>VLOOKUP($F29,Assumptions!$E$152:$BC$157,COLUMN()-COLUMN($BC$4),FALSE)</f>
        <v>1</v>
      </c>
      <c r="CE29" s="33">
        <f>VLOOKUP($F29,Assumptions!$E$152:$BC$157,COLUMN()-COLUMN($BC$4),FALSE)</f>
        <v>1</v>
      </c>
      <c r="CF29" s="33">
        <f>VLOOKUP($F29,Assumptions!$E$152:$BC$157,COLUMN()-COLUMN($BC$4),FALSE)</f>
        <v>1</v>
      </c>
      <c r="CG29" s="33">
        <f>VLOOKUP($F29,Assumptions!$E$152:$BC$157,COLUMN()-COLUMN($BC$4),FALSE)</f>
        <v>1</v>
      </c>
      <c r="CH29" s="33">
        <f>VLOOKUP($F29,Assumptions!$E$152:$BC$157,COLUMN()-COLUMN($BC$4),FALSE)</f>
        <v>1</v>
      </c>
      <c r="CI29" s="33">
        <f>VLOOKUP($F29,Assumptions!$E$152:$BC$157,COLUMN()-COLUMN($BC$4),FALSE)</f>
        <v>1</v>
      </c>
      <c r="CJ29" s="33">
        <f>VLOOKUP($F29,Assumptions!$E$152:$BC$157,COLUMN()-COLUMN($BC$4),FALSE)</f>
        <v>1</v>
      </c>
      <c r="CK29" s="33">
        <f>VLOOKUP($F29,Assumptions!$E$152:$BC$157,COLUMN()-COLUMN($BC$4),FALSE)</f>
        <v>1</v>
      </c>
      <c r="CL29" s="33">
        <f>VLOOKUP($F29,Assumptions!$E$152:$BC$157,COLUMN()-COLUMN($BC$4),FALSE)</f>
        <v>1</v>
      </c>
      <c r="CM29" s="33">
        <f>VLOOKUP($F29,Assumptions!$E$152:$BC$157,COLUMN()-COLUMN($BC$4),FALSE)</f>
        <v>1</v>
      </c>
      <c r="CN29" s="33">
        <f>VLOOKUP($F29,Assumptions!$E$152:$BC$157,COLUMN()-COLUMN($BC$4),FALSE)</f>
        <v>1</v>
      </c>
      <c r="CO29" s="33">
        <f>VLOOKUP($F29,Assumptions!$E$152:$BC$157,COLUMN()-COLUMN($BC$4),FALSE)</f>
        <v>1</v>
      </c>
      <c r="CP29" s="33">
        <f>VLOOKUP($F29,Assumptions!$E$152:$BC$157,COLUMN()-COLUMN($BC$4),FALSE)</f>
        <v>1</v>
      </c>
      <c r="CQ29" s="33">
        <f>VLOOKUP($F29,Assumptions!$E$152:$BC$157,COLUMN()-COLUMN($BC$4),FALSE)</f>
        <v>1</v>
      </c>
      <c r="CR29" s="33">
        <f>VLOOKUP($F29,Assumptions!$E$152:$BC$157,COLUMN()-COLUMN($BC$4),FALSE)</f>
        <v>1</v>
      </c>
      <c r="CS29" s="33">
        <f>VLOOKUP($F29,Assumptions!$E$152:$BC$157,COLUMN()-COLUMN($BC$4),FALSE)</f>
        <v>1</v>
      </c>
      <c r="CT29" s="33">
        <f>VLOOKUP($F29,Assumptions!$E$152:$BC$157,COLUMN()-COLUMN($BC$4),FALSE)</f>
        <v>1</v>
      </c>
      <c r="CU29" s="33">
        <f>VLOOKUP($F29,Assumptions!$E$152:$BC$157,COLUMN()-COLUMN($BC$4),FALSE)</f>
        <v>1</v>
      </c>
      <c r="CV29" s="33">
        <f>VLOOKUP($F29,Assumptions!$E$152:$BC$157,COLUMN()-COLUMN($BC$4),FALSE)</f>
        <v>1</v>
      </c>
      <c r="CW29" s="33">
        <f>VLOOKUP($F29,Assumptions!$E$152:$BC$157,COLUMN()-COLUMN($BC$4),FALSE)</f>
        <v>1</v>
      </c>
      <c r="CX29" s="33">
        <f>VLOOKUP($F29,Assumptions!$E$152:$BC$157,COLUMN()-COLUMN($BC$4),FALSE)</f>
        <v>1</v>
      </c>
      <c r="CY29" s="27"/>
      <c r="DA29" t="s">
        <v>434</v>
      </c>
      <c r="DB29" t="str">
        <f>DA3</f>
        <v>TTF</v>
      </c>
      <c r="DD29" t="s">
        <v>160</v>
      </c>
      <c r="EV29" s="27"/>
      <c r="EW29" s="27" t="str">
        <f t="shared" si="48"/>
        <v>\I:</v>
      </c>
      <c r="EX29" s="27" t="str">
        <f t="shared" si="68"/>
        <v/>
      </c>
      <c r="EY29" s="27" t="s">
        <v>169</v>
      </c>
      <c r="EZ29" s="27" t="s">
        <v>160</v>
      </c>
      <c r="FA29" s="27" t="s">
        <v>161</v>
      </c>
    </row>
    <row r="30" spans="1:157">
      <c r="C30" s="27" t="str">
        <f t="shared" si="54"/>
        <v/>
      </c>
      <c r="D30" s="27" t="s">
        <v>42</v>
      </c>
      <c r="E30" s="27"/>
      <c r="F30" s="27" t="s">
        <v>21</v>
      </c>
      <c r="G30" s="33">
        <f>SUMIFS(Assumptions!BD$105:BD$128,Assumptions!$BB$105:$BB$128,'non-road'!$F30,Assumptions!$BC$105:$BC$128,'non-road'!$D30)/SUMIF(Assumptions!$BB$105:$BB$128,'non-road'!$F30,Assumptions!BD$105:BD$128)</f>
        <v>0</v>
      </c>
      <c r="H30" s="33">
        <f>SUMIFS(Assumptions!BE$105:BE$128,Assumptions!$BB$105:$BB$128,'non-road'!$F30,Assumptions!$BC$105:$BC$128,'non-road'!$D30)/SUMIF(Assumptions!$BB$105:$BB$128,'non-road'!$F30,Assumptions!BE$105:BE$128)</f>
        <v>0.12009511069051415</v>
      </c>
      <c r="I30" s="33">
        <f>SUMIFS(Assumptions!BF$105:BF$128,Assumptions!$BB$105:$BB$128,'non-road'!$F30,Assumptions!$BC$105:$BC$128,'non-road'!$D30)/SUMIF(Assumptions!$BB$105:$BB$128,'non-road'!$F30,Assumptions!BF$105:BF$128)</f>
        <v>0.38518333842811953</v>
      </c>
      <c r="J30" s="33">
        <f>SUMIFS(Assumptions!BG$105:BG$128,Assumptions!$BB$105:$BB$128,'non-road'!$F30,Assumptions!$BC$105:$BC$128,'non-road'!$D30)/SUMIF(Assumptions!$BB$105:$BB$128,'non-road'!$F30,Assumptions!BG$105:BG$128)</f>
        <v>8.6631877999234566E-2</v>
      </c>
      <c r="K30" s="33">
        <f>SUMIFS(Assumptions!BH$105:BH$128,Assumptions!$BB$105:$BB$128,'non-road'!$F30,Assumptions!$BC$105:$BC$128,'non-road'!$D30)/SUMIF(Assumptions!$BB$105:$BB$128,'non-road'!$F30,Assumptions!BH$105:BH$128)</f>
        <v>7.3421321101801787E-3</v>
      </c>
      <c r="L30" s="33">
        <f>SUMIFS(Assumptions!BI$105:BI$128,Assumptions!$BB$105:$BB$128,'non-road'!$F30,Assumptions!$BC$105:$BC$128,'non-road'!$D30)/SUMIF(Assumptions!$BB$105:$BB$128,'non-road'!$F30,Assumptions!BI$105:BI$128)</f>
        <v>1.0281548909514676E-4</v>
      </c>
      <c r="M30" s="33">
        <f>SUMIFS(Assumptions!BJ$105:BJ$128,Assumptions!$BB$105:$BB$128,'non-road'!$F30,Assumptions!$BC$105:$BC$128,'non-road'!$D30)/SUMIF(Assumptions!$BB$105:$BB$128,'non-road'!$F30,Assumptions!BJ$105:BJ$128)</f>
        <v>0</v>
      </c>
      <c r="N30" s="33">
        <f>SUMIFS(Assumptions!BK$105:BK$128,Assumptions!$BB$105:$BB$128,'non-road'!$F30,Assumptions!$BC$105:$BC$128,'non-road'!$D30)/SUMIF(Assumptions!$BB$105:$BB$128,'non-road'!$F30,Assumptions!BK$105:BK$128)</f>
        <v>0</v>
      </c>
      <c r="O30" s="33">
        <f>SUMIFS(Assumptions!BL$105:BL$128,Assumptions!$BB$105:$BB$128,'non-road'!$F30,Assumptions!$BC$105:$BC$128,'non-road'!$D30)/SUMIF(Assumptions!$BB$105:$BB$128,'non-road'!$F30,Assumptions!BL$105:BL$128)</f>
        <v>0</v>
      </c>
      <c r="P30" s="33">
        <f>SUMIFS(Assumptions!BM$105:BM$128,Assumptions!$BB$105:$BB$128,'non-road'!$F30,Assumptions!$BC$105:$BC$128,'non-road'!$D30)/SUMIF(Assumptions!$BB$105:$BB$128,'non-road'!$F30,Assumptions!BM$105:BM$128)</f>
        <v>0</v>
      </c>
      <c r="Q30" s="33">
        <f>SUMIFS(Assumptions!BN$105:BN$128,Assumptions!$BB$105:$BB$128,'non-road'!$F30,Assumptions!$BC$105:$BC$128,'non-road'!$D30)/SUMIF(Assumptions!$BB$105:$BB$128,'non-road'!$F30,Assumptions!BN$105:BN$128)</f>
        <v>0.62153584759228009</v>
      </c>
      <c r="R30" s="33">
        <f>SUMIFS(Assumptions!BO$105:BO$128,Assumptions!$BB$105:$BB$128,'non-road'!$F30,Assumptions!$BC$105:$BC$128,'non-road'!$D30)/SUMIF(Assumptions!$BB$105:$BB$128,'non-road'!$F30,Assumptions!BO$105:BO$128)</f>
        <v>0</v>
      </c>
      <c r="S30" s="33">
        <f>SUMIFS(Assumptions!BP$105:BP$128,Assumptions!$BB$105:$BB$128,'non-road'!$F30,Assumptions!$BC$105:$BC$128,'non-road'!$D30)/SUMIF(Assumptions!$BB$105:$BB$128,'non-road'!$F30,Assumptions!BP$105:BP$128)</f>
        <v>1.0317596504984318E-4</v>
      </c>
      <c r="T30" s="33">
        <f>SUMIFS(Assumptions!BQ$105:BQ$128,Assumptions!$BB$105:$BB$128,'non-road'!$F30,Assumptions!$BC$105:$BC$128,'non-road'!$D30)/SUMIF(Assumptions!$BB$105:$BB$128,'non-road'!$F30,Assumptions!BQ$105:BQ$128)</f>
        <v>0</v>
      </c>
      <c r="U30" s="33">
        <f>SUMIFS(Assumptions!BR$105:BR$128,Assumptions!$BB$105:$BB$128,'non-road'!$F30,Assumptions!$BC$105:$BC$128,'non-road'!$D30)/SUMIF(Assumptions!$BB$105:$BB$128,'non-road'!$F30,Assumptions!BR$105:BR$128)</f>
        <v>0</v>
      </c>
      <c r="V30" s="33">
        <f>SUMIFS(Assumptions!BS$105:BS$128,Assumptions!$BB$105:$BB$128,'non-road'!$F30,Assumptions!$BC$105:$BC$128,'non-road'!$D30)/SUMIF(Assumptions!$BB$105:$BB$128,'non-road'!$F30,Assumptions!BS$105:BS$128)</f>
        <v>0</v>
      </c>
      <c r="W30" s="33">
        <f>SUMIFS(Assumptions!BT$105:BT$128,Assumptions!$BB$105:$BB$128,'non-road'!$F30,Assumptions!$BC$105:$BC$128,'non-road'!$D30)/SUMIF(Assumptions!$BB$105:$BB$128,'non-road'!$F30,Assumptions!BT$105:BT$128)</f>
        <v>0</v>
      </c>
      <c r="X30" s="33">
        <f>SUMIFS(Assumptions!BU$105:BU$128,Assumptions!$BB$105:$BB$128,'non-road'!$F30,Assumptions!$BC$105:$BC$128,'non-road'!$D30)/SUMIF(Assumptions!$BB$105:$BB$128,'non-road'!$F30,Assumptions!BU$105:BU$128)</f>
        <v>6.7337524012799934E-4</v>
      </c>
      <c r="Y30" s="33">
        <f>SUMIFS(Assumptions!BV$105:BV$128,Assumptions!$BB$105:$BB$128,'non-road'!$F30,Assumptions!$BC$105:$BC$128,'non-road'!$D30)/SUMIF(Assumptions!$BB$105:$BB$128,'non-road'!$F30,Assumptions!BV$105:BV$128)</f>
        <v>0</v>
      </c>
      <c r="Z30" s="33">
        <f>SUMIFS(Assumptions!BW$105:BW$128,Assumptions!$BB$105:$BB$128,'non-road'!$F30,Assumptions!$BC$105:$BC$128,'non-road'!$D30)/SUMIF(Assumptions!$BB$105:$BB$128,'non-road'!$F30,Assumptions!BW$105:BW$128)</f>
        <v>6.4688461452901925E-3</v>
      </c>
      <c r="AA30" s="33" t="e">
        <f>SUMIFS(Assumptions!BX$105:BX$128,Assumptions!$BB$105:$BB$128,'non-road'!$F30,Assumptions!$BC$105:$BC$128,'non-road'!$D30)/SUMIF(Assumptions!$BB$105:$BB$128,'non-road'!$F30,Assumptions!BX$105:BX$128)</f>
        <v>#DIV/0!</v>
      </c>
      <c r="AB30" s="33">
        <f>SUMIFS(Assumptions!BY$105:BY$128,Assumptions!$BB$105:$BB$128,'non-road'!$F30,Assumptions!$BC$105:$BC$128,'non-road'!$D30)/SUMIF(Assumptions!$BB$105:$BB$128,'non-road'!$F30,Assumptions!BY$105:BY$128)</f>
        <v>0.44473359097805704</v>
      </c>
      <c r="AC30" s="33">
        <f>SUMIFS(Assumptions!BZ$105:BZ$128,Assumptions!$BB$105:$BB$128,'non-road'!$F30,Assumptions!$BC$105:$BC$128,'non-road'!$D30)/SUMIF(Assumptions!$BB$105:$BB$128,'non-road'!$F30,Assumptions!BZ$105:BZ$128)</f>
        <v>6.2786877696074661E-2</v>
      </c>
      <c r="AD30" s="33">
        <f>SUMIFS(Assumptions!CA$105:CA$128,Assumptions!$BB$105:$BB$128,'non-road'!$F30,Assumptions!$BC$105:$BC$128,'non-road'!$D30)/SUMIF(Assumptions!$BB$105:$BB$128,'non-road'!$F30,Assumptions!CA$105:CA$128)</f>
        <v>0</v>
      </c>
      <c r="AE30" s="33">
        <f>SUMIFS(Assumptions!CB$105:CB$128,Assumptions!$BB$105:$BB$128,'non-road'!$F30,Assumptions!$BC$105:$BC$128,'non-road'!$D30)/SUMIF(Assumptions!$BB$105:$BB$128,'non-road'!$F30,Assumptions!CB$105:CB$128)</f>
        <v>3.2386373907874841E-2</v>
      </c>
      <c r="AF30" s="33">
        <f>SUMIFS(Assumptions!CC$105:CC$128,Assumptions!$BB$105:$BB$128,'non-road'!$F30,Assumptions!$BC$105:$BC$128,'non-road'!$D30)/SUMIF(Assumptions!$BB$105:$BB$128,'non-road'!$F30,Assumptions!CC$105:CC$128)</f>
        <v>2.2864653708617292E-2</v>
      </c>
      <c r="AG30" s="33" t="e">
        <f>SUMIFS(Assumptions!CD$105:CD$128,Assumptions!$BB$105:$BB$128,'non-road'!$F30,Assumptions!$BC$105:$BC$128,'non-road'!$D30)/SUMIF(Assumptions!$BB$105:$BB$128,'non-road'!$F30,Assumptions!CD$105:CD$128)</f>
        <v>#DIV/0!</v>
      </c>
      <c r="AH30" s="33">
        <f>SUMIFS(Assumptions!CE$105:CE$128,Assumptions!$BB$105:$BB$128,'non-road'!$F30,Assumptions!$BC$105:$BC$128,'non-road'!$D30)/SUMIF(Assumptions!$BB$105:$BB$128,'non-road'!$F30,Assumptions!CE$105:CE$128)</f>
        <v>3.4580729016757505E-3</v>
      </c>
      <c r="AI30" s="33">
        <f>SUMIFS(Assumptions!CF$105:CF$128,Assumptions!$BB$105:$BB$128,'non-road'!$F30,Assumptions!$BC$105:$BC$128,'non-road'!$D30)/SUMIF(Assumptions!$BB$105:$BB$128,'non-road'!$F30,Assumptions!CF$105:CF$128)</f>
        <v>0</v>
      </c>
      <c r="AJ30" s="33">
        <f>SUMIFS(Assumptions!CG$105:CG$128,Assumptions!$BB$105:$BB$128,'non-road'!$F30,Assumptions!$BC$105:$BC$128,'non-road'!$D30)/SUMIF(Assumptions!$BB$105:$BB$128,'non-road'!$F30,Assumptions!CG$105:CG$128)</f>
        <v>8.2933793179993415E-2</v>
      </c>
      <c r="AK30" s="33">
        <f>SUMIFS(Assumptions!CH$105:CH$128,Assumptions!$BB$105:$BB$128,'non-road'!$F30,Assumptions!$BC$105:$BC$128,'non-road'!$D30)/SUMIF(Assumptions!$BB$105:$BB$128,'non-road'!$F30,Assumptions!CH$105:CH$128)</f>
        <v>0.33880425526162833</v>
      </c>
      <c r="AL30" s="33">
        <f>SUMIFS(Assumptions!CI$105:CI$128,Assumptions!$BB$105:$BB$128,'non-road'!$F30,Assumptions!$BC$105:$BC$128,'non-road'!$D30)/SUMIF(Assumptions!$BB$105:$BB$128,'non-road'!$F30,Assumptions!CI$105:CI$128)</f>
        <v>0</v>
      </c>
      <c r="AM30" s="33">
        <f>SUMIFS(Assumptions!CJ$105:CJ$128,Assumptions!$BB$105:$BB$128,'non-road'!$F30,Assumptions!$BC$105:$BC$128,'non-road'!$D30)/SUMIF(Assumptions!$BB$105:$BB$128,'non-road'!$F30,Assumptions!CJ$105:CJ$128)</f>
        <v>0</v>
      </c>
      <c r="AN30" s="33">
        <f>SUMIFS(Assumptions!CK$105:CK$128,Assumptions!$BB$105:$BB$128,'non-road'!$F30,Assumptions!$BC$105:$BC$128,'non-road'!$D30)/SUMIF(Assumptions!$BB$105:$BB$128,'non-road'!$F30,Assumptions!CK$105:CK$128)</f>
        <v>0</v>
      </c>
      <c r="AO30" s="33">
        <f>SUMIFS(Assumptions!CL$105:CL$128,Assumptions!$BB$105:$BB$128,'non-road'!$F30,Assumptions!$BC$105:$BC$128,'non-road'!$D30)/SUMIF(Assumptions!$BB$105:$BB$128,'non-road'!$F30,Assumptions!CL$105:CL$128)</f>
        <v>0.16423858410496486</v>
      </c>
      <c r="AP30" s="33" t="e">
        <f>SUMIFS(Assumptions!CM$105:CM$128,Assumptions!$BB$105:$BB$128,'non-road'!$F30,Assumptions!$BC$105:$BC$128,'non-road'!$D30)/SUMIF(Assumptions!$BB$105:$BB$128,'non-road'!$F30,Assumptions!CM$105:CM$128)</f>
        <v>#DIV/0!</v>
      </c>
      <c r="AQ30" s="33" t="e">
        <f>SUMIFS(Assumptions!CN$105:CN$128,Assumptions!$BB$105:$BB$128,'non-road'!$F30,Assumptions!$BC$105:$BC$128,'non-road'!$D30)/SUMIF(Assumptions!$BB$105:$BB$128,'non-road'!$F30,Assumptions!CN$105:CN$128)</f>
        <v>#DIV/0!</v>
      </c>
      <c r="AR30" s="33" t="e">
        <f>SUMIFS(Assumptions!CO$105:CO$128,Assumptions!$BB$105:$BB$128,'non-road'!$F30,Assumptions!$BC$105:$BC$128,'non-road'!$D30)/SUMIF(Assumptions!$BB$105:$BB$128,'non-road'!$F30,Assumptions!CO$105:CO$128)</f>
        <v>#DIV/0!</v>
      </c>
      <c r="AS30" s="33" t="e">
        <f>SUMIFS(Assumptions!CP$105:CP$128,Assumptions!$BB$105:$BB$128,'non-road'!$F30,Assumptions!$BC$105:$BC$128,'non-road'!$D30)/SUMIF(Assumptions!$BB$105:$BB$128,'non-road'!$F30,Assumptions!CP$105:CP$128)</f>
        <v>#DIV/0!</v>
      </c>
      <c r="AT30" s="33" t="e">
        <f>SUMIFS(Assumptions!CQ$105:CQ$128,Assumptions!$BB$105:$BB$128,'non-road'!$F30,Assumptions!$BC$105:$BC$128,'non-road'!$D30)/SUMIF(Assumptions!$BB$105:$BB$128,'non-road'!$F30,Assumptions!CQ$105:CQ$128)</f>
        <v>#DIV/0!</v>
      </c>
      <c r="AU30" s="33" t="e">
        <f>SUMIFS(Assumptions!CR$105:CR$128,Assumptions!$BB$105:$BB$128,'non-road'!$F30,Assumptions!$BC$105:$BC$128,'non-road'!$D30)/SUMIF(Assumptions!$BB$105:$BB$128,'non-road'!$F30,Assumptions!CR$105:CR$128)</f>
        <v>#DIV/0!</v>
      </c>
      <c r="AV30" s="33" t="e">
        <f>SUMIFS(Assumptions!CS$105:CS$128,Assumptions!$BB$105:$BB$128,'non-road'!$F30,Assumptions!$BC$105:$BC$128,'non-road'!$D30)/SUMIF(Assumptions!$BB$105:$BB$128,'non-road'!$F30,Assumptions!CS$105:CS$128)</f>
        <v>#DIV/0!</v>
      </c>
      <c r="AW30" s="33" t="e">
        <f>SUMIFS(Assumptions!CT$105:CT$128,Assumptions!$BB$105:$BB$128,'non-road'!$F30,Assumptions!$BC$105:$BC$128,'non-road'!$D30)/SUMIF(Assumptions!$BB$105:$BB$128,'non-road'!$F30,Assumptions!CT$105:CT$128)</f>
        <v>#DIV/0!</v>
      </c>
      <c r="AX30" s="33" t="e">
        <f>SUMIFS(Assumptions!CU$105:CU$128,Assumptions!$BB$105:$BB$128,'non-road'!$F30,Assumptions!$BC$105:$BC$128,'non-road'!$D30)/SUMIF(Assumptions!$BB$105:$BB$128,'non-road'!$F30,Assumptions!CU$105:CU$128)</f>
        <v>#DIV/0!</v>
      </c>
      <c r="AY30" s="33" t="e">
        <f>SUMIFS(Assumptions!CV$105:CV$128,Assumptions!$BB$105:$BB$128,'non-road'!$F30,Assumptions!$BC$105:$BC$128,'non-road'!$D30)/SUMIF(Assumptions!$BB$105:$BB$128,'non-road'!$F30,Assumptions!CV$105:CV$128)</f>
        <v>#DIV/0!</v>
      </c>
      <c r="AZ30" s="33" t="e">
        <f>SUMIFS(Assumptions!CW$105:CW$128,Assumptions!$BB$105:$BB$128,'non-road'!$F30,Assumptions!$BC$105:$BC$128,'non-road'!$D30)/SUMIF(Assumptions!$BB$105:$BB$128,'non-road'!$F30,Assumptions!CW$105:CW$128)</f>
        <v>#DIV/0!</v>
      </c>
      <c r="BD30" s="27" t="str">
        <f t="shared" si="55"/>
        <v>\I:</v>
      </c>
      <c r="BE30" s="33">
        <f>VLOOKUP($F30,Assumptions!$E$152:$BC$157,COLUMN()-COLUMN($BC$4),FALSE)</f>
        <v>1</v>
      </c>
      <c r="BF30" s="33">
        <f>VLOOKUP($F30,Assumptions!$E$152:$BC$157,COLUMN()-COLUMN($BC$4),FALSE)</f>
        <v>1</v>
      </c>
      <c r="BG30" s="33">
        <f>VLOOKUP($F30,Assumptions!$E$152:$BC$157,COLUMN()-COLUMN($BC$4),FALSE)</f>
        <v>1</v>
      </c>
      <c r="BH30" s="33">
        <f>VLOOKUP($F30,Assumptions!$E$152:$BC$157,COLUMN()-COLUMN($BC$4),FALSE)</f>
        <v>1</v>
      </c>
      <c r="BI30" s="33">
        <f>VLOOKUP($F30,Assumptions!$E$152:$BC$157,COLUMN()-COLUMN($BC$4),FALSE)</f>
        <v>1</v>
      </c>
      <c r="BJ30" s="33">
        <f>VLOOKUP($F30,Assumptions!$E$152:$BC$157,COLUMN()-COLUMN($BC$4),FALSE)</f>
        <v>1</v>
      </c>
      <c r="BK30" s="33">
        <f>VLOOKUP($F30,Assumptions!$E$152:$BC$157,COLUMN()-COLUMN($BC$4),FALSE)</f>
        <v>1</v>
      </c>
      <c r="BL30" s="33">
        <f>VLOOKUP($F30,Assumptions!$E$152:$BC$157,COLUMN()-COLUMN($BC$4),FALSE)</f>
        <v>1</v>
      </c>
      <c r="BM30" s="33">
        <f>VLOOKUP($F30,Assumptions!$E$152:$BC$157,COLUMN()-COLUMN($BC$4),FALSE)</f>
        <v>1</v>
      </c>
      <c r="BN30" s="33">
        <f>VLOOKUP($F30,Assumptions!$E$152:$BC$157,COLUMN()-COLUMN($BC$4),FALSE)</f>
        <v>1</v>
      </c>
      <c r="BO30" s="33">
        <f>VLOOKUP($F30,Assumptions!$E$152:$BC$157,COLUMN()-COLUMN($BC$4),FALSE)</f>
        <v>1</v>
      </c>
      <c r="BP30" s="33">
        <f>VLOOKUP($F30,Assumptions!$E$152:$BC$157,COLUMN()-COLUMN($BC$4),FALSE)</f>
        <v>1</v>
      </c>
      <c r="BQ30" s="33">
        <f>VLOOKUP($F30,Assumptions!$E$152:$BC$157,COLUMN()-COLUMN($BC$4),FALSE)</f>
        <v>1</v>
      </c>
      <c r="BR30" s="33">
        <f>VLOOKUP($F30,Assumptions!$E$152:$BC$157,COLUMN()-COLUMN($BC$4),FALSE)</f>
        <v>1</v>
      </c>
      <c r="BS30" s="33">
        <f>VLOOKUP($F30,Assumptions!$E$152:$BC$157,COLUMN()-COLUMN($BC$4),FALSE)</f>
        <v>1</v>
      </c>
      <c r="BT30" s="33">
        <f>VLOOKUP($F30,Assumptions!$E$152:$BC$157,COLUMN()-COLUMN($BC$4),FALSE)</f>
        <v>1</v>
      </c>
      <c r="BU30" s="33">
        <f>VLOOKUP($F30,Assumptions!$E$152:$BC$157,COLUMN()-COLUMN($BC$4),FALSE)</f>
        <v>1</v>
      </c>
      <c r="BV30" s="33">
        <f>VLOOKUP($F30,Assumptions!$E$152:$BC$157,COLUMN()-COLUMN($BC$4),FALSE)</f>
        <v>1</v>
      </c>
      <c r="BW30" s="33">
        <f>VLOOKUP($F30,Assumptions!$E$152:$BC$157,COLUMN()-COLUMN($BC$4),FALSE)</f>
        <v>1</v>
      </c>
      <c r="BX30" s="33">
        <f>VLOOKUP($F30,Assumptions!$E$152:$BC$157,COLUMN()-COLUMN($BC$4),FALSE)</f>
        <v>1</v>
      </c>
      <c r="BY30" s="33">
        <f>VLOOKUP($F30,Assumptions!$E$152:$BC$157,COLUMN()-COLUMN($BC$4),FALSE)</f>
        <v>1</v>
      </c>
      <c r="BZ30" s="33">
        <f>VLOOKUP($F30,Assumptions!$E$152:$BC$157,COLUMN()-COLUMN($BC$4),FALSE)</f>
        <v>1</v>
      </c>
      <c r="CA30" s="33">
        <f>VLOOKUP($F30,Assumptions!$E$152:$BC$157,COLUMN()-COLUMN($BC$4),FALSE)</f>
        <v>1</v>
      </c>
      <c r="CB30" s="33">
        <f>VLOOKUP($F30,Assumptions!$E$152:$BC$157,COLUMN()-COLUMN($BC$4),FALSE)</f>
        <v>1</v>
      </c>
      <c r="CC30" s="33">
        <f>VLOOKUP($F30,Assumptions!$E$152:$BC$157,COLUMN()-COLUMN($BC$4),FALSE)</f>
        <v>1</v>
      </c>
      <c r="CD30" s="33">
        <f>VLOOKUP($F30,Assumptions!$E$152:$BC$157,COLUMN()-COLUMN($BC$4),FALSE)</f>
        <v>1</v>
      </c>
      <c r="CE30" s="33">
        <f>VLOOKUP($F30,Assumptions!$E$152:$BC$157,COLUMN()-COLUMN($BC$4),FALSE)</f>
        <v>1</v>
      </c>
      <c r="CF30" s="33">
        <f>VLOOKUP($F30,Assumptions!$E$152:$BC$157,COLUMN()-COLUMN($BC$4),FALSE)</f>
        <v>1</v>
      </c>
      <c r="CG30" s="33">
        <f>VLOOKUP($F30,Assumptions!$E$152:$BC$157,COLUMN()-COLUMN($BC$4),FALSE)</f>
        <v>1</v>
      </c>
      <c r="CH30" s="33">
        <f>VLOOKUP($F30,Assumptions!$E$152:$BC$157,COLUMN()-COLUMN($BC$4),FALSE)</f>
        <v>1</v>
      </c>
      <c r="CI30" s="33">
        <f>VLOOKUP($F30,Assumptions!$E$152:$BC$157,COLUMN()-COLUMN($BC$4),FALSE)</f>
        <v>1</v>
      </c>
      <c r="CJ30" s="33">
        <f>VLOOKUP($F30,Assumptions!$E$152:$BC$157,COLUMN()-COLUMN($BC$4),FALSE)</f>
        <v>1</v>
      </c>
      <c r="CK30" s="33">
        <f>VLOOKUP($F30,Assumptions!$E$152:$BC$157,COLUMN()-COLUMN($BC$4),FALSE)</f>
        <v>1</v>
      </c>
      <c r="CL30" s="33">
        <f>VLOOKUP($F30,Assumptions!$E$152:$BC$157,COLUMN()-COLUMN($BC$4),FALSE)</f>
        <v>1</v>
      </c>
      <c r="CM30" s="33">
        <f>VLOOKUP($F30,Assumptions!$E$152:$BC$157,COLUMN()-COLUMN($BC$4),FALSE)</f>
        <v>1</v>
      </c>
      <c r="CN30" s="33">
        <f>VLOOKUP($F30,Assumptions!$E$152:$BC$157,COLUMN()-COLUMN($BC$4),FALSE)</f>
        <v>1</v>
      </c>
      <c r="CO30" s="33">
        <f>VLOOKUP($F30,Assumptions!$E$152:$BC$157,COLUMN()-COLUMN($BC$4),FALSE)</f>
        <v>1</v>
      </c>
      <c r="CP30" s="33">
        <f>VLOOKUP($F30,Assumptions!$E$152:$BC$157,COLUMN()-COLUMN($BC$4),FALSE)</f>
        <v>1</v>
      </c>
      <c r="CQ30" s="33">
        <f>VLOOKUP($F30,Assumptions!$E$152:$BC$157,COLUMN()-COLUMN($BC$4),FALSE)</f>
        <v>1</v>
      </c>
      <c r="CR30" s="33">
        <f>VLOOKUP($F30,Assumptions!$E$152:$BC$157,COLUMN()-COLUMN($BC$4),FALSE)</f>
        <v>1</v>
      </c>
      <c r="CS30" s="33">
        <f>VLOOKUP($F30,Assumptions!$E$152:$BC$157,COLUMN()-COLUMN($BC$4),FALSE)</f>
        <v>1</v>
      </c>
      <c r="CT30" s="33">
        <f>VLOOKUP($F30,Assumptions!$E$152:$BC$157,COLUMN()-COLUMN($BC$4),FALSE)</f>
        <v>1</v>
      </c>
      <c r="CU30" s="33">
        <f>VLOOKUP($F30,Assumptions!$E$152:$BC$157,COLUMN()-COLUMN($BC$4),FALSE)</f>
        <v>1</v>
      </c>
      <c r="CV30" s="33">
        <f>VLOOKUP($F30,Assumptions!$E$152:$BC$157,COLUMN()-COLUMN($BC$4),FALSE)</f>
        <v>1</v>
      </c>
      <c r="CW30" s="33">
        <f>VLOOKUP($F30,Assumptions!$E$152:$BC$157,COLUMN()-COLUMN($BC$4),FALSE)</f>
        <v>1</v>
      </c>
      <c r="CX30" s="33">
        <f>VLOOKUP($F30,Assumptions!$E$152:$BC$157,COLUMN()-COLUMN($BC$4),FALSE)</f>
        <v>1</v>
      </c>
      <c r="CY30" s="27"/>
      <c r="DB30" t="str">
        <f t="shared" ref="DB30:DB34" si="69">DA4</f>
        <v>TTP</v>
      </c>
      <c r="DD30" t="s">
        <v>160</v>
      </c>
      <c r="EV30" s="27"/>
      <c r="EW30" s="27" t="str">
        <f t="shared" si="48"/>
        <v>\I:</v>
      </c>
      <c r="EX30" s="27" t="str">
        <f t="shared" si="68"/>
        <v/>
      </c>
      <c r="EY30" s="27" t="s">
        <v>169</v>
      </c>
      <c r="EZ30" s="27" t="s">
        <v>160</v>
      </c>
      <c r="FA30" s="27" t="s">
        <v>161</v>
      </c>
    </row>
    <row r="31" spans="1:157">
      <c r="C31" s="27" t="str">
        <f t="shared" si="54"/>
        <v/>
      </c>
      <c r="D31" s="27" t="s">
        <v>45</v>
      </c>
      <c r="E31" s="27"/>
      <c r="F31" s="27" t="s">
        <v>21</v>
      </c>
      <c r="G31" s="33">
        <f>SUMIFS(Assumptions!BD$105:BD$128,Assumptions!$BB$105:$BB$128,'non-road'!$F31,Assumptions!$BC$105:$BC$128,'non-road'!$D31)/SUMIF(Assumptions!$BB$105:$BB$128,'non-road'!$F31,Assumptions!BD$105:BD$128)</f>
        <v>0.81288251770150133</v>
      </c>
      <c r="H31" s="33">
        <f>SUMIFS(Assumptions!BE$105:BE$128,Assumptions!$BB$105:$BB$128,'non-road'!$F31,Assumptions!$BC$105:$BC$128,'non-road'!$D31)/SUMIF(Assumptions!$BB$105:$BB$128,'non-road'!$F31,Assumptions!BE$105:BE$128)</f>
        <v>1.1179078918694473E-2</v>
      </c>
      <c r="I31" s="33">
        <f>SUMIFS(Assumptions!BF$105:BF$128,Assumptions!$BB$105:$BB$128,'non-road'!$F31,Assumptions!$BC$105:$BC$128,'non-road'!$D31)/SUMIF(Assumptions!$BB$105:$BB$128,'non-road'!$F31,Assumptions!BF$105:BF$128)</f>
        <v>0.19695119003543016</v>
      </c>
      <c r="J31" s="33">
        <f>SUMIFS(Assumptions!BG$105:BG$128,Assumptions!$BB$105:$BB$128,'non-road'!$F31,Assumptions!$BC$105:$BC$128,'non-road'!$D31)/SUMIF(Assumptions!$BB$105:$BB$128,'non-road'!$F31,Assumptions!BG$105:BG$128)</f>
        <v>0</v>
      </c>
      <c r="K31" s="33">
        <f>SUMIFS(Assumptions!BH$105:BH$128,Assumptions!$BB$105:$BB$128,'non-road'!$F31,Assumptions!$BC$105:$BC$128,'non-road'!$D31)/SUMIF(Assumptions!$BB$105:$BB$128,'non-road'!$F31,Assumptions!BH$105:BH$128)</f>
        <v>0</v>
      </c>
      <c r="L31" s="33">
        <f>SUMIFS(Assumptions!BI$105:BI$128,Assumptions!$BB$105:$BB$128,'non-road'!$F31,Assumptions!$BC$105:$BC$128,'non-road'!$D31)/SUMIF(Assumptions!$BB$105:$BB$128,'non-road'!$F31,Assumptions!BI$105:BI$128)</f>
        <v>1.5592516804270784E-3</v>
      </c>
      <c r="M31" s="33">
        <f>SUMIFS(Assumptions!BJ$105:BJ$128,Assumptions!$BB$105:$BB$128,'non-road'!$F31,Assumptions!$BC$105:$BC$128,'non-road'!$D31)/SUMIF(Assumptions!$BB$105:$BB$128,'non-road'!$F31,Assumptions!BJ$105:BJ$128)</f>
        <v>0.75470808976227188</v>
      </c>
      <c r="N31" s="33">
        <f>SUMIFS(Assumptions!BK$105:BK$128,Assumptions!$BB$105:$BB$128,'non-road'!$F31,Assumptions!$BC$105:$BC$128,'non-road'!$D31)/SUMIF(Assumptions!$BB$105:$BB$128,'non-road'!$F31,Assumptions!BK$105:BK$128)</f>
        <v>0.38831830622498414</v>
      </c>
      <c r="O31" s="33">
        <f>SUMIFS(Assumptions!BL$105:BL$128,Assumptions!$BB$105:$BB$128,'non-road'!$F31,Assumptions!$BC$105:$BC$128,'non-road'!$D31)/SUMIF(Assumptions!$BB$105:$BB$128,'non-road'!$F31,Assumptions!BL$105:BL$128)</f>
        <v>0</v>
      </c>
      <c r="P31" s="33">
        <f>SUMIFS(Assumptions!BM$105:BM$128,Assumptions!$BB$105:$BB$128,'non-road'!$F31,Assumptions!$BC$105:$BC$128,'non-road'!$D31)/SUMIF(Assumptions!$BB$105:$BB$128,'non-road'!$F31,Assumptions!BM$105:BM$128)</f>
        <v>0</v>
      </c>
      <c r="Q31" s="33">
        <f>SUMIFS(Assumptions!BN$105:BN$128,Assumptions!$BB$105:$BB$128,'non-road'!$F31,Assumptions!$BC$105:$BC$128,'non-road'!$D31)/SUMIF(Assumptions!$BB$105:$BB$128,'non-road'!$F31,Assumptions!BN$105:BN$128)</f>
        <v>2.2465768107398375E-2</v>
      </c>
      <c r="R31" s="33">
        <f>SUMIFS(Assumptions!BO$105:BO$128,Assumptions!$BB$105:$BB$128,'non-road'!$F31,Assumptions!$BC$105:$BC$128,'non-road'!$D31)/SUMIF(Assumptions!$BB$105:$BB$128,'non-road'!$F31,Assumptions!BO$105:BO$128)</f>
        <v>0</v>
      </c>
      <c r="S31" s="33">
        <f>SUMIFS(Assumptions!BP$105:BP$128,Assumptions!$BB$105:$BB$128,'non-road'!$F31,Assumptions!$BC$105:$BC$128,'non-road'!$D31)/SUMIF(Assumptions!$BB$105:$BB$128,'non-road'!$F31,Assumptions!BP$105:BP$128)</f>
        <v>0.53456449378395976</v>
      </c>
      <c r="T31" s="33">
        <f>SUMIFS(Assumptions!BQ$105:BQ$128,Assumptions!$BB$105:$BB$128,'non-road'!$F31,Assumptions!$BC$105:$BC$128,'non-road'!$D31)/SUMIF(Assumptions!$BB$105:$BB$128,'non-road'!$F31,Assumptions!BQ$105:BQ$128)</f>
        <v>0</v>
      </c>
      <c r="U31" s="33">
        <f>SUMIFS(Assumptions!BR$105:BR$128,Assumptions!$BB$105:$BB$128,'non-road'!$F31,Assumptions!$BC$105:$BC$128,'non-road'!$D31)/SUMIF(Assumptions!$BB$105:$BB$128,'non-road'!$F31,Assumptions!BR$105:BR$128)</f>
        <v>0.27593497688013607</v>
      </c>
      <c r="V31" s="33">
        <f>SUMIFS(Assumptions!BS$105:BS$128,Assumptions!$BB$105:$BB$128,'non-road'!$F31,Assumptions!$BC$105:$BC$128,'non-road'!$D31)/SUMIF(Assumptions!$BB$105:$BB$128,'non-road'!$F31,Assumptions!BS$105:BS$128)</f>
        <v>0.45504556152879444</v>
      </c>
      <c r="W31" s="33">
        <f>SUMIFS(Assumptions!BT$105:BT$128,Assumptions!$BB$105:$BB$128,'non-road'!$F31,Assumptions!$BC$105:$BC$128,'non-road'!$D31)/SUMIF(Assumptions!$BB$105:$BB$128,'non-road'!$F31,Assumptions!BT$105:BT$128)</f>
        <v>0</v>
      </c>
      <c r="X31" s="33">
        <f>SUMIFS(Assumptions!BU$105:BU$128,Assumptions!$BB$105:$BB$128,'non-road'!$F31,Assumptions!$BC$105:$BC$128,'non-road'!$D31)/SUMIF(Assumptions!$BB$105:$BB$128,'non-road'!$F31,Assumptions!BU$105:BU$128)</f>
        <v>0.58158444612949656</v>
      </c>
      <c r="Y31" s="33">
        <f>SUMIFS(Assumptions!BV$105:BV$128,Assumptions!$BB$105:$BB$128,'non-road'!$F31,Assumptions!$BC$105:$BC$128,'non-road'!$D31)/SUMIF(Assumptions!$BB$105:$BB$128,'non-road'!$F31,Assumptions!BV$105:BV$128)</f>
        <v>0.67751108479891131</v>
      </c>
      <c r="Z31" s="33">
        <f>SUMIFS(Assumptions!BW$105:BW$128,Assumptions!$BB$105:$BB$128,'non-road'!$F31,Assumptions!$BC$105:$BC$128,'non-road'!$D31)/SUMIF(Assumptions!$BB$105:$BB$128,'non-road'!$F31,Assumptions!BW$105:BW$128)</f>
        <v>0.32003092769213265</v>
      </c>
      <c r="AA31" s="33" t="e">
        <f>SUMIFS(Assumptions!BX$105:BX$128,Assumptions!$BB$105:$BB$128,'non-road'!$F31,Assumptions!$BC$105:$BC$128,'non-road'!$D31)/SUMIF(Assumptions!$BB$105:$BB$128,'non-road'!$F31,Assumptions!BX$105:BX$128)</f>
        <v>#DIV/0!</v>
      </c>
      <c r="AB31" s="33">
        <f>SUMIFS(Assumptions!BY$105:BY$128,Assumptions!$BB$105:$BB$128,'non-road'!$F31,Assumptions!$BC$105:$BC$128,'non-road'!$D31)/SUMIF(Assumptions!$BB$105:$BB$128,'non-road'!$F31,Assumptions!BY$105:BY$128)</f>
        <v>8.6323232431407715E-2</v>
      </c>
      <c r="AC31" s="33">
        <f>SUMIFS(Assumptions!BZ$105:BZ$128,Assumptions!$BB$105:$BB$128,'non-road'!$F31,Assumptions!$BC$105:$BC$128,'non-road'!$D31)/SUMIF(Assumptions!$BB$105:$BB$128,'non-road'!$F31,Assumptions!BZ$105:BZ$128)</f>
        <v>3.1466208067733987E-3</v>
      </c>
      <c r="AD31" s="33">
        <f>SUMIFS(Assumptions!CA$105:CA$128,Assumptions!$BB$105:$BB$128,'non-road'!$F31,Assumptions!$BC$105:$BC$128,'non-road'!$D31)/SUMIF(Assumptions!$BB$105:$BB$128,'non-road'!$F31,Assumptions!CA$105:CA$128)</f>
        <v>0</v>
      </c>
      <c r="AE31" s="33">
        <f>SUMIFS(Assumptions!CB$105:CB$128,Assumptions!$BB$105:$BB$128,'non-road'!$F31,Assumptions!$BC$105:$BC$128,'non-road'!$D31)/SUMIF(Assumptions!$BB$105:$BB$128,'non-road'!$F31,Assumptions!CB$105:CB$128)</f>
        <v>8.8709398941567388E-2</v>
      </c>
      <c r="AF31" s="33">
        <f>SUMIFS(Assumptions!CC$105:CC$128,Assumptions!$BB$105:$BB$128,'non-road'!$F31,Assumptions!$BC$105:$BC$128,'non-road'!$D31)/SUMIF(Assumptions!$BB$105:$BB$128,'non-road'!$F31,Assumptions!CC$105:CC$128)</f>
        <v>0.30710135349563067</v>
      </c>
      <c r="AG31" s="33" t="e">
        <f>SUMIFS(Assumptions!CD$105:CD$128,Assumptions!$BB$105:$BB$128,'non-road'!$F31,Assumptions!$BC$105:$BC$128,'non-road'!$D31)/SUMIF(Assumptions!$BB$105:$BB$128,'non-road'!$F31,Assumptions!CD$105:CD$128)</f>
        <v>#DIV/0!</v>
      </c>
      <c r="AH31" s="33">
        <f>SUMIFS(Assumptions!CE$105:CE$128,Assumptions!$BB$105:$BB$128,'non-road'!$F31,Assumptions!$BC$105:$BC$128,'non-road'!$D31)/SUMIF(Assumptions!$BB$105:$BB$128,'non-road'!$F31,Assumptions!CE$105:CE$128)</f>
        <v>0</v>
      </c>
      <c r="AI31" s="33">
        <f>SUMIFS(Assumptions!CF$105:CF$128,Assumptions!$BB$105:$BB$128,'non-road'!$F31,Assumptions!$BC$105:$BC$128,'non-road'!$D31)/SUMIF(Assumptions!$BB$105:$BB$128,'non-road'!$F31,Assumptions!CF$105:CF$128)</f>
        <v>0.55467057813517562</v>
      </c>
      <c r="AJ31" s="33">
        <f>SUMIFS(Assumptions!CG$105:CG$128,Assumptions!$BB$105:$BB$128,'non-road'!$F31,Assumptions!$BC$105:$BC$128,'non-road'!$D31)/SUMIF(Assumptions!$BB$105:$BB$128,'non-road'!$F31,Assumptions!CG$105:CG$128)</f>
        <v>0.23839907989937548</v>
      </c>
      <c r="AK31" s="33">
        <f>SUMIFS(Assumptions!CH$105:CH$128,Assumptions!$BB$105:$BB$128,'non-road'!$F31,Assumptions!$BC$105:$BC$128,'non-road'!$D31)/SUMIF(Assumptions!$BB$105:$BB$128,'non-road'!$F31,Assumptions!CH$105:CH$128)</f>
        <v>0</v>
      </c>
      <c r="AL31" s="33">
        <f>SUMIFS(Assumptions!CI$105:CI$128,Assumptions!$BB$105:$BB$128,'non-road'!$F31,Assumptions!$BC$105:$BC$128,'non-road'!$D31)/SUMIF(Assumptions!$BB$105:$BB$128,'non-road'!$F31,Assumptions!CI$105:CI$128)</f>
        <v>8.6287590378576542E-2</v>
      </c>
      <c r="AM31" s="33">
        <f>SUMIFS(Assumptions!CJ$105:CJ$128,Assumptions!$BB$105:$BB$128,'non-road'!$F31,Assumptions!$BC$105:$BC$128,'non-road'!$D31)/SUMIF(Assumptions!$BB$105:$BB$128,'non-road'!$F31,Assumptions!CJ$105:CJ$128)</f>
        <v>8.8867782892115658E-3</v>
      </c>
      <c r="AN31" s="33">
        <f>SUMIFS(Assumptions!CK$105:CK$128,Assumptions!$BB$105:$BB$128,'non-road'!$F31,Assumptions!$BC$105:$BC$128,'non-road'!$D31)/SUMIF(Assumptions!$BB$105:$BB$128,'non-road'!$F31,Assumptions!CK$105:CK$128)</f>
        <v>0</v>
      </c>
      <c r="AO31" s="33">
        <f>SUMIFS(Assumptions!CL$105:CL$128,Assumptions!$BB$105:$BB$128,'non-road'!$F31,Assumptions!$BC$105:$BC$128,'non-road'!$D31)/SUMIF(Assumptions!$BB$105:$BB$128,'non-road'!$F31,Assumptions!CL$105:CL$128)</f>
        <v>0</v>
      </c>
      <c r="AP31" s="33" t="e">
        <f>SUMIFS(Assumptions!CM$105:CM$128,Assumptions!$BB$105:$BB$128,'non-road'!$F31,Assumptions!$BC$105:$BC$128,'non-road'!$D31)/SUMIF(Assumptions!$BB$105:$BB$128,'non-road'!$F31,Assumptions!CM$105:CM$128)</f>
        <v>#DIV/0!</v>
      </c>
      <c r="AQ31" s="33" t="e">
        <f>SUMIFS(Assumptions!CN$105:CN$128,Assumptions!$BB$105:$BB$128,'non-road'!$F31,Assumptions!$BC$105:$BC$128,'non-road'!$D31)/SUMIF(Assumptions!$BB$105:$BB$128,'non-road'!$F31,Assumptions!CN$105:CN$128)</f>
        <v>#DIV/0!</v>
      </c>
      <c r="AR31" s="33" t="e">
        <f>SUMIFS(Assumptions!CO$105:CO$128,Assumptions!$BB$105:$BB$128,'non-road'!$F31,Assumptions!$BC$105:$BC$128,'non-road'!$D31)/SUMIF(Assumptions!$BB$105:$BB$128,'non-road'!$F31,Assumptions!CO$105:CO$128)</f>
        <v>#DIV/0!</v>
      </c>
      <c r="AS31" s="33" t="e">
        <f>SUMIFS(Assumptions!CP$105:CP$128,Assumptions!$BB$105:$BB$128,'non-road'!$F31,Assumptions!$BC$105:$BC$128,'non-road'!$D31)/SUMIF(Assumptions!$BB$105:$BB$128,'non-road'!$F31,Assumptions!CP$105:CP$128)</f>
        <v>#DIV/0!</v>
      </c>
      <c r="AT31" s="33" t="e">
        <f>SUMIFS(Assumptions!CQ$105:CQ$128,Assumptions!$BB$105:$BB$128,'non-road'!$F31,Assumptions!$BC$105:$BC$128,'non-road'!$D31)/SUMIF(Assumptions!$BB$105:$BB$128,'non-road'!$F31,Assumptions!CQ$105:CQ$128)</f>
        <v>#DIV/0!</v>
      </c>
      <c r="AU31" s="33" t="e">
        <f>SUMIFS(Assumptions!CR$105:CR$128,Assumptions!$BB$105:$BB$128,'non-road'!$F31,Assumptions!$BC$105:$BC$128,'non-road'!$D31)/SUMIF(Assumptions!$BB$105:$BB$128,'non-road'!$F31,Assumptions!CR$105:CR$128)</f>
        <v>#DIV/0!</v>
      </c>
      <c r="AV31" s="33" t="e">
        <f>SUMIFS(Assumptions!CS$105:CS$128,Assumptions!$BB$105:$BB$128,'non-road'!$F31,Assumptions!$BC$105:$BC$128,'non-road'!$D31)/SUMIF(Assumptions!$BB$105:$BB$128,'non-road'!$F31,Assumptions!CS$105:CS$128)</f>
        <v>#DIV/0!</v>
      </c>
      <c r="AW31" s="33" t="e">
        <f>SUMIFS(Assumptions!CT$105:CT$128,Assumptions!$BB$105:$BB$128,'non-road'!$F31,Assumptions!$BC$105:$BC$128,'non-road'!$D31)/SUMIF(Assumptions!$BB$105:$BB$128,'non-road'!$F31,Assumptions!CT$105:CT$128)</f>
        <v>#DIV/0!</v>
      </c>
      <c r="AX31" s="33" t="e">
        <f>SUMIFS(Assumptions!CU$105:CU$128,Assumptions!$BB$105:$BB$128,'non-road'!$F31,Assumptions!$BC$105:$BC$128,'non-road'!$D31)/SUMIF(Assumptions!$BB$105:$BB$128,'non-road'!$F31,Assumptions!CU$105:CU$128)</f>
        <v>#DIV/0!</v>
      </c>
      <c r="AY31" s="33" t="e">
        <f>SUMIFS(Assumptions!CV$105:CV$128,Assumptions!$BB$105:$BB$128,'non-road'!$F31,Assumptions!$BC$105:$BC$128,'non-road'!$D31)/SUMIF(Assumptions!$BB$105:$BB$128,'non-road'!$F31,Assumptions!CV$105:CV$128)</f>
        <v>#DIV/0!</v>
      </c>
      <c r="AZ31" s="33" t="e">
        <f>SUMIFS(Assumptions!CW$105:CW$128,Assumptions!$BB$105:$BB$128,'non-road'!$F31,Assumptions!$BC$105:$BC$128,'non-road'!$D31)/SUMIF(Assumptions!$BB$105:$BB$128,'non-road'!$F31,Assumptions!CW$105:CW$128)</f>
        <v>#DIV/0!</v>
      </c>
      <c r="BD31" s="27" t="str">
        <f t="shared" si="55"/>
        <v>\I:</v>
      </c>
      <c r="BE31" s="33">
        <f>VLOOKUP($F31,Assumptions!$E$152:$BC$157,COLUMN()-COLUMN($BC$4),FALSE)</f>
        <v>1</v>
      </c>
      <c r="BF31" s="33">
        <f>VLOOKUP($F31,Assumptions!$E$152:$BC$157,COLUMN()-COLUMN($BC$4),FALSE)</f>
        <v>1</v>
      </c>
      <c r="BG31" s="33">
        <f>VLOOKUP($F31,Assumptions!$E$152:$BC$157,COLUMN()-COLUMN($BC$4),FALSE)</f>
        <v>1</v>
      </c>
      <c r="BH31" s="33">
        <f>VLOOKUP($F31,Assumptions!$E$152:$BC$157,COLUMN()-COLUMN($BC$4),FALSE)</f>
        <v>1</v>
      </c>
      <c r="BI31" s="33">
        <f>VLOOKUP($F31,Assumptions!$E$152:$BC$157,COLUMN()-COLUMN($BC$4),FALSE)</f>
        <v>1</v>
      </c>
      <c r="BJ31" s="33">
        <f>VLOOKUP($F31,Assumptions!$E$152:$BC$157,COLUMN()-COLUMN($BC$4),FALSE)</f>
        <v>1</v>
      </c>
      <c r="BK31" s="33">
        <f>VLOOKUP($F31,Assumptions!$E$152:$BC$157,COLUMN()-COLUMN($BC$4),FALSE)</f>
        <v>1</v>
      </c>
      <c r="BL31" s="33">
        <f>VLOOKUP($F31,Assumptions!$E$152:$BC$157,COLUMN()-COLUMN($BC$4),FALSE)</f>
        <v>1</v>
      </c>
      <c r="BM31" s="33">
        <f>VLOOKUP($F31,Assumptions!$E$152:$BC$157,COLUMN()-COLUMN($BC$4),FALSE)</f>
        <v>1</v>
      </c>
      <c r="BN31" s="33">
        <f>VLOOKUP($F31,Assumptions!$E$152:$BC$157,COLUMN()-COLUMN($BC$4),FALSE)</f>
        <v>1</v>
      </c>
      <c r="BO31" s="33">
        <f>VLOOKUP($F31,Assumptions!$E$152:$BC$157,COLUMN()-COLUMN($BC$4),FALSE)</f>
        <v>1</v>
      </c>
      <c r="BP31" s="33">
        <f>VLOOKUP($F31,Assumptions!$E$152:$BC$157,COLUMN()-COLUMN($BC$4),FALSE)</f>
        <v>1</v>
      </c>
      <c r="BQ31" s="33">
        <f>VLOOKUP($F31,Assumptions!$E$152:$BC$157,COLUMN()-COLUMN($BC$4),FALSE)</f>
        <v>1</v>
      </c>
      <c r="BR31" s="33">
        <f>VLOOKUP($F31,Assumptions!$E$152:$BC$157,COLUMN()-COLUMN($BC$4),FALSE)</f>
        <v>1</v>
      </c>
      <c r="BS31" s="33">
        <f>VLOOKUP($F31,Assumptions!$E$152:$BC$157,COLUMN()-COLUMN($BC$4),FALSE)</f>
        <v>1</v>
      </c>
      <c r="BT31" s="33">
        <f>VLOOKUP($F31,Assumptions!$E$152:$BC$157,COLUMN()-COLUMN($BC$4),FALSE)</f>
        <v>1</v>
      </c>
      <c r="BU31" s="33">
        <f>VLOOKUP($F31,Assumptions!$E$152:$BC$157,COLUMN()-COLUMN($BC$4),FALSE)</f>
        <v>1</v>
      </c>
      <c r="BV31" s="33">
        <f>VLOOKUP($F31,Assumptions!$E$152:$BC$157,COLUMN()-COLUMN($BC$4),FALSE)</f>
        <v>1</v>
      </c>
      <c r="BW31" s="33">
        <f>VLOOKUP($F31,Assumptions!$E$152:$BC$157,COLUMN()-COLUMN($BC$4),FALSE)</f>
        <v>1</v>
      </c>
      <c r="BX31" s="33">
        <f>VLOOKUP($F31,Assumptions!$E$152:$BC$157,COLUMN()-COLUMN($BC$4),FALSE)</f>
        <v>1</v>
      </c>
      <c r="BY31" s="33">
        <f>VLOOKUP($F31,Assumptions!$E$152:$BC$157,COLUMN()-COLUMN($BC$4),FALSE)</f>
        <v>1</v>
      </c>
      <c r="BZ31" s="33">
        <f>VLOOKUP($F31,Assumptions!$E$152:$BC$157,COLUMN()-COLUMN($BC$4),FALSE)</f>
        <v>1</v>
      </c>
      <c r="CA31" s="33">
        <f>VLOOKUP($F31,Assumptions!$E$152:$BC$157,COLUMN()-COLUMN($BC$4),FALSE)</f>
        <v>1</v>
      </c>
      <c r="CB31" s="33">
        <f>VLOOKUP($F31,Assumptions!$E$152:$BC$157,COLUMN()-COLUMN($BC$4),FALSE)</f>
        <v>1</v>
      </c>
      <c r="CC31" s="33">
        <f>VLOOKUP($F31,Assumptions!$E$152:$BC$157,COLUMN()-COLUMN($BC$4),FALSE)</f>
        <v>1</v>
      </c>
      <c r="CD31" s="33">
        <f>VLOOKUP($F31,Assumptions!$E$152:$BC$157,COLUMN()-COLUMN($BC$4),FALSE)</f>
        <v>1</v>
      </c>
      <c r="CE31" s="33">
        <f>VLOOKUP($F31,Assumptions!$E$152:$BC$157,COLUMN()-COLUMN($BC$4),FALSE)</f>
        <v>1</v>
      </c>
      <c r="CF31" s="33">
        <f>VLOOKUP($F31,Assumptions!$E$152:$BC$157,COLUMN()-COLUMN($BC$4),FALSE)</f>
        <v>1</v>
      </c>
      <c r="CG31" s="33">
        <f>VLOOKUP($F31,Assumptions!$E$152:$BC$157,COLUMN()-COLUMN($BC$4),FALSE)</f>
        <v>1</v>
      </c>
      <c r="CH31" s="33">
        <f>VLOOKUP($F31,Assumptions!$E$152:$BC$157,COLUMN()-COLUMN($BC$4),FALSE)</f>
        <v>1</v>
      </c>
      <c r="CI31" s="33">
        <f>VLOOKUP($F31,Assumptions!$E$152:$BC$157,COLUMN()-COLUMN($BC$4),FALSE)</f>
        <v>1</v>
      </c>
      <c r="CJ31" s="33">
        <f>VLOOKUP($F31,Assumptions!$E$152:$BC$157,COLUMN()-COLUMN($BC$4),FALSE)</f>
        <v>1</v>
      </c>
      <c r="CK31" s="33">
        <f>VLOOKUP($F31,Assumptions!$E$152:$BC$157,COLUMN()-COLUMN($BC$4),FALSE)</f>
        <v>1</v>
      </c>
      <c r="CL31" s="33">
        <f>VLOOKUP($F31,Assumptions!$E$152:$BC$157,COLUMN()-COLUMN($BC$4),FALSE)</f>
        <v>1</v>
      </c>
      <c r="CM31" s="33">
        <f>VLOOKUP($F31,Assumptions!$E$152:$BC$157,COLUMN()-COLUMN($BC$4),FALSE)</f>
        <v>1</v>
      </c>
      <c r="CN31" s="33">
        <f>VLOOKUP($F31,Assumptions!$E$152:$BC$157,COLUMN()-COLUMN($BC$4),FALSE)</f>
        <v>1</v>
      </c>
      <c r="CO31" s="33">
        <f>VLOOKUP($F31,Assumptions!$E$152:$BC$157,COLUMN()-COLUMN($BC$4),FALSE)</f>
        <v>1</v>
      </c>
      <c r="CP31" s="33">
        <f>VLOOKUP($F31,Assumptions!$E$152:$BC$157,COLUMN()-COLUMN($BC$4),FALSE)</f>
        <v>1</v>
      </c>
      <c r="CQ31" s="33">
        <f>VLOOKUP($F31,Assumptions!$E$152:$BC$157,COLUMN()-COLUMN($BC$4),FALSE)</f>
        <v>1</v>
      </c>
      <c r="CR31" s="33">
        <f>VLOOKUP($F31,Assumptions!$E$152:$BC$157,COLUMN()-COLUMN($BC$4),FALSE)</f>
        <v>1</v>
      </c>
      <c r="CS31" s="33">
        <f>VLOOKUP($F31,Assumptions!$E$152:$BC$157,COLUMN()-COLUMN($BC$4),FALSE)</f>
        <v>1</v>
      </c>
      <c r="CT31" s="33">
        <f>VLOOKUP($F31,Assumptions!$E$152:$BC$157,COLUMN()-COLUMN($BC$4),FALSE)</f>
        <v>1</v>
      </c>
      <c r="CU31" s="33">
        <f>VLOOKUP($F31,Assumptions!$E$152:$BC$157,COLUMN()-COLUMN($BC$4),FALSE)</f>
        <v>1</v>
      </c>
      <c r="CV31" s="33">
        <f>VLOOKUP($F31,Assumptions!$E$152:$BC$157,COLUMN()-COLUMN($BC$4),FALSE)</f>
        <v>1</v>
      </c>
      <c r="CW31" s="33">
        <f>VLOOKUP($F31,Assumptions!$E$152:$BC$157,COLUMN()-COLUMN($BC$4),FALSE)</f>
        <v>1</v>
      </c>
      <c r="CX31" s="33">
        <f>VLOOKUP($F31,Assumptions!$E$152:$BC$157,COLUMN()-COLUMN($BC$4),FALSE)</f>
        <v>1</v>
      </c>
      <c r="CY31" s="27"/>
      <c r="DB31" t="str">
        <f t="shared" si="69"/>
        <v>TAI</v>
      </c>
      <c r="DD31" t="s">
        <v>160</v>
      </c>
      <c r="EV31" s="27"/>
      <c r="EW31" s="27" t="str">
        <f t="shared" si="48"/>
        <v>\I:</v>
      </c>
      <c r="EX31" s="27" t="str">
        <f t="shared" si="68"/>
        <v/>
      </c>
      <c r="EY31" s="27" t="s">
        <v>169</v>
      </c>
      <c r="EZ31" s="27" t="s">
        <v>160</v>
      </c>
      <c r="FA31" s="27" t="s">
        <v>161</v>
      </c>
    </row>
    <row r="32" spans="1:157">
      <c r="C32" s="27" t="str">
        <f t="shared" si="54"/>
        <v/>
      </c>
      <c r="D32" s="27" t="s">
        <v>43</v>
      </c>
      <c r="E32" s="27"/>
      <c r="F32" s="27" t="s">
        <v>21</v>
      </c>
      <c r="G32" s="33">
        <f>SUMIFS(Assumptions!BD$105:BD$128,Assumptions!$BB$105:$BB$128,'non-road'!$F32,Assumptions!$BC$105:$BC$128,'non-road'!$D32)/SUMIF(Assumptions!$BB$105:$BB$128,'non-road'!$F32,Assumptions!BD$105:BD$128)</f>
        <v>0</v>
      </c>
      <c r="H32" s="33">
        <f>SUMIFS(Assumptions!BE$105:BE$128,Assumptions!$BB$105:$BB$128,'non-road'!$F32,Assumptions!$BC$105:$BC$128,'non-road'!$D32)/SUMIF(Assumptions!$BB$105:$BB$128,'non-road'!$F32,Assumptions!BE$105:BE$128)</f>
        <v>0</v>
      </c>
      <c r="I32" s="33">
        <f>SUMIFS(Assumptions!BF$105:BF$128,Assumptions!$BB$105:$BB$128,'non-road'!$F32,Assumptions!$BC$105:$BC$128,'non-road'!$D32)/SUMIF(Assumptions!$BB$105:$BB$128,'non-road'!$F32,Assumptions!BF$105:BF$128)</f>
        <v>0</v>
      </c>
      <c r="J32" s="33">
        <f>SUMIFS(Assumptions!BG$105:BG$128,Assumptions!$BB$105:$BB$128,'non-road'!$F32,Assumptions!$BC$105:$BC$128,'non-road'!$D32)/SUMIF(Assumptions!$BB$105:$BB$128,'non-road'!$F32,Assumptions!BG$105:BG$128)</f>
        <v>0</v>
      </c>
      <c r="K32" s="33">
        <f>SUMIFS(Assumptions!BH$105:BH$128,Assumptions!$BB$105:$BB$128,'non-road'!$F32,Assumptions!$BC$105:$BC$128,'non-road'!$D32)/SUMIF(Assumptions!$BB$105:$BB$128,'non-road'!$F32,Assumptions!BH$105:BH$128)</f>
        <v>0</v>
      </c>
      <c r="L32" s="33">
        <f>SUMIFS(Assumptions!BI$105:BI$128,Assumptions!$BB$105:$BB$128,'non-road'!$F32,Assumptions!$BC$105:$BC$128,'non-road'!$D32)/SUMIF(Assumptions!$BB$105:$BB$128,'non-road'!$F32,Assumptions!BI$105:BI$128)</f>
        <v>0</v>
      </c>
      <c r="M32" s="33">
        <f>SUMIFS(Assumptions!BJ$105:BJ$128,Assumptions!$BB$105:$BB$128,'non-road'!$F32,Assumptions!$BC$105:$BC$128,'non-road'!$D32)/SUMIF(Assumptions!$BB$105:$BB$128,'non-road'!$F32,Assumptions!BJ$105:BJ$128)</f>
        <v>0</v>
      </c>
      <c r="N32" s="33">
        <f>SUMIFS(Assumptions!BK$105:BK$128,Assumptions!$BB$105:$BB$128,'non-road'!$F32,Assumptions!$BC$105:$BC$128,'non-road'!$D32)/SUMIF(Assumptions!$BB$105:$BB$128,'non-road'!$F32,Assumptions!BK$105:BK$128)</f>
        <v>0</v>
      </c>
      <c r="O32" s="33">
        <f>SUMIFS(Assumptions!BL$105:BL$128,Assumptions!$BB$105:$BB$128,'non-road'!$F32,Assumptions!$BC$105:$BC$128,'non-road'!$D32)/SUMIF(Assumptions!$BB$105:$BB$128,'non-road'!$F32,Assumptions!BL$105:BL$128)</f>
        <v>0</v>
      </c>
      <c r="P32" s="33">
        <f>SUMIFS(Assumptions!BM$105:BM$128,Assumptions!$BB$105:$BB$128,'non-road'!$F32,Assumptions!$BC$105:$BC$128,'non-road'!$D32)/SUMIF(Assumptions!$BB$105:$BB$128,'non-road'!$F32,Assumptions!BM$105:BM$128)</f>
        <v>0</v>
      </c>
      <c r="Q32" s="33">
        <f>SUMIFS(Assumptions!BN$105:BN$128,Assumptions!$BB$105:$BB$128,'non-road'!$F32,Assumptions!$BC$105:$BC$128,'non-road'!$D32)/SUMIF(Assumptions!$BB$105:$BB$128,'non-road'!$F32,Assumptions!BN$105:BN$128)</f>
        <v>0</v>
      </c>
      <c r="R32" s="33">
        <f>SUMIFS(Assumptions!BO$105:BO$128,Assumptions!$BB$105:$BB$128,'non-road'!$F32,Assumptions!$BC$105:$BC$128,'non-road'!$D32)/SUMIF(Assumptions!$BB$105:$BB$128,'non-road'!$F32,Assumptions!BO$105:BO$128)</f>
        <v>0</v>
      </c>
      <c r="S32" s="33">
        <f>SUMIFS(Assumptions!BP$105:BP$128,Assumptions!$BB$105:$BB$128,'non-road'!$F32,Assumptions!$BC$105:$BC$128,'non-road'!$D32)/SUMIF(Assumptions!$BB$105:$BB$128,'non-road'!$F32,Assumptions!BP$105:BP$128)</f>
        <v>0</v>
      </c>
      <c r="T32" s="33">
        <f>SUMIFS(Assumptions!BQ$105:BQ$128,Assumptions!$BB$105:$BB$128,'non-road'!$F32,Assumptions!$BC$105:$BC$128,'non-road'!$D32)/SUMIF(Assumptions!$BB$105:$BB$128,'non-road'!$F32,Assumptions!BQ$105:BQ$128)</f>
        <v>0</v>
      </c>
      <c r="U32" s="33">
        <f>SUMIFS(Assumptions!BR$105:BR$128,Assumptions!$BB$105:$BB$128,'non-road'!$F32,Assumptions!$BC$105:$BC$128,'non-road'!$D32)/SUMIF(Assumptions!$BB$105:$BB$128,'non-road'!$F32,Assumptions!BR$105:BR$128)</f>
        <v>0</v>
      </c>
      <c r="V32" s="33">
        <f>SUMIFS(Assumptions!BS$105:BS$128,Assumptions!$BB$105:$BB$128,'non-road'!$F32,Assumptions!$BC$105:$BC$128,'non-road'!$D32)/SUMIF(Assumptions!$BB$105:$BB$128,'non-road'!$F32,Assumptions!BS$105:BS$128)</f>
        <v>0</v>
      </c>
      <c r="W32" s="33">
        <f>SUMIFS(Assumptions!BT$105:BT$128,Assumptions!$BB$105:$BB$128,'non-road'!$F32,Assumptions!$BC$105:$BC$128,'non-road'!$D32)/SUMIF(Assumptions!$BB$105:$BB$128,'non-road'!$F32,Assumptions!BT$105:BT$128)</f>
        <v>0</v>
      </c>
      <c r="X32" s="33">
        <f>SUMIFS(Assumptions!BU$105:BU$128,Assumptions!$BB$105:$BB$128,'non-road'!$F32,Assumptions!$BC$105:$BC$128,'non-road'!$D32)/SUMIF(Assumptions!$BB$105:$BB$128,'non-road'!$F32,Assumptions!BU$105:BU$128)</f>
        <v>0</v>
      </c>
      <c r="Y32" s="33">
        <f>SUMIFS(Assumptions!BV$105:BV$128,Assumptions!$BB$105:$BB$128,'non-road'!$F32,Assumptions!$BC$105:$BC$128,'non-road'!$D32)/SUMIF(Assumptions!$BB$105:$BB$128,'non-road'!$F32,Assumptions!BV$105:BV$128)</f>
        <v>0</v>
      </c>
      <c r="Z32" s="33">
        <f>SUMIFS(Assumptions!BW$105:BW$128,Assumptions!$BB$105:$BB$128,'non-road'!$F32,Assumptions!$BC$105:$BC$128,'non-road'!$D32)/SUMIF(Assumptions!$BB$105:$BB$128,'non-road'!$F32,Assumptions!BW$105:BW$128)</f>
        <v>0</v>
      </c>
      <c r="AA32" s="33" t="e">
        <f>SUMIFS(Assumptions!BX$105:BX$128,Assumptions!$BB$105:$BB$128,'non-road'!$F32,Assumptions!$BC$105:$BC$128,'non-road'!$D32)/SUMIF(Assumptions!$BB$105:$BB$128,'non-road'!$F32,Assumptions!BX$105:BX$128)</f>
        <v>#DIV/0!</v>
      </c>
      <c r="AB32" s="33">
        <f>SUMIFS(Assumptions!BY$105:BY$128,Assumptions!$BB$105:$BB$128,'non-road'!$F32,Assumptions!$BC$105:$BC$128,'non-road'!$D32)/SUMIF(Assumptions!$BB$105:$BB$128,'non-road'!$F32,Assumptions!BY$105:BY$128)</f>
        <v>0</v>
      </c>
      <c r="AC32" s="33">
        <f>SUMIFS(Assumptions!BZ$105:BZ$128,Assumptions!$BB$105:$BB$128,'non-road'!$F32,Assumptions!$BC$105:$BC$128,'non-road'!$D32)/SUMIF(Assumptions!$BB$105:$BB$128,'non-road'!$F32,Assumptions!BZ$105:BZ$128)</f>
        <v>0</v>
      </c>
      <c r="AD32" s="33">
        <f>SUMIFS(Assumptions!CA$105:CA$128,Assumptions!$BB$105:$BB$128,'non-road'!$F32,Assumptions!$BC$105:$BC$128,'non-road'!$D32)/SUMIF(Assumptions!$BB$105:$BB$128,'non-road'!$F32,Assumptions!CA$105:CA$128)</f>
        <v>0</v>
      </c>
      <c r="AE32" s="33">
        <f>SUMIFS(Assumptions!CB$105:CB$128,Assumptions!$BB$105:$BB$128,'non-road'!$F32,Assumptions!$BC$105:$BC$128,'non-road'!$D32)/SUMIF(Assumptions!$BB$105:$BB$128,'non-road'!$F32,Assumptions!CB$105:CB$128)</f>
        <v>0</v>
      </c>
      <c r="AF32" s="33">
        <f>SUMIFS(Assumptions!CC$105:CC$128,Assumptions!$BB$105:$BB$128,'non-road'!$F32,Assumptions!$BC$105:$BC$128,'non-road'!$D32)/SUMIF(Assumptions!$BB$105:$BB$128,'non-road'!$F32,Assumptions!CC$105:CC$128)</f>
        <v>0</v>
      </c>
      <c r="AG32" s="33" t="e">
        <f>SUMIFS(Assumptions!CD$105:CD$128,Assumptions!$BB$105:$BB$128,'non-road'!$F32,Assumptions!$BC$105:$BC$128,'non-road'!$D32)/SUMIF(Assumptions!$BB$105:$BB$128,'non-road'!$F32,Assumptions!CD$105:CD$128)</f>
        <v>#DIV/0!</v>
      </c>
      <c r="AH32" s="33">
        <f>SUMIFS(Assumptions!CE$105:CE$128,Assumptions!$BB$105:$BB$128,'non-road'!$F32,Assumptions!$BC$105:$BC$128,'non-road'!$D32)/SUMIF(Assumptions!$BB$105:$BB$128,'non-road'!$F32,Assumptions!CE$105:CE$128)</f>
        <v>0</v>
      </c>
      <c r="AI32" s="33">
        <f>SUMIFS(Assumptions!CF$105:CF$128,Assumptions!$BB$105:$BB$128,'non-road'!$F32,Assumptions!$BC$105:$BC$128,'non-road'!$D32)/SUMIF(Assumptions!$BB$105:$BB$128,'non-road'!$F32,Assumptions!CF$105:CF$128)</f>
        <v>0</v>
      </c>
      <c r="AJ32" s="33">
        <f>SUMIFS(Assumptions!CG$105:CG$128,Assumptions!$BB$105:$BB$128,'non-road'!$F32,Assumptions!$BC$105:$BC$128,'non-road'!$D32)/SUMIF(Assumptions!$BB$105:$BB$128,'non-road'!$F32,Assumptions!CG$105:CG$128)</f>
        <v>0</v>
      </c>
      <c r="AK32" s="33">
        <f>SUMIFS(Assumptions!CH$105:CH$128,Assumptions!$BB$105:$BB$128,'non-road'!$F32,Assumptions!$BC$105:$BC$128,'non-road'!$D32)/SUMIF(Assumptions!$BB$105:$BB$128,'non-road'!$F32,Assumptions!CH$105:CH$128)</f>
        <v>0</v>
      </c>
      <c r="AL32" s="33">
        <f>SUMIFS(Assumptions!CI$105:CI$128,Assumptions!$BB$105:$BB$128,'non-road'!$F32,Assumptions!$BC$105:$BC$128,'non-road'!$D32)/SUMIF(Assumptions!$BB$105:$BB$128,'non-road'!$F32,Assumptions!CI$105:CI$128)</f>
        <v>0</v>
      </c>
      <c r="AM32" s="33">
        <f>SUMIFS(Assumptions!CJ$105:CJ$128,Assumptions!$BB$105:$BB$128,'non-road'!$F32,Assumptions!$BC$105:$BC$128,'non-road'!$D32)/SUMIF(Assumptions!$BB$105:$BB$128,'non-road'!$F32,Assumptions!CJ$105:CJ$128)</f>
        <v>0</v>
      </c>
      <c r="AN32" s="33">
        <f>SUMIFS(Assumptions!CK$105:CK$128,Assumptions!$BB$105:$BB$128,'non-road'!$F32,Assumptions!$BC$105:$BC$128,'non-road'!$D32)/SUMIF(Assumptions!$BB$105:$BB$128,'non-road'!$F32,Assumptions!CK$105:CK$128)</f>
        <v>0</v>
      </c>
      <c r="AO32" s="33">
        <f>SUMIFS(Assumptions!CL$105:CL$128,Assumptions!$BB$105:$BB$128,'non-road'!$F32,Assumptions!$BC$105:$BC$128,'non-road'!$D32)/SUMIF(Assumptions!$BB$105:$BB$128,'non-road'!$F32,Assumptions!CL$105:CL$128)</f>
        <v>0</v>
      </c>
      <c r="AP32" s="33" t="e">
        <f>SUMIFS(Assumptions!CM$105:CM$128,Assumptions!$BB$105:$BB$128,'non-road'!$F32,Assumptions!$BC$105:$BC$128,'non-road'!$D32)/SUMIF(Assumptions!$BB$105:$BB$128,'non-road'!$F32,Assumptions!CM$105:CM$128)</f>
        <v>#DIV/0!</v>
      </c>
      <c r="AQ32" s="33" t="e">
        <f>SUMIFS(Assumptions!CN$105:CN$128,Assumptions!$BB$105:$BB$128,'non-road'!$F32,Assumptions!$BC$105:$BC$128,'non-road'!$D32)/SUMIF(Assumptions!$BB$105:$BB$128,'non-road'!$F32,Assumptions!CN$105:CN$128)</f>
        <v>#DIV/0!</v>
      </c>
      <c r="AR32" s="33" t="e">
        <f>SUMIFS(Assumptions!CO$105:CO$128,Assumptions!$BB$105:$BB$128,'non-road'!$F32,Assumptions!$BC$105:$BC$128,'non-road'!$D32)/SUMIF(Assumptions!$BB$105:$BB$128,'non-road'!$F32,Assumptions!CO$105:CO$128)</f>
        <v>#DIV/0!</v>
      </c>
      <c r="AS32" s="33" t="e">
        <f>SUMIFS(Assumptions!CP$105:CP$128,Assumptions!$BB$105:$BB$128,'non-road'!$F32,Assumptions!$BC$105:$BC$128,'non-road'!$D32)/SUMIF(Assumptions!$BB$105:$BB$128,'non-road'!$F32,Assumptions!CP$105:CP$128)</f>
        <v>#DIV/0!</v>
      </c>
      <c r="AT32" s="33" t="e">
        <f>SUMIFS(Assumptions!CQ$105:CQ$128,Assumptions!$BB$105:$BB$128,'non-road'!$F32,Assumptions!$BC$105:$BC$128,'non-road'!$D32)/SUMIF(Assumptions!$BB$105:$BB$128,'non-road'!$F32,Assumptions!CQ$105:CQ$128)</f>
        <v>#DIV/0!</v>
      </c>
      <c r="AU32" s="33" t="e">
        <f>SUMIFS(Assumptions!CR$105:CR$128,Assumptions!$BB$105:$BB$128,'non-road'!$F32,Assumptions!$BC$105:$BC$128,'non-road'!$D32)/SUMIF(Assumptions!$BB$105:$BB$128,'non-road'!$F32,Assumptions!CR$105:CR$128)</f>
        <v>#DIV/0!</v>
      </c>
      <c r="AV32" s="33" t="e">
        <f>SUMIFS(Assumptions!CS$105:CS$128,Assumptions!$BB$105:$BB$128,'non-road'!$F32,Assumptions!$BC$105:$BC$128,'non-road'!$D32)/SUMIF(Assumptions!$BB$105:$BB$128,'non-road'!$F32,Assumptions!CS$105:CS$128)</f>
        <v>#DIV/0!</v>
      </c>
      <c r="AW32" s="33" t="e">
        <f>SUMIFS(Assumptions!CT$105:CT$128,Assumptions!$BB$105:$BB$128,'non-road'!$F32,Assumptions!$BC$105:$BC$128,'non-road'!$D32)/SUMIF(Assumptions!$BB$105:$BB$128,'non-road'!$F32,Assumptions!CT$105:CT$128)</f>
        <v>#DIV/0!</v>
      </c>
      <c r="AX32" s="33" t="e">
        <f>SUMIFS(Assumptions!CU$105:CU$128,Assumptions!$BB$105:$BB$128,'non-road'!$F32,Assumptions!$BC$105:$BC$128,'non-road'!$D32)/SUMIF(Assumptions!$BB$105:$BB$128,'non-road'!$F32,Assumptions!CU$105:CU$128)</f>
        <v>#DIV/0!</v>
      </c>
      <c r="AY32" s="33" t="e">
        <f>SUMIFS(Assumptions!CV$105:CV$128,Assumptions!$BB$105:$BB$128,'non-road'!$F32,Assumptions!$BC$105:$BC$128,'non-road'!$D32)/SUMIF(Assumptions!$BB$105:$BB$128,'non-road'!$F32,Assumptions!CV$105:CV$128)</f>
        <v>#DIV/0!</v>
      </c>
      <c r="AZ32" s="33" t="e">
        <f>SUMIFS(Assumptions!CW$105:CW$128,Assumptions!$BB$105:$BB$128,'non-road'!$F32,Assumptions!$BC$105:$BC$128,'non-road'!$D32)/SUMIF(Assumptions!$BB$105:$BB$128,'non-road'!$F32,Assumptions!CW$105:CW$128)</f>
        <v>#DIV/0!</v>
      </c>
      <c r="BD32" s="27" t="str">
        <f t="shared" si="55"/>
        <v>\I:</v>
      </c>
      <c r="BE32" s="33">
        <f>VLOOKUP($F32,Assumptions!$E$152:$BC$157,COLUMN()-COLUMN($BC$4),FALSE)</f>
        <v>1</v>
      </c>
      <c r="BF32" s="33">
        <f>VLOOKUP($F32,Assumptions!$E$152:$BC$157,COLUMN()-COLUMN($BC$4),FALSE)</f>
        <v>1</v>
      </c>
      <c r="BG32" s="33">
        <f>VLOOKUP($F32,Assumptions!$E$152:$BC$157,COLUMN()-COLUMN($BC$4),FALSE)</f>
        <v>1</v>
      </c>
      <c r="BH32" s="33">
        <f>VLOOKUP($F32,Assumptions!$E$152:$BC$157,COLUMN()-COLUMN($BC$4),FALSE)</f>
        <v>1</v>
      </c>
      <c r="BI32" s="33">
        <f>VLOOKUP($F32,Assumptions!$E$152:$BC$157,COLUMN()-COLUMN($BC$4),FALSE)</f>
        <v>1</v>
      </c>
      <c r="BJ32" s="33">
        <f>VLOOKUP($F32,Assumptions!$E$152:$BC$157,COLUMN()-COLUMN($BC$4),FALSE)</f>
        <v>1</v>
      </c>
      <c r="BK32" s="33">
        <f>VLOOKUP($F32,Assumptions!$E$152:$BC$157,COLUMN()-COLUMN($BC$4),FALSE)</f>
        <v>1</v>
      </c>
      <c r="BL32" s="33">
        <f>VLOOKUP($F32,Assumptions!$E$152:$BC$157,COLUMN()-COLUMN($BC$4),FALSE)</f>
        <v>1</v>
      </c>
      <c r="BM32" s="33">
        <f>VLOOKUP($F32,Assumptions!$E$152:$BC$157,COLUMN()-COLUMN($BC$4),FALSE)</f>
        <v>1</v>
      </c>
      <c r="BN32" s="33">
        <f>VLOOKUP($F32,Assumptions!$E$152:$BC$157,COLUMN()-COLUMN($BC$4),FALSE)</f>
        <v>1</v>
      </c>
      <c r="BO32" s="33">
        <f>VLOOKUP($F32,Assumptions!$E$152:$BC$157,COLUMN()-COLUMN($BC$4),FALSE)</f>
        <v>1</v>
      </c>
      <c r="BP32" s="33">
        <f>VLOOKUP($F32,Assumptions!$E$152:$BC$157,COLUMN()-COLUMN($BC$4),FALSE)</f>
        <v>1</v>
      </c>
      <c r="BQ32" s="33">
        <f>VLOOKUP($F32,Assumptions!$E$152:$BC$157,COLUMN()-COLUMN($BC$4),FALSE)</f>
        <v>1</v>
      </c>
      <c r="BR32" s="33">
        <f>VLOOKUP($F32,Assumptions!$E$152:$BC$157,COLUMN()-COLUMN($BC$4),FALSE)</f>
        <v>1</v>
      </c>
      <c r="BS32" s="33">
        <f>VLOOKUP($F32,Assumptions!$E$152:$BC$157,COLUMN()-COLUMN($BC$4),FALSE)</f>
        <v>1</v>
      </c>
      <c r="BT32" s="33">
        <f>VLOOKUP($F32,Assumptions!$E$152:$BC$157,COLUMN()-COLUMN($BC$4),FALSE)</f>
        <v>1</v>
      </c>
      <c r="BU32" s="33">
        <f>VLOOKUP($F32,Assumptions!$E$152:$BC$157,COLUMN()-COLUMN($BC$4),FALSE)</f>
        <v>1</v>
      </c>
      <c r="BV32" s="33">
        <f>VLOOKUP($F32,Assumptions!$E$152:$BC$157,COLUMN()-COLUMN($BC$4),FALSE)</f>
        <v>1</v>
      </c>
      <c r="BW32" s="33">
        <f>VLOOKUP($F32,Assumptions!$E$152:$BC$157,COLUMN()-COLUMN($BC$4),FALSE)</f>
        <v>1</v>
      </c>
      <c r="BX32" s="33">
        <f>VLOOKUP($F32,Assumptions!$E$152:$BC$157,COLUMN()-COLUMN($BC$4),FALSE)</f>
        <v>1</v>
      </c>
      <c r="BY32" s="33">
        <f>VLOOKUP($F32,Assumptions!$E$152:$BC$157,COLUMN()-COLUMN($BC$4),FALSE)</f>
        <v>1</v>
      </c>
      <c r="BZ32" s="33">
        <f>VLOOKUP($F32,Assumptions!$E$152:$BC$157,COLUMN()-COLUMN($BC$4),FALSE)</f>
        <v>1</v>
      </c>
      <c r="CA32" s="33">
        <f>VLOOKUP($F32,Assumptions!$E$152:$BC$157,COLUMN()-COLUMN($BC$4),FALSE)</f>
        <v>1</v>
      </c>
      <c r="CB32" s="33">
        <f>VLOOKUP($F32,Assumptions!$E$152:$BC$157,COLUMN()-COLUMN($BC$4),FALSE)</f>
        <v>1</v>
      </c>
      <c r="CC32" s="33">
        <f>VLOOKUP($F32,Assumptions!$E$152:$BC$157,COLUMN()-COLUMN($BC$4),FALSE)</f>
        <v>1</v>
      </c>
      <c r="CD32" s="33">
        <f>VLOOKUP($F32,Assumptions!$E$152:$BC$157,COLUMN()-COLUMN($BC$4),FALSE)</f>
        <v>1</v>
      </c>
      <c r="CE32" s="33">
        <f>VLOOKUP($F32,Assumptions!$E$152:$BC$157,COLUMN()-COLUMN($BC$4),FALSE)</f>
        <v>1</v>
      </c>
      <c r="CF32" s="33">
        <f>VLOOKUP($F32,Assumptions!$E$152:$BC$157,COLUMN()-COLUMN($BC$4),FALSE)</f>
        <v>1</v>
      </c>
      <c r="CG32" s="33">
        <f>VLOOKUP($F32,Assumptions!$E$152:$BC$157,COLUMN()-COLUMN($BC$4),FALSE)</f>
        <v>1</v>
      </c>
      <c r="CH32" s="33">
        <f>VLOOKUP($F32,Assumptions!$E$152:$BC$157,COLUMN()-COLUMN($BC$4),FALSE)</f>
        <v>1</v>
      </c>
      <c r="CI32" s="33">
        <f>VLOOKUP($F32,Assumptions!$E$152:$BC$157,COLUMN()-COLUMN($BC$4),FALSE)</f>
        <v>1</v>
      </c>
      <c r="CJ32" s="33">
        <f>VLOOKUP($F32,Assumptions!$E$152:$BC$157,COLUMN()-COLUMN($BC$4),FALSE)</f>
        <v>1</v>
      </c>
      <c r="CK32" s="33">
        <f>VLOOKUP($F32,Assumptions!$E$152:$BC$157,COLUMN()-COLUMN($BC$4),FALSE)</f>
        <v>1</v>
      </c>
      <c r="CL32" s="33">
        <f>VLOOKUP($F32,Assumptions!$E$152:$BC$157,COLUMN()-COLUMN($BC$4),FALSE)</f>
        <v>1</v>
      </c>
      <c r="CM32" s="33">
        <f>VLOOKUP($F32,Assumptions!$E$152:$BC$157,COLUMN()-COLUMN($BC$4),FALSE)</f>
        <v>1</v>
      </c>
      <c r="CN32" s="33">
        <f>VLOOKUP($F32,Assumptions!$E$152:$BC$157,COLUMN()-COLUMN($BC$4),FALSE)</f>
        <v>1</v>
      </c>
      <c r="CO32" s="33">
        <f>VLOOKUP($F32,Assumptions!$E$152:$BC$157,COLUMN()-COLUMN($BC$4),FALSE)</f>
        <v>1</v>
      </c>
      <c r="CP32" s="33">
        <f>VLOOKUP($F32,Assumptions!$E$152:$BC$157,COLUMN()-COLUMN($BC$4),FALSE)</f>
        <v>1</v>
      </c>
      <c r="CQ32" s="33">
        <f>VLOOKUP($F32,Assumptions!$E$152:$BC$157,COLUMN()-COLUMN($BC$4),FALSE)</f>
        <v>1</v>
      </c>
      <c r="CR32" s="33">
        <f>VLOOKUP($F32,Assumptions!$E$152:$BC$157,COLUMN()-COLUMN($BC$4),FALSE)</f>
        <v>1</v>
      </c>
      <c r="CS32" s="33">
        <f>VLOOKUP($F32,Assumptions!$E$152:$BC$157,COLUMN()-COLUMN($BC$4),FALSE)</f>
        <v>1</v>
      </c>
      <c r="CT32" s="33">
        <f>VLOOKUP($F32,Assumptions!$E$152:$BC$157,COLUMN()-COLUMN($BC$4),FALSE)</f>
        <v>1</v>
      </c>
      <c r="CU32" s="33">
        <f>VLOOKUP($F32,Assumptions!$E$152:$BC$157,COLUMN()-COLUMN($BC$4),FALSE)</f>
        <v>1</v>
      </c>
      <c r="CV32" s="33">
        <f>VLOOKUP($F32,Assumptions!$E$152:$BC$157,COLUMN()-COLUMN($BC$4),FALSE)</f>
        <v>1</v>
      </c>
      <c r="CW32" s="33">
        <f>VLOOKUP($F32,Assumptions!$E$152:$BC$157,COLUMN()-COLUMN($BC$4),FALSE)</f>
        <v>1</v>
      </c>
      <c r="CX32" s="33">
        <f>VLOOKUP($F32,Assumptions!$E$152:$BC$157,COLUMN()-COLUMN($BC$4),FALSE)</f>
        <v>1</v>
      </c>
      <c r="CY32" s="27"/>
      <c r="CZ32" s="27"/>
      <c r="DA32" s="27"/>
      <c r="DB32" t="str">
        <f t="shared" si="69"/>
        <v>TAD</v>
      </c>
      <c r="DC32" s="27"/>
      <c r="DD32" t="s">
        <v>160</v>
      </c>
      <c r="DE32" s="27"/>
      <c r="DF32" s="27"/>
      <c r="DG32" s="27"/>
      <c r="DH32" s="27"/>
      <c r="DI32" s="27"/>
      <c r="DJ32" s="27"/>
      <c r="DK32" s="27"/>
      <c r="DL32" s="27"/>
      <c r="DM32" s="27"/>
      <c r="DN32" s="27"/>
      <c r="DO32" s="27"/>
      <c r="DP32" s="27"/>
      <c r="DQ32" s="27"/>
      <c r="DR32" s="27"/>
      <c r="DS32" s="27"/>
      <c r="DT32" s="27"/>
      <c r="DU32" s="27"/>
      <c r="DV32" s="27"/>
      <c r="DW32" s="27"/>
      <c r="DX32" s="27"/>
      <c r="DY32" s="27"/>
      <c r="DZ32" s="27"/>
      <c r="EA32" s="27"/>
      <c r="EB32" s="27"/>
      <c r="EC32" s="27"/>
      <c r="ED32" s="27"/>
      <c r="EE32" s="27"/>
      <c r="EF32" s="27"/>
      <c r="EG32" s="27"/>
      <c r="EH32" s="27"/>
      <c r="EI32" s="27"/>
      <c r="EJ32" s="27"/>
      <c r="EK32" s="27"/>
      <c r="EL32" s="27"/>
      <c r="EM32" s="27"/>
      <c r="EN32" s="27"/>
      <c r="EO32" s="27"/>
      <c r="EP32" s="27"/>
      <c r="EQ32" s="27"/>
      <c r="ER32" s="27"/>
      <c r="ES32" s="27"/>
      <c r="ET32" s="27"/>
      <c r="EU32" s="27"/>
      <c r="EV32" s="27"/>
      <c r="EW32" s="27" t="str">
        <f t="shared" si="48"/>
        <v>\I:</v>
      </c>
      <c r="EX32" s="27" t="str">
        <f t="shared" si="68"/>
        <v/>
      </c>
      <c r="EY32" s="27" t="s">
        <v>169</v>
      </c>
      <c r="EZ32" s="27" t="s">
        <v>160</v>
      </c>
      <c r="FA32" s="27" t="s">
        <v>161</v>
      </c>
    </row>
    <row r="33" spans="3:157">
      <c r="C33" s="27" t="str">
        <f t="shared" si="54"/>
        <v/>
      </c>
      <c r="D33" s="27" t="s">
        <v>39</v>
      </c>
      <c r="E33" s="27"/>
      <c r="F33" s="27" t="s">
        <v>21</v>
      </c>
      <c r="G33" s="33">
        <f>SUMIFS(Assumptions!BD$105:BD$128,Assumptions!$BB$105:$BB$128,'non-road'!$F33,Assumptions!$BC$105:$BC$128,'non-road'!$D33)/SUMIF(Assumptions!$BB$105:$BB$128,'non-road'!$F33,Assumptions!BD$105:BD$128)</f>
        <v>0</v>
      </c>
      <c r="H33" s="33">
        <f>SUMIFS(Assumptions!BE$105:BE$128,Assumptions!$BB$105:$BB$128,'non-road'!$F33,Assumptions!$BC$105:$BC$128,'non-road'!$D33)/SUMIF(Assumptions!$BB$105:$BB$128,'non-road'!$F33,Assumptions!BE$105:BE$128)</f>
        <v>0</v>
      </c>
      <c r="I33" s="33">
        <f>SUMIFS(Assumptions!BF$105:BF$128,Assumptions!$BB$105:$BB$128,'non-road'!$F33,Assumptions!$BC$105:$BC$128,'non-road'!$D33)/SUMIF(Assumptions!$BB$105:$BB$128,'non-road'!$F33,Assumptions!BF$105:BF$128)</f>
        <v>0</v>
      </c>
      <c r="J33" s="33">
        <f>SUMIFS(Assumptions!BG$105:BG$128,Assumptions!$BB$105:$BB$128,'non-road'!$F33,Assumptions!$BC$105:$BC$128,'non-road'!$D33)/SUMIF(Assumptions!$BB$105:$BB$128,'non-road'!$F33,Assumptions!BG$105:BG$128)</f>
        <v>0</v>
      </c>
      <c r="K33" s="33">
        <f>SUMIFS(Assumptions!BH$105:BH$128,Assumptions!$BB$105:$BB$128,'non-road'!$F33,Assumptions!$BC$105:$BC$128,'non-road'!$D33)/SUMIF(Assumptions!$BB$105:$BB$128,'non-road'!$F33,Assumptions!BH$105:BH$128)</f>
        <v>0</v>
      </c>
      <c r="L33" s="33">
        <f>SUMIFS(Assumptions!BI$105:BI$128,Assumptions!$BB$105:$BB$128,'non-road'!$F33,Assumptions!$BC$105:$BC$128,'non-road'!$D33)/SUMIF(Assumptions!$BB$105:$BB$128,'non-road'!$F33,Assumptions!BI$105:BI$128)</f>
        <v>0</v>
      </c>
      <c r="M33" s="33">
        <f>SUMIFS(Assumptions!BJ$105:BJ$128,Assumptions!$BB$105:$BB$128,'non-road'!$F33,Assumptions!$BC$105:$BC$128,'non-road'!$D33)/SUMIF(Assumptions!$BB$105:$BB$128,'non-road'!$F33,Assumptions!BJ$105:BJ$128)</f>
        <v>0</v>
      </c>
      <c r="N33" s="33">
        <f>SUMIFS(Assumptions!BK$105:BK$128,Assumptions!$BB$105:$BB$128,'non-road'!$F33,Assumptions!$BC$105:$BC$128,'non-road'!$D33)/SUMIF(Assumptions!$BB$105:$BB$128,'non-road'!$F33,Assumptions!BK$105:BK$128)</f>
        <v>0</v>
      </c>
      <c r="O33" s="33">
        <f>SUMIFS(Assumptions!BL$105:BL$128,Assumptions!$BB$105:$BB$128,'non-road'!$F33,Assumptions!$BC$105:$BC$128,'non-road'!$D33)/SUMIF(Assumptions!$BB$105:$BB$128,'non-road'!$F33,Assumptions!BL$105:BL$128)</f>
        <v>0</v>
      </c>
      <c r="P33" s="33">
        <f>SUMIFS(Assumptions!BM$105:BM$128,Assumptions!$BB$105:$BB$128,'non-road'!$F33,Assumptions!$BC$105:$BC$128,'non-road'!$D33)/SUMIF(Assumptions!$BB$105:$BB$128,'non-road'!$F33,Assumptions!BM$105:BM$128)</f>
        <v>0</v>
      </c>
      <c r="Q33" s="33">
        <f>SUMIFS(Assumptions!BN$105:BN$128,Assumptions!$BB$105:$BB$128,'non-road'!$F33,Assumptions!$BC$105:$BC$128,'non-road'!$D33)/SUMIF(Assumptions!$BB$105:$BB$128,'non-road'!$F33,Assumptions!BN$105:BN$128)</f>
        <v>0</v>
      </c>
      <c r="R33" s="33">
        <f>SUMIFS(Assumptions!BO$105:BO$128,Assumptions!$BB$105:$BB$128,'non-road'!$F33,Assumptions!$BC$105:$BC$128,'non-road'!$D33)/SUMIF(Assumptions!$BB$105:$BB$128,'non-road'!$F33,Assumptions!BO$105:BO$128)</f>
        <v>0</v>
      </c>
      <c r="S33" s="33">
        <f>SUMIFS(Assumptions!BP$105:BP$128,Assumptions!$BB$105:$BB$128,'non-road'!$F33,Assumptions!$BC$105:$BC$128,'non-road'!$D33)/SUMIF(Assumptions!$BB$105:$BB$128,'non-road'!$F33,Assumptions!BP$105:BP$128)</f>
        <v>0</v>
      </c>
      <c r="T33" s="33">
        <f>SUMIFS(Assumptions!BQ$105:BQ$128,Assumptions!$BB$105:$BB$128,'non-road'!$F33,Assumptions!$BC$105:$BC$128,'non-road'!$D33)/SUMIF(Assumptions!$BB$105:$BB$128,'non-road'!$F33,Assumptions!BQ$105:BQ$128)</f>
        <v>0</v>
      </c>
      <c r="U33" s="33">
        <f>SUMIFS(Assumptions!BR$105:BR$128,Assumptions!$BB$105:$BB$128,'non-road'!$F33,Assumptions!$BC$105:$BC$128,'non-road'!$D33)/SUMIF(Assumptions!$BB$105:$BB$128,'non-road'!$F33,Assumptions!BR$105:BR$128)</f>
        <v>0</v>
      </c>
      <c r="V33" s="33">
        <f>SUMIFS(Assumptions!BS$105:BS$128,Assumptions!$BB$105:$BB$128,'non-road'!$F33,Assumptions!$BC$105:$BC$128,'non-road'!$D33)/SUMIF(Assumptions!$BB$105:$BB$128,'non-road'!$F33,Assumptions!BS$105:BS$128)</f>
        <v>0</v>
      </c>
      <c r="W33" s="33">
        <f>SUMIFS(Assumptions!BT$105:BT$128,Assumptions!$BB$105:$BB$128,'non-road'!$F33,Assumptions!$BC$105:$BC$128,'non-road'!$D33)/SUMIF(Assumptions!$BB$105:$BB$128,'non-road'!$F33,Assumptions!BT$105:BT$128)</f>
        <v>0</v>
      </c>
      <c r="X33" s="33">
        <f>SUMIFS(Assumptions!BU$105:BU$128,Assumptions!$BB$105:$BB$128,'non-road'!$F33,Assumptions!$BC$105:$BC$128,'non-road'!$D33)/SUMIF(Assumptions!$BB$105:$BB$128,'non-road'!$F33,Assumptions!BU$105:BU$128)</f>
        <v>0</v>
      </c>
      <c r="Y33" s="33">
        <f>SUMIFS(Assumptions!BV$105:BV$128,Assumptions!$BB$105:$BB$128,'non-road'!$F33,Assumptions!$BC$105:$BC$128,'non-road'!$D33)/SUMIF(Assumptions!$BB$105:$BB$128,'non-road'!$F33,Assumptions!BV$105:BV$128)</f>
        <v>0</v>
      </c>
      <c r="Z33" s="33">
        <f>SUMIFS(Assumptions!BW$105:BW$128,Assumptions!$BB$105:$BB$128,'non-road'!$F33,Assumptions!$BC$105:$BC$128,'non-road'!$D33)/SUMIF(Assumptions!$BB$105:$BB$128,'non-road'!$F33,Assumptions!BW$105:BW$128)</f>
        <v>0</v>
      </c>
      <c r="AA33" s="33" t="e">
        <f>SUMIFS(Assumptions!BX$105:BX$128,Assumptions!$BB$105:$BB$128,'non-road'!$F33,Assumptions!$BC$105:$BC$128,'non-road'!$D33)/SUMIF(Assumptions!$BB$105:$BB$128,'non-road'!$F33,Assumptions!BX$105:BX$128)</f>
        <v>#DIV/0!</v>
      </c>
      <c r="AB33" s="33">
        <f>SUMIFS(Assumptions!BY$105:BY$128,Assumptions!$BB$105:$BB$128,'non-road'!$F33,Assumptions!$BC$105:$BC$128,'non-road'!$D33)/SUMIF(Assumptions!$BB$105:$BB$128,'non-road'!$F33,Assumptions!BY$105:BY$128)</f>
        <v>0</v>
      </c>
      <c r="AC33" s="33">
        <f>SUMIFS(Assumptions!BZ$105:BZ$128,Assumptions!$BB$105:$BB$128,'non-road'!$F33,Assumptions!$BC$105:$BC$128,'non-road'!$D33)/SUMIF(Assumptions!$BB$105:$BB$128,'non-road'!$F33,Assumptions!BZ$105:BZ$128)</f>
        <v>0</v>
      </c>
      <c r="AD33" s="33">
        <f>SUMIFS(Assumptions!CA$105:CA$128,Assumptions!$BB$105:$BB$128,'non-road'!$F33,Assumptions!$BC$105:$BC$128,'non-road'!$D33)/SUMIF(Assumptions!$BB$105:$BB$128,'non-road'!$F33,Assumptions!CA$105:CA$128)</f>
        <v>0</v>
      </c>
      <c r="AE33" s="33">
        <f>SUMIFS(Assumptions!CB$105:CB$128,Assumptions!$BB$105:$BB$128,'non-road'!$F33,Assumptions!$BC$105:$BC$128,'non-road'!$D33)/SUMIF(Assumptions!$BB$105:$BB$128,'non-road'!$F33,Assumptions!CB$105:CB$128)</f>
        <v>0</v>
      </c>
      <c r="AF33" s="33">
        <f>SUMIFS(Assumptions!CC$105:CC$128,Assumptions!$BB$105:$BB$128,'non-road'!$F33,Assumptions!$BC$105:$BC$128,'non-road'!$D33)/SUMIF(Assumptions!$BB$105:$BB$128,'non-road'!$F33,Assumptions!CC$105:CC$128)</f>
        <v>0</v>
      </c>
      <c r="AG33" s="33" t="e">
        <f>SUMIFS(Assumptions!CD$105:CD$128,Assumptions!$BB$105:$BB$128,'non-road'!$F33,Assumptions!$BC$105:$BC$128,'non-road'!$D33)/SUMIF(Assumptions!$BB$105:$BB$128,'non-road'!$F33,Assumptions!CD$105:CD$128)</f>
        <v>#DIV/0!</v>
      </c>
      <c r="AH33" s="33">
        <f>SUMIFS(Assumptions!CE$105:CE$128,Assumptions!$BB$105:$BB$128,'non-road'!$F33,Assumptions!$BC$105:$BC$128,'non-road'!$D33)/SUMIF(Assumptions!$BB$105:$BB$128,'non-road'!$F33,Assumptions!CE$105:CE$128)</f>
        <v>0</v>
      </c>
      <c r="AI33" s="33">
        <f>SUMIFS(Assumptions!CF$105:CF$128,Assumptions!$BB$105:$BB$128,'non-road'!$F33,Assumptions!$BC$105:$BC$128,'non-road'!$D33)/SUMIF(Assumptions!$BB$105:$BB$128,'non-road'!$F33,Assumptions!CF$105:CF$128)</f>
        <v>0</v>
      </c>
      <c r="AJ33" s="33">
        <f>SUMIFS(Assumptions!CG$105:CG$128,Assumptions!$BB$105:$BB$128,'non-road'!$F33,Assumptions!$BC$105:$BC$128,'non-road'!$D33)/SUMIF(Assumptions!$BB$105:$BB$128,'non-road'!$F33,Assumptions!CG$105:CG$128)</f>
        <v>0</v>
      </c>
      <c r="AK33" s="33">
        <f>SUMIFS(Assumptions!CH$105:CH$128,Assumptions!$BB$105:$BB$128,'non-road'!$F33,Assumptions!$BC$105:$BC$128,'non-road'!$D33)/SUMIF(Assumptions!$BB$105:$BB$128,'non-road'!$F33,Assumptions!CH$105:CH$128)</f>
        <v>0</v>
      </c>
      <c r="AL33" s="33">
        <f>SUMIFS(Assumptions!CI$105:CI$128,Assumptions!$BB$105:$BB$128,'non-road'!$F33,Assumptions!$BC$105:$BC$128,'non-road'!$D33)/SUMIF(Assumptions!$BB$105:$BB$128,'non-road'!$F33,Assumptions!CI$105:CI$128)</f>
        <v>0</v>
      </c>
      <c r="AM33" s="33">
        <f>SUMIFS(Assumptions!CJ$105:CJ$128,Assumptions!$BB$105:$BB$128,'non-road'!$F33,Assumptions!$BC$105:$BC$128,'non-road'!$D33)/SUMIF(Assumptions!$BB$105:$BB$128,'non-road'!$F33,Assumptions!CJ$105:CJ$128)</f>
        <v>0</v>
      </c>
      <c r="AN33" s="33">
        <f>SUMIFS(Assumptions!CK$105:CK$128,Assumptions!$BB$105:$BB$128,'non-road'!$F33,Assumptions!$BC$105:$BC$128,'non-road'!$D33)/SUMIF(Assumptions!$BB$105:$BB$128,'non-road'!$F33,Assumptions!CK$105:CK$128)</f>
        <v>0</v>
      </c>
      <c r="AO33" s="33">
        <f>SUMIFS(Assumptions!CL$105:CL$128,Assumptions!$BB$105:$BB$128,'non-road'!$F33,Assumptions!$BC$105:$BC$128,'non-road'!$D33)/SUMIF(Assumptions!$BB$105:$BB$128,'non-road'!$F33,Assumptions!CL$105:CL$128)</f>
        <v>0</v>
      </c>
      <c r="AP33" s="33" t="e">
        <f>SUMIFS(Assumptions!CM$105:CM$128,Assumptions!$BB$105:$BB$128,'non-road'!$F33,Assumptions!$BC$105:$BC$128,'non-road'!$D33)/SUMIF(Assumptions!$BB$105:$BB$128,'non-road'!$F33,Assumptions!CM$105:CM$128)</f>
        <v>#DIV/0!</v>
      </c>
      <c r="AQ33" s="33" t="e">
        <f>SUMIFS(Assumptions!CN$105:CN$128,Assumptions!$BB$105:$BB$128,'non-road'!$F33,Assumptions!$BC$105:$BC$128,'non-road'!$D33)/SUMIF(Assumptions!$BB$105:$BB$128,'non-road'!$F33,Assumptions!CN$105:CN$128)</f>
        <v>#DIV/0!</v>
      </c>
      <c r="AR33" s="33" t="e">
        <f>SUMIFS(Assumptions!CO$105:CO$128,Assumptions!$BB$105:$BB$128,'non-road'!$F33,Assumptions!$BC$105:$BC$128,'non-road'!$D33)/SUMIF(Assumptions!$BB$105:$BB$128,'non-road'!$F33,Assumptions!CO$105:CO$128)</f>
        <v>#DIV/0!</v>
      </c>
      <c r="AS33" s="33" t="e">
        <f>SUMIFS(Assumptions!CP$105:CP$128,Assumptions!$BB$105:$BB$128,'non-road'!$F33,Assumptions!$BC$105:$BC$128,'non-road'!$D33)/SUMIF(Assumptions!$BB$105:$BB$128,'non-road'!$F33,Assumptions!CP$105:CP$128)</f>
        <v>#DIV/0!</v>
      </c>
      <c r="AT33" s="33" t="e">
        <f>SUMIFS(Assumptions!CQ$105:CQ$128,Assumptions!$BB$105:$BB$128,'non-road'!$F33,Assumptions!$BC$105:$BC$128,'non-road'!$D33)/SUMIF(Assumptions!$BB$105:$BB$128,'non-road'!$F33,Assumptions!CQ$105:CQ$128)</f>
        <v>#DIV/0!</v>
      </c>
      <c r="AU33" s="33" t="e">
        <f>SUMIFS(Assumptions!CR$105:CR$128,Assumptions!$BB$105:$BB$128,'non-road'!$F33,Assumptions!$BC$105:$BC$128,'non-road'!$D33)/SUMIF(Assumptions!$BB$105:$BB$128,'non-road'!$F33,Assumptions!CR$105:CR$128)</f>
        <v>#DIV/0!</v>
      </c>
      <c r="AV33" s="33" t="e">
        <f>SUMIFS(Assumptions!CS$105:CS$128,Assumptions!$BB$105:$BB$128,'non-road'!$F33,Assumptions!$BC$105:$BC$128,'non-road'!$D33)/SUMIF(Assumptions!$BB$105:$BB$128,'non-road'!$F33,Assumptions!CS$105:CS$128)</f>
        <v>#DIV/0!</v>
      </c>
      <c r="AW33" s="33" t="e">
        <f>SUMIFS(Assumptions!CT$105:CT$128,Assumptions!$BB$105:$BB$128,'non-road'!$F33,Assumptions!$BC$105:$BC$128,'non-road'!$D33)/SUMIF(Assumptions!$BB$105:$BB$128,'non-road'!$F33,Assumptions!CT$105:CT$128)</f>
        <v>#DIV/0!</v>
      </c>
      <c r="AX33" s="33" t="e">
        <f>SUMIFS(Assumptions!CU$105:CU$128,Assumptions!$BB$105:$BB$128,'non-road'!$F33,Assumptions!$BC$105:$BC$128,'non-road'!$D33)/SUMIF(Assumptions!$BB$105:$BB$128,'non-road'!$F33,Assumptions!CU$105:CU$128)</f>
        <v>#DIV/0!</v>
      </c>
      <c r="AY33" s="33" t="e">
        <f>SUMIFS(Assumptions!CV$105:CV$128,Assumptions!$BB$105:$BB$128,'non-road'!$F33,Assumptions!$BC$105:$BC$128,'non-road'!$D33)/SUMIF(Assumptions!$BB$105:$BB$128,'non-road'!$F33,Assumptions!CV$105:CV$128)</f>
        <v>#DIV/0!</v>
      </c>
      <c r="AZ33" s="33" t="e">
        <f>SUMIFS(Assumptions!CW$105:CW$128,Assumptions!$BB$105:$BB$128,'non-road'!$F33,Assumptions!$BC$105:$BC$128,'non-road'!$D33)/SUMIF(Assumptions!$BB$105:$BB$128,'non-road'!$F33,Assumptions!CW$105:CW$128)</f>
        <v>#DIV/0!</v>
      </c>
      <c r="BD33" s="27" t="str">
        <f t="shared" si="55"/>
        <v>\I:</v>
      </c>
      <c r="BE33" s="33">
        <f>VLOOKUP($F33,Assumptions!$E$152:$BC$157,COLUMN()-COLUMN($BC$4),FALSE)</f>
        <v>1</v>
      </c>
      <c r="BF33" s="33">
        <f>VLOOKUP($F33,Assumptions!$E$152:$BC$157,COLUMN()-COLUMN($BC$4),FALSE)</f>
        <v>1</v>
      </c>
      <c r="BG33" s="33">
        <f>VLOOKUP($F33,Assumptions!$E$152:$BC$157,COLUMN()-COLUMN($BC$4),FALSE)</f>
        <v>1</v>
      </c>
      <c r="BH33" s="33">
        <f>VLOOKUP($F33,Assumptions!$E$152:$BC$157,COLUMN()-COLUMN($BC$4),FALSE)</f>
        <v>1</v>
      </c>
      <c r="BI33" s="33">
        <f>VLOOKUP($F33,Assumptions!$E$152:$BC$157,COLUMN()-COLUMN($BC$4),FALSE)</f>
        <v>1</v>
      </c>
      <c r="BJ33" s="33">
        <f>VLOOKUP($F33,Assumptions!$E$152:$BC$157,COLUMN()-COLUMN($BC$4),FALSE)</f>
        <v>1</v>
      </c>
      <c r="BK33" s="33">
        <f>VLOOKUP($F33,Assumptions!$E$152:$BC$157,COLUMN()-COLUMN($BC$4),FALSE)</f>
        <v>1</v>
      </c>
      <c r="BL33" s="33">
        <f>VLOOKUP($F33,Assumptions!$E$152:$BC$157,COLUMN()-COLUMN($BC$4),FALSE)</f>
        <v>1</v>
      </c>
      <c r="BM33" s="33">
        <f>VLOOKUP($F33,Assumptions!$E$152:$BC$157,COLUMN()-COLUMN($BC$4),FALSE)</f>
        <v>1</v>
      </c>
      <c r="BN33" s="33">
        <f>VLOOKUP($F33,Assumptions!$E$152:$BC$157,COLUMN()-COLUMN($BC$4),FALSE)</f>
        <v>1</v>
      </c>
      <c r="BO33" s="33">
        <f>VLOOKUP($F33,Assumptions!$E$152:$BC$157,COLUMN()-COLUMN($BC$4),FALSE)</f>
        <v>1</v>
      </c>
      <c r="BP33" s="33">
        <f>VLOOKUP($F33,Assumptions!$E$152:$BC$157,COLUMN()-COLUMN($BC$4),FALSE)</f>
        <v>1</v>
      </c>
      <c r="BQ33" s="33">
        <f>VLOOKUP($F33,Assumptions!$E$152:$BC$157,COLUMN()-COLUMN($BC$4),FALSE)</f>
        <v>1</v>
      </c>
      <c r="BR33" s="33">
        <f>VLOOKUP($F33,Assumptions!$E$152:$BC$157,COLUMN()-COLUMN($BC$4),FALSE)</f>
        <v>1</v>
      </c>
      <c r="BS33" s="33">
        <f>VLOOKUP($F33,Assumptions!$E$152:$BC$157,COLUMN()-COLUMN($BC$4),FALSE)</f>
        <v>1</v>
      </c>
      <c r="BT33" s="33">
        <f>VLOOKUP($F33,Assumptions!$E$152:$BC$157,COLUMN()-COLUMN($BC$4),FALSE)</f>
        <v>1</v>
      </c>
      <c r="BU33" s="33">
        <f>VLOOKUP($F33,Assumptions!$E$152:$BC$157,COLUMN()-COLUMN($BC$4),FALSE)</f>
        <v>1</v>
      </c>
      <c r="BV33" s="33">
        <f>VLOOKUP($F33,Assumptions!$E$152:$BC$157,COLUMN()-COLUMN($BC$4),FALSE)</f>
        <v>1</v>
      </c>
      <c r="BW33" s="33">
        <f>VLOOKUP($F33,Assumptions!$E$152:$BC$157,COLUMN()-COLUMN($BC$4),FALSE)</f>
        <v>1</v>
      </c>
      <c r="BX33" s="33">
        <f>VLOOKUP($F33,Assumptions!$E$152:$BC$157,COLUMN()-COLUMN($BC$4),FALSE)</f>
        <v>1</v>
      </c>
      <c r="BY33" s="33">
        <f>VLOOKUP($F33,Assumptions!$E$152:$BC$157,COLUMN()-COLUMN($BC$4),FALSE)</f>
        <v>1</v>
      </c>
      <c r="BZ33" s="33">
        <f>VLOOKUP($F33,Assumptions!$E$152:$BC$157,COLUMN()-COLUMN($BC$4),FALSE)</f>
        <v>1</v>
      </c>
      <c r="CA33" s="33">
        <f>VLOOKUP($F33,Assumptions!$E$152:$BC$157,COLUMN()-COLUMN($BC$4),FALSE)</f>
        <v>1</v>
      </c>
      <c r="CB33" s="33">
        <f>VLOOKUP($F33,Assumptions!$E$152:$BC$157,COLUMN()-COLUMN($BC$4),FALSE)</f>
        <v>1</v>
      </c>
      <c r="CC33" s="33">
        <f>VLOOKUP($F33,Assumptions!$E$152:$BC$157,COLUMN()-COLUMN($BC$4),FALSE)</f>
        <v>1</v>
      </c>
      <c r="CD33" s="33">
        <f>VLOOKUP($F33,Assumptions!$E$152:$BC$157,COLUMN()-COLUMN($BC$4),FALSE)</f>
        <v>1</v>
      </c>
      <c r="CE33" s="33">
        <f>VLOOKUP($F33,Assumptions!$E$152:$BC$157,COLUMN()-COLUMN($BC$4),FALSE)</f>
        <v>1</v>
      </c>
      <c r="CF33" s="33">
        <f>VLOOKUP($F33,Assumptions!$E$152:$BC$157,COLUMN()-COLUMN($BC$4),FALSE)</f>
        <v>1</v>
      </c>
      <c r="CG33" s="33">
        <f>VLOOKUP($F33,Assumptions!$E$152:$BC$157,COLUMN()-COLUMN($BC$4),FALSE)</f>
        <v>1</v>
      </c>
      <c r="CH33" s="33">
        <f>VLOOKUP($F33,Assumptions!$E$152:$BC$157,COLUMN()-COLUMN($BC$4),FALSE)</f>
        <v>1</v>
      </c>
      <c r="CI33" s="33">
        <f>VLOOKUP($F33,Assumptions!$E$152:$BC$157,COLUMN()-COLUMN($BC$4),FALSE)</f>
        <v>1</v>
      </c>
      <c r="CJ33" s="33">
        <f>VLOOKUP($F33,Assumptions!$E$152:$BC$157,COLUMN()-COLUMN($BC$4),FALSE)</f>
        <v>1</v>
      </c>
      <c r="CK33" s="33">
        <f>VLOOKUP($F33,Assumptions!$E$152:$BC$157,COLUMN()-COLUMN($BC$4),FALSE)</f>
        <v>1</v>
      </c>
      <c r="CL33" s="33">
        <f>VLOOKUP($F33,Assumptions!$E$152:$BC$157,COLUMN()-COLUMN($BC$4),FALSE)</f>
        <v>1</v>
      </c>
      <c r="CM33" s="33">
        <f>VLOOKUP($F33,Assumptions!$E$152:$BC$157,COLUMN()-COLUMN($BC$4),FALSE)</f>
        <v>1</v>
      </c>
      <c r="CN33" s="33">
        <f>VLOOKUP($F33,Assumptions!$E$152:$BC$157,COLUMN()-COLUMN($BC$4),FALSE)</f>
        <v>1</v>
      </c>
      <c r="CO33" s="33">
        <f>VLOOKUP($F33,Assumptions!$E$152:$BC$157,COLUMN()-COLUMN($BC$4),FALSE)</f>
        <v>1</v>
      </c>
      <c r="CP33" s="33">
        <f>VLOOKUP($F33,Assumptions!$E$152:$BC$157,COLUMN()-COLUMN($BC$4),FALSE)</f>
        <v>1</v>
      </c>
      <c r="CQ33" s="33">
        <f>VLOOKUP($F33,Assumptions!$E$152:$BC$157,COLUMN()-COLUMN($BC$4),FALSE)</f>
        <v>1</v>
      </c>
      <c r="CR33" s="33">
        <f>VLOOKUP($F33,Assumptions!$E$152:$BC$157,COLUMN()-COLUMN($BC$4),FALSE)</f>
        <v>1</v>
      </c>
      <c r="CS33" s="33">
        <f>VLOOKUP($F33,Assumptions!$E$152:$BC$157,COLUMN()-COLUMN($BC$4),FALSE)</f>
        <v>1</v>
      </c>
      <c r="CT33" s="33">
        <f>VLOOKUP($F33,Assumptions!$E$152:$BC$157,COLUMN()-COLUMN($BC$4),FALSE)</f>
        <v>1</v>
      </c>
      <c r="CU33" s="33">
        <f>VLOOKUP($F33,Assumptions!$E$152:$BC$157,COLUMN()-COLUMN($BC$4),FALSE)</f>
        <v>1</v>
      </c>
      <c r="CV33" s="33">
        <f>VLOOKUP($F33,Assumptions!$E$152:$BC$157,COLUMN()-COLUMN($BC$4),FALSE)</f>
        <v>1</v>
      </c>
      <c r="CW33" s="33">
        <f>VLOOKUP($F33,Assumptions!$E$152:$BC$157,COLUMN()-COLUMN($BC$4),FALSE)</f>
        <v>1</v>
      </c>
      <c r="CX33" s="33">
        <f>VLOOKUP($F33,Assumptions!$E$152:$BC$157,COLUMN()-COLUMN($BC$4),FALSE)</f>
        <v>1</v>
      </c>
      <c r="CY33" s="27"/>
      <c r="CZ33" s="27"/>
      <c r="DA33" s="27"/>
      <c r="DB33" t="str">
        <f t="shared" si="69"/>
        <v>TWD</v>
      </c>
      <c r="DC33" s="27"/>
      <c r="DD33" t="s">
        <v>160</v>
      </c>
      <c r="DE33" s="27"/>
      <c r="DF33" s="27"/>
      <c r="DG33" s="27"/>
      <c r="DH33" s="27"/>
      <c r="DI33" s="27"/>
      <c r="DJ33" s="27"/>
      <c r="DK33" s="27"/>
      <c r="DL33" s="27"/>
      <c r="DM33" s="27"/>
      <c r="DN33" s="27"/>
      <c r="DO33" s="27"/>
      <c r="DP33" s="27"/>
      <c r="DQ33" s="27"/>
      <c r="DR33" s="27"/>
      <c r="DS33" s="27"/>
      <c r="DT33" s="27"/>
      <c r="DU33" s="27"/>
      <c r="DV33" s="27"/>
      <c r="DW33" s="27"/>
      <c r="DX33" s="27"/>
      <c r="DY33" s="27"/>
      <c r="DZ33" s="27"/>
      <c r="EA33" s="27"/>
      <c r="EB33" s="27"/>
      <c r="EC33" s="27"/>
      <c r="ED33" s="27"/>
      <c r="EE33" s="27"/>
      <c r="EF33" s="27"/>
      <c r="EG33" s="27"/>
      <c r="EH33" s="27"/>
      <c r="EI33" s="27"/>
      <c r="EJ33" s="27"/>
      <c r="EK33" s="27"/>
      <c r="EL33" s="27"/>
      <c r="EM33" s="27"/>
      <c r="EN33" s="27"/>
      <c r="EO33" s="27"/>
      <c r="EP33" s="27"/>
      <c r="EQ33" s="27"/>
      <c r="ER33" s="27"/>
      <c r="ES33" s="27"/>
      <c r="ET33" s="27"/>
      <c r="EU33" s="27"/>
      <c r="EV33" s="27"/>
      <c r="EW33" s="27" t="str">
        <f t="shared" si="48"/>
        <v>\I:</v>
      </c>
      <c r="EX33" s="27" t="str">
        <f t="shared" si="68"/>
        <v/>
      </c>
      <c r="EY33" s="27" t="s">
        <v>169</v>
      </c>
      <c r="EZ33" s="27" t="s">
        <v>160</v>
      </c>
      <c r="FA33" s="27" t="s">
        <v>161</v>
      </c>
    </row>
    <row r="34" spans="3:157">
      <c r="C34" s="27" t="str">
        <f t="shared" si="54"/>
        <v/>
      </c>
      <c r="D34" s="27" t="s">
        <v>38</v>
      </c>
      <c r="E34" s="27"/>
      <c r="F34" s="27" t="s">
        <v>21</v>
      </c>
      <c r="G34" s="33">
        <f>SUMIFS(Assumptions!BD$105:BD$128,Assumptions!$BB$105:$BB$128,'non-road'!$F34,Assumptions!$BC$105:$BC$128,'non-road'!$D34)/SUMIF(Assumptions!$BB$105:$BB$128,'non-road'!$F34,Assumptions!BD$105:BD$128)</f>
        <v>0</v>
      </c>
      <c r="H34" s="33">
        <f>SUMIFS(Assumptions!BE$105:BE$128,Assumptions!$BB$105:$BB$128,'non-road'!$F34,Assumptions!$BC$105:$BC$128,'non-road'!$D34)/SUMIF(Assumptions!$BB$105:$BB$128,'non-road'!$F34,Assumptions!BE$105:BE$128)</f>
        <v>0</v>
      </c>
      <c r="I34" s="33">
        <f>SUMIFS(Assumptions!BF$105:BF$128,Assumptions!$BB$105:$BB$128,'non-road'!$F34,Assumptions!$BC$105:$BC$128,'non-road'!$D34)/SUMIF(Assumptions!$BB$105:$BB$128,'non-road'!$F34,Assumptions!BF$105:BF$128)</f>
        <v>0</v>
      </c>
      <c r="J34" s="33">
        <f>SUMIFS(Assumptions!BG$105:BG$128,Assumptions!$BB$105:$BB$128,'non-road'!$F34,Assumptions!$BC$105:$BC$128,'non-road'!$D34)/SUMIF(Assumptions!$BB$105:$BB$128,'non-road'!$F34,Assumptions!BG$105:BG$128)</f>
        <v>0</v>
      </c>
      <c r="K34" s="33">
        <f>SUMIFS(Assumptions!BH$105:BH$128,Assumptions!$BB$105:$BB$128,'non-road'!$F34,Assumptions!$BC$105:$BC$128,'non-road'!$D34)/SUMIF(Assumptions!$BB$105:$BB$128,'non-road'!$F34,Assumptions!BH$105:BH$128)</f>
        <v>0</v>
      </c>
      <c r="L34" s="33">
        <f>SUMIFS(Assumptions!BI$105:BI$128,Assumptions!$BB$105:$BB$128,'non-road'!$F34,Assumptions!$BC$105:$BC$128,'non-road'!$D34)/SUMIF(Assumptions!$BB$105:$BB$128,'non-road'!$F34,Assumptions!BI$105:BI$128)</f>
        <v>0</v>
      </c>
      <c r="M34" s="33">
        <f>SUMIFS(Assumptions!BJ$105:BJ$128,Assumptions!$BB$105:$BB$128,'non-road'!$F34,Assumptions!$BC$105:$BC$128,'non-road'!$D34)/SUMIF(Assumptions!$BB$105:$BB$128,'non-road'!$F34,Assumptions!BJ$105:BJ$128)</f>
        <v>0</v>
      </c>
      <c r="N34" s="33">
        <f>SUMIFS(Assumptions!BK$105:BK$128,Assumptions!$BB$105:$BB$128,'non-road'!$F34,Assumptions!$BC$105:$BC$128,'non-road'!$D34)/SUMIF(Assumptions!$BB$105:$BB$128,'non-road'!$F34,Assumptions!BK$105:BK$128)</f>
        <v>0</v>
      </c>
      <c r="O34" s="33">
        <f>SUMIFS(Assumptions!BL$105:BL$128,Assumptions!$BB$105:$BB$128,'non-road'!$F34,Assumptions!$BC$105:$BC$128,'non-road'!$D34)/SUMIF(Assumptions!$BB$105:$BB$128,'non-road'!$F34,Assumptions!BL$105:BL$128)</f>
        <v>0</v>
      </c>
      <c r="P34" s="33">
        <f>SUMIFS(Assumptions!BM$105:BM$128,Assumptions!$BB$105:$BB$128,'non-road'!$F34,Assumptions!$BC$105:$BC$128,'non-road'!$D34)/SUMIF(Assumptions!$BB$105:$BB$128,'non-road'!$F34,Assumptions!BM$105:BM$128)</f>
        <v>0</v>
      </c>
      <c r="Q34" s="33">
        <f>SUMIFS(Assumptions!BN$105:BN$128,Assumptions!$BB$105:$BB$128,'non-road'!$F34,Assumptions!$BC$105:$BC$128,'non-road'!$D34)/SUMIF(Assumptions!$BB$105:$BB$128,'non-road'!$F34,Assumptions!BN$105:BN$128)</f>
        <v>0</v>
      </c>
      <c r="R34" s="33">
        <f>SUMIFS(Assumptions!BO$105:BO$128,Assumptions!$BB$105:$BB$128,'non-road'!$F34,Assumptions!$BC$105:$BC$128,'non-road'!$D34)/SUMIF(Assumptions!$BB$105:$BB$128,'non-road'!$F34,Assumptions!BO$105:BO$128)</f>
        <v>0</v>
      </c>
      <c r="S34" s="33">
        <f>SUMIFS(Assumptions!BP$105:BP$128,Assumptions!$BB$105:$BB$128,'non-road'!$F34,Assumptions!$BC$105:$BC$128,'non-road'!$D34)/SUMIF(Assumptions!$BB$105:$BB$128,'non-road'!$F34,Assumptions!BP$105:BP$128)</f>
        <v>0</v>
      </c>
      <c r="T34" s="33">
        <f>SUMIFS(Assumptions!BQ$105:BQ$128,Assumptions!$BB$105:$BB$128,'non-road'!$F34,Assumptions!$BC$105:$BC$128,'non-road'!$D34)/SUMIF(Assumptions!$BB$105:$BB$128,'non-road'!$F34,Assumptions!BQ$105:BQ$128)</f>
        <v>0</v>
      </c>
      <c r="U34" s="33">
        <f>SUMIFS(Assumptions!BR$105:BR$128,Assumptions!$BB$105:$BB$128,'non-road'!$F34,Assumptions!$BC$105:$BC$128,'non-road'!$D34)/SUMIF(Assumptions!$BB$105:$BB$128,'non-road'!$F34,Assumptions!BR$105:BR$128)</f>
        <v>0</v>
      </c>
      <c r="V34" s="33">
        <f>SUMIFS(Assumptions!BS$105:BS$128,Assumptions!$BB$105:$BB$128,'non-road'!$F34,Assumptions!$BC$105:$BC$128,'non-road'!$D34)/SUMIF(Assumptions!$BB$105:$BB$128,'non-road'!$F34,Assumptions!BS$105:BS$128)</f>
        <v>0</v>
      </c>
      <c r="W34" s="33">
        <f>SUMIFS(Assumptions!BT$105:BT$128,Assumptions!$BB$105:$BB$128,'non-road'!$F34,Assumptions!$BC$105:$BC$128,'non-road'!$D34)/SUMIF(Assumptions!$BB$105:$BB$128,'non-road'!$F34,Assumptions!BT$105:BT$128)</f>
        <v>0</v>
      </c>
      <c r="X34" s="33">
        <f>SUMIFS(Assumptions!BU$105:BU$128,Assumptions!$BB$105:$BB$128,'non-road'!$F34,Assumptions!$BC$105:$BC$128,'non-road'!$D34)/SUMIF(Assumptions!$BB$105:$BB$128,'non-road'!$F34,Assumptions!BU$105:BU$128)</f>
        <v>0</v>
      </c>
      <c r="Y34" s="33">
        <f>SUMIFS(Assumptions!BV$105:BV$128,Assumptions!$BB$105:$BB$128,'non-road'!$F34,Assumptions!$BC$105:$BC$128,'non-road'!$D34)/SUMIF(Assumptions!$BB$105:$BB$128,'non-road'!$F34,Assumptions!BV$105:BV$128)</f>
        <v>0</v>
      </c>
      <c r="Z34" s="33">
        <f>SUMIFS(Assumptions!BW$105:BW$128,Assumptions!$BB$105:$BB$128,'non-road'!$F34,Assumptions!$BC$105:$BC$128,'non-road'!$D34)/SUMIF(Assumptions!$BB$105:$BB$128,'non-road'!$F34,Assumptions!BW$105:BW$128)</f>
        <v>0</v>
      </c>
      <c r="AA34" s="33" t="e">
        <f>SUMIFS(Assumptions!BX$105:BX$128,Assumptions!$BB$105:$BB$128,'non-road'!$F34,Assumptions!$BC$105:$BC$128,'non-road'!$D34)/SUMIF(Assumptions!$BB$105:$BB$128,'non-road'!$F34,Assumptions!BX$105:BX$128)</f>
        <v>#DIV/0!</v>
      </c>
      <c r="AB34" s="33">
        <f>SUMIFS(Assumptions!BY$105:BY$128,Assumptions!$BB$105:$BB$128,'non-road'!$F34,Assumptions!$BC$105:$BC$128,'non-road'!$D34)/SUMIF(Assumptions!$BB$105:$BB$128,'non-road'!$F34,Assumptions!BY$105:BY$128)</f>
        <v>0</v>
      </c>
      <c r="AC34" s="33">
        <f>SUMIFS(Assumptions!BZ$105:BZ$128,Assumptions!$BB$105:$BB$128,'non-road'!$F34,Assumptions!$BC$105:$BC$128,'non-road'!$D34)/SUMIF(Assumptions!$BB$105:$BB$128,'non-road'!$F34,Assumptions!BZ$105:BZ$128)</f>
        <v>7.5099130617160725E-2</v>
      </c>
      <c r="AD34" s="33">
        <f>SUMIFS(Assumptions!CA$105:CA$128,Assumptions!$BB$105:$BB$128,'non-road'!$F34,Assumptions!$BC$105:$BC$128,'non-road'!$D34)/SUMIF(Assumptions!$BB$105:$BB$128,'non-road'!$F34,Assumptions!CA$105:CA$128)</f>
        <v>0</v>
      </c>
      <c r="AE34" s="33">
        <f>SUMIFS(Assumptions!CB$105:CB$128,Assumptions!$BB$105:$BB$128,'non-road'!$F34,Assumptions!$BC$105:$BC$128,'non-road'!$D34)/SUMIF(Assumptions!$BB$105:$BB$128,'non-road'!$F34,Assumptions!CB$105:CB$128)</f>
        <v>0</v>
      </c>
      <c r="AF34" s="33">
        <f>SUMIFS(Assumptions!CC$105:CC$128,Assumptions!$BB$105:$BB$128,'non-road'!$F34,Assumptions!$BC$105:$BC$128,'non-road'!$D34)/SUMIF(Assumptions!$BB$105:$BB$128,'non-road'!$F34,Assumptions!CC$105:CC$128)</f>
        <v>0</v>
      </c>
      <c r="AG34" s="33" t="e">
        <f>SUMIFS(Assumptions!CD$105:CD$128,Assumptions!$BB$105:$BB$128,'non-road'!$F34,Assumptions!$BC$105:$BC$128,'non-road'!$D34)/SUMIF(Assumptions!$BB$105:$BB$128,'non-road'!$F34,Assumptions!CD$105:CD$128)</f>
        <v>#DIV/0!</v>
      </c>
      <c r="AH34" s="33">
        <f>SUMIFS(Assumptions!CE$105:CE$128,Assumptions!$BB$105:$BB$128,'non-road'!$F34,Assumptions!$BC$105:$BC$128,'non-road'!$D34)/SUMIF(Assumptions!$BB$105:$BB$128,'non-road'!$F34,Assumptions!CE$105:CE$128)</f>
        <v>0</v>
      </c>
      <c r="AI34" s="33">
        <f>SUMIFS(Assumptions!CF$105:CF$128,Assumptions!$BB$105:$BB$128,'non-road'!$F34,Assumptions!$BC$105:$BC$128,'non-road'!$D34)/SUMIF(Assumptions!$BB$105:$BB$128,'non-road'!$F34,Assumptions!CF$105:CF$128)</f>
        <v>0</v>
      </c>
      <c r="AJ34" s="33">
        <f>SUMIFS(Assumptions!CG$105:CG$128,Assumptions!$BB$105:$BB$128,'non-road'!$F34,Assumptions!$BC$105:$BC$128,'non-road'!$D34)/SUMIF(Assumptions!$BB$105:$BB$128,'non-road'!$F34,Assumptions!CG$105:CG$128)</f>
        <v>0</v>
      </c>
      <c r="AK34" s="33">
        <f>SUMIFS(Assumptions!CH$105:CH$128,Assumptions!$BB$105:$BB$128,'non-road'!$F34,Assumptions!$BC$105:$BC$128,'non-road'!$D34)/SUMIF(Assumptions!$BB$105:$BB$128,'non-road'!$F34,Assumptions!CH$105:CH$128)</f>
        <v>0</v>
      </c>
      <c r="AL34" s="33">
        <f>SUMIFS(Assumptions!CI$105:CI$128,Assumptions!$BB$105:$BB$128,'non-road'!$F34,Assumptions!$BC$105:$BC$128,'non-road'!$D34)/SUMIF(Assumptions!$BB$105:$BB$128,'non-road'!$F34,Assumptions!CI$105:CI$128)</f>
        <v>0</v>
      </c>
      <c r="AM34" s="33">
        <f>SUMIFS(Assumptions!CJ$105:CJ$128,Assumptions!$BB$105:$BB$128,'non-road'!$F34,Assumptions!$BC$105:$BC$128,'non-road'!$D34)/SUMIF(Assumptions!$BB$105:$BB$128,'non-road'!$F34,Assumptions!CJ$105:CJ$128)</f>
        <v>0</v>
      </c>
      <c r="AN34" s="33">
        <f>SUMIFS(Assumptions!CK$105:CK$128,Assumptions!$BB$105:$BB$128,'non-road'!$F34,Assumptions!$BC$105:$BC$128,'non-road'!$D34)/SUMIF(Assumptions!$BB$105:$BB$128,'non-road'!$F34,Assumptions!CK$105:CK$128)</f>
        <v>0</v>
      </c>
      <c r="AO34" s="33">
        <f>SUMIFS(Assumptions!CL$105:CL$128,Assumptions!$BB$105:$BB$128,'non-road'!$F34,Assumptions!$BC$105:$BC$128,'non-road'!$D34)/SUMIF(Assumptions!$BB$105:$BB$128,'non-road'!$F34,Assumptions!CL$105:CL$128)</f>
        <v>0</v>
      </c>
      <c r="AP34" s="33" t="e">
        <f>SUMIFS(Assumptions!CM$105:CM$128,Assumptions!$BB$105:$BB$128,'non-road'!$F34,Assumptions!$BC$105:$BC$128,'non-road'!$D34)/SUMIF(Assumptions!$BB$105:$BB$128,'non-road'!$F34,Assumptions!CM$105:CM$128)</f>
        <v>#DIV/0!</v>
      </c>
      <c r="AQ34" s="33" t="e">
        <f>SUMIFS(Assumptions!CN$105:CN$128,Assumptions!$BB$105:$BB$128,'non-road'!$F34,Assumptions!$BC$105:$BC$128,'non-road'!$D34)/SUMIF(Assumptions!$BB$105:$BB$128,'non-road'!$F34,Assumptions!CN$105:CN$128)</f>
        <v>#DIV/0!</v>
      </c>
      <c r="AR34" s="33" t="e">
        <f>SUMIFS(Assumptions!CO$105:CO$128,Assumptions!$BB$105:$BB$128,'non-road'!$F34,Assumptions!$BC$105:$BC$128,'non-road'!$D34)/SUMIF(Assumptions!$BB$105:$BB$128,'non-road'!$F34,Assumptions!CO$105:CO$128)</f>
        <v>#DIV/0!</v>
      </c>
      <c r="AS34" s="33" t="e">
        <f>SUMIFS(Assumptions!CP$105:CP$128,Assumptions!$BB$105:$BB$128,'non-road'!$F34,Assumptions!$BC$105:$BC$128,'non-road'!$D34)/SUMIF(Assumptions!$BB$105:$BB$128,'non-road'!$F34,Assumptions!CP$105:CP$128)</f>
        <v>#DIV/0!</v>
      </c>
      <c r="AT34" s="33" t="e">
        <f>SUMIFS(Assumptions!CQ$105:CQ$128,Assumptions!$BB$105:$BB$128,'non-road'!$F34,Assumptions!$BC$105:$BC$128,'non-road'!$D34)/SUMIF(Assumptions!$BB$105:$BB$128,'non-road'!$F34,Assumptions!CQ$105:CQ$128)</f>
        <v>#DIV/0!</v>
      </c>
      <c r="AU34" s="33" t="e">
        <f>SUMIFS(Assumptions!CR$105:CR$128,Assumptions!$BB$105:$BB$128,'non-road'!$F34,Assumptions!$BC$105:$BC$128,'non-road'!$D34)/SUMIF(Assumptions!$BB$105:$BB$128,'non-road'!$F34,Assumptions!CR$105:CR$128)</f>
        <v>#DIV/0!</v>
      </c>
      <c r="AV34" s="33" t="e">
        <f>SUMIFS(Assumptions!CS$105:CS$128,Assumptions!$BB$105:$BB$128,'non-road'!$F34,Assumptions!$BC$105:$BC$128,'non-road'!$D34)/SUMIF(Assumptions!$BB$105:$BB$128,'non-road'!$F34,Assumptions!CS$105:CS$128)</f>
        <v>#DIV/0!</v>
      </c>
      <c r="AW34" s="33" t="e">
        <f>SUMIFS(Assumptions!CT$105:CT$128,Assumptions!$BB$105:$BB$128,'non-road'!$F34,Assumptions!$BC$105:$BC$128,'non-road'!$D34)/SUMIF(Assumptions!$BB$105:$BB$128,'non-road'!$F34,Assumptions!CT$105:CT$128)</f>
        <v>#DIV/0!</v>
      </c>
      <c r="AX34" s="33" t="e">
        <f>SUMIFS(Assumptions!CU$105:CU$128,Assumptions!$BB$105:$BB$128,'non-road'!$F34,Assumptions!$BC$105:$BC$128,'non-road'!$D34)/SUMIF(Assumptions!$BB$105:$BB$128,'non-road'!$F34,Assumptions!CU$105:CU$128)</f>
        <v>#DIV/0!</v>
      </c>
      <c r="AY34" s="33" t="e">
        <f>SUMIFS(Assumptions!CV$105:CV$128,Assumptions!$BB$105:$BB$128,'non-road'!$F34,Assumptions!$BC$105:$BC$128,'non-road'!$D34)/SUMIF(Assumptions!$BB$105:$BB$128,'non-road'!$F34,Assumptions!CV$105:CV$128)</f>
        <v>#DIV/0!</v>
      </c>
      <c r="AZ34" s="33" t="e">
        <f>SUMIFS(Assumptions!CW$105:CW$128,Assumptions!$BB$105:$BB$128,'non-road'!$F34,Assumptions!$BC$105:$BC$128,'non-road'!$D34)/SUMIF(Assumptions!$BB$105:$BB$128,'non-road'!$F34,Assumptions!CW$105:CW$128)</f>
        <v>#DIV/0!</v>
      </c>
      <c r="BD34" s="27" t="str">
        <f t="shared" si="55"/>
        <v>\I:</v>
      </c>
      <c r="BE34" s="33">
        <f>VLOOKUP($F34,Assumptions!$E$152:$BC$157,COLUMN()-COLUMN($BC$4),FALSE)</f>
        <v>1</v>
      </c>
      <c r="BF34" s="33">
        <f>VLOOKUP($F34,Assumptions!$E$152:$BC$157,COLUMN()-COLUMN($BC$4),FALSE)</f>
        <v>1</v>
      </c>
      <c r="BG34" s="33">
        <f>VLOOKUP($F34,Assumptions!$E$152:$BC$157,COLUMN()-COLUMN($BC$4),FALSE)</f>
        <v>1</v>
      </c>
      <c r="BH34" s="33">
        <f>VLOOKUP($F34,Assumptions!$E$152:$BC$157,COLUMN()-COLUMN($BC$4),FALSE)</f>
        <v>1</v>
      </c>
      <c r="BI34" s="33">
        <f>VLOOKUP($F34,Assumptions!$E$152:$BC$157,COLUMN()-COLUMN($BC$4),FALSE)</f>
        <v>1</v>
      </c>
      <c r="BJ34" s="33">
        <f>VLOOKUP($F34,Assumptions!$E$152:$BC$157,COLUMN()-COLUMN($BC$4),FALSE)</f>
        <v>1</v>
      </c>
      <c r="BK34" s="33">
        <f>VLOOKUP($F34,Assumptions!$E$152:$BC$157,COLUMN()-COLUMN($BC$4),FALSE)</f>
        <v>1</v>
      </c>
      <c r="BL34" s="33">
        <f>VLOOKUP($F34,Assumptions!$E$152:$BC$157,COLUMN()-COLUMN($BC$4),FALSE)</f>
        <v>1</v>
      </c>
      <c r="BM34" s="33">
        <f>VLOOKUP($F34,Assumptions!$E$152:$BC$157,COLUMN()-COLUMN($BC$4),FALSE)</f>
        <v>1</v>
      </c>
      <c r="BN34" s="33">
        <f>VLOOKUP($F34,Assumptions!$E$152:$BC$157,COLUMN()-COLUMN($BC$4),FALSE)</f>
        <v>1</v>
      </c>
      <c r="BO34" s="33">
        <f>VLOOKUP($F34,Assumptions!$E$152:$BC$157,COLUMN()-COLUMN($BC$4),FALSE)</f>
        <v>1</v>
      </c>
      <c r="BP34" s="33">
        <f>VLOOKUP($F34,Assumptions!$E$152:$BC$157,COLUMN()-COLUMN($BC$4),FALSE)</f>
        <v>1</v>
      </c>
      <c r="BQ34" s="33">
        <f>VLOOKUP($F34,Assumptions!$E$152:$BC$157,COLUMN()-COLUMN($BC$4),FALSE)</f>
        <v>1</v>
      </c>
      <c r="BR34" s="33">
        <f>VLOOKUP($F34,Assumptions!$E$152:$BC$157,COLUMN()-COLUMN($BC$4),FALSE)</f>
        <v>1</v>
      </c>
      <c r="BS34" s="33">
        <f>VLOOKUP($F34,Assumptions!$E$152:$BC$157,COLUMN()-COLUMN($BC$4),FALSE)</f>
        <v>1</v>
      </c>
      <c r="BT34" s="33">
        <f>VLOOKUP($F34,Assumptions!$E$152:$BC$157,COLUMN()-COLUMN($BC$4),FALSE)</f>
        <v>1</v>
      </c>
      <c r="BU34" s="33">
        <f>VLOOKUP($F34,Assumptions!$E$152:$BC$157,COLUMN()-COLUMN($BC$4),FALSE)</f>
        <v>1</v>
      </c>
      <c r="BV34" s="33">
        <f>VLOOKUP($F34,Assumptions!$E$152:$BC$157,COLUMN()-COLUMN($BC$4),FALSE)</f>
        <v>1</v>
      </c>
      <c r="BW34" s="33">
        <f>VLOOKUP($F34,Assumptions!$E$152:$BC$157,COLUMN()-COLUMN($BC$4),FALSE)</f>
        <v>1</v>
      </c>
      <c r="BX34" s="33">
        <f>VLOOKUP($F34,Assumptions!$E$152:$BC$157,COLUMN()-COLUMN($BC$4),FALSE)</f>
        <v>1</v>
      </c>
      <c r="BY34" s="33">
        <f>VLOOKUP($F34,Assumptions!$E$152:$BC$157,COLUMN()-COLUMN($BC$4),FALSE)</f>
        <v>1</v>
      </c>
      <c r="BZ34" s="33">
        <f>VLOOKUP($F34,Assumptions!$E$152:$BC$157,COLUMN()-COLUMN($BC$4),FALSE)</f>
        <v>1</v>
      </c>
      <c r="CA34" s="33">
        <f>VLOOKUP($F34,Assumptions!$E$152:$BC$157,COLUMN()-COLUMN($BC$4),FALSE)</f>
        <v>1</v>
      </c>
      <c r="CB34" s="33">
        <f>VLOOKUP($F34,Assumptions!$E$152:$BC$157,COLUMN()-COLUMN($BC$4),FALSE)</f>
        <v>1</v>
      </c>
      <c r="CC34" s="33">
        <f>VLOOKUP($F34,Assumptions!$E$152:$BC$157,COLUMN()-COLUMN($BC$4),FALSE)</f>
        <v>1</v>
      </c>
      <c r="CD34" s="33">
        <f>VLOOKUP($F34,Assumptions!$E$152:$BC$157,COLUMN()-COLUMN($BC$4),FALSE)</f>
        <v>1</v>
      </c>
      <c r="CE34" s="33">
        <f>VLOOKUP($F34,Assumptions!$E$152:$BC$157,COLUMN()-COLUMN($BC$4),FALSE)</f>
        <v>1</v>
      </c>
      <c r="CF34" s="33">
        <f>VLOOKUP($F34,Assumptions!$E$152:$BC$157,COLUMN()-COLUMN($BC$4),FALSE)</f>
        <v>1</v>
      </c>
      <c r="CG34" s="33">
        <f>VLOOKUP($F34,Assumptions!$E$152:$BC$157,COLUMN()-COLUMN($BC$4),FALSE)</f>
        <v>1</v>
      </c>
      <c r="CH34" s="33">
        <f>VLOOKUP($F34,Assumptions!$E$152:$BC$157,COLUMN()-COLUMN($BC$4),FALSE)</f>
        <v>1</v>
      </c>
      <c r="CI34" s="33">
        <f>VLOOKUP($F34,Assumptions!$E$152:$BC$157,COLUMN()-COLUMN($BC$4),FALSE)</f>
        <v>1</v>
      </c>
      <c r="CJ34" s="33">
        <f>VLOOKUP($F34,Assumptions!$E$152:$BC$157,COLUMN()-COLUMN($BC$4),FALSE)</f>
        <v>1</v>
      </c>
      <c r="CK34" s="33">
        <f>VLOOKUP($F34,Assumptions!$E$152:$BC$157,COLUMN()-COLUMN($BC$4),FALSE)</f>
        <v>1</v>
      </c>
      <c r="CL34" s="33">
        <f>VLOOKUP($F34,Assumptions!$E$152:$BC$157,COLUMN()-COLUMN($BC$4),FALSE)</f>
        <v>1</v>
      </c>
      <c r="CM34" s="33">
        <f>VLOOKUP($F34,Assumptions!$E$152:$BC$157,COLUMN()-COLUMN($BC$4),FALSE)</f>
        <v>1</v>
      </c>
      <c r="CN34" s="33">
        <f>VLOOKUP($F34,Assumptions!$E$152:$BC$157,COLUMN()-COLUMN($BC$4),FALSE)</f>
        <v>1</v>
      </c>
      <c r="CO34" s="33">
        <f>VLOOKUP($F34,Assumptions!$E$152:$BC$157,COLUMN()-COLUMN($BC$4),FALSE)</f>
        <v>1</v>
      </c>
      <c r="CP34" s="33">
        <f>VLOOKUP($F34,Assumptions!$E$152:$BC$157,COLUMN()-COLUMN($BC$4),FALSE)</f>
        <v>1</v>
      </c>
      <c r="CQ34" s="33">
        <f>VLOOKUP($F34,Assumptions!$E$152:$BC$157,COLUMN()-COLUMN($BC$4),FALSE)</f>
        <v>1</v>
      </c>
      <c r="CR34" s="33">
        <f>VLOOKUP($F34,Assumptions!$E$152:$BC$157,COLUMN()-COLUMN($BC$4),FALSE)</f>
        <v>1</v>
      </c>
      <c r="CS34" s="33">
        <f>VLOOKUP($F34,Assumptions!$E$152:$BC$157,COLUMN()-COLUMN($BC$4),FALSE)</f>
        <v>1</v>
      </c>
      <c r="CT34" s="33">
        <f>VLOOKUP($F34,Assumptions!$E$152:$BC$157,COLUMN()-COLUMN($BC$4),FALSE)</f>
        <v>1</v>
      </c>
      <c r="CU34" s="33">
        <f>VLOOKUP($F34,Assumptions!$E$152:$BC$157,COLUMN()-COLUMN($BC$4),FALSE)</f>
        <v>1</v>
      </c>
      <c r="CV34" s="33">
        <f>VLOOKUP($F34,Assumptions!$E$152:$BC$157,COLUMN()-COLUMN($BC$4),FALSE)</f>
        <v>1</v>
      </c>
      <c r="CW34" s="33">
        <f>VLOOKUP($F34,Assumptions!$E$152:$BC$157,COLUMN()-COLUMN($BC$4),FALSE)</f>
        <v>1</v>
      </c>
      <c r="CX34" s="33">
        <f>VLOOKUP($F34,Assumptions!$E$152:$BC$157,COLUMN()-COLUMN($BC$4),FALSE)</f>
        <v>1</v>
      </c>
      <c r="CY34" s="27"/>
      <c r="CZ34" s="27"/>
      <c r="DA34" s="27"/>
      <c r="DB34" t="str">
        <f t="shared" si="69"/>
        <v>TWI</v>
      </c>
      <c r="DC34" s="27"/>
      <c r="DD34" t="s">
        <v>160</v>
      </c>
      <c r="DE34" s="27"/>
      <c r="DF34" s="27"/>
      <c r="DG34" s="27"/>
      <c r="DH34" s="27"/>
      <c r="DI34" s="27"/>
      <c r="DJ34" s="27"/>
      <c r="DK34" s="27"/>
      <c r="DL34" s="27"/>
      <c r="DM34" s="27"/>
      <c r="DN34" s="27"/>
      <c r="DO34" s="27"/>
      <c r="DP34" s="27"/>
      <c r="DQ34" s="27"/>
      <c r="DR34" s="27"/>
      <c r="DS34" s="27"/>
      <c r="DT34" s="27"/>
      <c r="DU34" s="27"/>
      <c r="DV34" s="27"/>
      <c r="DW34" s="27"/>
      <c r="DX34" s="27"/>
      <c r="DY34" s="27"/>
      <c r="DZ34" s="27"/>
      <c r="EA34" s="27"/>
      <c r="EB34" s="27"/>
      <c r="EC34" s="27"/>
      <c r="ED34" s="27"/>
      <c r="EE34" s="27"/>
      <c r="EF34" s="27"/>
      <c r="EG34" s="27"/>
      <c r="EH34" s="27"/>
      <c r="EI34" s="27"/>
      <c r="EJ34" s="27"/>
      <c r="EK34" s="27"/>
      <c r="EL34" s="27"/>
      <c r="EM34" s="27"/>
      <c r="EN34" s="27"/>
      <c r="EO34" s="27"/>
      <c r="EP34" s="27"/>
      <c r="EQ34" s="27"/>
      <c r="ER34" s="27"/>
      <c r="ES34" s="27"/>
      <c r="ET34" s="27"/>
      <c r="EU34" s="27"/>
      <c r="EV34" s="27"/>
      <c r="EW34" s="27" t="str">
        <f t="shared" si="48"/>
        <v>DMD</v>
      </c>
      <c r="EX34" s="27" t="str">
        <f t="shared" si="68"/>
        <v>TWI_Generic</v>
      </c>
      <c r="EY34" s="27" t="s">
        <v>168</v>
      </c>
      <c r="EZ34" s="27" t="s">
        <v>160</v>
      </c>
      <c r="FA34" s="27" t="s">
        <v>161</v>
      </c>
    </row>
    <row r="35" spans="3:157">
      <c r="C35" s="27" t="str">
        <f t="shared" si="54"/>
        <v>TWI_Generic</v>
      </c>
      <c r="D35" s="27" t="s">
        <v>32</v>
      </c>
      <c r="E35" s="27" t="s">
        <v>398</v>
      </c>
      <c r="F35" s="27" t="s">
        <v>22</v>
      </c>
      <c r="G35" s="33">
        <f>SUMIFS(Assumptions!BD$105:BD$128,Assumptions!$BB$105:$BB$128,'non-road'!$F35,Assumptions!$BC$105:$BC$128,'non-road'!$D35)/SUMIF(Assumptions!$BB$105:$BB$128,'non-road'!$F35,Assumptions!BD$105:BD$128)</f>
        <v>0</v>
      </c>
      <c r="H35" s="33">
        <f>SUMIFS(Assumptions!BE$105:BE$128,Assumptions!$BB$105:$BB$128,'non-road'!$F35,Assumptions!$BC$105:$BC$128,'non-road'!$D35)/SUMIF(Assumptions!$BB$105:$BB$128,'non-road'!$F35,Assumptions!BE$105:BE$128)</f>
        <v>0</v>
      </c>
      <c r="I35" s="33">
        <f>SUMIFS(Assumptions!BF$105:BF$128,Assumptions!$BB$105:$BB$128,'non-road'!$F35,Assumptions!$BC$105:$BC$128,'non-road'!$D35)/SUMIF(Assumptions!$BB$105:$BB$128,'non-road'!$F35,Assumptions!BF$105:BF$128)</f>
        <v>0</v>
      </c>
      <c r="J35" s="33">
        <f>SUMIFS(Assumptions!BG$105:BG$128,Assumptions!$BB$105:$BB$128,'non-road'!$F35,Assumptions!$BC$105:$BC$128,'non-road'!$D35)/SUMIF(Assumptions!$BB$105:$BB$128,'non-road'!$F35,Assumptions!BG$105:BG$128)</f>
        <v>0</v>
      </c>
      <c r="K35" s="33">
        <f>SUMIFS(Assumptions!BH$105:BH$128,Assumptions!$BB$105:$BB$128,'non-road'!$F35,Assumptions!$BC$105:$BC$128,'non-road'!$D35)/SUMIF(Assumptions!$BB$105:$BB$128,'non-road'!$F35,Assumptions!BH$105:BH$128)</f>
        <v>0</v>
      </c>
      <c r="L35" s="33">
        <f>SUMIFS(Assumptions!BI$105:BI$128,Assumptions!$BB$105:$BB$128,'non-road'!$F35,Assumptions!$BC$105:$BC$128,'non-road'!$D35)/SUMIF(Assumptions!$BB$105:$BB$128,'non-road'!$F35,Assumptions!BI$105:BI$128)</f>
        <v>2.4434422165488007E-3</v>
      </c>
      <c r="M35" s="33">
        <f>SUMIFS(Assumptions!BJ$105:BJ$128,Assumptions!$BB$105:$BB$128,'non-road'!$F35,Assumptions!$BC$105:$BC$128,'non-road'!$D35)/SUMIF(Assumptions!$BB$105:$BB$128,'non-road'!$F35,Assumptions!BJ$105:BJ$128)</f>
        <v>0</v>
      </c>
      <c r="N35" s="33">
        <f>SUMIFS(Assumptions!BK$105:BK$128,Assumptions!$BB$105:$BB$128,'non-road'!$F35,Assumptions!$BC$105:$BC$128,'non-road'!$D35)/SUMIF(Assumptions!$BB$105:$BB$128,'non-road'!$F35,Assumptions!BK$105:BK$128)</f>
        <v>0</v>
      </c>
      <c r="O35" s="33">
        <f>SUMIFS(Assumptions!BL$105:BL$128,Assumptions!$BB$105:$BB$128,'non-road'!$F35,Assumptions!$BC$105:$BC$128,'non-road'!$D35)/SUMIF(Assumptions!$BB$105:$BB$128,'non-road'!$F35,Assumptions!BL$105:BL$128)</f>
        <v>0</v>
      </c>
      <c r="P35" s="33" t="e">
        <f>SUMIFS(Assumptions!BM$105:BM$128,Assumptions!$BB$105:$BB$128,'non-road'!$F35,Assumptions!$BC$105:$BC$128,'non-road'!$D35)/SUMIF(Assumptions!$BB$105:$BB$128,'non-road'!$F35,Assumptions!BM$105:BM$128)</f>
        <v>#DIV/0!</v>
      </c>
      <c r="Q35" s="33">
        <f>SUMIFS(Assumptions!BN$105:BN$128,Assumptions!$BB$105:$BB$128,'non-road'!$F35,Assumptions!$BC$105:$BC$128,'non-road'!$D35)/SUMIF(Assumptions!$BB$105:$BB$128,'non-road'!$F35,Assumptions!BN$105:BN$128)</f>
        <v>0</v>
      </c>
      <c r="R35" s="33">
        <f>SUMIFS(Assumptions!BO$105:BO$128,Assumptions!$BB$105:$BB$128,'non-road'!$F35,Assumptions!$BC$105:$BC$128,'non-road'!$D35)/SUMIF(Assumptions!$BB$105:$BB$128,'non-road'!$F35,Assumptions!BO$105:BO$128)</f>
        <v>0</v>
      </c>
      <c r="S35" s="33">
        <f>SUMIFS(Assumptions!BP$105:BP$128,Assumptions!$BB$105:$BB$128,'non-road'!$F35,Assumptions!$BC$105:$BC$128,'non-road'!$D35)/SUMIF(Assumptions!$BB$105:$BB$128,'non-road'!$F35,Assumptions!BP$105:BP$128)</f>
        <v>1.3194999674416064E-5</v>
      </c>
      <c r="T35" s="33">
        <f>SUMIFS(Assumptions!BQ$105:BQ$128,Assumptions!$BB$105:$BB$128,'non-road'!$F35,Assumptions!$BC$105:$BC$128,'non-road'!$D35)/SUMIF(Assumptions!$BB$105:$BB$128,'non-road'!$F35,Assumptions!BQ$105:BQ$128)</f>
        <v>0</v>
      </c>
      <c r="U35" s="33">
        <f>SUMIFS(Assumptions!BR$105:BR$128,Assumptions!$BB$105:$BB$128,'non-road'!$F35,Assumptions!$BC$105:$BC$128,'non-road'!$D35)/SUMIF(Assumptions!$BB$105:$BB$128,'non-road'!$F35,Assumptions!BR$105:BR$128)</f>
        <v>0</v>
      </c>
      <c r="V35" s="33">
        <f>SUMIFS(Assumptions!BS$105:BS$128,Assumptions!$BB$105:$BB$128,'non-road'!$F35,Assumptions!$BC$105:$BC$128,'non-road'!$D35)/SUMIF(Assumptions!$BB$105:$BB$128,'non-road'!$F35,Assumptions!BS$105:BS$128)</f>
        <v>0</v>
      </c>
      <c r="W35" s="33">
        <f>SUMIFS(Assumptions!BT$105:BT$128,Assumptions!$BB$105:$BB$128,'non-road'!$F35,Assumptions!$BC$105:$BC$128,'non-road'!$D35)/SUMIF(Assumptions!$BB$105:$BB$128,'non-road'!$F35,Assumptions!BT$105:BT$128)</f>
        <v>0</v>
      </c>
      <c r="X35" s="33">
        <f>SUMIFS(Assumptions!BU$105:BU$128,Assumptions!$BB$105:$BB$128,'non-road'!$F35,Assumptions!$BC$105:$BC$128,'non-road'!$D35)/SUMIF(Assumptions!$BB$105:$BB$128,'non-road'!$F35,Assumptions!BU$105:BU$128)</f>
        <v>0</v>
      </c>
      <c r="Y35" s="33">
        <f>SUMIFS(Assumptions!BV$105:BV$128,Assumptions!$BB$105:$BB$128,'non-road'!$F35,Assumptions!$BC$105:$BC$128,'non-road'!$D35)/SUMIF(Assumptions!$BB$105:$BB$128,'non-road'!$F35,Assumptions!BV$105:BV$128)</f>
        <v>0</v>
      </c>
      <c r="Z35" s="33">
        <f>SUMIFS(Assumptions!BW$105:BW$128,Assumptions!$BB$105:$BB$128,'non-road'!$F35,Assumptions!$BC$105:$BC$128,'non-road'!$D35)/SUMIF(Assumptions!$BB$105:$BB$128,'non-road'!$F35,Assumptions!BW$105:BW$128)</f>
        <v>0</v>
      </c>
      <c r="AA35" s="33">
        <f>SUMIFS(Assumptions!BX$105:BX$128,Assumptions!$BB$105:$BB$128,'non-road'!$F35,Assumptions!$BC$105:$BC$128,'non-road'!$D35)/SUMIF(Assumptions!$BB$105:$BB$128,'non-road'!$F35,Assumptions!BX$105:BX$128)</f>
        <v>0</v>
      </c>
      <c r="AB35" s="33">
        <f>SUMIFS(Assumptions!BY$105:BY$128,Assumptions!$BB$105:$BB$128,'non-road'!$F35,Assumptions!$BC$105:$BC$128,'non-road'!$D35)/SUMIF(Assumptions!$BB$105:$BB$128,'non-road'!$F35,Assumptions!BY$105:BY$128)</f>
        <v>8.4412314120072014E-3</v>
      </c>
      <c r="AC35" s="33">
        <f>SUMIFS(Assumptions!BZ$105:BZ$128,Assumptions!$BB$105:$BB$128,'non-road'!$F35,Assumptions!$BC$105:$BC$128,'non-road'!$D35)/SUMIF(Assumptions!$BB$105:$BB$128,'non-road'!$F35,Assumptions!BZ$105:BZ$128)</f>
        <v>0</v>
      </c>
      <c r="AD35" s="33">
        <f>SUMIFS(Assumptions!CA$105:CA$128,Assumptions!$BB$105:$BB$128,'non-road'!$F35,Assumptions!$BC$105:$BC$128,'non-road'!$D35)/SUMIF(Assumptions!$BB$105:$BB$128,'non-road'!$F35,Assumptions!CA$105:CA$128)</f>
        <v>0</v>
      </c>
      <c r="AE35" s="33">
        <f>SUMIFS(Assumptions!CB$105:CB$128,Assumptions!$BB$105:$BB$128,'non-road'!$F35,Assumptions!$BC$105:$BC$128,'non-road'!$D35)/SUMIF(Assumptions!$BB$105:$BB$128,'non-road'!$F35,Assumptions!CB$105:CB$128)</f>
        <v>0</v>
      </c>
      <c r="AF35" s="33">
        <f>SUMIFS(Assumptions!CC$105:CC$128,Assumptions!$BB$105:$BB$128,'non-road'!$F35,Assumptions!$BC$105:$BC$128,'non-road'!$D35)/SUMIF(Assumptions!$BB$105:$BB$128,'non-road'!$F35,Assumptions!CC$105:CC$128)</f>
        <v>0</v>
      </c>
      <c r="AG35" s="33">
        <f>SUMIFS(Assumptions!CD$105:CD$128,Assumptions!$BB$105:$BB$128,'non-road'!$F35,Assumptions!$BC$105:$BC$128,'non-road'!$D35)/SUMIF(Assumptions!$BB$105:$BB$128,'non-road'!$F35,Assumptions!CD$105:CD$128)</f>
        <v>0</v>
      </c>
      <c r="AH35" s="33">
        <f>SUMIFS(Assumptions!CE$105:CE$128,Assumptions!$BB$105:$BB$128,'non-road'!$F35,Assumptions!$BC$105:$BC$128,'non-road'!$D35)/SUMIF(Assumptions!$BB$105:$BB$128,'non-road'!$F35,Assumptions!CE$105:CE$128)</f>
        <v>0</v>
      </c>
      <c r="AI35" s="33">
        <f>SUMIFS(Assumptions!CF$105:CF$128,Assumptions!$BB$105:$BB$128,'non-road'!$F35,Assumptions!$BC$105:$BC$128,'non-road'!$D35)/SUMIF(Assumptions!$BB$105:$BB$128,'non-road'!$F35,Assumptions!CF$105:CF$128)</f>
        <v>0</v>
      </c>
      <c r="AJ35" s="33">
        <f>SUMIFS(Assumptions!CG$105:CG$128,Assumptions!$BB$105:$BB$128,'non-road'!$F35,Assumptions!$BC$105:$BC$128,'non-road'!$D35)/SUMIF(Assumptions!$BB$105:$BB$128,'non-road'!$F35,Assumptions!CG$105:CG$128)</f>
        <v>0</v>
      </c>
      <c r="AK35" s="33">
        <f>SUMIFS(Assumptions!CH$105:CH$128,Assumptions!$BB$105:$BB$128,'non-road'!$F35,Assumptions!$BC$105:$BC$128,'non-road'!$D35)/SUMIF(Assumptions!$BB$105:$BB$128,'non-road'!$F35,Assumptions!CH$105:CH$128)</f>
        <v>0</v>
      </c>
      <c r="AL35" s="33">
        <f>SUMIFS(Assumptions!CI$105:CI$128,Assumptions!$BB$105:$BB$128,'non-road'!$F35,Assumptions!$BC$105:$BC$128,'non-road'!$D35)/SUMIF(Assumptions!$BB$105:$BB$128,'non-road'!$F35,Assumptions!CI$105:CI$128)</f>
        <v>0</v>
      </c>
      <c r="AM35" s="33">
        <f>SUMIFS(Assumptions!CJ$105:CJ$128,Assumptions!$BB$105:$BB$128,'non-road'!$F35,Assumptions!$BC$105:$BC$128,'non-road'!$D35)/SUMIF(Assumptions!$BB$105:$BB$128,'non-road'!$F35,Assumptions!CJ$105:CJ$128)</f>
        <v>0</v>
      </c>
      <c r="AN35" s="33" t="e">
        <f>SUMIFS(Assumptions!CK$105:CK$128,Assumptions!$BB$105:$BB$128,'non-road'!$F35,Assumptions!$BC$105:$BC$128,'non-road'!$D35)/SUMIF(Assumptions!$BB$105:$BB$128,'non-road'!$F35,Assumptions!CK$105:CK$128)</f>
        <v>#DIV/0!</v>
      </c>
      <c r="AO35" s="33">
        <f>SUMIFS(Assumptions!CL$105:CL$128,Assumptions!$BB$105:$BB$128,'non-road'!$F35,Assumptions!$BC$105:$BC$128,'non-road'!$D35)/SUMIF(Assumptions!$BB$105:$BB$128,'non-road'!$F35,Assumptions!CL$105:CL$128)</f>
        <v>0</v>
      </c>
      <c r="AP35" s="33" t="e">
        <f>SUMIFS(Assumptions!CM$105:CM$128,Assumptions!$BB$105:$BB$128,'non-road'!$F35,Assumptions!$BC$105:$BC$128,'non-road'!$D35)/SUMIF(Assumptions!$BB$105:$BB$128,'non-road'!$F35,Assumptions!CM$105:CM$128)</f>
        <v>#DIV/0!</v>
      </c>
      <c r="AQ35" s="33" t="e">
        <f>SUMIFS(Assumptions!CN$105:CN$128,Assumptions!$BB$105:$BB$128,'non-road'!$F35,Assumptions!$BC$105:$BC$128,'non-road'!$D35)/SUMIF(Assumptions!$BB$105:$BB$128,'non-road'!$F35,Assumptions!CN$105:CN$128)</f>
        <v>#DIV/0!</v>
      </c>
      <c r="AR35" s="33" t="e">
        <f>SUMIFS(Assumptions!CO$105:CO$128,Assumptions!$BB$105:$BB$128,'non-road'!$F35,Assumptions!$BC$105:$BC$128,'non-road'!$D35)/SUMIF(Assumptions!$BB$105:$BB$128,'non-road'!$F35,Assumptions!CO$105:CO$128)</f>
        <v>#DIV/0!</v>
      </c>
      <c r="AS35" s="33" t="e">
        <f>SUMIFS(Assumptions!CP$105:CP$128,Assumptions!$BB$105:$BB$128,'non-road'!$F35,Assumptions!$BC$105:$BC$128,'non-road'!$D35)/SUMIF(Assumptions!$BB$105:$BB$128,'non-road'!$F35,Assumptions!CP$105:CP$128)</f>
        <v>#DIV/0!</v>
      </c>
      <c r="AT35" s="33" t="e">
        <f>SUMIFS(Assumptions!CQ$105:CQ$128,Assumptions!$BB$105:$BB$128,'non-road'!$F35,Assumptions!$BC$105:$BC$128,'non-road'!$D35)/SUMIF(Assumptions!$BB$105:$BB$128,'non-road'!$F35,Assumptions!CQ$105:CQ$128)</f>
        <v>#DIV/0!</v>
      </c>
      <c r="AU35" s="33" t="e">
        <f>SUMIFS(Assumptions!CR$105:CR$128,Assumptions!$BB$105:$BB$128,'non-road'!$F35,Assumptions!$BC$105:$BC$128,'non-road'!$D35)/SUMIF(Assumptions!$BB$105:$BB$128,'non-road'!$F35,Assumptions!CR$105:CR$128)</f>
        <v>#DIV/0!</v>
      </c>
      <c r="AV35" s="33" t="e">
        <f>SUMIFS(Assumptions!CS$105:CS$128,Assumptions!$BB$105:$BB$128,'non-road'!$F35,Assumptions!$BC$105:$BC$128,'non-road'!$D35)/SUMIF(Assumptions!$BB$105:$BB$128,'non-road'!$F35,Assumptions!CS$105:CS$128)</f>
        <v>#DIV/0!</v>
      </c>
      <c r="AW35" s="33" t="e">
        <f>SUMIFS(Assumptions!CT$105:CT$128,Assumptions!$BB$105:$BB$128,'non-road'!$F35,Assumptions!$BC$105:$BC$128,'non-road'!$D35)/SUMIF(Assumptions!$BB$105:$BB$128,'non-road'!$F35,Assumptions!CT$105:CT$128)</f>
        <v>#DIV/0!</v>
      </c>
      <c r="AX35" s="33" t="e">
        <f>SUMIFS(Assumptions!CU$105:CU$128,Assumptions!$BB$105:$BB$128,'non-road'!$F35,Assumptions!$BC$105:$BC$128,'non-road'!$D35)/SUMIF(Assumptions!$BB$105:$BB$128,'non-road'!$F35,Assumptions!CU$105:CU$128)</f>
        <v>#DIV/0!</v>
      </c>
      <c r="AY35" s="33" t="e">
        <f>SUMIFS(Assumptions!CV$105:CV$128,Assumptions!$BB$105:$BB$128,'non-road'!$F35,Assumptions!$BC$105:$BC$128,'non-road'!$D35)/SUMIF(Assumptions!$BB$105:$BB$128,'non-road'!$F35,Assumptions!CV$105:CV$128)</f>
        <v>#DIV/0!</v>
      </c>
      <c r="AZ35" s="33" t="e">
        <f>SUMIFS(Assumptions!CW$105:CW$128,Assumptions!$BB$105:$BB$128,'non-road'!$F35,Assumptions!$BC$105:$BC$128,'non-road'!$D35)/SUMIF(Assumptions!$BB$105:$BB$128,'non-road'!$F35,Assumptions!CW$105:CW$128)</f>
        <v>#DIV/0!</v>
      </c>
      <c r="BD35" s="27" t="str">
        <f t="shared" si="55"/>
        <v>TWI_Generic</v>
      </c>
      <c r="BE35" s="33">
        <f>VLOOKUP($F35,Assumptions!$E$152:$BC$157,COLUMN()-COLUMN($BC$4),FALSE)</f>
        <v>1</v>
      </c>
      <c r="BF35" s="33">
        <f>VLOOKUP($F35,Assumptions!$E$152:$BC$157,COLUMN()-COLUMN($BC$4),FALSE)</f>
        <v>1</v>
      </c>
      <c r="BG35" s="33">
        <f>VLOOKUP($F35,Assumptions!$E$152:$BC$157,COLUMN()-COLUMN($BC$4),FALSE)</f>
        <v>1</v>
      </c>
      <c r="BH35" s="33">
        <f>VLOOKUP($F35,Assumptions!$E$152:$BC$157,COLUMN()-COLUMN($BC$4),FALSE)</f>
        <v>1</v>
      </c>
      <c r="BI35" s="33">
        <f>VLOOKUP($F35,Assumptions!$E$152:$BC$157,COLUMN()-COLUMN($BC$4),FALSE)</f>
        <v>1</v>
      </c>
      <c r="BJ35" s="33">
        <f>VLOOKUP($F35,Assumptions!$E$152:$BC$157,COLUMN()-COLUMN($BC$4),FALSE)</f>
        <v>1</v>
      </c>
      <c r="BK35" s="33">
        <f>VLOOKUP($F35,Assumptions!$E$152:$BC$157,COLUMN()-COLUMN($BC$4),FALSE)</f>
        <v>1</v>
      </c>
      <c r="BL35" s="33">
        <f>VLOOKUP($F35,Assumptions!$E$152:$BC$157,COLUMN()-COLUMN($BC$4),FALSE)</f>
        <v>1</v>
      </c>
      <c r="BM35" s="33">
        <f>VLOOKUP($F35,Assumptions!$E$152:$BC$157,COLUMN()-COLUMN($BC$4),FALSE)</f>
        <v>1</v>
      </c>
      <c r="BN35" s="33">
        <f>VLOOKUP($F35,Assumptions!$E$152:$BC$157,COLUMN()-COLUMN($BC$4),FALSE)</f>
        <v>1</v>
      </c>
      <c r="BO35" s="33">
        <f>VLOOKUP($F35,Assumptions!$E$152:$BC$157,COLUMN()-COLUMN($BC$4),FALSE)</f>
        <v>1</v>
      </c>
      <c r="BP35" s="33">
        <f>VLOOKUP($F35,Assumptions!$E$152:$BC$157,COLUMN()-COLUMN($BC$4),FALSE)</f>
        <v>1</v>
      </c>
      <c r="BQ35" s="33">
        <f>VLOOKUP($F35,Assumptions!$E$152:$BC$157,COLUMN()-COLUMN($BC$4),FALSE)</f>
        <v>1</v>
      </c>
      <c r="BR35" s="33">
        <f>VLOOKUP($F35,Assumptions!$E$152:$BC$157,COLUMN()-COLUMN($BC$4),FALSE)</f>
        <v>1</v>
      </c>
      <c r="BS35" s="33">
        <f>VLOOKUP($F35,Assumptions!$E$152:$BC$157,COLUMN()-COLUMN($BC$4),FALSE)</f>
        <v>1</v>
      </c>
      <c r="BT35" s="33">
        <f>VLOOKUP($F35,Assumptions!$E$152:$BC$157,COLUMN()-COLUMN($BC$4),FALSE)</f>
        <v>1</v>
      </c>
      <c r="BU35" s="33">
        <f>VLOOKUP($F35,Assumptions!$E$152:$BC$157,COLUMN()-COLUMN($BC$4),FALSE)</f>
        <v>1</v>
      </c>
      <c r="BV35" s="33">
        <f>VLOOKUP($F35,Assumptions!$E$152:$BC$157,COLUMN()-COLUMN($BC$4),FALSE)</f>
        <v>1</v>
      </c>
      <c r="BW35" s="33">
        <f>VLOOKUP($F35,Assumptions!$E$152:$BC$157,COLUMN()-COLUMN($BC$4),FALSE)</f>
        <v>1</v>
      </c>
      <c r="BX35" s="33">
        <f>VLOOKUP($F35,Assumptions!$E$152:$BC$157,COLUMN()-COLUMN($BC$4),FALSE)</f>
        <v>1</v>
      </c>
      <c r="BY35" s="33">
        <f>VLOOKUP($F35,Assumptions!$E$152:$BC$157,COLUMN()-COLUMN($BC$4),FALSE)</f>
        <v>1</v>
      </c>
      <c r="BZ35" s="33">
        <f>VLOOKUP($F35,Assumptions!$E$152:$BC$157,COLUMN()-COLUMN($BC$4),FALSE)</f>
        <v>1</v>
      </c>
      <c r="CA35" s="33">
        <f>VLOOKUP($F35,Assumptions!$E$152:$BC$157,COLUMN()-COLUMN($BC$4),FALSE)</f>
        <v>1</v>
      </c>
      <c r="CB35" s="33">
        <f>VLOOKUP($F35,Assumptions!$E$152:$BC$157,COLUMN()-COLUMN($BC$4),FALSE)</f>
        <v>1</v>
      </c>
      <c r="CC35" s="33">
        <f>VLOOKUP($F35,Assumptions!$E$152:$BC$157,COLUMN()-COLUMN($BC$4),FALSE)</f>
        <v>1</v>
      </c>
      <c r="CD35" s="33">
        <f>VLOOKUP($F35,Assumptions!$E$152:$BC$157,COLUMN()-COLUMN($BC$4),FALSE)</f>
        <v>1</v>
      </c>
      <c r="CE35" s="33">
        <f>VLOOKUP($F35,Assumptions!$E$152:$BC$157,COLUMN()-COLUMN($BC$4),FALSE)</f>
        <v>1</v>
      </c>
      <c r="CF35" s="33">
        <f>VLOOKUP($F35,Assumptions!$E$152:$BC$157,COLUMN()-COLUMN($BC$4),FALSE)</f>
        <v>1</v>
      </c>
      <c r="CG35" s="33">
        <f>VLOOKUP($F35,Assumptions!$E$152:$BC$157,COLUMN()-COLUMN($BC$4),FALSE)</f>
        <v>1</v>
      </c>
      <c r="CH35" s="33">
        <f>VLOOKUP($F35,Assumptions!$E$152:$BC$157,COLUMN()-COLUMN($BC$4),FALSE)</f>
        <v>1</v>
      </c>
      <c r="CI35" s="33">
        <f>VLOOKUP($F35,Assumptions!$E$152:$BC$157,COLUMN()-COLUMN($BC$4),FALSE)</f>
        <v>1</v>
      </c>
      <c r="CJ35" s="33">
        <f>VLOOKUP($F35,Assumptions!$E$152:$BC$157,COLUMN()-COLUMN($BC$4),FALSE)</f>
        <v>1</v>
      </c>
      <c r="CK35" s="33">
        <f>VLOOKUP($F35,Assumptions!$E$152:$BC$157,COLUMN()-COLUMN($BC$4),FALSE)</f>
        <v>1</v>
      </c>
      <c r="CL35" s="33">
        <f>VLOOKUP($F35,Assumptions!$E$152:$BC$157,COLUMN()-COLUMN($BC$4),FALSE)</f>
        <v>1</v>
      </c>
      <c r="CM35" s="33">
        <f>VLOOKUP($F35,Assumptions!$E$152:$BC$157,COLUMN()-COLUMN($BC$4),FALSE)</f>
        <v>1</v>
      </c>
      <c r="CN35" s="33">
        <f>VLOOKUP($F35,Assumptions!$E$152:$BC$157,COLUMN()-COLUMN($BC$4),FALSE)</f>
        <v>1</v>
      </c>
      <c r="CO35" s="33">
        <f>VLOOKUP($F35,Assumptions!$E$152:$BC$157,COLUMN()-COLUMN($BC$4),FALSE)</f>
        <v>1</v>
      </c>
      <c r="CP35" s="33">
        <f>VLOOKUP($F35,Assumptions!$E$152:$BC$157,COLUMN()-COLUMN($BC$4),FALSE)</f>
        <v>1</v>
      </c>
      <c r="CQ35" s="33">
        <f>VLOOKUP($F35,Assumptions!$E$152:$BC$157,COLUMN()-COLUMN($BC$4),FALSE)</f>
        <v>1</v>
      </c>
      <c r="CR35" s="33">
        <f>VLOOKUP($F35,Assumptions!$E$152:$BC$157,COLUMN()-COLUMN($BC$4),FALSE)</f>
        <v>1</v>
      </c>
      <c r="CS35" s="33">
        <f>VLOOKUP($F35,Assumptions!$E$152:$BC$157,COLUMN()-COLUMN($BC$4),FALSE)</f>
        <v>1</v>
      </c>
      <c r="CT35" s="33">
        <f>VLOOKUP($F35,Assumptions!$E$152:$BC$157,COLUMN()-COLUMN($BC$4),FALSE)</f>
        <v>1</v>
      </c>
      <c r="CU35" s="33">
        <f>VLOOKUP($F35,Assumptions!$E$152:$BC$157,COLUMN()-COLUMN($BC$4),FALSE)</f>
        <v>1</v>
      </c>
      <c r="CV35" s="33">
        <f>VLOOKUP($F35,Assumptions!$E$152:$BC$157,COLUMN()-COLUMN($BC$4),FALSE)</f>
        <v>1</v>
      </c>
      <c r="CW35" s="33">
        <f>VLOOKUP($F35,Assumptions!$E$152:$BC$157,COLUMN()-COLUMN($BC$4),FALSE)</f>
        <v>1</v>
      </c>
      <c r="CX35" s="33">
        <f>VLOOKUP($F35,Assumptions!$E$152:$BC$157,COLUMN()-COLUMN($BC$4),FALSE)</f>
        <v>1</v>
      </c>
      <c r="CY35" s="27"/>
      <c r="CZ35" s="27"/>
      <c r="DA35" s="27"/>
      <c r="DE35" s="27"/>
      <c r="DF35" s="27"/>
      <c r="DG35" s="27"/>
      <c r="DH35" s="27"/>
      <c r="DI35" s="27"/>
      <c r="DJ35" s="27"/>
      <c r="DK35" s="27"/>
      <c r="DL35" s="27"/>
      <c r="DM35" s="27"/>
      <c r="DN35" s="27"/>
      <c r="DO35" s="27"/>
      <c r="DP35" s="27"/>
      <c r="DQ35" s="27"/>
      <c r="DR35" s="27"/>
      <c r="DS35" s="27"/>
      <c r="DT35" s="27"/>
      <c r="DU35" s="27"/>
      <c r="DV35" s="27"/>
      <c r="DW35" s="27"/>
      <c r="DX35" s="27"/>
      <c r="DY35" s="27"/>
      <c r="DZ35" s="27"/>
      <c r="EA35" s="27"/>
      <c r="EB35" s="27"/>
      <c r="EC35" s="27"/>
      <c r="ED35" s="27"/>
      <c r="EE35" s="27"/>
      <c r="EF35" s="27"/>
      <c r="EG35" s="27"/>
      <c r="EH35" s="27"/>
      <c r="EI35" s="27"/>
      <c r="EJ35" s="27"/>
      <c r="EK35" s="27"/>
      <c r="EL35" s="27"/>
      <c r="EM35" s="27"/>
      <c r="EN35" s="27"/>
      <c r="EO35" s="27"/>
      <c r="EP35" s="27"/>
      <c r="EQ35" s="27"/>
      <c r="ER35" s="27"/>
      <c r="ES35" s="27"/>
      <c r="ET35" s="27"/>
      <c r="EU35" s="27"/>
      <c r="EV35" s="27"/>
      <c r="EW35" s="27" t="str">
        <f t="shared" si="48"/>
        <v>\I:</v>
      </c>
      <c r="EX35" s="27" t="str">
        <f t="shared" si="68"/>
        <v/>
      </c>
      <c r="EY35" s="27" t="s">
        <v>169</v>
      </c>
      <c r="EZ35" s="27" t="s">
        <v>160</v>
      </c>
      <c r="FA35" s="27" t="s">
        <v>161</v>
      </c>
    </row>
    <row r="36" spans="3:157">
      <c r="C36" s="27" t="str">
        <f t="shared" si="54"/>
        <v/>
      </c>
      <c r="D36" s="27" t="s">
        <v>41</v>
      </c>
      <c r="E36" s="27"/>
      <c r="F36" s="27" t="s">
        <v>22</v>
      </c>
      <c r="G36" s="33">
        <f>SUMIFS(Assumptions!BD$105:BD$128,Assumptions!$BB$105:$BB$128,'non-road'!$F36,Assumptions!$BC$105:$BC$128,'non-road'!$D36)/SUMIF(Assumptions!$BB$105:$BB$128,'non-road'!$F36,Assumptions!BD$105:BD$128)</f>
        <v>0.25506207452025892</v>
      </c>
      <c r="H36" s="33">
        <f>SUMIFS(Assumptions!BE$105:BE$128,Assumptions!$BB$105:$BB$128,'non-road'!$F36,Assumptions!$BC$105:$BC$128,'non-road'!$D36)/SUMIF(Assumptions!$BB$105:$BB$128,'non-road'!$F36,Assumptions!BE$105:BE$128)</f>
        <v>0.39602170375766593</v>
      </c>
      <c r="I36" s="33">
        <f>SUMIFS(Assumptions!BF$105:BF$128,Assumptions!$BB$105:$BB$128,'non-road'!$F36,Assumptions!$BC$105:$BC$128,'non-road'!$D36)/SUMIF(Assumptions!$BB$105:$BB$128,'non-road'!$F36,Assumptions!BF$105:BF$128)</f>
        <v>0.10160884420159841</v>
      </c>
      <c r="J36" s="33">
        <f>SUMIFS(Assumptions!BG$105:BG$128,Assumptions!$BB$105:$BB$128,'non-road'!$F36,Assumptions!$BC$105:$BC$128,'non-road'!$D36)/SUMIF(Assumptions!$BB$105:$BB$128,'non-road'!$F36,Assumptions!BG$105:BG$128)</f>
        <v>1</v>
      </c>
      <c r="K36" s="33">
        <f>SUMIFS(Assumptions!BH$105:BH$128,Assumptions!$BB$105:$BB$128,'non-road'!$F36,Assumptions!$BC$105:$BC$128,'non-road'!$D36)/SUMIF(Assumptions!$BB$105:$BB$128,'non-road'!$F36,Assumptions!BH$105:BH$128)</f>
        <v>0.58880233659985326</v>
      </c>
      <c r="L36" s="33">
        <f>SUMIFS(Assumptions!BI$105:BI$128,Assumptions!$BB$105:$BB$128,'non-road'!$F36,Assumptions!$BC$105:$BC$128,'non-road'!$D36)/SUMIF(Assumptions!$BB$105:$BB$128,'non-road'!$F36,Assumptions!BI$105:BI$128)</f>
        <v>0.16405880522816732</v>
      </c>
      <c r="M36" s="33">
        <f>SUMIFS(Assumptions!BJ$105:BJ$128,Assumptions!$BB$105:$BB$128,'non-road'!$F36,Assumptions!$BC$105:$BC$128,'non-road'!$D36)/SUMIF(Assumptions!$BB$105:$BB$128,'non-road'!$F36,Assumptions!BJ$105:BJ$128)</f>
        <v>0.14169982990610672</v>
      </c>
      <c r="N36" s="33">
        <f>SUMIFS(Assumptions!BK$105:BK$128,Assumptions!$BB$105:$BB$128,'non-road'!$F36,Assumptions!$BC$105:$BC$128,'non-road'!$D36)/SUMIF(Assumptions!$BB$105:$BB$128,'non-road'!$F36,Assumptions!BK$105:BK$128)</f>
        <v>6.8465338031405573E-2</v>
      </c>
      <c r="O36" s="33">
        <f>SUMIFS(Assumptions!BL$105:BL$128,Assumptions!$BB$105:$BB$128,'non-road'!$F36,Assumptions!$BC$105:$BC$128,'non-road'!$D36)/SUMIF(Assumptions!$BB$105:$BB$128,'non-road'!$F36,Assumptions!BL$105:BL$128)</f>
        <v>0.23215317799368074</v>
      </c>
      <c r="P36" s="33" t="e">
        <f>SUMIFS(Assumptions!BM$105:BM$128,Assumptions!$BB$105:$BB$128,'non-road'!$F36,Assumptions!$BC$105:$BC$128,'non-road'!$D36)/SUMIF(Assumptions!$BB$105:$BB$128,'non-road'!$F36,Assumptions!BM$105:BM$128)</f>
        <v>#DIV/0!</v>
      </c>
      <c r="Q36" s="33">
        <f>SUMIFS(Assumptions!BN$105:BN$128,Assumptions!$BB$105:$BB$128,'non-road'!$F36,Assumptions!$BC$105:$BC$128,'non-road'!$D36)/SUMIF(Assumptions!$BB$105:$BB$128,'non-road'!$F36,Assumptions!BN$105:BN$128)</f>
        <v>8.341588087240169E-2</v>
      </c>
      <c r="R36" s="33">
        <f>SUMIFS(Assumptions!BO$105:BO$128,Assumptions!$BB$105:$BB$128,'non-road'!$F36,Assumptions!$BC$105:$BC$128,'non-road'!$D36)/SUMIF(Assumptions!$BB$105:$BB$128,'non-road'!$F36,Assumptions!BO$105:BO$128)</f>
        <v>0.52954104694031789</v>
      </c>
      <c r="S36" s="33">
        <f>SUMIFS(Assumptions!BP$105:BP$128,Assumptions!$BB$105:$BB$128,'non-road'!$F36,Assumptions!$BC$105:$BC$128,'non-road'!$D36)/SUMIF(Assumptions!$BB$105:$BB$128,'non-road'!$F36,Assumptions!BP$105:BP$128)</f>
        <v>0.18480576835323437</v>
      </c>
      <c r="T36" s="33">
        <f>SUMIFS(Assumptions!BQ$105:BQ$128,Assumptions!$BB$105:$BB$128,'non-road'!$F36,Assumptions!$BC$105:$BC$128,'non-road'!$D36)/SUMIF(Assumptions!$BB$105:$BB$128,'non-road'!$F36,Assumptions!BQ$105:BQ$128)</f>
        <v>0.84802576339693003</v>
      </c>
      <c r="U36" s="33">
        <f>SUMIFS(Assumptions!BR$105:BR$128,Assumptions!$BB$105:$BB$128,'non-road'!$F36,Assumptions!$BC$105:$BC$128,'non-road'!$D36)/SUMIF(Assumptions!$BB$105:$BB$128,'non-road'!$F36,Assumptions!BR$105:BR$128)</f>
        <v>0.71347267714201934</v>
      </c>
      <c r="V36" s="33">
        <f>SUMIFS(Assumptions!BS$105:BS$128,Assumptions!$BB$105:$BB$128,'non-road'!$F36,Assumptions!$BC$105:$BC$128,'non-road'!$D36)/SUMIF(Assumptions!$BB$105:$BB$128,'non-road'!$F36,Assumptions!BS$105:BS$128)</f>
        <v>3.4945547715977569E-2</v>
      </c>
      <c r="W36" s="33">
        <f>SUMIFS(Assumptions!BT$105:BT$128,Assumptions!$BB$105:$BB$128,'non-road'!$F36,Assumptions!$BC$105:$BC$128,'non-road'!$D36)/SUMIF(Assumptions!$BB$105:$BB$128,'non-road'!$F36,Assumptions!BT$105:BT$128)</f>
        <v>0.92886537330981778</v>
      </c>
      <c r="X36" s="33">
        <f>SUMIFS(Assumptions!BU$105:BU$128,Assumptions!$BB$105:$BB$128,'non-road'!$F36,Assumptions!$BC$105:$BC$128,'non-road'!$D36)/SUMIF(Assumptions!$BB$105:$BB$128,'non-road'!$F36,Assumptions!BU$105:BU$128)</f>
        <v>0.18490988958244936</v>
      </c>
      <c r="Y36" s="33">
        <f>SUMIFS(Assumptions!BV$105:BV$128,Assumptions!$BB$105:$BB$128,'non-road'!$F36,Assumptions!$BC$105:$BC$128,'non-road'!$D36)/SUMIF(Assumptions!$BB$105:$BB$128,'non-road'!$F36,Assumptions!BV$105:BV$128)</f>
        <v>2.8061619545635217E-2</v>
      </c>
      <c r="Z36" s="33">
        <f>SUMIFS(Assumptions!BW$105:BW$128,Assumptions!$BB$105:$BB$128,'non-road'!$F36,Assumptions!$BC$105:$BC$128,'non-road'!$D36)/SUMIF(Assumptions!$BB$105:$BB$128,'non-road'!$F36,Assumptions!BW$105:BW$128)</f>
        <v>0.19192558961366796</v>
      </c>
      <c r="AA36" s="33">
        <f>SUMIFS(Assumptions!BX$105:BX$128,Assumptions!$BB$105:$BB$128,'non-road'!$F36,Assumptions!$BC$105:$BC$128,'non-road'!$D36)/SUMIF(Assumptions!$BB$105:$BB$128,'non-road'!$F36,Assumptions!BX$105:BX$128)</f>
        <v>4.0957676673789772E-2</v>
      </c>
      <c r="AB36" s="33">
        <f>SUMIFS(Assumptions!BY$105:BY$128,Assumptions!$BB$105:$BB$128,'non-road'!$F36,Assumptions!$BC$105:$BC$128,'non-road'!$D36)/SUMIF(Assumptions!$BB$105:$BB$128,'non-road'!$F36,Assumptions!BY$105:BY$128)</f>
        <v>0.4548685948056399</v>
      </c>
      <c r="AC36" s="33">
        <f>SUMIFS(Assumptions!BZ$105:BZ$128,Assumptions!$BB$105:$BB$128,'non-road'!$F36,Assumptions!$BC$105:$BC$128,'non-road'!$D36)/SUMIF(Assumptions!$BB$105:$BB$128,'non-road'!$F36,Assumptions!BZ$105:BZ$128)</f>
        <v>0.73674011289820684</v>
      </c>
      <c r="AD36" s="33">
        <f>SUMIFS(Assumptions!CA$105:CA$128,Assumptions!$BB$105:$BB$128,'non-road'!$F36,Assumptions!$BC$105:$BC$128,'non-road'!$D36)/SUMIF(Assumptions!$BB$105:$BB$128,'non-road'!$F36,Assumptions!CA$105:CA$128)</f>
        <v>0.7172280463399856</v>
      </c>
      <c r="AE36" s="33">
        <f>SUMIFS(Assumptions!CB$105:CB$128,Assumptions!$BB$105:$BB$128,'non-road'!$F36,Assumptions!$BC$105:$BC$128,'non-road'!$D36)/SUMIF(Assumptions!$BB$105:$BB$128,'non-road'!$F36,Assumptions!CB$105:CB$128)</f>
        <v>0.14177213878929212</v>
      </c>
      <c r="AF36" s="33">
        <f>SUMIFS(Assumptions!CC$105:CC$128,Assumptions!$BB$105:$BB$128,'non-road'!$F36,Assumptions!$BC$105:$BC$128,'non-road'!$D36)/SUMIF(Assumptions!$BB$105:$BB$128,'non-road'!$F36,Assumptions!CC$105:CC$128)</f>
        <v>0.80446168652056194</v>
      </c>
      <c r="AG36" s="33">
        <f>SUMIFS(Assumptions!CD$105:CD$128,Assumptions!$BB$105:$BB$128,'non-road'!$F36,Assumptions!$BC$105:$BC$128,'non-road'!$D36)/SUMIF(Assumptions!$BB$105:$BB$128,'non-road'!$F36,Assumptions!CD$105:CD$128)</f>
        <v>0</v>
      </c>
      <c r="AH36" s="33">
        <f>SUMIFS(Assumptions!CE$105:CE$128,Assumptions!$BB$105:$BB$128,'non-road'!$F36,Assumptions!$BC$105:$BC$128,'non-road'!$D36)/SUMIF(Assumptions!$BB$105:$BB$128,'non-road'!$F36,Assumptions!CE$105:CE$128)</f>
        <v>0.54346574899078925</v>
      </c>
      <c r="AI36" s="33">
        <f>SUMIFS(Assumptions!CF$105:CF$128,Assumptions!$BB$105:$BB$128,'non-road'!$F36,Assumptions!$BC$105:$BC$128,'non-road'!$D36)/SUMIF(Assumptions!$BB$105:$BB$128,'non-road'!$F36,Assumptions!CF$105:CF$128)</f>
        <v>0.22040283293572668</v>
      </c>
      <c r="AJ36" s="33">
        <f>SUMIFS(Assumptions!CG$105:CG$128,Assumptions!$BB$105:$BB$128,'non-road'!$F36,Assumptions!$BC$105:$BC$128,'non-road'!$D36)/SUMIF(Assumptions!$BB$105:$BB$128,'non-road'!$F36,Assumptions!CG$105:CG$128)</f>
        <v>0.30219337808871644</v>
      </c>
      <c r="AK36" s="33">
        <f>SUMIFS(Assumptions!CH$105:CH$128,Assumptions!$BB$105:$BB$128,'non-road'!$F36,Assumptions!$BC$105:$BC$128,'non-road'!$D36)/SUMIF(Assumptions!$BB$105:$BB$128,'non-road'!$F36,Assumptions!CH$105:CH$128)</f>
        <v>1</v>
      </c>
      <c r="AL36" s="33">
        <f>SUMIFS(Assumptions!CI$105:CI$128,Assumptions!$BB$105:$BB$128,'non-road'!$F36,Assumptions!$BC$105:$BC$128,'non-road'!$D36)/SUMIF(Assumptions!$BB$105:$BB$128,'non-road'!$F36,Assumptions!CI$105:CI$128)</f>
        <v>0.16741197388268311</v>
      </c>
      <c r="AM36" s="33">
        <f>SUMIFS(Assumptions!CJ$105:CJ$128,Assumptions!$BB$105:$BB$128,'non-road'!$F36,Assumptions!$BC$105:$BC$128,'non-road'!$D36)/SUMIF(Assumptions!$BB$105:$BB$128,'non-road'!$F36,Assumptions!CJ$105:CJ$128)</f>
        <v>0.70961152980997821</v>
      </c>
      <c r="AN36" s="33" t="e">
        <f>SUMIFS(Assumptions!CK$105:CK$128,Assumptions!$BB$105:$BB$128,'non-road'!$F36,Assumptions!$BC$105:$BC$128,'non-road'!$D36)/SUMIF(Assumptions!$BB$105:$BB$128,'non-road'!$F36,Assumptions!CK$105:CK$128)</f>
        <v>#DIV/0!</v>
      </c>
      <c r="AO36" s="33">
        <f>SUMIFS(Assumptions!CL$105:CL$128,Assumptions!$BB$105:$BB$128,'non-road'!$F36,Assumptions!$BC$105:$BC$128,'non-road'!$D36)/SUMIF(Assumptions!$BB$105:$BB$128,'non-road'!$F36,Assumptions!CL$105:CL$128)</f>
        <v>1</v>
      </c>
      <c r="AP36" s="33" t="e">
        <f>SUMIFS(Assumptions!CM$105:CM$128,Assumptions!$BB$105:$BB$128,'non-road'!$F36,Assumptions!$BC$105:$BC$128,'non-road'!$D36)/SUMIF(Assumptions!$BB$105:$BB$128,'non-road'!$F36,Assumptions!CM$105:CM$128)</f>
        <v>#DIV/0!</v>
      </c>
      <c r="AQ36" s="33" t="e">
        <f>SUMIFS(Assumptions!CN$105:CN$128,Assumptions!$BB$105:$BB$128,'non-road'!$F36,Assumptions!$BC$105:$BC$128,'non-road'!$D36)/SUMIF(Assumptions!$BB$105:$BB$128,'non-road'!$F36,Assumptions!CN$105:CN$128)</f>
        <v>#DIV/0!</v>
      </c>
      <c r="AR36" s="33" t="e">
        <f>SUMIFS(Assumptions!CO$105:CO$128,Assumptions!$BB$105:$BB$128,'non-road'!$F36,Assumptions!$BC$105:$BC$128,'non-road'!$D36)/SUMIF(Assumptions!$BB$105:$BB$128,'non-road'!$F36,Assumptions!CO$105:CO$128)</f>
        <v>#DIV/0!</v>
      </c>
      <c r="AS36" s="33" t="e">
        <f>SUMIFS(Assumptions!CP$105:CP$128,Assumptions!$BB$105:$BB$128,'non-road'!$F36,Assumptions!$BC$105:$BC$128,'non-road'!$D36)/SUMIF(Assumptions!$BB$105:$BB$128,'non-road'!$F36,Assumptions!CP$105:CP$128)</f>
        <v>#DIV/0!</v>
      </c>
      <c r="AT36" s="33" t="e">
        <f>SUMIFS(Assumptions!CQ$105:CQ$128,Assumptions!$BB$105:$BB$128,'non-road'!$F36,Assumptions!$BC$105:$BC$128,'non-road'!$D36)/SUMIF(Assumptions!$BB$105:$BB$128,'non-road'!$F36,Assumptions!CQ$105:CQ$128)</f>
        <v>#DIV/0!</v>
      </c>
      <c r="AU36" s="33" t="e">
        <f>SUMIFS(Assumptions!CR$105:CR$128,Assumptions!$BB$105:$BB$128,'non-road'!$F36,Assumptions!$BC$105:$BC$128,'non-road'!$D36)/SUMIF(Assumptions!$BB$105:$BB$128,'non-road'!$F36,Assumptions!CR$105:CR$128)</f>
        <v>#DIV/0!</v>
      </c>
      <c r="AV36" s="33" t="e">
        <f>SUMIFS(Assumptions!CS$105:CS$128,Assumptions!$BB$105:$BB$128,'non-road'!$F36,Assumptions!$BC$105:$BC$128,'non-road'!$D36)/SUMIF(Assumptions!$BB$105:$BB$128,'non-road'!$F36,Assumptions!CS$105:CS$128)</f>
        <v>#DIV/0!</v>
      </c>
      <c r="AW36" s="33" t="e">
        <f>SUMIFS(Assumptions!CT$105:CT$128,Assumptions!$BB$105:$BB$128,'non-road'!$F36,Assumptions!$BC$105:$BC$128,'non-road'!$D36)/SUMIF(Assumptions!$BB$105:$BB$128,'non-road'!$F36,Assumptions!CT$105:CT$128)</f>
        <v>#DIV/0!</v>
      </c>
      <c r="AX36" s="33" t="e">
        <f>SUMIFS(Assumptions!CU$105:CU$128,Assumptions!$BB$105:$BB$128,'non-road'!$F36,Assumptions!$BC$105:$BC$128,'non-road'!$D36)/SUMIF(Assumptions!$BB$105:$BB$128,'non-road'!$F36,Assumptions!CU$105:CU$128)</f>
        <v>#DIV/0!</v>
      </c>
      <c r="AY36" s="33" t="e">
        <f>SUMIFS(Assumptions!CV$105:CV$128,Assumptions!$BB$105:$BB$128,'non-road'!$F36,Assumptions!$BC$105:$BC$128,'non-road'!$D36)/SUMIF(Assumptions!$BB$105:$BB$128,'non-road'!$F36,Assumptions!CV$105:CV$128)</f>
        <v>#DIV/0!</v>
      </c>
      <c r="AZ36" s="33" t="e">
        <f>SUMIFS(Assumptions!CW$105:CW$128,Assumptions!$BB$105:$BB$128,'non-road'!$F36,Assumptions!$BC$105:$BC$128,'non-road'!$D36)/SUMIF(Assumptions!$BB$105:$BB$128,'non-road'!$F36,Assumptions!CW$105:CW$128)</f>
        <v>#DIV/0!</v>
      </c>
      <c r="BD36" s="27" t="str">
        <f t="shared" si="55"/>
        <v>\I:</v>
      </c>
      <c r="BE36" s="33">
        <f>VLOOKUP($F36,Assumptions!$E$152:$BC$157,COLUMN()-COLUMN($BC$4),FALSE)</f>
        <v>1</v>
      </c>
      <c r="BF36" s="33">
        <f>VLOOKUP($F36,Assumptions!$E$152:$BC$157,COLUMN()-COLUMN($BC$4),FALSE)</f>
        <v>1</v>
      </c>
      <c r="BG36" s="33">
        <f>VLOOKUP($F36,Assumptions!$E$152:$BC$157,COLUMN()-COLUMN($BC$4),FALSE)</f>
        <v>1</v>
      </c>
      <c r="BH36" s="33">
        <f>VLOOKUP($F36,Assumptions!$E$152:$BC$157,COLUMN()-COLUMN($BC$4),FALSE)</f>
        <v>1</v>
      </c>
      <c r="BI36" s="33">
        <f>VLOOKUP($F36,Assumptions!$E$152:$BC$157,COLUMN()-COLUMN($BC$4),FALSE)</f>
        <v>1</v>
      </c>
      <c r="BJ36" s="33">
        <f>VLOOKUP($F36,Assumptions!$E$152:$BC$157,COLUMN()-COLUMN($BC$4),FALSE)</f>
        <v>1</v>
      </c>
      <c r="BK36" s="33">
        <f>VLOOKUP($F36,Assumptions!$E$152:$BC$157,COLUMN()-COLUMN($BC$4),FALSE)</f>
        <v>1</v>
      </c>
      <c r="BL36" s="33">
        <f>VLOOKUP($F36,Assumptions!$E$152:$BC$157,COLUMN()-COLUMN($BC$4),FALSE)</f>
        <v>1</v>
      </c>
      <c r="BM36" s="33">
        <f>VLOOKUP($F36,Assumptions!$E$152:$BC$157,COLUMN()-COLUMN($BC$4),FALSE)</f>
        <v>1</v>
      </c>
      <c r="BN36" s="33">
        <f>VLOOKUP($F36,Assumptions!$E$152:$BC$157,COLUMN()-COLUMN($BC$4),FALSE)</f>
        <v>1</v>
      </c>
      <c r="BO36" s="33">
        <f>VLOOKUP($F36,Assumptions!$E$152:$BC$157,COLUMN()-COLUMN($BC$4),FALSE)</f>
        <v>1</v>
      </c>
      <c r="BP36" s="33">
        <f>VLOOKUP($F36,Assumptions!$E$152:$BC$157,COLUMN()-COLUMN($BC$4),FALSE)</f>
        <v>1</v>
      </c>
      <c r="BQ36" s="33">
        <f>VLOOKUP($F36,Assumptions!$E$152:$BC$157,COLUMN()-COLUMN($BC$4),FALSE)</f>
        <v>1</v>
      </c>
      <c r="BR36" s="33">
        <f>VLOOKUP($F36,Assumptions!$E$152:$BC$157,COLUMN()-COLUMN($BC$4),FALSE)</f>
        <v>1</v>
      </c>
      <c r="BS36" s="33">
        <f>VLOOKUP($F36,Assumptions!$E$152:$BC$157,COLUMN()-COLUMN($BC$4),FALSE)</f>
        <v>1</v>
      </c>
      <c r="BT36" s="33">
        <f>VLOOKUP($F36,Assumptions!$E$152:$BC$157,COLUMN()-COLUMN($BC$4),FALSE)</f>
        <v>1</v>
      </c>
      <c r="BU36" s="33">
        <f>VLOOKUP($F36,Assumptions!$E$152:$BC$157,COLUMN()-COLUMN($BC$4),FALSE)</f>
        <v>1</v>
      </c>
      <c r="BV36" s="33">
        <f>VLOOKUP($F36,Assumptions!$E$152:$BC$157,COLUMN()-COLUMN($BC$4),FALSE)</f>
        <v>1</v>
      </c>
      <c r="BW36" s="33">
        <f>VLOOKUP($F36,Assumptions!$E$152:$BC$157,COLUMN()-COLUMN($BC$4),FALSE)</f>
        <v>1</v>
      </c>
      <c r="BX36" s="33">
        <f>VLOOKUP($F36,Assumptions!$E$152:$BC$157,COLUMN()-COLUMN($BC$4),FALSE)</f>
        <v>1</v>
      </c>
      <c r="BY36" s="33">
        <f>VLOOKUP($F36,Assumptions!$E$152:$BC$157,COLUMN()-COLUMN($BC$4),FALSE)</f>
        <v>1</v>
      </c>
      <c r="BZ36" s="33">
        <f>VLOOKUP($F36,Assumptions!$E$152:$BC$157,COLUMN()-COLUMN($BC$4),FALSE)</f>
        <v>1</v>
      </c>
      <c r="CA36" s="33">
        <f>VLOOKUP($F36,Assumptions!$E$152:$BC$157,COLUMN()-COLUMN($BC$4),FALSE)</f>
        <v>1</v>
      </c>
      <c r="CB36" s="33">
        <f>VLOOKUP($F36,Assumptions!$E$152:$BC$157,COLUMN()-COLUMN($BC$4),FALSE)</f>
        <v>1</v>
      </c>
      <c r="CC36" s="33">
        <f>VLOOKUP($F36,Assumptions!$E$152:$BC$157,COLUMN()-COLUMN($BC$4),FALSE)</f>
        <v>1</v>
      </c>
      <c r="CD36" s="33">
        <f>VLOOKUP($F36,Assumptions!$E$152:$BC$157,COLUMN()-COLUMN($BC$4),FALSE)</f>
        <v>1</v>
      </c>
      <c r="CE36" s="33">
        <f>VLOOKUP($F36,Assumptions!$E$152:$BC$157,COLUMN()-COLUMN($BC$4),FALSE)</f>
        <v>1</v>
      </c>
      <c r="CF36" s="33">
        <f>VLOOKUP($F36,Assumptions!$E$152:$BC$157,COLUMN()-COLUMN($BC$4),FALSE)</f>
        <v>1</v>
      </c>
      <c r="CG36" s="33">
        <f>VLOOKUP($F36,Assumptions!$E$152:$BC$157,COLUMN()-COLUMN($BC$4),FALSE)</f>
        <v>1</v>
      </c>
      <c r="CH36" s="33">
        <f>VLOOKUP($F36,Assumptions!$E$152:$BC$157,COLUMN()-COLUMN($BC$4),FALSE)</f>
        <v>1</v>
      </c>
      <c r="CI36" s="33">
        <f>VLOOKUP($F36,Assumptions!$E$152:$BC$157,COLUMN()-COLUMN($BC$4),FALSE)</f>
        <v>1</v>
      </c>
      <c r="CJ36" s="33">
        <f>VLOOKUP($F36,Assumptions!$E$152:$BC$157,COLUMN()-COLUMN($BC$4),FALSE)</f>
        <v>1</v>
      </c>
      <c r="CK36" s="33">
        <f>VLOOKUP($F36,Assumptions!$E$152:$BC$157,COLUMN()-COLUMN($BC$4),FALSE)</f>
        <v>1</v>
      </c>
      <c r="CL36" s="33">
        <f>VLOOKUP($F36,Assumptions!$E$152:$BC$157,COLUMN()-COLUMN($BC$4),FALSE)</f>
        <v>1</v>
      </c>
      <c r="CM36" s="33">
        <f>VLOOKUP($F36,Assumptions!$E$152:$BC$157,COLUMN()-COLUMN($BC$4),FALSE)</f>
        <v>1</v>
      </c>
      <c r="CN36" s="33">
        <f>VLOOKUP($F36,Assumptions!$E$152:$BC$157,COLUMN()-COLUMN($BC$4),FALSE)</f>
        <v>1</v>
      </c>
      <c r="CO36" s="33">
        <f>VLOOKUP($F36,Assumptions!$E$152:$BC$157,COLUMN()-COLUMN($BC$4),FALSE)</f>
        <v>1</v>
      </c>
      <c r="CP36" s="33">
        <f>VLOOKUP($F36,Assumptions!$E$152:$BC$157,COLUMN()-COLUMN($BC$4),FALSE)</f>
        <v>1</v>
      </c>
      <c r="CQ36" s="33">
        <f>VLOOKUP($F36,Assumptions!$E$152:$BC$157,COLUMN()-COLUMN($BC$4),FALSE)</f>
        <v>1</v>
      </c>
      <c r="CR36" s="33">
        <f>VLOOKUP($F36,Assumptions!$E$152:$BC$157,COLUMN()-COLUMN($BC$4),FALSE)</f>
        <v>1</v>
      </c>
      <c r="CS36" s="33">
        <f>VLOOKUP($F36,Assumptions!$E$152:$BC$157,COLUMN()-COLUMN($BC$4),FALSE)</f>
        <v>1</v>
      </c>
      <c r="CT36" s="33">
        <f>VLOOKUP($F36,Assumptions!$E$152:$BC$157,COLUMN()-COLUMN($BC$4),FALSE)</f>
        <v>1</v>
      </c>
      <c r="CU36" s="33">
        <f>VLOOKUP($F36,Assumptions!$E$152:$BC$157,COLUMN()-COLUMN($BC$4),FALSE)</f>
        <v>1</v>
      </c>
      <c r="CV36" s="33">
        <f>VLOOKUP($F36,Assumptions!$E$152:$BC$157,COLUMN()-COLUMN($BC$4),FALSE)</f>
        <v>1</v>
      </c>
      <c r="CW36" s="33">
        <f>VLOOKUP($F36,Assumptions!$E$152:$BC$157,COLUMN()-COLUMN($BC$4),FALSE)</f>
        <v>1</v>
      </c>
      <c r="CX36" s="33">
        <f>VLOOKUP($F36,Assumptions!$E$152:$BC$157,COLUMN()-COLUMN($BC$4),FALSE)</f>
        <v>1</v>
      </c>
      <c r="CY36" s="27"/>
      <c r="CZ36" s="27"/>
      <c r="DA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 t="str">
        <f t="shared" si="48"/>
        <v>\I:</v>
      </c>
      <c r="EX36" s="27" t="str">
        <f t="shared" si="68"/>
        <v/>
      </c>
      <c r="EY36" s="27" t="s">
        <v>169</v>
      </c>
      <c r="EZ36" s="27" t="s">
        <v>160</v>
      </c>
      <c r="FA36" s="27" t="s">
        <v>161</v>
      </c>
    </row>
    <row r="37" spans="3:157">
      <c r="C37" s="27" t="str">
        <f t="shared" si="54"/>
        <v/>
      </c>
      <c r="D37" s="27" t="s">
        <v>42</v>
      </c>
      <c r="E37" s="27"/>
      <c r="F37" s="27" t="s">
        <v>22</v>
      </c>
      <c r="G37" s="33">
        <f>SUMIFS(Assumptions!BD$105:BD$128,Assumptions!$BB$105:$BB$128,'non-road'!$F37,Assumptions!$BC$105:$BC$128,'non-road'!$D37)/SUMIF(Assumptions!$BB$105:$BB$128,'non-road'!$F37,Assumptions!BD$105:BD$128)</f>
        <v>0</v>
      </c>
      <c r="H37" s="33">
        <f>SUMIFS(Assumptions!BE$105:BE$128,Assumptions!$BB$105:$BB$128,'non-road'!$F37,Assumptions!$BC$105:$BC$128,'non-road'!$D37)/SUMIF(Assumptions!$BB$105:$BB$128,'non-road'!$F37,Assumptions!BE$105:BE$128)</f>
        <v>0</v>
      </c>
      <c r="I37" s="33">
        <f>SUMIFS(Assumptions!BF$105:BF$128,Assumptions!$BB$105:$BB$128,'non-road'!$F37,Assumptions!$BC$105:$BC$128,'non-road'!$D37)/SUMIF(Assumptions!$BB$105:$BB$128,'non-road'!$F37,Assumptions!BF$105:BF$128)</f>
        <v>0</v>
      </c>
      <c r="J37" s="33">
        <f>SUMIFS(Assumptions!BG$105:BG$128,Assumptions!$BB$105:$BB$128,'non-road'!$F37,Assumptions!$BC$105:$BC$128,'non-road'!$D37)/SUMIF(Assumptions!$BB$105:$BB$128,'non-road'!$F37,Assumptions!BG$105:BG$128)</f>
        <v>0</v>
      </c>
      <c r="K37" s="33">
        <f>SUMIFS(Assumptions!BH$105:BH$128,Assumptions!$BB$105:$BB$128,'non-road'!$F37,Assumptions!$BC$105:$BC$128,'non-road'!$D37)/SUMIF(Assumptions!$BB$105:$BB$128,'non-road'!$F37,Assumptions!BH$105:BH$128)</f>
        <v>0</v>
      </c>
      <c r="L37" s="33">
        <f>SUMIFS(Assumptions!BI$105:BI$128,Assumptions!$BB$105:$BB$128,'non-road'!$F37,Assumptions!$BC$105:$BC$128,'non-road'!$D37)/SUMIF(Assumptions!$BB$105:$BB$128,'non-road'!$F37,Assumptions!BI$105:BI$128)</f>
        <v>0</v>
      </c>
      <c r="M37" s="33">
        <f>SUMIFS(Assumptions!BJ$105:BJ$128,Assumptions!$BB$105:$BB$128,'non-road'!$F37,Assumptions!$BC$105:$BC$128,'non-road'!$D37)/SUMIF(Assumptions!$BB$105:$BB$128,'non-road'!$F37,Assumptions!BJ$105:BJ$128)</f>
        <v>0</v>
      </c>
      <c r="N37" s="33">
        <f>SUMIFS(Assumptions!BK$105:BK$128,Assumptions!$BB$105:$BB$128,'non-road'!$F37,Assumptions!$BC$105:$BC$128,'non-road'!$D37)/SUMIF(Assumptions!$BB$105:$BB$128,'non-road'!$F37,Assumptions!BK$105:BK$128)</f>
        <v>0</v>
      </c>
      <c r="O37" s="33">
        <f>SUMIFS(Assumptions!BL$105:BL$128,Assumptions!$BB$105:$BB$128,'non-road'!$F37,Assumptions!$BC$105:$BC$128,'non-road'!$D37)/SUMIF(Assumptions!$BB$105:$BB$128,'non-road'!$F37,Assumptions!BL$105:BL$128)</f>
        <v>0</v>
      </c>
      <c r="P37" s="33" t="e">
        <f>SUMIFS(Assumptions!BM$105:BM$128,Assumptions!$BB$105:$BB$128,'non-road'!$F37,Assumptions!$BC$105:$BC$128,'non-road'!$D37)/SUMIF(Assumptions!$BB$105:$BB$128,'non-road'!$F37,Assumptions!BM$105:BM$128)</f>
        <v>#DIV/0!</v>
      </c>
      <c r="Q37" s="33">
        <f>SUMIFS(Assumptions!BN$105:BN$128,Assumptions!$BB$105:$BB$128,'non-road'!$F37,Assumptions!$BC$105:$BC$128,'non-road'!$D37)/SUMIF(Assumptions!$BB$105:$BB$128,'non-road'!$F37,Assumptions!BN$105:BN$128)</f>
        <v>0</v>
      </c>
      <c r="R37" s="33">
        <f>SUMIFS(Assumptions!BO$105:BO$128,Assumptions!$BB$105:$BB$128,'non-road'!$F37,Assumptions!$BC$105:$BC$128,'non-road'!$D37)/SUMIF(Assumptions!$BB$105:$BB$128,'non-road'!$F37,Assumptions!BO$105:BO$128)</f>
        <v>0</v>
      </c>
      <c r="S37" s="33">
        <f>SUMIFS(Assumptions!BP$105:BP$128,Assumptions!$BB$105:$BB$128,'non-road'!$F37,Assumptions!$BC$105:$BC$128,'non-road'!$D37)/SUMIF(Assumptions!$BB$105:$BB$128,'non-road'!$F37,Assumptions!BP$105:BP$128)</f>
        <v>0</v>
      </c>
      <c r="T37" s="33">
        <f>SUMIFS(Assumptions!BQ$105:BQ$128,Assumptions!$BB$105:$BB$128,'non-road'!$F37,Assumptions!$BC$105:$BC$128,'non-road'!$D37)/SUMIF(Assumptions!$BB$105:$BB$128,'non-road'!$F37,Assumptions!BQ$105:BQ$128)</f>
        <v>0</v>
      </c>
      <c r="U37" s="33">
        <f>SUMIFS(Assumptions!BR$105:BR$128,Assumptions!$BB$105:$BB$128,'non-road'!$F37,Assumptions!$BC$105:$BC$128,'non-road'!$D37)/SUMIF(Assumptions!$BB$105:$BB$128,'non-road'!$F37,Assumptions!BR$105:BR$128)</f>
        <v>0</v>
      </c>
      <c r="V37" s="33">
        <f>SUMIFS(Assumptions!BS$105:BS$128,Assumptions!$BB$105:$BB$128,'non-road'!$F37,Assumptions!$BC$105:$BC$128,'non-road'!$D37)/SUMIF(Assumptions!$BB$105:$BB$128,'non-road'!$F37,Assumptions!BS$105:BS$128)</f>
        <v>0</v>
      </c>
      <c r="W37" s="33">
        <f>SUMIFS(Assumptions!BT$105:BT$128,Assumptions!$BB$105:$BB$128,'non-road'!$F37,Assumptions!$BC$105:$BC$128,'non-road'!$D37)/SUMIF(Assumptions!$BB$105:$BB$128,'non-road'!$F37,Assumptions!BT$105:BT$128)</f>
        <v>0</v>
      </c>
      <c r="X37" s="33">
        <f>SUMIFS(Assumptions!BU$105:BU$128,Assumptions!$BB$105:$BB$128,'non-road'!$F37,Assumptions!$BC$105:$BC$128,'non-road'!$D37)/SUMIF(Assumptions!$BB$105:$BB$128,'non-road'!$F37,Assumptions!BU$105:BU$128)</f>
        <v>0</v>
      </c>
      <c r="Y37" s="33">
        <f>SUMIFS(Assumptions!BV$105:BV$128,Assumptions!$BB$105:$BB$128,'non-road'!$F37,Assumptions!$BC$105:$BC$128,'non-road'!$D37)/SUMIF(Assumptions!$BB$105:$BB$128,'non-road'!$F37,Assumptions!BV$105:BV$128)</f>
        <v>0</v>
      </c>
      <c r="Z37" s="33">
        <f>SUMIFS(Assumptions!BW$105:BW$128,Assumptions!$BB$105:$BB$128,'non-road'!$F37,Assumptions!$BC$105:$BC$128,'non-road'!$D37)/SUMIF(Assumptions!$BB$105:$BB$128,'non-road'!$F37,Assumptions!BW$105:BW$128)</f>
        <v>0</v>
      </c>
      <c r="AA37" s="33">
        <f>SUMIFS(Assumptions!BX$105:BX$128,Assumptions!$BB$105:$BB$128,'non-road'!$F37,Assumptions!$BC$105:$BC$128,'non-road'!$D37)/SUMIF(Assumptions!$BB$105:$BB$128,'non-road'!$F37,Assumptions!BX$105:BX$128)</f>
        <v>0</v>
      </c>
      <c r="AB37" s="33">
        <f>SUMIFS(Assumptions!BY$105:BY$128,Assumptions!$BB$105:$BB$128,'non-road'!$F37,Assumptions!$BC$105:$BC$128,'non-road'!$D37)/SUMIF(Assumptions!$BB$105:$BB$128,'non-road'!$F37,Assumptions!BY$105:BY$128)</f>
        <v>0</v>
      </c>
      <c r="AC37" s="33">
        <f>SUMIFS(Assumptions!BZ$105:BZ$128,Assumptions!$BB$105:$BB$128,'non-road'!$F37,Assumptions!$BC$105:$BC$128,'non-road'!$D37)/SUMIF(Assumptions!$BB$105:$BB$128,'non-road'!$F37,Assumptions!BZ$105:BZ$128)</f>
        <v>0</v>
      </c>
      <c r="AD37" s="33">
        <f>SUMIFS(Assumptions!CA$105:CA$128,Assumptions!$BB$105:$BB$128,'non-road'!$F37,Assumptions!$BC$105:$BC$128,'non-road'!$D37)/SUMIF(Assumptions!$BB$105:$BB$128,'non-road'!$F37,Assumptions!CA$105:CA$128)</f>
        <v>0</v>
      </c>
      <c r="AE37" s="33">
        <f>SUMIFS(Assumptions!CB$105:CB$128,Assumptions!$BB$105:$BB$128,'non-road'!$F37,Assumptions!$BC$105:$BC$128,'non-road'!$D37)/SUMIF(Assumptions!$BB$105:$BB$128,'non-road'!$F37,Assumptions!CB$105:CB$128)</f>
        <v>0</v>
      </c>
      <c r="AF37" s="33">
        <f>SUMIFS(Assumptions!CC$105:CC$128,Assumptions!$BB$105:$BB$128,'non-road'!$F37,Assumptions!$BC$105:$BC$128,'non-road'!$D37)/SUMIF(Assumptions!$BB$105:$BB$128,'non-road'!$F37,Assumptions!CC$105:CC$128)</f>
        <v>0</v>
      </c>
      <c r="AG37" s="33">
        <f>SUMIFS(Assumptions!CD$105:CD$128,Assumptions!$BB$105:$BB$128,'non-road'!$F37,Assumptions!$BC$105:$BC$128,'non-road'!$D37)/SUMIF(Assumptions!$BB$105:$BB$128,'non-road'!$F37,Assumptions!CD$105:CD$128)</f>
        <v>0</v>
      </c>
      <c r="AH37" s="33">
        <f>SUMIFS(Assumptions!CE$105:CE$128,Assumptions!$BB$105:$BB$128,'non-road'!$F37,Assumptions!$BC$105:$BC$128,'non-road'!$D37)/SUMIF(Assumptions!$BB$105:$BB$128,'non-road'!$F37,Assumptions!CE$105:CE$128)</f>
        <v>0</v>
      </c>
      <c r="AI37" s="33">
        <f>SUMIFS(Assumptions!CF$105:CF$128,Assumptions!$BB$105:$BB$128,'non-road'!$F37,Assumptions!$BC$105:$BC$128,'non-road'!$D37)/SUMIF(Assumptions!$BB$105:$BB$128,'non-road'!$F37,Assumptions!CF$105:CF$128)</f>
        <v>0</v>
      </c>
      <c r="AJ37" s="33">
        <f>SUMIFS(Assumptions!CG$105:CG$128,Assumptions!$BB$105:$BB$128,'non-road'!$F37,Assumptions!$BC$105:$BC$128,'non-road'!$D37)/SUMIF(Assumptions!$BB$105:$BB$128,'non-road'!$F37,Assumptions!CG$105:CG$128)</f>
        <v>0</v>
      </c>
      <c r="AK37" s="33">
        <f>SUMIFS(Assumptions!CH$105:CH$128,Assumptions!$BB$105:$BB$128,'non-road'!$F37,Assumptions!$BC$105:$BC$128,'non-road'!$D37)/SUMIF(Assumptions!$BB$105:$BB$128,'non-road'!$F37,Assumptions!CH$105:CH$128)</f>
        <v>0</v>
      </c>
      <c r="AL37" s="33">
        <f>SUMIFS(Assumptions!CI$105:CI$128,Assumptions!$BB$105:$BB$128,'non-road'!$F37,Assumptions!$BC$105:$BC$128,'non-road'!$D37)/SUMIF(Assumptions!$BB$105:$BB$128,'non-road'!$F37,Assumptions!CI$105:CI$128)</f>
        <v>0</v>
      </c>
      <c r="AM37" s="33">
        <f>SUMIFS(Assumptions!CJ$105:CJ$128,Assumptions!$BB$105:$BB$128,'non-road'!$F37,Assumptions!$BC$105:$BC$128,'non-road'!$D37)/SUMIF(Assumptions!$BB$105:$BB$128,'non-road'!$F37,Assumptions!CJ$105:CJ$128)</f>
        <v>0</v>
      </c>
      <c r="AN37" s="33" t="e">
        <f>SUMIFS(Assumptions!CK$105:CK$128,Assumptions!$BB$105:$BB$128,'non-road'!$F37,Assumptions!$BC$105:$BC$128,'non-road'!$D37)/SUMIF(Assumptions!$BB$105:$BB$128,'non-road'!$F37,Assumptions!CK$105:CK$128)</f>
        <v>#DIV/0!</v>
      </c>
      <c r="AO37" s="33">
        <f>SUMIFS(Assumptions!CL$105:CL$128,Assumptions!$BB$105:$BB$128,'non-road'!$F37,Assumptions!$BC$105:$BC$128,'non-road'!$D37)/SUMIF(Assumptions!$BB$105:$BB$128,'non-road'!$F37,Assumptions!CL$105:CL$128)</f>
        <v>0</v>
      </c>
      <c r="AP37" s="33" t="e">
        <f>SUMIFS(Assumptions!CM$105:CM$128,Assumptions!$BB$105:$BB$128,'non-road'!$F37,Assumptions!$BC$105:$BC$128,'non-road'!$D37)/SUMIF(Assumptions!$BB$105:$BB$128,'non-road'!$F37,Assumptions!CM$105:CM$128)</f>
        <v>#DIV/0!</v>
      </c>
      <c r="AQ37" s="33" t="e">
        <f>SUMIFS(Assumptions!CN$105:CN$128,Assumptions!$BB$105:$BB$128,'non-road'!$F37,Assumptions!$BC$105:$BC$128,'non-road'!$D37)/SUMIF(Assumptions!$BB$105:$BB$128,'non-road'!$F37,Assumptions!CN$105:CN$128)</f>
        <v>#DIV/0!</v>
      </c>
      <c r="AR37" s="33" t="e">
        <f>SUMIFS(Assumptions!CO$105:CO$128,Assumptions!$BB$105:$BB$128,'non-road'!$F37,Assumptions!$BC$105:$BC$128,'non-road'!$D37)/SUMIF(Assumptions!$BB$105:$BB$128,'non-road'!$F37,Assumptions!CO$105:CO$128)</f>
        <v>#DIV/0!</v>
      </c>
      <c r="AS37" s="33" t="e">
        <f>SUMIFS(Assumptions!CP$105:CP$128,Assumptions!$BB$105:$BB$128,'non-road'!$F37,Assumptions!$BC$105:$BC$128,'non-road'!$D37)/SUMIF(Assumptions!$BB$105:$BB$128,'non-road'!$F37,Assumptions!CP$105:CP$128)</f>
        <v>#DIV/0!</v>
      </c>
      <c r="AT37" s="33" t="e">
        <f>SUMIFS(Assumptions!CQ$105:CQ$128,Assumptions!$BB$105:$BB$128,'non-road'!$F37,Assumptions!$BC$105:$BC$128,'non-road'!$D37)/SUMIF(Assumptions!$BB$105:$BB$128,'non-road'!$F37,Assumptions!CQ$105:CQ$128)</f>
        <v>#DIV/0!</v>
      </c>
      <c r="AU37" s="33" t="e">
        <f>SUMIFS(Assumptions!CR$105:CR$128,Assumptions!$BB$105:$BB$128,'non-road'!$F37,Assumptions!$BC$105:$BC$128,'non-road'!$D37)/SUMIF(Assumptions!$BB$105:$BB$128,'non-road'!$F37,Assumptions!CR$105:CR$128)</f>
        <v>#DIV/0!</v>
      </c>
      <c r="AV37" s="33" t="e">
        <f>SUMIFS(Assumptions!CS$105:CS$128,Assumptions!$BB$105:$BB$128,'non-road'!$F37,Assumptions!$BC$105:$BC$128,'non-road'!$D37)/SUMIF(Assumptions!$BB$105:$BB$128,'non-road'!$F37,Assumptions!CS$105:CS$128)</f>
        <v>#DIV/0!</v>
      </c>
      <c r="AW37" s="33" t="e">
        <f>SUMIFS(Assumptions!CT$105:CT$128,Assumptions!$BB$105:$BB$128,'non-road'!$F37,Assumptions!$BC$105:$BC$128,'non-road'!$D37)/SUMIF(Assumptions!$BB$105:$BB$128,'non-road'!$F37,Assumptions!CT$105:CT$128)</f>
        <v>#DIV/0!</v>
      </c>
      <c r="AX37" s="33" t="e">
        <f>SUMIFS(Assumptions!CU$105:CU$128,Assumptions!$BB$105:$BB$128,'non-road'!$F37,Assumptions!$BC$105:$BC$128,'non-road'!$D37)/SUMIF(Assumptions!$BB$105:$BB$128,'non-road'!$F37,Assumptions!CU$105:CU$128)</f>
        <v>#DIV/0!</v>
      </c>
      <c r="AY37" s="33" t="e">
        <f>SUMIFS(Assumptions!CV$105:CV$128,Assumptions!$BB$105:$BB$128,'non-road'!$F37,Assumptions!$BC$105:$BC$128,'non-road'!$D37)/SUMIF(Assumptions!$BB$105:$BB$128,'non-road'!$F37,Assumptions!CV$105:CV$128)</f>
        <v>#DIV/0!</v>
      </c>
      <c r="AZ37" s="33" t="e">
        <f>SUMIFS(Assumptions!CW$105:CW$128,Assumptions!$BB$105:$BB$128,'non-road'!$F37,Assumptions!$BC$105:$BC$128,'non-road'!$D37)/SUMIF(Assumptions!$BB$105:$BB$128,'non-road'!$F37,Assumptions!CW$105:CW$128)</f>
        <v>#DIV/0!</v>
      </c>
      <c r="BD37" s="27" t="str">
        <f t="shared" si="55"/>
        <v>\I:</v>
      </c>
      <c r="BE37" s="33">
        <f>VLOOKUP($F37,Assumptions!$E$152:$BC$157,COLUMN()-COLUMN($BC$4),FALSE)</f>
        <v>1</v>
      </c>
      <c r="BF37" s="33">
        <f>VLOOKUP($F37,Assumptions!$E$152:$BC$157,COLUMN()-COLUMN($BC$4),FALSE)</f>
        <v>1</v>
      </c>
      <c r="BG37" s="33">
        <f>VLOOKUP($F37,Assumptions!$E$152:$BC$157,COLUMN()-COLUMN($BC$4),FALSE)</f>
        <v>1</v>
      </c>
      <c r="BH37" s="33">
        <f>VLOOKUP($F37,Assumptions!$E$152:$BC$157,COLUMN()-COLUMN($BC$4),FALSE)</f>
        <v>1</v>
      </c>
      <c r="BI37" s="33">
        <f>VLOOKUP($F37,Assumptions!$E$152:$BC$157,COLUMN()-COLUMN($BC$4),FALSE)</f>
        <v>1</v>
      </c>
      <c r="BJ37" s="33">
        <f>VLOOKUP($F37,Assumptions!$E$152:$BC$157,COLUMN()-COLUMN($BC$4),FALSE)</f>
        <v>1</v>
      </c>
      <c r="BK37" s="33">
        <f>VLOOKUP($F37,Assumptions!$E$152:$BC$157,COLUMN()-COLUMN($BC$4),FALSE)</f>
        <v>1</v>
      </c>
      <c r="BL37" s="33">
        <f>VLOOKUP($F37,Assumptions!$E$152:$BC$157,COLUMN()-COLUMN($BC$4),FALSE)</f>
        <v>1</v>
      </c>
      <c r="BM37" s="33">
        <f>VLOOKUP($F37,Assumptions!$E$152:$BC$157,COLUMN()-COLUMN($BC$4),FALSE)</f>
        <v>1</v>
      </c>
      <c r="BN37" s="33">
        <f>VLOOKUP($F37,Assumptions!$E$152:$BC$157,COLUMN()-COLUMN($BC$4),FALSE)</f>
        <v>1</v>
      </c>
      <c r="BO37" s="33">
        <f>VLOOKUP($F37,Assumptions!$E$152:$BC$157,COLUMN()-COLUMN($BC$4),FALSE)</f>
        <v>1</v>
      </c>
      <c r="BP37" s="33">
        <f>VLOOKUP($F37,Assumptions!$E$152:$BC$157,COLUMN()-COLUMN($BC$4),FALSE)</f>
        <v>1</v>
      </c>
      <c r="BQ37" s="33">
        <f>VLOOKUP($F37,Assumptions!$E$152:$BC$157,COLUMN()-COLUMN($BC$4),FALSE)</f>
        <v>1</v>
      </c>
      <c r="BR37" s="33">
        <f>VLOOKUP($F37,Assumptions!$E$152:$BC$157,COLUMN()-COLUMN($BC$4),FALSE)</f>
        <v>1</v>
      </c>
      <c r="BS37" s="33">
        <f>VLOOKUP($F37,Assumptions!$E$152:$BC$157,COLUMN()-COLUMN($BC$4),FALSE)</f>
        <v>1</v>
      </c>
      <c r="BT37" s="33">
        <f>VLOOKUP($F37,Assumptions!$E$152:$BC$157,COLUMN()-COLUMN($BC$4),FALSE)</f>
        <v>1</v>
      </c>
      <c r="BU37" s="33">
        <f>VLOOKUP($F37,Assumptions!$E$152:$BC$157,COLUMN()-COLUMN($BC$4),FALSE)</f>
        <v>1</v>
      </c>
      <c r="BV37" s="33">
        <f>VLOOKUP($F37,Assumptions!$E$152:$BC$157,COLUMN()-COLUMN($BC$4),FALSE)</f>
        <v>1</v>
      </c>
      <c r="BW37" s="33">
        <f>VLOOKUP($F37,Assumptions!$E$152:$BC$157,COLUMN()-COLUMN($BC$4),FALSE)</f>
        <v>1</v>
      </c>
      <c r="BX37" s="33">
        <f>VLOOKUP($F37,Assumptions!$E$152:$BC$157,COLUMN()-COLUMN($BC$4),FALSE)</f>
        <v>1</v>
      </c>
      <c r="BY37" s="33">
        <f>VLOOKUP($F37,Assumptions!$E$152:$BC$157,COLUMN()-COLUMN($BC$4),FALSE)</f>
        <v>1</v>
      </c>
      <c r="BZ37" s="33">
        <f>VLOOKUP($F37,Assumptions!$E$152:$BC$157,COLUMN()-COLUMN($BC$4),FALSE)</f>
        <v>1</v>
      </c>
      <c r="CA37" s="33">
        <f>VLOOKUP($F37,Assumptions!$E$152:$BC$157,COLUMN()-COLUMN($BC$4),FALSE)</f>
        <v>1</v>
      </c>
      <c r="CB37" s="33">
        <f>VLOOKUP($F37,Assumptions!$E$152:$BC$157,COLUMN()-COLUMN($BC$4),FALSE)</f>
        <v>1</v>
      </c>
      <c r="CC37" s="33">
        <f>VLOOKUP($F37,Assumptions!$E$152:$BC$157,COLUMN()-COLUMN($BC$4),FALSE)</f>
        <v>1</v>
      </c>
      <c r="CD37" s="33">
        <f>VLOOKUP($F37,Assumptions!$E$152:$BC$157,COLUMN()-COLUMN($BC$4),FALSE)</f>
        <v>1</v>
      </c>
      <c r="CE37" s="33">
        <f>VLOOKUP($F37,Assumptions!$E$152:$BC$157,COLUMN()-COLUMN($BC$4),FALSE)</f>
        <v>1</v>
      </c>
      <c r="CF37" s="33">
        <f>VLOOKUP($F37,Assumptions!$E$152:$BC$157,COLUMN()-COLUMN($BC$4),FALSE)</f>
        <v>1</v>
      </c>
      <c r="CG37" s="33">
        <f>VLOOKUP($F37,Assumptions!$E$152:$BC$157,COLUMN()-COLUMN($BC$4),FALSE)</f>
        <v>1</v>
      </c>
      <c r="CH37" s="33">
        <f>VLOOKUP($F37,Assumptions!$E$152:$BC$157,COLUMN()-COLUMN($BC$4),FALSE)</f>
        <v>1</v>
      </c>
      <c r="CI37" s="33">
        <f>VLOOKUP($F37,Assumptions!$E$152:$BC$157,COLUMN()-COLUMN($BC$4),FALSE)</f>
        <v>1</v>
      </c>
      <c r="CJ37" s="33">
        <f>VLOOKUP($F37,Assumptions!$E$152:$BC$157,COLUMN()-COLUMN($BC$4),FALSE)</f>
        <v>1</v>
      </c>
      <c r="CK37" s="33">
        <f>VLOOKUP($F37,Assumptions!$E$152:$BC$157,COLUMN()-COLUMN($BC$4),FALSE)</f>
        <v>1</v>
      </c>
      <c r="CL37" s="33">
        <f>VLOOKUP($F37,Assumptions!$E$152:$BC$157,COLUMN()-COLUMN($BC$4),FALSE)</f>
        <v>1</v>
      </c>
      <c r="CM37" s="33">
        <f>VLOOKUP($F37,Assumptions!$E$152:$BC$157,COLUMN()-COLUMN($BC$4),FALSE)</f>
        <v>1</v>
      </c>
      <c r="CN37" s="33">
        <f>VLOOKUP($F37,Assumptions!$E$152:$BC$157,COLUMN()-COLUMN($BC$4),FALSE)</f>
        <v>1</v>
      </c>
      <c r="CO37" s="33">
        <f>VLOOKUP($F37,Assumptions!$E$152:$BC$157,COLUMN()-COLUMN($BC$4),FALSE)</f>
        <v>1</v>
      </c>
      <c r="CP37" s="33">
        <f>VLOOKUP($F37,Assumptions!$E$152:$BC$157,COLUMN()-COLUMN($BC$4),FALSE)</f>
        <v>1</v>
      </c>
      <c r="CQ37" s="33">
        <f>VLOOKUP($F37,Assumptions!$E$152:$BC$157,COLUMN()-COLUMN($BC$4),FALSE)</f>
        <v>1</v>
      </c>
      <c r="CR37" s="33">
        <f>VLOOKUP($F37,Assumptions!$E$152:$BC$157,COLUMN()-COLUMN($BC$4),FALSE)</f>
        <v>1</v>
      </c>
      <c r="CS37" s="33">
        <f>VLOOKUP($F37,Assumptions!$E$152:$BC$157,COLUMN()-COLUMN($BC$4),FALSE)</f>
        <v>1</v>
      </c>
      <c r="CT37" s="33">
        <f>VLOOKUP($F37,Assumptions!$E$152:$BC$157,COLUMN()-COLUMN($BC$4),FALSE)</f>
        <v>1</v>
      </c>
      <c r="CU37" s="33">
        <f>VLOOKUP($F37,Assumptions!$E$152:$BC$157,COLUMN()-COLUMN($BC$4),FALSE)</f>
        <v>1</v>
      </c>
      <c r="CV37" s="33">
        <f>VLOOKUP($F37,Assumptions!$E$152:$BC$157,COLUMN()-COLUMN($BC$4),FALSE)</f>
        <v>1</v>
      </c>
      <c r="CW37" s="33">
        <f>VLOOKUP($F37,Assumptions!$E$152:$BC$157,COLUMN()-COLUMN($BC$4),FALSE)</f>
        <v>1</v>
      </c>
      <c r="CX37" s="33">
        <f>VLOOKUP($F37,Assumptions!$E$152:$BC$157,COLUMN()-COLUMN($BC$4),FALSE)</f>
        <v>1</v>
      </c>
      <c r="CY37" s="27"/>
      <c r="CZ37" s="27"/>
      <c r="DA37" s="27"/>
      <c r="DC37" s="27"/>
      <c r="DD37" s="27"/>
      <c r="DE37" s="27"/>
      <c r="DF37" s="27"/>
      <c r="DG37" s="27"/>
      <c r="DH37" s="27"/>
      <c r="DI37" s="27"/>
      <c r="DJ37" s="27"/>
      <c r="DK37" s="27"/>
      <c r="DL37" s="27"/>
      <c r="DM37" s="27"/>
      <c r="DN37" s="27"/>
      <c r="DO37" s="27"/>
      <c r="DP37" s="27"/>
      <c r="DQ37" s="27"/>
      <c r="DR37" s="27"/>
      <c r="DS37" s="27"/>
      <c r="DT37" s="27"/>
      <c r="DU37" s="27"/>
      <c r="DV37" s="27"/>
      <c r="DW37" s="27"/>
      <c r="DX37" s="27"/>
      <c r="DY37" s="27"/>
      <c r="DZ37" s="27"/>
      <c r="EA37" s="27"/>
      <c r="EB37" s="27"/>
      <c r="EC37" s="27"/>
      <c r="ED37" s="27"/>
      <c r="EE37" s="27"/>
      <c r="EF37" s="27"/>
      <c r="EG37" s="27"/>
      <c r="EH37" s="27"/>
      <c r="EI37" s="27"/>
      <c r="EJ37" s="27"/>
      <c r="EK37" s="27"/>
      <c r="EL37" s="27"/>
      <c r="EM37" s="27"/>
      <c r="EN37" s="27"/>
      <c r="EO37" s="27"/>
      <c r="EP37" s="27"/>
      <c r="EQ37" s="27"/>
      <c r="ER37" s="27"/>
      <c r="ES37" s="27"/>
      <c r="ET37" s="27"/>
      <c r="EU37" s="27"/>
      <c r="EV37" s="27"/>
      <c r="EW37" s="27" t="str">
        <f t="shared" si="48"/>
        <v>\I:</v>
      </c>
      <c r="EX37" s="27" t="str">
        <f t="shared" si="68"/>
        <v/>
      </c>
      <c r="EY37" s="27" t="s">
        <v>169</v>
      </c>
      <c r="EZ37" s="27" t="s">
        <v>160</v>
      </c>
      <c r="FA37" s="27" t="s">
        <v>161</v>
      </c>
    </row>
    <row r="38" spans="3:157">
      <c r="C38" s="27" t="str">
        <f t="shared" si="54"/>
        <v/>
      </c>
      <c r="D38" s="27" t="s">
        <v>45</v>
      </c>
      <c r="E38" s="27"/>
      <c r="F38" s="27" t="s">
        <v>22</v>
      </c>
      <c r="G38" s="33">
        <f>SUMIFS(Assumptions!BD$105:BD$128,Assumptions!$BB$105:$BB$128,'non-road'!$F38,Assumptions!$BC$105:$BC$128,'non-road'!$D38)/SUMIF(Assumptions!$BB$105:$BB$128,'non-road'!$F38,Assumptions!BD$105:BD$128)</f>
        <v>0.74493792547974103</v>
      </c>
      <c r="H38" s="33">
        <f>SUMIFS(Assumptions!BE$105:BE$128,Assumptions!$BB$105:$BB$128,'non-road'!$F38,Assumptions!$BC$105:$BC$128,'non-road'!$D38)/SUMIF(Assumptions!$BB$105:$BB$128,'non-road'!$F38,Assumptions!BE$105:BE$128)</f>
        <v>0.60397829624233412</v>
      </c>
      <c r="I38" s="33">
        <f>SUMIFS(Assumptions!BF$105:BF$128,Assumptions!$BB$105:$BB$128,'non-road'!$F38,Assumptions!$BC$105:$BC$128,'non-road'!$D38)/SUMIF(Assumptions!$BB$105:$BB$128,'non-road'!$F38,Assumptions!BF$105:BF$128)</f>
        <v>0.89839115579840167</v>
      </c>
      <c r="J38" s="33">
        <f>SUMIFS(Assumptions!BG$105:BG$128,Assumptions!$BB$105:$BB$128,'non-road'!$F38,Assumptions!$BC$105:$BC$128,'non-road'!$D38)/SUMIF(Assumptions!$BB$105:$BB$128,'non-road'!$F38,Assumptions!BG$105:BG$128)</f>
        <v>0</v>
      </c>
      <c r="K38" s="33">
        <f>SUMIFS(Assumptions!BH$105:BH$128,Assumptions!$BB$105:$BB$128,'non-road'!$F38,Assumptions!$BC$105:$BC$128,'non-road'!$D38)/SUMIF(Assumptions!$BB$105:$BB$128,'non-road'!$F38,Assumptions!BH$105:BH$128)</f>
        <v>0.38095805406937455</v>
      </c>
      <c r="L38" s="33">
        <f>SUMIFS(Assumptions!BI$105:BI$128,Assumptions!$BB$105:$BB$128,'non-road'!$F38,Assumptions!$BC$105:$BC$128,'non-road'!$D38)/SUMIF(Assumptions!$BB$105:$BB$128,'non-road'!$F38,Assumptions!BI$105:BI$128)</f>
        <v>0.82995957603499926</v>
      </c>
      <c r="M38" s="33">
        <f>SUMIFS(Assumptions!BJ$105:BJ$128,Assumptions!$BB$105:$BB$128,'non-road'!$F38,Assumptions!$BC$105:$BC$128,'non-road'!$D38)/SUMIF(Assumptions!$BB$105:$BB$128,'non-road'!$F38,Assumptions!BJ$105:BJ$128)</f>
        <v>0.85830017009389326</v>
      </c>
      <c r="N38" s="33">
        <f>SUMIFS(Assumptions!BK$105:BK$128,Assumptions!$BB$105:$BB$128,'non-road'!$F38,Assumptions!$BC$105:$BC$128,'non-road'!$D38)/SUMIF(Assumptions!$BB$105:$BB$128,'non-road'!$F38,Assumptions!BK$105:BK$128)</f>
        <v>0.93153466196859447</v>
      </c>
      <c r="O38" s="33">
        <f>SUMIFS(Assumptions!BL$105:BL$128,Assumptions!$BB$105:$BB$128,'non-road'!$F38,Assumptions!$BC$105:$BC$128,'non-road'!$D38)/SUMIF(Assumptions!$BB$105:$BB$128,'non-road'!$F38,Assumptions!BL$105:BL$128)</f>
        <v>0.76784682200631937</v>
      </c>
      <c r="P38" s="33" t="e">
        <f>SUMIFS(Assumptions!BM$105:BM$128,Assumptions!$BB$105:$BB$128,'non-road'!$F38,Assumptions!$BC$105:$BC$128,'non-road'!$D38)/SUMIF(Assumptions!$BB$105:$BB$128,'non-road'!$F38,Assumptions!BM$105:BM$128)</f>
        <v>#DIV/0!</v>
      </c>
      <c r="Q38" s="33">
        <f>SUMIFS(Assumptions!BN$105:BN$128,Assumptions!$BB$105:$BB$128,'non-road'!$F38,Assumptions!$BC$105:$BC$128,'non-road'!$D38)/SUMIF(Assumptions!$BB$105:$BB$128,'non-road'!$F38,Assumptions!BN$105:BN$128)</f>
        <v>0.9165841191275983</v>
      </c>
      <c r="R38" s="33">
        <f>SUMIFS(Assumptions!BO$105:BO$128,Assumptions!$BB$105:$BB$128,'non-road'!$F38,Assumptions!$BC$105:$BC$128,'non-road'!$D38)/SUMIF(Assumptions!$BB$105:$BB$128,'non-road'!$F38,Assumptions!BO$105:BO$128)</f>
        <v>0.47045895305968216</v>
      </c>
      <c r="S38" s="33">
        <f>SUMIFS(Assumptions!BP$105:BP$128,Assumptions!$BB$105:$BB$128,'non-road'!$F38,Assumptions!$BC$105:$BC$128,'non-road'!$D38)/SUMIF(Assumptions!$BB$105:$BB$128,'non-road'!$F38,Assumptions!BP$105:BP$128)</f>
        <v>0.81518103664709118</v>
      </c>
      <c r="T38" s="33">
        <f>SUMIFS(Assumptions!BQ$105:BQ$128,Assumptions!$BB$105:$BB$128,'non-road'!$F38,Assumptions!$BC$105:$BC$128,'non-road'!$D38)/SUMIF(Assumptions!$BB$105:$BB$128,'non-road'!$F38,Assumptions!BQ$105:BQ$128)</f>
        <v>0.15197423660306997</v>
      </c>
      <c r="U38" s="33">
        <f>SUMIFS(Assumptions!BR$105:BR$128,Assumptions!$BB$105:$BB$128,'non-road'!$F38,Assumptions!$BC$105:$BC$128,'non-road'!$D38)/SUMIF(Assumptions!$BB$105:$BB$128,'non-road'!$F38,Assumptions!BR$105:BR$128)</f>
        <v>0.28652732285798072</v>
      </c>
      <c r="V38" s="33">
        <f>SUMIFS(Assumptions!BS$105:BS$128,Assumptions!$BB$105:$BB$128,'non-road'!$F38,Assumptions!$BC$105:$BC$128,'non-road'!$D38)/SUMIF(Assumptions!$BB$105:$BB$128,'non-road'!$F38,Assumptions!BS$105:BS$128)</f>
        <v>0.96505445228402231</v>
      </c>
      <c r="W38" s="33">
        <f>SUMIFS(Assumptions!BT$105:BT$128,Assumptions!$BB$105:$BB$128,'non-road'!$F38,Assumptions!$BC$105:$BC$128,'non-road'!$D38)/SUMIF(Assumptions!$BB$105:$BB$128,'non-road'!$F38,Assumptions!BT$105:BT$128)</f>
        <v>7.1134626690182251E-2</v>
      </c>
      <c r="X38" s="33">
        <f>SUMIFS(Assumptions!BU$105:BU$128,Assumptions!$BB$105:$BB$128,'non-road'!$F38,Assumptions!$BC$105:$BC$128,'non-road'!$D38)/SUMIF(Assumptions!$BB$105:$BB$128,'non-road'!$F38,Assumptions!BU$105:BU$128)</f>
        <v>0.81509011041755053</v>
      </c>
      <c r="Y38" s="33">
        <f>SUMIFS(Assumptions!BV$105:BV$128,Assumptions!$BB$105:$BB$128,'non-road'!$F38,Assumptions!$BC$105:$BC$128,'non-road'!$D38)/SUMIF(Assumptions!$BB$105:$BB$128,'non-road'!$F38,Assumptions!BV$105:BV$128)</f>
        <v>0.97193838045436476</v>
      </c>
      <c r="Z38" s="33">
        <f>SUMIFS(Assumptions!BW$105:BW$128,Assumptions!$BB$105:$BB$128,'non-road'!$F38,Assumptions!$BC$105:$BC$128,'non-road'!$D38)/SUMIF(Assumptions!$BB$105:$BB$128,'non-road'!$F38,Assumptions!BW$105:BW$128)</f>
        <v>0.8080744103863321</v>
      </c>
      <c r="AA38" s="33">
        <f>SUMIFS(Assumptions!BX$105:BX$128,Assumptions!$BB$105:$BB$128,'non-road'!$F38,Assumptions!$BC$105:$BC$128,'non-road'!$D38)/SUMIF(Assumptions!$BB$105:$BB$128,'non-road'!$F38,Assumptions!BX$105:BX$128)</f>
        <v>0.9590423233262102</v>
      </c>
      <c r="AB38" s="33">
        <f>SUMIFS(Assumptions!BY$105:BY$128,Assumptions!$BB$105:$BB$128,'non-road'!$F38,Assumptions!$BC$105:$BC$128,'non-road'!$D38)/SUMIF(Assumptions!$BB$105:$BB$128,'non-road'!$F38,Assumptions!BY$105:BY$128)</f>
        <v>0.53669017378235295</v>
      </c>
      <c r="AC38" s="33">
        <f>SUMIFS(Assumptions!BZ$105:BZ$128,Assumptions!$BB$105:$BB$128,'non-road'!$F38,Assumptions!$BC$105:$BC$128,'non-road'!$D38)/SUMIF(Assumptions!$BB$105:$BB$128,'non-road'!$F38,Assumptions!BZ$105:BZ$128)</f>
        <v>0.10347148615270918</v>
      </c>
      <c r="AD38" s="33">
        <f>SUMIFS(Assumptions!CA$105:CA$128,Assumptions!$BB$105:$BB$128,'non-road'!$F38,Assumptions!$BC$105:$BC$128,'non-road'!$D38)/SUMIF(Assumptions!$BB$105:$BB$128,'non-road'!$F38,Assumptions!CA$105:CA$128)</f>
        <v>0.28277195366001429</v>
      </c>
      <c r="AE38" s="33">
        <f>SUMIFS(Assumptions!CB$105:CB$128,Assumptions!$BB$105:$BB$128,'non-road'!$F38,Assumptions!$BC$105:$BC$128,'non-road'!$D38)/SUMIF(Assumptions!$BB$105:$BB$128,'non-road'!$F38,Assumptions!CB$105:CB$128)</f>
        <v>0.85582712416981455</v>
      </c>
      <c r="AF38" s="33">
        <f>SUMIFS(Assumptions!CC$105:CC$128,Assumptions!$BB$105:$BB$128,'non-road'!$F38,Assumptions!$BC$105:$BC$128,'non-road'!$D38)/SUMIF(Assumptions!$BB$105:$BB$128,'non-road'!$F38,Assumptions!CC$105:CC$128)</f>
        <v>0.19553831347943815</v>
      </c>
      <c r="AG38" s="33">
        <f>SUMIFS(Assumptions!CD$105:CD$128,Assumptions!$BB$105:$BB$128,'non-road'!$F38,Assumptions!$BC$105:$BC$128,'non-road'!$D38)/SUMIF(Assumptions!$BB$105:$BB$128,'non-road'!$F38,Assumptions!CD$105:CD$128)</f>
        <v>1</v>
      </c>
      <c r="AH38" s="33">
        <f>SUMIFS(Assumptions!CE$105:CE$128,Assumptions!$BB$105:$BB$128,'non-road'!$F38,Assumptions!$BC$105:$BC$128,'non-road'!$D38)/SUMIF(Assumptions!$BB$105:$BB$128,'non-road'!$F38,Assumptions!CE$105:CE$128)</f>
        <v>0.45653425100921075</v>
      </c>
      <c r="AI38" s="33">
        <f>SUMIFS(Assumptions!CF$105:CF$128,Assumptions!$BB$105:$BB$128,'non-road'!$F38,Assumptions!$BC$105:$BC$128,'non-road'!$D38)/SUMIF(Assumptions!$BB$105:$BB$128,'non-road'!$F38,Assumptions!CF$105:CF$128)</f>
        <v>0.77518144704098879</v>
      </c>
      <c r="AJ38" s="33">
        <f>SUMIFS(Assumptions!CG$105:CG$128,Assumptions!$BB$105:$BB$128,'non-road'!$F38,Assumptions!$BC$105:$BC$128,'non-road'!$D38)/SUMIF(Assumptions!$BB$105:$BB$128,'non-road'!$F38,Assumptions!CG$105:CG$128)</f>
        <v>0.69203573986713551</v>
      </c>
      <c r="AK38" s="33">
        <f>SUMIFS(Assumptions!CH$105:CH$128,Assumptions!$BB$105:$BB$128,'non-road'!$F38,Assumptions!$BC$105:$BC$128,'non-road'!$D38)/SUMIF(Assumptions!$BB$105:$BB$128,'non-road'!$F38,Assumptions!CH$105:CH$128)</f>
        <v>0</v>
      </c>
      <c r="AL38" s="33">
        <f>SUMIFS(Assumptions!CI$105:CI$128,Assumptions!$BB$105:$BB$128,'non-road'!$F38,Assumptions!$BC$105:$BC$128,'non-road'!$D38)/SUMIF(Assumptions!$BB$105:$BB$128,'non-road'!$F38,Assumptions!CI$105:CI$128)</f>
        <v>0.83258802611731686</v>
      </c>
      <c r="AM38" s="33">
        <f>SUMIFS(Assumptions!CJ$105:CJ$128,Assumptions!$BB$105:$BB$128,'non-road'!$F38,Assumptions!$BC$105:$BC$128,'non-road'!$D38)/SUMIF(Assumptions!$BB$105:$BB$128,'non-road'!$F38,Assumptions!CJ$105:CJ$128)</f>
        <v>0.29038847019002179</v>
      </c>
      <c r="AN38" s="33" t="e">
        <f>SUMIFS(Assumptions!CK$105:CK$128,Assumptions!$BB$105:$BB$128,'non-road'!$F38,Assumptions!$BC$105:$BC$128,'non-road'!$D38)/SUMIF(Assumptions!$BB$105:$BB$128,'non-road'!$F38,Assumptions!CK$105:CK$128)</f>
        <v>#DIV/0!</v>
      </c>
      <c r="AO38" s="33">
        <f>SUMIFS(Assumptions!CL$105:CL$128,Assumptions!$BB$105:$BB$128,'non-road'!$F38,Assumptions!$BC$105:$BC$128,'non-road'!$D38)/SUMIF(Assumptions!$BB$105:$BB$128,'non-road'!$F38,Assumptions!CL$105:CL$128)</f>
        <v>0</v>
      </c>
      <c r="AP38" s="33" t="e">
        <f>SUMIFS(Assumptions!CM$105:CM$128,Assumptions!$BB$105:$BB$128,'non-road'!$F38,Assumptions!$BC$105:$BC$128,'non-road'!$D38)/SUMIF(Assumptions!$BB$105:$BB$128,'non-road'!$F38,Assumptions!CM$105:CM$128)</f>
        <v>#DIV/0!</v>
      </c>
      <c r="AQ38" s="33" t="e">
        <f>SUMIFS(Assumptions!CN$105:CN$128,Assumptions!$BB$105:$BB$128,'non-road'!$F38,Assumptions!$BC$105:$BC$128,'non-road'!$D38)/SUMIF(Assumptions!$BB$105:$BB$128,'non-road'!$F38,Assumptions!CN$105:CN$128)</f>
        <v>#DIV/0!</v>
      </c>
      <c r="AR38" s="33" t="e">
        <f>SUMIFS(Assumptions!CO$105:CO$128,Assumptions!$BB$105:$BB$128,'non-road'!$F38,Assumptions!$BC$105:$BC$128,'non-road'!$D38)/SUMIF(Assumptions!$BB$105:$BB$128,'non-road'!$F38,Assumptions!CO$105:CO$128)</f>
        <v>#DIV/0!</v>
      </c>
      <c r="AS38" s="33" t="e">
        <f>SUMIFS(Assumptions!CP$105:CP$128,Assumptions!$BB$105:$BB$128,'non-road'!$F38,Assumptions!$BC$105:$BC$128,'non-road'!$D38)/SUMIF(Assumptions!$BB$105:$BB$128,'non-road'!$F38,Assumptions!CP$105:CP$128)</f>
        <v>#DIV/0!</v>
      </c>
      <c r="AT38" s="33" t="e">
        <f>SUMIFS(Assumptions!CQ$105:CQ$128,Assumptions!$BB$105:$BB$128,'non-road'!$F38,Assumptions!$BC$105:$BC$128,'non-road'!$D38)/SUMIF(Assumptions!$BB$105:$BB$128,'non-road'!$F38,Assumptions!CQ$105:CQ$128)</f>
        <v>#DIV/0!</v>
      </c>
      <c r="AU38" s="33" t="e">
        <f>SUMIFS(Assumptions!CR$105:CR$128,Assumptions!$BB$105:$BB$128,'non-road'!$F38,Assumptions!$BC$105:$BC$128,'non-road'!$D38)/SUMIF(Assumptions!$BB$105:$BB$128,'non-road'!$F38,Assumptions!CR$105:CR$128)</f>
        <v>#DIV/0!</v>
      </c>
      <c r="AV38" s="33" t="e">
        <f>SUMIFS(Assumptions!CS$105:CS$128,Assumptions!$BB$105:$BB$128,'non-road'!$F38,Assumptions!$BC$105:$BC$128,'non-road'!$D38)/SUMIF(Assumptions!$BB$105:$BB$128,'non-road'!$F38,Assumptions!CS$105:CS$128)</f>
        <v>#DIV/0!</v>
      </c>
      <c r="AW38" s="33" t="e">
        <f>SUMIFS(Assumptions!CT$105:CT$128,Assumptions!$BB$105:$BB$128,'non-road'!$F38,Assumptions!$BC$105:$BC$128,'non-road'!$D38)/SUMIF(Assumptions!$BB$105:$BB$128,'non-road'!$F38,Assumptions!CT$105:CT$128)</f>
        <v>#DIV/0!</v>
      </c>
      <c r="AX38" s="33" t="e">
        <f>SUMIFS(Assumptions!CU$105:CU$128,Assumptions!$BB$105:$BB$128,'non-road'!$F38,Assumptions!$BC$105:$BC$128,'non-road'!$D38)/SUMIF(Assumptions!$BB$105:$BB$128,'non-road'!$F38,Assumptions!CU$105:CU$128)</f>
        <v>#DIV/0!</v>
      </c>
      <c r="AY38" s="33" t="e">
        <f>SUMIFS(Assumptions!CV$105:CV$128,Assumptions!$BB$105:$BB$128,'non-road'!$F38,Assumptions!$BC$105:$BC$128,'non-road'!$D38)/SUMIF(Assumptions!$BB$105:$BB$128,'non-road'!$F38,Assumptions!CV$105:CV$128)</f>
        <v>#DIV/0!</v>
      </c>
      <c r="AZ38" s="33" t="e">
        <f>SUMIFS(Assumptions!CW$105:CW$128,Assumptions!$BB$105:$BB$128,'non-road'!$F38,Assumptions!$BC$105:$BC$128,'non-road'!$D38)/SUMIF(Assumptions!$BB$105:$BB$128,'non-road'!$F38,Assumptions!CW$105:CW$128)</f>
        <v>#DIV/0!</v>
      </c>
      <c r="BD38" s="27" t="str">
        <f t="shared" si="55"/>
        <v>\I:</v>
      </c>
      <c r="BE38" s="33">
        <f>VLOOKUP($F38,Assumptions!$E$152:$BC$157,COLUMN()-COLUMN($BC$4),FALSE)</f>
        <v>1</v>
      </c>
      <c r="BF38" s="33">
        <f>VLOOKUP($F38,Assumptions!$E$152:$BC$157,COLUMN()-COLUMN($BC$4),FALSE)</f>
        <v>1</v>
      </c>
      <c r="BG38" s="33">
        <f>VLOOKUP($F38,Assumptions!$E$152:$BC$157,COLUMN()-COLUMN($BC$4),FALSE)</f>
        <v>1</v>
      </c>
      <c r="BH38" s="33">
        <f>VLOOKUP($F38,Assumptions!$E$152:$BC$157,COLUMN()-COLUMN($BC$4),FALSE)</f>
        <v>1</v>
      </c>
      <c r="BI38" s="33">
        <f>VLOOKUP($F38,Assumptions!$E$152:$BC$157,COLUMN()-COLUMN($BC$4),FALSE)</f>
        <v>1</v>
      </c>
      <c r="BJ38" s="33">
        <f>VLOOKUP($F38,Assumptions!$E$152:$BC$157,COLUMN()-COLUMN($BC$4),FALSE)</f>
        <v>1</v>
      </c>
      <c r="BK38" s="33">
        <f>VLOOKUP($F38,Assumptions!$E$152:$BC$157,COLUMN()-COLUMN($BC$4),FALSE)</f>
        <v>1</v>
      </c>
      <c r="BL38" s="33">
        <f>VLOOKUP($F38,Assumptions!$E$152:$BC$157,COLUMN()-COLUMN($BC$4),FALSE)</f>
        <v>1</v>
      </c>
      <c r="BM38" s="33">
        <f>VLOOKUP($F38,Assumptions!$E$152:$BC$157,COLUMN()-COLUMN($BC$4),FALSE)</f>
        <v>1</v>
      </c>
      <c r="BN38" s="33">
        <f>VLOOKUP($F38,Assumptions!$E$152:$BC$157,COLUMN()-COLUMN($BC$4),FALSE)</f>
        <v>1</v>
      </c>
      <c r="BO38" s="33">
        <f>VLOOKUP($F38,Assumptions!$E$152:$BC$157,COLUMN()-COLUMN($BC$4),FALSE)</f>
        <v>1</v>
      </c>
      <c r="BP38" s="33">
        <f>VLOOKUP($F38,Assumptions!$E$152:$BC$157,COLUMN()-COLUMN($BC$4),FALSE)</f>
        <v>1</v>
      </c>
      <c r="BQ38" s="33">
        <f>VLOOKUP($F38,Assumptions!$E$152:$BC$157,COLUMN()-COLUMN($BC$4),FALSE)</f>
        <v>1</v>
      </c>
      <c r="BR38" s="33">
        <f>VLOOKUP($F38,Assumptions!$E$152:$BC$157,COLUMN()-COLUMN($BC$4),FALSE)</f>
        <v>1</v>
      </c>
      <c r="BS38" s="33">
        <f>VLOOKUP($F38,Assumptions!$E$152:$BC$157,COLUMN()-COLUMN($BC$4),FALSE)</f>
        <v>1</v>
      </c>
      <c r="BT38" s="33">
        <f>VLOOKUP($F38,Assumptions!$E$152:$BC$157,COLUMN()-COLUMN($BC$4),FALSE)</f>
        <v>1</v>
      </c>
      <c r="BU38" s="33">
        <f>VLOOKUP($F38,Assumptions!$E$152:$BC$157,COLUMN()-COLUMN($BC$4),FALSE)</f>
        <v>1</v>
      </c>
      <c r="BV38" s="33">
        <f>VLOOKUP($F38,Assumptions!$E$152:$BC$157,COLUMN()-COLUMN($BC$4),FALSE)</f>
        <v>1</v>
      </c>
      <c r="BW38" s="33">
        <f>VLOOKUP($F38,Assumptions!$E$152:$BC$157,COLUMN()-COLUMN($BC$4),FALSE)</f>
        <v>1</v>
      </c>
      <c r="BX38" s="33">
        <f>VLOOKUP($F38,Assumptions!$E$152:$BC$157,COLUMN()-COLUMN($BC$4),FALSE)</f>
        <v>1</v>
      </c>
      <c r="BY38" s="33">
        <f>VLOOKUP($F38,Assumptions!$E$152:$BC$157,COLUMN()-COLUMN($BC$4),FALSE)</f>
        <v>1</v>
      </c>
      <c r="BZ38" s="33">
        <f>VLOOKUP($F38,Assumptions!$E$152:$BC$157,COLUMN()-COLUMN($BC$4),FALSE)</f>
        <v>1</v>
      </c>
      <c r="CA38" s="33">
        <f>VLOOKUP($F38,Assumptions!$E$152:$BC$157,COLUMN()-COLUMN($BC$4),FALSE)</f>
        <v>1</v>
      </c>
      <c r="CB38" s="33">
        <f>VLOOKUP($F38,Assumptions!$E$152:$BC$157,COLUMN()-COLUMN($BC$4),FALSE)</f>
        <v>1</v>
      </c>
      <c r="CC38" s="33">
        <f>VLOOKUP($F38,Assumptions!$E$152:$BC$157,COLUMN()-COLUMN($BC$4),FALSE)</f>
        <v>1</v>
      </c>
      <c r="CD38" s="33">
        <f>VLOOKUP($F38,Assumptions!$E$152:$BC$157,COLUMN()-COLUMN($BC$4),FALSE)</f>
        <v>1</v>
      </c>
      <c r="CE38" s="33">
        <f>VLOOKUP($F38,Assumptions!$E$152:$BC$157,COLUMN()-COLUMN($BC$4),FALSE)</f>
        <v>1</v>
      </c>
      <c r="CF38" s="33">
        <f>VLOOKUP($F38,Assumptions!$E$152:$BC$157,COLUMN()-COLUMN($BC$4),FALSE)</f>
        <v>1</v>
      </c>
      <c r="CG38" s="33">
        <f>VLOOKUP($F38,Assumptions!$E$152:$BC$157,COLUMN()-COLUMN($BC$4),FALSE)</f>
        <v>1</v>
      </c>
      <c r="CH38" s="33">
        <f>VLOOKUP($F38,Assumptions!$E$152:$BC$157,COLUMN()-COLUMN($BC$4),FALSE)</f>
        <v>1</v>
      </c>
      <c r="CI38" s="33">
        <f>VLOOKUP($F38,Assumptions!$E$152:$BC$157,COLUMN()-COLUMN($BC$4),FALSE)</f>
        <v>1</v>
      </c>
      <c r="CJ38" s="33">
        <f>VLOOKUP($F38,Assumptions!$E$152:$BC$157,COLUMN()-COLUMN($BC$4),FALSE)</f>
        <v>1</v>
      </c>
      <c r="CK38" s="33">
        <f>VLOOKUP($F38,Assumptions!$E$152:$BC$157,COLUMN()-COLUMN($BC$4),FALSE)</f>
        <v>1</v>
      </c>
      <c r="CL38" s="33">
        <f>VLOOKUP($F38,Assumptions!$E$152:$BC$157,COLUMN()-COLUMN($BC$4),FALSE)</f>
        <v>1</v>
      </c>
      <c r="CM38" s="33">
        <f>VLOOKUP($F38,Assumptions!$E$152:$BC$157,COLUMN()-COLUMN($BC$4),FALSE)</f>
        <v>1</v>
      </c>
      <c r="CN38" s="33">
        <f>VLOOKUP($F38,Assumptions!$E$152:$BC$157,COLUMN()-COLUMN($BC$4),FALSE)</f>
        <v>1</v>
      </c>
      <c r="CO38" s="33">
        <f>VLOOKUP($F38,Assumptions!$E$152:$BC$157,COLUMN()-COLUMN($BC$4),FALSE)</f>
        <v>1</v>
      </c>
      <c r="CP38" s="33">
        <f>VLOOKUP($F38,Assumptions!$E$152:$BC$157,COLUMN()-COLUMN($BC$4),FALSE)</f>
        <v>1</v>
      </c>
      <c r="CQ38" s="33">
        <f>VLOOKUP($F38,Assumptions!$E$152:$BC$157,COLUMN()-COLUMN($BC$4),FALSE)</f>
        <v>1</v>
      </c>
      <c r="CR38" s="33">
        <f>VLOOKUP($F38,Assumptions!$E$152:$BC$157,COLUMN()-COLUMN($BC$4),FALSE)</f>
        <v>1</v>
      </c>
      <c r="CS38" s="33">
        <f>VLOOKUP($F38,Assumptions!$E$152:$BC$157,COLUMN()-COLUMN($BC$4),FALSE)</f>
        <v>1</v>
      </c>
      <c r="CT38" s="33">
        <f>VLOOKUP($F38,Assumptions!$E$152:$BC$157,COLUMN()-COLUMN($BC$4),FALSE)</f>
        <v>1</v>
      </c>
      <c r="CU38" s="33">
        <f>VLOOKUP($F38,Assumptions!$E$152:$BC$157,COLUMN()-COLUMN($BC$4),FALSE)</f>
        <v>1</v>
      </c>
      <c r="CV38" s="33">
        <f>VLOOKUP($F38,Assumptions!$E$152:$BC$157,COLUMN()-COLUMN($BC$4),FALSE)</f>
        <v>1</v>
      </c>
      <c r="CW38" s="33">
        <f>VLOOKUP($F38,Assumptions!$E$152:$BC$157,COLUMN()-COLUMN($BC$4),FALSE)</f>
        <v>1</v>
      </c>
      <c r="CX38" s="33">
        <f>VLOOKUP($F38,Assumptions!$E$152:$BC$157,COLUMN()-COLUMN($BC$4),FALSE)</f>
        <v>1</v>
      </c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27"/>
      <c r="DQ38" s="27"/>
      <c r="DR38" s="27"/>
      <c r="DS38" s="27"/>
      <c r="DT38" s="27"/>
      <c r="DU38" s="27"/>
      <c r="DV38" s="27"/>
      <c r="DW38" s="27"/>
      <c r="DX38" s="27"/>
      <c r="DY38" s="27"/>
      <c r="DZ38" s="27"/>
      <c r="EA38" s="27"/>
      <c r="EB38" s="27"/>
      <c r="EC38" s="27"/>
      <c r="ED38" s="27"/>
      <c r="EE38" s="27"/>
      <c r="EF38" s="27"/>
      <c r="EG38" s="27"/>
      <c r="EH38" s="27"/>
      <c r="EI38" s="27"/>
      <c r="EJ38" s="27"/>
      <c r="EK38" s="27"/>
      <c r="EL38" s="27"/>
      <c r="EM38" s="27"/>
      <c r="EN38" s="27"/>
      <c r="EO38" s="27"/>
      <c r="EP38" s="27"/>
      <c r="EQ38" s="27"/>
      <c r="ER38" s="27"/>
      <c r="ES38" s="27"/>
      <c r="ET38" s="27"/>
      <c r="EU38" s="27"/>
      <c r="EV38" s="27"/>
      <c r="EW38" s="27" t="str">
        <f t="shared" si="48"/>
        <v>\I:</v>
      </c>
      <c r="EX38" s="27" t="str">
        <f t="shared" si="68"/>
        <v/>
      </c>
      <c r="EY38" s="27" t="s">
        <v>169</v>
      </c>
      <c r="EZ38" s="27" t="s">
        <v>160</v>
      </c>
      <c r="FA38" s="27" t="s">
        <v>161</v>
      </c>
    </row>
    <row r="39" spans="3:157">
      <c r="C39" s="27" t="str">
        <f t="shared" si="54"/>
        <v/>
      </c>
      <c r="D39" s="27" t="s">
        <v>43</v>
      </c>
      <c r="E39" s="27"/>
      <c r="F39" s="27" t="s">
        <v>22</v>
      </c>
      <c r="G39" s="33">
        <f>SUMIFS(Assumptions!BD$105:BD$128,Assumptions!$BB$105:$BB$128,'non-road'!$F39,Assumptions!$BC$105:$BC$128,'non-road'!$D39)/SUMIF(Assumptions!$BB$105:$BB$128,'non-road'!$F39,Assumptions!BD$105:BD$128)</f>
        <v>0</v>
      </c>
      <c r="H39" s="33">
        <f>SUMIFS(Assumptions!BE$105:BE$128,Assumptions!$BB$105:$BB$128,'non-road'!$F39,Assumptions!$BC$105:$BC$128,'non-road'!$D39)/SUMIF(Assumptions!$BB$105:$BB$128,'non-road'!$F39,Assumptions!BE$105:BE$128)</f>
        <v>0</v>
      </c>
      <c r="I39" s="33">
        <f>SUMIFS(Assumptions!BF$105:BF$128,Assumptions!$BB$105:$BB$128,'non-road'!$F39,Assumptions!$BC$105:$BC$128,'non-road'!$D39)/SUMIF(Assumptions!$BB$105:$BB$128,'non-road'!$F39,Assumptions!BF$105:BF$128)</f>
        <v>0</v>
      </c>
      <c r="J39" s="33">
        <f>SUMIFS(Assumptions!BG$105:BG$128,Assumptions!$BB$105:$BB$128,'non-road'!$F39,Assumptions!$BC$105:$BC$128,'non-road'!$D39)/SUMIF(Assumptions!$BB$105:$BB$128,'non-road'!$F39,Assumptions!BG$105:BG$128)</f>
        <v>0</v>
      </c>
      <c r="K39" s="33">
        <f>SUMIFS(Assumptions!BH$105:BH$128,Assumptions!$BB$105:$BB$128,'non-road'!$F39,Assumptions!$BC$105:$BC$128,'non-road'!$D39)/SUMIF(Assumptions!$BB$105:$BB$128,'non-road'!$F39,Assumptions!BH$105:BH$128)</f>
        <v>0</v>
      </c>
      <c r="L39" s="33">
        <f>SUMIFS(Assumptions!BI$105:BI$128,Assumptions!$BB$105:$BB$128,'non-road'!$F39,Assumptions!$BC$105:$BC$128,'non-road'!$D39)/SUMIF(Assumptions!$BB$105:$BB$128,'non-road'!$F39,Assumptions!BI$105:BI$128)</f>
        <v>0</v>
      </c>
      <c r="M39" s="33">
        <f>SUMIFS(Assumptions!BJ$105:BJ$128,Assumptions!$BB$105:$BB$128,'non-road'!$F39,Assumptions!$BC$105:$BC$128,'non-road'!$D39)/SUMIF(Assumptions!$BB$105:$BB$128,'non-road'!$F39,Assumptions!BJ$105:BJ$128)</f>
        <v>0</v>
      </c>
      <c r="N39" s="33">
        <f>SUMIFS(Assumptions!BK$105:BK$128,Assumptions!$BB$105:$BB$128,'non-road'!$F39,Assumptions!$BC$105:$BC$128,'non-road'!$D39)/SUMIF(Assumptions!$BB$105:$BB$128,'non-road'!$F39,Assumptions!BK$105:BK$128)</f>
        <v>0</v>
      </c>
      <c r="O39" s="33">
        <f>SUMIFS(Assumptions!BL$105:BL$128,Assumptions!$BB$105:$BB$128,'non-road'!$F39,Assumptions!$BC$105:$BC$128,'non-road'!$D39)/SUMIF(Assumptions!$BB$105:$BB$128,'non-road'!$F39,Assumptions!BL$105:BL$128)</f>
        <v>0</v>
      </c>
      <c r="P39" s="33" t="e">
        <f>SUMIFS(Assumptions!BM$105:BM$128,Assumptions!$BB$105:$BB$128,'non-road'!$F39,Assumptions!$BC$105:$BC$128,'non-road'!$D39)/SUMIF(Assumptions!$BB$105:$BB$128,'non-road'!$F39,Assumptions!BM$105:BM$128)</f>
        <v>#DIV/0!</v>
      </c>
      <c r="Q39" s="33">
        <f>SUMIFS(Assumptions!BN$105:BN$128,Assumptions!$BB$105:$BB$128,'non-road'!$F39,Assumptions!$BC$105:$BC$128,'non-road'!$D39)/SUMIF(Assumptions!$BB$105:$BB$128,'non-road'!$F39,Assumptions!BN$105:BN$128)</f>
        <v>0</v>
      </c>
      <c r="R39" s="33">
        <f>SUMIFS(Assumptions!BO$105:BO$128,Assumptions!$BB$105:$BB$128,'non-road'!$F39,Assumptions!$BC$105:$BC$128,'non-road'!$D39)/SUMIF(Assumptions!$BB$105:$BB$128,'non-road'!$F39,Assumptions!BO$105:BO$128)</f>
        <v>0</v>
      </c>
      <c r="S39" s="33">
        <f>SUMIFS(Assumptions!BP$105:BP$128,Assumptions!$BB$105:$BB$128,'non-road'!$F39,Assumptions!$BC$105:$BC$128,'non-road'!$D39)/SUMIF(Assumptions!$BB$105:$BB$128,'non-road'!$F39,Assumptions!BP$105:BP$128)</f>
        <v>0</v>
      </c>
      <c r="T39" s="33">
        <f>SUMIFS(Assumptions!BQ$105:BQ$128,Assumptions!$BB$105:$BB$128,'non-road'!$F39,Assumptions!$BC$105:$BC$128,'non-road'!$D39)/SUMIF(Assumptions!$BB$105:$BB$128,'non-road'!$F39,Assumptions!BQ$105:BQ$128)</f>
        <v>0</v>
      </c>
      <c r="U39" s="33">
        <f>SUMIFS(Assumptions!BR$105:BR$128,Assumptions!$BB$105:$BB$128,'non-road'!$F39,Assumptions!$BC$105:$BC$128,'non-road'!$D39)/SUMIF(Assumptions!$BB$105:$BB$128,'non-road'!$F39,Assumptions!BR$105:BR$128)</f>
        <v>0</v>
      </c>
      <c r="V39" s="33">
        <f>SUMIFS(Assumptions!BS$105:BS$128,Assumptions!$BB$105:$BB$128,'non-road'!$F39,Assumptions!$BC$105:$BC$128,'non-road'!$D39)/SUMIF(Assumptions!$BB$105:$BB$128,'non-road'!$F39,Assumptions!BS$105:BS$128)</f>
        <v>0</v>
      </c>
      <c r="W39" s="33">
        <f>SUMIFS(Assumptions!BT$105:BT$128,Assumptions!$BB$105:$BB$128,'non-road'!$F39,Assumptions!$BC$105:$BC$128,'non-road'!$D39)/SUMIF(Assumptions!$BB$105:$BB$128,'non-road'!$F39,Assumptions!BT$105:BT$128)</f>
        <v>0</v>
      </c>
      <c r="X39" s="33">
        <f>SUMIFS(Assumptions!BU$105:BU$128,Assumptions!$BB$105:$BB$128,'non-road'!$F39,Assumptions!$BC$105:$BC$128,'non-road'!$D39)/SUMIF(Assumptions!$BB$105:$BB$128,'non-road'!$F39,Assumptions!BU$105:BU$128)</f>
        <v>0</v>
      </c>
      <c r="Y39" s="33">
        <f>SUMIFS(Assumptions!BV$105:BV$128,Assumptions!$BB$105:$BB$128,'non-road'!$F39,Assumptions!$BC$105:$BC$128,'non-road'!$D39)/SUMIF(Assumptions!$BB$105:$BB$128,'non-road'!$F39,Assumptions!BV$105:BV$128)</f>
        <v>0</v>
      </c>
      <c r="Z39" s="33">
        <f>SUMIFS(Assumptions!BW$105:BW$128,Assumptions!$BB$105:$BB$128,'non-road'!$F39,Assumptions!$BC$105:$BC$128,'non-road'!$D39)/SUMIF(Assumptions!$BB$105:$BB$128,'non-road'!$F39,Assumptions!BW$105:BW$128)</f>
        <v>0</v>
      </c>
      <c r="AA39" s="33">
        <f>SUMIFS(Assumptions!BX$105:BX$128,Assumptions!$BB$105:$BB$128,'non-road'!$F39,Assumptions!$BC$105:$BC$128,'non-road'!$D39)/SUMIF(Assumptions!$BB$105:$BB$128,'non-road'!$F39,Assumptions!BX$105:BX$128)</f>
        <v>0</v>
      </c>
      <c r="AB39" s="33">
        <f>SUMIFS(Assumptions!BY$105:BY$128,Assumptions!$BB$105:$BB$128,'non-road'!$F39,Assumptions!$BC$105:$BC$128,'non-road'!$D39)/SUMIF(Assumptions!$BB$105:$BB$128,'non-road'!$F39,Assumptions!BY$105:BY$128)</f>
        <v>0</v>
      </c>
      <c r="AC39" s="33">
        <f>SUMIFS(Assumptions!BZ$105:BZ$128,Assumptions!$BB$105:$BB$128,'non-road'!$F39,Assumptions!$BC$105:$BC$128,'non-road'!$D39)/SUMIF(Assumptions!$BB$105:$BB$128,'non-road'!$F39,Assumptions!BZ$105:BZ$128)</f>
        <v>0</v>
      </c>
      <c r="AD39" s="33">
        <f>SUMIFS(Assumptions!CA$105:CA$128,Assumptions!$BB$105:$BB$128,'non-road'!$F39,Assumptions!$BC$105:$BC$128,'non-road'!$D39)/SUMIF(Assumptions!$BB$105:$BB$128,'non-road'!$F39,Assumptions!CA$105:CA$128)</f>
        <v>0</v>
      </c>
      <c r="AE39" s="33">
        <f>SUMIFS(Assumptions!CB$105:CB$128,Assumptions!$BB$105:$BB$128,'non-road'!$F39,Assumptions!$BC$105:$BC$128,'non-road'!$D39)/SUMIF(Assumptions!$BB$105:$BB$128,'non-road'!$F39,Assumptions!CB$105:CB$128)</f>
        <v>2.400737040893209E-3</v>
      </c>
      <c r="AF39" s="33">
        <f>SUMIFS(Assumptions!CC$105:CC$128,Assumptions!$BB$105:$BB$128,'non-road'!$F39,Assumptions!$BC$105:$BC$128,'non-road'!$D39)/SUMIF(Assumptions!$BB$105:$BB$128,'non-road'!$F39,Assumptions!CC$105:CC$128)</f>
        <v>0</v>
      </c>
      <c r="AG39" s="33">
        <f>SUMIFS(Assumptions!CD$105:CD$128,Assumptions!$BB$105:$BB$128,'non-road'!$F39,Assumptions!$BC$105:$BC$128,'non-road'!$D39)/SUMIF(Assumptions!$BB$105:$BB$128,'non-road'!$F39,Assumptions!CD$105:CD$128)</f>
        <v>0</v>
      </c>
      <c r="AH39" s="33">
        <f>SUMIFS(Assumptions!CE$105:CE$128,Assumptions!$BB$105:$BB$128,'non-road'!$F39,Assumptions!$BC$105:$BC$128,'non-road'!$D39)/SUMIF(Assumptions!$BB$105:$BB$128,'non-road'!$F39,Assumptions!CE$105:CE$128)</f>
        <v>0</v>
      </c>
      <c r="AI39" s="33">
        <f>SUMIFS(Assumptions!CF$105:CF$128,Assumptions!$BB$105:$BB$128,'non-road'!$F39,Assumptions!$BC$105:$BC$128,'non-road'!$D39)/SUMIF(Assumptions!$BB$105:$BB$128,'non-road'!$F39,Assumptions!CF$105:CF$128)</f>
        <v>0</v>
      </c>
      <c r="AJ39" s="33">
        <f>SUMIFS(Assumptions!CG$105:CG$128,Assumptions!$BB$105:$BB$128,'non-road'!$F39,Assumptions!$BC$105:$BC$128,'non-road'!$D39)/SUMIF(Assumptions!$BB$105:$BB$128,'non-road'!$F39,Assumptions!CG$105:CG$128)</f>
        <v>0</v>
      </c>
      <c r="AK39" s="33">
        <f>SUMIFS(Assumptions!CH$105:CH$128,Assumptions!$BB$105:$BB$128,'non-road'!$F39,Assumptions!$BC$105:$BC$128,'non-road'!$D39)/SUMIF(Assumptions!$BB$105:$BB$128,'non-road'!$F39,Assumptions!CH$105:CH$128)</f>
        <v>0</v>
      </c>
      <c r="AL39" s="33">
        <f>SUMIFS(Assumptions!CI$105:CI$128,Assumptions!$BB$105:$BB$128,'non-road'!$F39,Assumptions!$BC$105:$BC$128,'non-road'!$D39)/SUMIF(Assumptions!$BB$105:$BB$128,'non-road'!$F39,Assumptions!CI$105:CI$128)</f>
        <v>0</v>
      </c>
      <c r="AM39" s="33">
        <f>SUMIFS(Assumptions!CJ$105:CJ$128,Assumptions!$BB$105:$BB$128,'non-road'!$F39,Assumptions!$BC$105:$BC$128,'non-road'!$D39)/SUMIF(Assumptions!$BB$105:$BB$128,'non-road'!$F39,Assumptions!CJ$105:CJ$128)</f>
        <v>0</v>
      </c>
      <c r="AN39" s="33" t="e">
        <f>SUMIFS(Assumptions!CK$105:CK$128,Assumptions!$BB$105:$BB$128,'non-road'!$F39,Assumptions!$BC$105:$BC$128,'non-road'!$D39)/SUMIF(Assumptions!$BB$105:$BB$128,'non-road'!$F39,Assumptions!CK$105:CK$128)</f>
        <v>#DIV/0!</v>
      </c>
      <c r="AO39" s="33">
        <f>SUMIFS(Assumptions!CL$105:CL$128,Assumptions!$BB$105:$BB$128,'non-road'!$F39,Assumptions!$BC$105:$BC$128,'non-road'!$D39)/SUMIF(Assumptions!$BB$105:$BB$128,'non-road'!$F39,Assumptions!CL$105:CL$128)</f>
        <v>0</v>
      </c>
      <c r="AP39" s="33" t="e">
        <f>SUMIFS(Assumptions!CM$105:CM$128,Assumptions!$BB$105:$BB$128,'non-road'!$F39,Assumptions!$BC$105:$BC$128,'non-road'!$D39)/SUMIF(Assumptions!$BB$105:$BB$128,'non-road'!$F39,Assumptions!CM$105:CM$128)</f>
        <v>#DIV/0!</v>
      </c>
      <c r="AQ39" s="33" t="e">
        <f>SUMIFS(Assumptions!CN$105:CN$128,Assumptions!$BB$105:$BB$128,'non-road'!$F39,Assumptions!$BC$105:$BC$128,'non-road'!$D39)/SUMIF(Assumptions!$BB$105:$BB$128,'non-road'!$F39,Assumptions!CN$105:CN$128)</f>
        <v>#DIV/0!</v>
      </c>
      <c r="AR39" s="33" t="e">
        <f>SUMIFS(Assumptions!CO$105:CO$128,Assumptions!$BB$105:$BB$128,'non-road'!$F39,Assumptions!$BC$105:$BC$128,'non-road'!$D39)/SUMIF(Assumptions!$BB$105:$BB$128,'non-road'!$F39,Assumptions!CO$105:CO$128)</f>
        <v>#DIV/0!</v>
      </c>
      <c r="AS39" s="33" t="e">
        <f>SUMIFS(Assumptions!CP$105:CP$128,Assumptions!$BB$105:$BB$128,'non-road'!$F39,Assumptions!$BC$105:$BC$128,'non-road'!$D39)/SUMIF(Assumptions!$BB$105:$BB$128,'non-road'!$F39,Assumptions!CP$105:CP$128)</f>
        <v>#DIV/0!</v>
      </c>
      <c r="AT39" s="33" t="e">
        <f>SUMIFS(Assumptions!CQ$105:CQ$128,Assumptions!$BB$105:$BB$128,'non-road'!$F39,Assumptions!$BC$105:$BC$128,'non-road'!$D39)/SUMIF(Assumptions!$BB$105:$BB$128,'non-road'!$F39,Assumptions!CQ$105:CQ$128)</f>
        <v>#DIV/0!</v>
      </c>
      <c r="AU39" s="33" t="e">
        <f>SUMIFS(Assumptions!CR$105:CR$128,Assumptions!$BB$105:$BB$128,'non-road'!$F39,Assumptions!$BC$105:$BC$128,'non-road'!$D39)/SUMIF(Assumptions!$BB$105:$BB$128,'non-road'!$F39,Assumptions!CR$105:CR$128)</f>
        <v>#DIV/0!</v>
      </c>
      <c r="AV39" s="33" t="e">
        <f>SUMIFS(Assumptions!CS$105:CS$128,Assumptions!$BB$105:$BB$128,'non-road'!$F39,Assumptions!$BC$105:$BC$128,'non-road'!$D39)/SUMIF(Assumptions!$BB$105:$BB$128,'non-road'!$F39,Assumptions!CS$105:CS$128)</f>
        <v>#DIV/0!</v>
      </c>
      <c r="AW39" s="33" t="e">
        <f>SUMIFS(Assumptions!CT$105:CT$128,Assumptions!$BB$105:$BB$128,'non-road'!$F39,Assumptions!$BC$105:$BC$128,'non-road'!$D39)/SUMIF(Assumptions!$BB$105:$BB$128,'non-road'!$F39,Assumptions!CT$105:CT$128)</f>
        <v>#DIV/0!</v>
      </c>
      <c r="AX39" s="33" t="e">
        <f>SUMIFS(Assumptions!CU$105:CU$128,Assumptions!$BB$105:$BB$128,'non-road'!$F39,Assumptions!$BC$105:$BC$128,'non-road'!$D39)/SUMIF(Assumptions!$BB$105:$BB$128,'non-road'!$F39,Assumptions!CU$105:CU$128)</f>
        <v>#DIV/0!</v>
      </c>
      <c r="AY39" s="33" t="e">
        <f>SUMIFS(Assumptions!CV$105:CV$128,Assumptions!$BB$105:$BB$128,'non-road'!$F39,Assumptions!$BC$105:$BC$128,'non-road'!$D39)/SUMIF(Assumptions!$BB$105:$BB$128,'non-road'!$F39,Assumptions!CV$105:CV$128)</f>
        <v>#DIV/0!</v>
      </c>
      <c r="AZ39" s="33" t="e">
        <f>SUMIFS(Assumptions!CW$105:CW$128,Assumptions!$BB$105:$BB$128,'non-road'!$F39,Assumptions!$BC$105:$BC$128,'non-road'!$D39)/SUMIF(Assumptions!$BB$105:$BB$128,'non-road'!$F39,Assumptions!CW$105:CW$128)</f>
        <v>#DIV/0!</v>
      </c>
      <c r="BD39" s="27" t="str">
        <f t="shared" si="55"/>
        <v>\I:</v>
      </c>
      <c r="BE39" s="33">
        <f>VLOOKUP($F39,Assumptions!$E$152:$BC$157,COLUMN()-COLUMN($BC$4),FALSE)</f>
        <v>1</v>
      </c>
      <c r="BF39" s="33">
        <f>VLOOKUP($F39,Assumptions!$E$152:$BC$157,COLUMN()-COLUMN($BC$4),FALSE)</f>
        <v>1</v>
      </c>
      <c r="BG39" s="33">
        <f>VLOOKUP($F39,Assumptions!$E$152:$BC$157,COLUMN()-COLUMN($BC$4),FALSE)</f>
        <v>1</v>
      </c>
      <c r="BH39" s="33">
        <f>VLOOKUP($F39,Assumptions!$E$152:$BC$157,COLUMN()-COLUMN($BC$4),FALSE)</f>
        <v>1</v>
      </c>
      <c r="BI39" s="33">
        <f>VLOOKUP($F39,Assumptions!$E$152:$BC$157,COLUMN()-COLUMN($BC$4),FALSE)</f>
        <v>1</v>
      </c>
      <c r="BJ39" s="33">
        <f>VLOOKUP($F39,Assumptions!$E$152:$BC$157,COLUMN()-COLUMN($BC$4),FALSE)</f>
        <v>1</v>
      </c>
      <c r="BK39" s="33">
        <f>VLOOKUP($F39,Assumptions!$E$152:$BC$157,COLUMN()-COLUMN($BC$4),FALSE)</f>
        <v>1</v>
      </c>
      <c r="BL39" s="33">
        <f>VLOOKUP($F39,Assumptions!$E$152:$BC$157,COLUMN()-COLUMN($BC$4),FALSE)</f>
        <v>1</v>
      </c>
      <c r="BM39" s="33">
        <f>VLOOKUP($F39,Assumptions!$E$152:$BC$157,COLUMN()-COLUMN($BC$4),FALSE)</f>
        <v>1</v>
      </c>
      <c r="BN39" s="33">
        <f>VLOOKUP($F39,Assumptions!$E$152:$BC$157,COLUMN()-COLUMN($BC$4),FALSE)</f>
        <v>1</v>
      </c>
      <c r="BO39" s="33">
        <f>VLOOKUP($F39,Assumptions!$E$152:$BC$157,COLUMN()-COLUMN($BC$4),FALSE)</f>
        <v>1</v>
      </c>
      <c r="BP39" s="33">
        <f>VLOOKUP($F39,Assumptions!$E$152:$BC$157,COLUMN()-COLUMN($BC$4),FALSE)</f>
        <v>1</v>
      </c>
      <c r="BQ39" s="33">
        <f>VLOOKUP($F39,Assumptions!$E$152:$BC$157,COLUMN()-COLUMN($BC$4),FALSE)</f>
        <v>1</v>
      </c>
      <c r="BR39" s="33">
        <f>VLOOKUP($F39,Assumptions!$E$152:$BC$157,COLUMN()-COLUMN($BC$4),FALSE)</f>
        <v>1</v>
      </c>
      <c r="BS39" s="33">
        <f>VLOOKUP($F39,Assumptions!$E$152:$BC$157,COLUMN()-COLUMN($BC$4),FALSE)</f>
        <v>1</v>
      </c>
      <c r="BT39" s="33">
        <f>VLOOKUP($F39,Assumptions!$E$152:$BC$157,COLUMN()-COLUMN($BC$4),FALSE)</f>
        <v>1</v>
      </c>
      <c r="BU39" s="33">
        <f>VLOOKUP($F39,Assumptions!$E$152:$BC$157,COLUMN()-COLUMN($BC$4),FALSE)</f>
        <v>1</v>
      </c>
      <c r="BV39" s="33">
        <f>VLOOKUP($F39,Assumptions!$E$152:$BC$157,COLUMN()-COLUMN($BC$4),FALSE)</f>
        <v>1</v>
      </c>
      <c r="BW39" s="33">
        <f>VLOOKUP($F39,Assumptions!$E$152:$BC$157,COLUMN()-COLUMN($BC$4),FALSE)</f>
        <v>1</v>
      </c>
      <c r="BX39" s="33">
        <f>VLOOKUP($F39,Assumptions!$E$152:$BC$157,COLUMN()-COLUMN($BC$4),FALSE)</f>
        <v>1</v>
      </c>
      <c r="BY39" s="33">
        <f>VLOOKUP($F39,Assumptions!$E$152:$BC$157,COLUMN()-COLUMN($BC$4),FALSE)</f>
        <v>1</v>
      </c>
      <c r="BZ39" s="33">
        <f>VLOOKUP($F39,Assumptions!$E$152:$BC$157,COLUMN()-COLUMN($BC$4),FALSE)</f>
        <v>1</v>
      </c>
      <c r="CA39" s="33">
        <f>VLOOKUP($F39,Assumptions!$E$152:$BC$157,COLUMN()-COLUMN($BC$4),FALSE)</f>
        <v>1</v>
      </c>
      <c r="CB39" s="33">
        <f>VLOOKUP($F39,Assumptions!$E$152:$BC$157,COLUMN()-COLUMN($BC$4),FALSE)</f>
        <v>1</v>
      </c>
      <c r="CC39" s="33">
        <f>VLOOKUP($F39,Assumptions!$E$152:$BC$157,COLUMN()-COLUMN($BC$4),FALSE)</f>
        <v>1</v>
      </c>
      <c r="CD39" s="33">
        <f>VLOOKUP($F39,Assumptions!$E$152:$BC$157,COLUMN()-COLUMN($BC$4),FALSE)</f>
        <v>1</v>
      </c>
      <c r="CE39" s="33">
        <f>VLOOKUP($F39,Assumptions!$E$152:$BC$157,COLUMN()-COLUMN($BC$4),FALSE)</f>
        <v>1</v>
      </c>
      <c r="CF39" s="33">
        <f>VLOOKUP($F39,Assumptions!$E$152:$BC$157,COLUMN()-COLUMN($BC$4),FALSE)</f>
        <v>1</v>
      </c>
      <c r="CG39" s="33">
        <f>VLOOKUP($F39,Assumptions!$E$152:$BC$157,COLUMN()-COLUMN($BC$4),FALSE)</f>
        <v>1</v>
      </c>
      <c r="CH39" s="33">
        <f>VLOOKUP($F39,Assumptions!$E$152:$BC$157,COLUMN()-COLUMN($BC$4),FALSE)</f>
        <v>1</v>
      </c>
      <c r="CI39" s="33">
        <f>VLOOKUP($F39,Assumptions!$E$152:$BC$157,COLUMN()-COLUMN($BC$4),FALSE)</f>
        <v>1</v>
      </c>
      <c r="CJ39" s="33">
        <f>VLOOKUP($F39,Assumptions!$E$152:$BC$157,COLUMN()-COLUMN($BC$4),FALSE)</f>
        <v>1</v>
      </c>
      <c r="CK39" s="33">
        <f>VLOOKUP($F39,Assumptions!$E$152:$BC$157,COLUMN()-COLUMN($BC$4),FALSE)</f>
        <v>1</v>
      </c>
      <c r="CL39" s="33">
        <f>VLOOKUP($F39,Assumptions!$E$152:$BC$157,COLUMN()-COLUMN($BC$4),FALSE)</f>
        <v>1</v>
      </c>
      <c r="CM39" s="33">
        <f>VLOOKUP($F39,Assumptions!$E$152:$BC$157,COLUMN()-COLUMN($BC$4),FALSE)</f>
        <v>1</v>
      </c>
      <c r="CN39" s="33">
        <f>VLOOKUP($F39,Assumptions!$E$152:$BC$157,COLUMN()-COLUMN($BC$4),FALSE)</f>
        <v>1</v>
      </c>
      <c r="CO39" s="33">
        <f>VLOOKUP($F39,Assumptions!$E$152:$BC$157,COLUMN()-COLUMN($BC$4),FALSE)</f>
        <v>1</v>
      </c>
      <c r="CP39" s="33">
        <f>VLOOKUP($F39,Assumptions!$E$152:$BC$157,COLUMN()-COLUMN($BC$4),FALSE)</f>
        <v>1</v>
      </c>
      <c r="CQ39" s="33">
        <f>VLOOKUP($F39,Assumptions!$E$152:$BC$157,COLUMN()-COLUMN($BC$4),FALSE)</f>
        <v>1</v>
      </c>
      <c r="CR39" s="33">
        <f>VLOOKUP($F39,Assumptions!$E$152:$BC$157,COLUMN()-COLUMN($BC$4),FALSE)</f>
        <v>1</v>
      </c>
      <c r="CS39" s="33">
        <f>VLOOKUP($F39,Assumptions!$E$152:$BC$157,COLUMN()-COLUMN($BC$4),FALSE)</f>
        <v>1</v>
      </c>
      <c r="CT39" s="33">
        <f>VLOOKUP($F39,Assumptions!$E$152:$BC$157,COLUMN()-COLUMN($BC$4),FALSE)</f>
        <v>1</v>
      </c>
      <c r="CU39" s="33">
        <f>VLOOKUP($F39,Assumptions!$E$152:$BC$157,COLUMN()-COLUMN($BC$4),FALSE)</f>
        <v>1</v>
      </c>
      <c r="CV39" s="33">
        <f>VLOOKUP($F39,Assumptions!$E$152:$BC$157,COLUMN()-COLUMN($BC$4),FALSE)</f>
        <v>1</v>
      </c>
      <c r="CW39" s="33">
        <f>VLOOKUP($F39,Assumptions!$E$152:$BC$157,COLUMN()-COLUMN($BC$4),FALSE)</f>
        <v>1</v>
      </c>
      <c r="CX39" s="33">
        <f>VLOOKUP($F39,Assumptions!$E$152:$BC$157,COLUMN()-COLUMN($BC$4),FALSE)</f>
        <v>1</v>
      </c>
      <c r="CY39" s="27"/>
      <c r="CZ39" s="27"/>
      <c r="DA39" s="27"/>
      <c r="DB39" s="27"/>
      <c r="DC39" s="27"/>
      <c r="DD39" s="27"/>
      <c r="DE39" s="27"/>
      <c r="DF39" s="27"/>
      <c r="DG39" s="27"/>
      <c r="DH39" s="27"/>
      <c r="DI39" s="27"/>
      <c r="DJ39" s="27"/>
      <c r="DK39" s="27"/>
      <c r="DL39" s="27"/>
      <c r="DM39" s="27"/>
      <c r="DN39" s="27"/>
      <c r="DO39" s="27"/>
      <c r="DP39" s="27"/>
      <c r="DQ39" s="27"/>
      <c r="DR39" s="27"/>
      <c r="DS39" s="27"/>
      <c r="DT39" s="27"/>
      <c r="DU39" s="27"/>
      <c r="DV39" s="27"/>
      <c r="DW39" s="27"/>
      <c r="DX39" s="27"/>
      <c r="DY39" s="27"/>
      <c r="DZ39" s="27"/>
      <c r="EA39" s="27"/>
      <c r="EB39" s="27"/>
      <c r="EC39" s="27"/>
      <c r="ED39" s="27"/>
      <c r="EE39" s="27"/>
      <c r="EF39" s="27"/>
      <c r="EG39" s="27"/>
      <c r="EH39" s="27"/>
      <c r="EI39" s="27"/>
      <c r="EJ39" s="27"/>
      <c r="EK39" s="27"/>
      <c r="EL39" s="27"/>
      <c r="EM39" s="27"/>
      <c r="EN39" s="27"/>
      <c r="EO39" s="27"/>
      <c r="EP39" s="27"/>
      <c r="EQ39" s="27"/>
      <c r="ER39" s="27"/>
      <c r="ES39" s="27"/>
      <c r="ET39" s="27"/>
      <c r="EU39" s="27"/>
      <c r="EV39" s="27"/>
      <c r="EW39" s="27" t="str">
        <f t="shared" si="48"/>
        <v>\I:</v>
      </c>
      <c r="EX39" s="27" t="str">
        <f t="shared" si="68"/>
        <v/>
      </c>
      <c r="EY39" s="27" t="s">
        <v>169</v>
      </c>
      <c r="EZ39" s="27" t="s">
        <v>160</v>
      </c>
      <c r="FA39" s="27" t="s">
        <v>161</v>
      </c>
    </row>
    <row r="40" spans="3:157">
      <c r="C40" s="27" t="str">
        <f t="shared" si="54"/>
        <v/>
      </c>
      <c r="D40" s="27" t="s">
        <v>38</v>
      </c>
      <c r="E40" s="27"/>
      <c r="F40" s="27" t="s">
        <v>22</v>
      </c>
      <c r="G40" s="33">
        <f>SUMIFS(Assumptions!BD$105:BD$135,Assumptions!$BB$105:$BB$135,'non-road'!$F40,Assumptions!$BC$105:$BC$135,'non-road'!$D40)/SUMIF(Assumptions!$BB$105:$BB$135,'non-road'!$F40,Assumptions!BD$105:BD$135)</f>
        <v>0</v>
      </c>
      <c r="H40" s="33">
        <f>SUMIFS(Assumptions!BE$105:BE$135,Assumptions!$BB$105:$BB$135,'non-road'!$F40,Assumptions!$BC$105:$BC$135,'non-road'!$D40)/SUMIF(Assumptions!$BB$105:$BB$135,'non-road'!$F40,Assumptions!BE$105:BE$135)</f>
        <v>0</v>
      </c>
      <c r="I40" s="33">
        <f>SUMIFS(Assumptions!BF$105:BF$135,Assumptions!$BB$105:$BB$135,'non-road'!$F40,Assumptions!$BC$105:$BC$135,'non-road'!$D40)/SUMIF(Assumptions!$BB$105:$BB$135,'non-road'!$F40,Assumptions!BF$105:BF$135)</f>
        <v>0</v>
      </c>
      <c r="J40" s="33">
        <f>SUMIFS(Assumptions!BG$105:BG$135,Assumptions!$BB$105:$BB$135,'non-road'!$F40,Assumptions!$BC$105:$BC$135,'non-road'!$D40)/SUMIF(Assumptions!$BB$105:$BB$135,'non-road'!$F40,Assumptions!BG$105:BG$135)</f>
        <v>0</v>
      </c>
      <c r="K40" s="33">
        <f>SUMIFS(Assumptions!BH$105:BH$135,Assumptions!$BB$105:$BB$135,'non-road'!$F40,Assumptions!$BC$105:$BC$135,'non-road'!$D40)/SUMIF(Assumptions!$BB$105:$BB$135,'non-road'!$F40,Assumptions!BH$105:BH$135)</f>
        <v>3.0239609330772171E-2</v>
      </c>
      <c r="L40" s="33">
        <f>SUMIFS(Assumptions!BI$105:BI$135,Assumptions!$BB$105:$BB$135,'non-road'!$F40,Assumptions!$BC$105:$BC$135,'non-road'!$D40)/SUMIF(Assumptions!$BB$105:$BB$135,'non-road'!$F40,Assumptions!BI$105:BI$135)</f>
        <v>3.5381765202846457E-3</v>
      </c>
      <c r="M40" s="33">
        <f>SUMIFS(Assumptions!BJ$105:BJ$135,Assumptions!$BB$105:$BB$135,'non-road'!$F40,Assumptions!$BC$105:$BC$135,'non-road'!$D40)/SUMIF(Assumptions!$BB$105:$BB$135,'non-road'!$F40,Assumptions!BJ$105:BJ$135)</f>
        <v>0</v>
      </c>
      <c r="N40" s="33">
        <f>SUMIFS(Assumptions!BK$105:BK$135,Assumptions!$BB$105:$BB$135,'non-road'!$F40,Assumptions!$BC$105:$BC$135,'non-road'!$D40)/SUMIF(Assumptions!$BB$105:$BB$135,'non-road'!$F40,Assumptions!BK$105:BK$135)</f>
        <v>0</v>
      </c>
      <c r="O40" s="33">
        <f>SUMIFS(Assumptions!BL$105:BL$135,Assumptions!$BB$105:$BB$135,'non-road'!$F40,Assumptions!$BC$105:$BC$135,'non-road'!$D40)/SUMIF(Assumptions!$BB$105:$BB$135,'non-road'!$F40,Assumptions!BL$105:BL$135)</f>
        <v>0</v>
      </c>
      <c r="P40" s="33" t="e">
        <f>SUMIFS(Assumptions!BM$105:BM$135,Assumptions!$BB$105:$BB$135,'non-road'!$F40,Assumptions!$BC$105:$BC$135,'non-road'!$D40)/SUMIF(Assumptions!$BB$105:$BB$135,'non-road'!$F40,Assumptions!BM$105:BM$135)</f>
        <v>#DIV/0!</v>
      </c>
      <c r="Q40" s="33">
        <f>SUMIFS(Assumptions!BN$105:BN$135,Assumptions!$BB$105:$BB$135,'non-road'!$F40,Assumptions!$BC$105:$BC$135,'non-road'!$D40)/SUMIF(Assumptions!$BB$105:$BB$135,'non-road'!$F40,Assumptions!BN$105:BN$135)</f>
        <v>0</v>
      </c>
      <c r="R40" s="33">
        <f>SUMIFS(Assumptions!BO$105:BO$135,Assumptions!$BB$105:$BB$135,'non-road'!$F40,Assumptions!$BC$105:$BC$135,'non-road'!$D40)/SUMIF(Assumptions!$BB$105:$BB$135,'non-road'!$F40,Assumptions!BO$105:BO$135)</f>
        <v>0</v>
      </c>
      <c r="S40" s="33">
        <f>SUMIFS(Assumptions!BP$105:BP$135,Assumptions!$BB$105:$BB$135,'non-road'!$F40,Assumptions!$BC$105:$BC$135,'non-road'!$D40)/SUMIF(Assumptions!$BB$105:$BB$135,'non-road'!$F40,Assumptions!BP$105:BP$135)</f>
        <v>0</v>
      </c>
      <c r="T40" s="33">
        <f>SUMIFS(Assumptions!BQ$105:BQ$135,Assumptions!$BB$105:$BB$135,'non-road'!$F40,Assumptions!$BC$105:$BC$135,'non-road'!$D40)/SUMIF(Assumptions!$BB$105:$BB$135,'non-road'!$F40,Assumptions!BQ$105:BQ$135)</f>
        <v>0</v>
      </c>
      <c r="U40" s="33">
        <f>SUMIFS(Assumptions!BR$105:BR$135,Assumptions!$BB$105:$BB$135,'non-road'!$F40,Assumptions!$BC$105:$BC$135,'non-road'!$D40)/SUMIF(Assumptions!$BB$105:$BB$135,'non-road'!$F40,Assumptions!BR$105:BR$135)</f>
        <v>0</v>
      </c>
      <c r="V40" s="33">
        <f>SUMIFS(Assumptions!BS$105:BS$135,Assumptions!$BB$105:$BB$135,'non-road'!$F40,Assumptions!$BC$105:$BC$135,'non-road'!$D40)/SUMIF(Assumptions!$BB$105:$BB$135,'non-road'!$F40,Assumptions!BS$105:BS$135)</f>
        <v>0</v>
      </c>
      <c r="W40" s="33">
        <f>SUMIFS(Assumptions!BT$105:BT$135,Assumptions!$BB$105:$BB$135,'non-road'!$F40,Assumptions!$BC$105:$BC$135,'non-road'!$D40)/SUMIF(Assumptions!$BB$105:$BB$135,'non-road'!$F40,Assumptions!BT$105:BT$135)</f>
        <v>0</v>
      </c>
      <c r="X40" s="33">
        <f>SUMIFS(Assumptions!BU$105:BU$135,Assumptions!$BB$105:$BB$135,'non-road'!$F40,Assumptions!$BC$105:$BC$135,'non-road'!$D40)/SUMIF(Assumptions!$BB$105:$BB$135,'non-road'!$F40,Assumptions!BU$105:BU$135)</f>
        <v>0</v>
      </c>
      <c r="Y40" s="33">
        <f>SUMIFS(Assumptions!BV$105:BV$135,Assumptions!$BB$105:$BB$135,'non-road'!$F40,Assumptions!$BC$105:$BC$135,'non-road'!$D40)/SUMIF(Assumptions!$BB$105:$BB$135,'non-road'!$F40,Assumptions!BV$105:BV$135)</f>
        <v>0</v>
      </c>
      <c r="Z40" s="33">
        <f>SUMIFS(Assumptions!BW$105:BW$135,Assumptions!$BB$105:$BB$135,'non-road'!$F40,Assumptions!$BC$105:$BC$135,'non-road'!$D40)/SUMIF(Assumptions!$BB$105:$BB$135,'non-road'!$F40,Assumptions!BW$105:BW$135)</f>
        <v>0</v>
      </c>
      <c r="AA40" s="33">
        <f>SUMIFS(Assumptions!BX$105:BX$135,Assumptions!$BB$105:$BB$135,'non-road'!$F40,Assumptions!$BC$105:$BC$135,'non-road'!$D40)/SUMIF(Assumptions!$BB$105:$BB$135,'non-road'!$F40,Assumptions!BX$105:BX$135)</f>
        <v>0</v>
      </c>
      <c r="AB40" s="33">
        <f>SUMIFS(Assumptions!BY$105:BY$135,Assumptions!$BB$105:$BB$135,'non-road'!$F40,Assumptions!$BC$105:$BC$135,'non-road'!$D40)/SUMIF(Assumptions!$BB$105:$BB$135,'non-road'!$F40,Assumptions!BY$105:BY$135)</f>
        <v>0</v>
      </c>
      <c r="AC40" s="33">
        <f>SUMIFS(Assumptions!BZ$105:BZ$135,Assumptions!$BB$105:$BB$135,'non-road'!$F40,Assumptions!$BC$105:$BC$135,'non-road'!$D40)/SUMIF(Assumptions!$BB$105:$BB$135,'non-road'!$F40,Assumptions!BZ$105:BZ$135)</f>
        <v>0.15978840094908398</v>
      </c>
      <c r="AD40" s="33">
        <f>SUMIFS(Assumptions!CA$105:CA$135,Assumptions!$BB$105:$BB$135,'non-road'!$F40,Assumptions!$BC$105:$BC$135,'non-road'!$D40)/SUMIF(Assumptions!$BB$105:$BB$135,'non-road'!$F40,Assumptions!CA$105:CA$135)</f>
        <v>0</v>
      </c>
      <c r="AE40" s="33">
        <f>SUMIFS(Assumptions!CB$105:CB$135,Assumptions!$BB$105:$BB$135,'non-road'!$F40,Assumptions!$BC$105:$BC$135,'non-road'!$D40)/SUMIF(Assumptions!$BB$105:$BB$135,'non-road'!$F40,Assumptions!CB$105:CB$135)</f>
        <v>0</v>
      </c>
      <c r="AF40" s="33">
        <f>SUMIFS(Assumptions!CC$105:CC$135,Assumptions!$BB$105:$BB$135,'non-road'!$F40,Assumptions!$BC$105:$BC$135,'non-road'!$D40)/SUMIF(Assumptions!$BB$105:$BB$135,'non-road'!$F40,Assumptions!CC$105:CC$135)</f>
        <v>0</v>
      </c>
      <c r="AG40" s="33">
        <f>SUMIFS(Assumptions!CD$105:CD$135,Assumptions!$BB$105:$BB$135,'non-road'!$F40,Assumptions!$BC$105:$BC$135,'non-road'!$D40)/SUMIF(Assumptions!$BB$105:$BB$135,'non-road'!$F40,Assumptions!CD$105:CD$135)</f>
        <v>0</v>
      </c>
      <c r="AH40" s="33">
        <f>SUMIFS(Assumptions!CE$105:CE$135,Assumptions!$BB$105:$BB$135,'non-road'!$F40,Assumptions!$BC$105:$BC$135,'non-road'!$D40)/SUMIF(Assumptions!$BB$105:$BB$135,'non-road'!$F40,Assumptions!CE$105:CE$135)</f>
        <v>0</v>
      </c>
      <c r="AI40" s="33">
        <f>SUMIFS(Assumptions!CF$105:CF$135,Assumptions!$BB$105:$BB$135,'non-road'!$F40,Assumptions!$BC$105:$BC$135,'non-road'!$D40)/SUMIF(Assumptions!$BB$105:$BB$135,'non-road'!$F40,Assumptions!CF$105:CF$135)</f>
        <v>4.4157200232846482E-3</v>
      </c>
      <c r="AJ40" s="33">
        <f>SUMIFS(Assumptions!CG$105:CG$135,Assumptions!$BB$105:$BB$135,'non-road'!$F40,Assumptions!$BC$105:$BC$135,'non-road'!$D40)/SUMIF(Assumptions!$BB$105:$BB$135,'non-road'!$F40,Assumptions!CG$105:CG$135)</f>
        <v>5.7708820441480287E-3</v>
      </c>
      <c r="AK40" s="33">
        <f>SUMIFS(Assumptions!CH$105:CH$135,Assumptions!$BB$105:$BB$135,'non-road'!$F40,Assumptions!$BC$105:$BC$135,'non-road'!$D40)/SUMIF(Assumptions!$BB$105:$BB$135,'non-road'!$F40,Assumptions!CH$105:CH$135)</f>
        <v>0</v>
      </c>
      <c r="AL40" s="33">
        <f>SUMIFS(Assumptions!CI$105:CI$135,Assumptions!$BB$105:$BB$135,'non-road'!$F40,Assumptions!$BC$105:$BC$135,'non-road'!$D40)/SUMIF(Assumptions!$BB$105:$BB$135,'non-road'!$F40,Assumptions!CI$105:CI$135)</f>
        <v>0</v>
      </c>
      <c r="AM40" s="33">
        <f>SUMIFS(Assumptions!CJ$105:CJ$135,Assumptions!$BB$105:$BB$135,'non-road'!$F40,Assumptions!$BC$105:$BC$135,'non-road'!$D40)/SUMIF(Assumptions!$BB$105:$BB$135,'non-road'!$F40,Assumptions!CJ$105:CJ$135)</f>
        <v>0</v>
      </c>
      <c r="AN40" s="33" t="e">
        <f>SUMIFS(Assumptions!CK$105:CK$135,Assumptions!$BB$105:$BB$135,'non-road'!$F40,Assumptions!$BC$105:$BC$135,'non-road'!$D40)/SUMIF(Assumptions!$BB$105:$BB$135,'non-road'!$F40,Assumptions!CK$105:CK$135)</f>
        <v>#DIV/0!</v>
      </c>
      <c r="AO40" s="33">
        <f>SUMIFS(Assumptions!CL$105:CL$135,Assumptions!$BB$105:$BB$135,'non-road'!$F40,Assumptions!$BC$105:$BC$135,'non-road'!$D40)/SUMIF(Assumptions!$BB$105:$BB$135,'non-road'!$F40,Assumptions!CL$105:CL$135)</f>
        <v>0</v>
      </c>
      <c r="AP40" s="33" t="e">
        <f>SUMIFS(Assumptions!CM$105:CM$135,Assumptions!$BB$105:$BB$135,'non-road'!$F40,Assumptions!$BC$105:$BC$135,'non-road'!$D40)/SUMIF(Assumptions!$BB$105:$BB$135,'non-road'!$F40,Assumptions!CM$105:CM$135)</f>
        <v>#DIV/0!</v>
      </c>
      <c r="AQ40" s="33" t="e">
        <f>SUMIFS(Assumptions!CN$105:CN$135,Assumptions!$BB$105:$BB$135,'non-road'!$F40,Assumptions!$BC$105:$BC$135,'non-road'!$D40)/SUMIF(Assumptions!$BB$105:$BB$135,'non-road'!$F40,Assumptions!CN$105:CN$135)</f>
        <v>#DIV/0!</v>
      </c>
      <c r="AR40" s="33" t="e">
        <f>SUMIFS(Assumptions!CO$105:CO$135,Assumptions!$BB$105:$BB$135,'non-road'!$F40,Assumptions!$BC$105:$BC$135,'non-road'!$D40)/SUMIF(Assumptions!$BB$105:$BB$135,'non-road'!$F40,Assumptions!CO$105:CO$135)</f>
        <v>#DIV/0!</v>
      </c>
      <c r="AS40" s="33" t="e">
        <f>SUMIFS(Assumptions!CP$105:CP$135,Assumptions!$BB$105:$BB$135,'non-road'!$F40,Assumptions!$BC$105:$BC$135,'non-road'!$D40)/SUMIF(Assumptions!$BB$105:$BB$135,'non-road'!$F40,Assumptions!CP$105:CP$135)</f>
        <v>#DIV/0!</v>
      </c>
      <c r="AT40" s="33" t="e">
        <f>SUMIFS(Assumptions!CQ$105:CQ$135,Assumptions!$BB$105:$BB$135,'non-road'!$F40,Assumptions!$BC$105:$BC$135,'non-road'!$D40)/SUMIF(Assumptions!$BB$105:$BB$135,'non-road'!$F40,Assumptions!CQ$105:CQ$135)</f>
        <v>#DIV/0!</v>
      </c>
      <c r="AU40" s="33" t="e">
        <f>SUMIFS(Assumptions!CR$105:CR$135,Assumptions!$BB$105:$BB$135,'non-road'!$F40,Assumptions!$BC$105:$BC$135,'non-road'!$D40)/SUMIF(Assumptions!$BB$105:$BB$135,'non-road'!$F40,Assumptions!CR$105:CR$135)</f>
        <v>#DIV/0!</v>
      </c>
      <c r="AV40" s="33" t="e">
        <f>SUMIFS(Assumptions!CS$105:CS$135,Assumptions!$BB$105:$BB$135,'non-road'!$F40,Assumptions!$BC$105:$BC$135,'non-road'!$D40)/SUMIF(Assumptions!$BB$105:$BB$135,'non-road'!$F40,Assumptions!CS$105:CS$135)</f>
        <v>#DIV/0!</v>
      </c>
      <c r="AW40" s="33" t="e">
        <f>SUMIFS(Assumptions!CT$105:CT$135,Assumptions!$BB$105:$BB$135,'non-road'!$F40,Assumptions!$BC$105:$BC$135,'non-road'!$D40)/SUMIF(Assumptions!$BB$105:$BB$135,'non-road'!$F40,Assumptions!CT$105:CT$135)</f>
        <v>#DIV/0!</v>
      </c>
      <c r="AX40" s="33" t="e">
        <f>SUMIFS(Assumptions!CU$105:CU$135,Assumptions!$BB$105:$BB$135,'non-road'!$F40,Assumptions!$BC$105:$BC$135,'non-road'!$D40)/SUMIF(Assumptions!$BB$105:$BB$135,'non-road'!$F40,Assumptions!CU$105:CU$135)</f>
        <v>#DIV/0!</v>
      </c>
      <c r="AY40" s="33" t="e">
        <f>SUMIFS(Assumptions!CV$105:CV$135,Assumptions!$BB$105:$BB$135,'non-road'!$F40,Assumptions!$BC$105:$BC$135,'non-road'!$D40)/SUMIF(Assumptions!$BB$105:$BB$135,'non-road'!$F40,Assumptions!CV$105:CV$135)</f>
        <v>#DIV/0!</v>
      </c>
      <c r="AZ40" s="33" t="e">
        <f>SUMIFS(Assumptions!CW$105:CW$135,Assumptions!$BB$105:$BB$135,'non-road'!$F40,Assumptions!$BC$105:$BC$135,'non-road'!$D40)/SUMIF(Assumptions!$BB$105:$BB$135,'non-road'!$F40,Assumptions!CW$105:CW$135)</f>
        <v>#DIV/0!</v>
      </c>
      <c r="BD40" s="27" t="str">
        <f t="shared" si="55"/>
        <v>\I:</v>
      </c>
      <c r="BE40" s="33">
        <f>VLOOKUP($F40,Assumptions!$E$152:$BC$157,COLUMN()-COLUMN($BC$4),FALSE)</f>
        <v>1</v>
      </c>
      <c r="BF40" s="33">
        <f>VLOOKUP($F40,Assumptions!$E$152:$BC$157,COLUMN()-COLUMN($BC$4),FALSE)</f>
        <v>1</v>
      </c>
      <c r="BG40" s="33">
        <f>VLOOKUP($F40,Assumptions!$E$152:$BC$157,COLUMN()-COLUMN($BC$4),FALSE)</f>
        <v>1</v>
      </c>
      <c r="BH40" s="33">
        <f>VLOOKUP($F40,Assumptions!$E$152:$BC$157,COLUMN()-COLUMN($BC$4),FALSE)</f>
        <v>1</v>
      </c>
      <c r="BI40" s="33">
        <f>VLOOKUP($F40,Assumptions!$E$152:$BC$157,COLUMN()-COLUMN($BC$4),FALSE)</f>
        <v>1</v>
      </c>
      <c r="BJ40" s="33">
        <f>VLOOKUP($F40,Assumptions!$E$152:$BC$157,COLUMN()-COLUMN($BC$4),FALSE)</f>
        <v>1</v>
      </c>
      <c r="BK40" s="33">
        <f>VLOOKUP($F40,Assumptions!$E$152:$BC$157,COLUMN()-COLUMN($BC$4),FALSE)</f>
        <v>1</v>
      </c>
      <c r="BL40" s="33">
        <f>VLOOKUP($F40,Assumptions!$E$152:$BC$157,COLUMN()-COLUMN($BC$4),FALSE)</f>
        <v>1</v>
      </c>
      <c r="BM40" s="33">
        <f>VLOOKUP($F40,Assumptions!$E$152:$BC$157,COLUMN()-COLUMN($BC$4),FALSE)</f>
        <v>1</v>
      </c>
      <c r="BN40" s="33">
        <f>VLOOKUP($F40,Assumptions!$E$152:$BC$157,COLUMN()-COLUMN($BC$4),FALSE)</f>
        <v>1</v>
      </c>
      <c r="BO40" s="33">
        <f>VLOOKUP($F40,Assumptions!$E$152:$BC$157,COLUMN()-COLUMN($BC$4),FALSE)</f>
        <v>1</v>
      </c>
      <c r="BP40" s="33">
        <f>VLOOKUP($F40,Assumptions!$E$152:$BC$157,COLUMN()-COLUMN($BC$4),FALSE)</f>
        <v>1</v>
      </c>
      <c r="BQ40" s="33">
        <f>VLOOKUP($F40,Assumptions!$E$152:$BC$157,COLUMN()-COLUMN($BC$4),FALSE)</f>
        <v>1</v>
      </c>
      <c r="BR40" s="33">
        <f>VLOOKUP($F40,Assumptions!$E$152:$BC$157,COLUMN()-COLUMN($BC$4),FALSE)</f>
        <v>1</v>
      </c>
      <c r="BS40" s="33">
        <f>VLOOKUP($F40,Assumptions!$E$152:$BC$157,COLUMN()-COLUMN($BC$4),FALSE)</f>
        <v>1</v>
      </c>
      <c r="BT40" s="33">
        <f>VLOOKUP($F40,Assumptions!$E$152:$BC$157,COLUMN()-COLUMN($BC$4),FALSE)</f>
        <v>1</v>
      </c>
      <c r="BU40" s="33">
        <f>VLOOKUP($F40,Assumptions!$E$152:$BC$157,COLUMN()-COLUMN($BC$4),FALSE)</f>
        <v>1</v>
      </c>
      <c r="BV40" s="33">
        <f>VLOOKUP($F40,Assumptions!$E$152:$BC$157,COLUMN()-COLUMN($BC$4),FALSE)</f>
        <v>1</v>
      </c>
      <c r="BW40" s="33">
        <f>VLOOKUP($F40,Assumptions!$E$152:$BC$157,COLUMN()-COLUMN($BC$4),FALSE)</f>
        <v>1</v>
      </c>
      <c r="BX40" s="33">
        <f>VLOOKUP($F40,Assumptions!$E$152:$BC$157,COLUMN()-COLUMN($BC$4),FALSE)</f>
        <v>1</v>
      </c>
      <c r="BY40" s="33">
        <f>VLOOKUP($F40,Assumptions!$E$152:$BC$157,COLUMN()-COLUMN($BC$4),FALSE)</f>
        <v>1</v>
      </c>
      <c r="BZ40" s="33">
        <f>VLOOKUP($F40,Assumptions!$E$152:$BC$157,COLUMN()-COLUMN($BC$4),FALSE)</f>
        <v>1</v>
      </c>
      <c r="CA40" s="33">
        <f>VLOOKUP($F40,Assumptions!$E$152:$BC$157,COLUMN()-COLUMN($BC$4),FALSE)</f>
        <v>1</v>
      </c>
      <c r="CB40" s="33">
        <f>VLOOKUP($F40,Assumptions!$E$152:$BC$157,COLUMN()-COLUMN($BC$4),FALSE)</f>
        <v>1</v>
      </c>
      <c r="CC40" s="33">
        <f>VLOOKUP($F40,Assumptions!$E$152:$BC$157,COLUMN()-COLUMN($BC$4),FALSE)</f>
        <v>1</v>
      </c>
      <c r="CD40" s="33">
        <f>VLOOKUP($F40,Assumptions!$E$152:$BC$157,COLUMN()-COLUMN($BC$4),FALSE)</f>
        <v>1</v>
      </c>
      <c r="CE40" s="33">
        <f>VLOOKUP($F40,Assumptions!$E$152:$BC$157,COLUMN()-COLUMN($BC$4),FALSE)</f>
        <v>1</v>
      </c>
      <c r="CF40" s="33">
        <f>VLOOKUP($F40,Assumptions!$E$152:$BC$157,COLUMN()-COLUMN($BC$4),FALSE)</f>
        <v>1</v>
      </c>
      <c r="CG40" s="33">
        <f>VLOOKUP($F40,Assumptions!$E$152:$BC$157,COLUMN()-COLUMN($BC$4),FALSE)</f>
        <v>1</v>
      </c>
      <c r="CH40" s="33">
        <f>VLOOKUP($F40,Assumptions!$E$152:$BC$157,COLUMN()-COLUMN($BC$4),FALSE)</f>
        <v>1</v>
      </c>
      <c r="CI40" s="33">
        <f>VLOOKUP($F40,Assumptions!$E$152:$BC$157,COLUMN()-COLUMN($BC$4),FALSE)</f>
        <v>1</v>
      </c>
      <c r="CJ40" s="33">
        <f>VLOOKUP($F40,Assumptions!$E$152:$BC$157,COLUMN()-COLUMN($BC$4),FALSE)</f>
        <v>1</v>
      </c>
      <c r="CK40" s="33">
        <f>VLOOKUP($F40,Assumptions!$E$152:$BC$157,COLUMN()-COLUMN($BC$4),FALSE)</f>
        <v>1</v>
      </c>
      <c r="CL40" s="33">
        <f>VLOOKUP($F40,Assumptions!$E$152:$BC$157,COLUMN()-COLUMN($BC$4),FALSE)</f>
        <v>1</v>
      </c>
      <c r="CM40" s="33">
        <f>VLOOKUP($F40,Assumptions!$E$152:$BC$157,COLUMN()-COLUMN($BC$4),FALSE)</f>
        <v>1</v>
      </c>
      <c r="CN40" s="33">
        <f>VLOOKUP($F40,Assumptions!$E$152:$BC$157,COLUMN()-COLUMN($BC$4),FALSE)</f>
        <v>1</v>
      </c>
      <c r="CO40" s="33">
        <f>VLOOKUP($F40,Assumptions!$E$152:$BC$157,COLUMN()-COLUMN($BC$4),FALSE)</f>
        <v>1</v>
      </c>
      <c r="CP40" s="33">
        <f>VLOOKUP($F40,Assumptions!$E$152:$BC$157,COLUMN()-COLUMN($BC$4),FALSE)</f>
        <v>1</v>
      </c>
      <c r="CQ40" s="33">
        <f>VLOOKUP($F40,Assumptions!$E$152:$BC$157,COLUMN()-COLUMN($BC$4),FALSE)</f>
        <v>1</v>
      </c>
      <c r="CR40" s="33">
        <f>VLOOKUP($F40,Assumptions!$E$152:$BC$157,COLUMN()-COLUMN($BC$4),FALSE)</f>
        <v>1</v>
      </c>
      <c r="CS40" s="33">
        <f>VLOOKUP($F40,Assumptions!$E$152:$BC$157,COLUMN()-COLUMN($BC$4),FALSE)</f>
        <v>1</v>
      </c>
      <c r="CT40" s="33">
        <f>VLOOKUP($F40,Assumptions!$E$152:$BC$157,COLUMN()-COLUMN($BC$4),FALSE)</f>
        <v>1</v>
      </c>
      <c r="CU40" s="33">
        <f>VLOOKUP($F40,Assumptions!$E$152:$BC$157,COLUMN()-COLUMN($BC$4),FALSE)</f>
        <v>1</v>
      </c>
      <c r="CV40" s="33">
        <f>VLOOKUP($F40,Assumptions!$E$152:$BC$157,COLUMN()-COLUMN($BC$4),FALSE)</f>
        <v>1</v>
      </c>
      <c r="CW40" s="33">
        <f>VLOOKUP($F40,Assumptions!$E$152:$BC$157,COLUMN()-COLUMN($BC$4),FALSE)</f>
        <v>1</v>
      </c>
      <c r="CX40" s="33">
        <f>VLOOKUP($F40,Assumptions!$E$152:$BC$157,COLUMN()-COLUMN($BC$4),FALSE)</f>
        <v>1</v>
      </c>
      <c r="CY40" s="27"/>
      <c r="CZ40" s="27"/>
      <c r="DA40" s="27"/>
      <c r="DB40" s="27"/>
      <c r="DC40" s="27"/>
      <c r="DD40" s="27"/>
      <c r="DE40" s="27"/>
      <c r="DF40" s="27"/>
      <c r="DG40" s="27"/>
      <c r="DH40" s="27"/>
      <c r="DI40" s="27"/>
      <c r="DJ40" s="27"/>
      <c r="DK40" s="27"/>
      <c r="DL40" s="27"/>
      <c r="DM40" s="27"/>
      <c r="DN40" s="27"/>
      <c r="DO40" s="27"/>
      <c r="DP40" s="27"/>
      <c r="DQ40" s="27"/>
      <c r="DR40" s="27"/>
      <c r="DS40" s="27"/>
      <c r="DT40" s="27"/>
      <c r="DU40" s="27"/>
      <c r="DV40" s="27"/>
      <c r="DW40" s="27"/>
      <c r="DX40" s="27"/>
      <c r="DY40" s="27"/>
      <c r="DZ40" s="27"/>
      <c r="EA40" s="27"/>
      <c r="EB40" s="27"/>
      <c r="EC40" s="27"/>
      <c r="ED40" s="27"/>
      <c r="EE40" s="27"/>
      <c r="EF40" s="27"/>
      <c r="EG40" s="27"/>
      <c r="EH40" s="27"/>
      <c r="EI40" s="27"/>
      <c r="EJ40" s="27"/>
      <c r="EK40" s="27"/>
      <c r="EL40" s="27"/>
      <c r="EM40" s="27"/>
      <c r="EN40" s="27"/>
      <c r="EO40" s="27"/>
      <c r="EP40" s="27"/>
      <c r="EQ40" s="27"/>
      <c r="ER40" s="27"/>
      <c r="ES40" s="27"/>
      <c r="ET40" s="27"/>
      <c r="EU40" s="27"/>
      <c r="EV40" s="27"/>
      <c r="EW40" s="27" t="str">
        <f t="shared" si="48"/>
        <v>DMD</v>
      </c>
      <c r="EX40" s="27" t="str">
        <f t="shared" si="68"/>
        <v>NEU_Generic</v>
      </c>
      <c r="EY40" s="27" t="s">
        <v>162</v>
      </c>
      <c r="EZ40" s="27" t="s">
        <v>160</v>
      </c>
      <c r="FA40" s="27" t="s">
        <v>161</v>
      </c>
    </row>
    <row r="41" spans="3:157">
      <c r="C41" s="27" t="str">
        <f t="shared" si="54"/>
        <v>NEU_Generic</v>
      </c>
      <c r="D41" s="27" t="s">
        <v>171</v>
      </c>
      <c r="E41" s="27"/>
      <c r="F41" s="27" t="s">
        <v>23</v>
      </c>
      <c r="G41" s="33">
        <f>IFERROR(SUMIFS(Assumptions!BD$105:BD$135,Assumptions!$BB$105:$BB$135,'non-road'!$F41,Assumptions!$BC$105:$BC$135,'non-road'!$D41)/SUMIF(Assumptions!$BB$105:$BB$135,'non-road'!$F41,Assumptions!BD$105:BD$135),"")</f>
        <v>0</v>
      </c>
      <c r="H41" s="33">
        <f>IFERROR(SUMIFS(Assumptions!BE$105:BE$135,Assumptions!$BB$105:$BB$135,'non-road'!$F41,Assumptions!$BC$105:$BC$135,'non-road'!$D41)/SUMIF(Assumptions!$BB$105:$BB$135,'non-road'!$F41,Assumptions!BE$105:BE$135),"")</f>
        <v>0</v>
      </c>
      <c r="I41" s="33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3">
        <f>IFERROR(SUMIFS(Assumptions!BG$105:BG$135,Assumptions!$BB$105:$BB$135,'non-road'!$F41,Assumptions!$BC$105:$BC$135,'non-road'!$D41)/SUMIF(Assumptions!$BB$105:$BB$135,'non-road'!$F41,Assumptions!BG$105:BG$135),"")</f>
        <v>0</v>
      </c>
      <c r="K41" s="33">
        <f>IFERROR(SUMIFS(Assumptions!BH$105:BH$135,Assumptions!$BB$105:$BB$135,'non-road'!$F41,Assumptions!$BC$105:$BC$135,'non-road'!$D41)/SUMIF(Assumptions!$BB$105:$BB$135,'non-road'!$F41,Assumptions!BH$105:BH$135),"")</f>
        <v>0</v>
      </c>
      <c r="L41" s="33">
        <f>IFERROR(SUMIFS(Assumptions!BI$105:BI$135,Assumptions!$BB$105:$BB$135,'non-road'!$F41,Assumptions!$BC$105:$BC$135,'non-road'!$D41)/SUMIF(Assumptions!$BB$105:$BB$135,'non-road'!$F41,Assumptions!BI$105:BI$135),"")</f>
        <v>0</v>
      </c>
      <c r="M41" s="33">
        <f>IFERROR(SUMIFS(Assumptions!BJ$105:BJ$135,Assumptions!$BB$105:$BB$135,'non-road'!$F41,Assumptions!$BC$105:$BC$135,'non-road'!$D41)/SUMIF(Assumptions!$BB$105:$BB$135,'non-road'!$F41,Assumptions!BJ$105:BJ$135),"")</f>
        <v>1</v>
      </c>
      <c r="N41" s="33">
        <f>IFERROR(SUMIFS(Assumptions!BK$105:BK$135,Assumptions!$BB$105:$BB$135,'non-road'!$F41,Assumptions!$BC$105:$BC$135,'non-road'!$D41)/SUMIF(Assumptions!$BB$105:$BB$135,'non-road'!$F41,Assumptions!BK$105:BK$135),"")</f>
        <v>0</v>
      </c>
      <c r="O41" s="33">
        <f>IFERROR(SUMIFS(Assumptions!BL$105:BL$135,Assumptions!$BB$105:$BB$135,'non-road'!$F41,Assumptions!$BC$105:$BC$135,'non-road'!$D41)/SUMIF(Assumptions!$BB$105:$BB$135,'non-road'!$F41,Assumptions!BL$105:BL$135),"")</f>
        <v>0</v>
      </c>
      <c r="P41" s="33">
        <f>IFERROR(SUMIFS(Assumptions!BM$105:BM$135,Assumptions!$BB$105:$BB$135,'non-road'!$F41,Assumptions!$BC$105:$BC$135,'non-road'!$D41)/SUMIF(Assumptions!$BB$105:$BB$135,'non-road'!$F41,Assumptions!BM$105:BM$135),"")</f>
        <v>0</v>
      </c>
      <c r="Q41" s="33">
        <f>IFERROR(SUMIFS(Assumptions!BN$105:BN$135,Assumptions!$BB$105:$BB$135,'non-road'!$F41,Assumptions!$BC$105:$BC$135,'non-road'!$D41)/SUMIF(Assumptions!$BB$105:$BB$135,'non-road'!$F41,Assumptions!BN$105:BN$135),"")</f>
        <v>0</v>
      </c>
      <c r="R41" s="33">
        <f>IFERROR(SUMIFS(Assumptions!BO$105:BO$135,Assumptions!$BB$105:$BB$135,'non-road'!$F41,Assumptions!$BC$105:$BC$135,'non-road'!$D41)/SUMIF(Assumptions!$BB$105:$BB$135,'non-road'!$F41,Assumptions!BO$105:BO$135),"")</f>
        <v>0</v>
      </c>
      <c r="S41" s="33">
        <f>IFERROR(SUMIFS(Assumptions!BP$105:BP$135,Assumptions!$BB$105:$BB$135,'non-road'!$F41,Assumptions!$BC$105:$BC$135,'non-road'!$D41)/SUMIF(Assumptions!$BB$105:$BB$135,'non-road'!$F41,Assumptions!BP$105:BP$135),"")</f>
        <v>0</v>
      </c>
      <c r="T41" s="33">
        <f>IFERROR(SUMIFS(Assumptions!BQ$105:BQ$135,Assumptions!$BB$105:$BB$135,'non-road'!$F41,Assumptions!$BC$105:$BC$135,'non-road'!$D41)/SUMIF(Assumptions!$BB$105:$BB$135,'non-road'!$F41,Assumptions!BQ$105:BQ$135),"")</f>
        <v>0</v>
      </c>
      <c r="U41" s="33">
        <f>IFERROR(SUMIFS(Assumptions!BR$105:BR$135,Assumptions!$BB$105:$BB$135,'non-road'!$F41,Assumptions!$BC$105:$BC$135,'non-road'!$D41)/SUMIF(Assumptions!$BB$105:$BB$135,'non-road'!$F41,Assumptions!BR$105:BR$135),"")</f>
        <v>0</v>
      </c>
      <c r="V41" s="33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3">
        <f>IFERROR(SUMIFS(Assumptions!BT$105:BT$135,Assumptions!$BB$105:$BB$135,'non-road'!$F41,Assumptions!$BC$105:$BC$135,'non-road'!$D41)/SUMIF(Assumptions!$BB$105:$BB$135,'non-road'!$F41,Assumptions!BT$105:BT$135),"")</f>
        <v>0</v>
      </c>
      <c r="X41" s="33">
        <f>IFERROR(SUMIFS(Assumptions!BU$105:BU$135,Assumptions!$BB$105:$BB$135,'non-road'!$F41,Assumptions!$BC$105:$BC$135,'non-road'!$D41)/SUMIF(Assumptions!$BB$105:$BB$135,'non-road'!$F41,Assumptions!BU$105:BU$135),"")</f>
        <v>0</v>
      </c>
      <c r="Y41" s="33">
        <f>IFERROR(SUMIFS(Assumptions!BV$105:BV$135,Assumptions!$BB$105:$BB$135,'non-road'!$F41,Assumptions!$BC$105:$BC$135,'non-road'!$D41)/SUMIF(Assumptions!$BB$105:$BB$135,'non-road'!$F41,Assumptions!BV$105:BV$135),"")</f>
        <v>0</v>
      </c>
      <c r="Z41" s="33">
        <f>IFERROR(SUMIFS(Assumptions!BW$105:BW$135,Assumptions!$BB$105:$BB$135,'non-road'!$F41,Assumptions!$BC$105:$BC$135,'non-road'!$D41)/SUMIF(Assumptions!$BB$105:$BB$135,'non-road'!$F41,Assumptions!BW$105:BW$135),"")</f>
        <v>0</v>
      </c>
      <c r="AA41" s="33">
        <f>IFERROR(SUMIFS(Assumptions!BX$105:BX$135,Assumptions!$BB$105:$BB$135,'non-road'!$F41,Assumptions!$BC$105:$BC$135,'non-road'!$D41)/SUMIF(Assumptions!$BB$105:$BB$135,'non-road'!$F41,Assumptions!BX$105:BX$135),"")</f>
        <v>0</v>
      </c>
      <c r="AB41" s="33">
        <f>IFERROR(SUMIFS(Assumptions!BY$105:BY$135,Assumptions!$BB$105:$BB$135,'non-road'!$F41,Assumptions!$BC$105:$BC$135,'non-road'!$D41)/SUMIF(Assumptions!$BB$105:$BB$135,'non-road'!$F41,Assumptions!BY$105:BY$135),"")</f>
        <v>6.2485772804250633E-3</v>
      </c>
      <c r="AC41" s="33">
        <f>IFERROR(SUMIFS(Assumptions!BZ$105:BZ$135,Assumptions!$BB$105:$BB$135,'non-road'!$F41,Assumptions!$BC$105:$BC$135,'non-road'!$D41)/SUMIF(Assumptions!$BB$105:$BB$135,'non-road'!$F41,Assumptions!BZ$105:BZ$135),"")</f>
        <v>0</v>
      </c>
      <c r="AD41" s="33">
        <f>IFERROR(SUMIFS(Assumptions!CA$105:CA$135,Assumptions!$BB$105:$BB$135,'non-road'!$F41,Assumptions!$BC$105:$BC$135,'non-road'!$D41)/SUMIF(Assumptions!$BB$105:$BB$135,'non-road'!$F41,Assumptions!CA$105:CA$135),"")</f>
        <v>1.4231792433405518E-3</v>
      </c>
      <c r="AE41" s="33">
        <f>IFERROR(SUMIFS(Assumptions!CB$105:CB$135,Assumptions!$BB$105:$BB$135,'non-road'!$F41,Assumptions!$BC$105:$BC$135,'non-road'!$D41)/SUMIF(Assumptions!$BB$105:$BB$135,'non-road'!$F41,Assumptions!CB$105:CB$135),"")</f>
        <v>0</v>
      </c>
      <c r="AF41" s="33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3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3">
        <f>IFERROR(SUMIFS(Assumptions!CE$105:CE$135,Assumptions!$BB$105:$BB$135,'non-road'!$F41,Assumptions!$BC$105:$BC$135,'non-road'!$D41)/SUMIF(Assumptions!$BB$105:$BB$135,'non-road'!$F41,Assumptions!CE$105:CE$135),"")</f>
        <v>0</v>
      </c>
      <c r="AI41" s="33">
        <f>IFERROR(SUMIFS(Assumptions!CF$105:CF$135,Assumptions!$BB$105:$BB$135,'non-road'!$F41,Assumptions!$BC$105:$BC$135,'non-road'!$D41)/SUMIF(Assumptions!$BB$105:$BB$135,'non-road'!$F41,Assumptions!CF$105:CF$135),"")</f>
        <v>0</v>
      </c>
      <c r="AJ41" s="33">
        <f>IFERROR(SUMIFS(Assumptions!CG$105:CG$135,Assumptions!$BB$105:$BB$135,'non-road'!$F41,Assumptions!$BC$105:$BC$135,'non-road'!$D41)/SUMIF(Assumptions!$BB$105:$BB$135,'non-road'!$F41,Assumptions!CG$105:CG$135),"")</f>
        <v>0</v>
      </c>
      <c r="AK41" s="33">
        <f>IFERROR(SUMIFS(Assumptions!CH$105:CH$135,Assumptions!$BB$105:$BB$135,'non-road'!$F41,Assumptions!$BC$105:$BC$135,'non-road'!$D41)/SUMIF(Assumptions!$BB$105:$BB$135,'non-road'!$F41,Assumptions!CH$105:CH$135),"")</f>
        <v>0</v>
      </c>
      <c r="AL41" s="33">
        <f>IFERROR(SUMIFS(Assumptions!CI$105:CI$135,Assumptions!$BB$105:$BB$135,'non-road'!$F41,Assumptions!$BC$105:$BC$135,'non-road'!$D41)/SUMIF(Assumptions!$BB$105:$BB$135,'non-road'!$F41,Assumptions!CI$105:CI$135),"")</f>
        <v>0</v>
      </c>
      <c r="AM41" s="33">
        <f>IFERROR(SUMIFS(Assumptions!CJ$105:CJ$135,Assumptions!$BB$105:$BB$135,'non-road'!$F41,Assumptions!$BC$105:$BC$135,'non-road'!$D41)/SUMIF(Assumptions!$BB$105:$BB$135,'non-road'!$F41,Assumptions!CJ$105:CJ$135),"")</f>
        <v>0</v>
      </c>
      <c r="AN41" s="33">
        <f>IFERROR(SUMIFS(Assumptions!CK$105:CK$135,Assumptions!$BB$105:$BB$135,'non-road'!$F41,Assumptions!$BC$105:$BC$135,'non-road'!$D41)/SUMIF(Assumptions!$BB$105:$BB$135,'non-road'!$F41,Assumptions!CK$105:CK$135),"")</f>
        <v>0</v>
      </c>
      <c r="AO41" s="33">
        <f>IFERROR(SUMIFS(Assumptions!CL$105:CL$135,Assumptions!$BB$105:$BB$135,'non-road'!$F41,Assumptions!$BC$105:$BC$135,'non-road'!$D41)/SUMIF(Assumptions!$BB$105:$BB$135,'non-road'!$F41,Assumptions!CL$105:CL$135),"")</f>
        <v>0</v>
      </c>
      <c r="AP41" s="33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3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3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3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3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3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3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3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3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3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3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27" t="str">
        <f t="shared" si="55"/>
        <v>NEU_Generic</v>
      </c>
      <c r="BE41" s="33">
        <v>1</v>
      </c>
      <c r="BF41" s="33">
        <v>1</v>
      </c>
      <c r="BG41" s="33">
        <v>1</v>
      </c>
      <c r="BH41" s="33">
        <v>1</v>
      </c>
      <c r="BI41" s="33">
        <v>1</v>
      </c>
      <c r="BJ41" s="33">
        <v>1</v>
      </c>
      <c r="BK41" s="33">
        <v>1</v>
      </c>
      <c r="BL41" s="33">
        <v>1</v>
      </c>
      <c r="BM41" s="33">
        <v>1</v>
      </c>
      <c r="BN41" s="33">
        <v>1</v>
      </c>
      <c r="BO41" s="33">
        <v>1</v>
      </c>
      <c r="BP41" s="33">
        <v>1</v>
      </c>
      <c r="BQ41" s="33">
        <v>1</v>
      </c>
      <c r="BR41" s="33">
        <v>1</v>
      </c>
      <c r="BS41" s="33">
        <v>1</v>
      </c>
      <c r="BT41" s="33">
        <v>1</v>
      </c>
      <c r="BU41" s="33">
        <v>1</v>
      </c>
      <c r="BV41" s="33">
        <v>1</v>
      </c>
      <c r="BW41" s="33">
        <v>1</v>
      </c>
      <c r="BX41" s="33">
        <v>1</v>
      </c>
      <c r="BY41" s="33">
        <v>1</v>
      </c>
      <c r="BZ41" s="33">
        <v>1</v>
      </c>
      <c r="CA41" s="33">
        <v>1</v>
      </c>
      <c r="CB41" s="33">
        <v>1</v>
      </c>
      <c r="CC41" s="33">
        <v>1</v>
      </c>
      <c r="CD41" s="33">
        <v>1</v>
      </c>
      <c r="CE41" s="33">
        <v>1</v>
      </c>
      <c r="CF41" s="33">
        <v>1</v>
      </c>
      <c r="CG41" s="33">
        <v>1</v>
      </c>
      <c r="CH41" s="33">
        <v>1</v>
      </c>
      <c r="CI41" s="33">
        <v>1</v>
      </c>
      <c r="CJ41" s="33">
        <v>1</v>
      </c>
      <c r="CK41" s="33">
        <v>1</v>
      </c>
      <c r="CL41" s="33">
        <v>1</v>
      </c>
      <c r="CM41" s="33">
        <v>1</v>
      </c>
      <c r="CN41" s="33">
        <v>1</v>
      </c>
      <c r="CO41" s="33">
        <v>1</v>
      </c>
      <c r="CP41" s="33">
        <v>1</v>
      </c>
      <c r="CQ41" s="33">
        <v>1</v>
      </c>
      <c r="CR41" s="33">
        <v>1</v>
      </c>
      <c r="CS41" s="33">
        <v>1</v>
      </c>
      <c r="CT41" s="33">
        <v>1</v>
      </c>
      <c r="CU41" s="33">
        <v>1</v>
      </c>
      <c r="CV41" s="33">
        <v>1</v>
      </c>
      <c r="CW41" s="33">
        <v>1</v>
      </c>
      <c r="CX41" s="33">
        <v>1</v>
      </c>
      <c r="CY41" s="27"/>
      <c r="CZ41" s="27"/>
      <c r="DA41" s="27"/>
      <c r="DB41" s="27"/>
      <c r="DC41" s="27"/>
      <c r="DD41" s="27"/>
      <c r="DE41" s="27"/>
      <c r="DF41" s="27"/>
      <c r="DG41" s="27"/>
      <c r="DH41" s="27"/>
      <c r="DI41" s="27"/>
      <c r="DJ41" s="27"/>
      <c r="DK41" s="27"/>
      <c r="DL41" s="27"/>
      <c r="DM41" s="27"/>
      <c r="DN41" s="27"/>
      <c r="DO41" s="27"/>
      <c r="DP41" s="27"/>
      <c r="DQ41" s="27"/>
      <c r="DR41" s="27"/>
      <c r="DS41" s="27"/>
      <c r="DT41" s="27"/>
      <c r="DU41" s="27"/>
      <c r="DV41" s="27"/>
      <c r="DW41" s="27"/>
      <c r="DX41" s="27"/>
      <c r="DY41" s="27"/>
      <c r="DZ41" s="27"/>
      <c r="EA41" s="27"/>
      <c r="EB41" s="27"/>
      <c r="EC41" s="27"/>
      <c r="ED41" s="27"/>
      <c r="EE41" s="27"/>
      <c r="EF41" s="27"/>
      <c r="EG41" s="27"/>
      <c r="EH41" s="27"/>
      <c r="EI41" s="27"/>
      <c r="EJ41" s="27"/>
      <c r="EK41" s="27"/>
      <c r="EL41" s="27"/>
      <c r="EM41" s="27"/>
      <c r="EN41" s="27"/>
      <c r="EO41" s="27"/>
      <c r="EP41" s="27"/>
      <c r="EQ41" s="27"/>
      <c r="ER41" s="27"/>
      <c r="ES41" s="27"/>
      <c r="ET41" s="27"/>
      <c r="EU41" s="27"/>
      <c r="EV41" s="27"/>
      <c r="EW41" s="27"/>
      <c r="EX41" s="27"/>
      <c r="EY41" s="27"/>
      <c r="EZ41" s="27"/>
      <c r="FA41" s="27"/>
    </row>
    <row r="42" spans="3:157">
      <c r="D42" t="s">
        <v>170</v>
      </c>
      <c r="F42" s="27" t="s">
        <v>23</v>
      </c>
      <c r="G42" s="33">
        <f>IFERROR(SUMIFS(Assumptions!BD$105:BD$135,Assumptions!$BB$105:$BB$135,'non-road'!$F42,Assumptions!$BC$105:$BC$135,'non-road'!$D42)/SUMIF(Assumptions!$BB$105:$BB$135,'non-road'!$F42,Assumptions!BD$105:BD$135),"")</f>
        <v>0</v>
      </c>
      <c r="H42" s="33">
        <f>IFERROR(SUMIFS(Assumptions!BE$105:BE$135,Assumptions!$BB$105:$BB$135,'non-road'!$F42,Assumptions!$BC$105:$BC$135,'non-road'!$D42)/SUMIF(Assumptions!$BB$105:$BB$135,'non-road'!$F42,Assumptions!BE$105:BE$135),"")</f>
        <v>0</v>
      </c>
      <c r="I42" s="33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3">
        <f>IFERROR(SUMIFS(Assumptions!BG$105:BG$135,Assumptions!$BB$105:$BB$135,'non-road'!$F42,Assumptions!$BC$105:$BC$135,'non-road'!$D42)/SUMIF(Assumptions!$BB$105:$BB$135,'non-road'!$F42,Assumptions!BG$105:BG$135),"")</f>
        <v>0</v>
      </c>
      <c r="K42" s="33">
        <f>IFERROR(SUMIFS(Assumptions!BH$105:BH$135,Assumptions!$BB$105:$BB$135,'non-road'!$F42,Assumptions!$BC$105:$BC$135,'non-road'!$D42)/SUMIF(Assumptions!$BB$105:$BB$135,'non-road'!$F42,Assumptions!BH$105:BH$135),"")</f>
        <v>0</v>
      </c>
      <c r="L42" s="33">
        <f>IFERROR(SUMIFS(Assumptions!BI$105:BI$135,Assumptions!$BB$105:$BB$135,'non-road'!$F42,Assumptions!$BC$105:$BC$135,'non-road'!$D42)/SUMIF(Assumptions!$BB$105:$BB$135,'non-road'!$F42,Assumptions!BI$105:BI$135),"")</f>
        <v>0</v>
      </c>
      <c r="M42" s="33">
        <f>IFERROR(SUMIFS(Assumptions!BJ$105:BJ$135,Assumptions!$BB$105:$BB$135,'non-road'!$F42,Assumptions!$BC$105:$BC$135,'non-road'!$D42)/SUMIF(Assumptions!$BB$105:$BB$135,'non-road'!$F42,Assumptions!BJ$105:BJ$135),"")</f>
        <v>0</v>
      </c>
      <c r="N42" s="33">
        <f>IFERROR(SUMIFS(Assumptions!BK$105:BK$135,Assumptions!$BB$105:$BB$135,'non-road'!$F42,Assumptions!$BC$105:$BC$135,'non-road'!$D42)/SUMIF(Assumptions!$BB$105:$BB$135,'non-road'!$F42,Assumptions!BK$105:BK$135),"")</f>
        <v>0</v>
      </c>
      <c r="O42" s="33">
        <f>IFERROR(SUMIFS(Assumptions!BL$105:BL$135,Assumptions!$BB$105:$BB$135,'non-road'!$F42,Assumptions!$BC$105:$BC$135,'non-road'!$D42)/SUMIF(Assumptions!$BB$105:$BB$135,'non-road'!$F42,Assumptions!BL$105:BL$135),"")</f>
        <v>0</v>
      </c>
      <c r="P42" s="33">
        <f>IFERROR(SUMIFS(Assumptions!BM$105:BM$135,Assumptions!$BB$105:$BB$135,'non-road'!$F42,Assumptions!$BC$105:$BC$135,'non-road'!$D42)/SUMIF(Assumptions!$BB$105:$BB$135,'non-road'!$F42,Assumptions!BM$105:BM$135),"")</f>
        <v>0</v>
      </c>
      <c r="Q42" s="33">
        <f>IFERROR(SUMIFS(Assumptions!BN$105:BN$135,Assumptions!$BB$105:$BB$135,'non-road'!$F42,Assumptions!$BC$105:$BC$135,'non-road'!$D42)/SUMIF(Assumptions!$BB$105:$BB$135,'non-road'!$F42,Assumptions!BN$105:BN$135),"")</f>
        <v>0</v>
      </c>
      <c r="R42" s="33">
        <f>IFERROR(SUMIFS(Assumptions!BO$105:BO$135,Assumptions!$BB$105:$BB$135,'non-road'!$F42,Assumptions!$BC$105:$BC$135,'non-road'!$D42)/SUMIF(Assumptions!$BB$105:$BB$135,'non-road'!$F42,Assumptions!BO$105:BO$135),"")</f>
        <v>0</v>
      </c>
      <c r="S42" s="33">
        <f>IFERROR(SUMIFS(Assumptions!BP$105:BP$135,Assumptions!$BB$105:$BB$135,'non-road'!$F42,Assumptions!$BC$105:$BC$135,'non-road'!$D42)/SUMIF(Assumptions!$BB$105:$BB$135,'non-road'!$F42,Assumptions!BP$105:BP$135),"")</f>
        <v>0</v>
      </c>
      <c r="T42" s="33">
        <f>IFERROR(SUMIFS(Assumptions!BQ$105:BQ$135,Assumptions!$BB$105:$BB$135,'non-road'!$F42,Assumptions!$BC$105:$BC$135,'non-road'!$D42)/SUMIF(Assumptions!$BB$105:$BB$135,'non-road'!$F42,Assumptions!BQ$105:BQ$135),"")</f>
        <v>0</v>
      </c>
      <c r="U42" s="33">
        <f>IFERROR(SUMIFS(Assumptions!BR$105:BR$135,Assumptions!$BB$105:$BB$135,'non-road'!$F42,Assumptions!$BC$105:$BC$135,'non-road'!$D42)/SUMIF(Assumptions!$BB$105:$BB$135,'non-road'!$F42,Assumptions!BR$105:BR$135),"")</f>
        <v>0</v>
      </c>
      <c r="V42" s="33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3">
        <f>IFERROR(SUMIFS(Assumptions!BT$105:BT$135,Assumptions!$BB$105:$BB$135,'non-road'!$F42,Assumptions!$BC$105:$BC$135,'non-road'!$D42)/SUMIF(Assumptions!$BB$105:$BB$135,'non-road'!$F42,Assumptions!BT$105:BT$135),"")</f>
        <v>0</v>
      </c>
      <c r="X42" s="33">
        <f>IFERROR(SUMIFS(Assumptions!BU$105:BU$135,Assumptions!$BB$105:$BB$135,'non-road'!$F42,Assumptions!$BC$105:$BC$135,'non-road'!$D42)/SUMIF(Assumptions!$BB$105:$BB$135,'non-road'!$F42,Assumptions!BU$105:BU$135),"")</f>
        <v>0</v>
      </c>
      <c r="Y42" s="33">
        <f>IFERROR(SUMIFS(Assumptions!BV$105:BV$135,Assumptions!$BB$105:$BB$135,'non-road'!$F42,Assumptions!$BC$105:$BC$135,'non-road'!$D42)/SUMIF(Assumptions!$BB$105:$BB$135,'non-road'!$F42,Assumptions!BV$105:BV$135),"")</f>
        <v>0</v>
      </c>
      <c r="Z42" s="33">
        <f>IFERROR(SUMIFS(Assumptions!BW$105:BW$135,Assumptions!$BB$105:$BB$135,'non-road'!$F42,Assumptions!$BC$105:$BC$135,'non-road'!$D42)/SUMIF(Assumptions!$BB$105:$BB$135,'non-road'!$F42,Assumptions!BW$105:BW$135),"")</f>
        <v>0</v>
      </c>
      <c r="AA42" s="33">
        <f>IFERROR(SUMIFS(Assumptions!BX$105:BX$135,Assumptions!$BB$105:$BB$135,'non-road'!$F42,Assumptions!$BC$105:$BC$135,'non-road'!$D42)/SUMIF(Assumptions!$BB$105:$BB$135,'non-road'!$F42,Assumptions!BX$105:BX$135),"")</f>
        <v>0</v>
      </c>
      <c r="AB42" s="33">
        <f>IFERROR(SUMIFS(Assumptions!BY$105:BY$135,Assumptions!$BB$105:$BB$135,'non-road'!$F42,Assumptions!$BC$105:$BC$135,'non-road'!$D42)/SUMIF(Assumptions!$BB$105:$BB$135,'non-road'!$F42,Assumptions!BY$105:BY$135),"")</f>
        <v>0</v>
      </c>
      <c r="AC42" s="33">
        <f>IFERROR(SUMIFS(Assumptions!BZ$105:BZ$135,Assumptions!$BB$105:$BB$135,'non-road'!$F42,Assumptions!$BC$105:$BC$135,'non-road'!$D42)/SUMIF(Assumptions!$BB$105:$BB$135,'non-road'!$F42,Assumptions!BZ$105:BZ$135),"")</f>
        <v>0</v>
      </c>
      <c r="AD42" s="33">
        <f>IFERROR(SUMIFS(Assumptions!CA$105:CA$135,Assumptions!$BB$105:$BB$135,'non-road'!$F42,Assumptions!$BC$105:$BC$135,'non-road'!$D42)/SUMIF(Assumptions!$BB$105:$BB$135,'non-road'!$F42,Assumptions!CA$105:CA$135),"")</f>
        <v>0</v>
      </c>
      <c r="AE42" s="33">
        <f>IFERROR(SUMIFS(Assumptions!CB$105:CB$135,Assumptions!$BB$105:$BB$135,'non-road'!$F42,Assumptions!$BC$105:$BC$135,'non-road'!$D42)/SUMIF(Assumptions!$BB$105:$BB$135,'non-road'!$F42,Assumptions!CB$105:CB$135),"")</f>
        <v>0</v>
      </c>
      <c r="AF42" s="33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3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3">
        <f>IFERROR(SUMIFS(Assumptions!CE$105:CE$135,Assumptions!$BB$105:$BB$135,'non-road'!$F42,Assumptions!$BC$105:$BC$135,'non-road'!$D42)/SUMIF(Assumptions!$BB$105:$BB$135,'non-road'!$F42,Assumptions!CE$105:CE$135),"")</f>
        <v>0</v>
      </c>
      <c r="AI42" s="33">
        <f>IFERROR(SUMIFS(Assumptions!CF$105:CF$135,Assumptions!$BB$105:$BB$135,'non-road'!$F42,Assumptions!$BC$105:$BC$135,'non-road'!$D42)/SUMIF(Assumptions!$BB$105:$BB$135,'non-road'!$F42,Assumptions!CF$105:CF$135),"")</f>
        <v>0</v>
      </c>
      <c r="AJ42" s="33">
        <f>IFERROR(SUMIFS(Assumptions!CG$105:CG$135,Assumptions!$BB$105:$BB$135,'non-road'!$F42,Assumptions!$BC$105:$BC$135,'non-road'!$D42)/SUMIF(Assumptions!$BB$105:$BB$135,'non-road'!$F42,Assumptions!CG$105:CG$135),"")</f>
        <v>0</v>
      </c>
      <c r="AK42" s="33">
        <f>IFERROR(SUMIFS(Assumptions!CH$105:CH$135,Assumptions!$BB$105:$BB$135,'non-road'!$F42,Assumptions!$BC$105:$BC$135,'non-road'!$D42)/SUMIF(Assumptions!$BB$105:$BB$135,'non-road'!$F42,Assumptions!CH$105:CH$135),"")</f>
        <v>0</v>
      </c>
      <c r="AL42" s="33">
        <f>IFERROR(SUMIFS(Assumptions!CI$105:CI$135,Assumptions!$BB$105:$BB$135,'non-road'!$F42,Assumptions!$BC$105:$BC$135,'non-road'!$D42)/SUMIF(Assumptions!$BB$105:$BB$135,'non-road'!$F42,Assumptions!CI$105:CI$135),"")</f>
        <v>0</v>
      </c>
      <c r="AM42" s="33">
        <f>IFERROR(SUMIFS(Assumptions!CJ$105:CJ$135,Assumptions!$BB$105:$BB$135,'non-road'!$F42,Assumptions!$BC$105:$BC$135,'non-road'!$D42)/SUMIF(Assumptions!$BB$105:$BB$135,'non-road'!$F42,Assumptions!CJ$105:CJ$135),"")</f>
        <v>0</v>
      </c>
      <c r="AN42" s="33">
        <f>IFERROR(SUMIFS(Assumptions!CK$105:CK$135,Assumptions!$BB$105:$BB$135,'non-road'!$F42,Assumptions!$BC$105:$BC$135,'non-road'!$D42)/SUMIF(Assumptions!$BB$105:$BB$135,'non-road'!$F42,Assumptions!CK$105:CK$135),"")</f>
        <v>0</v>
      </c>
      <c r="AO42" s="33">
        <f>IFERROR(SUMIFS(Assumptions!CL$105:CL$135,Assumptions!$BB$105:$BB$135,'non-road'!$F42,Assumptions!$BC$105:$BC$135,'non-road'!$D42)/SUMIF(Assumptions!$BB$105:$BB$135,'non-road'!$F42,Assumptions!CL$105:CL$135),"")</f>
        <v>0</v>
      </c>
      <c r="AP42" s="33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3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3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3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3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3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3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3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3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3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3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27"/>
      <c r="CZ42" s="27"/>
      <c r="DA42" s="27"/>
      <c r="DB42" s="27"/>
      <c r="DC42" s="27"/>
      <c r="DD42" s="27"/>
      <c r="DE42" s="27"/>
      <c r="DF42" s="27"/>
      <c r="DG42" s="27"/>
      <c r="DH42" s="27"/>
      <c r="DI42" s="27"/>
      <c r="DJ42" s="27"/>
      <c r="DK42" s="27"/>
      <c r="DL42" s="27"/>
      <c r="DM42" s="27"/>
      <c r="DN42" s="27"/>
      <c r="DO42" s="27"/>
      <c r="DP42" s="27"/>
      <c r="DQ42" s="27"/>
      <c r="DR42" s="27"/>
      <c r="DS42" s="27"/>
      <c r="DT42" s="27"/>
      <c r="DU42" s="27"/>
      <c r="DV42" s="27"/>
      <c r="DW42" s="27"/>
      <c r="DX42" s="27"/>
      <c r="DY42" s="27"/>
      <c r="DZ42" s="27"/>
      <c r="EA42" s="27"/>
      <c r="EB42" s="27"/>
      <c r="EC42" s="27"/>
      <c r="ED42" s="27"/>
      <c r="EE42" s="27"/>
      <c r="EF42" s="27"/>
      <c r="EG42" s="27"/>
      <c r="EH42" s="27"/>
      <c r="EI42" s="27"/>
      <c r="EJ42" s="27"/>
      <c r="EK42" s="27"/>
      <c r="EL42" s="27"/>
      <c r="EM42" s="27"/>
      <c r="EN42" s="27"/>
      <c r="EO42" s="27"/>
      <c r="EP42" s="27"/>
      <c r="EQ42" s="27"/>
      <c r="ER42" s="27"/>
      <c r="ES42" s="27"/>
      <c r="ET42" s="27"/>
      <c r="EU42" s="27"/>
      <c r="EV42" s="27"/>
    </row>
    <row r="43" spans="3:157">
      <c r="D43" t="s">
        <v>34</v>
      </c>
      <c r="F43" s="27" t="s">
        <v>23</v>
      </c>
      <c r="G43" s="33">
        <f>IFERROR(SUMIFS(Assumptions!BD$105:BD$135,Assumptions!$BB$105:$BB$135,'non-road'!$F43,Assumptions!$BC$105:$BC$135,'non-road'!$D43)/SUMIF(Assumptions!$BB$105:$BB$135,'non-road'!$F43,Assumptions!BD$105:BD$135),"")</f>
        <v>0</v>
      </c>
      <c r="H43" s="33">
        <f>IFERROR(SUMIFS(Assumptions!BE$105:BE$135,Assumptions!$BB$105:$BB$135,'non-road'!$F43,Assumptions!$BC$105:$BC$135,'non-road'!$D43)/SUMIF(Assumptions!$BB$105:$BB$135,'non-road'!$F43,Assumptions!BE$105:BE$135),"")</f>
        <v>0.51170824919507485</v>
      </c>
      <c r="I43" s="33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3">
        <f>IFERROR(SUMIFS(Assumptions!BG$105:BG$135,Assumptions!$BB$105:$BB$135,'non-road'!$F43,Assumptions!$BC$105:$BC$135,'non-road'!$D43)/SUMIF(Assumptions!$BB$105:$BB$135,'non-road'!$F43,Assumptions!BG$105:BG$135),"")</f>
        <v>0</v>
      </c>
      <c r="K43" s="33">
        <f>IFERROR(SUMIFS(Assumptions!BH$105:BH$135,Assumptions!$BB$105:$BB$135,'non-road'!$F43,Assumptions!$BC$105:$BC$135,'non-road'!$D43)/SUMIF(Assumptions!$BB$105:$BB$135,'non-road'!$F43,Assumptions!BH$105:BH$135),"")</f>
        <v>0</v>
      </c>
      <c r="L43" s="33">
        <f>IFERROR(SUMIFS(Assumptions!BI$105:BI$135,Assumptions!$BB$105:$BB$135,'non-road'!$F43,Assumptions!$BC$105:$BC$135,'non-road'!$D43)/SUMIF(Assumptions!$BB$105:$BB$135,'non-road'!$F43,Assumptions!BI$105:BI$135),"")</f>
        <v>0</v>
      </c>
      <c r="M43" s="33">
        <f>IFERROR(SUMIFS(Assumptions!BJ$105:BJ$135,Assumptions!$BB$105:$BB$135,'non-road'!$F43,Assumptions!$BC$105:$BC$135,'non-road'!$D43)/SUMIF(Assumptions!$BB$105:$BB$135,'non-road'!$F43,Assumptions!BJ$105:BJ$135),"")</f>
        <v>0</v>
      </c>
      <c r="N43" s="33">
        <f>IFERROR(SUMIFS(Assumptions!BK$105:BK$135,Assumptions!$BB$105:$BB$135,'non-road'!$F43,Assumptions!$BC$105:$BC$135,'non-road'!$D43)/SUMIF(Assumptions!$BB$105:$BB$135,'non-road'!$F43,Assumptions!BK$105:BK$135),"")</f>
        <v>0.92991233513566063</v>
      </c>
      <c r="O43" s="33">
        <f>IFERROR(SUMIFS(Assumptions!BL$105:BL$135,Assumptions!$BB$105:$BB$135,'non-road'!$F43,Assumptions!$BC$105:$BC$135,'non-road'!$D43)/SUMIF(Assumptions!$BB$105:$BB$135,'non-road'!$F43,Assumptions!BL$105:BL$135),"")</f>
        <v>0</v>
      </c>
      <c r="P43" s="33">
        <f>IFERROR(SUMIFS(Assumptions!BM$105:BM$135,Assumptions!$BB$105:$BB$135,'non-road'!$F43,Assumptions!$BC$105:$BC$135,'non-road'!$D43)/SUMIF(Assumptions!$BB$105:$BB$135,'non-road'!$F43,Assumptions!BM$105:BM$135),"")</f>
        <v>0</v>
      </c>
      <c r="Q43" s="33">
        <f>IFERROR(SUMIFS(Assumptions!BN$105:BN$135,Assumptions!$BB$105:$BB$135,'non-road'!$F43,Assumptions!$BC$105:$BC$135,'non-road'!$D43)/SUMIF(Assumptions!$BB$105:$BB$135,'non-road'!$F43,Assumptions!BN$105:BN$135),"")</f>
        <v>0</v>
      </c>
      <c r="R43" s="33">
        <f>IFERROR(SUMIFS(Assumptions!BO$105:BO$135,Assumptions!$BB$105:$BB$135,'non-road'!$F43,Assumptions!$BC$105:$BC$135,'non-road'!$D43)/SUMIF(Assumptions!$BB$105:$BB$135,'non-road'!$F43,Assumptions!BO$105:BO$135),"")</f>
        <v>0</v>
      </c>
      <c r="S43" s="33">
        <f>IFERROR(SUMIFS(Assumptions!BP$105:BP$135,Assumptions!$BB$105:$BB$135,'non-road'!$F43,Assumptions!$BC$105:$BC$135,'non-road'!$D43)/SUMIF(Assumptions!$BB$105:$BB$135,'non-road'!$F43,Assumptions!BP$105:BP$135),"")</f>
        <v>1.3293907773514822E-2</v>
      </c>
      <c r="T43" s="33">
        <f>IFERROR(SUMIFS(Assumptions!BQ$105:BQ$135,Assumptions!$BB$105:$BB$135,'non-road'!$F43,Assumptions!$BC$105:$BC$135,'non-road'!$D43)/SUMIF(Assumptions!$BB$105:$BB$135,'non-road'!$F43,Assumptions!BQ$105:BQ$135),"")</f>
        <v>7.816108560073181E-3</v>
      </c>
      <c r="U43" s="33">
        <f>IFERROR(SUMIFS(Assumptions!BR$105:BR$135,Assumptions!$BB$105:$BB$135,'non-road'!$F43,Assumptions!$BC$105:$BC$135,'non-road'!$D43)/SUMIF(Assumptions!$BB$105:$BB$135,'non-road'!$F43,Assumptions!BR$105:BR$135),"")</f>
        <v>0</v>
      </c>
      <c r="V43" s="33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3">
        <f>IFERROR(SUMIFS(Assumptions!BT$105:BT$135,Assumptions!$BB$105:$BB$135,'non-road'!$F43,Assumptions!$BC$105:$BC$135,'non-road'!$D43)/SUMIF(Assumptions!$BB$105:$BB$135,'non-road'!$F43,Assumptions!BT$105:BT$135),"")</f>
        <v>0</v>
      </c>
      <c r="X43" s="33">
        <f>IFERROR(SUMIFS(Assumptions!BU$105:BU$135,Assumptions!$BB$105:$BB$135,'non-road'!$F43,Assumptions!$BC$105:$BC$135,'non-road'!$D43)/SUMIF(Assumptions!$BB$105:$BB$135,'non-road'!$F43,Assumptions!BU$105:BU$135),"")</f>
        <v>0</v>
      </c>
      <c r="Y43" s="33">
        <f>IFERROR(SUMIFS(Assumptions!BV$105:BV$135,Assumptions!$BB$105:$BB$135,'non-road'!$F43,Assumptions!$BC$105:$BC$135,'non-road'!$D43)/SUMIF(Assumptions!$BB$105:$BB$135,'non-road'!$F43,Assumptions!BV$105:BV$135),"")</f>
        <v>0</v>
      </c>
      <c r="Z43" s="33">
        <f>IFERROR(SUMIFS(Assumptions!BW$105:BW$135,Assumptions!$BB$105:$BB$135,'non-road'!$F43,Assumptions!$BC$105:$BC$135,'non-road'!$D43)/SUMIF(Assumptions!$BB$105:$BB$135,'non-road'!$F43,Assumptions!BW$105:BW$135),"")</f>
        <v>0.12893626535307565</v>
      </c>
      <c r="AA43" s="33">
        <f>IFERROR(SUMIFS(Assumptions!BX$105:BX$135,Assumptions!$BB$105:$BB$135,'non-road'!$F43,Assumptions!$BC$105:$BC$135,'non-road'!$D43)/SUMIF(Assumptions!$BB$105:$BB$135,'non-road'!$F43,Assumptions!BX$105:BX$135),"")</f>
        <v>0.17395477443367099</v>
      </c>
      <c r="AB43" s="33">
        <f>IFERROR(SUMIFS(Assumptions!BY$105:BY$135,Assumptions!$BB$105:$BB$135,'non-road'!$F43,Assumptions!$BC$105:$BC$135,'non-road'!$D43)/SUMIF(Assumptions!$BB$105:$BB$135,'non-road'!$F43,Assumptions!BY$105:BY$135),"")</f>
        <v>5.4403600919076082E-2</v>
      </c>
      <c r="AC43" s="33">
        <f>IFERROR(SUMIFS(Assumptions!BZ$105:BZ$135,Assumptions!$BB$105:$BB$135,'non-road'!$F43,Assumptions!$BC$105:$BC$135,'non-road'!$D43)/SUMIF(Assumptions!$BB$105:$BB$135,'non-road'!$F43,Assumptions!BZ$105:BZ$135),"")</f>
        <v>4.0254075475861135E-2</v>
      </c>
      <c r="AD43" s="33">
        <f>IFERROR(SUMIFS(Assumptions!CA$105:CA$135,Assumptions!$BB$105:$BB$135,'non-road'!$F43,Assumptions!$BC$105:$BC$135,'non-road'!$D43)/SUMIF(Assumptions!$BB$105:$BB$135,'non-road'!$F43,Assumptions!CA$105:CA$135),"")</f>
        <v>6.5471212660483328E-4</v>
      </c>
      <c r="AE43" s="33">
        <f>IFERROR(SUMIFS(Assumptions!CB$105:CB$135,Assumptions!$BB$105:$BB$135,'non-road'!$F43,Assumptions!$BC$105:$BC$135,'non-road'!$D43)/SUMIF(Assumptions!$BB$105:$BB$135,'non-road'!$F43,Assumptions!CB$105:CB$135),"")</f>
        <v>1.0876150136341939E-2</v>
      </c>
      <c r="AF43" s="33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3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3">
        <f>IFERROR(SUMIFS(Assumptions!CE$105:CE$135,Assumptions!$BB$105:$BB$135,'non-road'!$F43,Assumptions!$BC$105:$BC$135,'non-road'!$D43)/SUMIF(Assumptions!$BB$105:$BB$135,'non-road'!$F43,Assumptions!CE$105:CE$135),"")</f>
        <v>0.37179050031742245</v>
      </c>
      <c r="AI43" s="33">
        <f>IFERROR(SUMIFS(Assumptions!CF$105:CF$135,Assumptions!$BB$105:$BB$135,'non-road'!$F43,Assumptions!$BC$105:$BC$135,'non-road'!$D43)/SUMIF(Assumptions!$BB$105:$BB$135,'non-road'!$F43,Assumptions!CF$105:CF$135),"")</f>
        <v>0</v>
      </c>
      <c r="AJ43" s="33">
        <f>IFERROR(SUMIFS(Assumptions!CG$105:CG$135,Assumptions!$BB$105:$BB$135,'non-road'!$F43,Assumptions!$BC$105:$BC$135,'non-road'!$D43)/SUMIF(Assumptions!$BB$105:$BB$135,'non-road'!$F43,Assumptions!CG$105:CG$135),"")</f>
        <v>0</v>
      </c>
      <c r="AK43" s="33">
        <f>IFERROR(SUMIFS(Assumptions!CH$105:CH$135,Assumptions!$BB$105:$BB$135,'non-road'!$F43,Assumptions!$BC$105:$BC$135,'non-road'!$D43)/SUMIF(Assumptions!$BB$105:$BB$135,'non-road'!$F43,Assumptions!CH$105:CH$135),"")</f>
        <v>0</v>
      </c>
      <c r="AL43" s="33">
        <f>IFERROR(SUMIFS(Assumptions!CI$105:CI$135,Assumptions!$BB$105:$BB$135,'non-road'!$F43,Assumptions!$BC$105:$BC$135,'non-road'!$D43)/SUMIF(Assumptions!$BB$105:$BB$135,'non-road'!$F43,Assumptions!CI$105:CI$135),"")</f>
        <v>0</v>
      </c>
      <c r="AM43" s="33">
        <f>IFERROR(SUMIFS(Assumptions!CJ$105:CJ$135,Assumptions!$BB$105:$BB$135,'non-road'!$F43,Assumptions!$BC$105:$BC$135,'non-road'!$D43)/SUMIF(Assumptions!$BB$105:$BB$135,'non-road'!$F43,Assumptions!CJ$105:CJ$135),"")</f>
        <v>0</v>
      </c>
      <c r="AN43" s="33">
        <f>IFERROR(SUMIFS(Assumptions!CK$105:CK$135,Assumptions!$BB$105:$BB$135,'non-road'!$F43,Assumptions!$BC$105:$BC$135,'non-road'!$D43)/SUMIF(Assumptions!$BB$105:$BB$135,'non-road'!$F43,Assumptions!CK$105:CK$135),"")</f>
        <v>0.88086914081714807</v>
      </c>
      <c r="AO43" s="33">
        <f>IFERROR(SUMIFS(Assumptions!CL$105:CL$135,Assumptions!$BB$105:$BB$135,'non-road'!$F43,Assumptions!$BC$105:$BC$135,'non-road'!$D43)/SUMIF(Assumptions!$BB$105:$BB$135,'non-road'!$F43,Assumptions!CL$105:CL$135),"")</f>
        <v>0</v>
      </c>
      <c r="AP43" s="33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3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3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3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3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3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3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3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3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3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3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27"/>
      <c r="CZ43" s="27"/>
      <c r="DA43" s="27"/>
      <c r="DB43" s="27"/>
      <c r="DC43" s="27"/>
      <c r="DD43" s="27"/>
      <c r="DE43" s="27"/>
      <c r="DF43" s="27"/>
      <c r="DG43" s="27"/>
      <c r="DH43" s="27"/>
      <c r="DI43" s="27"/>
      <c r="DJ43" s="27"/>
      <c r="DK43" s="27"/>
      <c r="DL43" s="27"/>
      <c r="DM43" s="27"/>
      <c r="DN43" s="27"/>
      <c r="DO43" s="27"/>
      <c r="DP43" s="27"/>
      <c r="DQ43" s="27"/>
      <c r="DR43" s="27"/>
      <c r="DS43" s="27"/>
      <c r="DT43" s="27"/>
      <c r="DU43" s="27"/>
      <c r="DV43" s="27"/>
      <c r="DW43" s="27"/>
      <c r="DX43" s="27"/>
      <c r="DY43" s="27"/>
      <c r="DZ43" s="27"/>
      <c r="EA43" s="27"/>
      <c r="EB43" s="27"/>
      <c r="EC43" s="27"/>
      <c r="ED43" s="27"/>
      <c r="EE43" s="27"/>
      <c r="EF43" s="27"/>
      <c r="EG43" s="27"/>
      <c r="EH43" s="27"/>
      <c r="EI43" s="27"/>
      <c r="EJ43" s="27"/>
      <c r="EK43" s="27"/>
      <c r="EL43" s="27"/>
      <c r="EM43" s="27"/>
      <c r="EN43" s="27"/>
      <c r="EO43" s="27"/>
      <c r="EP43" s="27"/>
      <c r="EQ43" s="27"/>
      <c r="ER43" s="27"/>
      <c r="ES43" s="27"/>
      <c r="ET43" s="27"/>
      <c r="EU43" s="27"/>
      <c r="EV43" s="27"/>
    </row>
    <row r="44" spans="3:157">
      <c r="D44" t="s">
        <v>35</v>
      </c>
      <c r="F44" s="27" t="s">
        <v>23</v>
      </c>
      <c r="G44" s="33">
        <f>IFERROR(SUMIFS(Assumptions!BD$105:BD$135,Assumptions!$BB$105:$BB$135,'non-road'!$F44,Assumptions!$BC$105:$BC$135,'non-road'!$D44)/SUMIF(Assumptions!$BB$105:$BB$135,'non-road'!$F44,Assumptions!BD$105:BD$135),"")</f>
        <v>0</v>
      </c>
      <c r="H44" s="33">
        <f>IFERROR(SUMIFS(Assumptions!BE$105:BE$135,Assumptions!$BB$105:$BB$135,'non-road'!$F44,Assumptions!$BC$105:$BC$135,'non-road'!$D44)/SUMIF(Assumptions!$BB$105:$BB$135,'non-road'!$F44,Assumptions!BE$105:BE$135),"")</f>
        <v>0</v>
      </c>
      <c r="I44" s="33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3">
        <f>IFERROR(SUMIFS(Assumptions!BG$105:BG$135,Assumptions!$BB$105:$BB$135,'non-road'!$F44,Assumptions!$BC$105:$BC$135,'non-road'!$D44)/SUMIF(Assumptions!$BB$105:$BB$135,'non-road'!$F44,Assumptions!BG$105:BG$135),"")</f>
        <v>0</v>
      </c>
      <c r="K44" s="33">
        <f>IFERROR(SUMIFS(Assumptions!BH$105:BH$135,Assumptions!$BB$105:$BB$135,'non-road'!$F44,Assumptions!$BC$105:$BC$135,'non-road'!$D44)/SUMIF(Assumptions!$BB$105:$BB$135,'non-road'!$F44,Assumptions!BH$105:BH$135),"")</f>
        <v>0</v>
      </c>
      <c r="L44" s="33">
        <f>IFERROR(SUMIFS(Assumptions!BI$105:BI$135,Assumptions!$BB$105:$BB$135,'non-road'!$F44,Assumptions!$BC$105:$BC$135,'non-road'!$D44)/SUMIF(Assumptions!$BB$105:$BB$135,'non-road'!$F44,Assumptions!BI$105:BI$135),"")</f>
        <v>0</v>
      </c>
      <c r="M44" s="33">
        <f>IFERROR(SUMIFS(Assumptions!BJ$105:BJ$135,Assumptions!$BB$105:$BB$135,'non-road'!$F44,Assumptions!$BC$105:$BC$135,'non-road'!$D44)/SUMIF(Assumptions!$BB$105:$BB$135,'non-road'!$F44,Assumptions!BJ$105:BJ$135),"")</f>
        <v>0</v>
      </c>
      <c r="N44" s="33">
        <f>IFERROR(SUMIFS(Assumptions!BK$105:BK$135,Assumptions!$BB$105:$BB$135,'non-road'!$F44,Assumptions!$BC$105:$BC$135,'non-road'!$D44)/SUMIF(Assumptions!$BB$105:$BB$135,'non-road'!$F44,Assumptions!BK$105:BK$135),"")</f>
        <v>0</v>
      </c>
      <c r="O44" s="33">
        <f>IFERROR(SUMIFS(Assumptions!BL$105:BL$135,Assumptions!$BB$105:$BB$135,'non-road'!$F44,Assumptions!$BC$105:$BC$135,'non-road'!$D44)/SUMIF(Assumptions!$BB$105:$BB$135,'non-road'!$F44,Assumptions!BL$105:BL$135),"")</f>
        <v>0</v>
      </c>
      <c r="P44" s="33">
        <f>IFERROR(SUMIFS(Assumptions!BM$105:BM$135,Assumptions!$BB$105:$BB$135,'non-road'!$F44,Assumptions!$BC$105:$BC$135,'non-road'!$D44)/SUMIF(Assumptions!$BB$105:$BB$135,'non-road'!$F44,Assumptions!BM$105:BM$135),"")</f>
        <v>0</v>
      </c>
      <c r="Q44" s="33">
        <f>IFERROR(SUMIFS(Assumptions!BN$105:BN$135,Assumptions!$BB$105:$BB$135,'non-road'!$F44,Assumptions!$BC$105:$BC$135,'non-road'!$D44)/SUMIF(Assumptions!$BB$105:$BB$135,'non-road'!$F44,Assumptions!BN$105:BN$135),"")</f>
        <v>0</v>
      </c>
      <c r="R44" s="33">
        <f>IFERROR(SUMIFS(Assumptions!BO$105:BO$135,Assumptions!$BB$105:$BB$135,'non-road'!$F44,Assumptions!$BC$105:$BC$135,'non-road'!$D44)/SUMIF(Assumptions!$BB$105:$BB$135,'non-road'!$F44,Assumptions!BO$105:BO$135),"")</f>
        <v>0</v>
      </c>
      <c r="S44" s="33">
        <f>IFERROR(SUMIFS(Assumptions!BP$105:BP$135,Assumptions!$BB$105:$BB$135,'non-road'!$F44,Assumptions!$BC$105:$BC$135,'non-road'!$D44)/SUMIF(Assumptions!$BB$105:$BB$135,'non-road'!$F44,Assumptions!BP$105:BP$135),"")</f>
        <v>0</v>
      </c>
      <c r="T44" s="33">
        <f>IFERROR(SUMIFS(Assumptions!BQ$105:BQ$135,Assumptions!$BB$105:$BB$135,'non-road'!$F44,Assumptions!$BC$105:$BC$135,'non-road'!$D44)/SUMIF(Assumptions!$BB$105:$BB$135,'non-road'!$F44,Assumptions!BQ$105:BQ$135),"")</f>
        <v>0</v>
      </c>
      <c r="U44" s="33">
        <f>IFERROR(SUMIFS(Assumptions!BR$105:BR$135,Assumptions!$BB$105:$BB$135,'non-road'!$F44,Assumptions!$BC$105:$BC$135,'non-road'!$D44)/SUMIF(Assumptions!$BB$105:$BB$135,'non-road'!$F44,Assumptions!BR$105:BR$135),"")</f>
        <v>0</v>
      </c>
      <c r="V44" s="33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3">
        <f>IFERROR(SUMIFS(Assumptions!BT$105:BT$135,Assumptions!$BB$105:$BB$135,'non-road'!$F44,Assumptions!$BC$105:$BC$135,'non-road'!$D44)/SUMIF(Assumptions!$BB$105:$BB$135,'non-road'!$F44,Assumptions!BT$105:BT$135),"")</f>
        <v>0</v>
      </c>
      <c r="X44" s="33">
        <f>IFERROR(SUMIFS(Assumptions!BU$105:BU$135,Assumptions!$BB$105:$BB$135,'non-road'!$F44,Assumptions!$BC$105:$BC$135,'non-road'!$D44)/SUMIF(Assumptions!$BB$105:$BB$135,'non-road'!$F44,Assumptions!BU$105:BU$135),"")</f>
        <v>0</v>
      </c>
      <c r="Y44" s="33">
        <f>IFERROR(SUMIFS(Assumptions!BV$105:BV$135,Assumptions!$BB$105:$BB$135,'non-road'!$F44,Assumptions!$BC$105:$BC$135,'non-road'!$D44)/SUMIF(Assumptions!$BB$105:$BB$135,'non-road'!$F44,Assumptions!BV$105:BV$135),"")</f>
        <v>0</v>
      </c>
      <c r="Z44" s="33">
        <f>IFERROR(SUMIFS(Assumptions!BW$105:BW$135,Assumptions!$BB$105:$BB$135,'non-road'!$F44,Assumptions!$BC$105:$BC$135,'non-road'!$D44)/SUMIF(Assumptions!$BB$105:$BB$135,'non-road'!$F44,Assumptions!BW$105:BW$135),"")</f>
        <v>0</v>
      </c>
      <c r="AA44" s="33">
        <f>IFERROR(SUMIFS(Assumptions!BX$105:BX$135,Assumptions!$BB$105:$BB$135,'non-road'!$F44,Assumptions!$BC$105:$BC$135,'non-road'!$D44)/SUMIF(Assumptions!$BB$105:$BB$135,'non-road'!$F44,Assumptions!BX$105:BX$135),"")</f>
        <v>0</v>
      </c>
      <c r="AB44" s="33">
        <f>IFERROR(SUMIFS(Assumptions!BY$105:BY$135,Assumptions!$BB$105:$BB$135,'non-road'!$F44,Assumptions!$BC$105:$BC$135,'non-road'!$D44)/SUMIF(Assumptions!$BB$105:$BB$135,'non-road'!$F44,Assumptions!BY$105:BY$135),"")</f>
        <v>0</v>
      </c>
      <c r="AC44" s="33">
        <f>IFERROR(SUMIFS(Assumptions!BZ$105:BZ$135,Assumptions!$BB$105:$BB$135,'non-road'!$F44,Assumptions!$BC$105:$BC$135,'non-road'!$D44)/SUMIF(Assumptions!$BB$105:$BB$135,'non-road'!$F44,Assumptions!BZ$105:BZ$135),"")</f>
        <v>0</v>
      </c>
      <c r="AD44" s="33">
        <f>IFERROR(SUMIFS(Assumptions!CA$105:CA$135,Assumptions!$BB$105:$BB$135,'non-road'!$F44,Assumptions!$BC$105:$BC$135,'non-road'!$D44)/SUMIF(Assumptions!$BB$105:$BB$135,'non-road'!$F44,Assumptions!CA$105:CA$135),"")</f>
        <v>0</v>
      </c>
      <c r="AE44" s="33">
        <f>IFERROR(SUMIFS(Assumptions!CB$105:CB$135,Assumptions!$BB$105:$BB$135,'non-road'!$F44,Assumptions!$BC$105:$BC$135,'non-road'!$D44)/SUMIF(Assumptions!$BB$105:$BB$135,'non-road'!$F44,Assumptions!CB$105:CB$135),"")</f>
        <v>0</v>
      </c>
      <c r="AF44" s="33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3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3">
        <f>IFERROR(SUMIFS(Assumptions!CE$105:CE$135,Assumptions!$BB$105:$BB$135,'non-road'!$F44,Assumptions!$BC$105:$BC$135,'non-road'!$D44)/SUMIF(Assumptions!$BB$105:$BB$135,'non-road'!$F44,Assumptions!CE$105:CE$135),"")</f>
        <v>0</v>
      </c>
      <c r="AI44" s="33">
        <f>IFERROR(SUMIFS(Assumptions!CF$105:CF$135,Assumptions!$BB$105:$BB$135,'non-road'!$F44,Assumptions!$BC$105:$BC$135,'non-road'!$D44)/SUMIF(Assumptions!$BB$105:$BB$135,'non-road'!$F44,Assumptions!CF$105:CF$135),"")</f>
        <v>0</v>
      </c>
      <c r="AJ44" s="33">
        <f>IFERROR(SUMIFS(Assumptions!CG$105:CG$135,Assumptions!$BB$105:$BB$135,'non-road'!$F44,Assumptions!$BC$105:$BC$135,'non-road'!$D44)/SUMIF(Assumptions!$BB$105:$BB$135,'non-road'!$F44,Assumptions!CG$105:CG$135),"")</f>
        <v>0</v>
      </c>
      <c r="AK44" s="33">
        <f>IFERROR(SUMIFS(Assumptions!CH$105:CH$135,Assumptions!$BB$105:$BB$135,'non-road'!$F44,Assumptions!$BC$105:$BC$135,'non-road'!$D44)/SUMIF(Assumptions!$BB$105:$BB$135,'non-road'!$F44,Assumptions!CH$105:CH$135),"")</f>
        <v>0</v>
      </c>
      <c r="AL44" s="33">
        <f>IFERROR(SUMIFS(Assumptions!CI$105:CI$135,Assumptions!$BB$105:$BB$135,'non-road'!$F44,Assumptions!$BC$105:$BC$135,'non-road'!$D44)/SUMIF(Assumptions!$BB$105:$BB$135,'non-road'!$F44,Assumptions!CI$105:CI$135),"")</f>
        <v>0</v>
      </c>
      <c r="AM44" s="33">
        <f>IFERROR(SUMIFS(Assumptions!CJ$105:CJ$135,Assumptions!$BB$105:$BB$135,'non-road'!$F44,Assumptions!$BC$105:$BC$135,'non-road'!$D44)/SUMIF(Assumptions!$BB$105:$BB$135,'non-road'!$F44,Assumptions!CJ$105:CJ$135),"")</f>
        <v>0</v>
      </c>
      <c r="AN44" s="33">
        <f>IFERROR(SUMIFS(Assumptions!CK$105:CK$135,Assumptions!$BB$105:$BB$135,'non-road'!$F44,Assumptions!$BC$105:$BC$135,'non-road'!$D44)/SUMIF(Assumptions!$BB$105:$BB$135,'non-road'!$F44,Assumptions!CK$105:CK$135),"")</f>
        <v>0</v>
      </c>
      <c r="AO44" s="33">
        <f>IFERROR(SUMIFS(Assumptions!CL$105:CL$135,Assumptions!$BB$105:$BB$135,'non-road'!$F44,Assumptions!$BC$105:$BC$135,'non-road'!$D44)/SUMIF(Assumptions!$BB$105:$BB$135,'non-road'!$F44,Assumptions!CL$105:CL$135),"")</f>
        <v>0</v>
      </c>
      <c r="AP44" s="33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3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3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3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3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3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3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3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3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3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3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27"/>
      <c r="CZ44" s="27"/>
      <c r="DA44" s="27"/>
      <c r="DB44" s="27"/>
      <c r="DC44" s="27"/>
      <c r="DD44" s="27"/>
      <c r="DE44" s="27"/>
      <c r="DF44" s="27"/>
      <c r="DG44" s="27"/>
      <c r="DH44" s="27"/>
      <c r="DI44" s="27"/>
      <c r="DJ44" s="27"/>
      <c r="DK44" s="27"/>
      <c r="DL44" s="27"/>
      <c r="DM44" s="27"/>
      <c r="DN44" s="27"/>
      <c r="DO44" s="27"/>
      <c r="DP44" s="27"/>
      <c r="DQ44" s="27"/>
      <c r="DR44" s="27"/>
      <c r="DS44" s="27"/>
      <c r="DT44" s="27"/>
      <c r="DU44" s="27"/>
      <c r="DV44" s="27"/>
      <c r="DW44" s="27"/>
      <c r="DX44" s="27"/>
      <c r="DY44" s="27"/>
      <c r="DZ44" s="27"/>
      <c r="EA44" s="27"/>
      <c r="EB44" s="27"/>
      <c r="EC44" s="27"/>
      <c r="ED44" s="27"/>
      <c r="EE44" s="27"/>
      <c r="EF44" s="27"/>
      <c r="EG44" s="27"/>
      <c r="EH44" s="27"/>
      <c r="EI44" s="27"/>
      <c r="EJ44" s="27"/>
      <c r="EK44" s="27"/>
      <c r="EL44" s="27"/>
      <c r="EM44" s="27"/>
      <c r="EN44" s="27"/>
      <c r="EO44" s="27"/>
      <c r="EP44" s="27"/>
      <c r="EQ44" s="27"/>
      <c r="ER44" s="27"/>
      <c r="ES44" s="27"/>
      <c r="ET44" s="27"/>
      <c r="EU44" s="27"/>
      <c r="EV44" s="27"/>
    </row>
    <row r="45" spans="3:157">
      <c r="D45" t="s">
        <v>46</v>
      </c>
      <c r="F45" s="27" t="s">
        <v>23</v>
      </c>
      <c r="G45" s="33">
        <f>IFERROR(SUMIFS(Assumptions!BD$105:BD$135,Assumptions!$BB$105:$BB$135,'non-road'!$F45,Assumptions!$BC$105:$BC$135,'non-road'!$D45)/SUMIF(Assumptions!$BB$105:$BB$135,'non-road'!$F45,Assumptions!BD$105:BD$135),"")</f>
        <v>9.7440267010436732E-2</v>
      </c>
      <c r="H45" s="33">
        <f>IFERROR(SUMIFS(Assumptions!BE$105:BE$135,Assumptions!$BB$105:$BB$135,'non-road'!$F45,Assumptions!$BC$105:$BC$135,'non-road'!$D45)/SUMIF(Assumptions!$BB$105:$BB$135,'non-road'!$F45,Assumptions!BE$105:BE$135),"")</f>
        <v>0</v>
      </c>
      <c r="I45" s="33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3">
        <f>IFERROR(SUMIFS(Assumptions!BG$105:BG$135,Assumptions!$BB$105:$BB$135,'non-road'!$F45,Assumptions!$BC$105:$BC$135,'non-road'!$D45)/SUMIF(Assumptions!$BB$105:$BB$135,'non-road'!$F45,Assumptions!BG$105:BG$135),"")</f>
        <v>0</v>
      </c>
      <c r="K45" s="33">
        <f>IFERROR(SUMIFS(Assumptions!BH$105:BH$135,Assumptions!$BB$105:$BB$135,'non-road'!$F45,Assumptions!$BC$105:$BC$135,'non-road'!$D45)/SUMIF(Assumptions!$BB$105:$BB$135,'non-road'!$F45,Assumptions!BH$105:BH$135),"")</f>
        <v>0</v>
      </c>
      <c r="L45" s="33">
        <f>IFERROR(SUMIFS(Assumptions!BI$105:BI$135,Assumptions!$BB$105:$BB$135,'non-road'!$F45,Assumptions!$BC$105:$BC$135,'non-road'!$D45)/SUMIF(Assumptions!$BB$105:$BB$135,'non-road'!$F45,Assumptions!BI$105:BI$135),"")</f>
        <v>1.2952555259151826E-2</v>
      </c>
      <c r="M45" s="33">
        <f>IFERROR(SUMIFS(Assumptions!BJ$105:BJ$135,Assumptions!$BB$105:$BB$135,'non-road'!$F45,Assumptions!$BC$105:$BC$135,'non-road'!$D45)/SUMIF(Assumptions!$BB$105:$BB$135,'non-road'!$F45,Assumptions!BJ$105:BJ$135),"")</f>
        <v>0</v>
      </c>
      <c r="N45" s="33">
        <f>IFERROR(SUMIFS(Assumptions!BK$105:BK$135,Assumptions!$BB$105:$BB$135,'non-road'!$F45,Assumptions!$BC$105:$BC$135,'non-road'!$D45)/SUMIF(Assumptions!$BB$105:$BB$135,'non-road'!$F45,Assumptions!BK$105:BK$135),"")</f>
        <v>0</v>
      </c>
      <c r="O45" s="33">
        <f>IFERROR(SUMIFS(Assumptions!BL$105:BL$135,Assumptions!$BB$105:$BB$135,'non-road'!$F45,Assumptions!$BC$105:$BC$135,'non-road'!$D45)/SUMIF(Assumptions!$BB$105:$BB$135,'non-road'!$F45,Assumptions!BL$105:BL$135),"")</f>
        <v>0</v>
      </c>
      <c r="P45" s="33">
        <f>IFERROR(SUMIFS(Assumptions!BM$105:BM$135,Assumptions!$BB$105:$BB$135,'non-road'!$F45,Assumptions!$BC$105:$BC$135,'non-road'!$D45)/SUMIF(Assumptions!$BB$105:$BB$135,'non-road'!$F45,Assumptions!BM$105:BM$135),"")</f>
        <v>0</v>
      </c>
      <c r="Q45" s="33">
        <f>IFERROR(SUMIFS(Assumptions!BN$105:BN$135,Assumptions!$BB$105:$BB$135,'non-road'!$F45,Assumptions!$BC$105:$BC$135,'non-road'!$D45)/SUMIF(Assumptions!$BB$105:$BB$135,'non-road'!$F45,Assumptions!BN$105:BN$135),"")</f>
        <v>0</v>
      </c>
      <c r="R45" s="33">
        <f>IFERROR(SUMIFS(Assumptions!BO$105:BO$135,Assumptions!$BB$105:$BB$135,'non-road'!$F45,Assumptions!$BC$105:$BC$135,'non-road'!$D45)/SUMIF(Assumptions!$BB$105:$BB$135,'non-road'!$F45,Assumptions!BO$105:BO$135),"")</f>
        <v>0</v>
      </c>
      <c r="S45" s="33">
        <f>IFERROR(SUMIFS(Assumptions!BP$105:BP$135,Assumptions!$BB$105:$BB$135,'non-road'!$F45,Assumptions!$BC$105:$BC$135,'non-road'!$D45)/SUMIF(Assumptions!$BB$105:$BB$135,'non-road'!$F45,Assumptions!BP$105:BP$135),"")</f>
        <v>0</v>
      </c>
      <c r="T45" s="33">
        <f>IFERROR(SUMIFS(Assumptions!BQ$105:BQ$135,Assumptions!$BB$105:$BB$135,'non-road'!$F45,Assumptions!$BC$105:$BC$135,'non-road'!$D45)/SUMIF(Assumptions!$BB$105:$BB$135,'non-road'!$F45,Assumptions!BQ$105:BQ$135),"")</f>
        <v>5.5010734733652888E-4</v>
      </c>
      <c r="U45" s="33">
        <f>IFERROR(SUMIFS(Assumptions!BR$105:BR$135,Assumptions!$BB$105:$BB$135,'non-road'!$F45,Assumptions!$BC$105:$BC$135,'non-road'!$D45)/SUMIF(Assumptions!$BB$105:$BB$135,'non-road'!$F45,Assumptions!BR$105:BR$135),"")</f>
        <v>0</v>
      </c>
      <c r="V45" s="33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3">
        <f>IFERROR(SUMIFS(Assumptions!BT$105:BT$135,Assumptions!$BB$105:$BB$135,'non-road'!$F45,Assumptions!$BC$105:$BC$135,'non-road'!$D45)/SUMIF(Assumptions!$BB$105:$BB$135,'non-road'!$F45,Assumptions!BT$105:BT$135),"")</f>
        <v>0</v>
      </c>
      <c r="X45" s="33">
        <f>IFERROR(SUMIFS(Assumptions!BU$105:BU$135,Assumptions!$BB$105:$BB$135,'non-road'!$F45,Assumptions!$BC$105:$BC$135,'non-road'!$D45)/SUMIF(Assumptions!$BB$105:$BB$135,'non-road'!$F45,Assumptions!BU$105:BU$135),"")</f>
        <v>0</v>
      </c>
      <c r="Y45" s="33">
        <f>IFERROR(SUMIFS(Assumptions!BV$105:BV$135,Assumptions!$BB$105:$BB$135,'non-road'!$F45,Assumptions!$BC$105:$BC$135,'non-road'!$D45)/SUMIF(Assumptions!$BB$105:$BB$135,'non-road'!$F45,Assumptions!BV$105:BV$135),"")</f>
        <v>0</v>
      </c>
      <c r="Z45" s="33">
        <f>IFERROR(SUMIFS(Assumptions!BW$105:BW$135,Assumptions!$BB$105:$BB$135,'non-road'!$F45,Assumptions!$BC$105:$BC$135,'non-road'!$D45)/SUMIF(Assumptions!$BB$105:$BB$135,'non-road'!$F45,Assumptions!BW$105:BW$135),"")</f>
        <v>8.2668243745176812E-2</v>
      </c>
      <c r="AA45" s="33">
        <f>IFERROR(SUMIFS(Assumptions!BX$105:BX$135,Assumptions!$BB$105:$BB$135,'non-road'!$F45,Assumptions!$BC$105:$BC$135,'non-road'!$D45)/SUMIF(Assumptions!$BB$105:$BB$135,'non-road'!$F45,Assumptions!BX$105:BX$135),"")</f>
        <v>0</v>
      </c>
      <c r="AB45" s="33">
        <f>IFERROR(SUMIFS(Assumptions!BY$105:BY$135,Assumptions!$BB$105:$BB$135,'non-road'!$F45,Assumptions!$BC$105:$BC$135,'non-road'!$D45)/SUMIF(Assumptions!$BB$105:$BB$135,'non-road'!$F45,Assumptions!BY$105:BY$135),"")</f>
        <v>0</v>
      </c>
      <c r="AC45" s="33">
        <f>IFERROR(SUMIFS(Assumptions!BZ$105:BZ$135,Assumptions!$BB$105:$BB$135,'non-road'!$F45,Assumptions!$BC$105:$BC$135,'non-road'!$D45)/SUMIF(Assumptions!$BB$105:$BB$135,'non-road'!$F45,Assumptions!BZ$105:BZ$135),"")</f>
        <v>0</v>
      </c>
      <c r="AD45" s="33">
        <f>IFERROR(SUMIFS(Assumptions!CA$105:CA$135,Assumptions!$BB$105:$BB$135,'non-road'!$F45,Assumptions!$BC$105:$BC$135,'non-road'!$D45)/SUMIF(Assumptions!$BB$105:$BB$135,'non-road'!$F45,Assumptions!CA$105:CA$135),"")</f>
        <v>0</v>
      </c>
      <c r="AE45" s="33">
        <f>IFERROR(SUMIFS(Assumptions!CB$105:CB$135,Assumptions!$BB$105:$BB$135,'non-road'!$F45,Assumptions!$BC$105:$BC$135,'non-road'!$D45)/SUMIF(Assumptions!$BB$105:$BB$135,'non-road'!$F45,Assumptions!CB$105:CB$135),"")</f>
        <v>1.5019311127727464E-2</v>
      </c>
      <c r="AF45" s="33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3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3">
        <f>IFERROR(SUMIFS(Assumptions!CE$105:CE$135,Assumptions!$BB$105:$BB$135,'non-road'!$F45,Assumptions!$BC$105:$BC$135,'non-road'!$D45)/SUMIF(Assumptions!$BB$105:$BB$135,'non-road'!$F45,Assumptions!CE$105:CE$135),"")</f>
        <v>0</v>
      </c>
      <c r="AI45" s="33">
        <f>IFERROR(SUMIFS(Assumptions!CF$105:CF$135,Assumptions!$BB$105:$BB$135,'non-road'!$F45,Assumptions!$BC$105:$BC$135,'non-road'!$D45)/SUMIF(Assumptions!$BB$105:$BB$135,'non-road'!$F45,Assumptions!CF$105:CF$135),"")</f>
        <v>0</v>
      </c>
      <c r="AJ45" s="33">
        <f>IFERROR(SUMIFS(Assumptions!CG$105:CG$135,Assumptions!$BB$105:$BB$135,'non-road'!$F45,Assumptions!$BC$105:$BC$135,'non-road'!$D45)/SUMIF(Assumptions!$BB$105:$BB$135,'non-road'!$F45,Assumptions!CG$105:CG$135),"")</f>
        <v>0</v>
      </c>
      <c r="AK45" s="33">
        <f>IFERROR(SUMIFS(Assumptions!CH$105:CH$135,Assumptions!$BB$105:$BB$135,'non-road'!$F45,Assumptions!$BC$105:$BC$135,'non-road'!$D45)/SUMIF(Assumptions!$BB$105:$BB$135,'non-road'!$F45,Assumptions!CH$105:CH$135),"")</f>
        <v>0</v>
      </c>
      <c r="AL45" s="33">
        <f>IFERROR(SUMIFS(Assumptions!CI$105:CI$135,Assumptions!$BB$105:$BB$135,'non-road'!$F45,Assumptions!$BC$105:$BC$135,'non-road'!$D45)/SUMIF(Assumptions!$BB$105:$BB$135,'non-road'!$F45,Assumptions!CI$105:CI$135),"")</f>
        <v>0</v>
      </c>
      <c r="AM45" s="33">
        <f>IFERROR(SUMIFS(Assumptions!CJ$105:CJ$135,Assumptions!$BB$105:$BB$135,'non-road'!$F45,Assumptions!$BC$105:$BC$135,'non-road'!$D45)/SUMIF(Assumptions!$BB$105:$BB$135,'non-road'!$F45,Assumptions!CJ$105:CJ$135),"")</f>
        <v>0</v>
      </c>
      <c r="AN45" s="33">
        <f>IFERROR(SUMIFS(Assumptions!CK$105:CK$135,Assumptions!$BB$105:$BB$135,'non-road'!$F45,Assumptions!$BC$105:$BC$135,'non-road'!$D45)/SUMIF(Assumptions!$BB$105:$BB$135,'non-road'!$F45,Assumptions!CK$105:CK$135),"")</f>
        <v>0</v>
      </c>
      <c r="AO45" s="33">
        <f>IFERROR(SUMIFS(Assumptions!CL$105:CL$135,Assumptions!$BB$105:$BB$135,'non-road'!$F45,Assumptions!$BC$105:$BC$135,'non-road'!$D45)/SUMIF(Assumptions!$BB$105:$BB$135,'non-road'!$F45,Assumptions!CL$105:CL$135),"")</f>
        <v>0</v>
      </c>
      <c r="AP45" s="33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3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3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3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3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3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3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3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3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3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3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27"/>
      <c r="CZ45" s="27"/>
      <c r="DA45" s="27"/>
      <c r="DB45" s="27"/>
      <c r="DC45" s="27"/>
      <c r="DD45" s="27"/>
      <c r="DE45" s="27"/>
      <c r="DF45" s="27"/>
      <c r="DG45" s="27"/>
      <c r="DH45" s="27"/>
      <c r="DI45" s="27"/>
      <c r="DJ45" s="27"/>
      <c r="DK45" s="27"/>
      <c r="DL45" s="27"/>
      <c r="DM45" s="27"/>
      <c r="DN45" s="27"/>
      <c r="DO45" s="27"/>
      <c r="DP45" s="27"/>
      <c r="DQ45" s="27"/>
      <c r="DR45" s="27"/>
      <c r="DS45" s="27"/>
      <c r="DT45" s="27"/>
      <c r="DU45" s="27"/>
      <c r="DV45" s="27"/>
      <c r="DW45" s="27"/>
      <c r="DX45" s="27"/>
      <c r="DY45" s="27"/>
      <c r="DZ45" s="27"/>
      <c r="EA45" s="27"/>
      <c r="EB45" s="27"/>
      <c r="EC45" s="27"/>
      <c r="ED45" s="27"/>
      <c r="EE45" s="27"/>
      <c r="EF45" s="27"/>
      <c r="EG45" s="27"/>
      <c r="EH45" s="27"/>
      <c r="EI45" s="27"/>
      <c r="EJ45" s="27"/>
      <c r="EK45" s="27"/>
      <c r="EL45" s="27"/>
      <c r="EM45" s="27"/>
      <c r="EN45" s="27"/>
      <c r="EO45" s="27"/>
      <c r="EP45" s="27"/>
      <c r="EQ45" s="27"/>
      <c r="ER45" s="27"/>
      <c r="ES45" s="27"/>
      <c r="ET45" s="27"/>
      <c r="EU45" s="27"/>
      <c r="EV45" s="27"/>
    </row>
    <row r="46" spans="3:157">
      <c r="D46" t="s">
        <v>40</v>
      </c>
      <c r="F46" s="27" t="s">
        <v>23</v>
      </c>
      <c r="G46" s="33">
        <f>IFERROR(SUMIFS(Assumptions!BD$105:BD$135,Assumptions!$BB$105:$BB$135,'non-road'!$F46,Assumptions!$BC$105:$BC$135,'non-road'!$D46)/SUMIF(Assumptions!$BB$105:$BB$135,'non-road'!$F46,Assumptions!BD$105:BD$135),"")</f>
        <v>0.90255973298956327</v>
      </c>
      <c r="H46" s="33">
        <f>IFERROR(SUMIFS(Assumptions!BE$105:BE$135,Assumptions!$BB$105:$BB$135,'non-road'!$F46,Assumptions!$BC$105:$BC$135,'non-road'!$D46)/SUMIF(Assumptions!$BB$105:$BB$135,'non-road'!$F46,Assumptions!BE$105:BE$135),"")</f>
        <v>0.45736563037257055</v>
      </c>
      <c r="I46" s="33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3">
        <f>IFERROR(SUMIFS(Assumptions!BG$105:BG$135,Assumptions!$BB$105:$BB$135,'non-road'!$F46,Assumptions!$BC$105:$BC$135,'non-road'!$D46)/SUMIF(Assumptions!$BB$105:$BB$135,'non-road'!$F46,Assumptions!BG$105:BG$135),"")</f>
        <v>1</v>
      </c>
      <c r="K46" s="33">
        <f>IFERROR(SUMIFS(Assumptions!BH$105:BH$135,Assumptions!$BB$105:$BB$135,'non-road'!$F46,Assumptions!$BC$105:$BC$135,'non-road'!$D46)/SUMIF(Assumptions!$BB$105:$BB$135,'non-road'!$F46,Assumptions!BH$105:BH$135),"")</f>
        <v>1</v>
      </c>
      <c r="L46" s="33">
        <f>IFERROR(SUMIFS(Assumptions!BI$105:BI$135,Assumptions!$BB$105:$BB$135,'non-road'!$F46,Assumptions!$BC$105:$BC$135,'non-road'!$D46)/SUMIF(Assumptions!$BB$105:$BB$135,'non-road'!$F46,Assumptions!BI$105:BI$135),"")</f>
        <v>0.98704744474084827</v>
      </c>
      <c r="M46" s="33">
        <f>IFERROR(SUMIFS(Assumptions!BJ$105:BJ$135,Assumptions!$BB$105:$BB$135,'non-road'!$F46,Assumptions!$BC$105:$BC$135,'non-road'!$D46)/SUMIF(Assumptions!$BB$105:$BB$135,'non-road'!$F46,Assumptions!BJ$105:BJ$135),"")</f>
        <v>0</v>
      </c>
      <c r="N46" s="33">
        <f>IFERROR(SUMIFS(Assumptions!BK$105:BK$135,Assumptions!$BB$105:$BB$135,'non-road'!$F46,Assumptions!$BC$105:$BC$135,'non-road'!$D46)/SUMIF(Assumptions!$BB$105:$BB$135,'non-road'!$F46,Assumptions!BK$105:BK$135),"")</f>
        <v>7.00876648643394E-2</v>
      </c>
      <c r="O46" s="33">
        <f>IFERROR(SUMIFS(Assumptions!BL$105:BL$135,Assumptions!$BB$105:$BB$135,'non-road'!$F46,Assumptions!$BC$105:$BC$135,'non-road'!$D46)/SUMIF(Assumptions!$BB$105:$BB$135,'non-road'!$F46,Assumptions!BL$105:BL$135),"")</f>
        <v>1</v>
      </c>
      <c r="P46" s="33">
        <f>IFERROR(SUMIFS(Assumptions!BM$105:BM$135,Assumptions!$BB$105:$BB$135,'non-road'!$F46,Assumptions!$BC$105:$BC$135,'non-road'!$D46)/SUMIF(Assumptions!$BB$105:$BB$135,'non-road'!$F46,Assumptions!BM$105:BM$135),"")</f>
        <v>1</v>
      </c>
      <c r="Q46" s="33">
        <f>IFERROR(SUMIFS(Assumptions!BN$105:BN$135,Assumptions!$BB$105:$BB$135,'non-road'!$F46,Assumptions!$BC$105:$BC$135,'non-road'!$D46)/SUMIF(Assumptions!$BB$105:$BB$135,'non-road'!$F46,Assumptions!BN$105:BN$135),"")</f>
        <v>1</v>
      </c>
      <c r="R46" s="33">
        <f>IFERROR(SUMIFS(Assumptions!BO$105:BO$135,Assumptions!$BB$105:$BB$135,'non-road'!$F46,Assumptions!$BC$105:$BC$135,'non-road'!$D46)/SUMIF(Assumptions!$BB$105:$BB$135,'non-road'!$F46,Assumptions!BO$105:BO$135),"")</f>
        <v>1</v>
      </c>
      <c r="S46" s="33">
        <f>IFERROR(SUMIFS(Assumptions!BP$105:BP$135,Assumptions!$BB$105:$BB$135,'non-road'!$F46,Assumptions!$BC$105:$BC$135,'non-road'!$D46)/SUMIF(Assumptions!$BB$105:$BB$135,'non-road'!$F46,Assumptions!BP$105:BP$135),"")</f>
        <v>0.9867060922264852</v>
      </c>
      <c r="T46" s="33">
        <f>IFERROR(SUMIFS(Assumptions!BQ$105:BQ$135,Assumptions!$BB$105:$BB$135,'non-road'!$F46,Assumptions!$BC$105:$BC$135,'non-road'!$D46)/SUMIF(Assumptions!$BB$105:$BB$135,'non-road'!$F46,Assumptions!BQ$105:BQ$135),"")</f>
        <v>0.99163378409259029</v>
      </c>
      <c r="U46" s="33">
        <f>IFERROR(SUMIFS(Assumptions!BR$105:BR$135,Assumptions!$BB$105:$BB$135,'non-road'!$F46,Assumptions!$BC$105:$BC$135,'non-road'!$D46)/SUMIF(Assumptions!$BB$105:$BB$135,'non-road'!$F46,Assumptions!BR$105:BR$135),"")</f>
        <v>1</v>
      </c>
      <c r="V46" s="33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3">
        <f>IFERROR(SUMIFS(Assumptions!BT$105:BT$135,Assumptions!$BB$105:$BB$135,'non-road'!$F46,Assumptions!$BC$105:$BC$135,'non-road'!$D46)/SUMIF(Assumptions!$BB$105:$BB$135,'non-road'!$F46,Assumptions!BT$105:BT$135),"")</f>
        <v>1</v>
      </c>
      <c r="X46" s="33">
        <f>IFERROR(SUMIFS(Assumptions!BU$105:BU$135,Assumptions!$BB$105:$BB$135,'non-road'!$F46,Assumptions!$BC$105:$BC$135,'non-road'!$D46)/SUMIF(Assumptions!$BB$105:$BB$135,'non-road'!$F46,Assumptions!BU$105:BU$135),"")</f>
        <v>1</v>
      </c>
      <c r="Y46" s="33">
        <f>IFERROR(SUMIFS(Assumptions!BV$105:BV$135,Assumptions!$BB$105:$BB$135,'non-road'!$F46,Assumptions!$BC$105:$BC$135,'non-road'!$D46)/SUMIF(Assumptions!$BB$105:$BB$135,'non-road'!$F46,Assumptions!BV$105:BV$135),"")</f>
        <v>1</v>
      </c>
      <c r="Z46" s="33">
        <f>IFERROR(SUMIFS(Assumptions!BW$105:BW$135,Assumptions!$BB$105:$BB$135,'non-road'!$F46,Assumptions!$BC$105:$BC$135,'non-road'!$D46)/SUMIF(Assumptions!$BB$105:$BB$135,'non-road'!$F46,Assumptions!BW$105:BW$135),"")</f>
        <v>0.78839549090174754</v>
      </c>
      <c r="AA46" s="33">
        <f>IFERROR(SUMIFS(Assumptions!BX$105:BX$135,Assumptions!$BB$105:$BB$135,'non-road'!$F46,Assumptions!$BC$105:$BC$135,'non-road'!$D46)/SUMIF(Assumptions!$BB$105:$BB$135,'non-road'!$F46,Assumptions!BX$105:BX$135),"")</f>
        <v>0.82604522556632898</v>
      </c>
      <c r="AB46" s="33">
        <f>IFERROR(SUMIFS(Assumptions!BY$105:BY$135,Assumptions!$BB$105:$BB$135,'non-road'!$F46,Assumptions!$BC$105:$BC$135,'non-road'!$D46)/SUMIF(Assumptions!$BB$105:$BB$135,'non-road'!$F46,Assumptions!BY$105:BY$135),"")</f>
        <v>0.30663977209494014</v>
      </c>
      <c r="AC46" s="33">
        <f>IFERROR(SUMIFS(Assumptions!BZ$105:BZ$135,Assumptions!$BB$105:$BB$135,'non-road'!$F46,Assumptions!$BC$105:$BC$135,'non-road'!$D46)/SUMIF(Assumptions!$BB$105:$BB$135,'non-road'!$F46,Assumptions!BZ$105:BZ$135),"")</f>
        <v>0.95974592452413887</v>
      </c>
      <c r="AD46" s="33">
        <f>IFERROR(SUMIFS(Assumptions!CA$105:CA$135,Assumptions!$BB$105:$BB$135,'non-road'!$F46,Assumptions!$BC$105:$BC$135,'non-road'!$D46)/SUMIF(Assumptions!$BB$105:$BB$135,'non-road'!$F46,Assumptions!CA$105:CA$135),"")</f>
        <v>0.99792210863005448</v>
      </c>
      <c r="AE46" s="33">
        <f>IFERROR(SUMIFS(Assumptions!CB$105:CB$135,Assumptions!$BB$105:$BB$135,'non-road'!$F46,Assumptions!$BC$105:$BC$135,'non-road'!$D46)/SUMIF(Assumptions!$BB$105:$BB$135,'non-road'!$F46,Assumptions!CB$105:CB$135),"")</f>
        <v>0.90867569232437606</v>
      </c>
      <c r="AF46" s="33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3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3">
        <f>IFERROR(SUMIFS(Assumptions!CE$105:CE$135,Assumptions!$BB$105:$BB$135,'non-road'!$F46,Assumptions!$BC$105:$BC$135,'non-road'!$D46)/SUMIF(Assumptions!$BB$105:$BB$135,'non-road'!$F46,Assumptions!CE$105:CE$135),"")</f>
        <v>0.62820949968257744</v>
      </c>
      <c r="AI46" s="33">
        <f>IFERROR(SUMIFS(Assumptions!CF$105:CF$135,Assumptions!$BB$105:$BB$135,'non-road'!$F46,Assumptions!$BC$105:$BC$135,'non-road'!$D46)/SUMIF(Assumptions!$BB$105:$BB$135,'non-road'!$F46,Assumptions!CF$105:CF$135),"")</f>
        <v>1</v>
      </c>
      <c r="AJ46" s="33">
        <f>IFERROR(SUMIFS(Assumptions!CG$105:CG$135,Assumptions!$BB$105:$BB$135,'non-road'!$F46,Assumptions!$BC$105:$BC$135,'non-road'!$D46)/SUMIF(Assumptions!$BB$105:$BB$135,'non-road'!$F46,Assumptions!CG$105:CG$135),"")</f>
        <v>1</v>
      </c>
      <c r="AK46" s="33">
        <f>IFERROR(SUMIFS(Assumptions!CH$105:CH$135,Assumptions!$BB$105:$BB$135,'non-road'!$F46,Assumptions!$BC$105:$BC$135,'non-road'!$D46)/SUMIF(Assumptions!$BB$105:$BB$135,'non-road'!$F46,Assumptions!CH$105:CH$135),"")</f>
        <v>1</v>
      </c>
      <c r="AL46" s="33">
        <f>IFERROR(SUMIFS(Assumptions!CI$105:CI$135,Assumptions!$BB$105:$BB$135,'non-road'!$F46,Assumptions!$BC$105:$BC$135,'non-road'!$D46)/SUMIF(Assumptions!$BB$105:$BB$135,'non-road'!$F46,Assumptions!CI$105:CI$135),"")</f>
        <v>1</v>
      </c>
      <c r="AM46" s="33">
        <f>IFERROR(SUMIFS(Assumptions!CJ$105:CJ$135,Assumptions!$BB$105:$BB$135,'non-road'!$F46,Assumptions!$BC$105:$BC$135,'non-road'!$D46)/SUMIF(Assumptions!$BB$105:$BB$135,'non-road'!$F46,Assumptions!CJ$105:CJ$135),"")</f>
        <v>1</v>
      </c>
      <c r="AN46" s="33">
        <f>IFERROR(SUMIFS(Assumptions!CK$105:CK$135,Assumptions!$BB$105:$BB$135,'non-road'!$F46,Assumptions!$BC$105:$BC$135,'non-road'!$D46)/SUMIF(Assumptions!$BB$105:$BB$135,'non-road'!$F46,Assumptions!CK$105:CK$135),"")</f>
        <v>0.11706776071513067</v>
      </c>
      <c r="AO46" s="33">
        <f>IFERROR(SUMIFS(Assumptions!CL$105:CL$135,Assumptions!$BB$105:$BB$135,'non-road'!$F46,Assumptions!$BC$105:$BC$135,'non-road'!$D46)/SUMIF(Assumptions!$BB$105:$BB$135,'non-road'!$F46,Assumptions!CL$105:CL$135),"")</f>
        <v>1</v>
      </c>
      <c r="AP46" s="33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3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3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3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3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3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3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3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3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3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3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27"/>
      <c r="CZ46" s="27"/>
      <c r="DB46" s="27"/>
      <c r="DC46" s="27"/>
      <c r="DD46" s="27"/>
      <c r="DE46" s="27"/>
      <c r="DF46" s="27"/>
      <c r="DG46" s="27"/>
      <c r="DH46" s="27"/>
      <c r="DI46" s="27"/>
      <c r="DJ46" s="27"/>
      <c r="DK46" s="27"/>
      <c r="DL46" s="27"/>
      <c r="DM46" s="27"/>
      <c r="DN46" s="27"/>
      <c r="DO46" s="27"/>
      <c r="DP46" s="27"/>
      <c r="DQ46" s="27"/>
      <c r="DR46" s="27"/>
      <c r="DS46" s="27"/>
      <c r="DT46" s="27"/>
      <c r="DU46" s="27"/>
      <c r="DV46" s="27"/>
      <c r="DW46" s="27"/>
      <c r="DX46" s="27"/>
      <c r="DY46" s="27"/>
      <c r="DZ46" s="27"/>
      <c r="EA46" s="27"/>
      <c r="EB46" s="27"/>
      <c r="EC46" s="27"/>
      <c r="ED46" s="27"/>
      <c r="EE46" s="27"/>
      <c r="EF46" s="27"/>
      <c r="EG46" s="27"/>
      <c r="EH46" s="27"/>
      <c r="EI46" s="27"/>
      <c r="EJ46" s="27"/>
      <c r="EK46" s="27"/>
      <c r="EL46" s="27"/>
      <c r="EM46" s="27"/>
      <c r="EN46" s="27"/>
      <c r="EO46" s="27"/>
      <c r="EP46" s="27"/>
      <c r="EQ46" s="27"/>
      <c r="ER46" s="27"/>
      <c r="ES46" s="27"/>
      <c r="ET46" s="27"/>
      <c r="EU46" s="27"/>
      <c r="EV46" s="27"/>
    </row>
    <row r="47" spans="3:157">
      <c r="D47" t="s">
        <v>44</v>
      </c>
      <c r="F47" s="27" t="s">
        <v>23</v>
      </c>
      <c r="G47" s="33">
        <f>IFERROR(SUMIFS(Assumptions!BD$105:BD$135,Assumptions!$BB$105:$BB$135,'non-road'!$F47,Assumptions!$BC$105:$BC$135,'non-road'!$D47)/SUMIF(Assumptions!$BB$105:$BB$135,'non-road'!$F47,Assumptions!BD$105:BD$135),"")</f>
        <v>0</v>
      </c>
      <c r="H47" s="33">
        <f>IFERROR(SUMIFS(Assumptions!BE$105:BE$135,Assumptions!$BB$105:$BB$135,'non-road'!$F47,Assumptions!$BC$105:$BC$135,'non-road'!$D47)/SUMIF(Assumptions!$BB$105:$BB$135,'non-road'!$F47,Assumptions!BE$105:BE$135),"")</f>
        <v>3.092612043235465E-2</v>
      </c>
      <c r="I47" s="33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3">
        <f>IFERROR(SUMIFS(Assumptions!BG$105:BG$135,Assumptions!$BB$105:$BB$135,'non-road'!$F47,Assumptions!$BC$105:$BC$135,'non-road'!$D47)/SUMIF(Assumptions!$BB$105:$BB$135,'non-road'!$F47,Assumptions!BG$105:BG$135),"")</f>
        <v>0</v>
      </c>
      <c r="K47" s="33">
        <f>IFERROR(SUMIFS(Assumptions!BH$105:BH$135,Assumptions!$BB$105:$BB$135,'non-road'!$F47,Assumptions!$BC$105:$BC$135,'non-road'!$D47)/SUMIF(Assumptions!$BB$105:$BB$135,'non-road'!$F47,Assumptions!BH$105:BH$135),"")</f>
        <v>0</v>
      </c>
      <c r="L47" s="33">
        <f>IFERROR(SUMIFS(Assumptions!BI$105:BI$135,Assumptions!$BB$105:$BB$135,'non-road'!$F47,Assumptions!$BC$105:$BC$135,'non-road'!$D47)/SUMIF(Assumptions!$BB$105:$BB$135,'non-road'!$F47,Assumptions!BI$105:BI$135),"")</f>
        <v>0</v>
      </c>
      <c r="M47" s="33">
        <f>IFERROR(SUMIFS(Assumptions!BJ$105:BJ$135,Assumptions!$BB$105:$BB$135,'non-road'!$F47,Assumptions!$BC$105:$BC$135,'non-road'!$D47)/SUMIF(Assumptions!$BB$105:$BB$135,'non-road'!$F47,Assumptions!BJ$105:BJ$135),"")</f>
        <v>0</v>
      </c>
      <c r="N47" s="33">
        <f>IFERROR(SUMIFS(Assumptions!BK$105:BK$135,Assumptions!$BB$105:$BB$135,'non-road'!$F47,Assumptions!$BC$105:$BC$135,'non-road'!$D47)/SUMIF(Assumptions!$BB$105:$BB$135,'non-road'!$F47,Assumptions!BK$105:BK$135),"")</f>
        <v>0</v>
      </c>
      <c r="O47" s="33">
        <f>IFERROR(SUMIFS(Assumptions!BL$105:BL$135,Assumptions!$BB$105:$BB$135,'non-road'!$F47,Assumptions!$BC$105:$BC$135,'non-road'!$D47)/SUMIF(Assumptions!$BB$105:$BB$135,'non-road'!$F47,Assumptions!BL$105:BL$135),"")</f>
        <v>0</v>
      </c>
      <c r="P47" s="33">
        <f>IFERROR(SUMIFS(Assumptions!BM$105:BM$135,Assumptions!$BB$105:$BB$135,'non-road'!$F47,Assumptions!$BC$105:$BC$135,'non-road'!$D47)/SUMIF(Assumptions!$BB$105:$BB$135,'non-road'!$F47,Assumptions!BM$105:BM$135),"")</f>
        <v>0</v>
      </c>
      <c r="Q47" s="33">
        <f>IFERROR(SUMIFS(Assumptions!BN$105:BN$135,Assumptions!$BB$105:$BB$135,'non-road'!$F47,Assumptions!$BC$105:$BC$135,'non-road'!$D47)/SUMIF(Assumptions!$BB$105:$BB$135,'non-road'!$F47,Assumptions!BN$105:BN$135),"")</f>
        <v>0</v>
      </c>
      <c r="R47" s="33">
        <f>IFERROR(SUMIFS(Assumptions!BO$105:BO$135,Assumptions!$BB$105:$BB$135,'non-road'!$F47,Assumptions!$BC$105:$BC$135,'non-road'!$D47)/SUMIF(Assumptions!$BB$105:$BB$135,'non-road'!$F47,Assumptions!BO$105:BO$135),"")</f>
        <v>0</v>
      </c>
      <c r="S47" s="33">
        <f>IFERROR(SUMIFS(Assumptions!BP$105:BP$135,Assumptions!$BB$105:$BB$135,'non-road'!$F47,Assumptions!$BC$105:$BC$135,'non-road'!$D47)/SUMIF(Assumptions!$BB$105:$BB$135,'non-road'!$F47,Assumptions!BP$105:BP$135),"")</f>
        <v>0</v>
      </c>
      <c r="T47" s="33">
        <f>IFERROR(SUMIFS(Assumptions!BQ$105:BQ$135,Assumptions!$BB$105:$BB$135,'non-road'!$F47,Assumptions!$BC$105:$BC$135,'non-road'!$D47)/SUMIF(Assumptions!$BB$105:$BB$135,'non-road'!$F47,Assumptions!BQ$105:BQ$135),"")</f>
        <v>0</v>
      </c>
      <c r="U47" s="33">
        <f>IFERROR(SUMIFS(Assumptions!BR$105:BR$135,Assumptions!$BB$105:$BB$135,'non-road'!$F47,Assumptions!$BC$105:$BC$135,'non-road'!$D47)/SUMIF(Assumptions!$BB$105:$BB$135,'non-road'!$F47,Assumptions!BR$105:BR$135),"")</f>
        <v>0</v>
      </c>
      <c r="V47" s="33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3">
        <f>IFERROR(SUMIFS(Assumptions!BT$105:BT$135,Assumptions!$BB$105:$BB$135,'non-road'!$F47,Assumptions!$BC$105:$BC$135,'non-road'!$D47)/SUMIF(Assumptions!$BB$105:$BB$135,'non-road'!$F47,Assumptions!BT$105:BT$135),"")</f>
        <v>0</v>
      </c>
      <c r="X47" s="33">
        <f>IFERROR(SUMIFS(Assumptions!BU$105:BU$135,Assumptions!$BB$105:$BB$135,'non-road'!$F47,Assumptions!$BC$105:$BC$135,'non-road'!$D47)/SUMIF(Assumptions!$BB$105:$BB$135,'non-road'!$F47,Assumptions!BU$105:BU$135),"")</f>
        <v>0</v>
      </c>
      <c r="Y47" s="33">
        <f>IFERROR(SUMIFS(Assumptions!BV$105:BV$135,Assumptions!$BB$105:$BB$135,'non-road'!$F47,Assumptions!$BC$105:$BC$135,'non-road'!$D47)/SUMIF(Assumptions!$BB$105:$BB$135,'non-road'!$F47,Assumptions!BV$105:BV$135),"")</f>
        <v>0</v>
      </c>
      <c r="Z47" s="33">
        <f>IFERROR(SUMIFS(Assumptions!BW$105:BW$135,Assumptions!$BB$105:$BB$135,'non-road'!$F47,Assumptions!$BC$105:$BC$135,'non-road'!$D47)/SUMIF(Assumptions!$BB$105:$BB$135,'non-road'!$F47,Assumptions!BW$105:BW$135),"")</f>
        <v>0</v>
      </c>
      <c r="AA47" s="33">
        <f>IFERROR(SUMIFS(Assumptions!BX$105:BX$135,Assumptions!$BB$105:$BB$135,'non-road'!$F47,Assumptions!$BC$105:$BC$135,'non-road'!$D47)/SUMIF(Assumptions!$BB$105:$BB$135,'non-road'!$F47,Assumptions!BX$105:BX$135),"")</f>
        <v>0</v>
      </c>
      <c r="AB47" s="33">
        <f>IFERROR(SUMIFS(Assumptions!BY$105:BY$135,Assumptions!$BB$105:$BB$135,'non-road'!$F47,Assumptions!$BC$105:$BC$135,'non-road'!$D47)/SUMIF(Assumptions!$BB$105:$BB$135,'non-road'!$F47,Assumptions!BY$105:BY$135),"")</f>
        <v>0.63270804970555872</v>
      </c>
      <c r="AC47" s="33">
        <f>IFERROR(SUMIFS(Assumptions!BZ$105:BZ$135,Assumptions!$BB$105:$BB$135,'non-road'!$F47,Assumptions!$BC$105:$BC$135,'non-road'!$D47)/SUMIF(Assumptions!$BB$105:$BB$135,'non-road'!$F47,Assumptions!BZ$105:BZ$135),"")</f>
        <v>0</v>
      </c>
      <c r="AD47" s="33">
        <f>IFERROR(SUMIFS(Assumptions!CA$105:CA$135,Assumptions!$BB$105:$BB$135,'non-road'!$F47,Assumptions!$BC$105:$BC$135,'non-road'!$D47)/SUMIF(Assumptions!$BB$105:$BB$135,'non-road'!$F47,Assumptions!CA$105:CA$135),"")</f>
        <v>0</v>
      </c>
      <c r="AE47" s="33">
        <f>IFERROR(SUMIFS(Assumptions!CB$105:CB$135,Assumptions!$BB$105:$BB$135,'non-road'!$F47,Assumptions!$BC$105:$BC$135,'non-road'!$D47)/SUMIF(Assumptions!$BB$105:$BB$135,'non-road'!$F47,Assumptions!CB$105:CB$135),"")</f>
        <v>6.5428846411554595E-2</v>
      </c>
      <c r="AF47" s="33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3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3">
        <f>IFERROR(SUMIFS(Assumptions!CE$105:CE$135,Assumptions!$BB$105:$BB$135,'non-road'!$F47,Assumptions!$BC$105:$BC$135,'non-road'!$D47)/SUMIF(Assumptions!$BB$105:$BB$135,'non-road'!$F47,Assumptions!CE$105:CE$135),"")</f>
        <v>0</v>
      </c>
      <c r="AI47" s="33">
        <f>IFERROR(SUMIFS(Assumptions!CF$105:CF$135,Assumptions!$BB$105:$BB$135,'non-road'!$F47,Assumptions!$BC$105:$BC$135,'non-road'!$D47)/SUMIF(Assumptions!$BB$105:$BB$135,'non-road'!$F47,Assumptions!CF$105:CF$135),"")</f>
        <v>0</v>
      </c>
      <c r="AJ47" s="33">
        <f>IFERROR(SUMIFS(Assumptions!CG$105:CG$135,Assumptions!$BB$105:$BB$135,'non-road'!$F47,Assumptions!$BC$105:$BC$135,'non-road'!$D47)/SUMIF(Assumptions!$BB$105:$BB$135,'non-road'!$F47,Assumptions!CG$105:CG$135),"")</f>
        <v>0</v>
      </c>
      <c r="AK47" s="33">
        <f>IFERROR(SUMIFS(Assumptions!CH$105:CH$135,Assumptions!$BB$105:$BB$135,'non-road'!$F47,Assumptions!$BC$105:$BC$135,'non-road'!$D47)/SUMIF(Assumptions!$BB$105:$BB$135,'non-road'!$F47,Assumptions!CH$105:CH$135),"")</f>
        <v>0</v>
      </c>
      <c r="AL47" s="33">
        <f>IFERROR(SUMIFS(Assumptions!CI$105:CI$135,Assumptions!$BB$105:$BB$135,'non-road'!$F47,Assumptions!$BC$105:$BC$135,'non-road'!$D47)/SUMIF(Assumptions!$BB$105:$BB$135,'non-road'!$F47,Assumptions!CI$105:CI$135),"")</f>
        <v>0</v>
      </c>
      <c r="AM47" s="33">
        <f>IFERROR(SUMIFS(Assumptions!CJ$105:CJ$135,Assumptions!$BB$105:$BB$135,'non-road'!$F47,Assumptions!$BC$105:$BC$135,'non-road'!$D47)/SUMIF(Assumptions!$BB$105:$BB$135,'non-road'!$F47,Assumptions!CJ$105:CJ$135),"")</f>
        <v>0</v>
      </c>
      <c r="AN47" s="33">
        <f>IFERROR(SUMIFS(Assumptions!CK$105:CK$135,Assumptions!$BB$105:$BB$135,'non-road'!$F47,Assumptions!$BC$105:$BC$135,'non-road'!$D47)/SUMIF(Assumptions!$BB$105:$BB$135,'non-road'!$F47,Assumptions!CK$105:CK$135),"")</f>
        <v>2.0630984677210747E-3</v>
      </c>
      <c r="AO47" s="33">
        <f>IFERROR(SUMIFS(Assumptions!CL$105:CL$135,Assumptions!$BB$105:$BB$135,'non-road'!$F47,Assumptions!$BC$105:$BC$135,'non-road'!$D47)/SUMIF(Assumptions!$BB$105:$BB$135,'non-road'!$F47,Assumptions!CL$105:CL$135),"")</f>
        <v>0</v>
      </c>
      <c r="AP47" s="33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3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3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3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3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3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3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3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3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3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3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27"/>
      <c r="CZ47" s="27"/>
      <c r="DB47" s="27"/>
      <c r="DC47" s="27"/>
      <c r="DD47" s="27"/>
      <c r="DE47" s="27"/>
      <c r="DF47" s="27"/>
      <c r="DG47" s="27"/>
      <c r="DH47" s="27"/>
      <c r="DI47" s="27"/>
      <c r="DJ47" s="27"/>
      <c r="DK47" s="27"/>
      <c r="DL47" s="27"/>
      <c r="DM47" s="27"/>
      <c r="DN47" s="27"/>
      <c r="DO47" s="27"/>
      <c r="DP47" s="27"/>
      <c r="DQ47" s="27"/>
      <c r="DR47" s="27"/>
      <c r="DS47" s="27"/>
      <c r="DT47" s="27"/>
      <c r="DU47" s="27"/>
      <c r="DV47" s="27"/>
      <c r="DW47" s="27"/>
      <c r="DX47" s="27"/>
      <c r="DY47" s="27"/>
      <c r="DZ47" s="27"/>
      <c r="EA47" s="27"/>
      <c r="EB47" s="27"/>
      <c r="EC47" s="27"/>
      <c r="ED47" s="27"/>
      <c r="EE47" s="27"/>
      <c r="EF47" s="27"/>
      <c r="EG47" s="27"/>
      <c r="EH47" s="27"/>
      <c r="EI47" s="27"/>
      <c r="EJ47" s="27"/>
      <c r="EK47" s="27"/>
      <c r="EL47" s="27"/>
      <c r="EM47" s="27"/>
      <c r="EN47" s="27"/>
      <c r="EO47" s="27"/>
      <c r="EP47" s="27"/>
      <c r="EQ47" s="27"/>
      <c r="ER47" s="27"/>
      <c r="ES47" s="27"/>
      <c r="ET47" s="27"/>
      <c r="EU47" s="27"/>
      <c r="EV47" s="27"/>
    </row>
    <row r="48" spans="3:157">
      <c r="D48" t="s">
        <v>47</v>
      </c>
      <c r="F48" s="27" t="s">
        <v>23</v>
      </c>
      <c r="G48" s="33">
        <f>IFERROR(SUMIFS(Assumptions!BD$105:BD$135,Assumptions!$BB$105:$BB$135,'non-road'!$F48,Assumptions!$BC$105:$BC$135,'non-road'!$D48)/SUMIF(Assumptions!$BB$105:$BB$135,'non-road'!$F48,Assumptions!BD$105:BD$135),"")</f>
        <v>0</v>
      </c>
      <c r="H48" s="33">
        <f>IFERROR(SUMIFS(Assumptions!BE$105:BE$135,Assumptions!$BB$105:$BB$135,'non-road'!$F48,Assumptions!$BC$105:$BC$135,'non-road'!$D48)/SUMIF(Assumptions!$BB$105:$BB$135,'non-road'!$F48,Assumptions!BE$105:BE$135),"")</f>
        <v>0</v>
      </c>
      <c r="I48" s="33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3">
        <f>IFERROR(SUMIFS(Assumptions!BG$105:BG$135,Assumptions!$BB$105:$BB$135,'non-road'!$F48,Assumptions!$BC$105:$BC$135,'non-road'!$D48)/SUMIF(Assumptions!$BB$105:$BB$135,'non-road'!$F48,Assumptions!BG$105:BG$135),"")</f>
        <v>0</v>
      </c>
      <c r="K48" s="33">
        <f>IFERROR(SUMIFS(Assumptions!BH$105:BH$135,Assumptions!$BB$105:$BB$135,'non-road'!$F48,Assumptions!$BC$105:$BC$135,'non-road'!$D48)/SUMIF(Assumptions!$BB$105:$BB$135,'non-road'!$F48,Assumptions!BH$105:BH$135),"")</f>
        <v>0</v>
      </c>
      <c r="L48" s="33">
        <f>IFERROR(SUMIFS(Assumptions!BI$105:BI$135,Assumptions!$BB$105:$BB$135,'non-road'!$F48,Assumptions!$BC$105:$BC$135,'non-road'!$D48)/SUMIF(Assumptions!$BB$105:$BB$135,'non-road'!$F48,Assumptions!BI$105:BI$135),"")</f>
        <v>0</v>
      </c>
      <c r="M48" s="33">
        <f>IFERROR(SUMIFS(Assumptions!BJ$105:BJ$135,Assumptions!$BB$105:$BB$135,'non-road'!$F48,Assumptions!$BC$105:$BC$135,'non-road'!$D48)/SUMIF(Assumptions!$BB$105:$BB$135,'non-road'!$F48,Assumptions!BJ$105:BJ$135),"")</f>
        <v>0</v>
      </c>
      <c r="N48" s="33">
        <f>IFERROR(SUMIFS(Assumptions!BK$105:BK$135,Assumptions!$BB$105:$BB$135,'non-road'!$F48,Assumptions!$BC$105:$BC$135,'non-road'!$D48)/SUMIF(Assumptions!$BB$105:$BB$135,'non-road'!$F48,Assumptions!BK$105:BK$135),"")</f>
        <v>0</v>
      </c>
      <c r="O48" s="33">
        <f>IFERROR(SUMIFS(Assumptions!BL$105:BL$135,Assumptions!$BB$105:$BB$135,'non-road'!$F48,Assumptions!$BC$105:$BC$135,'non-road'!$D48)/SUMIF(Assumptions!$BB$105:$BB$135,'non-road'!$F48,Assumptions!BL$105:BL$135),"")</f>
        <v>0</v>
      </c>
      <c r="P48" s="33">
        <f>IFERROR(SUMIFS(Assumptions!BM$105:BM$135,Assumptions!$BB$105:$BB$135,'non-road'!$F48,Assumptions!$BC$105:$BC$135,'non-road'!$D48)/SUMIF(Assumptions!$BB$105:$BB$135,'non-road'!$F48,Assumptions!BM$105:BM$135),"")</f>
        <v>0</v>
      </c>
      <c r="Q48" s="33">
        <f>IFERROR(SUMIFS(Assumptions!BN$105:BN$135,Assumptions!$BB$105:$BB$135,'non-road'!$F48,Assumptions!$BC$105:$BC$135,'non-road'!$D48)/SUMIF(Assumptions!$BB$105:$BB$135,'non-road'!$F48,Assumptions!BN$105:BN$135),"")</f>
        <v>0</v>
      </c>
      <c r="R48" s="33">
        <f>IFERROR(SUMIFS(Assumptions!BO$105:BO$135,Assumptions!$BB$105:$BB$135,'non-road'!$F48,Assumptions!$BC$105:$BC$135,'non-road'!$D48)/SUMIF(Assumptions!$BB$105:$BB$135,'non-road'!$F48,Assumptions!BO$105:BO$135),"")</f>
        <v>0</v>
      </c>
      <c r="S48" s="33">
        <f>IFERROR(SUMIFS(Assumptions!BP$105:BP$135,Assumptions!$BB$105:$BB$135,'non-road'!$F48,Assumptions!$BC$105:$BC$135,'non-road'!$D48)/SUMIF(Assumptions!$BB$105:$BB$135,'non-road'!$F48,Assumptions!BP$105:BP$135),"")</f>
        <v>0</v>
      </c>
      <c r="T48" s="33">
        <f>IFERROR(SUMIFS(Assumptions!BQ$105:BQ$135,Assumptions!$BB$105:$BB$135,'non-road'!$F48,Assumptions!$BC$105:$BC$135,'non-road'!$D48)/SUMIF(Assumptions!$BB$105:$BB$135,'non-road'!$F48,Assumptions!BQ$105:BQ$135),"")</f>
        <v>0</v>
      </c>
      <c r="U48" s="33">
        <f>IFERROR(SUMIFS(Assumptions!BR$105:BR$135,Assumptions!$BB$105:$BB$135,'non-road'!$F48,Assumptions!$BC$105:$BC$135,'non-road'!$D48)/SUMIF(Assumptions!$BB$105:$BB$135,'non-road'!$F48,Assumptions!BR$105:BR$135),"")</f>
        <v>0</v>
      </c>
      <c r="V48" s="33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3">
        <f>IFERROR(SUMIFS(Assumptions!BT$105:BT$135,Assumptions!$BB$105:$BB$135,'non-road'!$F48,Assumptions!$BC$105:$BC$135,'non-road'!$D48)/SUMIF(Assumptions!$BB$105:$BB$135,'non-road'!$F48,Assumptions!BT$105:BT$135),"")</f>
        <v>0</v>
      </c>
      <c r="X48" s="33">
        <f>IFERROR(SUMIFS(Assumptions!BU$105:BU$135,Assumptions!$BB$105:$BB$135,'non-road'!$F48,Assumptions!$BC$105:$BC$135,'non-road'!$D48)/SUMIF(Assumptions!$BB$105:$BB$135,'non-road'!$F48,Assumptions!BU$105:BU$135),"")</f>
        <v>0</v>
      </c>
      <c r="Y48" s="33">
        <f>IFERROR(SUMIFS(Assumptions!BV$105:BV$135,Assumptions!$BB$105:$BB$135,'non-road'!$F48,Assumptions!$BC$105:$BC$135,'non-road'!$D48)/SUMIF(Assumptions!$BB$105:$BB$135,'non-road'!$F48,Assumptions!BV$105:BV$135),"")</f>
        <v>0</v>
      </c>
      <c r="Z48" s="33">
        <f>IFERROR(SUMIFS(Assumptions!BW$105:BW$135,Assumptions!$BB$105:$BB$135,'non-road'!$F48,Assumptions!$BC$105:$BC$135,'non-road'!$D48)/SUMIF(Assumptions!$BB$105:$BB$135,'non-road'!$F48,Assumptions!BW$105:BW$135),"")</f>
        <v>0</v>
      </c>
      <c r="AA48" s="33">
        <f>IFERROR(SUMIFS(Assumptions!BX$105:BX$135,Assumptions!$BB$105:$BB$135,'non-road'!$F48,Assumptions!$BC$105:$BC$135,'non-road'!$D48)/SUMIF(Assumptions!$BB$105:$BB$135,'non-road'!$F48,Assumptions!BX$105:BX$135),"")</f>
        <v>0</v>
      </c>
      <c r="AB48" s="33">
        <f>IFERROR(SUMIFS(Assumptions!BY$105:BY$135,Assumptions!$BB$105:$BB$135,'non-road'!$F48,Assumptions!$BC$105:$BC$135,'non-road'!$D48)/SUMIF(Assumptions!$BB$105:$BB$135,'non-road'!$F48,Assumptions!BY$105:BY$135),"")</f>
        <v>0</v>
      </c>
      <c r="AC48" s="33">
        <f>IFERROR(SUMIFS(Assumptions!BZ$105:BZ$135,Assumptions!$BB$105:$BB$135,'non-road'!$F48,Assumptions!$BC$105:$BC$135,'non-road'!$D48)/SUMIF(Assumptions!$BB$105:$BB$135,'non-road'!$F48,Assumptions!BZ$105:BZ$135),"")</f>
        <v>0</v>
      </c>
      <c r="AD48" s="33">
        <f>IFERROR(SUMIFS(Assumptions!CA$105:CA$135,Assumptions!$BB$105:$BB$135,'non-road'!$F48,Assumptions!$BC$105:$BC$135,'non-road'!$D48)/SUMIF(Assumptions!$BB$105:$BB$135,'non-road'!$F48,Assumptions!CA$105:CA$135),"")</f>
        <v>0</v>
      </c>
      <c r="AE48" s="33">
        <f>IFERROR(SUMIFS(Assumptions!CB$105:CB$135,Assumptions!$BB$105:$BB$135,'non-road'!$F48,Assumptions!$BC$105:$BC$135,'non-road'!$D48)/SUMIF(Assumptions!$BB$105:$BB$135,'non-road'!$F48,Assumptions!CB$105:CB$135),"")</f>
        <v>0</v>
      </c>
      <c r="AF48" s="33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3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3">
        <f>IFERROR(SUMIFS(Assumptions!CE$105:CE$135,Assumptions!$BB$105:$BB$135,'non-road'!$F48,Assumptions!$BC$105:$BC$135,'non-road'!$D48)/SUMIF(Assumptions!$BB$105:$BB$135,'non-road'!$F48,Assumptions!CE$105:CE$135),"")</f>
        <v>0</v>
      </c>
      <c r="AI48" s="33">
        <f>IFERROR(SUMIFS(Assumptions!CF$105:CF$135,Assumptions!$BB$105:$BB$135,'non-road'!$F48,Assumptions!$BC$105:$BC$135,'non-road'!$D48)/SUMIF(Assumptions!$BB$105:$BB$135,'non-road'!$F48,Assumptions!CF$105:CF$135),"")</f>
        <v>0</v>
      </c>
      <c r="AJ48" s="33">
        <f>IFERROR(SUMIFS(Assumptions!CG$105:CG$135,Assumptions!$BB$105:$BB$135,'non-road'!$F48,Assumptions!$BC$105:$BC$135,'non-road'!$D48)/SUMIF(Assumptions!$BB$105:$BB$135,'non-road'!$F48,Assumptions!CG$105:CG$135),"")</f>
        <v>0</v>
      </c>
      <c r="AK48" s="33">
        <f>IFERROR(SUMIFS(Assumptions!CH$105:CH$135,Assumptions!$BB$105:$BB$135,'non-road'!$F48,Assumptions!$BC$105:$BC$135,'non-road'!$D48)/SUMIF(Assumptions!$BB$105:$BB$135,'non-road'!$F48,Assumptions!CH$105:CH$135),"")</f>
        <v>0</v>
      </c>
      <c r="AL48" s="33">
        <f>IFERROR(SUMIFS(Assumptions!CI$105:CI$135,Assumptions!$BB$105:$BB$135,'non-road'!$F48,Assumptions!$BC$105:$BC$135,'non-road'!$D48)/SUMIF(Assumptions!$BB$105:$BB$135,'non-road'!$F48,Assumptions!CI$105:CI$135),"")</f>
        <v>0</v>
      </c>
      <c r="AM48" s="33">
        <f>IFERROR(SUMIFS(Assumptions!CJ$105:CJ$135,Assumptions!$BB$105:$BB$135,'non-road'!$F48,Assumptions!$BC$105:$BC$135,'non-road'!$D48)/SUMIF(Assumptions!$BB$105:$BB$135,'non-road'!$F48,Assumptions!CJ$105:CJ$135),"")</f>
        <v>0</v>
      </c>
      <c r="AN48" s="33">
        <f>IFERROR(SUMIFS(Assumptions!CK$105:CK$135,Assumptions!$BB$105:$BB$135,'non-road'!$F48,Assumptions!$BC$105:$BC$135,'non-road'!$D48)/SUMIF(Assumptions!$BB$105:$BB$135,'non-road'!$F48,Assumptions!CK$105:CK$135),"")</f>
        <v>0</v>
      </c>
      <c r="AO48" s="33">
        <f>IFERROR(SUMIFS(Assumptions!CL$105:CL$135,Assumptions!$BB$105:$BB$135,'non-road'!$F48,Assumptions!$BC$105:$BC$135,'non-road'!$D48)/SUMIF(Assumptions!$BB$105:$BB$135,'non-road'!$F48,Assumptions!CL$105:CL$135),"")</f>
        <v>0</v>
      </c>
      <c r="AP48" s="33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3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3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3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3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3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3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3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3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3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3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27"/>
      <c r="CZ48" s="27"/>
      <c r="DB48" s="27"/>
      <c r="DC48" s="27"/>
      <c r="DD48" s="27"/>
      <c r="DE48" s="27"/>
      <c r="DF48" s="27"/>
      <c r="DG48" s="27"/>
      <c r="DH48" s="27"/>
      <c r="DI48" s="27"/>
      <c r="DJ48" s="27"/>
      <c r="DK48" s="27"/>
      <c r="DL48" s="27"/>
      <c r="DM48" s="27"/>
      <c r="DN48" s="27"/>
      <c r="DO48" s="27"/>
      <c r="DP48" s="27"/>
      <c r="DQ48" s="27"/>
      <c r="DR48" s="27"/>
      <c r="DS48" s="27"/>
      <c r="DT48" s="27"/>
      <c r="DU48" s="27"/>
      <c r="DV48" s="27"/>
      <c r="DW48" s="27"/>
      <c r="DX48" s="27"/>
      <c r="DY48" s="27"/>
      <c r="DZ48" s="27"/>
      <c r="EA48" s="27"/>
      <c r="EB48" s="27"/>
      <c r="EC48" s="27"/>
      <c r="ED48" s="27"/>
      <c r="EE48" s="27"/>
      <c r="EF48" s="27"/>
      <c r="EG48" s="27"/>
      <c r="EH48" s="27"/>
      <c r="EI48" s="27"/>
      <c r="EJ48" s="27"/>
      <c r="EK48" s="27"/>
      <c r="EL48" s="27"/>
      <c r="EM48" s="27"/>
      <c r="EN48" s="27"/>
      <c r="EO48" s="27"/>
      <c r="EP48" s="27"/>
      <c r="EQ48" s="27"/>
      <c r="ER48" s="27"/>
      <c r="ES48" s="27"/>
      <c r="ET48" s="27"/>
      <c r="EU48" s="27"/>
      <c r="EV48" s="27"/>
    </row>
    <row r="49" spans="103:152">
      <c r="CY49" s="27"/>
      <c r="CZ49" s="27"/>
      <c r="DB49" s="27"/>
      <c r="DC49" s="27"/>
      <c r="DD49" s="27"/>
      <c r="DE49" s="27"/>
      <c r="DF49" s="27"/>
      <c r="DG49" s="27"/>
      <c r="DH49" s="27"/>
      <c r="DI49" s="27"/>
      <c r="DJ49" s="27"/>
      <c r="DK49" s="27"/>
      <c r="DL49" s="27"/>
      <c r="DM49" s="27"/>
      <c r="DN49" s="27"/>
      <c r="DO49" s="27"/>
      <c r="DP49" s="27"/>
      <c r="DQ49" s="27"/>
      <c r="DR49" s="27"/>
      <c r="DS49" s="27"/>
      <c r="DT49" s="27"/>
      <c r="DU49" s="27"/>
      <c r="DV49" s="27"/>
      <c r="DW49" s="27"/>
      <c r="DX49" s="27"/>
      <c r="DY49" s="27"/>
      <c r="DZ49" s="27"/>
      <c r="EA49" s="27"/>
      <c r="EB49" s="27"/>
      <c r="EC49" s="27"/>
      <c r="ED49" s="27"/>
      <c r="EE49" s="27"/>
      <c r="EF49" s="27"/>
      <c r="EG49" s="27"/>
      <c r="EH49" s="27"/>
      <c r="EI49" s="27"/>
      <c r="EJ49" s="27"/>
      <c r="EK49" s="27"/>
      <c r="EL49" s="27"/>
      <c r="EM49" s="27"/>
      <c r="EN49" s="27"/>
      <c r="EO49" s="27"/>
      <c r="EP49" s="27"/>
      <c r="EQ49" s="27"/>
      <c r="ER49" s="27"/>
      <c r="ES49" s="27"/>
      <c r="ET49" s="27"/>
      <c r="EU49" s="27"/>
      <c r="EV49" s="27"/>
    </row>
    <row r="50" spans="103:152">
      <c r="CY50" s="27"/>
      <c r="CZ50" s="27"/>
      <c r="DB50" s="27"/>
      <c r="DC50" s="27"/>
      <c r="DD50" s="27"/>
      <c r="DE50" s="27"/>
      <c r="DF50" s="27"/>
      <c r="DG50" s="27"/>
      <c r="DH50" s="27"/>
      <c r="DI50" s="27"/>
      <c r="DJ50" s="27"/>
      <c r="DK50" s="27"/>
      <c r="DL50" s="27"/>
      <c r="DM50" s="27"/>
      <c r="DN50" s="27"/>
      <c r="DO50" s="27"/>
      <c r="DP50" s="27"/>
      <c r="DQ50" s="27"/>
      <c r="DR50" s="27"/>
      <c r="DS50" s="27"/>
      <c r="DT50" s="27"/>
      <c r="DU50" s="27"/>
      <c r="DV50" s="27"/>
      <c r="DW50" s="27"/>
      <c r="DX50" s="27"/>
      <c r="DY50" s="27"/>
      <c r="DZ50" s="27"/>
      <c r="EA50" s="27"/>
      <c r="EB50" s="27"/>
      <c r="EC50" s="27"/>
      <c r="ED50" s="27"/>
      <c r="EE50" s="27"/>
      <c r="EF50" s="27"/>
      <c r="EG50" s="27"/>
      <c r="EH50" s="27"/>
      <c r="EI50" s="27"/>
      <c r="EJ50" s="27"/>
      <c r="EK50" s="27"/>
      <c r="EL50" s="27"/>
      <c r="EM50" s="27"/>
      <c r="EN50" s="27"/>
      <c r="EO50" s="27"/>
      <c r="EP50" s="27"/>
      <c r="EQ50" s="27"/>
      <c r="ER50" s="27"/>
      <c r="ES50" s="27"/>
      <c r="ET50" s="27"/>
      <c r="EU50" s="27"/>
      <c r="EV50" s="27"/>
    </row>
    <row r="51" spans="103:152">
      <c r="CY51" s="27"/>
      <c r="CZ51" s="27"/>
      <c r="DB51" s="27"/>
      <c r="DC51" s="27"/>
      <c r="DD51" s="27"/>
      <c r="DE51" s="27"/>
      <c r="DF51" s="27"/>
      <c r="DG51" s="27"/>
      <c r="DH51" s="27"/>
      <c r="DI51" s="27"/>
      <c r="DJ51" s="27"/>
      <c r="DK51" s="27"/>
      <c r="DL51" s="27"/>
      <c r="DM51" s="27"/>
      <c r="DN51" s="27"/>
      <c r="DO51" s="27"/>
      <c r="DP51" s="27"/>
      <c r="DQ51" s="27"/>
      <c r="DR51" s="27"/>
      <c r="DS51" s="27"/>
      <c r="DT51" s="27"/>
      <c r="DU51" s="27"/>
      <c r="DV51" s="27"/>
      <c r="DW51" s="27"/>
      <c r="DX51" s="27"/>
      <c r="DY51" s="27"/>
      <c r="DZ51" s="27"/>
      <c r="EA51" s="27"/>
      <c r="EB51" s="27"/>
      <c r="EC51" s="27"/>
      <c r="ED51" s="27"/>
      <c r="EE51" s="27"/>
      <c r="EF51" s="27"/>
      <c r="EG51" s="27"/>
      <c r="EH51" s="27"/>
      <c r="EI51" s="27"/>
      <c r="EJ51" s="27"/>
      <c r="EK51" s="27"/>
      <c r="EL51" s="27"/>
      <c r="EM51" s="27"/>
      <c r="EN51" s="27"/>
      <c r="EO51" s="27"/>
      <c r="EP51" s="27"/>
      <c r="EQ51" s="27"/>
      <c r="ER51" s="27"/>
      <c r="ES51" s="27"/>
      <c r="ET51" s="27"/>
      <c r="EU51" s="27"/>
      <c r="EV51" s="27"/>
    </row>
    <row r="52" spans="103:152"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27"/>
      <c r="DQ52" s="27"/>
      <c r="DR52" s="27"/>
      <c r="DS52" s="27"/>
      <c r="DT52" s="27"/>
      <c r="DU52" s="27"/>
      <c r="DV52" s="27"/>
      <c r="DW52" s="27"/>
      <c r="DX52" s="27"/>
      <c r="DY52" s="27"/>
      <c r="DZ52" s="27"/>
      <c r="EA52" s="27"/>
      <c r="EB52" s="27"/>
      <c r="EC52" s="27"/>
      <c r="ED52" s="27"/>
      <c r="EE52" s="27"/>
      <c r="EF52" s="27"/>
      <c r="EG52" s="27"/>
      <c r="EH52" s="27"/>
      <c r="EI52" s="27"/>
      <c r="EJ52" s="27"/>
      <c r="EK52" s="27"/>
      <c r="EL52" s="27"/>
      <c r="EM52" s="27"/>
      <c r="EN52" s="27"/>
      <c r="EO52" s="27"/>
      <c r="EP52" s="27"/>
      <c r="EQ52" s="27"/>
      <c r="ER52" s="27"/>
      <c r="ES52" s="27"/>
      <c r="ET52" s="27"/>
      <c r="EU52" s="27"/>
      <c r="EV52" s="27"/>
    </row>
    <row r="53" spans="103:152">
      <c r="CY53" s="27"/>
      <c r="CZ53" s="27"/>
      <c r="DA53" s="27"/>
      <c r="DB53" s="27"/>
      <c r="DC53" s="27"/>
      <c r="DD53" s="27"/>
      <c r="DE53" s="27"/>
      <c r="DF53" s="27"/>
      <c r="DG53" s="27"/>
      <c r="DH53" s="27"/>
      <c r="DI53" s="27"/>
      <c r="DJ53" s="27"/>
      <c r="DK53" s="27"/>
      <c r="DL53" s="27"/>
      <c r="DM53" s="27"/>
      <c r="DN53" s="27"/>
      <c r="DO53" s="27"/>
      <c r="DP53" s="27"/>
      <c r="DQ53" s="27"/>
      <c r="DR53" s="27"/>
      <c r="DS53" s="27"/>
      <c r="DT53" s="27"/>
      <c r="DU53" s="27"/>
      <c r="DV53" s="27"/>
      <c r="DW53" s="27"/>
      <c r="DX53" s="27"/>
      <c r="DY53" s="27"/>
      <c r="DZ53" s="27"/>
      <c r="EA53" s="27"/>
      <c r="EB53" s="27"/>
      <c r="EC53" s="27"/>
      <c r="ED53" s="27"/>
      <c r="EE53" s="27"/>
      <c r="EF53" s="27"/>
      <c r="EG53" s="27"/>
      <c r="EH53" s="27"/>
      <c r="EI53" s="27"/>
      <c r="EJ53" s="27"/>
      <c r="EK53" s="27"/>
      <c r="EL53" s="27"/>
      <c r="EM53" s="27"/>
      <c r="EN53" s="27"/>
      <c r="EO53" s="27"/>
      <c r="EP53" s="27"/>
      <c r="EQ53" s="27"/>
      <c r="ER53" s="27"/>
      <c r="ES53" s="27"/>
      <c r="ET53" s="27"/>
      <c r="EU53" s="27"/>
      <c r="EV53" s="27"/>
    </row>
    <row r="54" spans="103:152">
      <c r="CY54" s="27"/>
      <c r="CZ54" s="27"/>
      <c r="DA54" s="27"/>
      <c r="DB54" s="27"/>
      <c r="DC54" s="27"/>
      <c r="DD54" s="27"/>
      <c r="DE54" s="27"/>
      <c r="DF54" s="27"/>
      <c r="DG54" s="27"/>
      <c r="DH54" s="27"/>
      <c r="DI54" s="27"/>
      <c r="DJ54" s="27"/>
      <c r="DK54" s="27"/>
      <c r="DL54" s="27"/>
      <c r="DM54" s="27"/>
      <c r="DN54" s="27"/>
      <c r="DO54" s="27"/>
      <c r="DP54" s="27"/>
      <c r="DQ54" s="27"/>
      <c r="DR54" s="27"/>
      <c r="DS54" s="27"/>
      <c r="DT54" s="27"/>
      <c r="DU54" s="27"/>
      <c r="DV54" s="27"/>
      <c r="DW54" s="27"/>
      <c r="DX54" s="27"/>
      <c r="DY54" s="27"/>
      <c r="DZ54" s="27"/>
      <c r="EA54" s="27"/>
      <c r="EB54" s="27"/>
      <c r="EC54" s="27"/>
      <c r="ED54" s="27"/>
      <c r="EE54" s="27"/>
      <c r="EF54" s="27"/>
      <c r="EG54" s="27"/>
      <c r="EH54" s="27"/>
      <c r="EI54" s="27"/>
      <c r="EJ54" s="27"/>
      <c r="EK54" s="27"/>
      <c r="EL54" s="27"/>
      <c r="EM54" s="27"/>
      <c r="EN54" s="27"/>
      <c r="EO54" s="27"/>
      <c r="EP54" s="27"/>
      <c r="EQ54" s="27"/>
      <c r="ER54" s="27"/>
      <c r="ES54" s="27"/>
      <c r="ET54" s="27"/>
      <c r="EU54" s="27"/>
      <c r="EV54" s="27"/>
    </row>
    <row r="55" spans="103:152">
      <c r="CY55" s="27"/>
      <c r="CZ55" s="27"/>
      <c r="DA55" s="27"/>
      <c r="DB55" s="27"/>
      <c r="DC55" s="27"/>
      <c r="DD55" s="27"/>
      <c r="DE55" s="27"/>
      <c r="DF55" s="27"/>
      <c r="DG55" s="27"/>
      <c r="DH55" s="27"/>
      <c r="DI55" s="27"/>
      <c r="DJ55" s="27"/>
      <c r="DK55" s="27"/>
      <c r="DL55" s="27"/>
      <c r="DM55" s="27"/>
      <c r="DN55" s="27"/>
      <c r="DO55" s="27"/>
      <c r="DP55" s="27"/>
      <c r="DQ55" s="27"/>
      <c r="DR55" s="27"/>
      <c r="DS55" s="27"/>
      <c r="DT55" s="27"/>
      <c r="DU55" s="27"/>
      <c r="DV55" s="27"/>
      <c r="DW55" s="27"/>
      <c r="DX55" s="27"/>
      <c r="DY55" s="27"/>
      <c r="DZ55" s="27"/>
      <c r="EA55" s="27"/>
      <c r="EB55" s="27"/>
      <c r="EC55" s="27"/>
      <c r="ED55" s="27"/>
      <c r="EE55" s="27"/>
      <c r="EF55" s="27"/>
      <c r="EG55" s="27"/>
      <c r="EH55" s="27"/>
      <c r="EI55" s="27"/>
      <c r="EJ55" s="27"/>
      <c r="EK55" s="27"/>
      <c r="EL55" s="27"/>
      <c r="EM55" s="27"/>
      <c r="EN55" s="27"/>
      <c r="EO55" s="27"/>
      <c r="EP55" s="27"/>
      <c r="EQ55" s="27"/>
      <c r="ER55" s="27"/>
      <c r="ES55" s="27"/>
      <c r="ET55" s="27"/>
      <c r="EU55" s="27"/>
      <c r="EV55" s="27"/>
    </row>
    <row r="56" spans="103:152">
      <c r="CY56" s="27"/>
      <c r="CZ56" s="27"/>
      <c r="DA56" s="27"/>
      <c r="DB56" s="27"/>
      <c r="DC56" s="27"/>
      <c r="DD56" s="27"/>
      <c r="DE56" s="27"/>
      <c r="DF56" s="27"/>
      <c r="DG56" s="27"/>
      <c r="DH56" s="27"/>
      <c r="DI56" s="27"/>
      <c r="DJ56" s="27"/>
      <c r="DK56" s="27"/>
      <c r="DL56" s="27"/>
      <c r="DM56" s="27"/>
      <c r="DN56" s="27"/>
      <c r="DO56" s="27"/>
      <c r="DP56" s="27"/>
      <c r="DQ56" s="27"/>
      <c r="DR56" s="27"/>
      <c r="DS56" s="27"/>
      <c r="DT56" s="27"/>
      <c r="DU56" s="27"/>
      <c r="DV56" s="27"/>
      <c r="DW56" s="27"/>
      <c r="DX56" s="27"/>
      <c r="DY56" s="27"/>
      <c r="DZ56" s="27"/>
      <c r="EA56" s="27"/>
      <c r="EB56" s="27"/>
      <c r="EC56" s="27"/>
      <c r="ED56" s="27"/>
      <c r="EE56" s="27"/>
      <c r="EF56" s="27"/>
      <c r="EG56" s="27"/>
      <c r="EH56" s="27"/>
      <c r="EI56" s="27"/>
      <c r="EJ56" s="27"/>
      <c r="EK56" s="27"/>
      <c r="EL56" s="27"/>
      <c r="EM56" s="27"/>
      <c r="EN56" s="27"/>
      <c r="EO56" s="27"/>
      <c r="EP56" s="27"/>
      <c r="EQ56" s="27"/>
      <c r="ER56" s="27"/>
      <c r="ES56" s="27"/>
      <c r="ET56" s="27"/>
      <c r="EU56" s="27"/>
      <c r="EV56" s="27"/>
    </row>
    <row r="57" spans="103:152">
      <c r="CY57" s="27"/>
      <c r="CZ57" s="27"/>
      <c r="DA57" s="27"/>
      <c r="DB57" s="27"/>
      <c r="DC57" s="27"/>
      <c r="DD57" s="27"/>
      <c r="DE57" s="27"/>
      <c r="DF57" s="27"/>
      <c r="DG57" s="27"/>
      <c r="DH57" s="27"/>
      <c r="DI57" s="27"/>
      <c r="DJ57" s="27"/>
      <c r="DK57" s="27"/>
      <c r="DL57" s="27"/>
      <c r="DM57" s="27"/>
      <c r="DN57" s="27"/>
      <c r="DO57" s="27"/>
      <c r="DP57" s="27"/>
      <c r="DQ57" s="27"/>
      <c r="DR57" s="27"/>
      <c r="DS57" s="27"/>
      <c r="DT57" s="27"/>
      <c r="DU57" s="27"/>
      <c r="DV57" s="27"/>
      <c r="DW57" s="27"/>
      <c r="DX57" s="27"/>
      <c r="DY57" s="27"/>
      <c r="DZ57" s="27"/>
      <c r="EA57" s="27"/>
      <c r="EB57" s="27"/>
      <c r="EC57" s="27"/>
      <c r="ED57" s="27"/>
      <c r="EE57" s="27"/>
      <c r="EF57" s="27"/>
      <c r="EG57" s="27"/>
      <c r="EH57" s="27"/>
      <c r="EI57" s="27"/>
      <c r="EJ57" s="27"/>
      <c r="EK57" s="27"/>
      <c r="EL57" s="27"/>
      <c r="EM57" s="27"/>
      <c r="EN57" s="27"/>
      <c r="EO57" s="27"/>
      <c r="EP57" s="27"/>
      <c r="EQ57" s="27"/>
      <c r="ER57" s="27"/>
      <c r="ES57" s="27"/>
      <c r="ET57" s="27"/>
      <c r="EU57" s="27"/>
      <c r="EV57" s="27"/>
    </row>
    <row r="58" spans="103:152">
      <c r="CY58" s="27"/>
      <c r="CZ58" s="27"/>
      <c r="DA58" s="27"/>
      <c r="DB58" s="27"/>
      <c r="DC58" s="27"/>
      <c r="DD58" s="27"/>
      <c r="DE58" s="27"/>
      <c r="DF58" s="27"/>
      <c r="DG58" s="27"/>
      <c r="DH58" s="27"/>
      <c r="DI58" s="27"/>
      <c r="DJ58" s="27"/>
      <c r="DK58" s="27"/>
      <c r="DL58" s="27"/>
      <c r="DM58" s="27"/>
      <c r="DN58" s="27"/>
      <c r="DO58" s="27"/>
      <c r="DP58" s="27"/>
      <c r="DQ58" s="27"/>
      <c r="DR58" s="27"/>
      <c r="DS58" s="27"/>
      <c r="DT58" s="27"/>
      <c r="DU58" s="27"/>
      <c r="DV58" s="27"/>
      <c r="DW58" s="27"/>
      <c r="DX58" s="27"/>
      <c r="DY58" s="27"/>
      <c r="DZ58" s="27"/>
      <c r="EA58" s="27"/>
      <c r="EB58" s="27"/>
      <c r="EC58" s="27"/>
      <c r="ED58" s="27"/>
      <c r="EE58" s="27"/>
      <c r="EF58" s="27"/>
      <c r="EG58" s="27"/>
      <c r="EH58" s="27"/>
      <c r="EI58" s="27"/>
      <c r="EJ58" s="27"/>
      <c r="EK58" s="27"/>
      <c r="EL58" s="27"/>
      <c r="EM58" s="27"/>
      <c r="EN58" s="27"/>
      <c r="EO58" s="27"/>
      <c r="EP58" s="27"/>
      <c r="EQ58" s="27"/>
      <c r="ER58" s="27"/>
      <c r="ES58" s="27"/>
      <c r="ET58" s="27"/>
      <c r="EU58" s="27"/>
      <c r="EV58" s="27"/>
    </row>
    <row r="59" spans="103:152">
      <c r="CY59" s="27"/>
      <c r="CZ59" s="27"/>
      <c r="DA59" s="27"/>
      <c r="DB59" s="27"/>
      <c r="DC59" s="27"/>
      <c r="DD59" s="27"/>
      <c r="DE59" s="27"/>
      <c r="DF59" s="27"/>
      <c r="DG59" s="27"/>
      <c r="DH59" s="27"/>
      <c r="DI59" s="27"/>
      <c r="DJ59" s="27"/>
      <c r="DK59" s="27"/>
      <c r="DL59" s="27"/>
      <c r="DM59" s="27"/>
      <c r="DN59" s="27"/>
      <c r="DO59" s="27"/>
      <c r="DP59" s="27"/>
      <c r="DQ59" s="27"/>
      <c r="DR59" s="27"/>
      <c r="DS59" s="27"/>
      <c r="DT59" s="27"/>
      <c r="DU59" s="27"/>
      <c r="DV59" s="27"/>
      <c r="DW59" s="27"/>
      <c r="DX59" s="27"/>
      <c r="DY59" s="27"/>
      <c r="DZ59" s="27"/>
      <c r="EA59" s="27"/>
      <c r="EB59" s="27"/>
      <c r="EC59" s="27"/>
      <c r="ED59" s="27"/>
      <c r="EE59" s="27"/>
      <c r="EF59" s="27"/>
      <c r="EG59" s="27"/>
      <c r="EH59" s="27"/>
      <c r="EI59" s="27"/>
      <c r="EJ59" s="27"/>
      <c r="EK59" s="27"/>
      <c r="EL59" s="27"/>
      <c r="EM59" s="27"/>
      <c r="EN59" s="27"/>
      <c r="EO59" s="27"/>
      <c r="EP59" s="27"/>
      <c r="EQ59" s="27"/>
      <c r="ER59" s="27"/>
      <c r="ES59" s="27"/>
      <c r="ET59" s="27"/>
      <c r="EU59" s="27"/>
      <c r="EV59" s="27"/>
    </row>
    <row r="60" spans="103:152">
      <c r="CY60" s="27"/>
      <c r="CZ60" s="27"/>
      <c r="DA60" s="27"/>
      <c r="DB60" s="27"/>
      <c r="DC60" s="27"/>
      <c r="DD60" s="27"/>
      <c r="DE60" s="27"/>
      <c r="DF60" s="27"/>
      <c r="DG60" s="27"/>
      <c r="DH60" s="27"/>
      <c r="DI60" s="27"/>
      <c r="DJ60" s="27"/>
      <c r="DK60" s="27"/>
      <c r="DL60" s="27"/>
      <c r="DM60" s="27"/>
      <c r="DN60" s="27"/>
      <c r="DO60" s="27"/>
      <c r="DP60" s="27"/>
      <c r="DQ60" s="27"/>
      <c r="DR60" s="27"/>
      <c r="DS60" s="27"/>
      <c r="DT60" s="27"/>
      <c r="DU60" s="27"/>
      <c r="DV60" s="27"/>
      <c r="DW60" s="27"/>
      <c r="DX60" s="27"/>
      <c r="DY60" s="27"/>
      <c r="DZ60" s="27"/>
      <c r="EA60" s="27"/>
      <c r="EB60" s="27"/>
      <c r="EC60" s="27"/>
      <c r="ED60" s="27"/>
      <c r="EE60" s="27"/>
      <c r="EF60" s="27"/>
      <c r="EG60" s="27"/>
      <c r="EH60" s="27"/>
      <c r="EI60" s="27"/>
      <c r="EJ60" s="27"/>
      <c r="EK60" s="27"/>
      <c r="EL60" s="27"/>
      <c r="EM60" s="27"/>
      <c r="EN60" s="27"/>
      <c r="EO60" s="27"/>
      <c r="EP60" s="27"/>
      <c r="EQ60" s="27"/>
      <c r="ER60" s="27"/>
      <c r="ES60" s="27"/>
      <c r="ET60" s="27"/>
      <c r="EU60" s="27"/>
      <c r="EV60" s="27"/>
    </row>
    <row r="61" spans="103:152">
      <c r="CY61" s="27"/>
      <c r="CZ61" s="27"/>
      <c r="DA61" s="27"/>
      <c r="DB61" s="27"/>
      <c r="DC61" s="27"/>
      <c r="DD61" s="27"/>
      <c r="DE61" s="27"/>
      <c r="DF61" s="27"/>
      <c r="DG61" s="27"/>
      <c r="DH61" s="27"/>
      <c r="DI61" s="27"/>
      <c r="DJ61" s="27"/>
      <c r="DK61" s="27"/>
      <c r="DL61" s="27"/>
      <c r="DM61" s="27"/>
      <c r="DN61" s="27"/>
      <c r="DO61" s="27"/>
      <c r="DP61" s="27"/>
      <c r="DQ61" s="27"/>
      <c r="DR61" s="27"/>
      <c r="DS61" s="27"/>
      <c r="DT61" s="27"/>
      <c r="DU61" s="27"/>
      <c r="DV61" s="27"/>
      <c r="DW61" s="27"/>
      <c r="DX61" s="27"/>
      <c r="DY61" s="27"/>
      <c r="DZ61" s="27"/>
      <c r="EA61" s="27"/>
      <c r="EB61" s="27"/>
      <c r="EC61" s="27"/>
      <c r="ED61" s="27"/>
      <c r="EE61" s="27"/>
      <c r="EF61" s="27"/>
      <c r="EG61" s="27"/>
      <c r="EH61" s="27"/>
      <c r="EI61" s="27"/>
      <c r="EJ61" s="27"/>
      <c r="EK61" s="27"/>
      <c r="EL61" s="27"/>
      <c r="EM61" s="27"/>
      <c r="EN61" s="27"/>
      <c r="EO61" s="27"/>
      <c r="EP61" s="27"/>
      <c r="EQ61" s="27"/>
      <c r="ER61" s="27"/>
      <c r="ES61" s="27"/>
      <c r="ET61" s="27"/>
      <c r="EU61" s="27"/>
      <c r="EV61" s="27"/>
    </row>
    <row r="62" spans="103:152">
      <c r="CY62" s="27"/>
      <c r="EV62" s="27"/>
    </row>
    <row r="63" spans="103:152">
      <c r="CY63" s="27"/>
      <c r="EV63" s="27"/>
    </row>
    <row r="64" spans="103:152">
      <c r="CY64" s="27"/>
      <c r="EV64" s="27"/>
    </row>
    <row r="65" spans="103:152">
      <c r="CY65" s="27"/>
      <c r="EV65" s="27"/>
    </row>
    <row r="66" spans="103:152">
      <c r="CY66" s="27"/>
      <c r="EV66" s="27"/>
    </row>
    <row r="67" spans="103:152">
      <c r="CY67" s="27"/>
      <c r="EV67" s="27"/>
    </row>
    <row r="68" spans="103:152">
      <c r="CY68" s="27"/>
      <c r="EV68" s="27"/>
    </row>
    <row r="69" spans="103:152">
      <c r="CY69" s="27"/>
      <c r="EV69" s="27"/>
    </row>
    <row r="70" spans="103:152">
      <c r="CY70" s="27"/>
      <c r="EV70" s="27"/>
    </row>
    <row r="71" spans="103:152">
      <c r="CY71" s="27"/>
      <c r="EV71" s="27"/>
    </row>
    <row r="72" spans="103:152">
      <c r="CY72" s="27"/>
      <c r="EV72" s="27"/>
    </row>
    <row r="73" spans="103:152">
      <c r="CY73" s="27"/>
      <c r="EV73" s="27"/>
    </row>
    <row r="74" spans="103:152">
      <c r="CY74" s="27"/>
      <c r="EV74" s="27"/>
    </row>
    <row r="75" spans="103:152">
      <c r="CY75" s="27"/>
      <c r="EV75" s="27"/>
    </row>
    <row r="76" spans="103:152">
      <c r="CY76" s="27"/>
      <c r="EV76" s="27"/>
    </row>
    <row r="77" spans="103:152">
      <c r="CY77" s="27"/>
      <c r="EV77" s="27"/>
    </row>
  </sheetData>
  <sortState xmlns:xlrd2="http://schemas.microsoft.com/office/spreadsheetml/2017/richdata2" ref="DA3:DA61">
    <sortCondition ref="DA3:DA61"/>
  </sortState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7DF8-85A2-478E-9388-4407DA3981F5}">
  <dimension ref="B1:K65"/>
  <sheetViews>
    <sheetView zoomScale="90" zoomScaleNormal="90" workbookViewId="0"/>
  </sheetViews>
  <sheetFormatPr defaultColWidth="8.73046875" defaultRowHeight="12.75"/>
  <cols>
    <col min="1" max="1" width="4.59765625" style="67" customWidth="1"/>
    <col min="2" max="2" width="5.73046875" style="67" customWidth="1"/>
    <col min="3" max="3" width="18.3984375" style="67" customWidth="1"/>
    <col min="4" max="4" width="15.73046875" style="67" customWidth="1"/>
    <col min="5" max="5" width="17" style="67" customWidth="1"/>
    <col min="6" max="6" width="12.3984375" style="67" bestFit="1" customWidth="1"/>
    <col min="7" max="7" width="16.265625" style="67" bestFit="1" customWidth="1"/>
    <col min="8" max="16384" width="8.73046875" style="67"/>
  </cols>
  <sheetData>
    <row r="1" spans="2:8" ht="13.15" thickBot="1"/>
    <row r="2" spans="2:8" ht="39" customHeight="1" thickBot="1">
      <c r="C2" s="101" t="s">
        <v>366</v>
      </c>
      <c r="D2" s="102"/>
      <c r="E2" s="103"/>
    </row>
    <row r="3" spans="2:8">
      <c r="C3" s="68" t="s">
        <v>367</v>
      </c>
      <c r="D3" s="69" t="s">
        <v>368</v>
      </c>
      <c r="E3" s="70" t="s">
        <v>369</v>
      </c>
    </row>
    <row r="4" spans="2:8">
      <c r="C4" s="71" t="s">
        <v>370</v>
      </c>
      <c r="D4" s="72">
        <v>62751</v>
      </c>
      <c r="E4" s="73" t="s">
        <v>371</v>
      </c>
      <c r="F4" s="90">
        <f>D4*1.6/1000</f>
        <v>100.4016</v>
      </c>
    </row>
    <row r="5" spans="2:8">
      <c r="C5" s="71" t="s">
        <v>372</v>
      </c>
      <c r="D5" s="74">
        <v>43647</v>
      </c>
      <c r="E5" s="73" t="s">
        <v>373</v>
      </c>
      <c r="F5" s="90">
        <f t="shared" ref="F5:F12" si="0">D5*1.6/1000</f>
        <v>69.8352</v>
      </c>
    </row>
    <row r="6" spans="2:8">
      <c r="C6" s="71" t="s">
        <v>374</v>
      </c>
      <c r="D6" s="75">
        <v>29429</v>
      </c>
      <c r="E6" s="73" t="s">
        <v>373</v>
      </c>
      <c r="F6" s="90">
        <f t="shared" si="0"/>
        <v>47.086400000000005</v>
      </c>
    </row>
    <row r="7" spans="2:8">
      <c r="C7" s="71" t="s">
        <v>375</v>
      </c>
      <c r="D7" s="75">
        <v>25000</v>
      </c>
      <c r="E7" s="73" t="s">
        <v>376</v>
      </c>
      <c r="F7" s="90">
        <f t="shared" si="0"/>
        <v>40</v>
      </c>
      <c r="H7" s="76"/>
    </row>
    <row r="8" spans="2:8">
      <c r="C8" s="71" t="s">
        <v>377</v>
      </c>
      <c r="D8" s="72">
        <v>12435</v>
      </c>
      <c r="E8" s="73" t="s">
        <v>371</v>
      </c>
      <c r="F8" s="90">
        <f t="shared" si="0"/>
        <v>19.896000000000001</v>
      </c>
    </row>
    <row r="9" spans="2:8">
      <c r="C9" s="71" t="s">
        <v>378</v>
      </c>
      <c r="D9" s="75">
        <v>12000</v>
      </c>
      <c r="E9" s="73" t="s">
        <v>379</v>
      </c>
      <c r="F9" s="90">
        <f t="shared" si="0"/>
        <v>19.2</v>
      </c>
    </row>
    <row r="10" spans="2:8">
      <c r="C10" s="71" t="s">
        <v>380</v>
      </c>
      <c r="D10" s="72">
        <v>11543</v>
      </c>
      <c r="E10" s="73" t="s">
        <v>371</v>
      </c>
      <c r="F10" s="90">
        <f t="shared" si="0"/>
        <v>18.468799999999998</v>
      </c>
    </row>
    <row r="11" spans="2:8">
      <c r="C11" s="71" t="s">
        <v>381</v>
      </c>
      <c r="D11" s="72">
        <v>11467</v>
      </c>
      <c r="E11" s="73" t="s">
        <v>371</v>
      </c>
      <c r="F11" s="90">
        <f t="shared" si="0"/>
        <v>18.347200000000001</v>
      </c>
    </row>
    <row r="12" spans="2:8" ht="13.15" thickBot="1">
      <c r="C12" s="77" t="s">
        <v>382</v>
      </c>
      <c r="D12" s="78">
        <v>2312</v>
      </c>
      <c r="E12" s="79" t="s">
        <v>371</v>
      </c>
      <c r="F12" s="90">
        <f t="shared" si="0"/>
        <v>3.6992000000000003</v>
      </c>
    </row>
    <row r="13" spans="2:8">
      <c r="D13" s="80"/>
    </row>
    <row r="14" spans="2:8">
      <c r="C14" s="76"/>
    </row>
    <row r="15" spans="2:8" ht="13.15">
      <c r="B15" s="104" t="s">
        <v>383</v>
      </c>
      <c r="C15" s="104"/>
    </row>
    <row r="16" spans="2:8" ht="30" customHeight="1">
      <c r="B16" s="81" t="s">
        <v>371</v>
      </c>
      <c r="C16" s="105" t="s">
        <v>384</v>
      </c>
      <c r="D16" s="105"/>
      <c r="E16" s="105"/>
      <c r="F16" s="105"/>
      <c r="G16" s="105"/>
    </row>
    <row r="17" spans="2:11" ht="42" customHeight="1">
      <c r="B17" s="81" t="s">
        <v>373</v>
      </c>
      <c r="C17" s="105" t="s">
        <v>385</v>
      </c>
      <c r="D17" s="105"/>
      <c r="E17" s="105"/>
      <c r="F17" s="105"/>
      <c r="G17" s="105"/>
    </row>
    <row r="18" spans="2:11" ht="30.4" customHeight="1">
      <c r="B18" s="81" t="s">
        <v>376</v>
      </c>
      <c r="C18" s="105" t="s">
        <v>386</v>
      </c>
      <c r="D18" s="105"/>
      <c r="E18" s="105"/>
      <c r="F18" s="105"/>
      <c r="G18" s="105"/>
    </row>
    <row r="19" spans="2:11" ht="27.6" customHeight="1">
      <c r="B19" s="81" t="s">
        <v>379</v>
      </c>
      <c r="C19" s="105" t="s">
        <v>387</v>
      </c>
      <c r="D19" s="105"/>
      <c r="E19" s="105"/>
      <c r="F19" s="105"/>
      <c r="G19" s="105"/>
    </row>
    <row r="21" spans="2:11" ht="13.15">
      <c r="B21" s="82" t="s">
        <v>388</v>
      </c>
    </row>
    <row r="22" spans="2:11" ht="43.5" customHeight="1">
      <c r="B22" s="106" t="s">
        <v>389</v>
      </c>
      <c r="C22" s="106"/>
      <c r="D22" s="106"/>
      <c r="E22" s="106"/>
      <c r="F22" s="106"/>
      <c r="G22" s="106"/>
      <c r="H22" s="76"/>
    </row>
    <row r="23" spans="2:11" ht="16.5" customHeight="1">
      <c r="B23" s="106" t="s">
        <v>390</v>
      </c>
      <c r="C23" s="106"/>
      <c r="D23" s="106"/>
      <c r="E23" s="106"/>
      <c r="F23" s="106"/>
      <c r="G23" s="106"/>
      <c r="H23" s="76"/>
    </row>
    <row r="24" spans="2:11" ht="16.5" customHeight="1">
      <c r="B24" s="106" t="s">
        <v>391</v>
      </c>
      <c r="C24" s="106"/>
      <c r="D24" s="106"/>
      <c r="E24" s="106"/>
      <c r="F24" s="106"/>
      <c r="G24" s="106"/>
      <c r="H24" s="76"/>
      <c r="J24" s="83"/>
      <c r="K24" s="84"/>
    </row>
    <row r="25" spans="2:11" ht="16.5" customHeight="1">
      <c r="B25" s="76"/>
      <c r="C25" s="76"/>
      <c r="D25" s="76"/>
      <c r="E25" s="76"/>
      <c r="F25" s="76"/>
      <c r="G25" s="76"/>
      <c r="H25" s="76"/>
      <c r="J25" s="83"/>
      <c r="K25" s="84"/>
    </row>
    <row r="26" spans="2:11" ht="16.5" customHeight="1">
      <c r="B26" s="107" t="s">
        <v>392</v>
      </c>
      <c r="C26" s="107"/>
      <c r="D26" s="76"/>
      <c r="E26" s="76"/>
      <c r="F26" s="76"/>
      <c r="G26" s="76"/>
      <c r="H26" s="76"/>
      <c r="J26" s="83"/>
      <c r="K26" s="84"/>
    </row>
    <row r="27" spans="2:11" ht="16.5" customHeight="1">
      <c r="B27" s="108" t="s">
        <v>393</v>
      </c>
      <c r="C27" s="108"/>
      <c r="D27" s="76"/>
      <c r="E27" s="76"/>
      <c r="F27" s="76"/>
      <c r="G27" s="76"/>
      <c r="H27" s="76"/>
      <c r="J27" s="83"/>
      <c r="K27" s="84"/>
    </row>
    <row r="28" spans="2:11" ht="16.5" customHeight="1"/>
    <row r="29" spans="2:11" ht="15.75" customHeight="1">
      <c r="B29" s="85" t="s">
        <v>394</v>
      </c>
      <c r="C29" s="85"/>
      <c r="D29" s="85"/>
      <c r="E29" s="85"/>
      <c r="F29" s="85"/>
      <c r="G29" s="85"/>
      <c r="H29" s="86"/>
    </row>
    <row r="30" spans="2:11">
      <c r="B30" s="100" t="s">
        <v>395</v>
      </c>
      <c r="C30" s="100"/>
      <c r="D30" s="100"/>
      <c r="E30" s="100"/>
      <c r="F30" s="100"/>
      <c r="G30" s="100"/>
      <c r="H30" s="86"/>
    </row>
    <row r="36" spans="10:10">
      <c r="J36" s="87"/>
    </row>
    <row r="58" spans="3:3" ht="15">
      <c r="C58" s="88"/>
    </row>
    <row r="61" spans="3:3" ht="15.4">
      <c r="C61" s="89"/>
    </row>
    <row r="62" spans="3:3" ht="15">
      <c r="C62" s="88"/>
    </row>
    <row r="63" spans="3:3" ht="15.4">
      <c r="C63" s="89"/>
    </row>
    <row r="64" spans="3:3" ht="15">
      <c r="C64" s="88"/>
    </row>
    <row r="65" spans="3:3" ht="15.4">
      <c r="C65" s="89"/>
    </row>
  </sheetData>
  <mergeCells count="12">
    <mergeCell ref="B30:G30"/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</mergeCells>
  <pageMargins left="0.7" right="0.7" top="0.75" bottom="0.75" header="0.3" footer="0.3"/>
  <pageSetup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633FB-113D-4DC3-A407-6C6051683420}">
  <dimension ref="B2:N52"/>
  <sheetViews>
    <sheetView zoomScaleNormal="100" workbookViewId="0">
      <selection activeCell="F17" sqref="F17"/>
    </sheetView>
  </sheetViews>
  <sheetFormatPr defaultRowHeight="14.25"/>
  <cols>
    <col min="1" max="1" width="8.73046875" bestFit="1" customWidth="1"/>
    <col min="2" max="2" width="7.1328125" bestFit="1" customWidth="1"/>
    <col min="3" max="3" width="12.265625" bestFit="1" customWidth="1"/>
    <col min="4" max="4" width="9.3984375" bestFit="1" customWidth="1"/>
    <col min="5" max="5" width="16.3984375" bestFit="1" customWidth="1"/>
    <col min="6" max="6" width="5" bestFit="1" customWidth="1"/>
    <col min="7" max="7" width="4" bestFit="1" customWidth="1"/>
    <col min="8" max="8" width="4.3984375" customWidth="1"/>
    <col min="9" max="9" width="11.265625" bestFit="1" customWidth="1"/>
    <col min="10" max="10" width="12.265625" bestFit="1" customWidth="1"/>
    <col min="11" max="11" width="27.1328125" bestFit="1" customWidth="1"/>
    <col min="12" max="12" width="4.59765625" bestFit="1" customWidth="1"/>
    <col min="13" max="13" width="5" bestFit="1" customWidth="1"/>
    <col min="14" max="14" width="8.59765625" bestFit="1" customWidth="1"/>
    <col min="15" max="22" width="4.3984375" customWidth="1"/>
    <col min="23" max="23" width="4.59765625" bestFit="1" customWidth="1"/>
    <col min="24" max="24" width="4.86328125" bestFit="1" customWidth="1"/>
    <col min="25" max="30" width="4.59765625" bestFit="1" customWidth="1"/>
    <col min="31" max="31" width="5" bestFit="1" customWidth="1"/>
    <col min="32" max="32" width="4.86328125" bestFit="1" customWidth="1"/>
    <col min="33" max="33" width="5" bestFit="1" customWidth="1"/>
    <col min="34" max="35" width="4.59765625" bestFit="1" customWidth="1"/>
    <col min="36" max="36" width="5.1328125" bestFit="1" customWidth="1"/>
    <col min="37" max="37" width="6.86328125" bestFit="1" customWidth="1"/>
    <col min="38" max="51" width="5.1328125" customWidth="1"/>
    <col min="52" max="52" width="5.59765625" bestFit="1" customWidth="1"/>
    <col min="53" max="53" width="8.1328125" bestFit="1" customWidth="1"/>
    <col min="55" max="55" width="16.3984375" bestFit="1" customWidth="1"/>
    <col min="56" max="56" width="6.59765625" bestFit="1" customWidth="1"/>
    <col min="57" max="72" width="6.59765625" customWidth="1"/>
    <col min="73" max="76" width="6.59765625" bestFit="1" customWidth="1"/>
    <col min="77" max="77" width="5.59765625" bestFit="1" customWidth="1"/>
    <col min="78" max="78" width="6.59765625" bestFit="1" customWidth="1"/>
    <col min="79" max="79" width="6.3984375" bestFit="1" customWidth="1"/>
    <col min="80" max="83" width="6.59765625" bestFit="1" customWidth="1"/>
    <col min="84" max="84" width="5.59765625" bestFit="1" customWidth="1"/>
    <col min="85" max="85" width="7.59765625" bestFit="1" customWidth="1"/>
    <col min="86" max="86" width="6.59765625" bestFit="1" customWidth="1"/>
    <col min="87" max="101" width="6.59765625" customWidth="1"/>
    <col min="105" max="105" width="6.59765625" bestFit="1" customWidth="1"/>
    <col min="106" max="121" width="6.59765625" customWidth="1"/>
    <col min="122" max="132" width="6.59765625" bestFit="1" customWidth="1"/>
    <col min="133" max="133" width="6" bestFit="1" customWidth="1"/>
    <col min="134" max="134" width="7.59765625" bestFit="1" customWidth="1"/>
    <col min="135" max="135" width="6.59765625" bestFit="1" customWidth="1"/>
    <col min="136" max="150" width="6.59765625" customWidth="1"/>
    <col min="153" max="153" width="18.59765625" bestFit="1" customWidth="1"/>
    <col min="154" max="154" width="42.73046875" bestFit="1" customWidth="1"/>
    <col min="155" max="155" width="5.86328125" bestFit="1" customWidth="1"/>
    <col min="156" max="156" width="7.86328125" bestFit="1" customWidth="1"/>
    <col min="157" max="157" width="5" bestFit="1" customWidth="1"/>
    <col min="158" max="158" width="10.265625" bestFit="1" customWidth="1"/>
    <col min="159" max="159" width="7.86328125" bestFit="1" customWidth="1"/>
  </cols>
  <sheetData>
    <row r="2" spans="2:14">
      <c r="D2" s="2"/>
      <c r="E2" s="2" t="s">
        <v>575</v>
      </c>
      <c r="F2" s="2"/>
      <c r="G2" s="2"/>
      <c r="I2" t="s">
        <v>148</v>
      </c>
    </row>
    <row r="3" spans="2:14" ht="14.65" thickBot="1">
      <c r="B3" s="58" t="s">
        <v>460</v>
      </c>
      <c r="C3" s="58" t="s">
        <v>461</v>
      </c>
      <c r="D3" s="58" t="s">
        <v>140</v>
      </c>
      <c r="E3" s="58" t="s">
        <v>141</v>
      </c>
      <c r="F3" s="58">
        <v>2020</v>
      </c>
      <c r="G3" s="58" t="s">
        <v>348</v>
      </c>
      <c r="I3" s="58" t="s">
        <v>149</v>
      </c>
      <c r="J3" s="58" t="s">
        <v>145</v>
      </c>
      <c r="K3" s="58" t="s">
        <v>462</v>
      </c>
      <c r="L3" s="58" t="s">
        <v>151</v>
      </c>
      <c r="M3" s="58" t="s">
        <v>152</v>
      </c>
      <c r="N3" s="58" t="s">
        <v>153</v>
      </c>
    </row>
    <row r="4" spans="2:14">
      <c r="C4" t="s">
        <v>472</v>
      </c>
      <c r="D4" t="s">
        <v>473</v>
      </c>
      <c r="E4" t="s">
        <v>32</v>
      </c>
      <c r="F4">
        <v>1</v>
      </c>
      <c r="G4">
        <v>1</v>
      </c>
      <c r="I4" t="s">
        <v>464</v>
      </c>
      <c r="J4" t="s">
        <v>472</v>
      </c>
      <c r="K4" t="s">
        <v>474</v>
      </c>
      <c r="L4" t="s">
        <v>160</v>
      </c>
      <c r="M4" t="s">
        <v>465</v>
      </c>
    </row>
    <row r="5" spans="2:14">
      <c r="C5" t="s">
        <v>475</v>
      </c>
      <c r="D5" t="s">
        <v>476</v>
      </c>
      <c r="E5" t="s">
        <v>33</v>
      </c>
      <c r="F5">
        <v>1</v>
      </c>
      <c r="G5">
        <v>1</v>
      </c>
      <c r="I5" t="s">
        <v>464</v>
      </c>
      <c r="J5" t="s">
        <v>475</v>
      </c>
      <c r="K5" t="s">
        <v>477</v>
      </c>
      <c r="L5" t="s">
        <v>160</v>
      </c>
      <c r="M5" t="s">
        <v>465</v>
      </c>
    </row>
    <row r="6" spans="2:14">
      <c r="C6" t="s">
        <v>478</v>
      </c>
      <c r="D6" t="s">
        <v>463</v>
      </c>
      <c r="E6" t="s">
        <v>479</v>
      </c>
      <c r="F6">
        <v>1</v>
      </c>
      <c r="G6">
        <v>1</v>
      </c>
      <c r="I6" t="s">
        <v>464</v>
      </c>
      <c r="J6" t="s">
        <v>478</v>
      </c>
      <c r="K6" t="s">
        <v>480</v>
      </c>
      <c r="L6" t="s">
        <v>160</v>
      </c>
      <c r="M6" t="s">
        <v>465</v>
      </c>
    </row>
    <row r="7" spans="2:14">
      <c r="C7" t="s">
        <v>481</v>
      </c>
      <c r="D7" t="s">
        <v>466</v>
      </c>
      <c r="E7" t="s">
        <v>29</v>
      </c>
      <c r="F7">
        <v>1</v>
      </c>
      <c r="G7">
        <v>1</v>
      </c>
      <c r="I7" t="s">
        <v>464</v>
      </c>
      <c r="J7" t="s">
        <v>481</v>
      </c>
      <c r="K7" t="s">
        <v>482</v>
      </c>
      <c r="L7" t="s">
        <v>160</v>
      </c>
      <c r="M7" t="s">
        <v>465</v>
      </c>
    </row>
    <row r="8" spans="2:14">
      <c r="C8" t="s">
        <v>483</v>
      </c>
      <c r="D8" t="s">
        <v>471</v>
      </c>
      <c r="E8" t="s">
        <v>41</v>
      </c>
      <c r="F8">
        <v>1</v>
      </c>
      <c r="G8">
        <v>1</v>
      </c>
      <c r="I8" t="s">
        <v>464</v>
      </c>
      <c r="J8" t="s">
        <v>483</v>
      </c>
      <c r="K8" t="s">
        <v>484</v>
      </c>
      <c r="L8" t="s">
        <v>160</v>
      </c>
      <c r="M8" t="s">
        <v>465</v>
      </c>
    </row>
    <row r="9" spans="2:14">
      <c r="C9" t="s">
        <v>485</v>
      </c>
      <c r="D9" t="s">
        <v>27</v>
      </c>
      <c r="E9" t="s">
        <v>37</v>
      </c>
      <c r="F9">
        <v>1</v>
      </c>
      <c r="G9">
        <v>1</v>
      </c>
      <c r="I9" t="s">
        <v>464</v>
      </c>
      <c r="J9" t="s">
        <v>485</v>
      </c>
      <c r="K9" t="s">
        <v>486</v>
      </c>
      <c r="L9" t="s">
        <v>160</v>
      </c>
      <c r="M9" t="s">
        <v>465</v>
      </c>
      <c r="N9" t="s">
        <v>467</v>
      </c>
    </row>
    <row r="10" spans="2:14">
      <c r="C10" t="s">
        <v>487</v>
      </c>
      <c r="D10" t="s">
        <v>488</v>
      </c>
      <c r="E10" t="s">
        <v>42</v>
      </c>
      <c r="F10">
        <v>1</v>
      </c>
      <c r="G10">
        <v>1</v>
      </c>
      <c r="I10" t="s">
        <v>464</v>
      </c>
      <c r="J10" t="s">
        <v>487</v>
      </c>
      <c r="K10" t="s">
        <v>489</v>
      </c>
      <c r="L10" t="s">
        <v>160</v>
      </c>
      <c r="M10" t="s">
        <v>465</v>
      </c>
    </row>
    <row r="11" spans="2:14">
      <c r="C11" t="s">
        <v>490</v>
      </c>
      <c r="D11" t="s">
        <v>491</v>
      </c>
      <c r="E11" t="s">
        <v>45</v>
      </c>
      <c r="F11">
        <v>1</v>
      </c>
      <c r="G11">
        <v>1</v>
      </c>
      <c r="I11" t="s">
        <v>464</v>
      </c>
      <c r="J11" t="s">
        <v>490</v>
      </c>
      <c r="K11" t="s">
        <v>492</v>
      </c>
      <c r="L11" t="s">
        <v>160</v>
      </c>
      <c r="M11" t="s">
        <v>465</v>
      </c>
    </row>
    <row r="12" spans="2:14">
      <c r="C12" t="s">
        <v>493</v>
      </c>
      <c r="D12" t="s">
        <v>494</v>
      </c>
      <c r="E12" t="s">
        <v>43</v>
      </c>
      <c r="F12">
        <v>1</v>
      </c>
      <c r="G12">
        <v>1</v>
      </c>
      <c r="I12" t="s">
        <v>464</v>
      </c>
      <c r="J12" t="s">
        <v>493</v>
      </c>
      <c r="K12" t="s">
        <v>495</v>
      </c>
      <c r="L12" t="s">
        <v>160</v>
      </c>
      <c r="M12" t="s">
        <v>465</v>
      </c>
    </row>
    <row r="13" spans="2:14">
      <c r="C13" t="s">
        <v>496</v>
      </c>
      <c r="D13" t="s">
        <v>469</v>
      </c>
      <c r="E13" t="s">
        <v>39</v>
      </c>
      <c r="F13">
        <v>1</v>
      </c>
      <c r="G13">
        <v>1</v>
      </c>
      <c r="I13" t="s">
        <v>464</v>
      </c>
      <c r="J13" t="s">
        <v>496</v>
      </c>
      <c r="K13" t="s">
        <v>497</v>
      </c>
      <c r="L13" t="s">
        <v>160</v>
      </c>
      <c r="M13" t="s">
        <v>465</v>
      </c>
    </row>
    <row r="14" spans="2:14">
      <c r="C14" t="s">
        <v>498</v>
      </c>
      <c r="D14" t="s">
        <v>470</v>
      </c>
      <c r="E14" t="s">
        <v>38</v>
      </c>
      <c r="F14">
        <v>1</v>
      </c>
      <c r="G14">
        <v>1</v>
      </c>
      <c r="I14" t="s">
        <v>464</v>
      </c>
      <c r="J14" t="s">
        <v>498</v>
      </c>
      <c r="K14" t="s">
        <v>499</v>
      </c>
      <c r="L14" t="s">
        <v>160</v>
      </c>
      <c r="M14" t="s">
        <v>465</v>
      </c>
      <c r="N14" t="s">
        <v>468</v>
      </c>
    </row>
    <row r="15" spans="2:14">
      <c r="C15" t="s">
        <v>143</v>
      </c>
      <c r="J15" t="s">
        <v>143</v>
      </c>
    </row>
    <row r="16" spans="2:14">
      <c r="C16" t="str">
        <f>J16</f>
        <v>TraSupply</v>
      </c>
      <c r="E16" t="s">
        <v>491</v>
      </c>
      <c r="F16">
        <v>15</v>
      </c>
      <c r="I16" t="s">
        <v>500</v>
      </c>
      <c r="J16" t="s">
        <v>502</v>
      </c>
      <c r="K16" t="s">
        <v>501</v>
      </c>
      <c r="L16" t="s">
        <v>160</v>
      </c>
      <c r="M16" t="s">
        <v>465</v>
      </c>
    </row>
    <row r="17" spans="5:10">
      <c r="E17" t="s">
        <v>471</v>
      </c>
      <c r="F17">
        <v>20</v>
      </c>
      <c r="J17" t="s">
        <v>143</v>
      </c>
    </row>
    <row r="18" spans="5:10">
      <c r="E18" t="s">
        <v>494</v>
      </c>
      <c r="F18">
        <v>20</v>
      </c>
      <c r="J18" t="s">
        <v>143</v>
      </c>
    </row>
    <row r="19" spans="5:10">
      <c r="E19" t="s">
        <v>469</v>
      </c>
      <c r="F19">
        <v>20</v>
      </c>
      <c r="J19" t="s">
        <v>143</v>
      </c>
    </row>
    <row r="20" spans="5:10">
      <c r="E20" t="s">
        <v>27</v>
      </c>
      <c r="F20">
        <v>99</v>
      </c>
      <c r="J20" t="s">
        <v>143</v>
      </c>
    </row>
    <row r="21" spans="5:10">
      <c r="E21" t="s">
        <v>466</v>
      </c>
      <c r="F21">
        <v>3</v>
      </c>
      <c r="J21" t="s">
        <v>143</v>
      </c>
    </row>
    <row r="22" spans="5:10">
      <c r="E22" t="s">
        <v>476</v>
      </c>
      <c r="F22">
        <v>22</v>
      </c>
      <c r="J22" t="s">
        <v>143</v>
      </c>
    </row>
    <row r="23" spans="5:10">
      <c r="E23" t="s">
        <v>463</v>
      </c>
      <c r="F23">
        <v>4</v>
      </c>
      <c r="J23" t="s">
        <v>143</v>
      </c>
    </row>
    <row r="24" spans="5:10">
      <c r="E24" t="s">
        <v>473</v>
      </c>
      <c r="F24">
        <v>22</v>
      </c>
      <c r="J24" t="s">
        <v>143</v>
      </c>
    </row>
    <row r="25" spans="5:10">
      <c r="E25" t="s">
        <v>488</v>
      </c>
      <c r="F25">
        <v>20</v>
      </c>
      <c r="J25" t="s">
        <v>143</v>
      </c>
    </row>
    <row r="26" spans="5:10">
      <c r="E26" t="s">
        <v>470</v>
      </c>
      <c r="F26">
        <v>8</v>
      </c>
      <c r="J26" t="s">
        <v>143</v>
      </c>
    </row>
    <row r="27" spans="5:10">
      <c r="E27" t="s">
        <v>530</v>
      </c>
      <c r="F27">
        <v>2</v>
      </c>
      <c r="J27" t="s">
        <v>143</v>
      </c>
    </row>
    <row r="28" spans="5:10">
      <c r="E28" t="s">
        <v>533</v>
      </c>
      <c r="F28">
        <v>1</v>
      </c>
      <c r="J28" t="s">
        <v>143</v>
      </c>
    </row>
    <row r="29" spans="5:10">
      <c r="E29" t="s">
        <v>536</v>
      </c>
      <c r="F29">
        <v>1</v>
      </c>
      <c r="J29" t="s">
        <v>143</v>
      </c>
    </row>
    <row r="30" spans="5:10">
      <c r="E30" t="s">
        <v>541</v>
      </c>
      <c r="F30">
        <v>1</v>
      </c>
      <c r="J30" t="s">
        <v>143</v>
      </c>
    </row>
    <row r="31" spans="5:10">
      <c r="E31" t="s">
        <v>35</v>
      </c>
      <c r="F31">
        <v>12</v>
      </c>
      <c r="J31" t="s">
        <v>143</v>
      </c>
    </row>
    <row r="32" spans="5:10">
      <c r="E32" t="s">
        <v>550</v>
      </c>
      <c r="F32">
        <v>1</v>
      </c>
      <c r="J32" t="s">
        <v>143</v>
      </c>
    </row>
    <row r="33" spans="3:13">
      <c r="E33" t="s">
        <v>553</v>
      </c>
      <c r="F33">
        <v>1</v>
      </c>
      <c r="J33" t="s">
        <v>143</v>
      </c>
    </row>
    <row r="34" spans="3:13">
      <c r="E34" t="s">
        <v>556</v>
      </c>
      <c r="F34">
        <v>1</v>
      </c>
      <c r="J34" t="s">
        <v>143</v>
      </c>
    </row>
    <row r="35" spans="3:13">
      <c r="E35" t="s">
        <v>559</v>
      </c>
      <c r="F35">
        <v>1</v>
      </c>
      <c r="J35" t="s">
        <v>143</v>
      </c>
    </row>
    <row r="36" spans="3:13">
      <c r="C36" t="s">
        <v>143</v>
      </c>
      <c r="I36" t="s">
        <v>143</v>
      </c>
      <c r="J36" t="s">
        <v>143</v>
      </c>
    </row>
    <row r="37" spans="3:13">
      <c r="C37" t="str">
        <f>J37</f>
        <v>ElecDemand</v>
      </c>
      <c r="D37" t="s">
        <v>27</v>
      </c>
      <c r="E37" t="s">
        <v>506</v>
      </c>
      <c r="G37">
        <v>1</v>
      </c>
      <c r="I37" t="s">
        <v>503</v>
      </c>
      <c r="J37" t="s">
        <v>504</v>
      </c>
      <c r="K37" t="s">
        <v>505</v>
      </c>
      <c r="L37" t="s">
        <v>160</v>
      </c>
      <c r="M37" t="s">
        <v>465</v>
      </c>
    </row>
    <row r="38" spans="3:13">
      <c r="C38" t="s">
        <v>143</v>
      </c>
      <c r="I38" t="s">
        <v>143</v>
      </c>
    </row>
    <row r="39" spans="3:13">
      <c r="C39" t="s">
        <v>525</v>
      </c>
      <c r="D39" t="s">
        <v>463</v>
      </c>
      <c r="E39" s="2" t="s">
        <v>526</v>
      </c>
      <c r="F39" s="2"/>
      <c r="G39" s="2">
        <v>1</v>
      </c>
      <c r="I39" t="s">
        <v>464</v>
      </c>
      <c r="J39" t="s">
        <v>525</v>
      </c>
      <c r="K39" t="s">
        <v>561</v>
      </c>
      <c r="L39" s="1" t="s">
        <v>160</v>
      </c>
      <c r="M39" s="1" t="s">
        <v>465</v>
      </c>
    </row>
    <row r="40" spans="3:13">
      <c r="C40" t="s">
        <v>527</v>
      </c>
      <c r="D40" t="s">
        <v>466</v>
      </c>
      <c r="E40" s="2" t="s">
        <v>528</v>
      </c>
      <c r="F40" s="2"/>
      <c r="G40" s="2">
        <v>1</v>
      </c>
      <c r="I40" t="s">
        <v>464</v>
      </c>
      <c r="J40" t="s">
        <v>527</v>
      </c>
      <c r="K40" t="s">
        <v>562</v>
      </c>
      <c r="L40" s="1" t="s">
        <v>160</v>
      </c>
      <c r="M40" s="1" t="s">
        <v>465</v>
      </c>
    </row>
    <row r="41" spans="3:13">
      <c r="C41" t="s">
        <v>529</v>
      </c>
      <c r="D41" t="s">
        <v>530</v>
      </c>
      <c r="E41" s="2" t="s">
        <v>531</v>
      </c>
      <c r="F41" s="2"/>
      <c r="G41" s="2">
        <v>1</v>
      </c>
      <c r="I41" t="s">
        <v>464</v>
      </c>
      <c r="J41" t="s">
        <v>529</v>
      </c>
      <c r="K41" t="s">
        <v>563</v>
      </c>
      <c r="L41" s="1" t="s">
        <v>160</v>
      </c>
      <c r="M41" s="1" t="s">
        <v>465</v>
      </c>
    </row>
    <row r="42" spans="3:13">
      <c r="C42" t="s">
        <v>532</v>
      </c>
      <c r="D42" t="s">
        <v>533</v>
      </c>
      <c r="E42" s="2" t="s">
        <v>534</v>
      </c>
      <c r="F42" s="2"/>
      <c r="G42" s="2">
        <v>1</v>
      </c>
      <c r="I42" t="s">
        <v>464</v>
      </c>
      <c r="J42" t="s">
        <v>532</v>
      </c>
      <c r="K42" t="s">
        <v>564</v>
      </c>
      <c r="L42" s="1" t="s">
        <v>160</v>
      </c>
      <c r="M42" s="1" t="s">
        <v>465</v>
      </c>
    </row>
    <row r="43" spans="3:13">
      <c r="C43" t="s">
        <v>535</v>
      </c>
      <c r="D43" t="s">
        <v>536</v>
      </c>
      <c r="E43" s="2" t="s">
        <v>537</v>
      </c>
      <c r="F43" s="2"/>
      <c r="G43" s="2">
        <v>1</v>
      </c>
      <c r="I43" t="s">
        <v>464</v>
      </c>
      <c r="J43" t="s">
        <v>535</v>
      </c>
      <c r="K43" t="s">
        <v>565</v>
      </c>
      <c r="L43" s="1" t="s">
        <v>160</v>
      </c>
      <c r="M43" s="1" t="s">
        <v>465</v>
      </c>
    </row>
    <row r="44" spans="3:13">
      <c r="C44" t="s">
        <v>538</v>
      </c>
      <c r="D44" t="s">
        <v>470</v>
      </c>
      <c r="E44" s="2" t="s">
        <v>539</v>
      </c>
      <c r="F44" s="2"/>
      <c r="G44" s="2">
        <v>1</v>
      </c>
      <c r="I44" t="s">
        <v>464</v>
      </c>
      <c r="J44" t="s">
        <v>538</v>
      </c>
      <c r="K44" t="s">
        <v>566</v>
      </c>
      <c r="L44" s="1" t="s">
        <v>160</v>
      </c>
      <c r="M44" s="1" t="s">
        <v>465</v>
      </c>
    </row>
    <row r="45" spans="3:13">
      <c r="C45" t="s">
        <v>540</v>
      </c>
      <c r="D45" t="s">
        <v>541</v>
      </c>
      <c r="E45" s="2" t="s">
        <v>542</v>
      </c>
      <c r="F45" s="2"/>
      <c r="G45" s="2">
        <v>1</v>
      </c>
      <c r="I45" t="s">
        <v>464</v>
      </c>
      <c r="J45" t="s">
        <v>540</v>
      </c>
      <c r="K45" t="s">
        <v>567</v>
      </c>
      <c r="L45" s="1" t="s">
        <v>160</v>
      </c>
      <c r="M45" s="1" t="s">
        <v>465</v>
      </c>
    </row>
    <row r="46" spans="3:13">
      <c r="C46" t="s">
        <v>543</v>
      </c>
      <c r="D46" t="s">
        <v>491</v>
      </c>
      <c r="E46" s="2" t="s">
        <v>544</v>
      </c>
      <c r="F46" s="2"/>
      <c r="G46" s="2">
        <v>1</v>
      </c>
      <c r="I46" t="s">
        <v>464</v>
      </c>
      <c r="J46" t="s">
        <v>543</v>
      </c>
      <c r="K46" t="s">
        <v>568</v>
      </c>
      <c r="L46" s="1" t="s">
        <v>160</v>
      </c>
      <c r="M46" s="1" t="s">
        <v>465</v>
      </c>
    </row>
    <row r="47" spans="3:13">
      <c r="C47" t="s">
        <v>545</v>
      </c>
      <c r="D47" t="s">
        <v>35</v>
      </c>
      <c r="E47" s="2" t="s">
        <v>546</v>
      </c>
      <c r="F47" s="2"/>
      <c r="G47" s="2">
        <v>1</v>
      </c>
      <c r="I47" t="s">
        <v>464</v>
      </c>
      <c r="J47" t="s">
        <v>545</v>
      </c>
      <c r="K47" t="s">
        <v>569</v>
      </c>
      <c r="L47" s="1" t="s">
        <v>160</v>
      </c>
      <c r="M47" s="1" t="s">
        <v>465</v>
      </c>
    </row>
    <row r="48" spans="3:13">
      <c r="C48" t="s">
        <v>547</v>
      </c>
      <c r="D48" t="s">
        <v>471</v>
      </c>
      <c r="E48" s="2" t="s">
        <v>548</v>
      </c>
      <c r="F48" s="2"/>
      <c r="G48" s="2">
        <v>1</v>
      </c>
      <c r="I48" t="s">
        <v>464</v>
      </c>
      <c r="J48" t="s">
        <v>547</v>
      </c>
      <c r="K48" t="s">
        <v>570</v>
      </c>
      <c r="L48" s="1" t="s">
        <v>160</v>
      </c>
      <c r="M48" s="1" t="s">
        <v>465</v>
      </c>
    </row>
    <row r="49" spans="3:13">
      <c r="C49" t="s">
        <v>549</v>
      </c>
      <c r="D49" t="s">
        <v>550</v>
      </c>
      <c r="E49" s="2" t="s">
        <v>551</v>
      </c>
      <c r="F49" s="2"/>
      <c r="G49" s="2">
        <v>1</v>
      </c>
      <c r="I49" t="s">
        <v>464</v>
      </c>
      <c r="J49" t="s">
        <v>549</v>
      </c>
      <c r="K49" t="s">
        <v>571</v>
      </c>
      <c r="L49" s="1" t="s">
        <v>160</v>
      </c>
      <c r="M49" s="1" t="s">
        <v>465</v>
      </c>
    </row>
    <row r="50" spans="3:13">
      <c r="C50" t="s">
        <v>552</v>
      </c>
      <c r="D50" t="s">
        <v>553</v>
      </c>
      <c r="E50" s="2" t="s">
        <v>554</v>
      </c>
      <c r="F50" s="2"/>
      <c r="G50" s="2">
        <v>1</v>
      </c>
      <c r="I50" t="s">
        <v>464</v>
      </c>
      <c r="J50" t="s">
        <v>552</v>
      </c>
      <c r="K50" t="s">
        <v>572</v>
      </c>
      <c r="L50" s="1" t="s">
        <v>160</v>
      </c>
      <c r="M50" s="1" t="s">
        <v>465</v>
      </c>
    </row>
    <row r="51" spans="3:13">
      <c r="C51" t="s">
        <v>555</v>
      </c>
      <c r="D51" t="s">
        <v>556</v>
      </c>
      <c r="E51" s="2" t="s">
        <v>557</v>
      </c>
      <c r="F51" s="2"/>
      <c r="G51" s="2">
        <v>1</v>
      </c>
      <c r="I51" t="s">
        <v>464</v>
      </c>
      <c r="J51" t="s">
        <v>555</v>
      </c>
      <c r="K51" t="s">
        <v>573</v>
      </c>
      <c r="L51" s="1" t="s">
        <v>160</v>
      </c>
      <c r="M51" s="1" t="s">
        <v>465</v>
      </c>
    </row>
    <row r="52" spans="3:13">
      <c r="C52" t="s">
        <v>558</v>
      </c>
      <c r="D52" t="s">
        <v>559</v>
      </c>
      <c r="E52" s="2" t="s">
        <v>560</v>
      </c>
      <c r="F52" s="2"/>
      <c r="G52" s="2">
        <v>1</v>
      </c>
      <c r="I52" t="s">
        <v>464</v>
      </c>
      <c r="J52" t="s">
        <v>558</v>
      </c>
      <c r="K52" t="s">
        <v>574</v>
      </c>
      <c r="L52" s="1" t="s">
        <v>160</v>
      </c>
      <c r="M52" s="1" t="s">
        <v>465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Assumptions</vt:lpstr>
      <vt:lpstr>TIAM15_assumptions</vt:lpstr>
      <vt:lpstr>vehicle population data</vt:lpstr>
      <vt:lpstr>non-road</vt:lpstr>
      <vt:lpstr>Average VMT by Vehicle Type</vt:lpstr>
      <vt:lpstr>fuel tech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2021-06-29T05:47:23Z</dcterms:created>
  <dcterms:modified xsi:type="dcterms:W3CDTF">2025-04-14T05:32:27Z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465130031108856</vt:r8>
  </property>
</Properties>
</file>